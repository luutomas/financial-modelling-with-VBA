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ek\Documents\GitHub\financial-modelling-with-VBA\"/>
    </mc:Choice>
  </mc:AlternateContent>
  <xr:revisionPtr revIDLastSave="0" documentId="13_ncr:1_{C5205BFD-4B9A-4296-940A-70F8D7F04339}" xr6:coauthVersionLast="45" xr6:coauthVersionMax="45" xr10:uidLastSave="{00000000-0000-0000-0000-000000000000}"/>
  <bookViews>
    <workbookView xWindow="2688" yWindow="2688" windowWidth="17280" windowHeight="9072" activeTab="4" xr2:uid="{27EC184B-7BF3-9B46-9236-02507B87ECB3}"/>
  </bookViews>
  <sheets>
    <sheet name="Names" sheetId="5" r:id="rId1"/>
    <sheet name="Ex. 1" sheetId="2" r:id="rId2"/>
    <sheet name="Ex. 2" sheetId="1" r:id="rId3"/>
    <sheet name="Ex. 3" sheetId="3" r:id="rId4"/>
    <sheet name="Ex. 4" sheetId="6" r:id="rId5"/>
  </sheets>
  <functionGroups builtInGroupCount="19"/>
  <definedNames>
    <definedName name="x1s">'Ex. 4'!$K$3:$K$12</definedName>
    <definedName name="y">'Ex. 4'!$J$3:$J$12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6" l="1" a="1"/>
  <c r="B3" i="6"/>
  <c r="J3" i="6" a="1"/>
  <c r="J3" i="6" s="1"/>
  <c r="B8" i="6" a="1"/>
  <c r="B8" i="6"/>
  <c r="C8" i="6" a="1"/>
  <c r="C8" i="6" s="1"/>
  <c r="B10" i="6" a="1"/>
  <c r="B10" i="6"/>
  <c r="C10" i="6"/>
  <c r="D10" i="6"/>
  <c r="E10" i="6"/>
  <c r="B11" i="6" a="1"/>
  <c r="B11" i="6"/>
  <c r="B13" i="6" a="1"/>
  <c r="B13" i="6" s="1"/>
  <c r="B15" i="6" a="1"/>
  <c r="B15" i="6" s="1"/>
  <c r="B17" i="6" a="1"/>
  <c r="B17" i="6"/>
  <c r="D20" i="6" a="1"/>
  <c r="D20" i="6"/>
  <c r="C5" i="3" l="1" a="1"/>
  <c r="C2" i="3" a="1"/>
  <c r="C4" i="3" a="1"/>
  <c r="C3" i="3" a="1"/>
  <c r="C5" i="1" a="1"/>
  <c r="C10" i="1" a="1"/>
  <c r="C10" i="1" l="1"/>
  <c r="C5" i="1"/>
  <c r="C3" i="3"/>
  <c r="C4" i="3"/>
  <c r="C2" i="3"/>
  <c r="C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<sst xmlns="http://schemas.openxmlformats.org/spreadsheetml/2006/main" count="38" uniqueCount="32">
  <si>
    <t>Input</t>
  </si>
  <si>
    <t>Output</t>
  </si>
  <si>
    <t>Kuba</t>
  </si>
  <si>
    <t>Černý</t>
  </si>
  <si>
    <t>Tiep</t>
  </si>
  <si>
    <t>Luu Danh</t>
  </si>
  <si>
    <t>Jan</t>
  </si>
  <si>
    <t>Malecha</t>
  </si>
  <si>
    <t>String Input</t>
  </si>
  <si>
    <t>Capital (TRUE/FALSE)</t>
  </si>
  <si>
    <t>Kiks1290seznam</t>
  </si>
  <si>
    <t>Sidlo&amp;Zihadlo12&amp;Trdlo14</t>
  </si>
  <si>
    <t>Reversed</t>
  </si>
  <si>
    <t>Lenght of string</t>
  </si>
  <si>
    <t>Number of Numbers</t>
  </si>
  <si>
    <t>Number of symbols</t>
  </si>
  <si>
    <t>Černý20 Malecha20 Luu20</t>
  </si>
  <si>
    <t>Zajímavé</t>
  </si>
  <si>
    <t>Format</t>
  </si>
  <si>
    <t>y</t>
  </si>
  <si>
    <t>Expected graduation date</t>
  </si>
  <si>
    <t>Graduation date</t>
  </si>
  <si>
    <t>Starting date</t>
  </si>
  <si>
    <t>x4</t>
  </si>
  <si>
    <t>x3</t>
  </si>
  <si>
    <t>x2</t>
  </si>
  <si>
    <t>x1</t>
  </si>
  <si>
    <t>constant</t>
  </si>
  <si>
    <t>p-val</t>
  </si>
  <si>
    <t>t stats</t>
  </si>
  <si>
    <t>SE</t>
  </si>
  <si>
    <t>Coefficient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</si>
</sst>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1"/>
    <xf numFmtId="164" fontId="1" fillId="0" borderId="0" xfId="1" applyNumberFormat="1"/>
  </cellXfs>
  <cellStyles count="2">
    <cellStyle name="Normal" xfId="0" builtinId="0"/>
    <cellStyle name="Normal 2" xfId="1" xr:uid="{5FB57CE7-0262-40FB-8B94-B196E7F12A3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0</xdr:row>
          <xdr:rowOff>152400</xdr:rowOff>
        </xdr:from>
        <xdr:to>
          <xdr:col>7</xdr:col>
          <xdr:colOff>518160</xdr:colOff>
          <xdr:row>2</xdr:row>
          <xdr:rowOff>129540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731520</xdr:colOff>
          <xdr:row>2</xdr:row>
          <xdr:rowOff>190500</xdr:rowOff>
        </xdr:from>
        <xdr:to>
          <xdr:col>7</xdr:col>
          <xdr:colOff>137160</xdr:colOff>
          <xdr:row>4</xdr:row>
          <xdr:rowOff>53340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5</xdr:row>
          <xdr:rowOff>30480</xdr:rowOff>
        </xdr:from>
        <xdr:to>
          <xdr:col>7</xdr:col>
          <xdr:colOff>381000</xdr:colOff>
          <xdr:row>6</xdr:row>
          <xdr:rowOff>83820</xdr:rowOff>
        </xdr:to>
        <xdr:sp macro="" textlink="">
          <xdr:nvSpPr>
            <xdr:cNvPr id="1027" name="Option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6</xdr:row>
          <xdr:rowOff>76200</xdr:rowOff>
        </xdr:from>
        <xdr:to>
          <xdr:col>7</xdr:col>
          <xdr:colOff>381000</xdr:colOff>
          <xdr:row>7</xdr:row>
          <xdr:rowOff>129540</xdr:rowOff>
        </xdr:to>
        <xdr:sp macro="" textlink="">
          <xdr:nvSpPr>
            <xdr:cNvPr id="1028" name="Option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121920</xdr:rowOff>
        </xdr:from>
        <xdr:to>
          <xdr:col>7</xdr:col>
          <xdr:colOff>381000</xdr:colOff>
          <xdr:row>8</xdr:row>
          <xdr:rowOff>175260</xdr:rowOff>
        </xdr:to>
        <xdr:sp macro="" textlink="">
          <xdr:nvSpPr>
            <xdr:cNvPr id="1029" name="Option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8</xdr:row>
          <xdr:rowOff>175260</xdr:rowOff>
        </xdr:from>
        <xdr:to>
          <xdr:col>7</xdr:col>
          <xdr:colOff>388620</xdr:colOff>
          <xdr:row>10</xdr:row>
          <xdr:rowOff>30480</xdr:rowOff>
        </xdr:to>
        <xdr:sp macro="" textlink="">
          <xdr:nvSpPr>
            <xdr:cNvPr id="1030" name="Option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73594-16B4-E246-8AA3-0E81809501A6}">
  <sheetPr codeName="Sheet2"/>
  <dimension ref="A1:B3"/>
  <sheetViews>
    <sheetView workbookViewId="0">
      <selection activeCell="A4" sqref="A4"/>
    </sheetView>
  </sheetViews>
  <sheetFormatPr defaultColWidth="11.19921875" defaultRowHeight="15.6" x14ac:dyDescent="0.3"/>
  <sheetData>
    <row r="1" spans="1:2" x14ac:dyDescent="0.3">
      <c r="A1" t="s">
        <v>2</v>
      </c>
      <c r="B1" t="s">
        <v>3</v>
      </c>
    </row>
    <row r="2" spans="1:2" x14ac:dyDescent="0.3">
      <c r="A2" t="s">
        <v>4</v>
      </c>
      <c r="B2" t="s">
        <v>5</v>
      </c>
    </row>
    <row r="3" spans="1:2" x14ac:dyDescent="0.3">
      <c r="A3" t="s">
        <v>6</v>
      </c>
      <c r="B3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8B73C-8CF1-0D43-9763-B51F577118B5}">
  <sheetPr codeName="Sheet3"/>
  <dimension ref="A2:E3"/>
  <sheetViews>
    <sheetView workbookViewId="0">
      <selection activeCell="F16" sqref="F16"/>
    </sheetView>
  </sheetViews>
  <sheetFormatPr defaultColWidth="11.19921875" defaultRowHeight="15.6" x14ac:dyDescent="0.3"/>
  <cols>
    <col min="1" max="1" width="11.796875" bestFit="1" customWidth="1"/>
    <col min="2" max="2" width="15" bestFit="1" customWidth="1"/>
    <col min="3" max="3" width="18.796875" bestFit="1" customWidth="1"/>
    <col min="4" max="4" width="23.19921875" bestFit="1" customWidth="1"/>
  </cols>
  <sheetData>
    <row r="2" spans="1:5" x14ac:dyDescent="0.3">
      <c r="B2" s="2" t="s">
        <v>22</v>
      </c>
      <c r="C2" s="2" t="s">
        <v>21</v>
      </c>
      <c r="D2" s="2" t="s">
        <v>20</v>
      </c>
      <c r="E2" s="2" t="s">
        <v>18</v>
      </c>
    </row>
    <row r="3" spans="1:5" x14ac:dyDescent="0.3">
      <c r="A3" s="1"/>
      <c r="B3" s="3">
        <v>38804</v>
      </c>
      <c r="C3" s="2"/>
      <c r="D3" s="3">
        <v>44243</v>
      </c>
      <c r="E3" s="2" t="s">
        <v>19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5</xdr:col>
                <xdr:colOff>381000</xdr:colOff>
                <xdr:row>0</xdr:row>
                <xdr:rowOff>152400</xdr:rowOff>
              </from>
              <to>
                <xdr:col>7</xdr:col>
                <xdr:colOff>518160</xdr:colOff>
                <xdr:row>2</xdr:row>
                <xdr:rowOff>129540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5</xdr:col>
                <xdr:colOff>731520</xdr:colOff>
                <xdr:row>2</xdr:row>
                <xdr:rowOff>190500</xdr:rowOff>
              </from>
              <to>
                <xdr:col>7</xdr:col>
                <xdr:colOff>137160</xdr:colOff>
                <xdr:row>4</xdr:row>
                <xdr:rowOff>53340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OptionButton1">
          <controlPr defaultSize="0" autoLine="0" r:id="rId8">
            <anchor moveWithCells="1">
              <from>
                <xdr:col>5</xdr:col>
                <xdr:colOff>541020</xdr:colOff>
                <xdr:row>5</xdr:row>
                <xdr:rowOff>30480</xdr:rowOff>
              </from>
              <to>
                <xdr:col>7</xdr:col>
                <xdr:colOff>381000</xdr:colOff>
                <xdr:row>6</xdr:row>
                <xdr:rowOff>83820</xdr:rowOff>
              </to>
            </anchor>
          </controlPr>
        </control>
      </mc:Choice>
      <mc:Fallback>
        <control shapeId="1027" r:id="rId7" name="OptionButton1"/>
      </mc:Fallback>
    </mc:AlternateContent>
    <mc:AlternateContent xmlns:mc="http://schemas.openxmlformats.org/markup-compatibility/2006">
      <mc:Choice Requires="x14">
        <control shapeId="1028" r:id="rId9" name="OptionButton2">
          <controlPr defaultSize="0" autoLine="0" r:id="rId10">
            <anchor moveWithCells="1">
              <from>
                <xdr:col>5</xdr:col>
                <xdr:colOff>541020</xdr:colOff>
                <xdr:row>6</xdr:row>
                <xdr:rowOff>76200</xdr:rowOff>
              </from>
              <to>
                <xdr:col>7</xdr:col>
                <xdr:colOff>381000</xdr:colOff>
                <xdr:row>7</xdr:row>
                <xdr:rowOff>129540</xdr:rowOff>
              </to>
            </anchor>
          </controlPr>
        </control>
      </mc:Choice>
      <mc:Fallback>
        <control shapeId="1028" r:id="rId9" name="OptionButton2"/>
      </mc:Fallback>
    </mc:AlternateContent>
    <mc:AlternateContent xmlns:mc="http://schemas.openxmlformats.org/markup-compatibility/2006">
      <mc:Choice Requires="x14">
        <control shapeId="1029" r:id="rId11" name="OptionButton3">
          <controlPr defaultSize="0" autoLine="0" r:id="rId12">
            <anchor moveWithCells="1">
              <from>
                <xdr:col>5</xdr:col>
                <xdr:colOff>541020</xdr:colOff>
                <xdr:row>7</xdr:row>
                <xdr:rowOff>121920</xdr:rowOff>
              </from>
              <to>
                <xdr:col>7</xdr:col>
                <xdr:colOff>381000</xdr:colOff>
                <xdr:row>8</xdr:row>
                <xdr:rowOff>175260</xdr:rowOff>
              </to>
            </anchor>
          </controlPr>
        </control>
      </mc:Choice>
      <mc:Fallback>
        <control shapeId="1029" r:id="rId11" name="OptionButton3"/>
      </mc:Fallback>
    </mc:AlternateContent>
    <mc:AlternateContent xmlns:mc="http://schemas.openxmlformats.org/markup-compatibility/2006">
      <mc:Choice Requires="x14">
        <control shapeId="1030" r:id="rId13" name="OptionButton4">
          <controlPr defaultSize="0" autoLine="0" r:id="rId14">
            <anchor moveWithCells="1">
              <from>
                <xdr:col>5</xdr:col>
                <xdr:colOff>548640</xdr:colOff>
                <xdr:row>8</xdr:row>
                <xdr:rowOff>175260</xdr:rowOff>
              </from>
              <to>
                <xdr:col>7</xdr:col>
                <xdr:colOff>388620</xdr:colOff>
                <xdr:row>10</xdr:row>
                <xdr:rowOff>30480</xdr:rowOff>
              </to>
            </anchor>
          </controlPr>
        </control>
      </mc:Choice>
      <mc:Fallback>
        <control shapeId="1030" r:id="rId13" name="Option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FD0E-7D96-1340-AFF3-2D67B300261D}">
  <sheetPr codeName="Sheet1"/>
  <dimension ref="B4:H10"/>
  <sheetViews>
    <sheetView workbookViewId="0">
      <selection activeCell="C5" sqref="C5"/>
    </sheetView>
  </sheetViews>
  <sheetFormatPr defaultColWidth="11.19921875" defaultRowHeight="15.6" x14ac:dyDescent="0.3"/>
  <sheetData>
    <row r="4" spans="2:8" x14ac:dyDescent="0.3">
      <c r="B4" t="s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</row>
    <row r="5" spans="2:8" x14ac:dyDescent="0.3">
      <c r="B5" t="s">
        <v>1</v>
      </c>
      <c r="C5" cm="1">
        <f t="array" ref="C5:H5">FunctionValues(C4:H4)</f>
        <v>2.5</v>
      </c>
      <c r="D5">
        <v>6</v>
      </c>
      <c r="E5">
        <v>11.5</v>
      </c>
      <c r="F5">
        <v>19</v>
      </c>
      <c r="G5">
        <v>28.5</v>
      </c>
      <c r="H5">
        <v>40</v>
      </c>
    </row>
    <row r="9" spans="2:8" x14ac:dyDescent="0.3">
      <c r="B9" t="s">
        <v>0</v>
      </c>
      <c r="C9">
        <v>1</v>
      </c>
      <c r="D9">
        <v>2</v>
      </c>
      <c r="E9">
        <v>3</v>
      </c>
    </row>
    <row r="10" spans="2:8" x14ac:dyDescent="0.3">
      <c r="B10" t="s">
        <v>1</v>
      </c>
      <c r="C10" cm="1">
        <f t="array" ref="C10:E10">FunctionValues(C9:E9)</f>
        <v>2.5</v>
      </c>
      <c r="D10">
        <v>6</v>
      </c>
      <c r="E10">
        <v>11.5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43EDA-25D4-094E-9329-F1FD6D199899}">
  <sheetPr codeName="Sheet4"/>
  <dimension ref="A1:F5"/>
  <sheetViews>
    <sheetView workbookViewId="0">
      <selection activeCell="D18" sqref="D18"/>
    </sheetView>
  </sheetViews>
  <sheetFormatPr defaultColWidth="11.19921875" defaultRowHeight="15.6" x14ac:dyDescent="0.3"/>
  <cols>
    <col min="1" max="1" width="23.19921875" bestFit="1" customWidth="1"/>
    <col min="2" max="2" width="19.19921875" bestFit="1" customWidth="1"/>
    <col min="3" max="3" width="22.296875" bestFit="1" customWidth="1"/>
    <col min="4" max="4" width="14" bestFit="1" customWidth="1"/>
    <col min="5" max="5" width="18.19921875" bestFit="1" customWidth="1"/>
    <col min="6" max="6" width="17.296875" bestFit="1" customWidth="1"/>
  </cols>
  <sheetData>
    <row r="1" spans="1:6" x14ac:dyDescent="0.3">
      <c r="A1" t="s">
        <v>8</v>
      </c>
      <c r="B1" t="s">
        <v>9</v>
      </c>
      <c r="C1" t="s">
        <v>12</v>
      </c>
      <c r="D1" t="s">
        <v>13</v>
      </c>
      <c r="E1" t="s">
        <v>14</v>
      </c>
      <c r="F1" t="s">
        <v>15</v>
      </c>
    </row>
    <row r="2" spans="1:6" x14ac:dyDescent="0.3">
      <c r="A2" t="s">
        <v>10</v>
      </c>
      <c r="B2" t="b">
        <v>1</v>
      </c>
      <c r="C2" t="str" cm="1">
        <f t="array" ref="C2:F2">Reverse(A2,B2)</f>
        <v>Manzes0921skik</v>
      </c>
      <c r="D2">
        <v>14</v>
      </c>
      <c r="E2">
        <v>4</v>
      </c>
      <c r="F2">
        <v>0</v>
      </c>
    </row>
    <row r="3" spans="1:6" x14ac:dyDescent="0.3">
      <c r="A3" t="s">
        <v>11</v>
      </c>
      <c r="B3" t="b">
        <v>0</v>
      </c>
      <c r="C3" t="str" cm="1">
        <f t="array" ref="C3:F3">Reverse(A3,B3)</f>
        <v>41oldrt&amp;21oldahiz&amp;oldis</v>
      </c>
      <c r="D3">
        <v>23</v>
      </c>
      <c r="E3">
        <v>4</v>
      </c>
      <c r="F3">
        <v>2</v>
      </c>
    </row>
    <row r="4" spans="1:6" x14ac:dyDescent="0.3">
      <c r="A4" t="s">
        <v>16</v>
      </c>
      <c r="B4" t="b">
        <v>0</v>
      </c>
      <c r="C4" t="str" cm="1">
        <f t="array" ref="C4:F4">Reverse(A4,B4)</f>
        <v>02uul 02ahcelam 02ýnreč</v>
      </c>
      <c r="D4">
        <v>23</v>
      </c>
      <c r="E4">
        <v>6</v>
      </c>
      <c r="F4">
        <v>4</v>
      </c>
    </row>
    <row r="5" spans="1:6" x14ac:dyDescent="0.3">
      <c r="A5" t="s">
        <v>17</v>
      </c>
      <c r="B5" t="b">
        <v>1</v>
      </c>
      <c r="C5" t="str" cm="1">
        <f t="array" ref="C5:F5">Reverse(A5,B5)</f>
        <v>Évamíjaz</v>
      </c>
      <c r="D5">
        <v>8</v>
      </c>
      <c r="E5">
        <v>0</v>
      </c>
      <c r="F5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55F6-E5A2-4503-A5FA-184A89FA2BBC}">
  <sheetPr codeName="Sheet6"/>
  <dimension ref="A2:M20"/>
  <sheetViews>
    <sheetView tabSelected="1" workbookViewId="0">
      <selection activeCell="E12" sqref="E12"/>
    </sheetView>
  </sheetViews>
  <sheetFormatPr defaultRowHeight="14.4" x14ac:dyDescent="0.3"/>
  <cols>
    <col min="1" max="1" width="8.796875" style="4"/>
    <col min="2" max="2" width="9" style="4" bestFit="1" customWidth="1"/>
    <col min="3" max="16384" width="8.796875" style="4"/>
  </cols>
  <sheetData>
    <row r="2" spans="1:13" x14ac:dyDescent="0.3">
      <c r="B2" s="4" t="s">
        <v>31</v>
      </c>
      <c r="C2" s="4" t="s">
        <v>30</v>
      </c>
      <c r="D2" s="4" t="s">
        <v>29</v>
      </c>
      <c r="E2" s="4" t="s">
        <v>28</v>
      </c>
      <c r="J2" s="4" t="s">
        <v>19</v>
      </c>
      <c r="K2" s="4" t="s">
        <v>26</v>
      </c>
      <c r="L2" s="4" t="s">
        <v>25</v>
      </c>
      <c r="M2" s="4" t="s">
        <v>24</v>
      </c>
    </row>
    <row r="3" spans="1:13" x14ac:dyDescent="0.3">
      <c r="A3" s="4" t="s">
        <v>27</v>
      </c>
      <c r="B3" s="4" t="e" cm="1">
        <f t="array" aca="1" ref="B3" ca="1">MyOLS(J3:J12,K3:K12)</f>
        <v>#NAME?</v>
      </c>
      <c r="J3" s="4" cm="1">
        <f t="array" aca="1" ref="J3:M12" ca="1">_xlfn.RANDARRAY(10,4,1,40,)</f>
        <v>9.726719283246652</v>
      </c>
      <c r="K3" s="4">
        <f ca="1"/>
        <v>7.8170293567337268</v>
      </c>
      <c r="L3" s="4">
        <f ca="1"/>
        <v>5.516897273664604</v>
      </c>
      <c r="M3" s="4">
        <f ca="1"/>
        <v>36.402433448120625</v>
      </c>
    </row>
    <row r="4" spans="1:13" x14ac:dyDescent="0.3">
      <c r="A4" s="4" t="s">
        <v>26</v>
      </c>
      <c r="J4" s="4">
        <f ca="1"/>
        <v>23.661122622235773</v>
      </c>
      <c r="K4" s="4">
        <f ca="1"/>
        <v>24.798529977110576</v>
      </c>
      <c r="L4" s="4">
        <f ca="1"/>
        <v>1.4688718112196426</v>
      </c>
      <c r="M4" s="4">
        <f ca="1"/>
        <v>27.459431339506835</v>
      </c>
    </row>
    <row r="5" spans="1:13" x14ac:dyDescent="0.3">
      <c r="A5" s="4" t="s">
        <v>25</v>
      </c>
      <c r="J5" s="4">
        <f ca="1"/>
        <v>24.138853993151379</v>
      </c>
      <c r="K5" s="4">
        <f ca="1"/>
        <v>26.840304600377948</v>
      </c>
      <c r="L5" s="4">
        <f ca="1"/>
        <v>27.527785552649433</v>
      </c>
      <c r="M5" s="4">
        <f ca="1"/>
        <v>4.8665632468768649</v>
      </c>
    </row>
    <row r="6" spans="1:13" x14ac:dyDescent="0.3">
      <c r="A6" s="4" t="s">
        <v>24</v>
      </c>
      <c r="J6" s="4">
        <f ca="1"/>
        <v>8.2101502655181022</v>
      </c>
      <c r="K6" s="4">
        <f ca="1"/>
        <v>13.326805255557481</v>
      </c>
      <c r="L6" s="4">
        <f ca="1"/>
        <v>15.005111401652194</v>
      </c>
      <c r="M6" s="4">
        <f ca="1"/>
        <v>37.388009355869791</v>
      </c>
    </row>
    <row r="7" spans="1:13" x14ac:dyDescent="0.3">
      <c r="A7" s="4" t="s">
        <v>23</v>
      </c>
      <c r="J7" s="4">
        <f ca="1"/>
        <v>1.9135728915037333</v>
      </c>
      <c r="K7" s="4">
        <f ca="1"/>
        <v>25.44276504200279</v>
      </c>
      <c r="L7" s="4">
        <f ca="1"/>
        <v>15.962986737174653</v>
      </c>
      <c r="M7" s="4">
        <f ca="1"/>
        <v>28.724425473198373</v>
      </c>
    </row>
    <row r="8" spans="1:13" x14ac:dyDescent="0.3">
      <c r="B8" s="5" t="e" cm="1">
        <f t="array" aca="1" ref="B8" ca="1">SimplestOLS(y,x1s)</f>
        <v>#NAME?</v>
      </c>
      <c r="C8" s="4" cm="1">
        <f t="array" aca="1" ref="C8" ca="1">MMULT(MINVERSE(MMULT(TRANSPOSE(x1s),x1s)),MMULT(TRANSPOSE(x1s),y))</f>
        <v>0.82770343462508444</v>
      </c>
      <c r="J8" s="4">
        <f ca="1"/>
        <v>7.251367489114557</v>
      </c>
      <c r="K8" s="4">
        <f ca="1"/>
        <v>2.6746271752310733</v>
      </c>
      <c r="L8" s="4">
        <f ca="1"/>
        <v>38.515028826832591</v>
      </c>
      <c r="M8" s="4">
        <f ca="1"/>
        <v>12.096092600563175</v>
      </c>
    </row>
    <row r="9" spans="1:13" x14ac:dyDescent="0.3">
      <c r="J9" s="4">
        <f ca="1"/>
        <v>36.0522889610859</v>
      </c>
      <c r="K9" s="4">
        <f ca="1"/>
        <v>10.456456452240019</v>
      </c>
      <c r="L9" s="4">
        <f ca="1"/>
        <v>15.387244024872679</v>
      </c>
      <c r="M9" s="4">
        <f ca="1"/>
        <v>8.4717555536638471</v>
      </c>
    </row>
    <row r="10" spans="1:13" x14ac:dyDescent="0.3">
      <c r="B10" s="4" t="e">
        <f t="array" aca="1" ref="B10:E10" ca="1">SimplestOLS(J3:J12,K3:K12)</f>
        <v>#NAME?</v>
      </c>
      <c r="C10" s="4" t="e">
        <f ca="1"/>
        <v>#NAME?</v>
      </c>
      <c r="D10" s="4" t="e">
        <f ca="1"/>
        <v>#NAME?</v>
      </c>
      <c r="E10" s="4" t="e">
        <f ca="1"/>
        <v>#NAME?</v>
      </c>
      <c r="J10" s="4">
        <f ca="1"/>
        <v>36.179847319930822</v>
      </c>
      <c r="K10" s="4">
        <f ca="1"/>
        <v>22.630809815840088</v>
      </c>
      <c r="L10" s="4">
        <f ca="1"/>
        <v>39.394899095492555</v>
      </c>
      <c r="M10" s="4">
        <f ca="1"/>
        <v>36.411800586261542</v>
      </c>
    </row>
    <row r="11" spans="1:13" x14ac:dyDescent="0.3">
      <c r="B11" s="4" t="e" cm="1">
        <f t="array" aca="1" ref="B11" ca="1">SimplestOLS(J3:J12,K3:K12)</f>
        <v>#NAME?</v>
      </c>
      <c r="J11" s="4">
        <f ca="1"/>
        <v>22.595836252596804</v>
      </c>
      <c r="K11" s="4">
        <f ca="1"/>
        <v>38.377357121425689</v>
      </c>
      <c r="L11" s="4">
        <f ca="1"/>
        <v>34.792975634073194</v>
      </c>
      <c r="M11" s="4">
        <f ca="1"/>
        <v>13.666349782351098</v>
      </c>
    </row>
    <row r="12" spans="1:13" x14ac:dyDescent="0.3">
      <c r="J12" s="4">
        <f ca="1"/>
        <v>10.740414977492662</v>
      </c>
      <c r="K12" s="4">
        <f ca="1"/>
        <v>9.5761154731014031</v>
      </c>
      <c r="L12" s="4">
        <f ca="1"/>
        <v>29.934582790729294</v>
      </c>
      <c r="M12" s="4">
        <f ca="1"/>
        <v>27.873972885068575</v>
      </c>
    </row>
    <row r="13" spans="1:13" x14ac:dyDescent="0.3">
      <c r="B13" s="4" cm="1">
        <f t="array" aca="1" ref="B13:E13" ca="1">LINEST(J3:J12,K3:M12,FALSE,)</f>
        <v>6.3676700705962277E-2</v>
      </c>
      <c r="C13" s="4">
        <f ca="1"/>
        <v>0.2794291510092683</v>
      </c>
      <c r="D13" s="4">
        <f ca="1"/>
        <v>0.50315210856186676</v>
      </c>
      <c r="E13" s="4">
        <f ca="1"/>
        <v>0</v>
      </c>
    </row>
    <row r="15" spans="1:13" x14ac:dyDescent="0.3">
      <c r="B15" s="4" cm="1">
        <f t="array" aca="1" ref="B15:C15" ca="1">LINEST(y, x1s)</f>
        <v>0.33547338138306615</v>
      </c>
      <c r="C15" s="4">
        <f ca="1"/>
        <v>11.94338785778856</v>
      </c>
    </row>
    <row r="17" spans="2:4" x14ac:dyDescent="0.3">
      <c r="B17" s="4" t="e" cm="1">
        <f t="array" aca="1" ref="B17" ca="1">SimplestOLS(y,x1s)</f>
        <v>#NAME?</v>
      </c>
    </row>
    <row r="20" spans="2:4" x14ac:dyDescent="0.3">
      <c r="D20" s="4" t="e" cm="1">
        <f t="array" aca="1" ref="D20" ca="1">Area2(J3,K3)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Names</vt:lpstr>
      <vt:lpstr>Ex. 1</vt:lpstr>
      <vt:lpstr>Ex. 2</vt:lpstr>
      <vt:lpstr>Ex. 3</vt:lpstr>
      <vt:lpstr>Ex. 4</vt:lpstr>
      <vt:lpstr>x1s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Jan</cp:lastModifiedBy>
  <dcterms:created xsi:type="dcterms:W3CDTF">2020-05-17T21:50:14Z</dcterms:created>
  <dcterms:modified xsi:type="dcterms:W3CDTF">2020-05-27T17:21:51Z</dcterms:modified>
</cp:coreProperties>
</file>