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hidePivotFieldList="1" defaultThemeVersion="166925"/>
  <mc:AlternateContent xmlns:mc="http://schemas.openxmlformats.org/markup-compatibility/2006">
    <mc:Choice Requires="x15">
      <x15ac:absPath xmlns:x15ac="http://schemas.microsoft.com/office/spreadsheetml/2010/11/ac" url="C:\Users\tiepl\OneDrive\Dokumenty\School\financial-modelling-with-VBA\"/>
    </mc:Choice>
  </mc:AlternateContent>
  <xr:revisionPtr revIDLastSave="0" documentId="13_ncr:1_{2FFA2B46-E40D-4BB7-BA9F-3C3EF48B5EA0}" xr6:coauthVersionLast="45" xr6:coauthVersionMax="45" xr10:uidLastSave="{00000000-0000-0000-0000-000000000000}"/>
  <bookViews>
    <workbookView xWindow="14835" yWindow="-15990" windowWidth="13080" windowHeight="7650" activeTab="2" xr2:uid="{010FAFBA-36AA-4242-AAF6-B8A6A840039F}"/>
  </bookViews>
  <sheets>
    <sheet name="Cover Sheet" sheetId="101" r:id="rId1"/>
    <sheet name="Documentation" sheetId="102" r:id="rId2"/>
    <sheet name="Retirement Income Calculator" sheetId="2" r:id="rId3"/>
    <sheet name="Stock Prices Links" sheetId="3" r:id="rId4"/>
    <sheet name="DJI" sheetId="104" r:id="rId5"/>
    <sheet name="S&amp;P_500" sheetId="103" r:id="rId6"/>
    <sheet name="Monthly Investments" sheetId="54" state="hidden" r:id="rId7"/>
    <sheet name="Retirement Length" sheetId="77" r:id="rId8"/>
    <sheet name="Retirement Age" sheetId="78" r:id="rId9"/>
    <sheet name="Expected Retirement Spending" sheetId="79" state="hidden" r:id="rId1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4" i="104" l="1"/>
  <c r="M5" i="104"/>
  <c r="M6" i="104"/>
  <c r="M7" i="104"/>
  <c r="M8" i="104"/>
  <c r="M9" i="104"/>
  <c r="M10" i="104"/>
  <c r="M11" i="104"/>
  <c r="M12" i="104"/>
  <c r="M13" i="104"/>
  <c r="M14" i="104"/>
  <c r="M15" i="104"/>
  <c r="M16" i="104"/>
  <c r="M17" i="104"/>
  <c r="M18" i="104"/>
  <c r="M19" i="104"/>
  <c r="M20" i="104"/>
  <c r="M21" i="104"/>
  <c r="M22" i="104"/>
  <c r="M23" i="104"/>
  <c r="M24" i="104"/>
  <c r="M25" i="104"/>
  <c r="M26" i="104"/>
  <c r="M27" i="104"/>
  <c r="M28" i="104"/>
  <c r="M29" i="104"/>
  <c r="M30" i="104"/>
  <c r="M31" i="104"/>
  <c r="M32" i="104"/>
  <c r="M33" i="104"/>
  <c r="M34" i="104"/>
  <c r="M35" i="104"/>
  <c r="M36" i="104"/>
  <c r="M37" i="104"/>
  <c r="M38" i="104"/>
  <c r="M39" i="104"/>
  <c r="M40" i="104"/>
  <c r="M41" i="104"/>
  <c r="M42" i="104"/>
  <c r="M43" i="104"/>
  <c r="M44" i="104"/>
  <c r="M45" i="104"/>
  <c r="M46" i="104"/>
  <c r="M47" i="104"/>
  <c r="M48" i="104"/>
  <c r="M49" i="104"/>
  <c r="M50" i="104"/>
  <c r="M51" i="104"/>
  <c r="M52" i="104"/>
  <c r="M53" i="104"/>
  <c r="M54" i="104"/>
  <c r="M55" i="104"/>
  <c r="M56" i="104"/>
  <c r="M57" i="104"/>
  <c r="M58" i="104"/>
  <c r="M59" i="104"/>
  <c r="M60" i="104"/>
  <c r="M61" i="104"/>
  <c r="M62" i="104"/>
  <c r="M63" i="104"/>
  <c r="M64" i="104"/>
  <c r="M65" i="104"/>
  <c r="M66" i="104"/>
  <c r="M67" i="104"/>
  <c r="M68" i="104"/>
  <c r="M69" i="104"/>
  <c r="M70" i="104"/>
  <c r="M71" i="104"/>
  <c r="M72" i="104"/>
  <c r="M73" i="104"/>
  <c r="M74" i="104"/>
  <c r="M75" i="104"/>
  <c r="M76" i="104"/>
  <c r="M77" i="104"/>
  <c r="M78" i="104"/>
  <c r="M79" i="104"/>
  <c r="M80" i="104"/>
  <c r="M81" i="104"/>
  <c r="M82" i="104"/>
  <c r="M83" i="104"/>
  <c r="M84" i="104"/>
  <c r="M85" i="104"/>
  <c r="M86" i="104"/>
  <c r="M87" i="104"/>
  <c r="M88" i="104"/>
  <c r="M89" i="104"/>
  <c r="M90" i="104"/>
  <c r="M91" i="104"/>
  <c r="M92" i="104"/>
  <c r="M93" i="104"/>
  <c r="M94" i="104"/>
  <c r="M95" i="104"/>
  <c r="M96" i="104"/>
  <c r="M97" i="104"/>
  <c r="M98" i="104"/>
  <c r="M99" i="104"/>
  <c r="M100" i="104"/>
  <c r="M101" i="104"/>
  <c r="M102" i="104"/>
  <c r="M103" i="104"/>
  <c r="M104" i="104"/>
  <c r="M105" i="104"/>
  <c r="M106" i="104"/>
  <c r="M107" i="104"/>
  <c r="M108" i="104"/>
  <c r="M109" i="104"/>
  <c r="M110" i="104"/>
  <c r="M111" i="104"/>
  <c r="M112" i="104"/>
  <c r="M113" i="104"/>
  <c r="M114" i="104"/>
  <c r="M115" i="104"/>
  <c r="M116" i="104"/>
  <c r="M117" i="104"/>
  <c r="M118" i="104"/>
  <c r="M119" i="104"/>
  <c r="M120" i="104"/>
  <c r="M121" i="104"/>
  <c r="M122" i="104"/>
  <c r="M123" i="104"/>
  <c r="M124" i="104"/>
  <c r="M125" i="104"/>
  <c r="M126" i="104"/>
  <c r="M127" i="104"/>
  <c r="M128" i="104"/>
  <c r="M129" i="104"/>
  <c r="M130" i="104"/>
  <c r="M131" i="104"/>
  <c r="M132" i="104"/>
  <c r="M133" i="104"/>
  <c r="M134" i="104"/>
  <c r="M135" i="104"/>
  <c r="M136" i="104"/>
  <c r="M137" i="104"/>
  <c r="M138" i="104"/>
  <c r="M139" i="104"/>
  <c r="M140" i="104"/>
  <c r="M141" i="104"/>
  <c r="M142" i="104"/>
  <c r="M143" i="104"/>
  <c r="M144" i="104"/>
  <c r="M145" i="104"/>
  <c r="M146" i="104"/>
  <c r="M147" i="104"/>
  <c r="M148" i="104"/>
  <c r="M149" i="104"/>
  <c r="M150" i="104"/>
  <c r="M151" i="104"/>
  <c r="M152" i="104"/>
  <c r="M153" i="104"/>
  <c r="M154" i="104"/>
  <c r="M155" i="104"/>
  <c r="M156" i="104"/>
  <c r="M157" i="104"/>
  <c r="M158" i="104"/>
  <c r="M159" i="104"/>
  <c r="M160" i="104"/>
  <c r="M161" i="104"/>
  <c r="M162" i="104"/>
  <c r="M163" i="104"/>
  <c r="M164" i="104"/>
  <c r="M165" i="104"/>
  <c r="M166" i="104"/>
  <c r="M167" i="104"/>
  <c r="M168" i="104"/>
  <c r="M169" i="104"/>
  <c r="M170" i="104"/>
  <c r="M171" i="104"/>
  <c r="M172" i="104"/>
  <c r="M173" i="104"/>
  <c r="M174" i="104"/>
  <c r="M175" i="104"/>
  <c r="M176" i="104"/>
  <c r="M177" i="104"/>
  <c r="M178" i="104"/>
  <c r="M179" i="104"/>
  <c r="M180" i="104"/>
  <c r="M181" i="104"/>
  <c r="M182" i="104"/>
  <c r="M183" i="104"/>
  <c r="M184" i="104"/>
  <c r="M185" i="104"/>
  <c r="M186" i="104"/>
  <c r="M187" i="104"/>
  <c r="M188" i="104"/>
  <c r="M189" i="104"/>
  <c r="M190" i="104"/>
  <c r="M191" i="104"/>
  <c r="M192" i="104"/>
  <c r="M193" i="104"/>
  <c r="M194" i="104"/>
  <c r="M195" i="104"/>
  <c r="M196" i="104"/>
  <c r="M197" i="104"/>
  <c r="M198" i="104"/>
  <c r="M199" i="104"/>
  <c r="M200" i="104"/>
  <c r="M201" i="104"/>
  <c r="M202" i="104"/>
  <c r="M203" i="104"/>
  <c r="M204" i="104"/>
  <c r="M205" i="104"/>
  <c r="M206" i="104"/>
  <c r="M207" i="104"/>
  <c r="M208" i="104"/>
  <c r="M209" i="104"/>
  <c r="M210" i="104"/>
  <c r="M211" i="104"/>
  <c r="M212" i="104"/>
  <c r="M213" i="104"/>
  <c r="M214" i="104"/>
  <c r="M215" i="104"/>
  <c r="M216" i="104"/>
  <c r="M217" i="104"/>
  <c r="M218" i="104"/>
  <c r="M219" i="104"/>
  <c r="M220" i="104"/>
  <c r="M221" i="104"/>
  <c r="M222" i="104"/>
  <c r="M223" i="104"/>
  <c r="M224" i="104"/>
  <c r="M225" i="104"/>
  <c r="M226" i="104"/>
  <c r="M227" i="104"/>
  <c r="M228" i="104"/>
  <c r="M229" i="104"/>
  <c r="M230" i="104"/>
  <c r="M231" i="104"/>
  <c r="M232" i="104"/>
  <c r="M233" i="104"/>
  <c r="M234" i="104"/>
  <c r="M235" i="104"/>
  <c r="M236" i="104"/>
  <c r="M237" i="104"/>
  <c r="M238" i="104"/>
  <c r="M239" i="104"/>
  <c r="M240" i="104"/>
  <c r="M241" i="104"/>
  <c r="M242" i="104"/>
  <c r="M243" i="104"/>
  <c r="M244" i="104"/>
  <c r="M245" i="104"/>
  <c r="M246" i="104"/>
  <c r="M247" i="104"/>
  <c r="M248" i="104"/>
  <c r="M249" i="104"/>
  <c r="M250" i="104"/>
  <c r="M251" i="104"/>
  <c r="M252" i="104"/>
  <c r="M253" i="104"/>
  <c r="M254" i="104"/>
  <c r="M255" i="104"/>
  <c r="M256" i="104"/>
  <c r="M257" i="104"/>
  <c r="M258" i="104"/>
  <c r="M259" i="104"/>
  <c r="M260" i="104"/>
  <c r="M261" i="104"/>
  <c r="M262" i="104"/>
  <c r="M263" i="104"/>
  <c r="M264" i="104"/>
  <c r="M265" i="104"/>
  <c r="M266" i="104"/>
  <c r="M267" i="104"/>
  <c r="M268" i="104"/>
  <c r="M269" i="104"/>
  <c r="M270" i="104"/>
  <c r="M271" i="104"/>
  <c r="M272" i="104"/>
  <c r="M273" i="104"/>
  <c r="M274" i="104"/>
  <c r="M275" i="104"/>
  <c r="M276" i="104"/>
  <c r="M277" i="104"/>
  <c r="M278" i="104"/>
  <c r="M279" i="104"/>
  <c r="M280" i="104"/>
  <c r="M281" i="104"/>
  <c r="M282" i="104"/>
  <c r="M283" i="104"/>
  <c r="M284" i="104"/>
  <c r="M285" i="104"/>
  <c r="M286" i="104"/>
  <c r="M287" i="104"/>
  <c r="M288" i="104"/>
  <c r="M289" i="104"/>
  <c r="M290" i="104"/>
  <c r="M291" i="104"/>
  <c r="M292" i="104"/>
  <c r="M293" i="104"/>
  <c r="M294" i="104"/>
  <c r="M295" i="104"/>
  <c r="M296" i="104"/>
  <c r="M297" i="104"/>
  <c r="M298" i="104"/>
  <c r="M299" i="104"/>
  <c r="M300" i="104"/>
  <c r="M301" i="104"/>
  <c r="M302" i="104"/>
  <c r="M303" i="104"/>
  <c r="M304" i="104"/>
  <c r="M305" i="104"/>
  <c r="M306" i="104"/>
  <c r="M307" i="104"/>
  <c r="M308" i="104"/>
  <c r="M309" i="104"/>
  <c r="M310" i="104"/>
  <c r="M311" i="104"/>
  <c r="M312" i="104"/>
  <c r="M313" i="104"/>
  <c r="M314" i="104"/>
  <c r="M315" i="104"/>
  <c r="M316" i="104"/>
  <c r="M317" i="104"/>
  <c r="M318" i="104"/>
  <c r="M319" i="104"/>
  <c r="M320" i="104"/>
  <c r="M321" i="104"/>
  <c r="M322" i="104"/>
  <c r="M323" i="104"/>
  <c r="M324" i="104"/>
  <c r="M325" i="104"/>
  <c r="M326" i="104"/>
  <c r="M327" i="104"/>
  <c r="M328" i="104"/>
  <c r="M329" i="104"/>
  <c r="M330" i="104"/>
  <c r="M331" i="104"/>
  <c r="M332" i="104"/>
  <c r="M333" i="104"/>
  <c r="M334" i="104"/>
  <c r="M335" i="104"/>
  <c r="M336" i="104"/>
  <c r="M337" i="104"/>
  <c r="M338" i="104"/>
  <c r="M339" i="104"/>
  <c r="M340" i="104"/>
  <c r="M341" i="104"/>
  <c r="M342" i="104"/>
  <c r="M343" i="104"/>
  <c r="M344" i="104"/>
  <c r="M345" i="104"/>
  <c r="M346" i="104"/>
  <c r="M347" i="104"/>
  <c r="M348" i="104"/>
  <c r="M349" i="104"/>
  <c r="M350" i="104"/>
  <c r="M351" i="104"/>
  <c r="M352" i="104"/>
  <c r="M353" i="104"/>
  <c r="M354" i="104"/>
  <c r="M355" i="104"/>
  <c r="M356" i="104"/>
  <c r="M357" i="104"/>
  <c r="M358" i="104"/>
  <c r="M359" i="104"/>
  <c r="M360" i="104"/>
  <c r="M361" i="104"/>
  <c r="M362" i="104"/>
  <c r="M363" i="104"/>
  <c r="M364" i="104"/>
  <c r="M365" i="104"/>
  <c r="M366" i="104"/>
  <c r="M367" i="104"/>
  <c r="M368" i="104"/>
  <c r="M369" i="104"/>
  <c r="M370" i="104"/>
  <c r="M371" i="104"/>
  <c r="M372" i="104"/>
  <c r="M373" i="104"/>
  <c r="M374" i="104"/>
  <c r="M375" i="104"/>
  <c r="M376" i="104"/>
  <c r="M377" i="104"/>
  <c r="M378" i="104"/>
  <c r="M379" i="104"/>
  <c r="M380" i="104"/>
  <c r="M381" i="104"/>
  <c r="M382" i="104"/>
  <c r="M383" i="104"/>
  <c r="M384" i="104"/>
  <c r="M385" i="104"/>
  <c r="M386" i="104"/>
  <c r="M387" i="104"/>
  <c r="M388" i="104"/>
  <c r="M389" i="104"/>
  <c r="M390" i="104"/>
  <c r="M391" i="104"/>
  <c r="M392" i="104"/>
  <c r="M393" i="104"/>
  <c r="M394" i="104"/>
  <c r="M395" i="104"/>
  <c r="M396" i="104"/>
  <c r="M397" i="104"/>
  <c r="M398" i="104"/>
  <c r="M399" i="104"/>
  <c r="M400" i="104"/>
  <c r="M401" i="104"/>
  <c r="M402" i="104"/>
  <c r="M403" i="104"/>
  <c r="M404" i="104"/>
  <c r="M405" i="104"/>
  <c r="M406" i="104"/>
  <c r="M407" i="104"/>
  <c r="M408" i="104"/>
  <c r="M409" i="104"/>
  <c r="M410" i="104"/>
  <c r="M411" i="104"/>
  <c r="M412" i="104"/>
  <c r="M413" i="104"/>
  <c r="M414" i="104"/>
  <c r="M415" i="104"/>
  <c r="M416" i="104"/>
  <c r="M417" i="104"/>
  <c r="M418" i="104"/>
  <c r="M419" i="104"/>
  <c r="M420" i="104"/>
  <c r="M421" i="104"/>
  <c r="M422" i="104"/>
  <c r="M3" i="104"/>
  <c r="K3" i="104"/>
  <c r="K4" i="104"/>
  <c r="K5" i="104"/>
  <c r="K6" i="104"/>
  <c r="K7" i="104"/>
  <c r="K8" i="104"/>
  <c r="K9" i="104"/>
  <c r="K10" i="104"/>
  <c r="K11" i="104"/>
  <c r="K12" i="104"/>
  <c r="K13" i="104"/>
  <c r="K14" i="104"/>
  <c r="K15" i="104"/>
  <c r="K16" i="104"/>
  <c r="K17" i="104"/>
  <c r="K18" i="104"/>
  <c r="K19" i="104"/>
  <c r="K20" i="104"/>
  <c r="K21" i="104"/>
  <c r="K22" i="104"/>
  <c r="K23" i="104"/>
  <c r="K24" i="104"/>
  <c r="K25" i="104"/>
  <c r="K26" i="104"/>
  <c r="K27" i="104"/>
  <c r="K28" i="104"/>
  <c r="K29" i="104"/>
  <c r="K30" i="104"/>
  <c r="K31" i="104"/>
  <c r="K32" i="104"/>
  <c r="K33" i="104"/>
  <c r="K34" i="104"/>
  <c r="K35" i="104"/>
  <c r="K36" i="104"/>
  <c r="K37" i="104"/>
  <c r="K38" i="104"/>
  <c r="K39" i="104"/>
  <c r="K40" i="104"/>
  <c r="K41" i="104"/>
  <c r="K42" i="104"/>
  <c r="K43" i="104"/>
  <c r="K44" i="104"/>
  <c r="K45" i="104"/>
  <c r="K46" i="104"/>
  <c r="K47" i="104"/>
  <c r="K48" i="104"/>
  <c r="K49" i="104"/>
  <c r="K50" i="104"/>
  <c r="K51" i="104"/>
  <c r="K52" i="104"/>
  <c r="K53" i="104"/>
  <c r="K54" i="104"/>
  <c r="K55" i="104"/>
  <c r="K56" i="104"/>
  <c r="K57" i="104"/>
  <c r="K58" i="104"/>
  <c r="K59" i="104"/>
  <c r="K60" i="104"/>
  <c r="K61" i="104"/>
  <c r="K62" i="104"/>
  <c r="K63" i="104"/>
  <c r="K64" i="104"/>
  <c r="K65" i="104"/>
  <c r="K66" i="104"/>
  <c r="K67" i="104"/>
  <c r="K68" i="104"/>
  <c r="K69" i="104"/>
  <c r="K70" i="104"/>
  <c r="K71" i="104"/>
  <c r="K72" i="104"/>
  <c r="K73" i="104"/>
  <c r="K74" i="104"/>
  <c r="K75" i="104"/>
  <c r="K76" i="104"/>
  <c r="K77" i="104"/>
  <c r="K78" i="104"/>
  <c r="K79" i="104"/>
  <c r="K80" i="104"/>
  <c r="K81" i="104"/>
  <c r="K82" i="104"/>
  <c r="K83" i="104"/>
  <c r="K84" i="104"/>
  <c r="K85" i="104"/>
  <c r="K86" i="104"/>
  <c r="K87" i="104"/>
  <c r="K88" i="104"/>
  <c r="K89" i="104"/>
  <c r="K90" i="104"/>
  <c r="K91" i="104"/>
  <c r="K92" i="104"/>
  <c r="K93" i="104"/>
  <c r="K94" i="104"/>
  <c r="K95" i="104"/>
  <c r="K96" i="104"/>
  <c r="K97" i="104"/>
  <c r="K98" i="104"/>
  <c r="K99" i="104"/>
  <c r="K100" i="104"/>
  <c r="K101" i="104"/>
  <c r="K102" i="104"/>
  <c r="K103" i="104"/>
  <c r="K104" i="104"/>
  <c r="K105" i="104"/>
  <c r="K106" i="104"/>
  <c r="K107" i="104"/>
  <c r="K108" i="104"/>
  <c r="K109" i="104"/>
  <c r="K110" i="104"/>
  <c r="K111" i="104"/>
  <c r="K112" i="104"/>
  <c r="K113" i="104"/>
  <c r="K114" i="104"/>
  <c r="K115" i="104"/>
  <c r="K116" i="104"/>
  <c r="K117" i="104"/>
  <c r="K118" i="104"/>
  <c r="K119" i="104"/>
  <c r="K120" i="104"/>
  <c r="K121" i="104"/>
  <c r="K122" i="104"/>
  <c r="K123" i="104"/>
  <c r="K124" i="104"/>
  <c r="K125" i="104"/>
  <c r="K126" i="104"/>
  <c r="K127" i="104"/>
  <c r="K128" i="104"/>
  <c r="K129" i="104"/>
  <c r="K130" i="104"/>
  <c r="K131" i="104"/>
  <c r="K132" i="104"/>
  <c r="K133" i="104"/>
  <c r="K134" i="104"/>
  <c r="K135" i="104"/>
  <c r="K136" i="104"/>
  <c r="K137" i="104"/>
  <c r="K138" i="104"/>
  <c r="K139" i="104"/>
  <c r="K140" i="104"/>
  <c r="K141" i="104"/>
  <c r="K142" i="104"/>
  <c r="K143" i="104"/>
  <c r="K144" i="104"/>
  <c r="K145" i="104"/>
  <c r="K146" i="104"/>
  <c r="K147" i="104"/>
  <c r="K148" i="104"/>
  <c r="K149" i="104"/>
  <c r="K150" i="104"/>
  <c r="K151" i="104"/>
  <c r="K152" i="104"/>
  <c r="K153" i="104"/>
  <c r="K154" i="104"/>
  <c r="K155" i="104"/>
  <c r="K156" i="104"/>
  <c r="K157" i="104"/>
  <c r="K158" i="104"/>
  <c r="K159" i="104"/>
  <c r="K160" i="104"/>
  <c r="K161" i="104"/>
  <c r="K162" i="104"/>
  <c r="K163" i="104"/>
  <c r="K164" i="104"/>
  <c r="K165" i="104"/>
  <c r="K166" i="104"/>
  <c r="K167" i="104"/>
  <c r="K168" i="104"/>
  <c r="K169" i="104"/>
  <c r="K170" i="104"/>
  <c r="K171" i="104"/>
  <c r="K172" i="104"/>
  <c r="K173" i="104"/>
  <c r="K174" i="104"/>
  <c r="K175" i="104"/>
  <c r="K176" i="104"/>
  <c r="K177" i="104"/>
  <c r="K178" i="104"/>
  <c r="K179" i="104"/>
  <c r="K180" i="104"/>
  <c r="K181" i="104"/>
  <c r="K182" i="104"/>
  <c r="K183" i="104"/>
  <c r="K184" i="104"/>
  <c r="K185" i="104"/>
  <c r="K186" i="104"/>
  <c r="K187" i="104"/>
  <c r="K188" i="104"/>
  <c r="K189" i="104"/>
  <c r="K190" i="104"/>
  <c r="K191" i="104"/>
  <c r="K192" i="104"/>
  <c r="K193" i="104"/>
  <c r="K194" i="104"/>
  <c r="K195" i="104"/>
  <c r="K196" i="104"/>
  <c r="K197" i="104"/>
  <c r="K198" i="104"/>
  <c r="K199" i="104"/>
  <c r="K200" i="104"/>
  <c r="K201" i="104"/>
  <c r="K202" i="104"/>
  <c r="K203" i="104"/>
  <c r="K204" i="104"/>
  <c r="K205" i="104"/>
  <c r="K206" i="104"/>
  <c r="K207" i="104"/>
  <c r="K208" i="104"/>
  <c r="K209" i="104"/>
  <c r="K210" i="104"/>
  <c r="K211" i="104"/>
  <c r="K212" i="104"/>
  <c r="K213" i="104"/>
  <c r="K214" i="104"/>
  <c r="K215" i="104"/>
  <c r="K216" i="104"/>
  <c r="K217" i="104"/>
  <c r="K218" i="104"/>
  <c r="K219" i="104"/>
  <c r="K220" i="104"/>
  <c r="K221" i="104"/>
  <c r="K222" i="104"/>
  <c r="K223" i="104"/>
  <c r="K224" i="104"/>
  <c r="K225" i="104"/>
  <c r="K226" i="104"/>
  <c r="K227" i="104"/>
  <c r="K228" i="104"/>
  <c r="K229" i="104"/>
  <c r="K230" i="104"/>
  <c r="K231" i="104"/>
  <c r="K232" i="104"/>
  <c r="K233" i="104"/>
  <c r="K234" i="104"/>
  <c r="K235" i="104"/>
  <c r="K236" i="104"/>
  <c r="K237" i="104"/>
  <c r="K238" i="104"/>
  <c r="K239" i="104"/>
  <c r="K240" i="104"/>
  <c r="K241" i="104"/>
  <c r="K242" i="104"/>
  <c r="K243" i="104"/>
  <c r="K244" i="104"/>
  <c r="K245" i="104"/>
  <c r="K246" i="104"/>
  <c r="K247" i="104"/>
  <c r="K248" i="104"/>
  <c r="K249" i="104"/>
  <c r="K250" i="104"/>
  <c r="K251" i="104"/>
  <c r="K252" i="104"/>
  <c r="K253" i="104"/>
  <c r="K254" i="104"/>
  <c r="K255" i="104"/>
  <c r="K256" i="104"/>
  <c r="K257" i="104"/>
  <c r="K258" i="104"/>
  <c r="K259" i="104"/>
  <c r="K260" i="104"/>
  <c r="K261" i="104"/>
  <c r="K262" i="104"/>
  <c r="K263" i="104"/>
  <c r="K264" i="104"/>
  <c r="K265" i="104"/>
  <c r="K266" i="104"/>
  <c r="K267" i="104"/>
  <c r="K268" i="104"/>
  <c r="K269" i="104"/>
  <c r="K270" i="104"/>
  <c r="K271" i="104"/>
  <c r="K272" i="104"/>
  <c r="K273" i="104"/>
  <c r="K274" i="104"/>
  <c r="K275" i="104"/>
  <c r="K276" i="104"/>
  <c r="K277" i="104"/>
  <c r="K278" i="104"/>
  <c r="K279" i="104"/>
  <c r="K280" i="104"/>
  <c r="K281" i="104"/>
  <c r="K282" i="104"/>
  <c r="K283" i="104"/>
  <c r="K284" i="104"/>
  <c r="K285" i="104"/>
  <c r="K286" i="104"/>
  <c r="K287" i="104"/>
  <c r="K288" i="104"/>
  <c r="K289" i="104"/>
  <c r="K290" i="104"/>
  <c r="K291" i="104"/>
  <c r="K292" i="104"/>
  <c r="K293" i="104"/>
  <c r="K294" i="104"/>
  <c r="K295" i="104"/>
  <c r="K296" i="104"/>
  <c r="K297" i="104"/>
  <c r="K298" i="104"/>
  <c r="K299" i="104"/>
  <c r="K300" i="104"/>
  <c r="K301" i="104"/>
  <c r="K302" i="104"/>
  <c r="K303" i="104"/>
  <c r="K304" i="104"/>
  <c r="K305" i="104"/>
  <c r="K306" i="104"/>
  <c r="K307" i="104"/>
  <c r="K308" i="104"/>
  <c r="K309" i="104"/>
  <c r="K310" i="104"/>
  <c r="K311" i="104"/>
  <c r="K312" i="104"/>
  <c r="K313" i="104"/>
  <c r="K314" i="104"/>
  <c r="K315" i="104"/>
  <c r="K316" i="104"/>
  <c r="K317" i="104"/>
  <c r="K318" i="104"/>
  <c r="K319" i="104"/>
  <c r="K320" i="104"/>
  <c r="K321" i="104"/>
  <c r="K322" i="104"/>
  <c r="K323" i="104"/>
  <c r="K324" i="104"/>
  <c r="K325" i="104"/>
  <c r="K326" i="104"/>
  <c r="K327" i="104"/>
  <c r="K328" i="104"/>
  <c r="K329" i="104"/>
  <c r="K330" i="104"/>
  <c r="K331" i="104"/>
  <c r="K332" i="104"/>
  <c r="K333" i="104"/>
  <c r="K334" i="104"/>
  <c r="K335" i="104"/>
  <c r="K336" i="104"/>
  <c r="K337" i="104"/>
  <c r="K338" i="104"/>
  <c r="K339" i="104"/>
  <c r="K340" i="104"/>
  <c r="K341" i="104"/>
  <c r="K342" i="104"/>
  <c r="K343" i="104"/>
  <c r="K344" i="104"/>
  <c r="K345" i="104"/>
  <c r="K346" i="104"/>
  <c r="K347" i="104"/>
  <c r="K348" i="104"/>
  <c r="K349" i="104"/>
  <c r="K350" i="104"/>
  <c r="K351" i="104"/>
  <c r="K352" i="104"/>
  <c r="K353" i="104"/>
  <c r="K354" i="104"/>
  <c r="K355" i="104"/>
  <c r="K356" i="104"/>
  <c r="K357" i="104"/>
  <c r="K358" i="104"/>
  <c r="K359" i="104"/>
  <c r="K360" i="104"/>
  <c r="K361" i="104"/>
  <c r="K362" i="104"/>
  <c r="K363" i="104"/>
  <c r="K364" i="104"/>
  <c r="K365" i="104"/>
  <c r="K366" i="104"/>
  <c r="K367" i="104"/>
  <c r="K368" i="104"/>
  <c r="K369" i="104"/>
  <c r="K370" i="104"/>
  <c r="K371" i="104"/>
  <c r="K372" i="104"/>
  <c r="K373" i="104"/>
  <c r="K374" i="104"/>
  <c r="K375" i="104"/>
  <c r="K376" i="104"/>
  <c r="K377" i="104"/>
  <c r="K378" i="104"/>
  <c r="K379" i="104"/>
  <c r="K380" i="104"/>
  <c r="K381" i="104"/>
  <c r="K382" i="104"/>
  <c r="K383" i="104"/>
  <c r="K384" i="104"/>
  <c r="K385" i="104"/>
  <c r="K386" i="104"/>
  <c r="K387" i="104"/>
  <c r="K388" i="104"/>
  <c r="K389" i="104"/>
  <c r="K390" i="104"/>
  <c r="K391" i="104"/>
  <c r="K392" i="104"/>
  <c r="K393" i="104"/>
  <c r="K394" i="104"/>
  <c r="K395" i="104"/>
  <c r="K396" i="104"/>
  <c r="K397" i="104"/>
  <c r="K398" i="104"/>
  <c r="K399" i="104"/>
  <c r="K400" i="104"/>
  <c r="K401" i="104"/>
  <c r="K402" i="104"/>
  <c r="K403" i="104"/>
  <c r="K404" i="104"/>
  <c r="K405" i="104"/>
  <c r="K406" i="104"/>
  <c r="K407" i="104"/>
  <c r="K408" i="104"/>
  <c r="K409" i="104"/>
  <c r="K410" i="104"/>
  <c r="K411" i="104"/>
  <c r="K412" i="104"/>
  <c r="K413" i="104"/>
  <c r="K414" i="104"/>
  <c r="K415" i="104"/>
  <c r="K416" i="104"/>
  <c r="K417" i="104"/>
  <c r="K418" i="104"/>
  <c r="K419" i="104"/>
  <c r="K420" i="104"/>
  <c r="K421" i="104"/>
  <c r="K422" i="104"/>
  <c r="K2" i="104"/>
  <c r="M4" i="103"/>
  <c r="M5" i="103"/>
  <c r="M6" i="103"/>
  <c r="M7" i="103"/>
  <c r="M8" i="103"/>
  <c r="M9" i="103"/>
  <c r="M10" i="103"/>
  <c r="M11" i="103"/>
  <c r="M12" i="103"/>
  <c r="M13" i="103"/>
  <c r="M14" i="103"/>
  <c r="M15" i="103"/>
  <c r="M16" i="103"/>
  <c r="M17" i="103"/>
  <c r="M18" i="103"/>
  <c r="M19" i="103"/>
  <c r="M20" i="103"/>
  <c r="M21" i="103"/>
  <c r="M22" i="103"/>
  <c r="M23" i="103"/>
  <c r="M24" i="103"/>
  <c r="M25" i="103"/>
  <c r="M26" i="103"/>
  <c r="M27" i="103"/>
  <c r="M28" i="103"/>
  <c r="M29" i="103"/>
  <c r="M30" i="103"/>
  <c r="M31" i="103"/>
  <c r="M32" i="103"/>
  <c r="M33" i="103"/>
  <c r="M34" i="103"/>
  <c r="M35" i="103"/>
  <c r="M36" i="103"/>
  <c r="M37" i="103"/>
  <c r="M38" i="103"/>
  <c r="M39" i="103"/>
  <c r="M40" i="103"/>
  <c r="M41" i="103"/>
  <c r="M42" i="103"/>
  <c r="M43" i="103"/>
  <c r="M44" i="103"/>
  <c r="M45" i="103"/>
  <c r="M46" i="103"/>
  <c r="M47" i="103"/>
  <c r="M48" i="103"/>
  <c r="M49" i="103"/>
  <c r="M50" i="103"/>
  <c r="M51" i="103"/>
  <c r="M52" i="103"/>
  <c r="M53" i="103"/>
  <c r="M54" i="103"/>
  <c r="M55" i="103"/>
  <c r="M56" i="103"/>
  <c r="M57" i="103"/>
  <c r="M58" i="103"/>
  <c r="M59" i="103"/>
  <c r="M60" i="103"/>
  <c r="M61" i="103"/>
  <c r="M62" i="103"/>
  <c r="M63" i="103"/>
  <c r="M64" i="103"/>
  <c r="M65" i="103"/>
  <c r="M66" i="103"/>
  <c r="M67" i="103"/>
  <c r="M68" i="103"/>
  <c r="M69" i="103"/>
  <c r="M70" i="103"/>
  <c r="M71" i="103"/>
  <c r="M72" i="103"/>
  <c r="M73" i="103"/>
  <c r="M74" i="103"/>
  <c r="M75" i="103"/>
  <c r="M76" i="103"/>
  <c r="M77" i="103"/>
  <c r="M78" i="103"/>
  <c r="M79" i="103"/>
  <c r="M80" i="103"/>
  <c r="M81" i="103"/>
  <c r="M82" i="103"/>
  <c r="M83" i="103"/>
  <c r="M84" i="103"/>
  <c r="M85" i="103"/>
  <c r="M86" i="103"/>
  <c r="M87" i="103"/>
  <c r="M88" i="103"/>
  <c r="M89" i="103"/>
  <c r="M90" i="103"/>
  <c r="M91" i="103"/>
  <c r="M92" i="103"/>
  <c r="M93" i="103"/>
  <c r="M94" i="103"/>
  <c r="M95" i="103"/>
  <c r="M96" i="103"/>
  <c r="M97" i="103"/>
  <c r="M98" i="103"/>
  <c r="M99" i="103"/>
  <c r="M100" i="103"/>
  <c r="M101" i="103"/>
  <c r="M102" i="103"/>
  <c r="M103" i="103"/>
  <c r="M104" i="103"/>
  <c r="M105" i="103"/>
  <c r="M106" i="103"/>
  <c r="M107" i="103"/>
  <c r="M108" i="103"/>
  <c r="M109" i="103"/>
  <c r="M110" i="103"/>
  <c r="M111" i="103"/>
  <c r="M112" i="103"/>
  <c r="M113" i="103"/>
  <c r="M114" i="103"/>
  <c r="M115" i="103"/>
  <c r="M116" i="103"/>
  <c r="M117" i="103"/>
  <c r="M118" i="103"/>
  <c r="M119" i="103"/>
  <c r="M120" i="103"/>
  <c r="M121" i="103"/>
  <c r="M122" i="103"/>
  <c r="M123" i="103"/>
  <c r="M124" i="103"/>
  <c r="M125" i="103"/>
  <c r="M126" i="103"/>
  <c r="M127" i="103"/>
  <c r="M128" i="103"/>
  <c r="M129" i="103"/>
  <c r="M130" i="103"/>
  <c r="M131" i="103"/>
  <c r="M132" i="103"/>
  <c r="M133" i="103"/>
  <c r="M134" i="103"/>
  <c r="M135" i="103"/>
  <c r="M136" i="103"/>
  <c r="M137" i="103"/>
  <c r="M138" i="103"/>
  <c r="M139" i="103"/>
  <c r="M140" i="103"/>
  <c r="M141" i="103"/>
  <c r="M142" i="103"/>
  <c r="M143" i="103"/>
  <c r="M144" i="103"/>
  <c r="M145" i="103"/>
  <c r="M146" i="103"/>
  <c r="M147" i="103"/>
  <c r="M148" i="103"/>
  <c r="M149" i="103"/>
  <c r="M150" i="103"/>
  <c r="M151" i="103"/>
  <c r="M152" i="103"/>
  <c r="M153" i="103"/>
  <c r="M154" i="103"/>
  <c r="M155" i="103"/>
  <c r="M156" i="103"/>
  <c r="M157" i="103"/>
  <c r="M158" i="103"/>
  <c r="M159" i="103"/>
  <c r="M160" i="103"/>
  <c r="M161" i="103"/>
  <c r="M162" i="103"/>
  <c r="M163" i="103"/>
  <c r="M164" i="103"/>
  <c r="M165" i="103"/>
  <c r="M166" i="103"/>
  <c r="M167" i="103"/>
  <c r="M168" i="103"/>
  <c r="M169" i="103"/>
  <c r="M170" i="103"/>
  <c r="M171" i="103"/>
  <c r="M172" i="103"/>
  <c r="M173" i="103"/>
  <c r="M174" i="103"/>
  <c r="M175" i="103"/>
  <c r="M176" i="103"/>
  <c r="M177" i="103"/>
  <c r="M178" i="103"/>
  <c r="M179" i="103"/>
  <c r="M180" i="103"/>
  <c r="M181" i="103"/>
  <c r="M182" i="103"/>
  <c r="M183" i="103"/>
  <c r="M184" i="103"/>
  <c r="M185" i="103"/>
  <c r="M186" i="103"/>
  <c r="M187" i="103"/>
  <c r="M188" i="103"/>
  <c r="M189" i="103"/>
  <c r="M190" i="103"/>
  <c r="M191" i="103"/>
  <c r="M192" i="103"/>
  <c r="M193" i="103"/>
  <c r="M194" i="103"/>
  <c r="M195" i="103"/>
  <c r="M196" i="103"/>
  <c r="M197" i="103"/>
  <c r="M198" i="103"/>
  <c r="M199" i="103"/>
  <c r="M200" i="103"/>
  <c r="M201" i="103"/>
  <c r="M202" i="103"/>
  <c r="M203" i="103"/>
  <c r="M204" i="103"/>
  <c r="M205" i="103"/>
  <c r="M206" i="103"/>
  <c r="M207" i="103"/>
  <c r="M208" i="103"/>
  <c r="M209" i="103"/>
  <c r="M210" i="103"/>
  <c r="M211" i="103"/>
  <c r="M212" i="103"/>
  <c r="M213" i="103"/>
  <c r="M214" i="103"/>
  <c r="M215" i="103"/>
  <c r="M216" i="103"/>
  <c r="M217" i="103"/>
  <c r="M218" i="103"/>
  <c r="M219" i="103"/>
  <c r="M220" i="103"/>
  <c r="M221" i="103"/>
  <c r="M222" i="103"/>
  <c r="M223" i="103"/>
  <c r="M224" i="103"/>
  <c r="M225" i="103"/>
  <c r="M226" i="103"/>
  <c r="M227" i="103"/>
  <c r="M228" i="103"/>
  <c r="M229" i="103"/>
  <c r="M230" i="103"/>
  <c r="M231" i="103"/>
  <c r="M232" i="103"/>
  <c r="M233" i="103"/>
  <c r="M234" i="103"/>
  <c r="M235" i="103"/>
  <c r="M236" i="103"/>
  <c r="M237" i="103"/>
  <c r="M238" i="103"/>
  <c r="M239" i="103"/>
  <c r="M240" i="103"/>
  <c r="M241" i="103"/>
  <c r="M242" i="103"/>
  <c r="M243" i="103"/>
  <c r="M244" i="103"/>
  <c r="M245" i="103"/>
  <c r="M246" i="103"/>
  <c r="M247" i="103"/>
  <c r="M248" i="103"/>
  <c r="M249" i="103"/>
  <c r="M250" i="103"/>
  <c r="M251" i="103"/>
  <c r="M252" i="103"/>
  <c r="M253" i="103"/>
  <c r="M254" i="103"/>
  <c r="M255" i="103"/>
  <c r="M256" i="103"/>
  <c r="M257" i="103"/>
  <c r="M258" i="103"/>
  <c r="M259" i="103"/>
  <c r="M260" i="103"/>
  <c r="M261" i="103"/>
  <c r="M262" i="103"/>
  <c r="M263" i="103"/>
  <c r="M264" i="103"/>
  <c r="M265" i="103"/>
  <c r="M266" i="103"/>
  <c r="M267" i="103"/>
  <c r="M268" i="103"/>
  <c r="M269" i="103"/>
  <c r="M270" i="103"/>
  <c r="M271" i="103"/>
  <c r="M272" i="103"/>
  <c r="M273" i="103"/>
  <c r="M274" i="103"/>
  <c r="M275" i="103"/>
  <c r="M276" i="103"/>
  <c r="M277" i="103"/>
  <c r="M278" i="103"/>
  <c r="M279" i="103"/>
  <c r="M280" i="103"/>
  <c r="M281" i="103"/>
  <c r="M282" i="103"/>
  <c r="M283" i="103"/>
  <c r="M284" i="103"/>
  <c r="M285" i="103"/>
  <c r="M286" i="103"/>
  <c r="M287" i="103"/>
  <c r="M288" i="103"/>
  <c r="M289" i="103"/>
  <c r="M290" i="103"/>
  <c r="M291" i="103"/>
  <c r="M292" i="103"/>
  <c r="M293" i="103"/>
  <c r="M294" i="103"/>
  <c r="M295" i="103"/>
  <c r="M296" i="103"/>
  <c r="M297" i="103"/>
  <c r="M298" i="103"/>
  <c r="M299" i="103"/>
  <c r="M300" i="103"/>
  <c r="M301" i="103"/>
  <c r="M302" i="103"/>
  <c r="M303" i="103"/>
  <c r="M304" i="103"/>
  <c r="M305" i="103"/>
  <c r="M306" i="103"/>
  <c r="M307" i="103"/>
  <c r="M308" i="103"/>
  <c r="M309" i="103"/>
  <c r="M310" i="103"/>
  <c r="M311" i="103"/>
  <c r="M312" i="103"/>
  <c r="M313" i="103"/>
  <c r="M314" i="103"/>
  <c r="M315" i="103"/>
  <c r="M316" i="103"/>
  <c r="M317" i="103"/>
  <c r="M318" i="103"/>
  <c r="M319" i="103"/>
  <c r="M320" i="103"/>
  <c r="M321" i="103"/>
  <c r="M322" i="103"/>
  <c r="M323" i="103"/>
  <c r="M324" i="103"/>
  <c r="M325" i="103"/>
  <c r="M326" i="103"/>
  <c r="M327" i="103"/>
  <c r="M328" i="103"/>
  <c r="M329" i="103"/>
  <c r="M330" i="103"/>
  <c r="M331" i="103"/>
  <c r="M332" i="103"/>
  <c r="M333" i="103"/>
  <c r="M334" i="103"/>
  <c r="M335" i="103"/>
  <c r="M336" i="103"/>
  <c r="M337" i="103"/>
  <c r="M338" i="103"/>
  <c r="M339" i="103"/>
  <c r="M340" i="103"/>
  <c r="M341" i="103"/>
  <c r="M342" i="103"/>
  <c r="M343" i="103"/>
  <c r="M344" i="103"/>
  <c r="M345" i="103"/>
  <c r="M346" i="103"/>
  <c r="M347" i="103"/>
  <c r="M348" i="103"/>
  <c r="M349" i="103"/>
  <c r="M350" i="103"/>
  <c r="M351" i="103"/>
  <c r="M352" i="103"/>
  <c r="M353" i="103"/>
  <c r="M354" i="103"/>
  <c r="M355" i="103"/>
  <c r="M356" i="103"/>
  <c r="M357" i="103"/>
  <c r="M358" i="103"/>
  <c r="M359" i="103"/>
  <c r="M360" i="103"/>
  <c r="M361" i="103"/>
  <c r="M362" i="103"/>
  <c r="M363" i="103"/>
  <c r="M364" i="103"/>
  <c r="M365" i="103"/>
  <c r="M366" i="103"/>
  <c r="M367" i="103"/>
  <c r="M368" i="103"/>
  <c r="M369" i="103"/>
  <c r="M370" i="103"/>
  <c r="M371" i="103"/>
  <c r="M372" i="103"/>
  <c r="M373" i="103"/>
  <c r="M374" i="103"/>
  <c r="M375" i="103"/>
  <c r="M376" i="103"/>
  <c r="M377" i="103"/>
  <c r="M378" i="103"/>
  <c r="M379" i="103"/>
  <c r="M380" i="103"/>
  <c r="M381" i="103"/>
  <c r="M382" i="103"/>
  <c r="M383" i="103"/>
  <c r="M384" i="103"/>
  <c r="M385" i="103"/>
  <c r="M386" i="103"/>
  <c r="M387" i="103"/>
  <c r="M388" i="103"/>
  <c r="M389" i="103"/>
  <c r="M390" i="103"/>
  <c r="M391" i="103"/>
  <c r="M392" i="103"/>
  <c r="M393" i="103"/>
  <c r="M394" i="103"/>
  <c r="M395" i="103"/>
  <c r="M396" i="103"/>
  <c r="M397" i="103"/>
  <c r="M398" i="103"/>
  <c r="M399" i="103"/>
  <c r="M400" i="103"/>
  <c r="M401" i="103"/>
  <c r="M402" i="103"/>
  <c r="M403" i="103"/>
  <c r="M404" i="103"/>
  <c r="M405" i="103"/>
  <c r="M406" i="103"/>
  <c r="M407" i="103"/>
  <c r="M408" i="103"/>
  <c r="M409" i="103"/>
  <c r="M410" i="103"/>
  <c r="M411" i="103"/>
  <c r="M412" i="103"/>
  <c r="M413" i="103"/>
  <c r="M414" i="103"/>
  <c r="M415" i="103"/>
  <c r="M416" i="103"/>
  <c r="M417" i="103"/>
  <c r="M418" i="103"/>
  <c r="M419" i="103"/>
  <c r="M420" i="103"/>
  <c r="M421" i="103"/>
  <c r="M422" i="103"/>
  <c r="M3" i="103"/>
  <c r="K3" i="103"/>
  <c r="K4" i="103"/>
  <c r="K5" i="103"/>
  <c r="K6" i="103"/>
  <c r="K7" i="103"/>
  <c r="K8" i="103"/>
  <c r="K9" i="103"/>
  <c r="K10" i="103"/>
  <c r="K11" i="103"/>
  <c r="K12" i="103"/>
  <c r="K13" i="103"/>
  <c r="K14" i="103"/>
  <c r="K15" i="103"/>
  <c r="K16" i="103"/>
  <c r="K17" i="103"/>
  <c r="K18" i="103"/>
  <c r="K19" i="103"/>
  <c r="K20" i="103"/>
  <c r="K21" i="103"/>
  <c r="K22" i="103"/>
  <c r="K23" i="103"/>
  <c r="K24" i="103"/>
  <c r="K25" i="103"/>
  <c r="K26" i="103"/>
  <c r="K27" i="103"/>
  <c r="K28" i="103"/>
  <c r="K29" i="103"/>
  <c r="K30" i="103"/>
  <c r="K31" i="103"/>
  <c r="K32" i="103"/>
  <c r="K33" i="103"/>
  <c r="K34" i="103"/>
  <c r="K35" i="103"/>
  <c r="K36" i="103"/>
  <c r="K37" i="103"/>
  <c r="K38" i="103"/>
  <c r="K39" i="103"/>
  <c r="K40" i="103"/>
  <c r="K41" i="103"/>
  <c r="K42" i="103"/>
  <c r="K43" i="103"/>
  <c r="K44" i="103"/>
  <c r="K45" i="103"/>
  <c r="K46" i="103"/>
  <c r="K47" i="103"/>
  <c r="K48" i="103"/>
  <c r="K49" i="103"/>
  <c r="K50" i="103"/>
  <c r="K51" i="103"/>
  <c r="K52" i="103"/>
  <c r="K53" i="103"/>
  <c r="K54" i="103"/>
  <c r="K55" i="103"/>
  <c r="K56" i="103"/>
  <c r="K57" i="103"/>
  <c r="K58" i="103"/>
  <c r="K59" i="103"/>
  <c r="K60" i="103"/>
  <c r="K61" i="103"/>
  <c r="K62" i="103"/>
  <c r="K63" i="103"/>
  <c r="K64" i="103"/>
  <c r="K65" i="103"/>
  <c r="K66" i="103"/>
  <c r="K67" i="103"/>
  <c r="K68" i="103"/>
  <c r="K69" i="103"/>
  <c r="K70" i="103"/>
  <c r="K71" i="103"/>
  <c r="K72" i="103"/>
  <c r="K73" i="103"/>
  <c r="K74" i="103"/>
  <c r="K75" i="103"/>
  <c r="K76" i="103"/>
  <c r="K77" i="103"/>
  <c r="K78" i="103"/>
  <c r="K79" i="103"/>
  <c r="K80" i="103"/>
  <c r="K81" i="103"/>
  <c r="K82" i="103"/>
  <c r="K83" i="103"/>
  <c r="K84" i="103"/>
  <c r="K85" i="103"/>
  <c r="K86" i="103"/>
  <c r="K87" i="103"/>
  <c r="K88" i="103"/>
  <c r="K89" i="103"/>
  <c r="K90" i="103"/>
  <c r="K91" i="103"/>
  <c r="K92" i="103"/>
  <c r="K93" i="103"/>
  <c r="K94" i="103"/>
  <c r="K95" i="103"/>
  <c r="K96" i="103"/>
  <c r="K97" i="103"/>
  <c r="K98" i="103"/>
  <c r="K99" i="103"/>
  <c r="K100" i="103"/>
  <c r="K101" i="103"/>
  <c r="K102" i="103"/>
  <c r="K103" i="103"/>
  <c r="K104" i="103"/>
  <c r="K105" i="103"/>
  <c r="K106" i="103"/>
  <c r="K107" i="103"/>
  <c r="K108" i="103"/>
  <c r="K109" i="103"/>
  <c r="K110" i="103"/>
  <c r="K111" i="103"/>
  <c r="K112" i="103"/>
  <c r="K113" i="103"/>
  <c r="K114" i="103"/>
  <c r="K115" i="103"/>
  <c r="K116" i="103"/>
  <c r="K117" i="103"/>
  <c r="K118" i="103"/>
  <c r="K119" i="103"/>
  <c r="K120" i="103"/>
  <c r="K121" i="103"/>
  <c r="K122" i="103"/>
  <c r="K123" i="103"/>
  <c r="K124" i="103"/>
  <c r="K125" i="103"/>
  <c r="K126" i="103"/>
  <c r="K127" i="103"/>
  <c r="K128" i="103"/>
  <c r="K129" i="103"/>
  <c r="K130" i="103"/>
  <c r="K131" i="103"/>
  <c r="K132" i="103"/>
  <c r="K133" i="103"/>
  <c r="K134" i="103"/>
  <c r="K135" i="103"/>
  <c r="K136" i="103"/>
  <c r="K137" i="103"/>
  <c r="K138" i="103"/>
  <c r="K139" i="103"/>
  <c r="K140" i="103"/>
  <c r="K141" i="103"/>
  <c r="K142" i="103"/>
  <c r="K143" i="103"/>
  <c r="K144" i="103"/>
  <c r="K145" i="103"/>
  <c r="K146" i="103"/>
  <c r="K147" i="103"/>
  <c r="K148" i="103"/>
  <c r="K149" i="103"/>
  <c r="K150" i="103"/>
  <c r="K151" i="103"/>
  <c r="K152" i="103"/>
  <c r="K153" i="103"/>
  <c r="K154" i="103"/>
  <c r="K155" i="103"/>
  <c r="K156" i="103"/>
  <c r="K157" i="103"/>
  <c r="K158" i="103"/>
  <c r="K159" i="103"/>
  <c r="K160" i="103"/>
  <c r="K161" i="103"/>
  <c r="K162" i="103"/>
  <c r="K163" i="103"/>
  <c r="K164" i="103"/>
  <c r="K165" i="103"/>
  <c r="K166" i="103"/>
  <c r="K167" i="103"/>
  <c r="K168" i="103"/>
  <c r="K169" i="103"/>
  <c r="K170" i="103"/>
  <c r="K171" i="103"/>
  <c r="K172" i="103"/>
  <c r="K173" i="103"/>
  <c r="K174" i="103"/>
  <c r="K175" i="103"/>
  <c r="K176" i="103"/>
  <c r="K177" i="103"/>
  <c r="K178" i="103"/>
  <c r="K179" i="103"/>
  <c r="K180" i="103"/>
  <c r="K181" i="103"/>
  <c r="K182" i="103"/>
  <c r="K183" i="103"/>
  <c r="K184" i="103"/>
  <c r="K185" i="103"/>
  <c r="K186" i="103"/>
  <c r="K187" i="103"/>
  <c r="K188" i="103"/>
  <c r="K189" i="103"/>
  <c r="K190" i="103"/>
  <c r="K191" i="103"/>
  <c r="K192" i="103"/>
  <c r="K193" i="103"/>
  <c r="K194" i="103"/>
  <c r="K195" i="103"/>
  <c r="K196" i="103"/>
  <c r="K197" i="103"/>
  <c r="K198" i="103"/>
  <c r="K199" i="103"/>
  <c r="K200" i="103"/>
  <c r="K201" i="103"/>
  <c r="K202" i="103"/>
  <c r="K203" i="103"/>
  <c r="K204" i="103"/>
  <c r="K205" i="103"/>
  <c r="K206" i="103"/>
  <c r="K207" i="103"/>
  <c r="K208" i="103"/>
  <c r="K209" i="103"/>
  <c r="K210" i="103"/>
  <c r="K211" i="103"/>
  <c r="K212" i="103"/>
  <c r="K213" i="103"/>
  <c r="K214" i="103"/>
  <c r="K215" i="103"/>
  <c r="K216" i="103"/>
  <c r="K217" i="103"/>
  <c r="K218" i="103"/>
  <c r="K219" i="103"/>
  <c r="K220" i="103"/>
  <c r="K221" i="103"/>
  <c r="K222" i="103"/>
  <c r="K223" i="103"/>
  <c r="K224" i="103"/>
  <c r="K225" i="103"/>
  <c r="K226" i="103"/>
  <c r="K227" i="103"/>
  <c r="K228" i="103"/>
  <c r="K229" i="103"/>
  <c r="K230" i="103"/>
  <c r="K231" i="103"/>
  <c r="K232" i="103"/>
  <c r="K233" i="103"/>
  <c r="K234" i="103"/>
  <c r="K235" i="103"/>
  <c r="K236" i="103"/>
  <c r="K237" i="103"/>
  <c r="K238" i="103"/>
  <c r="K239" i="103"/>
  <c r="K240" i="103"/>
  <c r="K241" i="103"/>
  <c r="K242" i="103"/>
  <c r="K243" i="103"/>
  <c r="K244" i="103"/>
  <c r="K245" i="103"/>
  <c r="K246" i="103"/>
  <c r="K247" i="103"/>
  <c r="K248" i="103"/>
  <c r="K249" i="103"/>
  <c r="K250" i="103"/>
  <c r="K251" i="103"/>
  <c r="K252" i="103"/>
  <c r="K253" i="103"/>
  <c r="K254" i="103"/>
  <c r="K255" i="103"/>
  <c r="K256" i="103"/>
  <c r="K257" i="103"/>
  <c r="K258" i="103"/>
  <c r="K259" i="103"/>
  <c r="K260" i="103"/>
  <c r="K261" i="103"/>
  <c r="K262" i="103"/>
  <c r="K263" i="103"/>
  <c r="K264" i="103"/>
  <c r="K265" i="103"/>
  <c r="K266" i="103"/>
  <c r="K267" i="103"/>
  <c r="K268" i="103"/>
  <c r="K269" i="103"/>
  <c r="K270" i="103"/>
  <c r="K271" i="103"/>
  <c r="K272" i="103"/>
  <c r="K273" i="103"/>
  <c r="K274" i="103"/>
  <c r="K275" i="103"/>
  <c r="K276" i="103"/>
  <c r="K277" i="103"/>
  <c r="K278" i="103"/>
  <c r="K279" i="103"/>
  <c r="K280" i="103"/>
  <c r="K281" i="103"/>
  <c r="K282" i="103"/>
  <c r="K283" i="103"/>
  <c r="K284" i="103"/>
  <c r="K285" i="103"/>
  <c r="K286" i="103"/>
  <c r="K287" i="103"/>
  <c r="K288" i="103"/>
  <c r="K289" i="103"/>
  <c r="K290" i="103"/>
  <c r="K291" i="103"/>
  <c r="K292" i="103"/>
  <c r="K293" i="103"/>
  <c r="K294" i="103"/>
  <c r="K295" i="103"/>
  <c r="K296" i="103"/>
  <c r="K297" i="103"/>
  <c r="K298" i="103"/>
  <c r="K299" i="103"/>
  <c r="K300" i="103"/>
  <c r="K301" i="103"/>
  <c r="K302" i="103"/>
  <c r="K303" i="103"/>
  <c r="K304" i="103"/>
  <c r="K305" i="103"/>
  <c r="K306" i="103"/>
  <c r="K307" i="103"/>
  <c r="K308" i="103"/>
  <c r="K309" i="103"/>
  <c r="K310" i="103"/>
  <c r="K311" i="103"/>
  <c r="K312" i="103"/>
  <c r="K313" i="103"/>
  <c r="K314" i="103"/>
  <c r="K315" i="103"/>
  <c r="K316" i="103"/>
  <c r="K317" i="103"/>
  <c r="K318" i="103"/>
  <c r="K319" i="103"/>
  <c r="K320" i="103"/>
  <c r="K321" i="103"/>
  <c r="K322" i="103"/>
  <c r="K323" i="103"/>
  <c r="K324" i="103"/>
  <c r="K325" i="103"/>
  <c r="K326" i="103"/>
  <c r="K327" i="103"/>
  <c r="K328" i="103"/>
  <c r="K329" i="103"/>
  <c r="K330" i="103"/>
  <c r="K331" i="103"/>
  <c r="K332" i="103"/>
  <c r="K333" i="103"/>
  <c r="K334" i="103"/>
  <c r="K335" i="103"/>
  <c r="K336" i="103"/>
  <c r="K337" i="103"/>
  <c r="K338" i="103"/>
  <c r="K339" i="103"/>
  <c r="K340" i="103"/>
  <c r="K341" i="103"/>
  <c r="K342" i="103"/>
  <c r="K343" i="103"/>
  <c r="K344" i="103"/>
  <c r="K345" i="103"/>
  <c r="K346" i="103"/>
  <c r="K347" i="103"/>
  <c r="K348" i="103"/>
  <c r="K349" i="103"/>
  <c r="K350" i="103"/>
  <c r="K351" i="103"/>
  <c r="K352" i="103"/>
  <c r="K353" i="103"/>
  <c r="K354" i="103"/>
  <c r="K355" i="103"/>
  <c r="K356" i="103"/>
  <c r="K357" i="103"/>
  <c r="K358" i="103"/>
  <c r="K359" i="103"/>
  <c r="K360" i="103"/>
  <c r="K361" i="103"/>
  <c r="K362" i="103"/>
  <c r="K363" i="103"/>
  <c r="K364" i="103"/>
  <c r="K365" i="103"/>
  <c r="K366" i="103"/>
  <c r="K367" i="103"/>
  <c r="K368" i="103"/>
  <c r="K369" i="103"/>
  <c r="K370" i="103"/>
  <c r="K371" i="103"/>
  <c r="K372" i="103"/>
  <c r="K373" i="103"/>
  <c r="K374" i="103"/>
  <c r="K375" i="103"/>
  <c r="K376" i="103"/>
  <c r="K377" i="103"/>
  <c r="K378" i="103"/>
  <c r="K379" i="103"/>
  <c r="K380" i="103"/>
  <c r="K381" i="103"/>
  <c r="K382" i="103"/>
  <c r="K383" i="103"/>
  <c r="K384" i="103"/>
  <c r="K385" i="103"/>
  <c r="K386" i="103"/>
  <c r="K387" i="103"/>
  <c r="K388" i="103"/>
  <c r="K389" i="103"/>
  <c r="K390" i="103"/>
  <c r="K391" i="103"/>
  <c r="K392" i="103"/>
  <c r="K393" i="103"/>
  <c r="K394" i="103"/>
  <c r="K395" i="103"/>
  <c r="K396" i="103"/>
  <c r="K397" i="103"/>
  <c r="K398" i="103"/>
  <c r="K399" i="103"/>
  <c r="K400" i="103"/>
  <c r="K401" i="103"/>
  <c r="K402" i="103"/>
  <c r="K403" i="103"/>
  <c r="K404" i="103"/>
  <c r="K405" i="103"/>
  <c r="K406" i="103"/>
  <c r="K407" i="103"/>
  <c r="K408" i="103"/>
  <c r="K409" i="103"/>
  <c r="K410" i="103"/>
  <c r="K411" i="103"/>
  <c r="K412" i="103"/>
  <c r="K413" i="103"/>
  <c r="K414" i="103"/>
  <c r="K415" i="103"/>
  <c r="K416" i="103"/>
  <c r="K417" i="103"/>
  <c r="K418" i="103"/>
  <c r="K419" i="103"/>
  <c r="K420" i="103"/>
  <c r="K421" i="103"/>
  <c r="K422" i="103"/>
  <c r="K2" i="103"/>
  <c r="D13" i="54" l="1"/>
  <c r="D12" i="54"/>
  <c r="D13" i="78"/>
  <c r="D12" i="78"/>
  <c r="D13" i="77"/>
  <c r="D12" i="77"/>
  <c r="D12" i="79"/>
  <c r="D13" i="79"/>
  <c r="D6" i="79"/>
  <c r="D9" i="79" s="1"/>
  <c r="D6" i="78"/>
  <c r="D4" i="78" s="1"/>
  <c r="D6" i="77"/>
  <c r="D8" i="77" l="1"/>
  <c r="D6" i="54"/>
  <c r="D5" i="54" s="1"/>
</calcChain>
</file>

<file path=xl/sharedStrings.xml><?xml version="1.0" encoding="utf-8"?>
<sst xmlns="http://schemas.openxmlformats.org/spreadsheetml/2006/main" count="917" uniqueCount="882">
  <si>
    <t>Link</t>
  </si>
  <si>
    <t>Stock</t>
  </si>
  <si>
    <t>Date,Open,High,Low,Close,Adj Close,Volume</t>
  </si>
  <si>
    <t>Date</t>
  </si>
  <si>
    <t>Closing Price</t>
  </si>
  <si>
    <t>Interest</t>
  </si>
  <si>
    <t>Financial Independence, Retire Early Calculator</t>
  </si>
  <si>
    <t>https://query1.finance.yahoo.com/v7/finance/download/%5EDJI?period1=489024000&amp;period2=1596153600&amp;interval=1mo&amp;events=history</t>
  </si>
  <si>
    <t>1985-07-01,191.850006,196.070007,189.300003,190.919998,190.919998,2463070000</t>
  </si>
  <si>
    <t>1985-08-01,190.919998,192.169998,186.100006,188.630005,188.630005,1923200000</t>
  </si>
  <si>
    <t>1985-09-01,188.630005,188.800003,179.449997,182.080002,182.080002,1860160000</t>
  </si>
  <si>
    <t>1985-10-01,182.059998,190.149994,181.160004,189.820007,189.820007,2543240000</t>
  </si>
  <si>
    <t>1985-11-01,189.820007,203.399994,189.369995,202.169998,202.169998,2445370000</t>
  </si>
  <si>
    <t>1985-12-01,202.169998,213.080002,200.100006,211.279999,211.279999,2804380000</t>
  </si>
  <si>
    <t>1986-01-01,211.279999,214.570007,202.600006,211.779999,211.779999,2879010000</t>
  </si>
  <si>
    <t>1986-02-01,211.779999,227.919998,210.820007,226.919998,226.919998,2899100000</t>
  </si>
  <si>
    <t>1986-03-01,226.919998,240.110001,222.179993,238.899994,238.899994,3214600000</t>
  </si>
  <si>
    <t>1986-04-01,238.899994,245.470001,226.300003,235.520004,235.520004,3240400000</t>
  </si>
  <si>
    <t>1986-05-01,235.520004,249.190002,232.259995,247.350006,247.350006,2680240000</t>
  </si>
  <si>
    <t>1986-06-01,246.039993,251.809998,238.229996,250.839996,250.839996,2649600000</t>
  </si>
  <si>
    <t>1986-07-01,250.669998,253.199997,233.070007,236.119995,236.119995,3029900000</t>
  </si>
  <si>
    <t>1986-08-01,236.119995,254.240005,231.919998,252.929993,252.929993,2701900000</t>
  </si>
  <si>
    <t>1986-09-01,252.929993,254.130005,228.080002,231.320007,231.320007,3166300000</t>
  </si>
  <si>
    <t>1986-10-01,231.320007,244.509995,231.320007,243.979996,243.979996,3016740000</t>
  </si>
  <si>
    <t>1986-11-01,243.970001,249.220001,235.509995,249.220001,249.220001,2940830000</t>
  </si>
  <si>
    <t>1986-12-01,249.220001,254.869995,241.279999,242.169998,242.169998,3260870000</t>
  </si>
  <si>
    <t>1987-01-01,242.169998,280.959991,242.169998,274.079987,274.079987,4040880000</t>
  </si>
  <si>
    <t>1987-02-01,274.079987,287.549988,273.160004,284.200012,284.200012,3485300000</t>
  </si>
  <si>
    <t>1987-03-01,284.170013,302.720001,282.299988,291.700012,291.700012,3965100000</t>
  </si>
  <si>
    <t>1987-04-01,291.589996,303.649994,275.670013,288.359985,288.359985,3931700000</t>
  </si>
  <si>
    <t>1987-05-01,286.989990,298.690002,277.010010,290.100006,290.100006,3417700000</t>
  </si>
  <si>
    <t>1987-06-01,290.119995,310.269989,286.929993,304.000000,304.000000,3595000000</t>
  </si>
  <si>
    <t>1987-07-01,303.989990,318.850006,302.529999,318.660004,318.660004,3966400000</t>
  </si>
  <si>
    <t>1987-08-01,318.619995,337.890015,314.510010,329.799988,329.799988,4062400000</t>
  </si>
  <si>
    <t>1987-09-01,329.809998,332.179993,308.559998,321.829987,321.829987,3723200000</t>
  </si>
  <si>
    <t>1987-10-01,321.829987,328.940002,216.460007,251.789993,251.789993,6094500000</t>
  </si>
  <si>
    <t>1987-11-01,251.729996,257.209991,225.750000,230.300003,230.300003,3589530000</t>
  </si>
  <si>
    <t>1987-12-01,230.320007,253.350006,221.240005,247.080002,247.080002,3926750000</t>
  </si>
  <si>
    <t>1988-01-01,247.100006,261.779999,240.169998,257.070007,257.070007,3494700000</t>
  </si>
  <si>
    <t>1988-02-01,257.049988,267.820007,247.820007,267.820007,267.820007,3693240000</t>
  </si>
  <si>
    <t>1988-03-01,267.820007,272.640015,256.070007,258.890015,258.890015,4052970000</t>
  </si>
  <si>
    <t>1988-04-01,258.890015,272.049988,254.710007,261.329987,261.329987,3260760000</t>
  </si>
  <si>
    <t>1988-05-01,261.359985,263.700012,248.850006,262.160004,262.160004,3231370000</t>
  </si>
  <si>
    <t>1988-06-01,262.160004,276.880005,262.100006,273.500000,273.500000,4306710000</t>
  </si>
  <si>
    <t>1988-07-01,273.500000,276.359985,262.480011,272.019989,272.019989,3338470000</t>
  </si>
  <si>
    <t>1988-08-01,272.029999,274.200012,256.529999,261.519989,261.519989,3327470000</t>
  </si>
  <si>
    <t>1988-09-01,261.519989,274.869995,256.980011,271.910004,271.910004,3059450000</t>
  </si>
  <si>
    <t>1988-10-01,271.890015,283.950012,268.839996,278.970001,278.970001,3415160000</t>
  </si>
  <si>
    <t>1988-11-01,278.970001,280.369995,262.850006,273.700012,273.700012,2822820000</t>
  </si>
  <si>
    <t>1988-12-01,273.679993,280.450012,270.470001,277.720001,277.720001,2844900000</t>
  </si>
  <si>
    <t>1989-01-01,277.720001,297.510010,273.809998,297.470001,297.470001,3532220000</t>
  </si>
  <si>
    <t>1989-02-01,297.470001,300.570007,286.260010,288.859985,288.859985,3216280000</t>
  </si>
  <si>
    <t>1989-03-01,288.859985,299.989990,286.459991,294.869995,294.869995,3504530000</t>
  </si>
  <si>
    <t>1989-04-01,294.869995,310.450012,294.350006,309.640015,309.640015,3237250000</t>
  </si>
  <si>
    <t>1989-05-01,309.640015,323.059998,304.059998,320.519989,320.519989,3747320000</t>
  </si>
  <si>
    <t>1989-06-01,320.510010,329.190002,314.380005,317.980011,317.980011,3966590000</t>
  </si>
  <si>
    <t>1989-07-01,317.980011,346.079987,317.260010,346.079987,346.079987,3249030000</t>
  </si>
  <si>
    <t>1989-08-01,346.079987,352.730011,339.000000,351.450012,351.450012,3949100000</t>
  </si>
  <si>
    <t>1989-09-01,351.450012,354.130005,341.369995,349.149994,349.149994,3035020000</t>
  </si>
  <si>
    <t>1989-10-01,349.149994,360.440002,327.119995,340.359985,340.359985,4012670000</t>
  </si>
  <si>
    <t>1989-11-01,340.359985,346.500000,330.910004,345.989990,345.989990,3032160000</t>
  </si>
  <si>
    <t>1989-12-01,346.010010,354.100006,339.630005,353.399994,353.399994,3213420000</t>
  </si>
  <si>
    <t>1990-01-01,353.399994,360.589996,319.829987,329.079987,329.079987,3793250000</t>
  </si>
  <si>
    <t>1990-02-01,329.079987,336.089996,322.100006,331.890015,331.890015,2961970000</t>
  </si>
  <si>
    <t>1990-03-01,331.890015,344.489990,331.079987,339.940002,339.940002,3283280000</t>
  </si>
  <si>
    <t>1990-04-01,339.940002,347.299988,327.760010,330.799988,330.799988,2801220000</t>
  </si>
  <si>
    <t>1990-05-01,330.799988,362.260010,330.799988,361.230011,361.230011,3596680000</t>
  </si>
  <si>
    <t>1990-06-01,361.260010,368.779999,351.230011,358.019989,358.019989,3226280000</t>
  </si>
  <si>
    <t>1990-07-01,358.019989,369.779999,350.089996,356.149994,356.149994,3373540000</t>
  </si>
  <si>
    <t>1990-08-01,356.149994,357.350006,306.179993,322.559998,322.559998,4020730000</t>
  </si>
  <si>
    <t>1990-09-01,322.559998,326.529999,295.980011,306.049988,306.049988,2687280000</t>
  </si>
  <si>
    <t>1990-10-01,306.100006,319.690002,294.510010,304.000000,304.000000,3671900000</t>
  </si>
  <si>
    <t>1990-11-01,303.989990,323.019989,301.609985,322.220001,322.220001,3149770000</t>
  </si>
  <si>
    <t>1990-12-01,322.230011,333.980011,321.970001,330.220001,330.220001,3116830000</t>
  </si>
  <si>
    <t>1991-01-01,330.200012,343.929993,309.350006,343.929993,343.929993,3660240000</t>
  </si>
  <si>
    <t>1991-02-01,343.910004,370.959991,340.369995,367.070007,367.070007,4303170000</t>
  </si>
  <si>
    <t>1991-03-01,367.070007,379.660004,363.730011,375.220001,375.220001,3927920000</t>
  </si>
  <si>
    <t>1991-04-01,375.220001,391.260010,370.269989,375.339996,375.339996,4017200000</t>
  </si>
  <si>
    <t>1991-05-01,375.350006,389.850006,365.829987,389.829987,389.829987,3739700000</t>
  </si>
  <si>
    <t>1991-06-01,389.809998,389.809998,367.980011,371.160004,371.160004,3258730000</t>
  </si>
  <si>
    <t>1991-07-01,371.179993,387.809998,370.920013,387.809998,387.809998,3481570000</t>
  </si>
  <si>
    <t>1991-08-01,387.809998,396.820007,374.089996,395.429993,395.429993,3713820000</t>
  </si>
  <si>
    <t>1991-09-01,395.429993,397.619995,382.769989,387.859985,387.859985,3260990000</t>
  </si>
  <si>
    <t>1991-10-01,387.859985,393.809998,376.109985,392.450012,392.450012,4082380000</t>
  </si>
  <si>
    <t>1991-11-01,392.459991,398.220001,371.630005,375.220001,375.220001,3737620000</t>
  </si>
  <si>
    <t>1991-12-01,375.109985,418.320007,371.359985,417.089996,417.089996,4155310000</t>
  </si>
  <si>
    <t>1992-01-01,417.029999,421.179993,408.640015,408.779999,408.779999,5286280000</t>
  </si>
  <si>
    <t>1992-02-01,408.790009,418.079987,406.339996,412.700012,412.700012,4267610000</t>
  </si>
  <si>
    <t>1992-03-01,412.679993,413.779999,401.940002,403.690002,403.690002,4066240000</t>
  </si>
  <si>
    <t>1992-04-01,403.670013,416.279999,392.410004,414.950012,414.950012,4315840000</t>
  </si>
  <si>
    <t>1992-05-01,414.950012,418.750000,409.850006,415.350006,415.350006,3643980000</t>
  </si>
  <si>
    <t>1992-06-01,415.350006,417.299988,399.920013,408.140015,408.140015,4259830000</t>
  </si>
  <si>
    <t>1992-07-01,408.200012,424.799988,407.200012,424.209991,424.209991,4265220000</t>
  </si>
  <si>
    <t>1992-08-01,424.190002,425.140015,408.299988,414.029999,414.029999,3653820000</t>
  </si>
  <si>
    <t>1992-09-01,414.029999,425.269989,412.709991,417.799988,417.799988,4023850000</t>
  </si>
  <si>
    <t>1992-10-01,417.799988,421.160004,396.799988,418.679993,418.679993,4507010000</t>
  </si>
  <si>
    <t>1992-11-01,418.660004,431.929993,415.579987,431.350006,431.350006,4148770000</t>
  </si>
  <si>
    <t>1992-12-01,431.350006,442.649994,428.609985,435.709991,435.709991,4876150000</t>
  </si>
  <si>
    <t>1993-01-01,435.700012,442.660004,426.880005,438.779999,438.779999,5280850000</t>
  </si>
  <si>
    <t>1993-02-01,438.779999,450.040009,428.250000,443.380005,443.380005,5442450000</t>
  </si>
  <si>
    <t>1993-03-01,443.380005,456.760010,441.070007,451.670013,451.670013,5766950000</t>
  </si>
  <si>
    <t>1993-04-01,451.670013,452.630005,432.299988,440.190002,440.190002,5853170000</t>
  </si>
  <si>
    <t>1993-05-01,440.190002,454.549988,436.859985,450.190002,450.190002,5108640000</t>
  </si>
  <si>
    <t>1993-06-01,450.230011,455.630005,442.500000,450.529999,450.529999,5544400000</t>
  </si>
  <si>
    <t>1993-07-01,450.540009,451.149994,441.399994,448.130005,448.130005,5308530000</t>
  </si>
  <si>
    <t>1993-08-01,448.130005,463.559998,446.940002,463.559998,463.559998,5506200000</t>
  </si>
  <si>
    <t>1993-09-01,463.549988,463.799988,449.640015,458.929993,458.929993,5552720000</t>
  </si>
  <si>
    <t>1993-10-01,458.929993,471.100006,456.399994,467.829987,467.829987,5940460000</t>
  </si>
  <si>
    <t>1993-11-01,467.829987,469.109985,454.359985,461.790009,461.790009,5876610000</t>
  </si>
  <si>
    <t>1993-12-01,461.929993,471.290009,461.450012,466.450012,466.450012,5791210000</t>
  </si>
  <si>
    <t>1994-01-01,466.510010,482.850006,464.359985,481.609985,481.609985,6627390000</t>
  </si>
  <si>
    <t>1994-02-01,481.600006,482.230011,464.260010,467.140015,467.140015,5853100000</t>
  </si>
  <si>
    <t>1994-03-01,467.190002,471.089996,436.160004,445.769989,445.769989,7225010000</t>
  </si>
  <si>
    <t>1994-04-01,445.660004,452.790009,435.859985,450.910004,450.910004,5735010000</t>
  </si>
  <si>
    <t>1994-05-01,450.910004,457.769989,440.779999,456.500000,456.500000,5675970000</t>
  </si>
  <si>
    <t>1994-06-01,456.500000,463.230011,439.829987,444.269989,444.269989,5852670000</t>
  </si>
  <si>
    <t>1994-07-01,444.269989,459.329987,443.579987,458.260010,458.260010,4980100000</t>
  </si>
  <si>
    <t>1994-08-01,458.279999,477.589996,456.079987,475.489990,475.489990,6398750000</t>
  </si>
  <si>
    <t>1994-09-01,475.489990,475.489990,458.470001,462.709991,462.709991,6152870000</t>
  </si>
  <si>
    <t>1994-10-01,462.690002,474.739990,449.269989,472.350006,472.350006,6344700000</t>
  </si>
  <si>
    <t>1994-11-01,472.260010,472.260010,444.179993,453.690002,453.690002,6251240000</t>
  </si>
  <si>
    <t>1994-12-01,453.549988,462.730011,442.880005,459.269989,459.269989,6351530000</t>
  </si>
  <si>
    <t>1995-01-01,459.209991,471.359985,457.200012,470.420013,470.420013,6852060000</t>
  </si>
  <si>
    <t>1995-02-01,470.420013,489.190002,469.290009,487.390015,487.390015,6330100000</t>
  </si>
  <si>
    <t>1995-03-01,487.390015,508.149994,479.700012,500.709991,500.709991,7792400000</t>
  </si>
  <si>
    <t>1995-04-01,500.700012,515.289978,500.200012,514.710022,514.710022,6307030000</t>
  </si>
  <si>
    <t>1995-05-01,514.760010,533.409973,513.030029,533.400024,533.400024,7555690000</t>
  </si>
  <si>
    <t>1995-06-01,533.400024,551.070007,526.000000,544.750000,544.750000,7555650000</t>
  </si>
  <si>
    <t>1995-07-01,544.750000,565.400024,542.510010,562.059998,562.059998,7307960000</t>
  </si>
  <si>
    <t>1995-08-01,562.059998,565.619995,553.039978,561.880005,561.880005,7146620000</t>
  </si>
  <si>
    <t>1995-09-01,561.880005,587.609985,561.010010,584.409973,584.409973,7052830000</t>
  </si>
  <si>
    <t>1995-10-01,584.409973,590.659973,571.549988,581.500000,581.500000,8043320000</t>
  </si>
  <si>
    <t>1995-11-01,581.500000,608.690002,581.039978,605.369995,605.369995,7602150000</t>
  </si>
  <si>
    <t>1995-12-01,605.369995,622.880005,605.049988,615.929993,615.929993,7697540000</t>
  </si>
  <si>
    <t>1996-01-01,615.929993,636.179993,597.289978,636.020020,636.020020,9188050000</t>
  </si>
  <si>
    <t>1996-02-01,636.020020,664.229980,633.710022,640.429993,640.429993,8749960000</t>
  </si>
  <si>
    <t>1996-03-01,640.429993,656.969971,627.630005,645.500000,645.500000,8984200000</t>
  </si>
  <si>
    <t>1996-04-01,645.500000,656.679993,624.140015,654.169983,654.169983,8875580000</t>
  </si>
  <si>
    <t>1996-05-01,654.169983,681.099976,630.070007,669.119995,669.119995,8921140000</t>
  </si>
  <si>
    <t>1996-06-01,669.119995,680.320007,658.750000,670.630005,670.630005,7930840000</t>
  </si>
  <si>
    <t>1996-07-01,670.630005,675.880005,605.880005,639.950012,639.950012,8849860000</t>
  </si>
  <si>
    <t>1996-08-01,639.950012,670.679993,639.489990,651.989990,651.989990,7380320000</t>
  </si>
  <si>
    <t>1996-09-01,651.989990,690.880005,643.969971,687.330017,687.330017,8064070000</t>
  </si>
  <si>
    <t>1996-10-01,687.309998,714.099976,684.440002,705.270020,705.270020,9703670000</t>
  </si>
  <si>
    <t>1996-11-01,705.270020,762.119995,701.299988,757.020020,757.020020,8763850000</t>
  </si>
  <si>
    <t>1996-12-01,757.020020,761.750000,716.690002,740.739990,740.739990,9089170000</t>
  </si>
  <si>
    <t>1997-01-01,740.739990,794.669983,729.549988,786.159973,786.159973,11635830000</t>
  </si>
  <si>
    <t>1997-02-01,786.159973,817.679993,773.429993,790.820007,790.820007,9715930000</t>
  </si>
  <si>
    <t>1997-03-01,790.820007,814.900024,756.130005,757.119995,757.119995,10120760000</t>
  </si>
  <si>
    <t>1997-04-01,757.119995,804.130005,733.539978,801.340027,801.340027,10454880000</t>
  </si>
  <si>
    <t>1997-05-01,801.340027,851.869995,793.210022,848.280029,848.280029,10106650000</t>
  </si>
  <si>
    <t>1997-06-01,848.280029,902.090027,838.820007,885.140015,885.140015,10857950000</t>
  </si>
  <si>
    <t>1997-07-01,885.140015,957.729980,884.539978,954.309998,954.309998,11958120000</t>
  </si>
  <si>
    <t>1997-08-01,954.289978,964.169983,893.340027,899.469971,899.469971,10606100000</t>
  </si>
  <si>
    <t>1997-09-01,899.469971,960.590027,899.469971,947.280029,947.280029,11383000000</t>
  </si>
  <si>
    <t>1997-10-01,947.280029,983.119995,855.270020,914.619995,914.619995,14017260000</t>
  </si>
  <si>
    <t>1997-11-01,914.619995,964.549988,900.609985,955.400024,955.400024,10173620000</t>
  </si>
  <si>
    <t>1997-12-01,955.400024,986.250000,924.919983,970.429993,970.429993,11958880000</t>
  </si>
  <si>
    <t>1998-01-01,970.429993,992.650024,912.830017,980.280029,980.280029,12733830000</t>
  </si>
  <si>
    <t>1998-02-01,980.280029,1051.660034,980.280029,1049.339966,1049.339966,11656550000</t>
  </si>
  <si>
    <t>1998-03-01,1049.339966,1113.069946,1030.869995,1101.750000,1101.750000,13719590000</t>
  </si>
  <si>
    <t>1998-04-01,1101.750000,1132.979980,1076.699951,1111.750000,1111.750000,13656060000</t>
  </si>
  <si>
    <t>1998-05-01,1111.750000,1130.520020,1074.390015,1090.819946,1090.819946,11477140000</t>
  </si>
  <si>
    <t>1998-06-01,1090.819946,1145.150024,1074.670044,1133.839966,1133.839966,13551970000</t>
  </si>
  <si>
    <t>1998-07-01,1133.839966,1190.579956,1114.300049,1120.670044,1120.670044,14194800000</t>
  </si>
  <si>
    <t>1998-08-01,1120.670044,1121.790039,957.280029,957.280029,957.280029,15071550000</t>
  </si>
  <si>
    <t>1998-09-01,957.280029,1066.109985,939.979980,1017.010010,1017.010010,16714080000</t>
  </si>
  <si>
    <t>1998-10-01,1017.010010,1103.780029,923.320007,1098.670044,1098.670044,18001650000</t>
  </si>
  <si>
    <t>1998-11-01,1098.670044,1192.969971,1098.670044,1163.630005,1163.630005,13451280000</t>
  </si>
  <si>
    <t>1998-12-01,1163.630005,1244.930054,1136.890015,1229.229980,1229.229980,15181450000</t>
  </si>
  <si>
    <t>1999-01-01,1229.229980,1280.369995,1205.459961,1279.640015,1279.640015,16213500000</t>
  </si>
  <si>
    <t>1999-02-01,1279.640015,1283.839966,1211.890015,1238.329956,1238.329956,14555860000</t>
  </si>
  <si>
    <t>1999-03-01,1238.329956,1323.819946,1216.030029,1286.369995,1286.369995,18002500000</t>
  </si>
  <si>
    <t>1999-04-01,1286.369995,1371.560059,1282.560059,1335.180054,1335.180054,18523200000</t>
  </si>
  <si>
    <t>1999-05-01,1335.180054,1375.979980,1277.310059,1301.839966,1301.839966,15880260000</t>
  </si>
  <si>
    <t>1999-06-01,1301.839966,1372.930054,1277.469971,1372.709961,1372.709961,16079170000</t>
  </si>
  <si>
    <t>1999-07-01,1372.709961,1420.329956,1328.489990,1328.719971,1328.719971,15332930000</t>
  </si>
  <si>
    <t>1999-08-01,1328.719971,1382.839966,1267.729980,1320.410034,1320.410034,15818550000</t>
  </si>
  <si>
    <t>1999-09-01,1320.410034,1361.390015,1256.260010,1282.709961,1282.709961,16438700000</t>
  </si>
  <si>
    <t>1999-10-01,1282.709961,1373.170044,1233.699951,1362.930054,1362.930054,18832000000</t>
  </si>
  <si>
    <t>1999-11-01,1362.930054,1425.310059,1346.410034,1388.910034,1388.910034,18384820000</t>
  </si>
  <si>
    <t>1999-12-01,1388.910034,1473.099976,1387.380005,1469.250000,1469.250000,19640690000</t>
  </si>
  <si>
    <t>2000-01-01,1469.250000,1478.000000,1350.140015,1394.459961,1394.459961,21494400000</t>
  </si>
  <si>
    <t>2000-02-01,1394.459961,1444.550049,1325.069946,1366.420044,1366.420044,20912000000</t>
  </si>
  <si>
    <t>2000-03-01,1366.420044,1552.869995,1346.619995,1498.579956,1498.579956,26156200000</t>
  </si>
  <si>
    <t>2000-04-01,1498.579956,1527.189941,1339.400024,1452.430054,1452.430054,20106460000</t>
  </si>
  <si>
    <t>2000-05-01,1452.430054,1481.510010,1361.089966,1420.599976,1420.599976,19898300000</t>
  </si>
  <si>
    <t>2000-06-01,1420.599976,1488.930054,1420.599976,1454.599976,1454.599976,21738300000</t>
  </si>
  <si>
    <t>2000-07-01,1454.599976,1517.319946,1413.890015,1430.829956,1430.829956,19089100000</t>
  </si>
  <si>
    <t>2000-08-01,1430.829956,1525.209961,1425.430054,1517.680054,1517.680054,20363700000</t>
  </si>
  <si>
    <t>2000-09-01,1517.680054,1530.089966,1419.439941,1436.510010,1436.510010,20838300000</t>
  </si>
  <si>
    <t>2000-10-01,1436.520020,1454.819946,1305.790039,1429.400024,1429.400024,25951400000</t>
  </si>
  <si>
    <t>2000-11-01,1429.400024,1438.459961,1294.900024,1314.949951,1314.949951,20532300000</t>
  </si>
  <si>
    <t>2000-12-01,1314.949951,1389.050049,1254.069946,1320.280029,1320.280029,23610800000</t>
  </si>
  <si>
    <t>2001-01-01,1320.280029,1383.369995,1274.619995,1366.010010,1366.010010,27829800000</t>
  </si>
  <si>
    <t>2001-02-01,1366.010010,1376.380005,1215.439941,1239.939941,1239.939941,21644400000</t>
  </si>
  <si>
    <t>2001-03-01,1239.939941,1267.420044,1081.189941,1160.329956,1160.329956,27806610000</t>
  </si>
  <si>
    <t>2001-04-01,1160.329956,1269.300049,1091.989990,1249.459961,1249.459961,25409990000</t>
  </si>
  <si>
    <t>2001-05-01,1249.459961,1315.930054,1232.000000,1255.819946,1255.819946,24525900000</t>
  </si>
  <si>
    <t>2001-06-01,1255.819946,1286.619995,1203.030029,1224.380005,1224.380005,24748030000</t>
  </si>
  <si>
    <t>2001-07-01,1224.420044,1239.780029,1165.540039,1211.229980,1211.229980,23793710000</t>
  </si>
  <si>
    <t>2001-08-01,1211.229980,1226.270020,1124.869995,1133.579956,1133.579956,23359200000</t>
  </si>
  <si>
    <t>2001-09-01,1133.579956,1155.400024,944.750000,1040.939941,1040.939941,25025290000</t>
  </si>
  <si>
    <t>2001-10-01,1040.939941,1110.609985,1026.760010,1059.780029,1059.780029,29951280000</t>
  </si>
  <si>
    <t>2001-11-01,1059.780029,1163.380005,1054.310059,1139.449951,1139.449951,26330000000</t>
  </si>
  <si>
    <t>2001-12-01,1139.449951,1173.619995,1114.530029,1148.079956,1148.079956,25128570000</t>
  </si>
  <si>
    <t>2002-01-01,1148.079956,1176.969971,1081.660034,1130.199951,1130.199951,29746200000</t>
  </si>
  <si>
    <t>2002-02-01,1130.199951,1130.199951,1074.359985,1106.729980,1106.729980,26047600000</t>
  </si>
  <si>
    <t>2002-03-01,1106.729980,1173.939941,1106.729980,1147.390015,1147.390015,26563200000</t>
  </si>
  <si>
    <t>2002-04-01,1147.390015,1147.839966,1063.459961,1076.920044,1076.920044,28568900000</t>
  </si>
  <si>
    <t>2002-05-01,1076.920044,1106.589966,1048.959961,1067.140015,1067.140015,26905500000</t>
  </si>
  <si>
    <t>2002-06-01,1067.140015,1070.739990,952.919983,989.820007,989.820007,29981510000</t>
  </si>
  <si>
    <t>2002-07-01,989.820007,994.460022,775.679993,911.619995,911.619995,42228720000</t>
  </si>
  <si>
    <t>2002-08-01,911.619995,965.000000,833.440002,916.070007,916.070007,29298400000</t>
  </si>
  <si>
    <t>2002-09-01,916.070007,924.020020,800.200012,815.280029,815.280029,27723710000</t>
  </si>
  <si>
    <t>2002-10-01,815.280029,907.440002,768.630005,885.760010,885.760010,37856310000</t>
  </si>
  <si>
    <t>2002-11-01,885.760010,941.820007,872.049988,936.309998,936.309998,29200960000</t>
  </si>
  <si>
    <t>2002-12-01,936.309998,954.280029,869.450012,879.820007,879.820007,25993640000</t>
  </si>
  <si>
    <t>2003-01-01,879.820007,935.049988,840.340027,855.700012,855.700012,30749580000</t>
  </si>
  <si>
    <t>2003-02-01,855.700012,864.640015,806.289978,841.150024,841.150024,25235300000</t>
  </si>
  <si>
    <t>2003-03-01,841.150024,895.900024,788.900024,848.179993,848.179993,30080030000</t>
  </si>
  <si>
    <t>2003-04-01,848.179993,924.239990,847.849976,916.919983,916.919983,29669610000</t>
  </si>
  <si>
    <t>2003-05-01,916.919983,965.380005,902.830017,963.590027,963.590027,30952100000</t>
  </si>
  <si>
    <t>2003-06-01,963.590027,1015.330017,963.590027,974.500000,974.500000,31219400000</t>
  </si>
  <si>
    <t>2003-07-01,974.500000,1015.409973,962.099976,990.309998,990.309998,31553200000</t>
  </si>
  <si>
    <t>2003-08-01,990.309998,1011.010010,960.840027,1008.010010,1008.010010,24881470000</t>
  </si>
  <si>
    <t>2003-09-01,1008.010010,1040.290039,990.359985,995.969971,995.969971,29940110000</t>
  </si>
  <si>
    <t>2003-10-01,995.969971,1053.790039,995.969971,1050.709961,1050.709961,32298500000</t>
  </si>
  <si>
    <t>2003-11-01,1050.709961,1063.650024,1031.199951,1058.199951,1058.199951,24463220000</t>
  </si>
  <si>
    <t>2003-12-01,1058.199951,1112.560059,1053.410034,1111.920044,1111.920044,27839130000</t>
  </si>
  <si>
    <t>2004-01-01,1111.920044,1155.380005,1105.079956,1131.130005,1131.130005,32820000000</t>
  </si>
  <si>
    <t>2004-02-01,1131.130005,1158.979980,1124.439941,1144.939941,1144.939941,27985600000</t>
  </si>
  <si>
    <t>2004-03-01,1144.939941,1163.229980,1087.160034,1126.209961,1126.209961,33597900000</t>
  </si>
  <si>
    <t>2004-04-01,1126.209961,1150.569946,1107.229980,1107.300049,1107.300049,31611900000</t>
  </si>
  <si>
    <t>2004-05-01,1107.300049,1127.739990,1076.319946,1120.680054,1120.680054,29326400000</t>
  </si>
  <si>
    <t>2004-06-01,1120.680054,1146.339966,1113.319946,1140.839966,1140.839966,27529500000</t>
  </si>
  <si>
    <t>2004-07-01,1140.839966,1140.839966,1078.780029,1101.719971,1101.719971,29285600000</t>
  </si>
  <si>
    <t>2004-08-01,1101.719971,1109.680054,1060.719971,1104.239990,1104.239990,26586800000</t>
  </si>
  <si>
    <t>2004-09-01,1104.239990,1131.540039,1099.180054,1114.579956,1114.579956,26829870000</t>
  </si>
  <si>
    <t>2004-10-01,1114.579956,1142.050049,1090.290039,1130.199951,1130.199951,31511000000</t>
  </si>
  <si>
    <t>2004-11-01,1130.199951,1188.459961,1127.599976,1173.819946,1173.819946,30460280000</t>
  </si>
  <si>
    <t>2004-12-01,1173.780029,1217.329956,1173.780029,1211.920044,1211.920044,31102500000</t>
  </si>
  <si>
    <t>2005-01-01,1211.920044,1217.800049,1163.750000,1181.270020,1181.270020,31498800000</t>
  </si>
  <si>
    <t>2005-02-01,1181.270020,1212.439941,1180.949951,1203.599976,1203.599976,29297410000</t>
  </si>
  <si>
    <t>2005-03-01,1203.599976,1229.109985,1163.689941,1180.589966,1180.589966,39014150000</t>
  </si>
  <si>
    <t>2005-04-01,1180.589966,1191.880005,1136.150024,1156.849976,1156.849976,43424270000</t>
  </si>
  <si>
    <t>2005-05-01,1156.849976,1199.560059,1146.180054,1191.500000,1191.500000,39321990000</t>
  </si>
  <si>
    <t>2005-06-01,1191.500000,1219.589966,1188.300049,1191.329956,1191.329956,40334040000</t>
  </si>
  <si>
    <t>2005-07-01,1191.329956,1245.150024,1183.550049,1234.180054,1234.180054,37464670000</t>
  </si>
  <si>
    <t>2005-08-01,1234.180054,1245.859985,1201.069946,1220.329956,1220.329956,42030090000</t>
  </si>
  <si>
    <t>2005-09-01,1220.329956,1243.130005,1205.349976,1228.810059,1228.810059,44777510000</t>
  </si>
  <si>
    <t>2005-10-01,1228.810059,1233.339966,1168.199951,1207.010010,1207.010010,49793790000</t>
  </si>
  <si>
    <t>2005-11-01,1207.010010,1270.640015,1201.069946,1249.479980,1249.479980,45102870000</t>
  </si>
  <si>
    <t>2005-12-01,1249.479980,1275.800049,1246.589966,1248.290039,1248.290039,41756130000</t>
  </si>
  <si>
    <t>2006-01-01,1248.290039,1294.900024,1245.739990,1280.079956,1280.079956,49211650000</t>
  </si>
  <si>
    <t>2006-02-01,1280.079956,1297.569946,1253.609985,1280.660034,1280.660034,42859940000</t>
  </si>
  <si>
    <t>2006-03-01,1280.660034,1310.880005,1268.420044,1294.869995,1294.869995,50905040000</t>
  </si>
  <si>
    <t>2006-04-01,1302.880005,1318.160034,1280.739990,1310.609985,1310.609985,43308430000</t>
  </si>
  <si>
    <t>2006-05-01,1310.609985,1326.699951,1245.339966,1270.089966,1270.089966,54312830000</t>
  </si>
  <si>
    <t>2006-06-01,1270.050049,1290.680054,1219.290039,1270.199951,1270.199951,54873260000</t>
  </si>
  <si>
    <t>2006-07-01,1270.060059,1280.420044,1224.540039,1276.660034,1276.660034,46348220000</t>
  </si>
  <si>
    <t>2006-08-01,1278.530029,1306.739990,1261.300049,1303.819946,1303.819946,50485620000</t>
  </si>
  <si>
    <t>2006-09-01,1303.800049,1340.280029,1290.930054,1335.849976,1335.849976,49001440000</t>
  </si>
  <si>
    <t>2006-10-01,1335.819946,1389.449951,1327.099976,1377.939941,1377.939941,56793620000</t>
  </si>
  <si>
    <t>2006-11-01,1377.760010,1407.890015,1360.979980,1400.630005,1400.630005,55343930000</t>
  </si>
  <si>
    <t>2006-12-01,1400.630005,1431.810059,1385.930054,1418.300049,1418.300049,47578780000</t>
  </si>
  <si>
    <t>2007-01-01,1418.030029,1441.609985,1403.969971,1438.239990,1438.239990,56686200000</t>
  </si>
  <si>
    <t>2007-02-01,1437.900024,1461.569946,1389.420044,1406.819946,1406.819946,51844990000</t>
  </si>
  <si>
    <t>2007-03-01,1406.800049,1438.890015,1363.979980,1420.859985,1420.859985,67622250000</t>
  </si>
  <si>
    <t>2007-04-01,1420.829956,1498.020020,1416.369995,1482.369995,1482.369995,57032470000</t>
  </si>
  <si>
    <t>2007-05-01,1482.369995,1535.560059,1476.699951,1530.619995,1530.619995,64958050000</t>
  </si>
  <si>
    <t>2007-06-01,1530.619995,1540.560059,1484.180054,1503.349976,1503.349976,65322800000</t>
  </si>
  <si>
    <t>2007-07-01,1504.660034,1555.900024,1454.250000,1455.270020,1455.270020,70337430000</t>
  </si>
  <si>
    <t>2007-08-01,1455.180054,1503.890015,1370.599976,1473.989990,1473.989990,91381760000</t>
  </si>
  <si>
    <t>2007-09-01,1473.959961,1538.739990,1439.290039,1526.750000,1526.750000,57809700000</t>
  </si>
  <si>
    <t>2007-10-01,1527.290039,1576.089966,1489.560059,1549.380005,1549.380005,76022580000</t>
  </si>
  <si>
    <t>2007-11-01,1545.790039,1545.790039,1406.099976,1481.140015,1481.140015,86246950000</t>
  </si>
  <si>
    <t>2007-12-01,1479.630005,1523.569946,1435.650024,1468.359985,1468.359985,64821670000</t>
  </si>
  <si>
    <t>2008-01-01,1467.969971,1471.770020,1270.050049,1378.550049,1378.550049,98475340000</t>
  </si>
  <si>
    <t>2008-02-01,1378.599976,1396.020020,1316.750000,1330.630005,1330.630005,78536130000</t>
  </si>
  <si>
    <t>2008-03-01,1330.449951,1359.680054,1256.979980,1322.699951,1322.699951,93189170000</t>
  </si>
  <si>
    <t>2008-04-01,1326.410034,1404.569946,1324.349976,1385.589966,1385.589966,85978630000</t>
  </si>
  <si>
    <t>2008-05-01,1385.969971,1440.239990,1373.069946,1400.380005,1400.380005,80990480000</t>
  </si>
  <si>
    <t>2008-06-01,1399.619995,1404.050049,1272.000000,1280.000000,1280.000000,96614040000</t>
  </si>
  <si>
    <t>2008-07-01,1276.689941,1292.170044,1200.439941,1267.380005,1267.380005,124980570000</t>
  </si>
  <si>
    <t>2008-08-01,1269.420044,1313.150024,1247.449951,1282.829956,1282.829956,86266010000</t>
  </si>
  <si>
    <t>2008-09-01,1287.829956,1303.040039,1106.420044,1166.359985,1166.359985,140007320000</t>
  </si>
  <si>
    <t>2008-10-01,1164.170044,1167.030029,839.799988,968.750000,968.750000,159823030000</t>
  </si>
  <si>
    <t>2008-11-01,968.669983,1007.510010,741.020020,896.239990,896.239990,115660210000</t>
  </si>
  <si>
    <t>2008-12-01,888.609985,918.849976,815.690002,903.250000,903.250000,112884470000</t>
  </si>
  <si>
    <t>2009-01-01,902.989990,943.849976,804.299988,825.880005,825.880005,112090640000</t>
  </si>
  <si>
    <t>2009-02-01,823.090027,875.010010,734.520020,735.090027,735.090027,124492210000</t>
  </si>
  <si>
    <t>2009-03-01,729.570007,832.979980,666.789978,797.869995,797.869995,161843640000</t>
  </si>
  <si>
    <t>2009-04-01,793.590027,888.700012,783.320007,872.809998,872.809998,138855320000</t>
  </si>
  <si>
    <t>2009-05-01,872.739990,930.169983,866.099976,919.140015,919.140015,131614940000</t>
  </si>
  <si>
    <t>2009-06-01,923.260010,956.229980,888.859985,919.320007,919.320007,112653150000</t>
  </si>
  <si>
    <t>2009-07-01,920.820007,996.679993,869.320007,987.479980,987.479980,106635790000</t>
  </si>
  <si>
    <t>2009-08-01,990.219971,1039.469971,978.510010,1020.619995,1020.619995,116059270000</t>
  </si>
  <si>
    <t>2009-09-01,1019.520020,1080.150024,991.969971,1057.079956,1057.079956,112295490000</t>
  </si>
  <si>
    <t>2009-10-01,1054.910034,1101.359985,1019.950012,1036.189941,1036.189941,113410990000</t>
  </si>
  <si>
    <t>2009-11-01,1036.180054,1113.689941,1029.380005,1095.630005,1095.630005,84981530000</t>
  </si>
  <si>
    <t>2009-12-01,1098.890015,1130.380005,1085.890015,1115.099976,1115.099976,89515330000</t>
  </si>
  <si>
    <t>2010-01-01,1116.560059,1150.449951,1071.589966,1073.869995,1073.869995,90947580000</t>
  </si>
  <si>
    <t>2010-02-01,1073.890015,1112.420044,1044.500000,1104.489990,1104.489990,84561340000</t>
  </si>
  <si>
    <t>2010-03-01,1105.359985,1180.689941,1105.359985,1169.430054,1169.430054,103683550000</t>
  </si>
  <si>
    <t>2010-04-01,1171.229980,1219.800049,1170.689941,1186.689941,1186.689941,116741910000</t>
  </si>
  <si>
    <t>2010-05-01,1188.579956,1205.130005,1040.780029,1089.410034,1089.410034,127662780000</t>
  </si>
  <si>
    <t>2010-06-01,1087.300049,1131.229980,1028.329956,1030.709961,1030.709961,110106750000</t>
  </si>
  <si>
    <t>2010-07-01,1031.099976,1120.949951,1010.909973,1101.599976,1101.599976,94778110000</t>
  </si>
  <si>
    <t>2010-08-01,1107.530029,1129.239990,1039.699951,1049.329956,1049.329956,85738250000</t>
  </si>
  <si>
    <t>2010-09-01,1049.719971,1157.160034,1049.719971,1141.199951,1141.199951,79589450000</t>
  </si>
  <si>
    <t>2010-10-01,1143.489990,1196.140015,1131.869995,1183.260010,1183.260010,89536270000</t>
  </si>
  <si>
    <t>2010-11-01,1185.709961,1227.079956,1173.000000,1180.550049,1180.550049,87151070000</t>
  </si>
  <si>
    <t>2010-12-01,1186.599976,1262.599976,1186.599976,1257.640015,1257.640015,80984530000</t>
  </si>
  <si>
    <t>2011-01-01,1257.619995,1302.670044,1257.619995,1286.119995,1286.119995,92164940000</t>
  </si>
  <si>
    <t>2011-02-01,1289.140015,1344.069946,1289.140015,1327.219971,1327.219971,59223660000</t>
  </si>
  <si>
    <t>2011-03-01,1328.640015,1332.280029,1249.050049,1325.829956,1325.829956,89507640000</t>
  </si>
  <si>
    <t>2011-04-01,1329.479980,1364.560059,1294.699951,1363.609985,1363.609985,77364810000</t>
  </si>
  <si>
    <t>2011-05-01,1365.209961,1370.579956,1311.800049,1345.199951,1345.199951,81708980000</t>
  </si>
  <si>
    <t>2011-06-01,1345.199951,1345.199951,1258.069946,1320.640015,1320.640015,86122730000</t>
  </si>
  <si>
    <t>2011-07-01,1320.640015,1356.479980,1282.859985,1292.280029,1292.280029,81102170000</t>
  </si>
  <si>
    <t>2011-08-01,1292.589966,1307.380005,1101.540039,1218.890015,1218.890015,108419170000</t>
  </si>
  <si>
    <t>2011-09-01,1219.119995,1229.290039,1114.219971,1131.420044,1131.420044,102786820000</t>
  </si>
  <si>
    <t>2011-10-01,1131.209961,1292.660034,1074.770020,1253.300049,1253.300049,98063670000</t>
  </si>
  <si>
    <t>2011-11-01,1251.000000,1277.550049,1158.660034,1246.959961,1246.959961,84275050000</t>
  </si>
  <si>
    <t>2011-12-01,1246.910034,1269.369995,1202.369995,1257.599976,1257.599976,74742430000</t>
  </si>
  <si>
    <t>2012-01-01,1258.859985,1333.469971,1258.859985,1312.410034,1312.410034,79567560000</t>
  </si>
  <si>
    <t>2012-02-01,1312.449951,1378.040039,1312.449951,1365.680054,1365.680054,78385710000</t>
  </si>
  <si>
    <t>2012-03-01,1365.900024,1419.150024,1340.030029,1408.469971,1408.469971,83899660000</t>
  </si>
  <si>
    <t>2012-04-01,1408.469971,1422.380005,1357.380005,1397.910034,1397.910034,74761710000</t>
  </si>
  <si>
    <t>2012-05-01,1397.859985,1415.319946,1291.979980,1310.329956,1310.329956,86920490000</t>
  </si>
  <si>
    <t>2012-06-01,1309.869995,1363.459961,1266.739990,1362.160034,1362.160034,81582440000</t>
  </si>
  <si>
    <t>2012-07-01,1362.329956,1391.739990,1325.410034,1379.319946,1379.319946,73103810000</t>
  </si>
  <si>
    <t>2012-08-01,1379.319946,1426.680054,1354.650024,1406.579956,1406.579956,70283810000</t>
  </si>
  <si>
    <t>2012-09-01,1406.540039,1474.510010,1396.560059,1440.670044,1440.670044,69784280000</t>
  </si>
  <si>
    <t>2012-10-01,1440.900024,1470.959961,1403.280029,1412.160034,1412.160034,71752320000</t>
  </si>
  <si>
    <t>2012-11-01,1412.199951,1434.270020,1343.349976,1416.180054,1416.180054,71489310000</t>
  </si>
  <si>
    <t>2012-12-01,1416.339966,1448.000000,1398.109985,1426.189941,1426.189941,66388180000</t>
  </si>
  <si>
    <t>2013-01-01,1426.189941,1509.939941,1426.189941,1498.109985,1498.109985,75848510000</t>
  </si>
  <si>
    <t>2013-02-01,1498.109985,1530.939941,1485.010010,1514.680054,1514.680054,69273480000</t>
  </si>
  <si>
    <t>2013-03-01,1514.680054,1570.280029,1501.479980,1569.189941,1569.189941,68527110000</t>
  </si>
  <si>
    <t>2013-04-01,1569.180054,1597.569946,1536.030029,1597.569946,1597.569946,77098000000</t>
  </si>
  <si>
    <t>2013-05-01,1597.550049,1687.180054,1581.280029,1630.739990,1630.739990,76447250000</t>
  </si>
  <si>
    <t>2013-06-01,1631.709961,1654.189941,1560.329956,1606.280029,1606.280029,74946790000</t>
  </si>
  <si>
    <t>2013-07-01,1609.780029,1698.780029,1604.569946,1685.729980,1685.729980,68106820000</t>
  </si>
  <si>
    <t>2013-08-01,1689.420044,1709.670044,1627.469971,1632.969971,1632.969971,64802810000</t>
  </si>
  <si>
    <t>2013-09-01,1635.949951,1729.859985,1633.410034,1681.550049,1681.550049,66174410000</t>
  </si>
  <si>
    <t>2013-10-01,1682.410034,1775.219971,1646.469971,1756.540039,1756.540039,76647400000</t>
  </si>
  <si>
    <t>2013-11-01,1758.699951,1813.550049,1746.199951,1805.810059,1805.810059,63628190000</t>
  </si>
  <si>
    <t>2013-12-01,1806.550049,1849.439941,1767.989990,1848.359985,1848.359985,64958820000</t>
  </si>
  <si>
    <t>2014-01-01,1845.859985,1850.839966,1770.449951,1782.589966,1782.589966,75871910000</t>
  </si>
  <si>
    <t>2014-02-01,1782.680054,1867.920044,1737.920044,1859.449951,1859.449951,69725590000</t>
  </si>
  <si>
    <t>2014-03-01,1857.680054,1883.969971,1834.439941,1872.339966,1872.339966,71885030000</t>
  </si>
  <si>
    <t>2014-04-01,1873.959961,1897.280029,1814.359985,1883.949951,1883.949951,71595810000</t>
  </si>
  <si>
    <t>2014-05-01,1884.390015,1924.030029,1859.790039,1923.569946,1923.569946,63623630000</t>
  </si>
  <si>
    <t>2014-06-01,1923.869995,1968.170044,1915.979980,1960.229980,1960.229980,63283380000</t>
  </si>
  <si>
    <t>2014-07-01,1962.290039,1991.390015,1930.670044,1930.670044,1930.670044,66524690000</t>
  </si>
  <si>
    <t>2014-08-01,1929.800049,2005.040039,1904.780029,2003.369995,2003.369995,58131140000</t>
  </si>
  <si>
    <t>2014-09-01,2004.069946,2019.260010,1964.040039,1972.290039,1972.290039,66706000000</t>
  </si>
  <si>
    <t>2014-10-01,1971.439941,2018.189941,1820.660034,2018.050049,2018.050049,93714040000</t>
  </si>
  <si>
    <t>2014-11-01,2018.209961,2075.760010,2001.010010,2067.560059,2067.560059,63600190000</t>
  </si>
  <si>
    <t>2014-12-01,2065.780029,2093.550049,1972.560059,2058.899902,2058.899902,80743820000</t>
  </si>
  <si>
    <t>2015-01-01,2058.899902,2072.360107,1988.119995,1994.989990,1994.989990,77330040000</t>
  </si>
  <si>
    <t>2015-02-01,1996.670044,2119.590088,1980.900024,2104.500000,2104.500000,68775560000</t>
  </si>
  <si>
    <t>2015-03-01,2105.229980,2117.520020,2039.689941,2067.889893,2067.889893,76675850000</t>
  </si>
  <si>
    <t>2015-04-01,2067.629883,2125.919922,2048.379883,2085.510010,2085.510010,72060940000</t>
  </si>
  <si>
    <t>2015-05-01,2087.379883,2134.719971,2067.929932,2107.389893,2107.389893,65187730000</t>
  </si>
  <si>
    <t>2015-06-01,2108.639893,2129.870117,2056.320068,2063.110107,2063.110107,73213980000</t>
  </si>
  <si>
    <t>2015-07-01,2067.000000,2132.820068,2044.020020,2103.840088,2103.840088,77920590000</t>
  </si>
  <si>
    <t>2015-08-01,2104.489990,2112.659912,1867.010010,1972.180054,1972.180054,84626790000</t>
  </si>
  <si>
    <t>2015-09-01,1970.089966,2020.859985,1871.910034,1920.030029,1920.030029,79989370000</t>
  </si>
  <si>
    <t>2015-10-01,1919.650024,2094.320068,1893.699951,2079.360107,2079.360107,85844900000</t>
  </si>
  <si>
    <t>2015-11-01,2080.760010,2116.479980,2019.390015,2080.409912,2080.409912,75943590000</t>
  </si>
  <si>
    <t>2015-12-01,2082.929932,2104.270020,1993.260010,2043.939941,2043.939941,83649260000</t>
  </si>
  <si>
    <t>2016-01-01,2038.199951,2038.199951,1812.290039,1940.239990,1940.239990,92409770000</t>
  </si>
  <si>
    <t>2016-02-01,1936.939941,1962.959961,1810.099976,1932.229980,1932.229980,93049560000</t>
  </si>
  <si>
    <t>2016-03-01,1937.089966,2072.209961,1937.089966,2059.739990,2059.739990,92639420000</t>
  </si>
  <si>
    <t>2016-04-01,2056.620117,2111.050049,2033.800049,2065.300049,2065.300049,81124990000</t>
  </si>
  <si>
    <t>2016-05-01,2067.169922,2103.479980,2025.910034,2096.949951,2096.949951,78883600000</t>
  </si>
  <si>
    <t>2016-06-01,2093.939941,2120.550049,1991.680054,2098.860107,2098.860107,86852700000</t>
  </si>
  <si>
    <t>2016-07-01,2099.340088,2177.090088,2074.020020,2173.600098,2173.600098,69530250000</t>
  </si>
  <si>
    <t>2016-08-01,2173.149902,2193.810059,2147.580078,2170.949951,2170.949951,75610310000</t>
  </si>
  <si>
    <t>2016-09-01,2171.330078,2187.870117,2119.120117,2168.270020,2168.270020,77270240000</t>
  </si>
  <si>
    <t>2016-10-01,2164.330078,2169.600098,2114.719971,2126.149902,2126.149902,73196630000</t>
  </si>
  <si>
    <t>2016-11-01,2128.679932,2214.100098,2083.790039,2198.810059,2198.810059,88299760000</t>
  </si>
  <si>
    <t>2016-12-01,2200.169922,2277.530029,2187.439941,2238.830078,2238.830078,75251240000</t>
  </si>
  <si>
    <t>2017-01-01,2251.570068,2300.989990,2245.129883,2278.870117,2278.870117,70483180000</t>
  </si>
  <si>
    <t>2017-02-01,2285.590088,2371.540039,2271.649902,2363.639893,2363.639893,69162420000</t>
  </si>
  <si>
    <t>2017-03-01,2380.129883,2400.979980,2322.250000,2362.719971,2362.719971,81547770000</t>
  </si>
  <si>
    <t>2017-04-01,2362.340088,2398.159912,2328.949951,2384.199951,2384.199951,65265670000</t>
  </si>
  <si>
    <t>2017-05-01,2388.500000,2418.709961,2352.719971,2411.800049,2411.800049,79607170000</t>
  </si>
  <si>
    <t>2017-06-01,2415.649902,2453.820068,2405.699951,2423.409912,2423.409912,81002490000</t>
  </si>
  <si>
    <t>2017-07-01,2431.389893,2484.040039,2407.699951,2470.300049,2470.300049,63169400000</t>
  </si>
  <si>
    <t>2017-08-01,2477.100098,2490.870117,2417.350098,2471.649902,2471.649902,70616030000</t>
  </si>
  <si>
    <t>2017-09-01,2474.419922,2519.439941,2446.550049,2519.360107,2519.360107,66337980000</t>
  </si>
  <si>
    <t>2017-10-01,2521.199951,2582.979980,2520.399902,2575.260010,2575.260010,70871570000</t>
  </si>
  <si>
    <t>2017-11-01,2583.209961,2657.739990,2557.449951,2584.840088,2584.840088,95142800000</t>
  </si>
  <si>
    <t>2017-12-01,2645.100098,2694.969971,2605.520020,2673.610107,2673.610107,65251190000</t>
  </si>
  <si>
    <t>2018-01-01,2683.729980,2872.870117,2682.360107,2823.810059,2823.810059,76860120000</t>
  </si>
  <si>
    <t>2018-02-01,2816.449951,2835.959961,2532.689941,2713.830078,2713.830078,79579410000</t>
  </si>
  <si>
    <t>2018-03-01,2715.219971,2801.899902,2585.889893,2640.870117,2640.870117,76369800000</t>
  </si>
  <si>
    <t>2018-04-01,2633.449951,2717.489990,2553.800049,2648.050049,2648.050049,69648590000</t>
  </si>
  <si>
    <t>2018-05-01,2642.959961,2742.239990,2594.620117,2705.270020,2705.270020,75617280000</t>
  </si>
  <si>
    <t>2018-06-01,2718.699951,2791.469971,2691.989990,2718.370117,2718.370117,77439710000</t>
  </si>
  <si>
    <t>2018-07-01,2704.949951,2848.030029,2698.949951,2816.290039,2816.290039,64542170000</t>
  </si>
  <si>
    <t>2018-08-01,2821.169922,2916.500000,2796.340088,2901.520020,2901.520020,69238220000</t>
  </si>
  <si>
    <t>2018-09-01,2896.959961,2940.909912,2864.120117,2913.979980,2913.979980,62492080000</t>
  </si>
  <si>
    <t>2018-10-01,2926.290039,2939.860107,2603.540039,2711.739990,2711.739990,91327930000</t>
  </si>
  <si>
    <t>2018-11-01,2717.580078,2815.149902,2631.090088,2760.169922,2760.169922,80080110000</t>
  </si>
  <si>
    <t>2018-12-01,2790.500000,2800.179932,2346.580078,2506.850098,2506.850098,83522570000</t>
  </si>
  <si>
    <t>2019-01-01,2476.959961,2708.949951,2443.959961,2704.100098,2704.100098,80401630000</t>
  </si>
  <si>
    <t>2019-02-01,2702.320068,2813.489990,2681.830078,2784.489990,2784.489990,70183430000</t>
  </si>
  <si>
    <t>2019-03-01,2798.219971,2860.310059,2722.270020,2834.399902,2834.399902,78596280000</t>
  </si>
  <si>
    <t>2019-04-01,2848.629883,2949.520020,2848.629883,2945.830078,2945.830078,69604840000</t>
  </si>
  <si>
    <t>2019-05-01,2952.330078,2954.129883,2750.520020,2752.060059,2752.060059,76860120000</t>
  </si>
  <si>
    <t>2019-06-01,2751.530029,2964.149902,2728.810059,2941.760010,2941.760010,70881390000</t>
  </si>
  <si>
    <t>2019-07-01,2971.409912,3027.979980,2952.219971,2980.379883,2980.379883,70349470000</t>
  </si>
  <si>
    <t>2019-08-01,2980.320068,3013.590088,2822.120117,2926.459961,2926.459961,79599440000</t>
  </si>
  <si>
    <t>2019-09-01,2909.010010,3021.989990,2891.850098,2976.739990,2976.739990,73992330000</t>
  </si>
  <si>
    <t>2019-10-01,2983.689941,3050.100098,2855.939941,3037.560059,3037.560059,77564550000</t>
  </si>
  <si>
    <t>2019-11-01,3050.719971,3154.260010,3050.719971,3140.979980,3140.979980,72179920000</t>
  </si>
  <si>
    <t>2019-12-01,3143.850098,3247.929932,3070.330078,3230.780029,3230.780029,72054000000</t>
  </si>
  <si>
    <t>2020-01-01,3244.669922,3337.770020,3214.639893,3225.520020,3225.520020,77104420000</t>
  </si>
  <si>
    <t>2020-02-01,3235.659912,3393.520020,2855.840088,2954.219971,2954.219971,84292270000</t>
  </si>
  <si>
    <t>2020-03-01,2974.280029,3136.719971,2191.860107,2584.590088,2584.590088,161801100000</t>
  </si>
  <si>
    <t>2020-04-01,2498.080078,2954.860107,2447.489990,2912.429932,2912.429932,123163450000</t>
  </si>
  <si>
    <t>2020-05-01,2869.090088,3068.669922,2766.639893,3044.310059,3044.310059,106799100000</t>
  </si>
  <si>
    <t>2020-06-01,3038.780029,3233.129883,2965.659912,3100.290039,3100.290039,131044000000</t>
  </si>
  <si>
    <t>1985-07-01,1334.010010,1372.199951,1313.400024,1347.449951,1347.449951,235130000</t>
  </si>
  <si>
    <t>1985-08-01,1350.020020,1361.900024,1303.650024,1334.010010,1334.010010,176010000</t>
  </si>
  <si>
    <t>1985-09-01,1333.670044,1348.229980,1283.709961,1328.630005,1328.630005,196960000</t>
  </si>
  <si>
    <t>1985-10-01,1329.640015,1384.630005,1315.189941,1374.310059,1374.310059,253060000</t>
  </si>
  <si>
    <t>1985-11-01,1372.130005,1486.930054,1367.780029,1472.130005,1472.130005,303580000</t>
  </si>
  <si>
    <t>1985-12-01,1471.329956,1570.869995,1450.339966,1546.670044,1546.670044,361820000</t>
  </si>
  <si>
    <t>1986-01-01,1546.219971,1582.910034,1491.739990,1570.989990,1570.989990,311020000</t>
  </si>
  <si>
    <t>1986-02-01,1570.530029,1732.569946,1564.329956,1709.060059,1709.060059,336860000</t>
  </si>
  <si>
    <t>1986-03-01,1706.189941,1849.739990,1663.069946,1818.609985,1818.609985,355900000</t>
  </si>
  <si>
    <t>1986-04-01,1822.079956,1870.160034,1712.520020,1783.979980,1783.979980,441280000</t>
  </si>
  <si>
    <t>1986-05-01,1777.900024,1898.219971,1746.530029,1876.709961,1876.709961,299610000</t>
  </si>
  <si>
    <t>1986-06-01,1874.189941,1908.619995,1816.069946,1892.719971,1892.719971,264770000</t>
  </si>
  <si>
    <t>1986-07-01,1889.760010,1922.670044,1741.560059,1775.310059,1775.310059,341490000</t>
  </si>
  <si>
    <t>1986-08-01,1775.310059,1918.589966,1730.599976,1898.339966,1898.339966,297880000</t>
  </si>
  <si>
    <t>1986-09-01,1903.260010,1933.349976,1732.989990,1767.579956,1767.579956,401220000</t>
  </si>
  <si>
    <t>1986-10-01,1775.030029,1894.689941,1761.250000,1877.709961,1877.709961,399830000</t>
  </si>
  <si>
    <t>1986-11-01,1880.619995,1926.459961,1797.099976,1914.229980,1914.229980,365620000</t>
  </si>
  <si>
    <t>1986-12-01,1900.170044,1971.739990,1880.479980,1895.949951,1895.949951,404320000</t>
  </si>
  <si>
    <t>1987-01-01,1900.589966,2214.570068,1897.359985,2158.040039,2158.040039,536660000</t>
  </si>
  <si>
    <t>1987-02-01,2152.979980,2266.449951,2134.419922,2223.989990,2223.989990,428960000</t>
  </si>
  <si>
    <t>1987-03-01,2228.209961,2399.570068,2209.080078,2304.689941,2304.689941,440920000</t>
  </si>
  <si>
    <t>1987-04-01,2277.129883,2428.409912,2180.540039,2286.360107,2286.360107,561360000</t>
  </si>
  <si>
    <t>1987-05-01,2282.239990,2380.770020,2188.530029,2291.570068,2291.570068,476490000</t>
  </si>
  <si>
    <t>1987-06-01,2309.620117,2466.040039,2260.620117,2418.530029,2418.530029,422990000</t>
  </si>
  <si>
    <t>1987-07-01,2410.080078,2588.330078,2391.260010,2572.070068,2572.070068,490720000</t>
  </si>
  <si>
    <t>1987-08-01,2547.830078,2746.649902,2525.989990,2662.949951,2662.949951,505680000</t>
  </si>
  <si>
    <t>1987-09-01,2666.770020,2695.469971,2468.989990,2596.280029,2596.280029,465230000</t>
  </si>
  <si>
    <t>1987-10-01,2601.500000,2662.370117,1616.209961,1993.530029,1993.530029,829250000</t>
  </si>
  <si>
    <t>1987-11-01,1972.650024,2027.520020,1795.260010,1833.550049,1833.550049,436510000</t>
  </si>
  <si>
    <t>1987-12-01,1860.250000,2019.560059,1733.920044,1938.829956,1938.829956,457110000</t>
  </si>
  <si>
    <t>1988-01-01,1952.589966,2075.270020,1845.989990,1958.219971,1958.219971,433000000</t>
  </si>
  <si>
    <t>1988-02-01,1972.810059,2078.080078,1878.150024,2071.620117,2071.620117,464340000</t>
  </si>
  <si>
    <t>1988-03-01,2074.929932,2110.909912,1951.260010,1988.060059,1988.060059,431700000</t>
  </si>
  <si>
    <t>1988-04-01,1989.890015,2121.350098,1968.000000,2032.329956,2032.329956,413590000</t>
  </si>
  <si>
    <t>1988-05-01,2032.160034,2071.949951,1921.579956,2031.119995,2031.119995,405210000</t>
  </si>
  <si>
    <t>1988-06-01,2029.339966,2169.100098,2021.339966,2141.709961,2141.709961,486100000</t>
  </si>
  <si>
    <t>1988-07-01,2144.909912,2169.449951,2047.300049,2128.729980,2128.729980,318910000</t>
  </si>
  <si>
    <t>1988-08-01,2126.239990,2151.850098,1978.660034,2031.650024,2031.650024,367390000</t>
  </si>
  <si>
    <t>1988-09-01,2023.109985,2140.290039,1988.439941,2112.909912,2112.909912,331310000</t>
  </si>
  <si>
    <t>1988-10-01,2110.770020,2195.060059,2082.330078,2148.649902,2148.649902,387840000</t>
  </si>
  <si>
    <t>1988-11-01,2145.090088,2185.989990,2026.670044,2114.510010,2114.510010,332270000</t>
  </si>
  <si>
    <t>1988-12-01,2110.949951,2193.750000,2075.389893,2168.570068,2168.570068,302480000</t>
  </si>
  <si>
    <t>1989-01-01,2163.209961,2350.179932,2127.139893,2342.320068,2342.320068,437810000</t>
  </si>
  <si>
    <t>1989-02-01,2334.290039,2369.290039,2232.139893,2258.389893,2258.389893,394580000</t>
  </si>
  <si>
    <t>1989-03-01,2267.320068,2351.070068,2234.459961,2293.620117,2293.620117,407630000</t>
  </si>
  <si>
    <t>1989-04-01,2296.189941,2433.100098,2282.070068,2418.800049,2418.800049,369260000</t>
  </si>
  <si>
    <t>1989-05-01,2402.489990,2521.629883,2356.300049,2480.149902,2480.149902,470970000</t>
  </si>
  <si>
    <t>1989-06-01,2477.669922,2544.949951,2412.939941,2440.060059,2440.060059,517370000</t>
  </si>
  <si>
    <t>1989-07-01,2448.790039,2668.250000,2431.530029,2660.659912,2660.659912,363700000</t>
  </si>
  <si>
    <t>1989-08-01,2665.969971,2758.729980,2426.330078,2737.270020,2737.270020,478330000</t>
  </si>
  <si>
    <t>1989-09-01,2732.330078,2768.239990,2636.780029,2692.820068,2692.820068,365600000</t>
  </si>
  <si>
    <t>1989-10-01,2692.820068,2809.080078,2496.929932,2645.080078,2645.080078,546520000</t>
  </si>
  <si>
    <t>1989-11-01,2640.570068,2718.219971,2563.110107,2706.270020,2706.270020,360280000</t>
  </si>
  <si>
    <t>1989-12-01,2712.669922,2784.770020,2658.699951,2753.199951,2753.199951,371300000</t>
  </si>
  <si>
    <t>1990-01-01,2748.719971,2834.040039,2513.060059,2590.540039,2590.540039,474840000</t>
  </si>
  <si>
    <t>1990-02-01,2594.139893,2674.320068,2540.989990,2627.250000,2627.250000,354130000</t>
  </si>
  <si>
    <t>1990-03-01,2621.620117,2775.000000,2607.879883,2707.209961,2707.209961,428150000</t>
  </si>
  <si>
    <t>1990-04-01,2684.010010,2793.469971,2627.699951,2656.760010,2656.760010,322230000</t>
  </si>
  <si>
    <t>1990-05-01,2668.459961,2908.209961,2651.350098,2876.659912,2876.659912,438950000</t>
  </si>
  <si>
    <t>1990-06-01,2900.969971,2956.929932,2821.530029,2880.689941,2880.689941,431010000</t>
  </si>
  <si>
    <t>1990-07-01,2883.169922,3024.260010,2833.169922,2905.199951,2905.199951,422380000</t>
  </si>
  <si>
    <t>1990-08-01,2909.899902,2931.189941,2459.409912,2614.360107,2614.360107,591380000</t>
  </si>
  <si>
    <t>1990-09-01,2590.840088,2665.350098,2367.820068,2452.479980,2452.479980,362900000</t>
  </si>
  <si>
    <t>1990-10-01,2474.250000,2565.350098,2344.310059,2442.330078,2442.330078,483000000</t>
  </si>
  <si>
    <t>1990-11-01,2441.830078,2581.189941,2415.590088,2559.649902,2559.649902,383280000</t>
  </si>
  <si>
    <t>1990-12-01,2572.270020,2662.620117,2534.649902,2633.659912,2633.659912,358840000</t>
  </si>
  <si>
    <t>1991-01-01,2627.229980,2747.280029,2447.030029,2736.389893,2736.389893,463830000</t>
  </si>
  <si>
    <t>1991-02-01,2735.389893,2955.199951,2694.310059,2882.179932,2882.179932,538640000</t>
  </si>
  <si>
    <t>1991-03-01,2859.649902,3017.820068,2829.209961,2913.860107,2913.860107,466850000</t>
  </si>
  <si>
    <t>1991-04-01,2901.979980,3030.449951,2848.510010,2887.870117,2887.870117,462060000</t>
  </si>
  <si>
    <t>1991-05-01,2901.479980,3044.500000,2834.530029,3027.500000,3027.500000,427100000</t>
  </si>
  <si>
    <t>1991-06-01,3023.030029,3057.469971,2879.250000,2906.750000,2906.750000,384160000</t>
  </si>
  <si>
    <t>1991-07-01,2925.540039,3039.580078,2897.360107,3024.820068,3024.820068,368370000</t>
  </si>
  <si>
    <t>1991-08-01,3022.800049,3068.649902,2836.310059,3043.600098,3043.600098,424680000</t>
  </si>
  <si>
    <t>1991-09-01,3042.040039,3066.639893,2963.100098,3016.770020,3016.770020,372770000</t>
  </si>
  <si>
    <t>1991-10-01,3026.159912,3091.010010,2925.540039,3069.100098,3069.100098,453990000</t>
  </si>
  <si>
    <t>1991-11-01,3075.360107,3091.909912,2861.139893,2894.679932,2894.679932,386040000</t>
  </si>
  <si>
    <t>1991-12-01,2866.280029,3204.610107,2832.290039,3168.830078,3168.830078,455170000</t>
  </si>
  <si>
    <t>1992-01-01,3152.100098,3299.189941,3139.310059,3223.399902,3223.399902,561160000</t>
  </si>
  <si>
    <t>1992-02-01,3223.399902,3293.379883,3207.959961,3267.699951,3267.699951,411150000</t>
  </si>
  <si>
    <t>1992-03-01,3267.699951,3299.639893,3188.280029,3235.500000,3235.500000,402410000</t>
  </si>
  <si>
    <t>1992-04-01,3235.500000,3366.500000,3161.229980,3359.100098,3359.100098,458300000</t>
  </si>
  <si>
    <t>1992-05-01,3359.100098,3440.669922,3324.020020,3396.899902,3396.899902,388240000</t>
  </si>
  <si>
    <t>1992-06-01,3396.899902,3422.280029,3254.050049,3318.500000,3318.500000,475360000</t>
  </si>
  <si>
    <t>1992-07-01,3318.800049,3402.959961,3266.530029,3393.800049,3393.800049,449770000</t>
  </si>
  <si>
    <t>1992-08-01,3393.800049,3399.989990,3207.100098,3257.399902,3257.399902,363380000</t>
  </si>
  <si>
    <t>1992-09-01,3257.399902,3376.489990,3242.760010,3271.699951,3271.699951,436570000</t>
  </si>
  <si>
    <t>1992-10-01,3271.699951,3280.850098,3095.790039,3226.300049,3226.300049,530760000</t>
  </si>
  <si>
    <t>1992-11-01,3226.300049,3308.409912,3184.669922,3305.199951,3305.199951,452340000</t>
  </si>
  <si>
    <t>1992-12-01,3305.199951,3352.709961,3248.159912,3301.110107,3301.110107,510650000</t>
  </si>
  <si>
    <t>1993-01-01,3301.100098,3320.830078,3231.949951,3310.000000,3310.000000,620010000</t>
  </si>
  <si>
    <t>1993-02-01,3310.000000,3456.729980,3266.800049,3370.810059,3370.810059,577510000</t>
  </si>
  <si>
    <t>1993-03-01,3370.800049,3482.120117,3343.260010,3435.110107,3435.110107,586100000</t>
  </si>
  <si>
    <t>1993-04-01,3435.100098,3481.580078,3363.790039,3427.550049,3427.550049,645990000</t>
  </si>
  <si>
    <t>1993-05-01,3439.399902,3565.070068,3415.330078,3527.429932,3527.429932,472660000</t>
  </si>
  <si>
    <t>1993-06-01,3527.399902,3569.780029,3462.659912,3516.080078,3516.080078,461140000</t>
  </si>
  <si>
    <t>1993-07-01,3516.100098,3583.500000,3449.899902,3539.469971,3539.469971,500980000</t>
  </si>
  <si>
    <t>1993-08-01,3539.500000,3663.830078,3536.959961,3651.250000,3651.250000,526610000</t>
  </si>
  <si>
    <t>1993-09-01,3651.300049,3655.719971,3507.060059,3555.120117,3555.120117,487790000</t>
  </si>
  <si>
    <t>1993-10-01,3555.100098,3708.820068,3553.719971,3680.590088,3680.590088,529130000</t>
  </si>
  <si>
    <t>1993-11-01,3680.600098,3717.760010,3600.669922,3683.949951,3683.949951,576680000</t>
  </si>
  <si>
    <t>1993-12-01,3685.100098,3799.919922,3685.060059,3754.090088,3754.090088,517250000</t>
  </si>
  <si>
    <t>1994-01-01,3754.100098,3985.959961,3742.810059,3978.360107,3978.360107,619530000</t>
  </si>
  <si>
    <t>1994-02-01,3978.399902,3982.020020,3632.020020,3832.020020,3832.020020,508560000</t>
  </si>
  <si>
    <t>1994-03-01,3832.000000,3895.939941,3559.090088,3635.959961,3635.959961,667490000</t>
  </si>
  <si>
    <t>1994-04-01,3634.500000,3710.840088,3552.469971,3681.689941,3681.689941,566680000</t>
  </si>
  <si>
    <t>1994-05-01,3681.699951,3772.790039,3623.100098,3758.370117,3758.370117,533470000</t>
  </si>
  <si>
    <t>1994-06-01,3758.399902,3823.389893,3610.399902,3624.959961,3624.959961,554560000</t>
  </si>
  <si>
    <t>1994-07-01,3625.000000,3770.000000,3623.020020,3764.500000,3764.500000,450610000</t>
  </si>
  <si>
    <t>1994-08-01,3764.500000,3939.320068,3736.330078,3913.419922,3913.419922,625170000</t>
  </si>
  <si>
    <t>1994-09-01,3913.100098,3992.639893,3820.310059,3843.189941,3843.189941,591450000</t>
  </si>
  <si>
    <t>1994-10-01,3843.199951,3949.840088,3747.969971,3908.120117,3908.120117,636250000</t>
  </si>
  <si>
    <t>1994-11-01,3907.780029,3907.780029,3638.629883,3739.229980,3739.229980,613270000</t>
  </si>
  <si>
    <t>1994-12-01,3739.199951,3866.399902,3655.110107,3834.439941,3834.439941,543610000</t>
  </si>
  <si>
    <t>1995-01-01,3834.399902,3936.719971,3817.260010,3843.860107,3843.860107,615760000</t>
  </si>
  <si>
    <t>1995-02-01,3843.899902,4021.229980,3831.409912,4011.050049,4011.050049,576090000</t>
  </si>
  <si>
    <t>1995-03-01,4011.100098,4198.839844,3945.689941,4157.689941,4157.689941,702540000</t>
  </si>
  <si>
    <t>1995-04-01,4157.700195,4328.529785,4155.959961,4321.270020,4321.270020,547570000</t>
  </si>
  <si>
    <t>1995-05-01,4321.299805,4465.140137,4301.560059,4465.140137,4465.140137,689940000</t>
  </si>
  <si>
    <t>1995-06-01,4465.100098,4593.100098,4406.689941,4556.100098,4556.100098,641520000</t>
  </si>
  <si>
    <t>1995-07-01,4556.100098,4747.209961,4551.250000,4708.470215,4708.470215,665580000</t>
  </si>
  <si>
    <t>1995-08-01,4708.500000,4754.959961,4570.850098,4610.560059,4610.560059,623030000</t>
  </si>
  <si>
    <t>1995-09-01,4610.200195,4816.540039,4607.029785,4789.080078,4789.080078,707190000</t>
  </si>
  <si>
    <t>1995-10-01,4789.799805,4816.899902,4659.740234,4755.479980,4755.479980,685570000</t>
  </si>
  <si>
    <t>1995-11-01,4753.700195,5118.930176,4744.640137,5074.490234,5074.490234,598970000</t>
  </si>
  <si>
    <t>1995-12-01,5075.600098,5235.620117,5051.729980,5117.120117,5117.120117,601160000</t>
  </si>
  <si>
    <t>1996-01-01,5115.700195,5408.669922,5014.520020,5395.299805,5395.299805,851030000</t>
  </si>
  <si>
    <t>1996-02-01,5394.899902,5659.399902,5348.339844,5485.620117,5485.620117,769130000</t>
  </si>
  <si>
    <t>1996-03-01,5488.200195,5709.970215,5424.200195,5587.140137,5587.140137,831070000</t>
  </si>
  <si>
    <t>1996-04-01,5588.600098,5697.689941,5415.529785,5569.080078,5569.080078,756530000</t>
  </si>
  <si>
    <t>1996-05-01,5567.600098,5796.100098,5342.200195,5643.180176,5643.180176,801900000</t>
  </si>
  <si>
    <t>1996-06-01,5643.899902,5742.540039,5580.379883,5654.629883,5654.629883,647790000</t>
  </si>
  <si>
    <t>1996-07-01,5654.600098,5733.310059,5182.319824,5528.910156,5528.910156,781850000</t>
  </si>
  <si>
    <t>1996-08-01,5528.899902,5739.020020,5524.100098,5616.209961,5616.209961,615820000</t>
  </si>
  <si>
    <t>1996-09-01,5611.799805,5929.890137,5561.459961,5882.169922,5882.169922,649320000</t>
  </si>
  <si>
    <t>1996-10-01,5878.399902,6133.729980,5861.669922,6029.379883,6029.379883,766260000</t>
  </si>
  <si>
    <t>1996-11-01,6027.100098,6589.529785,5998.819824,6521.700195,6521.700195,741560000</t>
  </si>
  <si>
    <t>1996-12-01,6520.600098,6587.049805,6236.049805,6448.270020,6448.270020,781180000</t>
  </si>
  <si>
    <t>1997-01-01,6447.500000,6906.600098,6352.830078,6813.089844,6813.089844,1003920000</t>
  </si>
  <si>
    <t>1997-02-01,6810.799805,7073.620117,6710.720215,6877.740234,6877.740234,765900000</t>
  </si>
  <si>
    <t>1997-03-01,6874.299805,7112.100098,6561.200195,6583.479980,6583.479980,962230000</t>
  </si>
  <si>
    <t>1997-04-01,6583.500000,7057.549805,6356.779785,7009.000000,7009.000000,1098930000</t>
  </si>
  <si>
    <t>1997-05-01,7008.990234,7394.950195,6913.470215,7331.000000,7331.000000,1046600000</t>
  </si>
  <si>
    <t>1997-06-01,7331.000000,7834.060059,7253.779785,7672.799805,7672.799805,1086740000</t>
  </si>
  <si>
    <t>1997-07-01,7678.000000,8282.769531,7667.359863,8222.599609,8222.599609,1265280000</t>
  </si>
  <si>
    <t>1997-08-01,8222.799805,8299.490234,7606.859863,7622.399902,7622.399902,1123190000</t>
  </si>
  <si>
    <t>1997-09-01,7631.700195,8035.629883,7580.850098,7945.299805,7945.299805,1212550000</t>
  </si>
  <si>
    <t>1997-10-01,7948.500000,8184.700195,6971.069824,7442.100098,7442.100098,1605030000</t>
  </si>
  <si>
    <t>1997-11-01,7445.799805,7881.069824,7349.990234,7823.100098,7823.100098,1068290000</t>
  </si>
  <si>
    <t>1997-12-01,7825.120117,8166.290039,7576.930176,7908.299805,7908.299805,1156060000</t>
  </si>
  <si>
    <t>1998-01-01,7910.200195,8035.540039,7443.410156,7906.500000,7906.500000,1324260000</t>
  </si>
  <si>
    <t>1998-02-01,7909.990234,8566.889648,7909.990234,8545.719727,8545.719727,1031480000</t>
  </si>
  <si>
    <t>1998-03-01,8544.469727,8959.240234,8405.719727,8799.809570,8799.809570,1191880000</t>
  </si>
  <si>
    <t>1998-04-01,8801.559570,9213.330078,8748.740234,9063.370117,9063.370117,1387960000</t>
  </si>
  <si>
    <t>1998-05-01,9066.610352,9261.910156,8788.099609,8899.950195,8899.950195,1075240000</t>
  </si>
  <si>
    <t>1998-06-01,8900.950195,9104.719727,8569.879883,8952.019531,8952.019531,1287570000</t>
  </si>
  <si>
    <t>1998-07-01,8958.990234,9367.839844,8816.089844,8883.290039,8883.290039,1413670000</t>
  </si>
  <si>
    <t>1998-08-01,8883.290039,8886.120117,7539.069824,7539.069824,7539.069824,1641660000</t>
  </si>
  <si>
    <t>1998-09-01,7545.759766,8182.470215,7400.299805,7842.620117,7842.620117,1897140000</t>
  </si>
  <si>
    <t>1998-10-01,7841.330078,8659.809570,7467.490234,8592.099609,8592.099609,1916330000</t>
  </si>
  <si>
    <t>1998-11-01,8595.700195,9380.200195,8595.700195,9116.549805,9116.549805,1389030000</t>
  </si>
  <si>
    <t>1998-12-01,9116.549805,9334.879883,8676.030273,9181.429688,9181.429688,1507520000</t>
  </si>
  <si>
    <t>1999-01-01,9184.009766,9647.959961,9063.259766,9358.830078,9358.830078,1746490000</t>
  </si>
  <si>
    <t>1999-02-01,9359.599609,9611.330078,9099.040039,9306.580078,9306.580078,1545220000</t>
  </si>
  <si>
    <t>1999-03-01,9307.389648,10085.309570,9211.230469,9786.160156,9786.160156,1993040000</t>
  </si>
  <si>
    <t>1999-04-01,9786.440430,10961.709961,9765.629883,10789.040039,10789.040039,2096500000</t>
  </si>
  <si>
    <t>1999-05-01,10789.040039,11130.669922,10434.259766,10559.740234,10559.740234,1842620000</t>
  </si>
  <si>
    <t>1999-06-01,10561.009766,11003.410156,10409.139648,10970.799805,10970.799805,1766990000</t>
  </si>
  <si>
    <t>1999-07-01,10966.049805,11252.269531,10647.860352,10655.150391,10655.150391,1672190000</t>
  </si>
  <si>
    <t>1999-08-01,10654.830078,11365.929688,10549.080078,10829.280273,10829.280273,1857760000</t>
  </si>
  <si>
    <t>1999-09-01,10828.440430,11142.410156,10081.129883,10336.950195,10336.950195,1751910000</t>
  </si>
  <si>
    <t>1999-10-01,10335.690430,10790.019531,9976.019531,10729.860352,10729.860352,2203030000</t>
  </si>
  <si>
    <t>1999-11-01,10730.780273,11112.769531,10536.269531,10877.809570,10877.809570,3250890000</t>
  </si>
  <si>
    <t>1999-12-01,10876.469727,11568.769531,10859.650391,11497.120117,11497.120117,3166150000</t>
  </si>
  <si>
    <t>2000-01-01,11501.849609,11750.280273,10701.639648,10940.530273,10940.530273,3854530000</t>
  </si>
  <si>
    <t>2000-02-01,10937.740234,11118.929688,9836.059570,10128.309570,10128.309570,3661120000</t>
  </si>
  <si>
    <t>2000-03-01,10128.110352,11234.650391,9731.809570,10921.919922,10921.919922,4754630000</t>
  </si>
  <si>
    <t>2000-04-01,10863.280273,11425.450195,10201.530273,10733.910156,10733.910156,4049750000</t>
  </si>
  <si>
    <t>2000-05-01,10749.419922,10971.240234,10258.809570,10522.330078,10522.330078,3816980000</t>
  </si>
  <si>
    <t>2000-06-01,10532.269531,10863.000000,10335.459961,10447.889648,10447.889648,3823590000</t>
  </si>
  <si>
    <t>2000-07-01,10450.360352,10874.629883,10393.089844,10521.980469,10521.980469,3248880000</t>
  </si>
  <si>
    <t>2000-08-01,10523.809570,11319.059570,10516.759766,11215.099609,11215.099609,3620730000</t>
  </si>
  <si>
    <t>2000-09-01,11219.540039,11401.190430,10567.320313,10650.919922,10650.919922,4639930000</t>
  </si>
  <si>
    <t>2000-10-01,10659.059570,10995.410156,9654.639648,10971.139648,10971.139648,6254820000</t>
  </si>
  <si>
    <t>2000-11-01,10966.209961,11006.500000,10292.389648,10414.490234,10414.490234,4680310000</t>
  </si>
  <si>
    <t>2000-12-01,10416.759766,10917.679688,10299.209961,10787.990234,10787.990234,5202580000</t>
  </si>
  <si>
    <t>2001-01-01,10790.919922,11028.000000,10468.040039,10887.360352,10887.360352,5825960000</t>
  </si>
  <si>
    <t>2001-02-01,10884.820313,11035.139648,10294.009766,10495.280273,10495.280273,4164820000</t>
  </si>
  <si>
    <t>2001-03-01,10493.250000,10859.500000,9106.540039,9878.780273,9878.780273,6086470000</t>
  </si>
  <si>
    <t>2001-04-01,9877.160156,10906.410156,9375.719727,10734.969727,10734.969727,5241100000</t>
  </si>
  <si>
    <t>2001-05-01,10734.049805,11350.049805,10673.219727,10911.940430,10911.940430,4518100000</t>
  </si>
  <si>
    <t>2001-06-01,10913.570313,11196.530273,10394.719727,10502.400391,10502.400391,4914500000</t>
  </si>
  <si>
    <t>2001-07-01,10504.950195,10679.120117,10120.889648,10522.809570,10522.809570,4605880000</t>
  </si>
  <si>
    <t>2001-08-01,10527.379883,10609.650391,9869.139648,9949.750000,9949.750000,4083400000</t>
  </si>
  <si>
    <t>2001-09-01,9946.980469,10182.379883,8062.339844,8847.559570,8847.559570,5555020000</t>
  </si>
  <si>
    <t>2001-10-01,8845.969727,9598.169922,8732.139648,9075.139648,9075.139648,5722030000</t>
  </si>
  <si>
    <t>2001-11-01,9087.450195,9992.790039,9014.459961,9851.559570,9851.559570,4722560000</t>
  </si>
  <si>
    <t>2001-12-01,9848.929688,10184.450195,9703.900391,10021.570313,10021.570313,4302710000</t>
  </si>
  <si>
    <t>2002-01-01,10021.709961,10300.150391,9529.459961,9920.000000,9920.000000,4955760000</t>
  </si>
  <si>
    <t>2002-02-01,9923.040039,10255.240234,9580.320313,10106.129883,10106.129883,4651890000</t>
  </si>
  <si>
    <t>2002-03-01,10111.040039,10673.099609,10111.040039,10403.940430,10403.940430,4589750000</t>
  </si>
  <si>
    <t>2002-04-01,10402.070313,10402.070313,9811.570313,9946.219727,9946.219727,5111860000</t>
  </si>
  <si>
    <t>2002-05-01,9944.900391,10353.429688,9802.230469,9925.250000,9925.250000,4800810000</t>
  </si>
  <si>
    <t>2002-06-01,9923.940430,9986.490234,8926.570313,9243.259766,9243.259766,5783720000</t>
  </si>
  <si>
    <t>2002-07-01,9239.250000,9410.379883,7532.660156,8736.589844,8736.589844,7714600000</t>
  </si>
  <si>
    <t>2002-08-01,8732.580078,9077.009766,8030.819824,8663.500000,8663.500000,5591350000</t>
  </si>
  <si>
    <t>2002-09-01,8659.269531,8726.900391,7460.779785,7591.930176,7591.930176,5601800000</t>
  </si>
  <si>
    <t>2002-10-01,7593.040039,8558.629883,7197.490234,8397.030273,8397.030273,7498850000</t>
  </si>
  <si>
    <t>2002-11-01,8395.639648,8950.330078,8298.679688,8896.089844,8896.089844,5410370000</t>
  </si>
  <si>
    <t>2002-12-01,8902.950195,9043.370117,8242.910156,8341.629883,8341.629883,4607200000</t>
  </si>
  <si>
    <t>2003-01-01,8342.379883,8869.290039,7917.160156,8053.810059,8053.810059,5426600000</t>
  </si>
  <si>
    <t>2003-02-01,8053.740234,8152.529785,7628.990234,7891.080078,7891.080078,4418320000</t>
  </si>
  <si>
    <t>2003-03-01,7890.240234,8522.179688,7416.640137,7992.129883,7992.129883,5616290000</t>
  </si>
  <si>
    <t>2003-04-01,7992.830078,8559.769531,7979.689941,8480.089844,8480.089844,5128590000</t>
  </si>
  <si>
    <t>2003-05-01,8478.480469,8868.330078,8340.230469,8850.259766,8850.259766,4686280000</t>
  </si>
  <si>
    <t>2003-06-01,8851.450195,9352.769531,8851.450195,8985.440430,8985.440430,4987850000</t>
  </si>
  <si>
    <t>2003-07-01,8983.660156,9361.400391,8871.200195,9233.799805,9233.799805,4911390000</t>
  </si>
  <si>
    <t>2003-08-01,9232.679688,9499.969727,8997.110352,9415.820313,9415.820313,3853760000</t>
  </si>
  <si>
    <t>2003-09-01,9416.669922,9686.080078,9230.469727,9275.059570,9275.059570,4385460000</t>
  </si>
  <si>
    <t>2003-10-01,9276.799805,9850.009766,9276.799805,9801.120117,9801.120117,4840970000</t>
  </si>
  <si>
    <t>2003-11-01,9802.459961,9903.570313,9585.500000,9782.459961,9782.459961,3548520000</t>
  </si>
  <si>
    <t>2003-12-01,9785.349609,10462.440430,9785.349609,10453.919922,10453.919922,4246080000</t>
  </si>
  <si>
    <t>2004-01-01,10452.740234,10705.179688,10367.410156,10488.070313,10488.070313,4380510000</t>
  </si>
  <si>
    <t>2004-02-01,10487.780273,10753.629883,10434.669922,10583.919922,10583.919922,3894640000</t>
  </si>
  <si>
    <t>2004-03-01,10582.250000,10695.549805,10007.490234,10357.700195,10357.700195,5009640000</t>
  </si>
  <si>
    <t>2004-04-01,10357.519531,10570.809570,10219.179688,10225.570313,10225.570313,4530000000</t>
  </si>
  <si>
    <t>2004-05-01,10227.269531,10386.320313,9852.190430,10188.450195,10188.450195,4016800000</t>
  </si>
  <si>
    <t>2004-06-01,10187.179688,10498.669922,10134.860352,10435.480469,10435.480469,4111110000</t>
  </si>
  <si>
    <t>2004-07-01,10434.000000,10448.089844,9913.919922,10139.709961,10139.709961,4452180000</t>
  </si>
  <si>
    <t>2004-08-01,10138.450195,10211.250000,9783.910156,10173.919922,10173.919922,3756550000</t>
  </si>
  <si>
    <t>2004-09-01,10170.120117,10363.360352,9977.919922,10080.269531,10080.269531,4638370000</t>
  </si>
  <si>
    <t>2004-10-01,10082.040039,10270.370117,9708.400391,10027.469727,10027.469727,5292920000</t>
  </si>
  <si>
    <t>2004-11-01,10028.730469,10602.849609,10010.150391,10428.019531,10428.019531,5666600000</t>
  </si>
  <si>
    <t>2004-12-01,10425.799805,10868.070313,10418.629883,10783.009766,10783.009766,5744730000</t>
  </si>
  <si>
    <t>2005-01-01,10783.750000,10867.389648,10368.610352,10489.940430,10489.940430,5424930000</t>
  </si>
  <si>
    <t>2005-02-01,10489.719727,10853.429688,10489.639648,10766.230469,10766.230469,5038600000</t>
  </si>
  <si>
    <t>2005-03-01,10769.040039,10984.459961,10396.240234,10503.759766,10503.759766,5820160000</t>
  </si>
  <si>
    <t>2005-04-01,10504.570313,10568.929688,10000.459961,10192.509766,10192.509766,5852240000</t>
  </si>
  <si>
    <t>2005-05-01,10192.000000,10560.809570,10075.549805,10467.480469,10467.480469,4843000000</t>
  </si>
  <si>
    <t>2005-06-01,10462.860352,10656.290039,10253.490234,10274.969727,10274.969727,5026730000</t>
  </si>
  <si>
    <t>2005-07-01,10273.589844,10717.730469,10175.400391,10640.910156,10640.910156,4821200000</t>
  </si>
  <si>
    <t>2005-08-01,10641.780273,10719.410156,10349.370117,10481.599609,10481.599609,5082400000</t>
  </si>
  <si>
    <t>2005-09-01,10481.440430,10701.809570,10350.959961,10568.700195,10568.700195,5229310000</t>
  </si>
  <si>
    <t>2005-10-01,10569.500000,10608.559570,10156.459961,10440.070313,10440.070313,5829060000</t>
  </si>
  <si>
    <t>2005-11-01,10440.070313,10959.790039,10388.759766,10805.870117,10805.870117,5385780000</t>
  </si>
  <si>
    <t>2005-12-01,10806.030273,10940.339844,10709.419922,10717.500000,10717.500000,5223910000</t>
  </si>
  <si>
    <t>2006-01-01,10718.299805,11047.759766,10661.150391,10864.860352,10864.860352,6552210000</t>
  </si>
  <si>
    <t>2006-02-01,10862.139648,11159.179688,10737.669922,10993.410156,10993.410156,5759090000</t>
  </si>
  <si>
    <t>2006-03-01,10993.250000,11334.959961,10922.730469,11109.320313,11109.320313,6680180000</t>
  </si>
  <si>
    <t>2006-04-01,11113.000000,11417.660156,11039.120117,11367.139648,11367.139648,5584020000</t>
  </si>
  <si>
    <t>2006-05-01,11367.780273,11670.190430,11030.469727,11168.309570,11168.309570,7360590000</t>
  </si>
  <si>
    <t>2006-06-01,11169.030273,11285.820313,10698.849609,11150.219727,11150.219727,6959660000</t>
  </si>
  <si>
    <t>2006-07-01,11149.339844,11257.080078,10683.320313,11185.679688,11185.679688,5548680000</t>
  </si>
  <si>
    <t>2006-08-01,11184.799805,11407.080078,11042.639648,11381.150391,11381.150391,4668650000</t>
  </si>
  <si>
    <t>2006-09-01,11382.750000,11741.990234,11323.839844,11679.070313,11679.070313,4494890000</t>
  </si>
  <si>
    <t>2006-10-01,11678.990234,12167.019531,11653.059570,12080.730469,12080.730469,5665820000</t>
  </si>
  <si>
    <t>2006-11-01,12080.250000,12361.000000,11965.309570,12221.929688,12221.929688,4722850000</t>
  </si>
  <si>
    <t>2006-12-01,12220.969727,12529.879883,12089.980469,12463.150391,12463.150391,4381310000</t>
  </si>
  <si>
    <t>2007-01-01,12459.540039,12657.019531,12337.370117,12621.690430,12621.690430,5075440000</t>
  </si>
  <si>
    <t>2007-02-01,12617.200195,12795.929688,12086.059570,12268.629883,12268.629883,4347420000</t>
  </si>
  <si>
    <t>2007-03-01,12268.629883,12511.049805,11939.610352,12354.349609,12354.349609,5633180000</t>
  </si>
  <si>
    <t>2007-04-01,12354.519531,13162.059570,12324.280273,13062.910156,13062.910156,4819810000</t>
  </si>
  <si>
    <t>2007-05-01,13062.750000,13673.070313,13041.299805,13627.639648,13627.639648,5039850000</t>
  </si>
  <si>
    <t>2007-06-01,13628.690430,13692.000000,13251.530273,13408.620117,13408.620117,5227620000</t>
  </si>
  <si>
    <t>2007-07-01,13409.599609,14021.950195,13199.790039,13211.990234,13211.990234,5512040000</t>
  </si>
  <si>
    <t>2007-08-01,13211.089844,13695.820313,12517.940430,13357.740234,13357.740234,6199120000</t>
  </si>
  <si>
    <t>2007-09-01,13358.389648,13924.809570,13021.929688,13895.629883,13895.629883,4328370000</t>
  </si>
  <si>
    <t>2007-10-01,13895.709961,14198.099609,13407.490234,13930.009766,13930.009766,5010920000</t>
  </si>
  <si>
    <t>2007-11-01,13924.160156,13924.160156,12724.089844,13371.719727,13371.719727,5980230000</t>
  </si>
  <si>
    <t>2007-12-01,13368.219727,13780.110352,13092.000000,13264.820313,13264.820313,4310320000</t>
  </si>
  <si>
    <t>2008-01-01,13261.820313,13279.540039,11634.820313,12650.360352,12650.360352,7459830000</t>
  </si>
  <si>
    <t>2008-02-01,12638.169922,12767.740234,12069.469727,12266.389648,12266.389648,5720360000</t>
  </si>
  <si>
    <t>2008-03-01,12264.360352,12622.070313,11731.599609,12262.889648,12262.889648,6229020000</t>
  </si>
  <si>
    <t>2008-04-01,12266.639648,13010.000000,12266.469727,12820.129883,12820.129883,5050840000</t>
  </si>
  <si>
    <t>2008-05-01,12818.339844,13136.690430,12442.589844,12638.320313,12638.320313,4530790000</t>
  </si>
  <si>
    <t>2008-06-01,12637.669922,12638.080078,11287.559570,11350.009766,11350.009766,5309950000</t>
  </si>
  <si>
    <t>2008-07-01,11344.639648,11698.169922,10827.709961,11378.019531,11378.019531,5551580000</t>
  </si>
  <si>
    <t>2008-08-01,11379.889648,11867.110352,11221.530273,11543.959961,11543.959961,3578210000</t>
  </si>
  <si>
    <t>2008-09-01,11545.629883,11790.169922,10365.450195,10850.660156,10850.660156,6302330000</t>
  </si>
  <si>
    <t>2008-10-01,10847.400391,10882.519531,7882.509766,9325.009766,9325.009766,8311580000</t>
  </si>
  <si>
    <t>2008-11-01,9326.040039,9653.950195,7449.379883,8829.040039,8829.040039,6262880000</t>
  </si>
  <si>
    <t>2008-12-01,8826.889648,9026.410156,8118.500000,8776.389648,8776.389648,5701870000</t>
  </si>
  <si>
    <t>2009-01-01,8772.250000,9088.059570,7909.029785,8000.859863,8000.859863,6261980000</t>
  </si>
  <si>
    <t>2009-02-01,8000.620117,8315.070313,7033.620117,7062.930176,7062.930176,7134360000</t>
  </si>
  <si>
    <t>2009-03-01,7056.479980,7931.330078,6469.950195,7608.919922,7608.919922,10561060000</t>
  </si>
  <si>
    <t>2009-04-01,7606.129883,8307.509766,7483.870117,8168.120117,8168.120117,7795900000</t>
  </si>
  <si>
    <t>2009-05-01,8167.410156,8591.929688,8099.310059,8500.330078,8500.330078,6734390000</t>
  </si>
  <si>
    <t>2009-06-01,8501.530273,8877.929688,8259.429688,8447.000000,8447.000000,5524080000</t>
  </si>
  <si>
    <t>2009-07-01,8447.530273,9246.429688,8087.189941,9171.610352,9171.610352,4902340000</t>
  </si>
  <si>
    <t>2009-08-01,9173.650391,9630.200195,9116.519531,9496.280273,9496.280273,4042210000</t>
  </si>
  <si>
    <t>2009-09-01,9492.320313,9917.990234,9252.929688,9712.280273,9712.280273,4478480000</t>
  </si>
  <si>
    <t>2009-10-01,9711.599609,10119.469727,9430.080078,9712.730469,9712.730469,5151150000</t>
  </si>
  <si>
    <t>2009-11-01,9712.129883,10495.610352,9678.950195,10344.839844,10344.839844,3813550000</t>
  </si>
  <si>
    <t>2009-12-01,10343.820313,10580.330078,10235.629883,10428.049805,10428.049805,4174040000</t>
  </si>
  <si>
    <t>2010-01-01,10430.690430,10729.889648,10043.750000,10067.330078,10067.330078,4424700000</t>
  </si>
  <si>
    <t>2010-02-01,10068.990234,10438.549805,9835.089844,10325.259766,10325.259766,4279660000</t>
  </si>
  <si>
    <t>2010-03-01,10326.099609,10955.480469,10326.099609,10856.629883,10856.629883,4388530000</t>
  </si>
  <si>
    <t>2010-04-01,10857.309570,11258.009766,10844.089844,11008.610352,11008.610352,4237550000</t>
  </si>
  <si>
    <t>2010-05-01,11009.599609,11177.669922,9774.480469,10136.629883,10136.629883,5605690000</t>
  </si>
  <si>
    <t>2010-06-01,10133.940430,10594.160156,9753.839844,9774.019531,9774.019531,4941680000</t>
  </si>
  <si>
    <t>2010-07-01,9773.269531,10584.990234,9614.320313,10465.940430,10465.940430,4243320000</t>
  </si>
  <si>
    <t>2010-08-01,10468.820313,10719.940430,9936.620117,10014.719727,10014.719727,4117550000</t>
  </si>
  <si>
    <t>2010-09-01,10016.009766,10948.879883,10016.009766,10788.049805,10788.049805,3764970000</t>
  </si>
  <si>
    <t>2010-10-01,10789.719727,11247.599609,10711.120117,11118.490234,11118.490234,3787250000</t>
  </si>
  <si>
    <t>2010-11-01,11120.299805,11451.530273,10929.280273,11006.019531,11006.019531,3808130000</t>
  </si>
  <si>
    <t>2010-12-01,11007.230469,11625.000000,11007.230469,11577.509766,11577.509766,3252900000</t>
  </si>
  <si>
    <t>2011-01-01,11577.429688,12020.519531,11573.870117,11891.929688,11891.929688,3681720000</t>
  </si>
  <si>
    <t>2011-02-01,11892.500000,12391.290039,11892.500000,12226.339844,12226.339844,3220480000</t>
  </si>
  <si>
    <t>2011-03-01,12226.490234,12383.459961,11555.480469,12319.730469,12319.730469,3851830000</t>
  </si>
  <si>
    <t>2011-04-01,12321.019531,12832.830078,12093.889648,12810.540039,12810.540039,3321090000</t>
  </si>
  <si>
    <t>2011-05-01,12810.160156,12876.000000,12309.519531,12569.790039,12569.790039,3578020000</t>
  </si>
  <si>
    <t>2011-06-01,12569.410156,12569.490234,11862.530273,12414.339844,12414.339844,3876460000</t>
  </si>
  <si>
    <t>2011-07-01,12414.339844,12753.889648,12083.450195,12143.240234,12143.240234,3092480000</t>
  </si>
  <si>
    <t>2011-08-01,12144.219727,12282.419922,10604.070313,11613.530273,11613.530273,6203230000</t>
  </si>
  <si>
    <t>2011-09-01,11613.299805,11716.839844,10597.139648,10913.379883,10913.379883,4396520000</t>
  </si>
  <si>
    <t>2011-10-01,10912.099609,12284.309570,10404.490234,11955.009766,11955.009766,3907730000</t>
  </si>
  <si>
    <t>2011-11-01,11951.530273,12187.509766,11231.429688,12045.679688,12045.679688,3263110000</t>
  </si>
  <si>
    <t>2011-12-01,12046.209961,12328.469727,11735.190430,12217.559570,12217.559570,3071480000</t>
  </si>
  <si>
    <t>2012-01-01,12221.190430,12841.950195,12221.190430,12632.910156,12632.910156,2981080000</t>
  </si>
  <si>
    <t>2012-02-01,12632.759766,13055.750000,12632.759766,12952.070313,12952.070313,2712170000</t>
  </si>
  <si>
    <t>2012-03-01,12952.290039,13289.080078,12734.860352,13212.040039,13212.040039,3203390000</t>
  </si>
  <si>
    <t>2012-04-01,13211.360352,13297.110352,12710.559570,13213.629883,13213.629883,2574900000</t>
  </si>
  <si>
    <t>2012-05-01,13214.160156,13338.660156,12311.559570,12393.450195,12393.450195,3050000000</t>
  </si>
  <si>
    <t>2012-06-01,12391.559570,12898.940430,12035.089844,12880.089844,12880.089844,2923670000</t>
  </si>
  <si>
    <t>2012-07-01,12879.709961,13128.639648,12492.250000,13008.679688,13008.679688,2578110000</t>
  </si>
  <si>
    <t>2012-08-01,13007.469727,13330.759766,12778.900391,13090.839844,13090.839844,2267280000</t>
  </si>
  <si>
    <t>2012-09-01,13092.150391,13653.240234,12977.089844,13437.129883,13437.129883,2701270000</t>
  </si>
  <si>
    <t>2012-10-01,13437.660156,13661.870117,13017.370117,13096.459961,13096.459961,2472600000</t>
  </si>
  <si>
    <t>2012-11-01,13099.190430,13290.750000,12471.490234,13025.580078,13025.580078,2683930000</t>
  </si>
  <si>
    <t>2012-12-01,13027.730469,13365.860352,12883.889648,13104.139648,13104.139648,2666750000</t>
  </si>
  <si>
    <t>2013-01-01,13104.299805,13969.990234,13104.299805,13860.580078,13860.580078,2786680000</t>
  </si>
  <si>
    <t>2013-02-01,13860.580078,14149.150391,13784.009766,14054.490234,14054.490234,2487580000</t>
  </si>
  <si>
    <t>2013-03-01,14054.490234,14585.099609,13937.599609,14578.540039,14578.540039,2546320000</t>
  </si>
  <si>
    <t>2013-04-01,14578.540039,14887.509766,14434.429688,14839.799805,14839.799805,2920230000</t>
  </si>
  <si>
    <t>2013-05-01,14839.799805,15542.400391,14687.049805,15115.570313,15115.570313,2771510000</t>
  </si>
  <si>
    <t>2013-06-01,15123.549805,15340.089844,14551.269531,14909.599609,14909.599609,2929040000</t>
  </si>
  <si>
    <t>2013-07-01,14911.599609,15634.320313,14858.929688,15499.540039,15499.540039,2623130000</t>
  </si>
  <si>
    <t>2013-08-01,15503.849609,15658.429688,14760.410156,14810.309570,14810.309570,2327660000</t>
  </si>
  <si>
    <t>2013-09-01,14801.549805,15709.580078,14777.480469,15129.669922,15129.669922,2371540000</t>
  </si>
  <si>
    <t>2013-10-01,15132.490234,15721.000000,14719.429688,15545.750000,15545.750000,2206620000</t>
  </si>
  <si>
    <t>2013-11-01,15558.009766,16174.509766,15522.179688,16086.410156,16086.410156,1820260000</t>
  </si>
  <si>
    <t>2013-12-01,16087.120117,16588.250000,15703.790039,16576.660156,16576.660156,2057160000</t>
  </si>
  <si>
    <t>2014-01-01,16572.169922,16573.070313,15617.549805,15698.849609,15698.849609,2177040000</t>
  </si>
  <si>
    <t>2014-02-01,15697.690430,16398.949219,15340.690430,16321.709961,16321.709961,2067820000</t>
  </si>
  <si>
    <t>2014-03-01,16321.709961,16505.699219,16046.990234,16457.660156,16457.660156,2095940000</t>
  </si>
  <si>
    <t>2014-04-01,16458.050781,16631.630859,16015.320313,16580.839844,16580.839844,1986960000</t>
  </si>
  <si>
    <t>2014-05-01,16580.259766,16735.509766,16341.299805,16717.169922,16717.169922,1643160000</t>
  </si>
  <si>
    <t>2014-06-01,16716.849609,16978.019531,16673.650391,16826.599609,16826.599609,1755480000</t>
  </si>
  <si>
    <t>2014-07-01,16828.529297,17151.560547,16563.300781,16563.300781,16563.300781,1690880000</t>
  </si>
  <si>
    <t>2014-08-01,16561.699219,17153.800781,16333.780273,17098.449219,17098.449219,1482600000</t>
  </si>
  <si>
    <t>2014-09-01,17097.419922,17350.640625,16934.429688,17042.900391,17042.900391,1870550000</t>
  </si>
  <si>
    <t>2014-10-01,17040.460938,17395.539063,15855.120117,17390.519531,17390.519531,2903240000</t>
  </si>
  <si>
    <t>2014-11-01,17390.900391,17894.830078,17278.359375,17828.240234,17828.240234,1516490000</t>
  </si>
  <si>
    <t>2014-12-01,17827.269531,18103.449219,17067.589844,17823.070313,17823.070313,2216900000</t>
  </si>
  <si>
    <t>2015-01-01,17823.070313,17951.779297,17136.300781,17164.949219,17164.949219,2173260000</t>
  </si>
  <si>
    <t>2015-02-01,17169.990234,18244.380859,17037.759766,18132.699219,18132.699219,1751250000</t>
  </si>
  <si>
    <t>2015-03-01,18134.050781,18288.630859,17579.269531,17776.119141,17776.119141,2470480000</t>
  </si>
  <si>
    <t>2015-04-01,17778.519531,18175.560547,17585.009766,17840.519531,17840.519531,2174880000</t>
  </si>
  <si>
    <t>2015-05-01,17859.269531,18351.359375,17733.119141,18010.679688,18010.679688,1832450000</t>
  </si>
  <si>
    <t>2015-06-01,18017.820313,18188.810547,17576.500000,17619.509766,17619.509766,2219240000</t>
  </si>
  <si>
    <t>2015-07-01,17638.119141,18137.119141,17399.169922,17689.859375,17689.859375,2034220000</t>
  </si>
  <si>
    <t>2015-08-01,17696.740234,17704.759766,15370.330078,16528.029297,16528.029297,2726340000</t>
  </si>
  <si>
    <t>2015-09-01,16528.029297,16933.429688,15942.370117,16284.700195,16284.700195,2724080000</t>
  </si>
  <si>
    <t>2015-10-01,16278.620117,17799.960938,16013.660156,17663.539063,17663.539063,2605470000</t>
  </si>
  <si>
    <t>2015-11-01,17672.619141,17977.849609,17210.429688,17719.919922,17719.919922,2334610000</t>
  </si>
  <si>
    <t>2015-12-01,17719.720703,17901.580078,17116.730469,17425.029297,17425.029297,2521440000</t>
  </si>
  <si>
    <t>2016-01-01,17405.480469,17405.480469,15450.559570,16466.300781,16466.300781,2844080000</t>
  </si>
  <si>
    <t>2016-02-01,16453.630859,16795.980469,15503.009766,16516.500000,16516.500000,2491810000</t>
  </si>
  <si>
    <t>2016-03-01,16545.669922,17790.109375,16545.669922,17685.089844,17685.089844,2407750000</t>
  </si>
  <si>
    <t>2016-04-01,17661.740234,18167.630859,17484.230469,17773.640625,17773.640625,2096650000</t>
  </si>
  <si>
    <t>2016-05-01,17783.779297,17934.609375,17331.070313,17787.199219,17787.199219,1879010000</t>
  </si>
  <si>
    <t>2016-06-01,17754.550781,18016.000000,17063.080078,17929.990234,17929.990234,2350020000</t>
  </si>
  <si>
    <t>2016-07-01,17924.240234,18622.009766,17713.449219,18432.240234,18432.240234,1816520000</t>
  </si>
  <si>
    <t>2016-08-01,18434.500000,18722.609375,18247.789063,18400.880859,18400.880859,1695750000</t>
  </si>
  <si>
    <t>2016-09-01,18396.570313,18551.539063,17992.210938,18308.150391,18308.150391,2101120000</t>
  </si>
  <si>
    <t>2016-10-01,18279.599609,18399.960938,17959.949219,18142.419922,18142.419922,1793690000</t>
  </si>
  <si>
    <t>2016-11-01,18158.240234,19225.289063,17883.560547,19123.580078,19123.580078,2107770000</t>
  </si>
  <si>
    <t>2016-12-01,19149.199219,19987.630859,19138.789063,19762.599609,19762.599609,5952470000</t>
  </si>
  <si>
    <t>2017-01-01,19872.859375,20125.580078,19677.939453,19864.089844,19864.089844,6482900000</t>
  </si>
  <si>
    <t>2017-02-01,19923.810547,20851.330078,19831.089844,20812.240234,20812.240234,6185580000</t>
  </si>
  <si>
    <t>2017-03-01,20957.289063,21169.109375,20412.800781,20663.220703,20663.220703,6941970000</t>
  </si>
  <si>
    <t>2017-04-01,20665.169922,21070.900391,20379.550781,20940.509766,20940.509766,5392630000</t>
  </si>
  <si>
    <t>2017-05-01,20962.730469,21112.320313,20553.449219,21008.650391,21008.650391,6613570000</t>
  </si>
  <si>
    <t>2017-06-01,21030.550781,21535.029297,20994.220703,21349.630859,21349.630859,7214590000</t>
  </si>
  <si>
    <t>2017-07-01,21392.300781,21929.800781,21279.300781,21891.119141,21891.119141,5569720000</t>
  </si>
  <si>
    <t>2017-08-01,21961.419922,22179.109375,21600.339844,21948.099609,21948.099609,6150060000</t>
  </si>
  <si>
    <t>2017-09-01,21981.769531,22419.509766,21709.630859,22405.089844,22405.089844,6342130000</t>
  </si>
  <si>
    <t>2017-10-01,22423.470703,23485.250000,22416.000000,23377.240234,23377.240234,7302910000</t>
  </si>
  <si>
    <t>2017-11-01,23442.900391,24327.820313,23242.750000,24272.349609,24272.349609,7335640000</t>
  </si>
  <si>
    <t>2017-12-01,24305.400391,24876.070313,23921.900391,24719.220703,24719.220703,6589890000</t>
  </si>
  <si>
    <t>2018-01-01,24809.349609,26616.710938,24741.699219,26149.390625,26149.390625,9116920000</t>
  </si>
  <si>
    <t>2018-02-01,26083.039063,26306.699219,23360.289063,25029.199219,25029.199219,9450250000</t>
  </si>
  <si>
    <t>2018-03-01,25024.039063,25449.150391,23509.060547,24103.109375,24103.109375,8873040000</t>
  </si>
  <si>
    <t>2018-04-01,24076.599609,24858.970703,23344.519531,24163.150391,24163.150391,8064550000</t>
  </si>
  <si>
    <t>2018-05-01,24117.289063,25086.490234,23531.310547,24415.839844,24415.839844,7278020000</t>
  </si>
  <si>
    <t>2018-06-01,24542.089844,25402.830078,23997.210938,24271.410156,24271.410156,7411110000</t>
  </si>
  <si>
    <t>2018-07-01,24161.529297,25587.240234,24077.560547,25415.189453,25415.189453,5408500000</t>
  </si>
  <si>
    <t>2018-08-01,25461.630859,26167.939453,24965.769531,25964.820313,25964.820313,5635410000</t>
  </si>
  <si>
    <t>2018-09-01,25916.070313,26769.160156,25754.320313,26458.310547,26458.310547,5262500000</t>
  </si>
  <si>
    <t>2018-10-01,26598.359375,26951.810547,24122.230469,25115.759766,25115.759766,8373350000</t>
  </si>
  <si>
    <t>2018-11-01,25142.080078,26277.820313,24268.740234,25538.460938,25538.460938,7226940000</t>
  </si>
  <si>
    <t>2018-12-01,25779.570313,25980.210938,21712.529297,23327.460938,23327.460938,8101540000</t>
  </si>
  <si>
    <t>2019-01-01,23058.609375,25109.619141,22638.410156,24999.669922,24999.669922,7189200000</t>
  </si>
  <si>
    <t>2019-02-01,25025.310547,26241.419922,24883.039063,25916.000000,25916.000000,5434540000</t>
  </si>
  <si>
    <t>2019-03-01,26019.669922,26155.980469,25208.000000,25928.679688,25928.679688,6734060000</t>
  </si>
  <si>
    <t>2019-04-01,26075.099609,26695.960938,26062.589844,26592.910156,26592.910156,5854600000</t>
  </si>
  <si>
    <t>2019-05-01,26639.060547,26689.390625,24809.509766,24815.039063,24815.039063,6358230000</t>
  </si>
  <si>
    <t>2019-06-01,24830.160156,26907.369141,24680.570313,26599.960938,26599.960938,5544390000</t>
  </si>
  <si>
    <t>2019-07-01,26805.859375,27398.679688,26616.210938,26864.269531,26864.269531,5207470000</t>
  </si>
  <si>
    <t>2019-08-01,26879.859375,27175.589844,25339.599609,26403.279297,26403.279297,8170730000</t>
  </si>
  <si>
    <t>2019-09-01,26198.259766,27306.730469,25978.220703,26916.830078,26916.830078,5045520000</t>
  </si>
  <si>
    <t>2019-10-01,26962.539063,27204.359375,25743.460938,27046.230469,27046.230469,5660960000</t>
  </si>
  <si>
    <t>2019-11-01,27142.949219,28174.970703,27142.949219,28051.410156,28051.410156,4925180000</t>
  </si>
  <si>
    <t>2019-12-01,28109.740234,28701.660156,27325.130859,28538.439453,28538.439453,5086880000</t>
  </si>
  <si>
    <t>2020-01-01,28638.970703,29373.619141,28169.529297,28256.029297,28256.029297,6170770000</t>
  </si>
  <si>
    <t>2020-02-01,28319.650391,29568.570313,24681.009766,25409.359375,25409.359375,6991990000</t>
  </si>
  <si>
    <t>2020-03-01,25590.509766,27102.339844,18213.650391,21917.160156,21917.160156,15521140000</t>
  </si>
  <si>
    <t>2020-04-01,21227.380859,24764.769531,20735.019531,24345.720703,24345.720703,9795600000</t>
  </si>
  <si>
    <t>2020-05-01,24120.779297,25758.789063,22789.619141,25383.109375,25383.109375,7940630000</t>
  </si>
  <si>
    <t>2020-06-01,25342.990234,27580.210938,24843.179688,25812.880859,25812.880859,9710480000</t>
  </si>
  <si>
    <t>2020-07-01,3105.919922,3279.989990,3101.169922,3271.120117,3271.120117,97197020000</t>
  </si>
  <si>
    <t>2020-07-01,25879.380859,27071.330078,25523.509766,26428.320313,26428.320313,8210370000</t>
  </si>
  <si>
    <t>S&amp;P_500</t>
  </si>
  <si>
    <t>DJI</t>
  </si>
  <si>
    <t>Change</t>
  </si>
  <si>
    <t>https://query1.finance.yahoo.com/v7/finance/download/%5EGSPC?period1=489024000&amp;period2=1593648000&amp;interval=1mo&amp;events=history</t>
  </si>
  <si>
    <t>Working period</t>
  </si>
  <si>
    <t># of months</t>
  </si>
  <si>
    <t>Montly saving</t>
  </si>
  <si>
    <t>accumulated capital</t>
  </si>
  <si>
    <t>Retirement</t>
  </si>
  <si>
    <t>Montly withdrawal</t>
  </si>
  <si>
    <t>SnP</t>
  </si>
  <si>
    <t>Case 1 - monthly investment missing</t>
  </si>
  <si>
    <t>Case 2 - lenght of retirement missing</t>
  </si>
  <si>
    <t>Case 3 - retirement age missing</t>
  </si>
  <si>
    <t>Case 4 - expected income missing</t>
  </si>
  <si>
    <t xml:space="preserve">Whether the goal is to achieve early financial independence or to not entirely be dependent on the state retirement system, the FIRE movement have made a huge uproar among the called Millenial generation. As the generation has more consciousness regarding the finances, the FIRE movement are enabling them to understand investments and pension so that each of them might be able to retire early and do what they love. This calculator is developed as a tool to help the movement for easier understanding and spreading the word. </t>
  </si>
  <si>
    <t>Monthly interest</t>
  </si>
  <si>
    <t>By Jakub Černý, Jan Malecha, Tiep Luu Danh</t>
  </si>
  <si>
    <t>Function Name</t>
  </si>
  <si>
    <t>Purpose</t>
  </si>
  <si>
    <t>Comments</t>
  </si>
  <si>
    <t>ExtractData()</t>
  </si>
  <si>
    <t>Its purpose is to download the financial data regarding stock price of the S&amp;P and DJI price.</t>
  </si>
  <si>
    <t xml:space="preserve">It uses yahoo provided url links to download the necessary data. </t>
  </si>
  <si>
    <t>EstimateRetirement()</t>
  </si>
  <si>
    <t>Estimate the retirement age given other information</t>
  </si>
  <si>
    <t>EstimateInvestment()</t>
  </si>
  <si>
    <t>Estimate the required monthly investment amount given other information.</t>
  </si>
  <si>
    <t>EstimateFutureIncom()</t>
  </si>
  <si>
    <t>Estimate the expected monthly income from the invested portfolio given other information</t>
  </si>
  <si>
    <t>EstimateIncomeDuration()</t>
  </si>
  <si>
    <t xml:space="preserve">Estimate the expected duration of the future income stream given other information.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</si>
</sst>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0.00\ &quot;Kč&quot;;[Red]\-#,##0.00\ &quot;Kč&quot;"/>
    <numFmt numFmtId="43" formatCode="_-* #,##0.00_-;\-* #,##0.00_-;_-* &quot;-&quot;??_-;_-@_-"/>
    <numFmt numFmtId="164" formatCode="_-* #,##0_-;\-* #,##0_-;_-* &quot;-&quot;??_-;_-@_-"/>
    <numFmt numFmtId="165" formatCode="#,###.00"/>
    <numFmt numFmtId="166" formatCode="#\ ###.00"/>
  </numFmts>
  <fonts count="7" x14ac:knownFonts="1">
    <font>
      <sz val="11"/>
      <color theme="1"/>
      <name val="Calibri"/>
      <family val="2"/>
      <scheme val="minor"/>
    </font>
    <font>
      <sz val="11"/>
      <color theme="1"/>
      <name val="Calibri"/>
      <family val="2"/>
      <scheme val="minor"/>
    </font>
    <font>
      <sz val="18"/>
      <color theme="1"/>
      <name val="Calibri"/>
      <family val="2"/>
      <scheme val="minor"/>
    </font>
    <font>
      <u/>
      <sz val="11"/>
      <color theme="10"/>
      <name val="Calibri"/>
      <family val="2"/>
      <scheme val="minor"/>
    </font>
    <font>
      <sz val="14"/>
      <color theme="1"/>
      <name val="Calibri"/>
      <family val="2"/>
      <scheme val="minor"/>
    </font>
    <font>
      <sz val="11"/>
      <color rgb="FF000000"/>
      <name val="Calibri"/>
      <family val="2"/>
    </font>
    <font>
      <b/>
      <sz val="11"/>
      <color theme="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1"/>
        <bgColor indexed="64"/>
      </patternFill>
    </fill>
  </fills>
  <borders count="1">
    <border>
      <left/>
      <right/>
      <top/>
      <bottom/>
      <diagonal/>
    </border>
  </borders>
  <cellStyleXfs count="4">
    <xf numFmtId="0" fontId="0" fillId="0" borderId="0"/>
    <xf numFmtId="9" fontId="1" fillId="0" borderId="0" applyFont="0" applyFill="0" applyBorder="0" applyAlignment="0" applyProtection="0"/>
    <xf numFmtId="0" fontId="3" fillId="0" borderId="0" applyNumberFormat="0" applyFill="0" applyBorder="0" applyAlignment="0" applyProtection="0"/>
    <xf numFmtId="43" fontId="1" fillId="0" borderId="0" applyFont="0" applyFill="0" applyBorder="0" applyAlignment="0" applyProtection="0"/>
  </cellStyleXfs>
  <cellXfs count="27">
    <xf numFmtId="0" fontId="0" fillId="0" borderId="0" xfId="0"/>
    <xf numFmtId="14" fontId="0" fillId="0" borderId="0" xfId="0" applyNumberFormat="1"/>
    <xf numFmtId="0" fontId="3" fillId="0" borderId="0" xfId="2"/>
    <xf numFmtId="10" fontId="0" fillId="0" borderId="0" xfId="0" applyNumberFormat="1"/>
    <xf numFmtId="10" fontId="0" fillId="0" borderId="0" xfId="1" applyNumberFormat="1" applyFont="1"/>
    <xf numFmtId="8" fontId="0" fillId="0" borderId="0" xfId="0" applyNumberFormat="1"/>
    <xf numFmtId="164" fontId="0" fillId="0" borderId="0" xfId="3" applyNumberFormat="1" applyFont="1"/>
    <xf numFmtId="164" fontId="0" fillId="2" borderId="0" xfId="3" applyNumberFormat="1" applyFont="1" applyFill="1"/>
    <xf numFmtId="165" fontId="0" fillId="2" borderId="0" xfId="3" applyNumberFormat="1" applyFont="1" applyFill="1"/>
    <xf numFmtId="165" fontId="0" fillId="0" borderId="0" xfId="3" applyNumberFormat="1" applyFont="1"/>
    <xf numFmtId="165" fontId="0" fillId="0" borderId="0" xfId="0" applyNumberFormat="1"/>
    <xf numFmtId="166" fontId="0" fillId="0" borderId="0" xfId="0" applyNumberFormat="1"/>
    <xf numFmtId="0" fontId="0" fillId="2" borderId="0" xfId="0" applyFill="1"/>
    <xf numFmtId="165" fontId="0" fillId="0" borderId="0" xfId="3" applyNumberFormat="1" applyFont="1" applyFill="1"/>
    <xf numFmtId="0" fontId="2" fillId="3" borderId="0" xfId="0" applyFont="1" applyFill="1" applyAlignment="1">
      <alignment horizontal="center" vertical="center"/>
    </xf>
    <xf numFmtId="0" fontId="2" fillId="0" borderId="0" xfId="0" applyFont="1"/>
    <xf numFmtId="0" fontId="2" fillId="3" borderId="0" xfId="0" applyFont="1" applyFill="1"/>
    <xf numFmtId="0" fontId="0" fillId="3" borderId="0" xfId="0" applyFill="1"/>
    <xf numFmtId="0" fontId="0" fillId="0" borderId="0" xfId="0" applyAlignment="1">
      <alignment horizontal="center"/>
    </xf>
    <xf numFmtId="0" fontId="4" fillId="3" borderId="0" xfId="0" applyFont="1" applyFill="1" applyAlignment="1">
      <alignment vertical="center" wrapText="1"/>
    </xf>
    <xf numFmtId="0" fontId="4" fillId="3" borderId="0" xfId="0" applyFont="1" applyFill="1" applyAlignment="1">
      <alignment horizontal="center" vertical="center" wrapText="1"/>
    </xf>
    <xf numFmtId="0" fontId="6" fillId="4" borderId="0" xfId="0" applyFont="1" applyFill="1" applyAlignment="1">
      <alignment vertical="center"/>
    </xf>
    <xf numFmtId="0" fontId="6" fillId="4" borderId="0" xfId="0" applyFont="1" applyFill="1" applyAlignment="1">
      <alignment horizontal="left" wrapText="1"/>
    </xf>
    <xf numFmtId="0" fontId="6" fillId="4" borderId="0" xfId="0" applyFont="1" applyFill="1" applyAlignment="1">
      <alignment horizontal="left" vertical="top" wrapText="1"/>
    </xf>
    <xf numFmtId="0" fontId="0" fillId="0" borderId="0" xfId="0" applyAlignment="1">
      <alignment vertical="center"/>
    </xf>
    <xf numFmtId="0" fontId="0" fillId="0" borderId="0" xfId="0" applyAlignment="1">
      <alignment horizontal="left" wrapText="1"/>
    </xf>
    <xf numFmtId="0" fontId="0" fillId="0" borderId="0" xfId="0" applyAlignment="1">
      <alignment horizontal="left" vertical="top" wrapText="1"/>
    </xf>
  </cellXfs>
  <cellStyles count="4">
    <cellStyle name="Comma" xfId="3" builtinId="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57149</xdr:colOff>
          <xdr:row>2</xdr:row>
          <xdr:rowOff>57150</xdr:rowOff>
        </xdr:from>
        <xdr:to>
          <xdr:col>8</xdr:col>
          <xdr:colOff>9524</xdr:colOff>
          <xdr:row>7</xdr:row>
          <xdr:rowOff>171450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9524</xdr:colOff>
          <xdr:row>9</xdr:row>
          <xdr:rowOff>9524</xdr:rowOff>
        </xdr:from>
        <xdr:to>
          <xdr:col>3</xdr:col>
          <xdr:colOff>609599</xdr:colOff>
          <xdr:row>10</xdr:row>
          <xdr:rowOff>190499</xdr:rowOff>
        </xdr:to>
        <xdr:sp macro="" textlink="">
          <xdr:nvSpPr>
            <xdr:cNvPr id="3074" name="CommandButton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8</xdr:row>
          <xdr:rowOff>171450</xdr:rowOff>
        </xdr:from>
        <xdr:to>
          <xdr:col>8</xdr:col>
          <xdr:colOff>9525</xdr:colOff>
          <xdr:row>10</xdr:row>
          <xdr:rowOff>171450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2" Type="http://schemas.openxmlformats.org/officeDocument/2006/relationships/hyperlink" Target="https://query1.finance.yahoo.com/v7/finance/download/%5EGSPC?period1=489024000&amp;period2=1593648000&amp;interval=1mo&amp;events=history" TargetMode="External"/><Relationship Id="rId1" Type="http://schemas.openxmlformats.org/officeDocument/2006/relationships/hyperlink" Target="https://query1.finance.yahoo.com/v7/finance/download/%5EDJI?period1=489024000&amp;period2=1596153600&amp;interval=1mo&amp;events=histor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FB08D-2670-4AE5-8E87-412F6243E509}">
  <sheetPr codeName="Sheet4"/>
  <dimension ref="A1:Q39"/>
  <sheetViews>
    <sheetView workbookViewId="0">
      <selection activeCell="F34" sqref="F34"/>
    </sheetView>
  </sheetViews>
  <sheetFormatPr defaultRowHeight="15" x14ac:dyDescent="0.25"/>
  <sheetData>
    <row r="1" spans="1:17" ht="15" customHeight="1" x14ac:dyDescent="0.35">
      <c r="A1" s="14" t="s">
        <v>6</v>
      </c>
      <c r="B1" s="14"/>
      <c r="C1" s="14"/>
      <c r="D1" s="14"/>
      <c r="E1" s="14"/>
      <c r="F1" s="14"/>
      <c r="G1" s="14"/>
      <c r="H1" s="14"/>
      <c r="I1" s="14"/>
      <c r="J1" s="14"/>
      <c r="K1" s="14"/>
      <c r="L1" s="15"/>
      <c r="M1" s="15"/>
      <c r="N1" s="15"/>
      <c r="O1" s="15"/>
      <c r="P1" s="15"/>
      <c r="Q1" s="15"/>
    </row>
    <row r="2" spans="1:17" ht="15" customHeight="1" x14ac:dyDescent="0.35">
      <c r="A2" s="14"/>
      <c r="B2" s="14"/>
      <c r="C2" s="14"/>
      <c r="D2" s="14"/>
      <c r="E2" s="14"/>
      <c r="F2" s="14"/>
      <c r="G2" s="14"/>
      <c r="H2" s="14"/>
      <c r="I2" s="14"/>
      <c r="J2" s="14"/>
      <c r="K2" s="14"/>
      <c r="L2" s="15"/>
      <c r="M2" s="15"/>
      <c r="N2" s="15"/>
      <c r="O2" s="15"/>
      <c r="P2" s="15"/>
      <c r="Q2" s="15"/>
    </row>
    <row r="3" spans="1:17" ht="15" customHeight="1" x14ac:dyDescent="0.25">
      <c r="A3" s="14"/>
      <c r="B3" s="14"/>
      <c r="C3" s="14"/>
      <c r="D3" s="14"/>
      <c r="E3" s="14"/>
      <c r="F3" s="14"/>
      <c r="G3" s="14"/>
      <c r="H3" s="14"/>
      <c r="I3" s="14"/>
      <c r="J3" s="14"/>
      <c r="K3" s="14"/>
    </row>
    <row r="4" spans="1:17" ht="15" customHeight="1" x14ac:dyDescent="0.35">
      <c r="A4" s="16"/>
      <c r="B4" s="16"/>
      <c r="C4" s="16"/>
      <c r="D4" s="16"/>
      <c r="E4" s="16"/>
      <c r="F4" s="16"/>
      <c r="G4" s="16"/>
      <c r="H4" s="16"/>
      <c r="I4" s="17"/>
      <c r="J4" s="17"/>
      <c r="K4" s="17"/>
    </row>
    <row r="5" spans="1:17" ht="15" customHeight="1" x14ac:dyDescent="0.25">
      <c r="A5" s="18" t="s">
        <v>867</v>
      </c>
      <c r="B5" s="18"/>
      <c r="C5" s="18"/>
      <c r="D5" s="18"/>
      <c r="E5" s="18"/>
      <c r="F5" s="18"/>
      <c r="G5" s="18"/>
      <c r="H5" s="18"/>
      <c r="I5" s="18"/>
      <c r="J5" s="18"/>
      <c r="K5" s="18"/>
    </row>
    <row r="6" spans="1:17" ht="15" customHeight="1" x14ac:dyDescent="0.25">
      <c r="A6" s="19"/>
      <c r="B6" s="19"/>
      <c r="C6" s="19"/>
      <c r="D6" s="19"/>
      <c r="E6" s="19"/>
      <c r="F6" s="19"/>
      <c r="G6" s="19"/>
      <c r="H6" s="19"/>
      <c r="I6" s="19"/>
      <c r="J6" s="19"/>
      <c r="K6" s="19"/>
    </row>
    <row r="7" spans="1:17" ht="15" customHeight="1" x14ac:dyDescent="0.25">
      <c r="A7" s="19"/>
      <c r="B7" s="19"/>
      <c r="C7" s="19"/>
      <c r="D7" s="19"/>
      <c r="E7" s="19"/>
      <c r="F7" s="19"/>
      <c r="G7" s="19"/>
      <c r="H7" s="19"/>
      <c r="I7" s="19"/>
      <c r="J7" s="19"/>
      <c r="K7" s="19"/>
    </row>
    <row r="8" spans="1:17" ht="15" customHeight="1" x14ac:dyDescent="0.25">
      <c r="A8" s="19"/>
      <c r="B8" s="19"/>
      <c r="C8" s="19"/>
      <c r="D8" s="19"/>
      <c r="E8" s="19"/>
      <c r="F8" s="19"/>
      <c r="G8" s="19"/>
      <c r="H8" s="19"/>
      <c r="I8" s="19"/>
      <c r="J8" s="19"/>
      <c r="K8" s="19"/>
    </row>
    <row r="9" spans="1:17" ht="15" customHeight="1" x14ac:dyDescent="0.25">
      <c r="A9" s="19"/>
      <c r="B9" s="19"/>
      <c r="C9" s="19"/>
      <c r="D9" s="19"/>
      <c r="E9" s="19"/>
      <c r="F9" s="19"/>
      <c r="G9" s="19"/>
      <c r="H9" s="19"/>
      <c r="I9" s="19"/>
      <c r="J9" s="19"/>
      <c r="K9" s="19"/>
    </row>
    <row r="10" spans="1:17" ht="15" customHeight="1" x14ac:dyDescent="0.25">
      <c r="A10" s="19"/>
      <c r="B10" s="19"/>
      <c r="C10" s="19"/>
      <c r="D10" s="19"/>
      <c r="E10" s="19"/>
      <c r="F10" s="19"/>
      <c r="G10" s="19"/>
      <c r="H10" s="19"/>
      <c r="I10" s="19"/>
      <c r="J10" s="19"/>
      <c r="K10" s="19"/>
    </row>
    <row r="11" spans="1:17" ht="15" customHeight="1" x14ac:dyDescent="0.25">
      <c r="A11" s="20" t="s">
        <v>865</v>
      </c>
      <c r="B11" s="20"/>
      <c r="C11" s="20"/>
      <c r="D11" s="20"/>
      <c r="E11" s="20"/>
      <c r="F11" s="20"/>
      <c r="G11" s="20"/>
      <c r="H11" s="20"/>
      <c r="I11" s="20"/>
      <c r="J11" s="20"/>
      <c r="K11" s="20"/>
    </row>
    <row r="12" spans="1:17" ht="15" customHeight="1" x14ac:dyDescent="0.25">
      <c r="A12" s="20"/>
      <c r="B12" s="20"/>
      <c r="C12" s="20"/>
      <c r="D12" s="20"/>
      <c r="E12" s="20"/>
      <c r="F12" s="20"/>
      <c r="G12" s="20"/>
      <c r="H12" s="20"/>
      <c r="I12" s="20"/>
      <c r="J12" s="20"/>
      <c r="K12" s="20"/>
    </row>
    <row r="13" spans="1:17" ht="15" customHeight="1" x14ac:dyDescent="0.25">
      <c r="A13" s="20"/>
      <c r="B13" s="20"/>
      <c r="C13" s="20"/>
      <c r="D13" s="20"/>
      <c r="E13" s="20"/>
      <c r="F13" s="20"/>
      <c r="G13" s="20"/>
      <c r="H13" s="20"/>
      <c r="I13" s="20"/>
      <c r="J13" s="20"/>
      <c r="K13" s="20"/>
    </row>
    <row r="14" spans="1:17" ht="15" customHeight="1" x14ac:dyDescent="0.25">
      <c r="A14" s="20"/>
      <c r="B14" s="20"/>
      <c r="C14" s="20"/>
      <c r="D14" s="20"/>
      <c r="E14" s="20"/>
      <c r="F14" s="20"/>
      <c r="G14" s="20"/>
      <c r="H14" s="20"/>
      <c r="I14" s="20"/>
      <c r="J14" s="20"/>
      <c r="K14" s="20"/>
    </row>
    <row r="15" spans="1:17" ht="15" customHeight="1" x14ac:dyDescent="0.25">
      <c r="A15" s="20"/>
      <c r="B15" s="20"/>
      <c r="C15" s="20"/>
      <c r="D15" s="20"/>
      <c r="E15" s="20"/>
      <c r="F15" s="20"/>
      <c r="G15" s="20"/>
      <c r="H15" s="20"/>
      <c r="I15" s="20"/>
      <c r="J15" s="20"/>
      <c r="K15" s="20"/>
    </row>
    <row r="16" spans="1:17" ht="15" customHeight="1" x14ac:dyDescent="0.25">
      <c r="A16" s="20"/>
      <c r="B16" s="20"/>
      <c r="C16" s="20"/>
      <c r="D16" s="20"/>
      <c r="E16" s="20"/>
      <c r="F16" s="20"/>
      <c r="G16" s="20"/>
      <c r="H16" s="20"/>
      <c r="I16" s="20"/>
      <c r="J16" s="20"/>
      <c r="K16" s="20"/>
    </row>
    <row r="17" spans="1:11" ht="15" customHeight="1" x14ac:dyDescent="0.25">
      <c r="A17" s="20"/>
      <c r="B17" s="20"/>
      <c r="C17" s="20"/>
      <c r="D17" s="20"/>
      <c r="E17" s="20"/>
      <c r="F17" s="20"/>
      <c r="G17" s="20"/>
      <c r="H17" s="20"/>
      <c r="I17" s="20"/>
      <c r="J17" s="20"/>
      <c r="K17" s="20"/>
    </row>
    <row r="18" spans="1:11" ht="15" customHeight="1" x14ac:dyDescent="0.25">
      <c r="A18" s="20"/>
      <c r="B18" s="20"/>
      <c r="C18" s="20"/>
      <c r="D18" s="20"/>
      <c r="E18" s="20"/>
      <c r="F18" s="20"/>
      <c r="G18" s="20"/>
      <c r="H18" s="20"/>
      <c r="I18" s="20"/>
      <c r="J18" s="20"/>
      <c r="K18" s="20"/>
    </row>
    <row r="19" spans="1:11" ht="15" customHeight="1" x14ac:dyDescent="0.25">
      <c r="A19" s="20"/>
      <c r="B19" s="20"/>
      <c r="C19" s="20"/>
      <c r="D19" s="20"/>
      <c r="E19" s="20"/>
      <c r="F19" s="20"/>
      <c r="G19" s="20"/>
      <c r="H19" s="20"/>
      <c r="I19" s="20"/>
      <c r="J19" s="20"/>
      <c r="K19" s="20"/>
    </row>
    <row r="20" spans="1:11" ht="15" customHeight="1" x14ac:dyDescent="0.25">
      <c r="A20" s="20"/>
      <c r="B20" s="20"/>
      <c r="C20" s="20"/>
      <c r="D20" s="20"/>
      <c r="E20" s="20"/>
      <c r="F20" s="20"/>
      <c r="G20" s="20"/>
      <c r="H20" s="20"/>
      <c r="I20" s="20"/>
      <c r="J20" s="20"/>
      <c r="K20" s="20"/>
    </row>
    <row r="21" spans="1:11" x14ac:dyDescent="0.25">
      <c r="A21" s="20"/>
      <c r="B21" s="20"/>
      <c r="C21" s="20"/>
      <c r="D21" s="20"/>
      <c r="E21" s="20"/>
      <c r="F21" s="20"/>
      <c r="G21" s="20"/>
      <c r="H21" s="20"/>
      <c r="I21" s="20"/>
      <c r="J21" s="20"/>
      <c r="K21" s="20"/>
    </row>
    <row r="22" spans="1:11" x14ac:dyDescent="0.25">
      <c r="A22" s="20"/>
      <c r="B22" s="20"/>
      <c r="C22" s="20"/>
      <c r="D22" s="20"/>
      <c r="E22" s="20"/>
      <c r="F22" s="20"/>
      <c r="G22" s="20"/>
      <c r="H22" s="20"/>
      <c r="I22" s="20"/>
      <c r="J22" s="20"/>
      <c r="K22" s="20"/>
    </row>
    <row r="23" spans="1:11" x14ac:dyDescent="0.25">
      <c r="A23" s="20"/>
      <c r="B23" s="20"/>
      <c r="C23" s="20"/>
      <c r="D23" s="20"/>
      <c r="E23" s="20"/>
      <c r="F23" s="20"/>
      <c r="G23" s="20"/>
      <c r="H23" s="20"/>
      <c r="I23" s="20"/>
      <c r="J23" s="20"/>
      <c r="K23" s="20"/>
    </row>
    <row r="24" spans="1:11" x14ac:dyDescent="0.25">
      <c r="A24" s="20"/>
      <c r="B24" s="20"/>
      <c r="C24" s="20"/>
      <c r="D24" s="20"/>
      <c r="E24" s="20"/>
      <c r="F24" s="20"/>
      <c r="G24" s="20"/>
      <c r="H24" s="20"/>
      <c r="I24" s="20"/>
      <c r="J24" s="20"/>
      <c r="K24" s="20"/>
    </row>
    <row r="25" spans="1:11" x14ac:dyDescent="0.25">
      <c r="A25" s="20"/>
      <c r="B25" s="20"/>
      <c r="C25" s="20"/>
      <c r="D25" s="20"/>
      <c r="E25" s="20"/>
      <c r="F25" s="20"/>
      <c r="G25" s="20"/>
      <c r="H25" s="20"/>
      <c r="I25" s="20"/>
      <c r="J25" s="20"/>
      <c r="K25" s="20"/>
    </row>
    <row r="26" spans="1:11" x14ac:dyDescent="0.25">
      <c r="A26" s="20"/>
      <c r="B26" s="20"/>
      <c r="C26" s="20"/>
      <c r="D26" s="20"/>
      <c r="E26" s="20"/>
      <c r="F26" s="20"/>
      <c r="G26" s="20"/>
      <c r="H26" s="20"/>
      <c r="I26" s="20"/>
      <c r="J26" s="20"/>
      <c r="K26" s="20"/>
    </row>
    <row r="27" spans="1:11" x14ac:dyDescent="0.25">
      <c r="A27" s="20"/>
      <c r="B27" s="20"/>
      <c r="C27" s="20"/>
      <c r="D27" s="20"/>
      <c r="E27" s="20"/>
      <c r="F27" s="20"/>
      <c r="G27" s="20"/>
      <c r="H27" s="20"/>
      <c r="I27" s="20"/>
      <c r="J27" s="20"/>
      <c r="K27" s="20"/>
    </row>
    <row r="28" spans="1:11" x14ac:dyDescent="0.25">
      <c r="A28" s="17"/>
      <c r="B28" s="17"/>
      <c r="C28" s="17"/>
      <c r="D28" s="17"/>
      <c r="E28" s="17"/>
      <c r="F28" s="17"/>
      <c r="G28" s="17"/>
      <c r="H28" s="17"/>
      <c r="I28" s="17"/>
      <c r="J28" s="17"/>
      <c r="K28" s="17"/>
    </row>
    <row r="29" spans="1:11" x14ac:dyDescent="0.25">
      <c r="A29" s="17"/>
      <c r="B29" s="17"/>
      <c r="C29" s="17"/>
      <c r="D29" s="17"/>
      <c r="E29" s="17"/>
      <c r="F29" s="17"/>
      <c r="G29" s="17"/>
      <c r="H29" s="17"/>
      <c r="I29" s="17"/>
      <c r="J29" s="17"/>
      <c r="K29" s="17"/>
    </row>
    <row r="30" spans="1:11" x14ac:dyDescent="0.25">
      <c r="A30" s="17"/>
      <c r="B30" s="17"/>
      <c r="C30" s="17"/>
      <c r="D30" s="17"/>
      <c r="E30" s="17"/>
      <c r="F30" s="17"/>
      <c r="G30" s="17"/>
      <c r="H30" s="17"/>
      <c r="I30" s="17"/>
      <c r="J30" s="17"/>
      <c r="K30" s="17"/>
    </row>
    <row r="31" spans="1:11" x14ac:dyDescent="0.25">
      <c r="A31" s="17"/>
      <c r="B31" s="17"/>
      <c r="C31" s="17"/>
      <c r="D31" s="17"/>
      <c r="E31" s="17"/>
      <c r="F31" s="17"/>
      <c r="G31" s="17"/>
      <c r="H31" s="17"/>
      <c r="I31" s="17"/>
      <c r="J31" s="17"/>
      <c r="K31" s="17"/>
    </row>
    <row r="32" spans="1:11" x14ac:dyDescent="0.25">
      <c r="A32" s="17"/>
      <c r="B32" s="17"/>
      <c r="C32" s="17"/>
      <c r="D32" s="17"/>
      <c r="E32" s="17"/>
      <c r="F32" s="17"/>
      <c r="G32" s="17"/>
      <c r="H32" s="17"/>
      <c r="I32" s="17"/>
      <c r="J32" s="17"/>
      <c r="K32" s="17"/>
    </row>
    <row r="33" spans="1:11" x14ac:dyDescent="0.25">
      <c r="A33" s="17"/>
      <c r="B33" s="17"/>
      <c r="C33" s="17"/>
      <c r="D33" s="17"/>
      <c r="E33" s="17"/>
      <c r="F33" s="17"/>
      <c r="G33" s="17"/>
      <c r="H33" s="17"/>
      <c r="I33" s="17"/>
      <c r="J33" s="17"/>
      <c r="K33" s="17"/>
    </row>
    <row r="34" spans="1:11" x14ac:dyDescent="0.25">
      <c r="A34" s="17"/>
      <c r="B34" s="17"/>
      <c r="C34" s="17"/>
      <c r="D34" s="17"/>
      <c r="E34" s="17"/>
      <c r="F34" s="17"/>
      <c r="G34" s="17"/>
      <c r="H34" s="17"/>
      <c r="I34" s="17"/>
      <c r="J34" s="17"/>
      <c r="K34" s="17"/>
    </row>
    <row r="35" spans="1:11" x14ac:dyDescent="0.25">
      <c r="A35" s="17"/>
      <c r="B35" s="17"/>
      <c r="C35" s="17"/>
      <c r="D35" s="17"/>
      <c r="E35" s="17"/>
      <c r="F35" s="17"/>
      <c r="G35" s="17"/>
      <c r="H35" s="17"/>
      <c r="I35" s="17"/>
      <c r="J35" s="17"/>
      <c r="K35" s="17"/>
    </row>
    <row r="36" spans="1:11" x14ac:dyDescent="0.25">
      <c r="A36" s="17"/>
      <c r="B36" s="17"/>
      <c r="C36" s="17"/>
      <c r="D36" s="17"/>
      <c r="E36" s="17"/>
      <c r="F36" s="17"/>
      <c r="G36" s="17"/>
      <c r="H36" s="17"/>
      <c r="I36" s="17"/>
      <c r="J36" s="17"/>
      <c r="K36" s="17"/>
    </row>
    <row r="37" spans="1:11" x14ac:dyDescent="0.25">
      <c r="A37" s="17"/>
      <c r="B37" s="17"/>
      <c r="C37" s="17"/>
      <c r="D37" s="17"/>
      <c r="E37" s="17"/>
      <c r="F37" s="17"/>
      <c r="G37" s="17"/>
      <c r="H37" s="17"/>
      <c r="I37" s="17"/>
      <c r="J37" s="17"/>
      <c r="K37" s="17"/>
    </row>
    <row r="38" spans="1:11" x14ac:dyDescent="0.25">
      <c r="A38" s="17"/>
      <c r="B38" s="17"/>
      <c r="C38" s="17"/>
      <c r="D38" s="17"/>
      <c r="E38" s="17"/>
      <c r="F38" s="17"/>
      <c r="G38" s="17"/>
      <c r="H38" s="17"/>
      <c r="I38" s="17"/>
      <c r="J38" s="17"/>
      <c r="K38" s="17"/>
    </row>
    <row r="39" spans="1:11" x14ac:dyDescent="0.25">
      <c r="A39" s="17"/>
      <c r="B39" s="17"/>
      <c r="C39" s="17"/>
      <c r="D39" s="17"/>
      <c r="E39" s="17"/>
      <c r="F39" s="17"/>
      <c r="G39" s="17"/>
      <c r="H39" s="17"/>
      <c r="I39" s="17"/>
      <c r="J39" s="17"/>
      <c r="K39" s="17"/>
    </row>
  </sheetData>
  <mergeCells count="3">
    <mergeCell ref="A1:K3"/>
    <mergeCell ref="A5:K5"/>
    <mergeCell ref="A11:K2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0613B-8EEE-4470-8A87-834AF4BF18B5}">
  <sheetPr codeName="Sheet5"/>
  <dimension ref="A1:C6"/>
  <sheetViews>
    <sheetView workbookViewId="0">
      <selection activeCell="B6" sqref="B6"/>
    </sheetView>
  </sheetViews>
  <sheetFormatPr defaultRowHeight="15" x14ac:dyDescent="0.25"/>
  <cols>
    <col min="1" max="1" width="36.42578125" style="24" customWidth="1"/>
    <col min="2" max="2" width="48.7109375" style="25" bestFit="1" customWidth="1"/>
    <col min="3" max="3" width="40.42578125" style="26" customWidth="1"/>
  </cols>
  <sheetData>
    <row r="1" spans="1:3" x14ac:dyDescent="0.25">
      <c r="A1" s="21" t="s">
        <v>868</v>
      </c>
      <c r="B1" s="22" t="s">
        <v>869</v>
      </c>
      <c r="C1" s="23" t="s">
        <v>870</v>
      </c>
    </row>
    <row r="2" spans="1:3" ht="30" x14ac:dyDescent="0.25">
      <c r="A2" s="24" t="s">
        <v>871</v>
      </c>
      <c r="B2" s="25" t="s">
        <v>872</v>
      </c>
      <c r="C2" s="26" t="s">
        <v>873</v>
      </c>
    </row>
    <row r="3" spans="1:3" x14ac:dyDescent="0.25">
      <c r="A3" s="24" t="s">
        <v>874</v>
      </c>
      <c r="B3" s="25" t="s">
        <v>875</v>
      </c>
    </row>
    <row r="4" spans="1:3" ht="30" x14ac:dyDescent="0.25">
      <c r="A4" s="24" t="s">
        <v>876</v>
      </c>
      <c r="B4" s="25" t="s">
        <v>877</v>
      </c>
    </row>
    <row r="5" spans="1:3" ht="30" x14ac:dyDescent="0.25">
      <c r="A5" s="24" t="s">
        <v>878</v>
      </c>
      <c r="B5" s="25" t="s">
        <v>879</v>
      </c>
    </row>
    <row r="6" spans="1:3" ht="30" x14ac:dyDescent="0.25">
      <c r="A6" s="24" t="s">
        <v>880</v>
      </c>
      <c r="B6" s="25" t="s">
        <v>881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2C7AB-4F16-4BCB-AC79-17E507DDC100}">
  <sheetPr codeName="Sheet2"/>
  <dimension ref="A1:J26"/>
  <sheetViews>
    <sheetView tabSelected="1" workbookViewId="0">
      <selection activeCell="L13" sqref="L13"/>
    </sheetView>
  </sheetViews>
  <sheetFormatPr defaultRowHeight="15" x14ac:dyDescent="0.25"/>
  <sheetData>
    <row r="1" spans="1:10" x14ac:dyDescent="0.25">
      <c r="A1" s="17"/>
      <c r="B1" s="17"/>
      <c r="C1" s="17"/>
      <c r="D1" s="17"/>
      <c r="E1" s="17"/>
      <c r="F1" s="17"/>
      <c r="G1" s="17"/>
      <c r="H1" s="17"/>
      <c r="I1" s="17"/>
      <c r="J1" s="17"/>
    </row>
    <row r="2" spans="1:10" x14ac:dyDescent="0.25">
      <c r="A2" s="17"/>
      <c r="B2" s="17"/>
      <c r="C2" s="17"/>
      <c r="D2" s="17"/>
      <c r="E2" s="17"/>
      <c r="F2" s="17"/>
      <c r="G2" s="17"/>
      <c r="H2" s="17"/>
      <c r="I2" s="17"/>
      <c r="J2" s="17"/>
    </row>
    <row r="3" spans="1:10" x14ac:dyDescent="0.25">
      <c r="A3" s="17"/>
      <c r="B3" s="17"/>
      <c r="C3" s="17"/>
      <c r="D3" s="17"/>
      <c r="E3" s="17"/>
      <c r="F3" s="17"/>
      <c r="G3" s="17"/>
      <c r="H3" s="17"/>
      <c r="I3" s="17"/>
      <c r="J3" s="17"/>
    </row>
    <row r="4" spans="1:10" x14ac:dyDescent="0.25">
      <c r="A4" s="17"/>
      <c r="B4" s="17"/>
      <c r="C4" s="17"/>
      <c r="D4" s="17"/>
      <c r="E4" s="17"/>
      <c r="F4" s="17"/>
      <c r="G4" s="17"/>
      <c r="H4" s="17"/>
      <c r="I4" s="17"/>
      <c r="J4" s="17"/>
    </row>
    <row r="5" spans="1:10" x14ac:dyDescent="0.25">
      <c r="A5" s="17"/>
      <c r="B5" s="17"/>
      <c r="C5" s="17"/>
      <c r="D5" s="17"/>
      <c r="E5" s="17"/>
      <c r="F5" s="17"/>
      <c r="G5" s="17"/>
      <c r="H5" s="17"/>
      <c r="I5" s="17"/>
      <c r="J5" s="17"/>
    </row>
    <row r="6" spans="1:10" x14ac:dyDescent="0.25">
      <c r="A6" s="17"/>
      <c r="B6" s="17"/>
      <c r="C6" s="17"/>
      <c r="D6" s="17"/>
      <c r="E6" s="17"/>
      <c r="F6" s="17"/>
      <c r="G6" s="17"/>
      <c r="H6" s="17"/>
      <c r="I6" s="17"/>
      <c r="J6" s="17"/>
    </row>
    <row r="7" spans="1:10" x14ac:dyDescent="0.25">
      <c r="A7" s="17"/>
      <c r="B7" s="17"/>
      <c r="C7" s="17"/>
      <c r="D7" s="17"/>
      <c r="E7" s="17"/>
      <c r="F7" s="17"/>
      <c r="G7" s="17"/>
      <c r="H7" s="17"/>
      <c r="I7" s="17"/>
      <c r="J7" s="17"/>
    </row>
    <row r="8" spans="1:10" x14ac:dyDescent="0.25">
      <c r="A8" s="17"/>
      <c r="B8" s="17"/>
      <c r="C8" s="17"/>
      <c r="D8" s="17"/>
      <c r="E8" s="17"/>
      <c r="F8" s="17"/>
      <c r="G8" s="17"/>
      <c r="H8" s="17"/>
      <c r="I8" s="17"/>
      <c r="J8" s="17"/>
    </row>
    <row r="9" spans="1:10" x14ac:dyDescent="0.25">
      <c r="A9" s="17"/>
      <c r="B9" s="17"/>
      <c r="C9" s="17"/>
      <c r="D9" s="17"/>
      <c r="E9" s="17"/>
      <c r="F9" s="17"/>
      <c r="G9" s="17"/>
      <c r="H9" s="17"/>
      <c r="I9" s="17"/>
      <c r="J9" s="17"/>
    </row>
    <row r="10" spans="1:10" x14ac:dyDescent="0.25">
      <c r="A10" s="17"/>
      <c r="B10" s="17"/>
      <c r="C10" s="17"/>
      <c r="D10" s="17"/>
      <c r="E10" s="17"/>
      <c r="F10" s="17"/>
      <c r="G10" s="17"/>
      <c r="H10" s="17"/>
      <c r="I10" s="17"/>
      <c r="J10" s="17"/>
    </row>
    <row r="11" spans="1:10" x14ac:dyDescent="0.25">
      <c r="A11" s="17"/>
      <c r="B11" s="17"/>
      <c r="C11" s="17"/>
      <c r="D11" s="17"/>
      <c r="E11" s="17"/>
      <c r="F11" s="17"/>
      <c r="G11" s="17"/>
      <c r="H11" s="17"/>
      <c r="I11" s="17"/>
      <c r="J11" s="17"/>
    </row>
    <row r="12" spans="1:10" x14ac:dyDescent="0.25">
      <c r="A12" s="17"/>
      <c r="B12" s="17"/>
      <c r="C12" s="17"/>
      <c r="D12" s="17"/>
      <c r="E12" s="17"/>
      <c r="F12" s="17"/>
      <c r="G12" s="17"/>
      <c r="H12" s="17"/>
      <c r="I12" s="17"/>
      <c r="J12" s="17"/>
    </row>
    <row r="13" spans="1:10" x14ac:dyDescent="0.25">
      <c r="A13" s="17"/>
      <c r="B13" s="17"/>
      <c r="C13" s="17"/>
      <c r="D13" s="17"/>
      <c r="E13" s="17"/>
      <c r="F13" s="17"/>
      <c r="G13" s="17"/>
      <c r="H13" s="17"/>
      <c r="I13" s="17"/>
      <c r="J13" s="17"/>
    </row>
    <row r="14" spans="1:10" x14ac:dyDescent="0.25">
      <c r="A14" s="17"/>
      <c r="B14" s="17"/>
      <c r="C14" s="17"/>
      <c r="D14" s="17"/>
      <c r="E14" s="17"/>
      <c r="F14" s="17"/>
      <c r="G14" s="17"/>
      <c r="H14" s="17"/>
      <c r="I14" s="17"/>
      <c r="J14" s="17"/>
    </row>
    <row r="15" spans="1:10" x14ac:dyDescent="0.25">
      <c r="A15" s="17"/>
      <c r="B15" s="17"/>
      <c r="C15" s="17"/>
      <c r="D15" s="17"/>
      <c r="E15" s="17"/>
      <c r="F15" s="17"/>
      <c r="G15" s="17"/>
      <c r="H15" s="17"/>
      <c r="I15" s="17"/>
      <c r="J15" s="17"/>
    </row>
    <row r="16" spans="1:10" x14ac:dyDescent="0.25">
      <c r="A16" s="17"/>
      <c r="B16" s="17"/>
      <c r="C16" s="17"/>
      <c r="D16" s="17"/>
      <c r="E16" s="17"/>
      <c r="F16" s="17"/>
      <c r="G16" s="17"/>
      <c r="H16" s="17"/>
      <c r="I16" s="17"/>
      <c r="J16" s="17"/>
    </row>
    <row r="17" spans="1:10" x14ac:dyDescent="0.25">
      <c r="A17" s="17"/>
      <c r="B17" s="17"/>
      <c r="C17" s="17"/>
      <c r="D17" s="17"/>
      <c r="E17" s="17"/>
      <c r="F17" s="17"/>
      <c r="G17" s="17"/>
      <c r="H17" s="17"/>
      <c r="I17" s="17"/>
      <c r="J17" s="17"/>
    </row>
    <row r="18" spans="1:10" x14ac:dyDescent="0.25">
      <c r="A18" s="17"/>
      <c r="B18" s="17"/>
      <c r="C18" s="17"/>
      <c r="D18" s="17"/>
      <c r="E18" s="17"/>
      <c r="F18" s="17"/>
      <c r="G18" s="17"/>
      <c r="H18" s="17"/>
      <c r="I18" s="17"/>
      <c r="J18" s="17"/>
    </row>
    <row r="19" spans="1:10" x14ac:dyDescent="0.25">
      <c r="A19" s="17"/>
      <c r="B19" s="17"/>
      <c r="C19" s="17"/>
      <c r="D19" s="17"/>
      <c r="E19" s="17"/>
      <c r="F19" s="17"/>
      <c r="G19" s="17"/>
      <c r="H19" s="17"/>
      <c r="I19" s="17"/>
      <c r="J19" s="17"/>
    </row>
    <row r="20" spans="1:10" x14ac:dyDescent="0.25">
      <c r="A20" s="17"/>
      <c r="B20" s="17"/>
      <c r="C20" s="17"/>
      <c r="D20" s="17"/>
      <c r="E20" s="17"/>
      <c r="F20" s="17"/>
      <c r="G20" s="17"/>
      <c r="H20" s="17"/>
      <c r="I20" s="17"/>
      <c r="J20" s="17"/>
    </row>
    <row r="21" spans="1:10" x14ac:dyDescent="0.25">
      <c r="A21" s="17"/>
      <c r="B21" s="17"/>
      <c r="C21" s="17"/>
      <c r="D21" s="17"/>
      <c r="E21" s="17"/>
      <c r="F21" s="17"/>
      <c r="G21" s="17"/>
      <c r="H21" s="17"/>
      <c r="I21" s="17"/>
      <c r="J21" s="17"/>
    </row>
    <row r="22" spans="1:10" x14ac:dyDescent="0.25">
      <c r="A22" s="17"/>
      <c r="B22" s="17"/>
      <c r="C22" s="17"/>
      <c r="D22" s="17"/>
      <c r="E22" s="17"/>
      <c r="F22" s="17"/>
      <c r="G22" s="17"/>
      <c r="H22" s="17"/>
      <c r="I22" s="17"/>
      <c r="J22" s="17"/>
    </row>
    <row r="23" spans="1:10" x14ac:dyDescent="0.25">
      <c r="A23" s="17"/>
      <c r="B23" s="17"/>
      <c r="C23" s="17"/>
      <c r="D23" s="17"/>
      <c r="E23" s="17"/>
      <c r="F23" s="17"/>
      <c r="G23" s="17"/>
      <c r="H23" s="17"/>
      <c r="I23" s="17"/>
      <c r="J23" s="17"/>
    </row>
    <row r="24" spans="1:10" x14ac:dyDescent="0.25">
      <c r="A24" s="17"/>
      <c r="B24" s="17"/>
      <c r="C24" s="17"/>
      <c r="D24" s="17"/>
      <c r="E24" s="17"/>
      <c r="F24" s="17"/>
      <c r="G24" s="17"/>
      <c r="H24" s="17"/>
      <c r="I24" s="17"/>
      <c r="J24" s="17"/>
    </row>
    <row r="25" spans="1:10" x14ac:dyDescent="0.25">
      <c r="A25" s="17"/>
      <c r="B25" s="17"/>
      <c r="C25" s="17"/>
      <c r="D25" s="17"/>
      <c r="E25" s="17"/>
      <c r="F25" s="17"/>
      <c r="G25" s="17"/>
      <c r="H25" s="17"/>
      <c r="I25" s="17"/>
      <c r="J25" s="17"/>
    </row>
    <row r="26" spans="1:10" x14ac:dyDescent="0.25">
      <c r="A26" s="17"/>
      <c r="B26" s="17"/>
      <c r="C26" s="17"/>
      <c r="D26" s="17"/>
      <c r="E26" s="17"/>
      <c r="F26" s="17"/>
      <c r="G26" s="17"/>
      <c r="H26" s="17"/>
      <c r="I26" s="17"/>
      <c r="J26" s="17"/>
    </row>
  </sheetData>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autoPict="0" r:id="rId4">
            <anchor moveWithCells="1">
              <from>
                <xdr:col>1</xdr:col>
                <xdr:colOff>57150</xdr:colOff>
                <xdr:row>2</xdr:row>
                <xdr:rowOff>57150</xdr:rowOff>
              </from>
              <to>
                <xdr:col>8</xdr:col>
                <xdr:colOff>9525</xdr:colOff>
                <xdr:row>7</xdr:row>
                <xdr:rowOff>171450</xdr:rowOff>
              </to>
            </anchor>
          </controlPr>
        </control>
      </mc:Choice>
      <mc:Fallback>
        <control shapeId="3073" r:id="rId3" name="CommandButton1"/>
      </mc:Fallback>
    </mc:AlternateContent>
    <mc:AlternateContent xmlns:mc="http://schemas.openxmlformats.org/markup-compatibility/2006">
      <mc:Choice Requires="x14">
        <control shapeId="3074" r:id="rId5" name="CommandButton2">
          <controlPr defaultSize="0" autoLine="0" autoPict="0" r:id="rId6">
            <anchor moveWithCells="1">
              <from>
                <xdr:col>1</xdr:col>
                <xdr:colOff>9525</xdr:colOff>
                <xdr:row>9</xdr:row>
                <xdr:rowOff>9525</xdr:rowOff>
              </from>
              <to>
                <xdr:col>3</xdr:col>
                <xdr:colOff>609600</xdr:colOff>
                <xdr:row>10</xdr:row>
                <xdr:rowOff>190500</xdr:rowOff>
              </to>
            </anchor>
          </controlPr>
        </control>
      </mc:Choice>
      <mc:Fallback>
        <control shapeId="3074" r:id="rId5" name="CommandButton2"/>
      </mc:Fallback>
    </mc:AlternateContent>
    <mc:AlternateContent xmlns:mc="http://schemas.openxmlformats.org/markup-compatibility/2006">
      <mc:Choice Requires="x14">
        <control shapeId="3075" r:id="rId7" name="Button 3">
          <controlPr defaultSize="0" print="0" autoFill="0" autoPict="0" macro="[0]!Sheet2.Reset">
            <anchor moveWithCells="1" sizeWithCells="1">
              <from>
                <xdr:col>5</xdr:col>
                <xdr:colOff>9525</xdr:colOff>
                <xdr:row>8</xdr:row>
                <xdr:rowOff>171450</xdr:rowOff>
              </from>
              <to>
                <xdr:col>8</xdr:col>
                <xdr:colOff>9525</xdr:colOff>
                <xdr:row>10</xdr:row>
                <xdr:rowOff>171450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061CB-8C21-4004-BC76-CA2830B0E2AA}">
  <sheetPr codeName="Sheet3"/>
  <dimension ref="A1:M422"/>
  <sheetViews>
    <sheetView workbookViewId="0">
      <selection activeCell="M1" sqref="M1:M1048576"/>
    </sheetView>
  </sheetViews>
  <sheetFormatPr defaultRowHeight="15" x14ac:dyDescent="0.25"/>
  <cols>
    <col min="1" max="1" width="47.85546875" customWidth="1"/>
    <col min="2" max="2" width="32.5703125" customWidth="1"/>
  </cols>
  <sheetData>
    <row r="1" spans="1:13" x14ac:dyDescent="0.25">
      <c r="A1" t="s">
        <v>1</v>
      </c>
      <c r="B1" t="s">
        <v>0</v>
      </c>
    </row>
    <row r="2" spans="1:13" x14ac:dyDescent="0.25">
      <c r="A2" s="1" t="s">
        <v>850</v>
      </c>
      <c r="B2" s="2" t="s">
        <v>853</v>
      </c>
    </row>
    <row r="3" spans="1:13" x14ac:dyDescent="0.25">
      <c r="A3" s="1" t="s">
        <v>851</v>
      </c>
      <c r="B3" s="2" t="s">
        <v>7</v>
      </c>
      <c r="M3" s="4"/>
    </row>
    <row r="4" spans="1:13" x14ac:dyDescent="0.25">
      <c r="A4" s="1"/>
      <c r="M4" s="4"/>
    </row>
    <row r="5" spans="1:13" x14ac:dyDescent="0.25">
      <c r="A5" s="1"/>
      <c r="M5" s="4"/>
    </row>
    <row r="6" spans="1:13" x14ac:dyDescent="0.25">
      <c r="A6" s="1"/>
      <c r="M6" s="4"/>
    </row>
    <row r="7" spans="1:13" x14ac:dyDescent="0.25">
      <c r="A7" s="1"/>
      <c r="M7" s="4"/>
    </row>
    <row r="8" spans="1:13" x14ac:dyDescent="0.25">
      <c r="A8" s="1"/>
      <c r="M8" s="4"/>
    </row>
    <row r="9" spans="1:13" x14ac:dyDescent="0.25">
      <c r="A9" s="1"/>
      <c r="M9" s="4"/>
    </row>
    <row r="10" spans="1:13" x14ac:dyDescent="0.25">
      <c r="A10" s="1"/>
      <c r="M10" s="4"/>
    </row>
    <row r="11" spans="1:13" x14ac:dyDescent="0.25">
      <c r="A11" s="1"/>
      <c r="M11" s="4"/>
    </row>
    <row r="12" spans="1:13" x14ac:dyDescent="0.25">
      <c r="A12" s="1"/>
      <c r="M12" s="4"/>
    </row>
    <row r="13" spans="1:13" x14ac:dyDescent="0.25">
      <c r="A13" s="1"/>
      <c r="M13" s="4"/>
    </row>
    <row r="14" spans="1:13" x14ac:dyDescent="0.25">
      <c r="A14" s="1"/>
      <c r="M14" s="4"/>
    </row>
    <row r="15" spans="1:13" x14ac:dyDescent="0.25">
      <c r="A15" s="1"/>
      <c r="M15" s="4"/>
    </row>
    <row r="16" spans="1:13" x14ac:dyDescent="0.25">
      <c r="A16" s="1"/>
      <c r="M16" s="4"/>
    </row>
    <row r="17" spans="1:13" x14ac:dyDescent="0.25">
      <c r="A17" s="1"/>
      <c r="M17" s="4"/>
    </row>
    <row r="18" spans="1:13" x14ac:dyDescent="0.25">
      <c r="A18" s="1"/>
      <c r="M18" s="4"/>
    </row>
    <row r="19" spans="1:13" x14ac:dyDescent="0.25">
      <c r="A19" s="1"/>
      <c r="M19" s="4"/>
    </row>
    <row r="20" spans="1:13" x14ac:dyDescent="0.25">
      <c r="A20" s="1"/>
      <c r="M20" s="4"/>
    </row>
    <row r="21" spans="1:13" x14ac:dyDescent="0.25">
      <c r="A21" s="1"/>
      <c r="M21" s="4"/>
    </row>
    <row r="22" spans="1:13" x14ac:dyDescent="0.25">
      <c r="A22" s="1"/>
      <c r="M22" s="4"/>
    </row>
    <row r="23" spans="1:13" x14ac:dyDescent="0.25">
      <c r="A23" s="1"/>
      <c r="M23" s="4"/>
    </row>
    <row r="24" spans="1:13" x14ac:dyDescent="0.25">
      <c r="A24" s="1"/>
      <c r="M24" s="4"/>
    </row>
    <row r="25" spans="1:13" x14ac:dyDescent="0.25">
      <c r="A25" s="1"/>
      <c r="M25" s="4"/>
    </row>
    <row r="26" spans="1:13" x14ac:dyDescent="0.25">
      <c r="A26" s="1"/>
      <c r="M26" s="4"/>
    </row>
    <row r="27" spans="1:13" x14ac:dyDescent="0.25">
      <c r="A27" s="1"/>
      <c r="M27" s="4"/>
    </row>
    <row r="28" spans="1:13" x14ac:dyDescent="0.25">
      <c r="A28" s="1"/>
      <c r="M28" s="4"/>
    </row>
    <row r="29" spans="1:13" x14ac:dyDescent="0.25">
      <c r="A29" s="1"/>
      <c r="M29" s="4"/>
    </row>
    <row r="30" spans="1:13" x14ac:dyDescent="0.25">
      <c r="A30" s="1"/>
      <c r="M30" s="4"/>
    </row>
    <row r="31" spans="1:13" x14ac:dyDescent="0.25">
      <c r="A31" s="1"/>
      <c r="M31" s="4"/>
    </row>
    <row r="32" spans="1:13" x14ac:dyDescent="0.25">
      <c r="A32" s="1"/>
      <c r="M32" s="4"/>
    </row>
    <row r="33" spans="1:13" x14ac:dyDescent="0.25">
      <c r="A33" s="1"/>
      <c r="M33" s="4"/>
    </row>
    <row r="34" spans="1:13" x14ac:dyDescent="0.25">
      <c r="A34" s="1"/>
      <c r="M34" s="4"/>
    </row>
    <row r="35" spans="1:13" x14ac:dyDescent="0.25">
      <c r="A35" s="1"/>
      <c r="M35" s="4"/>
    </row>
    <row r="36" spans="1:13" x14ac:dyDescent="0.25">
      <c r="A36" s="1"/>
      <c r="M36" s="4"/>
    </row>
    <row r="37" spans="1:13" x14ac:dyDescent="0.25">
      <c r="A37" s="1"/>
      <c r="M37" s="4"/>
    </row>
    <row r="38" spans="1:13" x14ac:dyDescent="0.25">
      <c r="A38" s="1"/>
      <c r="M38" s="4"/>
    </row>
    <row r="39" spans="1:13" x14ac:dyDescent="0.25">
      <c r="A39" s="1"/>
      <c r="M39" s="4"/>
    </row>
    <row r="40" spans="1:13" x14ac:dyDescent="0.25">
      <c r="A40" s="1"/>
      <c r="M40" s="4"/>
    </row>
    <row r="41" spans="1:13" x14ac:dyDescent="0.25">
      <c r="A41" s="1"/>
      <c r="M41" s="4"/>
    </row>
    <row r="42" spans="1:13" x14ac:dyDescent="0.25">
      <c r="A42" s="1"/>
      <c r="M42" s="4"/>
    </row>
    <row r="43" spans="1:13" x14ac:dyDescent="0.25">
      <c r="A43" s="1"/>
      <c r="M43" s="4"/>
    </row>
    <row r="44" spans="1:13" x14ac:dyDescent="0.25">
      <c r="A44" s="1"/>
      <c r="M44" s="4"/>
    </row>
    <row r="45" spans="1:13" x14ac:dyDescent="0.25">
      <c r="A45" s="1"/>
      <c r="M45" s="4"/>
    </row>
    <row r="46" spans="1:13" x14ac:dyDescent="0.25">
      <c r="A46" s="1"/>
      <c r="M46" s="4"/>
    </row>
    <row r="47" spans="1:13" x14ac:dyDescent="0.25">
      <c r="A47" s="1"/>
      <c r="M47" s="4"/>
    </row>
    <row r="48" spans="1:13" x14ac:dyDescent="0.25">
      <c r="A48" s="1"/>
      <c r="M48" s="4"/>
    </row>
    <row r="49" spans="1:13" x14ac:dyDescent="0.25">
      <c r="A49" s="1"/>
      <c r="M49" s="4"/>
    </row>
    <row r="50" spans="1:13" x14ac:dyDescent="0.25">
      <c r="A50" s="1"/>
      <c r="M50" s="4"/>
    </row>
    <row r="51" spans="1:13" x14ac:dyDescent="0.25">
      <c r="A51" s="1"/>
      <c r="M51" s="4"/>
    </row>
    <row r="52" spans="1:13" x14ac:dyDescent="0.25">
      <c r="A52" s="1"/>
      <c r="M52" s="4"/>
    </row>
    <row r="53" spans="1:13" x14ac:dyDescent="0.25">
      <c r="A53" s="1"/>
      <c r="M53" s="4"/>
    </row>
    <row r="54" spans="1:13" x14ac:dyDescent="0.25">
      <c r="A54" s="1"/>
      <c r="M54" s="4"/>
    </row>
    <row r="55" spans="1:13" x14ac:dyDescent="0.25">
      <c r="A55" s="1"/>
      <c r="M55" s="4"/>
    </row>
    <row r="56" spans="1:13" x14ac:dyDescent="0.25">
      <c r="A56" s="1"/>
      <c r="M56" s="4"/>
    </row>
    <row r="57" spans="1:13" x14ac:dyDescent="0.25">
      <c r="A57" s="1"/>
      <c r="M57" s="4"/>
    </row>
    <row r="58" spans="1:13" x14ac:dyDescent="0.25">
      <c r="A58" s="1"/>
      <c r="M58" s="4"/>
    </row>
    <row r="59" spans="1:13" x14ac:dyDescent="0.25">
      <c r="A59" s="1"/>
      <c r="M59" s="4"/>
    </row>
    <row r="60" spans="1:13" x14ac:dyDescent="0.25">
      <c r="A60" s="1"/>
      <c r="M60" s="4"/>
    </row>
    <row r="61" spans="1:13" x14ac:dyDescent="0.25">
      <c r="A61" s="1"/>
      <c r="M61" s="4"/>
    </row>
    <row r="62" spans="1:13" x14ac:dyDescent="0.25">
      <c r="A62" s="1"/>
      <c r="M62" s="4"/>
    </row>
    <row r="63" spans="1:13" x14ac:dyDescent="0.25">
      <c r="A63" s="1"/>
      <c r="M63" s="4"/>
    </row>
    <row r="64" spans="1:13" x14ac:dyDescent="0.25">
      <c r="A64" s="1"/>
      <c r="M64" s="4"/>
    </row>
    <row r="65" spans="1:13" x14ac:dyDescent="0.25">
      <c r="A65" s="1"/>
      <c r="M65" s="4"/>
    </row>
    <row r="66" spans="1:13" x14ac:dyDescent="0.25">
      <c r="A66" s="1"/>
      <c r="M66" s="4"/>
    </row>
    <row r="67" spans="1:13" x14ac:dyDescent="0.25">
      <c r="A67" s="1"/>
      <c r="M67" s="4"/>
    </row>
    <row r="68" spans="1:13" x14ac:dyDescent="0.25">
      <c r="A68" s="1"/>
      <c r="M68" s="4"/>
    </row>
    <row r="69" spans="1:13" x14ac:dyDescent="0.25">
      <c r="A69" s="1"/>
      <c r="M69" s="4"/>
    </row>
    <row r="70" spans="1:13" x14ac:dyDescent="0.25">
      <c r="A70" s="1"/>
      <c r="M70" s="4"/>
    </row>
    <row r="71" spans="1:13" x14ac:dyDescent="0.25">
      <c r="A71" s="1"/>
      <c r="M71" s="4"/>
    </row>
    <row r="72" spans="1:13" x14ac:dyDescent="0.25">
      <c r="A72" s="1"/>
      <c r="M72" s="4"/>
    </row>
    <row r="73" spans="1:13" x14ac:dyDescent="0.25">
      <c r="A73" s="1"/>
      <c r="M73" s="4"/>
    </row>
    <row r="74" spans="1:13" x14ac:dyDescent="0.25">
      <c r="A74" s="1"/>
      <c r="M74" s="4"/>
    </row>
    <row r="75" spans="1:13" x14ac:dyDescent="0.25">
      <c r="A75" s="1"/>
      <c r="M75" s="4"/>
    </row>
    <row r="76" spans="1:13" x14ac:dyDescent="0.25">
      <c r="A76" s="1"/>
      <c r="M76" s="4"/>
    </row>
    <row r="77" spans="1:13" x14ac:dyDescent="0.25">
      <c r="A77" s="1"/>
      <c r="M77" s="4"/>
    </row>
    <row r="78" spans="1:13" x14ac:dyDescent="0.25">
      <c r="A78" s="1"/>
      <c r="M78" s="4"/>
    </row>
    <row r="79" spans="1:13" x14ac:dyDescent="0.25">
      <c r="A79" s="1"/>
      <c r="M79" s="4"/>
    </row>
    <row r="80" spans="1:13" x14ac:dyDescent="0.25">
      <c r="A80" s="1"/>
      <c r="M80" s="4"/>
    </row>
    <row r="81" spans="1:13" x14ac:dyDescent="0.25">
      <c r="A81" s="1"/>
      <c r="M81" s="4"/>
    </row>
    <row r="82" spans="1:13" x14ac:dyDescent="0.25">
      <c r="A82" s="1"/>
      <c r="M82" s="4"/>
    </row>
    <row r="83" spans="1:13" x14ac:dyDescent="0.25">
      <c r="A83" s="1"/>
      <c r="M83" s="4"/>
    </row>
    <row r="84" spans="1:13" x14ac:dyDescent="0.25">
      <c r="A84" s="1"/>
      <c r="M84" s="4"/>
    </row>
    <row r="85" spans="1:13" x14ac:dyDescent="0.25">
      <c r="A85" s="1"/>
      <c r="M85" s="4"/>
    </row>
    <row r="86" spans="1:13" x14ac:dyDescent="0.25">
      <c r="A86" s="1"/>
      <c r="M86" s="4"/>
    </row>
    <row r="87" spans="1:13" x14ac:dyDescent="0.25">
      <c r="A87" s="1"/>
      <c r="M87" s="4"/>
    </row>
    <row r="88" spans="1:13" x14ac:dyDescent="0.25">
      <c r="A88" s="1"/>
      <c r="M88" s="4"/>
    </row>
    <row r="89" spans="1:13" x14ac:dyDescent="0.25">
      <c r="A89" s="1"/>
      <c r="M89" s="4"/>
    </row>
    <row r="90" spans="1:13" x14ac:dyDescent="0.25">
      <c r="A90" s="1"/>
      <c r="M90" s="4"/>
    </row>
    <row r="91" spans="1:13" x14ac:dyDescent="0.25">
      <c r="A91" s="1"/>
      <c r="M91" s="4"/>
    </row>
    <row r="92" spans="1:13" x14ac:dyDescent="0.25">
      <c r="A92" s="1"/>
      <c r="M92" s="4"/>
    </row>
    <row r="93" spans="1:13" x14ac:dyDescent="0.25">
      <c r="A93" s="1"/>
      <c r="M93" s="4"/>
    </row>
    <row r="94" spans="1:13" x14ac:dyDescent="0.25">
      <c r="A94" s="1"/>
      <c r="M94" s="4"/>
    </row>
    <row r="95" spans="1:13" x14ac:dyDescent="0.25">
      <c r="A95" s="1"/>
      <c r="M95" s="4"/>
    </row>
    <row r="96" spans="1:13" x14ac:dyDescent="0.25">
      <c r="A96" s="1"/>
      <c r="M96" s="4"/>
    </row>
    <row r="97" spans="1:13" x14ac:dyDescent="0.25">
      <c r="A97" s="1"/>
      <c r="M97" s="4"/>
    </row>
    <row r="98" spans="1:13" x14ac:dyDescent="0.25">
      <c r="A98" s="1"/>
      <c r="M98" s="4"/>
    </row>
    <row r="99" spans="1:13" x14ac:dyDescent="0.25">
      <c r="A99" s="1"/>
      <c r="M99" s="4"/>
    </row>
    <row r="100" spans="1:13" x14ac:dyDescent="0.25">
      <c r="A100" s="1"/>
      <c r="M100" s="4"/>
    </row>
    <row r="101" spans="1:13" x14ac:dyDescent="0.25">
      <c r="A101" s="1"/>
      <c r="M101" s="4"/>
    </row>
    <row r="102" spans="1:13" x14ac:dyDescent="0.25">
      <c r="A102" s="1"/>
      <c r="M102" s="4"/>
    </row>
    <row r="103" spans="1:13" x14ac:dyDescent="0.25">
      <c r="A103" s="1"/>
      <c r="M103" s="4"/>
    </row>
    <row r="104" spans="1:13" x14ac:dyDescent="0.25">
      <c r="A104" s="1"/>
      <c r="M104" s="4"/>
    </row>
    <row r="105" spans="1:13" x14ac:dyDescent="0.25">
      <c r="A105" s="1"/>
      <c r="M105" s="4"/>
    </row>
    <row r="106" spans="1:13" x14ac:dyDescent="0.25">
      <c r="A106" s="1"/>
      <c r="M106" s="4"/>
    </row>
    <row r="107" spans="1:13" x14ac:dyDescent="0.25">
      <c r="A107" s="1"/>
      <c r="M107" s="4"/>
    </row>
    <row r="108" spans="1:13" x14ac:dyDescent="0.25">
      <c r="A108" s="1"/>
      <c r="M108" s="4"/>
    </row>
    <row r="109" spans="1:13" x14ac:dyDescent="0.25">
      <c r="A109" s="1"/>
      <c r="M109" s="4"/>
    </row>
    <row r="110" spans="1:13" x14ac:dyDescent="0.25">
      <c r="A110" s="1"/>
      <c r="M110" s="4"/>
    </row>
    <row r="111" spans="1:13" x14ac:dyDescent="0.25">
      <c r="A111" s="1"/>
      <c r="M111" s="4"/>
    </row>
    <row r="112" spans="1:13" x14ac:dyDescent="0.25">
      <c r="A112" s="1"/>
      <c r="M112" s="4"/>
    </row>
    <row r="113" spans="1:13" x14ac:dyDescent="0.25">
      <c r="A113" s="1"/>
      <c r="M113" s="4"/>
    </row>
    <row r="114" spans="1:13" x14ac:dyDescent="0.25">
      <c r="A114" s="1"/>
      <c r="M114" s="4"/>
    </row>
    <row r="115" spans="1:13" x14ac:dyDescent="0.25">
      <c r="A115" s="1"/>
      <c r="M115" s="4"/>
    </row>
    <row r="116" spans="1:13" x14ac:dyDescent="0.25">
      <c r="A116" s="1"/>
      <c r="M116" s="4"/>
    </row>
    <row r="117" spans="1:13" x14ac:dyDescent="0.25">
      <c r="A117" s="1"/>
      <c r="M117" s="4"/>
    </row>
    <row r="118" spans="1:13" x14ac:dyDescent="0.25">
      <c r="A118" s="1"/>
      <c r="M118" s="4"/>
    </row>
    <row r="119" spans="1:13" x14ac:dyDescent="0.25">
      <c r="A119" s="1"/>
      <c r="M119" s="4"/>
    </row>
    <row r="120" spans="1:13" x14ac:dyDescent="0.25">
      <c r="A120" s="1"/>
      <c r="M120" s="4"/>
    </row>
    <row r="121" spans="1:13" x14ac:dyDescent="0.25">
      <c r="A121" s="1"/>
      <c r="M121" s="4"/>
    </row>
    <row r="122" spans="1:13" x14ac:dyDescent="0.25">
      <c r="A122" s="1"/>
      <c r="M122" s="4"/>
    </row>
    <row r="123" spans="1:13" x14ac:dyDescent="0.25">
      <c r="A123" s="1"/>
      <c r="M123" s="4"/>
    </row>
    <row r="124" spans="1:13" x14ac:dyDescent="0.25">
      <c r="A124" s="1"/>
      <c r="M124" s="4"/>
    </row>
    <row r="125" spans="1:13" x14ac:dyDescent="0.25">
      <c r="A125" s="1"/>
      <c r="M125" s="4"/>
    </row>
    <row r="126" spans="1:13" x14ac:dyDescent="0.25">
      <c r="A126" s="1"/>
      <c r="M126" s="4"/>
    </row>
    <row r="127" spans="1:13" x14ac:dyDescent="0.25">
      <c r="A127" s="1"/>
      <c r="M127" s="4"/>
    </row>
    <row r="128" spans="1:13" x14ac:dyDescent="0.25">
      <c r="A128" s="1"/>
      <c r="M128" s="4"/>
    </row>
    <row r="129" spans="1:13" x14ac:dyDescent="0.25">
      <c r="A129" s="1"/>
      <c r="M129" s="4"/>
    </row>
    <row r="130" spans="1:13" x14ac:dyDescent="0.25">
      <c r="A130" s="1"/>
      <c r="M130" s="4"/>
    </row>
    <row r="131" spans="1:13" x14ac:dyDescent="0.25">
      <c r="A131" s="1"/>
      <c r="M131" s="4"/>
    </row>
    <row r="132" spans="1:13" x14ac:dyDescent="0.25">
      <c r="A132" s="1"/>
      <c r="M132" s="4"/>
    </row>
    <row r="133" spans="1:13" x14ac:dyDescent="0.25">
      <c r="A133" s="1"/>
      <c r="M133" s="4"/>
    </row>
    <row r="134" spans="1:13" x14ac:dyDescent="0.25">
      <c r="A134" s="1"/>
      <c r="M134" s="4"/>
    </row>
    <row r="135" spans="1:13" x14ac:dyDescent="0.25">
      <c r="A135" s="1"/>
      <c r="M135" s="4"/>
    </row>
    <row r="136" spans="1:13" x14ac:dyDescent="0.25">
      <c r="A136" s="1"/>
      <c r="M136" s="4"/>
    </row>
    <row r="137" spans="1:13" x14ac:dyDescent="0.25">
      <c r="A137" s="1"/>
      <c r="M137" s="4"/>
    </row>
    <row r="138" spans="1:13" x14ac:dyDescent="0.25">
      <c r="A138" s="1"/>
      <c r="M138" s="4"/>
    </row>
    <row r="139" spans="1:13" x14ac:dyDescent="0.25">
      <c r="A139" s="1"/>
      <c r="M139" s="4"/>
    </row>
    <row r="140" spans="1:13" x14ac:dyDescent="0.25">
      <c r="A140" s="1"/>
      <c r="M140" s="4"/>
    </row>
    <row r="141" spans="1:13" x14ac:dyDescent="0.25">
      <c r="A141" s="1"/>
      <c r="M141" s="4"/>
    </row>
    <row r="142" spans="1:13" x14ac:dyDescent="0.25">
      <c r="A142" s="1"/>
      <c r="M142" s="4"/>
    </row>
    <row r="143" spans="1:13" x14ac:dyDescent="0.25">
      <c r="A143" s="1"/>
      <c r="M143" s="4"/>
    </row>
    <row r="144" spans="1:13" x14ac:dyDescent="0.25">
      <c r="A144" s="1"/>
      <c r="M144" s="4"/>
    </row>
    <row r="145" spans="1:13" x14ac:dyDescent="0.25">
      <c r="A145" s="1"/>
      <c r="M145" s="4"/>
    </row>
    <row r="146" spans="1:13" x14ac:dyDescent="0.25">
      <c r="A146" s="1"/>
      <c r="M146" s="4"/>
    </row>
    <row r="147" spans="1:13" x14ac:dyDescent="0.25">
      <c r="A147" s="1"/>
      <c r="M147" s="4"/>
    </row>
    <row r="148" spans="1:13" x14ac:dyDescent="0.25">
      <c r="A148" s="1"/>
      <c r="M148" s="4"/>
    </row>
    <row r="149" spans="1:13" x14ac:dyDescent="0.25">
      <c r="A149" s="1"/>
      <c r="M149" s="4"/>
    </row>
    <row r="150" spans="1:13" x14ac:dyDescent="0.25">
      <c r="A150" s="1"/>
      <c r="M150" s="4"/>
    </row>
    <row r="151" spans="1:13" x14ac:dyDescent="0.25">
      <c r="A151" s="1"/>
      <c r="M151" s="4"/>
    </row>
    <row r="152" spans="1:13" x14ac:dyDescent="0.25">
      <c r="A152" s="1"/>
      <c r="M152" s="4"/>
    </row>
    <row r="153" spans="1:13" x14ac:dyDescent="0.25">
      <c r="A153" s="1"/>
      <c r="M153" s="4"/>
    </row>
    <row r="154" spans="1:13" x14ac:dyDescent="0.25">
      <c r="A154" s="1"/>
      <c r="M154" s="4"/>
    </row>
    <row r="155" spans="1:13" x14ac:dyDescent="0.25">
      <c r="A155" s="1"/>
      <c r="M155" s="4"/>
    </row>
    <row r="156" spans="1:13" x14ac:dyDescent="0.25">
      <c r="A156" s="1"/>
      <c r="M156" s="4"/>
    </row>
    <row r="157" spans="1:13" x14ac:dyDescent="0.25">
      <c r="A157" s="1"/>
      <c r="M157" s="4"/>
    </row>
    <row r="158" spans="1:13" x14ac:dyDescent="0.25">
      <c r="A158" s="1"/>
      <c r="M158" s="4"/>
    </row>
    <row r="159" spans="1:13" x14ac:dyDescent="0.25">
      <c r="A159" s="1"/>
      <c r="M159" s="4"/>
    </row>
    <row r="160" spans="1:13" x14ac:dyDescent="0.25">
      <c r="A160" s="1"/>
      <c r="M160" s="4"/>
    </row>
    <row r="161" spans="1:13" x14ac:dyDescent="0.25">
      <c r="A161" s="1"/>
      <c r="M161" s="4"/>
    </row>
    <row r="162" spans="1:13" x14ac:dyDescent="0.25">
      <c r="A162" s="1"/>
      <c r="M162" s="4"/>
    </row>
    <row r="163" spans="1:13" x14ac:dyDescent="0.25">
      <c r="A163" s="1"/>
      <c r="M163" s="4"/>
    </row>
    <row r="164" spans="1:13" x14ac:dyDescent="0.25">
      <c r="A164" s="1"/>
      <c r="M164" s="4"/>
    </row>
    <row r="165" spans="1:13" x14ac:dyDescent="0.25">
      <c r="A165" s="1"/>
      <c r="M165" s="4"/>
    </row>
    <row r="166" spans="1:13" x14ac:dyDescent="0.25">
      <c r="A166" s="1"/>
      <c r="M166" s="4"/>
    </row>
    <row r="167" spans="1:13" x14ac:dyDescent="0.25">
      <c r="A167" s="1"/>
      <c r="M167" s="4"/>
    </row>
    <row r="168" spans="1:13" x14ac:dyDescent="0.25">
      <c r="A168" s="1"/>
      <c r="M168" s="4"/>
    </row>
    <row r="169" spans="1:13" x14ac:dyDescent="0.25">
      <c r="A169" s="1"/>
      <c r="M169" s="4"/>
    </row>
    <row r="170" spans="1:13" x14ac:dyDescent="0.25">
      <c r="A170" s="1"/>
      <c r="M170" s="4"/>
    </row>
    <row r="171" spans="1:13" x14ac:dyDescent="0.25">
      <c r="A171" s="1"/>
      <c r="M171" s="4"/>
    </row>
    <row r="172" spans="1:13" x14ac:dyDescent="0.25">
      <c r="A172" s="1"/>
      <c r="M172" s="4"/>
    </row>
    <row r="173" spans="1:13" x14ac:dyDescent="0.25">
      <c r="A173" s="1"/>
      <c r="M173" s="4"/>
    </row>
    <row r="174" spans="1:13" x14ac:dyDescent="0.25">
      <c r="A174" s="1"/>
      <c r="M174" s="4"/>
    </row>
    <row r="175" spans="1:13" x14ac:dyDescent="0.25">
      <c r="A175" s="1"/>
      <c r="M175" s="4"/>
    </row>
    <row r="176" spans="1:13" x14ac:dyDescent="0.25">
      <c r="A176" s="1"/>
      <c r="M176" s="4"/>
    </row>
    <row r="177" spans="1:13" x14ac:dyDescent="0.25">
      <c r="A177" s="1"/>
      <c r="M177" s="4"/>
    </row>
    <row r="178" spans="1:13" x14ac:dyDescent="0.25">
      <c r="A178" s="1"/>
      <c r="M178" s="4"/>
    </row>
    <row r="179" spans="1:13" x14ac:dyDescent="0.25">
      <c r="A179" s="1"/>
      <c r="M179" s="4"/>
    </row>
    <row r="180" spans="1:13" x14ac:dyDescent="0.25">
      <c r="A180" s="1"/>
      <c r="M180" s="4"/>
    </row>
    <row r="181" spans="1:13" x14ac:dyDescent="0.25">
      <c r="A181" s="1"/>
      <c r="M181" s="4"/>
    </row>
    <row r="182" spans="1:13" x14ac:dyDescent="0.25">
      <c r="A182" s="1"/>
      <c r="M182" s="4"/>
    </row>
    <row r="183" spans="1:13" x14ac:dyDescent="0.25">
      <c r="A183" s="1"/>
      <c r="M183" s="4"/>
    </row>
    <row r="184" spans="1:13" x14ac:dyDescent="0.25">
      <c r="A184" s="1"/>
      <c r="M184" s="4"/>
    </row>
    <row r="185" spans="1:13" x14ac:dyDescent="0.25">
      <c r="A185" s="1"/>
      <c r="M185" s="4"/>
    </row>
    <row r="186" spans="1:13" x14ac:dyDescent="0.25">
      <c r="A186" s="1"/>
      <c r="M186" s="4"/>
    </row>
    <row r="187" spans="1:13" x14ac:dyDescent="0.25">
      <c r="A187" s="1"/>
      <c r="M187" s="4"/>
    </row>
    <row r="188" spans="1:13" x14ac:dyDescent="0.25">
      <c r="A188" s="1"/>
      <c r="M188" s="4"/>
    </row>
    <row r="189" spans="1:13" x14ac:dyDescent="0.25">
      <c r="A189" s="1"/>
      <c r="M189" s="4"/>
    </row>
    <row r="190" spans="1:13" x14ac:dyDescent="0.25">
      <c r="A190" s="1"/>
      <c r="M190" s="4"/>
    </row>
    <row r="191" spans="1:13" x14ac:dyDescent="0.25">
      <c r="A191" s="1"/>
      <c r="M191" s="4"/>
    </row>
    <row r="192" spans="1:13" x14ac:dyDescent="0.25">
      <c r="A192" s="1"/>
      <c r="M192" s="4"/>
    </row>
    <row r="193" spans="1:13" x14ac:dyDescent="0.25">
      <c r="A193" s="1"/>
      <c r="M193" s="4"/>
    </row>
    <row r="194" spans="1:13" x14ac:dyDescent="0.25">
      <c r="A194" s="1"/>
      <c r="M194" s="4"/>
    </row>
    <row r="195" spans="1:13" x14ac:dyDescent="0.25">
      <c r="A195" s="1"/>
      <c r="M195" s="4"/>
    </row>
    <row r="196" spans="1:13" x14ac:dyDescent="0.25">
      <c r="A196" s="1"/>
      <c r="M196" s="4"/>
    </row>
    <row r="197" spans="1:13" x14ac:dyDescent="0.25">
      <c r="A197" s="1"/>
      <c r="M197" s="4"/>
    </row>
    <row r="198" spans="1:13" x14ac:dyDescent="0.25">
      <c r="A198" s="1"/>
      <c r="M198" s="4"/>
    </row>
    <row r="199" spans="1:13" x14ac:dyDescent="0.25">
      <c r="A199" s="1"/>
      <c r="M199" s="4"/>
    </row>
    <row r="200" spans="1:13" x14ac:dyDescent="0.25">
      <c r="A200" s="1"/>
      <c r="M200" s="4"/>
    </row>
    <row r="201" spans="1:13" x14ac:dyDescent="0.25">
      <c r="A201" s="1"/>
      <c r="M201" s="4"/>
    </row>
    <row r="202" spans="1:13" x14ac:dyDescent="0.25">
      <c r="A202" s="1"/>
      <c r="M202" s="4"/>
    </row>
    <row r="203" spans="1:13" x14ac:dyDescent="0.25">
      <c r="A203" s="1"/>
      <c r="M203" s="4"/>
    </row>
    <row r="204" spans="1:13" x14ac:dyDescent="0.25">
      <c r="A204" s="1"/>
      <c r="M204" s="4"/>
    </row>
    <row r="205" spans="1:13" x14ac:dyDescent="0.25">
      <c r="A205" s="1"/>
      <c r="M205" s="4"/>
    </row>
    <row r="206" spans="1:13" x14ac:dyDescent="0.25">
      <c r="A206" s="1"/>
      <c r="M206" s="4"/>
    </row>
    <row r="207" spans="1:13" x14ac:dyDescent="0.25">
      <c r="A207" s="1"/>
      <c r="M207" s="4"/>
    </row>
    <row r="208" spans="1:13" x14ac:dyDescent="0.25">
      <c r="A208" s="1"/>
      <c r="M208" s="4"/>
    </row>
    <row r="209" spans="1:13" x14ac:dyDescent="0.25">
      <c r="A209" s="1"/>
      <c r="M209" s="4"/>
    </row>
    <row r="210" spans="1:13" x14ac:dyDescent="0.25">
      <c r="A210" s="1"/>
      <c r="M210" s="4"/>
    </row>
    <row r="211" spans="1:13" x14ac:dyDescent="0.25">
      <c r="A211" s="1"/>
      <c r="M211" s="4"/>
    </row>
    <row r="212" spans="1:13" x14ac:dyDescent="0.25">
      <c r="A212" s="1"/>
      <c r="M212" s="4"/>
    </row>
    <row r="213" spans="1:13" x14ac:dyDescent="0.25">
      <c r="A213" s="1"/>
      <c r="M213" s="4"/>
    </row>
    <row r="214" spans="1:13" x14ac:dyDescent="0.25">
      <c r="A214" s="1"/>
      <c r="M214" s="4"/>
    </row>
    <row r="215" spans="1:13" x14ac:dyDescent="0.25">
      <c r="A215" s="1"/>
      <c r="M215" s="4"/>
    </row>
    <row r="216" spans="1:13" x14ac:dyDescent="0.25">
      <c r="A216" s="1"/>
      <c r="M216" s="4"/>
    </row>
    <row r="217" spans="1:13" x14ac:dyDescent="0.25">
      <c r="A217" s="1"/>
      <c r="M217" s="4"/>
    </row>
    <row r="218" spans="1:13" x14ac:dyDescent="0.25">
      <c r="A218" s="1"/>
      <c r="M218" s="4"/>
    </row>
    <row r="219" spans="1:13" x14ac:dyDescent="0.25">
      <c r="A219" s="1"/>
      <c r="M219" s="4"/>
    </row>
    <row r="220" spans="1:13" x14ac:dyDescent="0.25">
      <c r="A220" s="1"/>
      <c r="M220" s="4"/>
    </row>
    <row r="221" spans="1:13" x14ac:dyDescent="0.25">
      <c r="A221" s="1"/>
      <c r="M221" s="4"/>
    </row>
    <row r="222" spans="1:13" x14ac:dyDescent="0.25">
      <c r="A222" s="1"/>
      <c r="M222" s="4"/>
    </row>
    <row r="223" spans="1:13" x14ac:dyDescent="0.25">
      <c r="A223" s="1"/>
      <c r="M223" s="4"/>
    </row>
    <row r="224" spans="1:13" x14ac:dyDescent="0.25">
      <c r="A224" s="1"/>
      <c r="M224" s="4"/>
    </row>
    <row r="225" spans="1:13" x14ac:dyDescent="0.25">
      <c r="A225" s="1"/>
      <c r="M225" s="4"/>
    </row>
    <row r="226" spans="1:13" x14ac:dyDescent="0.25">
      <c r="A226" s="1"/>
      <c r="M226" s="4"/>
    </row>
    <row r="227" spans="1:13" x14ac:dyDescent="0.25">
      <c r="A227" s="1"/>
      <c r="M227" s="4"/>
    </row>
    <row r="228" spans="1:13" x14ac:dyDescent="0.25">
      <c r="A228" s="1"/>
      <c r="M228" s="4"/>
    </row>
    <row r="229" spans="1:13" x14ac:dyDescent="0.25">
      <c r="A229" s="1"/>
      <c r="M229" s="4"/>
    </row>
    <row r="230" spans="1:13" x14ac:dyDescent="0.25">
      <c r="A230" s="1"/>
      <c r="M230" s="4"/>
    </row>
    <row r="231" spans="1:13" x14ac:dyDescent="0.25">
      <c r="A231" s="1"/>
      <c r="M231" s="4"/>
    </row>
    <row r="232" spans="1:13" x14ac:dyDescent="0.25">
      <c r="A232" s="1"/>
      <c r="M232" s="4"/>
    </row>
    <row r="233" spans="1:13" x14ac:dyDescent="0.25">
      <c r="A233" s="1"/>
      <c r="M233" s="4"/>
    </row>
    <row r="234" spans="1:13" x14ac:dyDescent="0.25">
      <c r="A234" s="1"/>
      <c r="M234" s="4"/>
    </row>
    <row r="235" spans="1:13" x14ac:dyDescent="0.25">
      <c r="A235" s="1"/>
      <c r="M235" s="4"/>
    </row>
    <row r="236" spans="1:13" x14ac:dyDescent="0.25">
      <c r="A236" s="1"/>
      <c r="M236" s="4"/>
    </row>
    <row r="237" spans="1:13" x14ac:dyDescent="0.25">
      <c r="A237" s="1"/>
      <c r="M237" s="4"/>
    </row>
    <row r="238" spans="1:13" x14ac:dyDescent="0.25">
      <c r="A238" s="1"/>
      <c r="M238" s="4"/>
    </row>
    <row r="239" spans="1:13" x14ac:dyDescent="0.25">
      <c r="A239" s="1"/>
      <c r="M239" s="4"/>
    </row>
    <row r="240" spans="1:13" x14ac:dyDescent="0.25">
      <c r="A240" s="1"/>
      <c r="M240" s="4"/>
    </row>
    <row r="241" spans="1:13" x14ac:dyDescent="0.25">
      <c r="A241" s="1"/>
      <c r="M241" s="4"/>
    </row>
    <row r="242" spans="1:13" x14ac:dyDescent="0.25">
      <c r="A242" s="1"/>
      <c r="M242" s="4"/>
    </row>
    <row r="243" spans="1:13" x14ac:dyDescent="0.25">
      <c r="A243" s="1"/>
      <c r="M243" s="4"/>
    </row>
    <row r="244" spans="1:13" x14ac:dyDescent="0.25">
      <c r="A244" s="1"/>
      <c r="M244" s="4"/>
    </row>
    <row r="245" spans="1:13" x14ac:dyDescent="0.25">
      <c r="A245" s="1"/>
      <c r="M245" s="4"/>
    </row>
    <row r="246" spans="1:13" x14ac:dyDescent="0.25">
      <c r="A246" s="1"/>
      <c r="M246" s="4"/>
    </row>
    <row r="247" spans="1:13" x14ac:dyDescent="0.25">
      <c r="A247" s="1"/>
      <c r="M247" s="4"/>
    </row>
    <row r="248" spans="1:13" x14ac:dyDescent="0.25">
      <c r="A248" s="1"/>
      <c r="M248" s="4"/>
    </row>
    <row r="249" spans="1:13" x14ac:dyDescent="0.25">
      <c r="A249" s="1"/>
      <c r="M249" s="4"/>
    </row>
    <row r="250" spans="1:13" x14ac:dyDescent="0.25">
      <c r="A250" s="1"/>
      <c r="M250" s="4"/>
    </row>
    <row r="251" spans="1:13" x14ac:dyDescent="0.25">
      <c r="A251" s="1"/>
      <c r="M251" s="4"/>
    </row>
    <row r="252" spans="1:13" x14ac:dyDescent="0.25">
      <c r="A252" s="1"/>
      <c r="M252" s="4"/>
    </row>
    <row r="253" spans="1:13" x14ac:dyDescent="0.25">
      <c r="A253" s="1"/>
      <c r="M253" s="4"/>
    </row>
    <row r="254" spans="1:13" x14ac:dyDescent="0.25">
      <c r="A254" s="1"/>
      <c r="M254" s="4"/>
    </row>
    <row r="255" spans="1:13" x14ac:dyDescent="0.25">
      <c r="A255" s="1"/>
      <c r="M255" s="4"/>
    </row>
    <row r="256" spans="1:13" x14ac:dyDescent="0.25">
      <c r="A256" s="1"/>
      <c r="M256" s="4"/>
    </row>
    <row r="257" spans="1:13" x14ac:dyDescent="0.25">
      <c r="A257" s="1"/>
      <c r="M257" s="4"/>
    </row>
    <row r="258" spans="1:13" x14ac:dyDescent="0.25">
      <c r="A258" s="1"/>
      <c r="M258" s="4"/>
    </row>
    <row r="259" spans="1:13" x14ac:dyDescent="0.25">
      <c r="A259" s="1"/>
      <c r="M259" s="4"/>
    </row>
    <row r="260" spans="1:13" x14ac:dyDescent="0.25">
      <c r="A260" s="1"/>
      <c r="M260" s="4"/>
    </row>
    <row r="261" spans="1:13" x14ac:dyDescent="0.25">
      <c r="A261" s="1"/>
      <c r="M261" s="4"/>
    </row>
    <row r="262" spans="1:13" x14ac:dyDescent="0.25">
      <c r="A262" s="1"/>
      <c r="M262" s="4"/>
    </row>
    <row r="263" spans="1:13" x14ac:dyDescent="0.25">
      <c r="A263" s="1"/>
      <c r="M263" s="4"/>
    </row>
    <row r="264" spans="1:13" x14ac:dyDescent="0.25">
      <c r="A264" s="1"/>
      <c r="M264" s="4"/>
    </row>
    <row r="265" spans="1:13" x14ac:dyDescent="0.25">
      <c r="A265" s="1"/>
      <c r="M265" s="4"/>
    </row>
    <row r="266" spans="1:13" x14ac:dyDescent="0.25">
      <c r="A266" s="1"/>
      <c r="M266" s="4"/>
    </row>
    <row r="267" spans="1:13" x14ac:dyDescent="0.25">
      <c r="A267" s="1"/>
      <c r="M267" s="4"/>
    </row>
    <row r="268" spans="1:13" x14ac:dyDescent="0.25">
      <c r="A268" s="1"/>
      <c r="M268" s="4"/>
    </row>
    <row r="269" spans="1:13" x14ac:dyDescent="0.25">
      <c r="A269" s="1"/>
      <c r="M269" s="4"/>
    </row>
    <row r="270" spans="1:13" x14ac:dyDescent="0.25">
      <c r="A270" s="1"/>
      <c r="M270" s="4"/>
    </row>
    <row r="271" spans="1:13" x14ac:dyDescent="0.25">
      <c r="A271" s="1"/>
      <c r="M271" s="4"/>
    </row>
    <row r="272" spans="1:13" x14ac:dyDescent="0.25">
      <c r="A272" s="1"/>
      <c r="M272" s="4"/>
    </row>
    <row r="273" spans="1:13" x14ac:dyDescent="0.25">
      <c r="A273" s="1"/>
      <c r="M273" s="4"/>
    </row>
    <row r="274" spans="1:13" x14ac:dyDescent="0.25">
      <c r="A274" s="1"/>
      <c r="M274" s="4"/>
    </row>
    <row r="275" spans="1:13" x14ac:dyDescent="0.25">
      <c r="A275" s="1"/>
      <c r="M275" s="4"/>
    </row>
    <row r="276" spans="1:13" x14ac:dyDescent="0.25">
      <c r="A276" s="1"/>
      <c r="M276" s="4"/>
    </row>
    <row r="277" spans="1:13" x14ac:dyDescent="0.25">
      <c r="A277" s="1"/>
      <c r="M277" s="4"/>
    </row>
    <row r="278" spans="1:13" x14ac:dyDescent="0.25">
      <c r="A278" s="1"/>
      <c r="M278" s="4"/>
    </row>
    <row r="279" spans="1:13" x14ac:dyDescent="0.25">
      <c r="A279" s="1"/>
      <c r="M279" s="4"/>
    </row>
    <row r="280" spans="1:13" x14ac:dyDescent="0.25">
      <c r="A280" s="1"/>
      <c r="M280" s="4"/>
    </row>
    <row r="281" spans="1:13" x14ac:dyDescent="0.25">
      <c r="A281" s="1"/>
      <c r="M281" s="4"/>
    </row>
    <row r="282" spans="1:13" x14ac:dyDescent="0.25">
      <c r="A282" s="1"/>
      <c r="M282" s="4"/>
    </row>
    <row r="283" spans="1:13" x14ac:dyDescent="0.25">
      <c r="A283" s="1"/>
      <c r="M283" s="4"/>
    </row>
    <row r="284" spans="1:13" x14ac:dyDescent="0.25">
      <c r="A284" s="1"/>
      <c r="M284" s="4"/>
    </row>
    <row r="285" spans="1:13" x14ac:dyDescent="0.25">
      <c r="A285" s="1"/>
      <c r="M285" s="4"/>
    </row>
    <row r="286" spans="1:13" x14ac:dyDescent="0.25">
      <c r="A286" s="1"/>
      <c r="M286" s="4"/>
    </row>
    <row r="287" spans="1:13" x14ac:dyDescent="0.25">
      <c r="A287" s="1"/>
      <c r="M287" s="4"/>
    </row>
    <row r="288" spans="1:13" x14ac:dyDescent="0.25">
      <c r="A288" s="1"/>
      <c r="M288" s="4"/>
    </row>
    <row r="289" spans="1:13" x14ac:dyDescent="0.25">
      <c r="A289" s="1"/>
      <c r="M289" s="4"/>
    </row>
    <row r="290" spans="1:13" x14ac:dyDescent="0.25">
      <c r="A290" s="1"/>
      <c r="M290" s="4"/>
    </row>
    <row r="291" spans="1:13" x14ac:dyDescent="0.25">
      <c r="A291" s="1"/>
      <c r="M291" s="4"/>
    </row>
    <row r="292" spans="1:13" x14ac:dyDescent="0.25">
      <c r="A292" s="1"/>
      <c r="M292" s="4"/>
    </row>
    <row r="293" spans="1:13" x14ac:dyDescent="0.25">
      <c r="A293" s="1"/>
      <c r="M293" s="4"/>
    </row>
    <row r="294" spans="1:13" x14ac:dyDescent="0.25">
      <c r="A294" s="1"/>
      <c r="M294" s="4"/>
    </row>
    <row r="295" spans="1:13" x14ac:dyDescent="0.25">
      <c r="A295" s="1"/>
      <c r="M295" s="4"/>
    </row>
    <row r="296" spans="1:13" x14ac:dyDescent="0.25">
      <c r="A296" s="1"/>
      <c r="M296" s="4"/>
    </row>
    <row r="297" spans="1:13" x14ac:dyDescent="0.25">
      <c r="A297" s="1"/>
      <c r="M297" s="4"/>
    </row>
    <row r="298" spans="1:13" x14ac:dyDescent="0.25">
      <c r="A298" s="1"/>
      <c r="M298" s="4"/>
    </row>
    <row r="299" spans="1:13" x14ac:dyDescent="0.25">
      <c r="A299" s="1"/>
      <c r="M299" s="4"/>
    </row>
    <row r="300" spans="1:13" x14ac:dyDescent="0.25">
      <c r="A300" s="1"/>
      <c r="M300" s="4"/>
    </row>
    <row r="301" spans="1:13" x14ac:dyDescent="0.25">
      <c r="A301" s="1"/>
      <c r="M301" s="4"/>
    </row>
    <row r="302" spans="1:13" x14ac:dyDescent="0.25">
      <c r="A302" s="1"/>
      <c r="M302" s="4"/>
    </row>
    <row r="303" spans="1:13" x14ac:dyDescent="0.25">
      <c r="A303" s="1"/>
      <c r="M303" s="4"/>
    </row>
    <row r="304" spans="1:13" x14ac:dyDescent="0.25">
      <c r="A304" s="1"/>
      <c r="M304" s="4"/>
    </row>
    <row r="305" spans="1:13" x14ac:dyDescent="0.25">
      <c r="A305" s="1"/>
      <c r="M305" s="4"/>
    </row>
    <row r="306" spans="1:13" x14ac:dyDescent="0.25">
      <c r="A306" s="1"/>
      <c r="M306" s="4"/>
    </row>
    <row r="307" spans="1:13" x14ac:dyDescent="0.25">
      <c r="A307" s="1"/>
      <c r="M307" s="4"/>
    </row>
    <row r="308" spans="1:13" x14ac:dyDescent="0.25">
      <c r="M308" s="4"/>
    </row>
    <row r="309" spans="1:13" x14ac:dyDescent="0.25">
      <c r="M309" s="4"/>
    </row>
    <row r="310" spans="1:13" x14ac:dyDescent="0.25">
      <c r="M310" s="4"/>
    </row>
    <row r="311" spans="1:13" x14ac:dyDescent="0.25">
      <c r="M311" s="4"/>
    </row>
    <row r="312" spans="1:13" x14ac:dyDescent="0.25">
      <c r="M312" s="4"/>
    </row>
    <row r="313" spans="1:13" x14ac:dyDescent="0.25">
      <c r="M313" s="4"/>
    </row>
    <row r="314" spans="1:13" x14ac:dyDescent="0.25">
      <c r="M314" s="4"/>
    </row>
    <row r="315" spans="1:13" x14ac:dyDescent="0.25">
      <c r="M315" s="4"/>
    </row>
    <row r="316" spans="1:13" x14ac:dyDescent="0.25">
      <c r="M316" s="4"/>
    </row>
    <row r="317" spans="1:13" x14ac:dyDescent="0.25">
      <c r="M317" s="4"/>
    </row>
    <row r="318" spans="1:13" x14ac:dyDescent="0.25">
      <c r="M318" s="4"/>
    </row>
    <row r="319" spans="1:13" x14ac:dyDescent="0.25">
      <c r="M319" s="4"/>
    </row>
    <row r="320" spans="1:13" x14ac:dyDescent="0.25">
      <c r="M320" s="4"/>
    </row>
    <row r="321" spans="13:13" x14ac:dyDescent="0.25">
      <c r="M321" s="4"/>
    </row>
    <row r="322" spans="13:13" x14ac:dyDescent="0.25">
      <c r="M322" s="4"/>
    </row>
    <row r="323" spans="13:13" x14ac:dyDescent="0.25">
      <c r="M323" s="4"/>
    </row>
    <row r="324" spans="13:13" x14ac:dyDescent="0.25">
      <c r="M324" s="4"/>
    </row>
    <row r="325" spans="13:13" x14ac:dyDescent="0.25">
      <c r="M325" s="4"/>
    </row>
    <row r="326" spans="13:13" x14ac:dyDescent="0.25">
      <c r="M326" s="4"/>
    </row>
    <row r="327" spans="13:13" x14ac:dyDescent="0.25">
      <c r="M327" s="4"/>
    </row>
    <row r="328" spans="13:13" x14ac:dyDescent="0.25">
      <c r="M328" s="4"/>
    </row>
    <row r="329" spans="13:13" x14ac:dyDescent="0.25">
      <c r="M329" s="4"/>
    </row>
    <row r="330" spans="13:13" x14ac:dyDescent="0.25">
      <c r="M330" s="4"/>
    </row>
    <row r="331" spans="13:13" x14ac:dyDescent="0.25">
      <c r="M331" s="4"/>
    </row>
    <row r="332" spans="13:13" x14ac:dyDescent="0.25">
      <c r="M332" s="4"/>
    </row>
    <row r="333" spans="13:13" x14ac:dyDescent="0.25">
      <c r="M333" s="4"/>
    </row>
    <row r="334" spans="13:13" x14ac:dyDescent="0.25">
      <c r="M334" s="4"/>
    </row>
    <row r="335" spans="13:13" x14ac:dyDescent="0.25">
      <c r="M335" s="4"/>
    </row>
    <row r="336" spans="13:13" x14ac:dyDescent="0.25">
      <c r="M336" s="4"/>
    </row>
    <row r="337" spans="13:13" x14ac:dyDescent="0.25">
      <c r="M337" s="4"/>
    </row>
    <row r="338" spans="13:13" x14ac:dyDescent="0.25">
      <c r="M338" s="4"/>
    </row>
    <row r="339" spans="13:13" x14ac:dyDescent="0.25">
      <c r="M339" s="4"/>
    </row>
    <row r="340" spans="13:13" x14ac:dyDescent="0.25">
      <c r="M340" s="4"/>
    </row>
    <row r="341" spans="13:13" x14ac:dyDescent="0.25">
      <c r="M341" s="4"/>
    </row>
    <row r="342" spans="13:13" x14ac:dyDescent="0.25">
      <c r="M342" s="4"/>
    </row>
    <row r="343" spans="13:13" x14ac:dyDescent="0.25">
      <c r="M343" s="4"/>
    </row>
    <row r="344" spans="13:13" x14ac:dyDescent="0.25">
      <c r="M344" s="4"/>
    </row>
    <row r="345" spans="13:13" x14ac:dyDescent="0.25">
      <c r="M345" s="4"/>
    </row>
    <row r="346" spans="13:13" x14ac:dyDescent="0.25">
      <c r="M346" s="4"/>
    </row>
    <row r="347" spans="13:13" x14ac:dyDescent="0.25">
      <c r="M347" s="4"/>
    </row>
    <row r="348" spans="13:13" x14ac:dyDescent="0.25">
      <c r="M348" s="4"/>
    </row>
    <row r="349" spans="13:13" x14ac:dyDescent="0.25">
      <c r="M349" s="4"/>
    </row>
    <row r="350" spans="13:13" x14ac:dyDescent="0.25">
      <c r="M350" s="4"/>
    </row>
    <row r="351" spans="13:13" x14ac:dyDescent="0.25">
      <c r="M351" s="4"/>
    </row>
    <row r="352" spans="13:13" x14ac:dyDescent="0.25">
      <c r="M352" s="4"/>
    </row>
    <row r="353" spans="13:13" x14ac:dyDescent="0.25">
      <c r="M353" s="4"/>
    </row>
    <row r="354" spans="13:13" x14ac:dyDescent="0.25">
      <c r="M354" s="4"/>
    </row>
    <row r="355" spans="13:13" x14ac:dyDescent="0.25">
      <c r="M355" s="4"/>
    </row>
    <row r="356" spans="13:13" x14ac:dyDescent="0.25">
      <c r="M356" s="4"/>
    </row>
    <row r="357" spans="13:13" x14ac:dyDescent="0.25">
      <c r="M357" s="4"/>
    </row>
    <row r="358" spans="13:13" x14ac:dyDescent="0.25">
      <c r="M358" s="4"/>
    </row>
    <row r="359" spans="13:13" x14ac:dyDescent="0.25">
      <c r="M359" s="4"/>
    </row>
    <row r="360" spans="13:13" x14ac:dyDescent="0.25">
      <c r="M360" s="4"/>
    </row>
    <row r="361" spans="13:13" x14ac:dyDescent="0.25">
      <c r="M361" s="4"/>
    </row>
    <row r="362" spans="13:13" x14ac:dyDescent="0.25">
      <c r="M362" s="4"/>
    </row>
    <row r="363" spans="13:13" x14ac:dyDescent="0.25">
      <c r="M363" s="4"/>
    </row>
    <row r="364" spans="13:13" x14ac:dyDescent="0.25">
      <c r="M364" s="4"/>
    </row>
    <row r="365" spans="13:13" x14ac:dyDescent="0.25">
      <c r="M365" s="4"/>
    </row>
    <row r="366" spans="13:13" x14ac:dyDescent="0.25">
      <c r="M366" s="4"/>
    </row>
    <row r="367" spans="13:13" x14ac:dyDescent="0.25">
      <c r="M367" s="4"/>
    </row>
    <row r="368" spans="13:13" x14ac:dyDescent="0.25">
      <c r="M368" s="4"/>
    </row>
    <row r="369" spans="13:13" x14ac:dyDescent="0.25">
      <c r="M369" s="4"/>
    </row>
    <row r="370" spans="13:13" x14ac:dyDescent="0.25">
      <c r="M370" s="4"/>
    </row>
    <row r="371" spans="13:13" x14ac:dyDescent="0.25">
      <c r="M371" s="4"/>
    </row>
    <row r="372" spans="13:13" x14ac:dyDescent="0.25">
      <c r="M372" s="4"/>
    </row>
    <row r="373" spans="13:13" x14ac:dyDescent="0.25">
      <c r="M373" s="4"/>
    </row>
    <row r="374" spans="13:13" x14ac:dyDescent="0.25">
      <c r="M374" s="4"/>
    </row>
    <row r="375" spans="13:13" x14ac:dyDescent="0.25">
      <c r="M375" s="4"/>
    </row>
    <row r="376" spans="13:13" x14ac:dyDescent="0.25">
      <c r="M376" s="4"/>
    </row>
    <row r="377" spans="13:13" x14ac:dyDescent="0.25">
      <c r="M377" s="4"/>
    </row>
    <row r="378" spans="13:13" x14ac:dyDescent="0.25">
      <c r="M378" s="4"/>
    </row>
    <row r="379" spans="13:13" x14ac:dyDescent="0.25">
      <c r="M379" s="4"/>
    </row>
    <row r="380" spans="13:13" x14ac:dyDescent="0.25">
      <c r="M380" s="4"/>
    </row>
    <row r="381" spans="13:13" x14ac:dyDescent="0.25">
      <c r="M381" s="4"/>
    </row>
    <row r="382" spans="13:13" x14ac:dyDescent="0.25">
      <c r="M382" s="4"/>
    </row>
    <row r="383" spans="13:13" x14ac:dyDescent="0.25">
      <c r="M383" s="4"/>
    </row>
    <row r="384" spans="13:13" x14ac:dyDescent="0.25">
      <c r="M384" s="4"/>
    </row>
    <row r="385" spans="13:13" x14ac:dyDescent="0.25">
      <c r="M385" s="4"/>
    </row>
    <row r="386" spans="13:13" x14ac:dyDescent="0.25">
      <c r="M386" s="4"/>
    </row>
    <row r="387" spans="13:13" x14ac:dyDescent="0.25">
      <c r="M387" s="4"/>
    </row>
    <row r="388" spans="13:13" x14ac:dyDescent="0.25">
      <c r="M388" s="4"/>
    </row>
    <row r="389" spans="13:13" x14ac:dyDescent="0.25">
      <c r="M389" s="4"/>
    </row>
    <row r="390" spans="13:13" x14ac:dyDescent="0.25">
      <c r="M390" s="4"/>
    </row>
    <row r="391" spans="13:13" x14ac:dyDescent="0.25">
      <c r="M391" s="4"/>
    </row>
    <row r="392" spans="13:13" x14ac:dyDescent="0.25">
      <c r="M392" s="4"/>
    </row>
    <row r="393" spans="13:13" x14ac:dyDescent="0.25">
      <c r="M393" s="4"/>
    </row>
    <row r="394" spans="13:13" x14ac:dyDescent="0.25">
      <c r="M394" s="4"/>
    </row>
    <row r="395" spans="13:13" x14ac:dyDescent="0.25">
      <c r="M395" s="4"/>
    </row>
    <row r="396" spans="13:13" x14ac:dyDescent="0.25">
      <c r="M396" s="4"/>
    </row>
    <row r="397" spans="13:13" x14ac:dyDescent="0.25">
      <c r="M397" s="4"/>
    </row>
    <row r="398" spans="13:13" x14ac:dyDescent="0.25">
      <c r="M398" s="4"/>
    </row>
    <row r="399" spans="13:13" x14ac:dyDescent="0.25">
      <c r="M399" s="4"/>
    </row>
    <row r="400" spans="13:13" x14ac:dyDescent="0.25">
      <c r="M400" s="4"/>
    </row>
    <row r="401" spans="13:13" x14ac:dyDescent="0.25">
      <c r="M401" s="4"/>
    </row>
    <row r="402" spans="13:13" x14ac:dyDescent="0.25">
      <c r="M402" s="4"/>
    </row>
    <row r="403" spans="13:13" x14ac:dyDescent="0.25">
      <c r="M403" s="4"/>
    </row>
    <row r="404" spans="13:13" x14ac:dyDescent="0.25">
      <c r="M404" s="4"/>
    </row>
    <row r="405" spans="13:13" x14ac:dyDescent="0.25">
      <c r="M405" s="4"/>
    </row>
    <row r="406" spans="13:13" x14ac:dyDescent="0.25">
      <c r="M406" s="4"/>
    </row>
    <row r="407" spans="13:13" x14ac:dyDescent="0.25">
      <c r="M407" s="4"/>
    </row>
    <row r="408" spans="13:13" x14ac:dyDescent="0.25">
      <c r="M408" s="4"/>
    </row>
    <row r="409" spans="13:13" x14ac:dyDescent="0.25">
      <c r="M409" s="4"/>
    </row>
    <row r="410" spans="13:13" x14ac:dyDescent="0.25">
      <c r="M410" s="4"/>
    </row>
    <row r="411" spans="13:13" x14ac:dyDescent="0.25">
      <c r="M411" s="4"/>
    </row>
    <row r="412" spans="13:13" x14ac:dyDescent="0.25">
      <c r="M412" s="4"/>
    </row>
    <row r="413" spans="13:13" x14ac:dyDescent="0.25">
      <c r="M413" s="4"/>
    </row>
    <row r="414" spans="13:13" x14ac:dyDescent="0.25">
      <c r="M414" s="4"/>
    </row>
    <row r="415" spans="13:13" x14ac:dyDescent="0.25">
      <c r="M415" s="4"/>
    </row>
    <row r="416" spans="13:13" x14ac:dyDescent="0.25">
      <c r="M416" s="4"/>
    </row>
    <row r="417" spans="13:13" x14ac:dyDescent="0.25">
      <c r="M417" s="4"/>
    </row>
    <row r="418" spans="13:13" x14ac:dyDescent="0.25">
      <c r="M418" s="4"/>
    </row>
    <row r="419" spans="13:13" x14ac:dyDescent="0.25">
      <c r="M419" s="4"/>
    </row>
    <row r="420" spans="13:13" x14ac:dyDescent="0.25">
      <c r="M420" s="4"/>
    </row>
    <row r="421" spans="13:13" x14ac:dyDescent="0.25">
      <c r="M421" s="4"/>
    </row>
    <row r="422" spans="13:13" x14ac:dyDescent="0.25">
      <c r="M422" s="4"/>
    </row>
  </sheetData>
  <hyperlinks>
    <hyperlink ref="B3" r:id="rId1" xr:uid="{1FBFD298-08D7-48E6-AB20-54A1692CC07E}"/>
    <hyperlink ref="B2" r:id="rId2" xr:uid="{B2D4A8A8-81A2-4AE4-A67E-B20FBDE168A6}"/>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764C8A-4689-4D10-8B6F-784A183D1781}">
  <sheetPr codeName="Sheet1"/>
  <dimension ref="A1:M422"/>
  <sheetViews>
    <sheetView workbookViewId="0">
      <selection activeCell="M3" sqref="M3"/>
    </sheetView>
  </sheetViews>
  <sheetFormatPr defaultRowHeight="15" x14ac:dyDescent="0.25"/>
  <cols>
    <col min="11" max="11" width="10.42578125" bestFit="1" customWidth="1"/>
    <col min="12" max="12" width="12.5703125" bestFit="1" customWidth="1"/>
  </cols>
  <sheetData>
    <row r="1" spans="1:13" x14ac:dyDescent="0.25">
      <c r="A1" t="s">
        <v>2</v>
      </c>
      <c r="K1" t="s">
        <v>3</v>
      </c>
      <c r="L1" t="s">
        <v>4</v>
      </c>
      <c r="M1" t="s">
        <v>852</v>
      </c>
    </row>
    <row r="2" spans="1:13" x14ac:dyDescent="0.25">
      <c r="A2" t="s">
        <v>428</v>
      </c>
      <c r="K2" s="1" t="str">
        <f>LEFT(A2,10)</f>
        <v>1985-07-01</v>
      </c>
      <c r="L2">
        <v>1347.4499510000001</v>
      </c>
    </row>
    <row r="3" spans="1:13" x14ac:dyDescent="0.25">
      <c r="A3" t="s">
        <v>429</v>
      </c>
      <c r="K3" s="1" t="str">
        <f t="shared" ref="K3:K66" si="0">LEFT(A3,10)</f>
        <v>1985-08-01</v>
      </c>
      <c r="L3">
        <v>1334.01001</v>
      </c>
      <c r="M3" s="4">
        <f>(L3/L2)-1</f>
        <v>-9.9743526577931174E-3</v>
      </c>
    </row>
    <row r="4" spans="1:13" x14ac:dyDescent="0.25">
      <c r="A4" t="s">
        <v>430</v>
      </c>
      <c r="K4" s="1" t="str">
        <f t="shared" si="0"/>
        <v>1985-09-01</v>
      </c>
      <c r="L4">
        <v>1328.630005</v>
      </c>
      <c r="M4" s="4">
        <f t="shared" ref="M4:M67" si="1">(L4/L3)-1</f>
        <v>-4.0329569940783516E-3</v>
      </c>
    </row>
    <row r="5" spans="1:13" x14ac:dyDescent="0.25">
      <c r="A5" t="s">
        <v>431</v>
      </c>
      <c r="K5" s="1" t="str">
        <f t="shared" si="0"/>
        <v>1985-10-01</v>
      </c>
      <c r="L5">
        <v>1374.3100589999999</v>
      </c>
      <c r="M5" s="4">
        <f t="shared" si="1"/>
        <v>3.4381320479059951E-2</v>
      </c>
    </row>
    <row r="6" spans="1:13" x14ac:dyDescent="0.25">
      <c r="A6" t="s">
        <v>432</v>
      </c>
      <c r="K6" s="1" t="str">
        <f t="shared" si="0"/>
        <v>1985-11-01</v>
      </c>
      <c r="L6">
        <v>1472.130005</v>
      </c>
      <c r="M6" s="4">
        <f t="shared" si="1"/>
        <v>7.1177494015562726E-2</v>
      </c>
    </row>
    <row r="7" spans="1:13" x14ac:dyDescent="0.25">
      <c r="A7" t="s">
        <v>433</v>
      </c>
      <c r="K7" s="1" t="str">
        <f t="shared" si="0"/>
        <v>1985-12-01</v>
      </c>
      <c r="L7">
        <v>1546.670044</v>
      </c>
      <c r="M7" s="4">
        <f t="shared" si="1"/>
        <v>5.0634141513880682E-2</v>
      </c>
    </row>
    <row r="8" spans="1:13" x14ac:dyDescent="0.25">
      <c r="A8" t="s">
        <v>434</v>
      </c>
      <c r="K8" s="1" t="str">
        <f t="shared" si="0"/>
        <v>1986-01-01</v>
      </c>
      <c r="L8">
        <v>1570.98999</v>
      </c>
      <c r="M8" s="4">
        <f t="shared" si="1"/>
        <v>1.572406868183962E-2</v>
      </c>
    </row>
    <row r="9" spans="1:13" x14ac:dyDescent="0.25">
      <c r="A9" t="s">
        <v>435</v>
      </c>
      <c r="K9" s="1" t="str">
        <f t="shared" si="0"/>
        <v>1986-02-01</v>
      </c>
      <c r="L9">
        <v>1709.0600589999999</v>
      </c>
      <c r="M9" s="4">
        <f t="shared" si="1"/>
        <v>8.7887300287635695E-2</v>
      </c>
    </row>
    <row r="10" spans="1:13" x14ac:dyDescent="0.25">
      <c r="A10" t="s">
        <v>436</v>
      </c>
      <c r="K10" s="1" t="str">
        <f t="shared" si="0"/>
        <v>1986-03-01</v>
      </c>
      <c r="L10">
        <v>1818.6099850000001</v>
      </c>
      <c r="M10" s="4">
        <f t="shared" si="1"/>
        <v>6.4099517991251576E-2</v>
      </c>
    </row>
    <row r="11" spans="1:13" x14ac:dyDescent="0.25">
      <c r="A11" t="s">
        <v>437</v>
      </c>
      <c r="K11" s="1" t="str">
        <f t="shared" si="0"/>
        <v>1986-04-01</v>
      </c>
      <c r="L11">
        <v>1783.9799800000001</v>
      </c>
      <c r="M11" s="4">
        <f t="shared" si="1"/>
        <v>-1.9042018511737147E-2</v>
      </c>
    </row>
    <row r="12" spans="1:13" x14ac:dyDescent="0.25">
      <c r="A12" t="s">
        <v>438</v>
      </c>
      <c r="K12" s="1" t="str">
        <f t="shared" si="0"/>
        <v>1986-05-01</v>
      </c>
      <c r="L12">
        <v>1876.709961</v>
      </c>
      <c r="M12" s="4">
        <f t="shared" si="1"/>
        <v>5.1979272211339467E-2</v>
      </c>
    </row>
    <row r="13" spans="1:13" x14ac:dyDescent="0.25">
      <c r="A13" t="s">
        <v>439</v>
      </c>
      <c r="K13" s="1" t="str">
        <f t="shared" si="0"/>
        <v>1986-06-01</v>
      </c>
      <c r="L13">
        <v>1892.719971</v>
      </c>
      <c r="M13" s="4">
        <f t="shared" si="1"/>
        <v>8.5308920039348646E-3</v>
      </c>
    </row>
    <row r="14" spans="1:13" x14ac:dyDescent="0.25">
      <c r="A14" t="s">
        <v>440</v>
      </c>
      <c r="K14" s="1" t="str">
        <f t="shared" si="0"/>
        <v>1986-07-01</v>
      </c>
      <c r="L14">
        <v>1775.3100589999999</v>
      </c>
      <c r="M14" s="4">
        <f t="shared" si="1"/>
        <v>-6.2032373409135477E-2</v>
      </c>
    </row>
    <row r="15" spans="1:13" x14ac:dyDescent="0.25">
      <c r="A15" t="s">
        <v>441</v>
      </c>
      <c r="K15" s="1" t="str">
        <f t="shared" si="0"/>
        <v>1986-08-01</v>
      </c>
      <c r="L15">
        <v>1898.339966</v>
      </c>
      <c r="M15" s="4">
        <f t="shared" si="1"/>
        <v>6.9300518169372882E-2</v>
      </c>
    </row>
    <row r="16" spans="1:13" x14ac:dyDescent="0.25">
      <c r="A16" t="s">
        <v>442</v>
      </c>
      <c r="K16" s="1" t="str">
        <f t="shared" si="0"/>
        <v>1986-09-01</v>
      </c>
      <c r="L16">
        <v>1767.579956</v>
      </c>
      <c r="M16" s="4">
        <f t="shared" si="1"/>
        <v>-6.8881239578769904E-2</v>
      </c>
    </row>
    <row r="17" spans="1:13" x14ac:dyDescent="0.25">
      <c r="A17" t="s">
        <v>443</v>
      </c>
      <c r="K17" s="1" t="str">
        <f t="shared" si="0"/>
        <v>1986-10-01</v>
      </c>
      <c r="L17">
        <v>1877.709961</v>
      </c>
      <c r="M17" s="4">
        <f t="shared" si="1"/>
        <v>6.2305529447857166E-2</v>
      </c>
    </row>
    <row r="18" spans="1:13" x14ac:dyDescent="0.25">
      <c r="A18" t="s">
        <v>444</v>
      </c>
      <c r="K18" s="1" t="str">
        <f t="shared" si="0"/>
        <v>1986-11-01</v>
      </c>
      <c r="L18">
        <v>1914.2299800000001</v>
      </c>
      <c r="M18" s="4">
        <f t="shared" si="1"/>
        <v>1.944923324609249E-2</v>
      </c>
    </row>
    <row r="19" spans="1:13" x14ac:dyDescent="0.25">
      <c r="A19" t="s">
        <v>445</v>
      </c>
      <c r="K19" s="1" t="str">
        <f t="shared" si="0"/>
        <v>1986-12-01</v>
      </c>
      <c r="L19">
        <v>1895.9499510000001</v>
      </c>
      <c r="M19" s="4">
        <f t="shared" si="1"/>
        <v>-9.5495469149428081E-3</v>
      </c>
    </row>
    <row r="20" spans="1:13" x14ac:dyDescent="0.25">
      <c r="A20" t="s">
        <v>446</v>
      </c>
      <c r="K20" s="1" t="str">
        <f t="shared" si="0"/>
        <v>1987-01-01</v>
      </c>
      <c r="L20">
        <v>2158.040039</v>
      </c>
      <c r="M20" s="4">
        <f t="shared" si="1"/>
        <v>0.13823681783464958</v>
      </c>
    </row>
    <row r="21" spans="1:13" x14ac:dyDescent="0.25">
      <c r="A21" t="s">
        <v>447</v>
      </c>
      <c r="K21" s="1" t="str">
        <f t="shared" si="0"/>
        <v>1987-02-01</v>
      </c>
      <c r="L21">
        <v>2223.98999</v>
      </c>
      <c r="M21" s="4">
        <f t="shared" si="1"/>
        <v>3.0560114644842429E-2</v>
      </c>
    </row>
    <row r="22" spans="1:13" x14ac:dyDescent="0.25">
      <c r="A22" t="s">
        <v>448</v>
      </c>
      <c r="K22" s="1" t="str">
        <f t="shared" si="0"/>
        <v>1987-03-01</v>
      </c>
      <c r="L22">
        <v>2304.6899410000001</v>
      </c>
      <c r="M22" s="4">
        <f t="shared" si="1"/>
        <v>3.6286112510785173E-2</v>
      </c>
    </row>
    <row r="23" spans="1:13" x14ac:dyDescent="0.25">
      <c r="A23" t="s">
        <v>449</v>
      </c>
      <c r="K23" s="1" t="str">
        <f t="shared" si="0"/>
        <v>1987-04-01</v>
      </c>
      <c r="L23">
        <v>2286.360107</v>
      </c>
      <c r="M23" s="4">
        <f t="shared" si="1"/>
        <v>-7.9532754814067852E-3</v>
      </c>
    </row>
    <row r="24" spans="1:13" x14ac:dyDescent="0.25">
      <c r="A24" t="s">
        <v>450</v>
      </c>
      <c r="K24" s="1" t="str">
        <f t="shared" si="0"/>
        <v>1987-05-01</v>
      </c>
      <c r="L24">
        <v>2291.570068</v>
      </c>
      <c r="M24" s="4">
        <f t="shared" si="1"/>
        <v>2.2787140940960793E-3</v>
      </c>
    </row>
    <row r="25" spans="1:13" x14ac:dyDescent="0.25">
      <c r="A25" t="s">
        <v>451</v>
      </c>
      <c r="K25" s="1" t="str">
        <f t="shared" si="0"/>
        <v>1987-06-01</v>
      </c>
      <c r="L25">
        <v>2418.530029</v>
      </c>
      <c r="M25" s="4">
        <f t="shared" si="1"/>
        <v>5.5403045611782664E-2</v>
      </c>
    </row>
    <row r="26" spans="1:13" x14ac:dyDescent="0.25">
      <c r="A26" t="s">
        <v>452</v>
      </c>
      <c r="K26" s="1" t="str">
        <f t="shared" si="0"/>
        <v>1987-07-01</v>
      </c>
      <c r="L26">
        <v>2572.070068</v>
      </c>
      <c r="M26" s="4">
        <f t="shared" si="1"/>
        <v>6.3484859463781351E-2</v>
      </c>
    </row>
    <row r="27" spans="1:13" x14ac:dyDescent="0.25">
      <c r="A27" t="s">
        <v>453</v>
      </c>
      <c r="K27" s="1" t="str">
        <f t="shared" si="0"/>
        <v>1987-08-01</v>
      </c>
      <c r="L27">
        <v>2662.9499510000001</v>
      </c>
      <c r="M27" s="4">
        <f t="shared" si="1"/>
        <v>3.533336207697757E-2</v>
      </c>
    </row>
    <row r="28" spans="1:13" x14ac:dyDescent="0.25">
      <c r="A28" t="s">
        <v>454</v>
      </c>
      <c r="K28" s="1" t="str">
        <f t="shared" si="0"/>
        <v>1987-09-01</v>
      </c>
      <c r="L28">
        <v>2596.280029</v>
      </c>
      <c r="M28" s="4">
        <f t="shared" si="1"/>
        <v>-2.503611529573202E-2</v>
      </c>
    </row>
    <row r="29" spans="1:13" x14ac:dyDescent="0.25">
      <c r="A29" t="s">
        <v>455</v>
      </c>
      <c r="K29" s="1" t="str">
        <f t="shared" si="0"/>
        <v>1987-10-01</v>
      </c>
      <c r="L29">
        <v>1993.530029</v>
      </c>
      <c r="M29" s="4">
        <f t="shared" si="1"/>
        <v>-0.23215908656515727</v>
      </c>
    </row>
    <row r="30" spans="1:13" x14ac:dyDescent="0.25">
      <c r="A30" t="s">
        <v>456</v>
      </c>
      <c r="K30" s="1" t="str">
        <f t="shared" si="0"/>
        <v>1987-11-01</v>
      </c>
      <c r="L30">
        <v>1833.5500489999999</v>
      </c>
      <c r="M30" s="4">
        <f t="shared" si="1"/>
        <v>-8.0249596280347779E-2</v>
      </c>
    </row>
    <row r="31" spans="1:13" x14ac:dyDescent="0.25">
      <c r="A31" t="s">
        <v>457</v>
      </c>
      <c r="K31" s="1" t="str">
        <f t="shared" si="0"/>
        <v>1987-12-01</v>
      </c>
      <c r="L31">
        <v>1938.829956</v>
      </c>
      <c r="M31" s="4">
        <f t="shared" si="1"/>
        <v>5.7418616447049597E-2</v>
      </c>
    </row>
    <row r="32" spans="1:13" x14ac:dyDescent="0.25">
      <c r="A32" t="s">
        <v>458</v>
      </c>
      <c r="K32" s="1" t="str">
        <f t="shared" si="0"/>
        <v>1988-01-01</v>
      </c>
      <c r="L32">
        <v>1958.219971</v>
      </c>
      <c r="M32" s="4">
        <f t="shared" si="1"/>
        <v>1.000088478104777E-2</v>
      </c>
    </row>
    <row r="33" spans="1:13" x14ac:dyDescent="0.25">
      <c r="A33" t="s">
        <v>459</v>
      </c>
      <c r="K33" s="1" t="str">
        <f t="shared" si="0"/>
        <v>1988-02-01</v>
      </c>
      <c r="L33">
        <v>2071.6201169999999</v>
      </c>
      <c r="M33" s="4">
        <f t="shared" si="1"/>
        <v>5.7909809765697595E-2</v>
      </c>
    </row>
    <row r="34" spans="1:13" x14ac:dyDescent="0.25">
      <c r="A34" t="s">
        <v>460</v>
      </c>
      <c r="K34" s="1" t="str">
        <f t="shared" si="0"/>
        <v>1988-03-01</v>
      </c>
      <c r="L34">
        <v>1988.0600589999999</v>
      </c>
      <c r="M34" s="4">
        <f t="shared" si="1"/>
        <v>-4.0335608499982523E-2</v>
      </c>
    </row>
    <row r="35" spans="1:13" x14ac:dyDescent="0.25">
      <c r="A35" t="s">
        <v>461</v>
      </c>
      <c r="K35" s="1" t="str">
        <f t="shared" si="0"/>
        <v>1988-04-01</v>
      </c>
      <c r="L35">
        <v>2032.329956</v>
      </c>
      <c r="M35" s="4">
        <f t="shared" si="1"/>
        <v>2.2267887129258979E-2</v>
      </c>
    </row>
    <row r="36" spans="1:13" x14ac:dyDescent="0.25">
      <c r="A36" t="s">
        <v>462</v>
      </c>
      <c r="K36" s="1" t="str">
        <f t="shared" si="0"/>
        <v>1988-05-01</v>
      </c>
      <c r="L36">
        <v>2031.119995</v>
      </c>
      <c r="M36" s="4">
        <f t="shared" si="1"/>
        <v>-5.9535657407783216E-4</v>
      </c>
    </row>
    <row r="37" spans="1:13" x14ac:dyDescent="0.25">
      <c r="A37" t="s">
        <v>463</v>
      </c>
      <c r="K37" s="1" t="str">
        <f t="shared" si="0"/>
        <v>1988-06-01</v>
      </c>
      <c r="L37">
        <v>2141.709961</v>
      </c>
      <c r="M37" s="4">
        <f t="shared" si="1"/>
        <v>5.4447775745519067E-2</v>
      </c>
    </row>
    <row r="38" spans="1:13" x14ac:dyDescent="0.25">
      <c r="A38" t="s">
        <v>464</v>
      </c>
      <c r="K38" s="1" t="str">
        <f t="shared" si="0"/>
        <v>1988-07-01</v>
      </c>
      <c r="L38">
        <v>2128.7299800000001</v>
      </c>
      <c r="M38" s="4">
        <f t="shared" si="1"/>
        <v>-6.0605690015744784E-3</v>
      </c>
    </row>
    <row r="39" spans="1:13" x14ac:dyDescent="0.25">
      <c r="A39" t="s">
        <v>465</v>
      </c>
      <c r="K39" s="1" t="str">
        <f t="shared" si="0"/>
        <v>1988-08-01</v>
      </c>
      <c r="L39">
        <v>2031.650024</v>
      </c>
      <c r="M39" s="4">
        <f t="shared" si="1"/>
        <v>-4.5604636056283732E-2</v>
      </c>
    </row>
    <row r="40" spans="1:13" x14ac:dyDescent="0.25">
      <c r="A40" t="s">
        <v>466</v>
      </c>
      <c r="K40" s="1" t="str">
        <f t="shared" si="0"/>
        <v>1988-09-01</v>
      </c>
      <c r="L40">
        <v>2112.9099120000001</v>
      </c>
      <c r="M40" s="4">
        <f t="shared" si="1"/>
        <v>3.9996991135319737E-2</v>
      </c>
    </row>
    <row r="41" spans="1:13" x14ac:dyDescent="0.25">
      <c r="A41" t="s">
        <v>467</v>
      </c>
      <c r="K41" s="1" t="str">
        <f t="shared" si="0"/>
        <v>1988-10-01</v>
      </c>
      <c r="L41">
        <v>2148.6499020000001</v>
      </c>
      <c r="M41" s="4">
        <f t="shared" si="1"/>
        <v>1.6915056244007021E-2</v>
      </c>
    </row>
    <row r="42" spans="1:13" x14ac:dyDescent="0.25">
      <c r="A42" t="s">
        <v>468</v>
      </c>
      <c r="K42" s="1" t="str">
        <f t="shared" si="0"/>
        <v>1988-11-01</v>
      </c>
      <c r="L42">
        <v>2114.51001</v>
      </c>
      <c r="M42" s="4">
        <f t="shared" si="1"/>
        <v>-1.5888997071240918E-2</v>
      </c>
    </row>
    <row r="43" spans="1:13" x14ac:dyDescent="0.25">
      <c r="A43" t="s">
        <v>469</v>
      </c>
      <c r="K43" s="1" t="str">
        <f t="shared" si="0"/>
        <v>1988-12-01</v>
      </c>
      <c r="L43">
        <v>2168.570068</v>
      </c>
      <c r="M43" s="4">
        <f t="shared" si="1"/>
        <v>2.5566234136673582E-2</v>
      </c>
    </row>
    <row r="44" spans="1:13" x14ac:dyDescent="0.25">
      <c r="A44" t="s">
        <v>470</v>
      </c>
      <c r="K44" s="1" t="str">
        <f t="shared" si="0"/>
        <v>1989-01-01</v>
      </c>
      <c r="L44">
        <v>2342.320068</v>
      </c>
      <c r="M44" s="4">
        <f t="shared" si="1"/>
        <v>8.0121921151592668E-2</v>
      </c>
    </row>
    <row r="45" spans="1:13" x14ac:dyDescent="0.25">
      <c r="A45" t="s">
        <v>471</v>
      </c>
      <c r="K45" s="1" t="str">
        <f t="shared" si="0"/>
        <v>1989-02-01</v>
      </c>
      <c r="L45">
        <v>2258.389893</v>
      </c>
      <c r="M45" s="4">
        <f t="shared" si="1"/>
        <v>-3.5832069300274605E-2</v>
      </c>
    </row>
    <row r="46" spans="1:13" x14ac:dyDescent="0.25">
      <c r="A46" t="s">
        <v>472</v>
      </c>
      <c r="K46" s="1" t="str">
        <f t="shared" si="0"/>
        <v>1989-03-01</v>
      </c>
      <c r="L46">
        <v>2293.6201169999999</v>
      </c>
      <c r="M46" s="4">
        <f t="shared" si="1"/>
        <v>1.5599708495507292E-2</v>
      </c>
    </row>
    <row r="47" spans="1:13" x14ac:dyDescent="0.25">
      <c r="A47" t="s">
        <v>473</v>
      </c>
      <c r="K47" s="1" t="str">
        <f t="shared" si="0"/>
        <v>1989-04-01</v>
      </c>
      <c r="L47">
        <v>2418.8000489999999</v>
      </c>
      <c r="M47" s="4">
        <f t="shared" si="1"/>
        <v>5.4577447709053262E-2</v>
      </c>
    </row>
    <row r="48" spans="1:13" x14ac:dyDescent="0.25">
      <c r="A48" t="s">
        <v>474</v>
      </c>
      <c r="K48" s="1" t="str">
        <f t="shared" si="0"/>
        <v>1989-05-01</v>
      </c>
      <c r="L48">
        <v>2480.1499020000001</v>
      </c>
      <c r="M48" s="4">
        <f t="shared" si="1"/>
        <v>2.5363755480889649E-2</v>
      </c>
    </row>
    <row r="49" spans="1:13" x14ac:dyDescent="0.25">
      <c r="A49" t="s">
        <v>475</v>
      </c>
      <c r="K49" s="1" t="str">
        <f t="shared" si="0"/>
        <v>1989-06-01</v>
      </c>
      <c r="L49">
        <v>2440.0600589999999</v>
      </c>
      <c r="M49" s="4">
        <f t="shared" si="1"/>
        <v>-1.616428223458255E-2</v>
      </c>
    </row>
    <row r="50" spans="1:13" x14ac:dyDescent="0.25">
      <c r="A50" t="s">
        <v>476</v>
      </c>
      <c r="K50" s="1" t="str">
        <f t="shared" si="0"/>
        <v>1989-07-01</v>
      </c>
      <c r="L50">
        <v>2660.6599120000001</v>
      </c>
      <c r="M50" s="4">
        <f t="shared" si="1"/>
        <v>9.0407550497100253E-2</v>
      </c>
    </row>
    <row r="51" spans="1:13" x14ac:dyDescent="0.25">
      <c r="A51" t="s">
        <v>477</v>
      </c>
      <c r="K51" s="1" t="str">
        <f t="shared" si="0"/>
        <v>1989-08-01</v>
      </c>
      <c r="L51">
        <v>2737.2700199999999</v>
      </c>
      <c r="M51" s="4">
        <f t="shared" si="1"/>
        <v>2.8793649144889244E-2</v>
      </c>
    </row>
    <row r="52" spans="1:13" x14ac:dyDescent="0.25">
      <c r="A52" t="s">
        <v>478</v>
      </c>
      <c r="K52" s="1" t="str">
        <f t="shared" si="0"/>
        <v>1989-09-01</v>
      </c>
      <c r="L52">
        <v>2692.820068</v>
      </c>
      <c r="M52" s="4">
        <f t="shared" si="1"/>
        <v>-1.6238789624415606E-2</v>
      </c>
    </row>
    <row r="53" spans="1:13" x14ac:dyDescent="0.25">
      <c r="A53" t="s">
        <v>479</v>
      </c>
      <c r="K53" s="1" t="str">
        <f t="shared" si="0"/>
        <v>1989-10-01</v>
      </c>
      <c r="L53">
        <v>2645.080078</v>
      </c>
      <c r="M53" s="4">
        <f t="shared" si="1"/>
        <v>-1.7728622334375777E-2</v>
      </c>
    </row>
    <row r="54" spans="1:13" x14ac:dyDescent="0.25">
      <c r="A54" t="s">
        <v>480</v>
      </c>
      <c r="K54" s="1" t="str">
        <f t="shared" si="0"/>
        <v>1989-11-01</v>
      </c>
      <c r="L54">
        <v>2706.2700199999999</v>
      </c>
      <c r="M54" s="4">
        <f t="shared" si="1"/>
        <v>2.3133493200805821E-2</v>
      </c>
    </row>
    <row r="55" spans="1:13" x14ac:dyDescent="0.25">
      <c r="A55" t="s">
        <v>481</v>
      </c>
      <c r="K55" s="1" t="str">
        <f t="shared" si="0"/>
        <v>1989-12-01</v>
      </c>
      <c r="L55">
        <v>2753.1999510000001</v>
      </c>
      <c r="M55" s="4">
        <f t="shared" si="1"/>
        <v>1.7341185710655793E-2</v>
      </c>
    </row>
    <row r="56" spans="1:13" x14ac:dyDescent="0.25">
      <c r="A56" t="s">
        <v>482</v>
      </c>
      <c r="K56" s="1" t="str">
        <f t="shared" si="0"/>
        <v>1990-01-01</v>
      </c>
      <c r="L56">
        <v>2590.540039</v>
      </c>
      <c r="M56" s="4">
        <f t="shared" si="1"/>
        <v>-5.9080311962420251E-2</v>
      </c>
    </row>
    <row r="57" spans="1:13" x14ac:dyDescent="0.25">
      <c r="A57" t="s">
        <v>483</v>
      </c>
      <c r="K57" s="1" t="str">
        <f t="shared" si="0"/>
        <v>1990-02-01</v>
      </c>
      <c r="L57">
        <v>2627.25</v>
      </c>
      <c r="M57" s="4">
        <f t="shared" si="1"/>
        <v>1.4170775377851719E-2</v>
      </c>
    </row>
    <row r="58" spans="1:13" x14ac:dyDescent="0.25">
      <c r="A58" t="s">
        <v>484</v>
      </c>
      <c r="K58" s="1" t="str">
        <f t="shared" si="0"/>
        <v>1990-03-01</v>
      </c>
      <c r="L58">
        <v>2707.209961</v>
      </c>
      <c r="M58" s="4">
        <f t="shared" si="1"/>
        <v>3.0434850509087452E-2</v>
      </c>
    </row>
    <row r="59" spans="1:13" x14ac:dyDescent="0.25">
      <c r="A59" t="s">
        <v>485</v>
      </c>
      <c r="K59" s="1" t="str">
        <f t="shared" si="0"/>
        <v>1990-04-01</v>
      </c>
      <c r="L59">
        <v>2656.76001</v>
      </c>
      <c r="M59" s="4">
        <f t="shared" si="1"/>
        <v>-1.8635403875865153E-2</v>
      </c>
    </row>
    <row r="60" spans="1:13" x14ac:dyDescent="0.25">
      <c r="A60" t="s">
        <v>486</v>
      </c>
      <c r="K60" s="1" t="str">
        <f t="shared" si="0"/>
        <v>1990-05-01</v>
      </c>
      <c r="L60">
        <v>2876.6599120000001</v>
      </c>
      <c r="M60" s="4">
        <f t="shared" si="1"/>
        <v>8.276995331618231E-2</v>
      </c>
    </row>
    <row r="61" spans="1:13" x14ac:dyDescent="0.25">
      <c r="A61" t="s">
        <v>487</v>
      </c>
      <c r="K61" s="1" t="str">
        <f t="shared" si="0"/>
        <v>1990-06-01</v>
      </c>
      <c r="L61">
        <v>2880.6899410000001</v>
      </c>
      <c r="M61" s="4">
        <f t="shared" si="1"/>
        <v>1.4009403694850153E-3</v>
      </c>
    </row>
    <row r="62" spans="1:13" x14ac:dyDescent="0.25">
      <c r="A62" t="s">
        <v>488</v>
      </c>
      <c r="K62" s="1" t="str">
        <f t="shared" si="0"/>
        <v>1990-07-01</v>
      </c>
      <c r="L62">
        <v>2905.1999510000001</v>
      </c>
      <c r="M62" s="4">
        <f t="shared" si="1"/>
        <v>8.5083818467084349E-3</v>
      </c>
    </row>
    <row r="63" spans="1:13" x14ac:dyDescent="0.25">
      <c r="A63" t="s">
        <v>489</v>
      </c>
      <c r="K63" s="1" t="str">
        <f t="shared" si="0"/>
        <v>1990-08-01</v>
      </c>
      <c r="L63">
        <v>2614.360107</v>
      </c>
      <c r="M63" s="4">
        <f t="shared" si="1"/>
        <v>-0.10011009531371151</v>
      </c>
    </row>
    <row r="64" spans="1:13" x14ac:dyDescent="0.25">
      <c r="A64" t="s">
        <v>490</v>
      </c>
      <c r="K64" s="1" t="str">
        <f t="shared" si="0"/>
        <v>1990-09-01</v>
      </c>
      <c r="L64">
        <v>2452.4799800000001</v>
      </c>
      <c r="M64" s="4">
        <f t="shared" si="1"/>
        <v>-6.1919598056351388E-2</v>
      </c>
    </row>
    <row r="65" spans="1:13" x14ac:dyDescent="0.25">
      <c r="A65" t="s">
        <v>491</v>
      </c>
      <c r="K65" s="1" t="str">
        <f t="shared" si="0"/>
        <v>1990-10-01</v>
      </c>
      <c r="L65">
        <v>2442.330078</v>
      </c>
      <c r="M65" s="4">
        <f t="shared" si="1"/>
        <v>-4.1386278716942781E-3</v>
      </c>
    </row>
    <row r="66" spans="1:13" x14ac:dyDescent="0.25">
      <c r="A66" t="s">
        <v>492</v>
      </c>
      <c r="K66" s="1" t="str">
        <f t="shared" si="0"/>
        <v>1990-11-01</v>
      </c>
      <c r="L66">
        <v>2559.6499020000001</v>
      </c>
      <c r="M66" s="4">
        <f t="shared" si="1"/>
        <v>4.8036023081725387E-2</v>
      </c>
    </row>
    <row r="67" spans="1:13" x14ac:dyDescent="0.25">
      <c r="A67" t="s">
        <v>493</v>
      </c>
      <c r="K67" s="1" t="str">
        <f t="shared" ref="K67:K130" si="2">LEFT(A67,10)</f>
        <v>1990-12-01</v>
      </c>
      <c r="L67">
        <v>2633.6599120000001</v>
      </c>
      <c r="M67" s="4">
        <f t="shared" si="1"/>
        <v>2.8914114364691823E-2</v>
      </c>
    </row>
    <row r="68" spans="1:13" x14ac:dyDescent="0.25">
      <c r="A68" t="s">
        <v>494</v>
      </c>
      <c r="K68" s="1" t="str">
        <f t="shared" si="2"/>
        <v>1991-01-01</v>
      </c>
      <c r="L68">
        <v>2736.389893</v>
      </c>
      <c r="M68" s="4">
        <f t="shared" ref="M68:M131" si="3">(L68/L67)-1</f>
        <v>3.9006547706452732E-2</v>
      </c>
    </row>
    <row r="69" spans="1:13" x14ac:dyDescent="0.25">
      <c r="A69" t="s">
        <v>495</v>
      </c>
      <c r="K69" s="1" t="str">
        <f t="shared" si="2"/>
        <v>1991-02-01</v>
      </c>
      <c r="L69">
        <v>2882.179932</v>
      </c>
      <c r="M69" s="4">
        <f t="shared" si="3"/>
        <v>5.3278240565406199E-2</v>
      </c>
    </row>
    <row r="70" spans="1:13" x14ac:dyDescent="0.25">
      <c r="A70" t="s">
        <v>496</v>
      </c>
      <c r="K70" s="1" t="str">
        <f t="shared" si="2"/>
        <v>1991-03-01</v>
      </c>
      <c r="L70">
        <v>2913.860107</v>
      </c>
      <c r="M70" s="4">
        <f t="shared" si="3"/>
        <v>1.099174088621746E-2</v>
      </c>
    </row>
    <row r="71" spans="1:13" x14ac:dyDescent="0.25">
      <c r="A71" t="s">
        <v>497</v>
      </c>
      <c r="K71" s="1" t="str">
        <f t="shared" si="2"/>
        <v>1991-04-01</v>
      </c>
      <c r="L71">
        <v>2887.8701169999999</v>
      </c>
      <c r="M71" s="4">
        <f t="shared" si="3"/>
        <v>-8.9194364333291531E-3</v>
      </c>
    </row>
    <row r="72" spans="1:13" x14ac:dyDescent="0.25">
      <c r="A72" t="s">
        <v>498</v>
      </c>
      <c r="K72" s="1" t="str">
        <f t="shared" si="2"/>
        <v>1991-05-01</v>
      </c>
      <c r="L72">
        <v>3027.5</v>
      </c>
      <c r="M72" s="4">
        <f t="shared" si="3"/>
        <v>4.8350471919786919E-2</v>
      </c>
    </row>
    <row r="73" spans="1:13" x14ac:dyDescent="0.25">
      <c r="A73" t="s">
        <v>499</v>
      </c>
      <c r="K73" s="1" t="str">
        <f t="shared" si="2"/>
        <v>1991-06-01</v>
      </c>
      <c r="L73">
        <v>2906.75</v>
      </c>
      <c r="M73" s="4">
        <f t="shared" si="3"/>
        <v>-3.9884393063583823E-2</v>
      </c>
    </row>
    <row r="74" spans="1:13" x14ac:dyDescent="0.25">
      <c r="A74" t="s">
        <v>500</v>
      </c>
      <c r="K74" s="1" t="str">
        <f t="shared" si="2"/>
        <v>1991-07-01</v>
      </c>
      <c r="L74">
        <v>3024.820068</v>
      </c>
      <c r="M74" s="4">
        <f t="shared" si="3"/>
        <v>4.0619271695192305E-2</v>
      </c>
    </row>
    <row r="75" spans="1:13" x14ac:dyDescent="0.25">
      <c r="A75" t="s">
        <v>501</v>
      </c>
      <c r="K75" s="1" t="str">
        <f t="shared" si="2"/>
        <v>1991-08-01</v>
      </c>
      <c r="L75">
        <v>3043.6000979999999</v>
      </c>
      <c r="M75" s="4">
        <f t="shared" si="3"/>
        <v>6.2086436805535161E-3</v>
      </c>
    </row>
    <row r="76" spans="1:13" x14ac:dyDescent="0.25">
      <c r="A76" t="s">
        <v>502</v>
      </c>
      <c r="K76" s="1" t="str">
        <f t="shared" si="2"/>
        <v>1991-09-01</v>
      </c>
      <c r="L76">
        <v>3016.7700199999999</v>
      </c>
      <c r="M76" s="4">
        <f t="shared" si="3"/>
        <v>-8.8152441635254153E-3</v>
      </c>
    </row>
    <row r="77" spans="1:13" x14ac:dyDescent="0.25">
      <c r="A77" t="s">
        <v>503</v>
      </c>
      <c r="K77" s="1" t="str">
        <f t="shared" si="2"/>
        <v>1991-10-01</v>
      </c>
      <c r="L77">
        <v>3069.1000979999999</v>
      </c>
      <c r="M77" s="4">
        <f t="shared" si="3"/>
        <v>1.7346392881483208E-2</v>
      </c>
    </row>
    <row r="78" spans="1:13" x14ac:dyDescent="0.25">
      <c r="A78" t="s">
        <v>504</v>
      </c>
      <c r="K78" s="1" t="str">
        <f t="shared" si="2"/>
        <v>1991-11-01</v>
      </c>
      <c r="L78">
        <v>2894.679932</v>
      </c>
      <c r="M78" s="4">
        <f t="shared" si="3"/>
        <v>-5.6831045072026853E-2</v>
      </c>
    </row>
    <row r="79" spans="1:13" x14ac:dyDescent="0.25">
      <c r="A79" t="s">
        <v>505</v>
      </c>
      <c r="K79" s="1" t="str">
        <f t="shared" si="2"/>
        <v>1991-12-01</v>
      </c>
      <c r="L79">
        <v>3168.830078</v>
      </c>
      <c r="M79" s="4">
        <f t="shared" si="3"/>
        <v>9.4708276023658167E-2</v>
      </c>
    </row>
    <row r="80" spans="1:13" x14ac:dyDescent="0.25">
      <c r="A80" t="s">
        <v>506</v>
      </c>
      <c r="K80" s="1" t="str">
        <f t="shared" si="2"/>
        <v>1992-01-01</v>
      </c>
      <c r="L80">
        <v>3223.3999020000001</v>
      </c>
      <c r="M80" s="4">
        <f t="shared" si="3"/>
        <v>1.7220811042806705E-2</v>
      </c>
    </row>
    <row r="81" spans="1:13" x14ac:dyDescent="0.25">
      <c r="A81" t="s">
        <v>507</v>
      </c>
      <c r="K81" s="1" t="str">
        <f t="shared" si="2"/>
        <v>1992-02-01</v>
      </c>
      <c r="L81">
        <v>3267.6999510000001</v>
      </c>
      <c r="M81" s="4">
        <f t="shared" si="3"/>
        <v>1.3743268085512295E-2</v>
      </c>
    </row>
    <row r="82" spans="1:13" x14ac:dyDescent="0.25">
      <c r="A82" t="s">
        <v>508</v>
      </c>
      <c r="K82" s="1" t="str">
        <f t="shared" si="2"/>
        <v>1992-03-01</v>
      </c>
      <c r="L82">
        <v>3235.5</v>
      </c>
      <c r="M82" s="4">
        <f t="shared" si="3"/>
        <v>-9.8540109198661519E-3</v>
      </c>
    </row>
    <row r="83" spans="1:13" x14ac:dyDescent="0.25">
      <c r="A83" t="s">
        <v>509</v>
      </c>
      <c r="K83" s="1" t="str">
        <f t="shared" si="2"/>
        <v>1992-04-01</v>
      </c>
      <c r="L83">
        <v>3359.1000979999999</v>
      </c>
      <c r="M83" s="4">
        <f t="shared" si="3"/>
        <v>3.8201235666821098E-2</v>
      </c>
    </row>
    <row r="84" spans="1:13" x14ac:dyDescent="0.25">
      <c r="A84" t="s">
        <v>510</v>
      </c>
      <c r="K84" s="1" t="str">
        <f t="shared" si="2"/>
        <v>1992-05-01</v>
      </c>
      <c r="L84">
        <v>3396.8999020000001</v>
      </c>
      <c r="M84" s="4">
        <f t="shared" si="3"/>
        <v>1.1252955522970565E-2</v>
      </c>
    </row>
    <row r="85" spans="1:13" x14ac:dyDescent="0.25">
      <c r="A85" t="s">
        <v>511</v>
      </c>
      <c r="K85" s="1" t="str">
        <f t="shared" si="2"/>
        <v>1992-06-01</v>
      </c>
      <c r="L85">
        <v>3318.5</v>
      </c>
      <c r="M85" s="4">
        <f t="shared" si="3"/>
        <v>-2.3079838753517712E-2</v>
      </c>
    </row>
    <row r="86" spans="1:13" x14ac:dyDescent="0.25">
      <c r="A86" t="s">
        <v>512</v>
      </c>
      <c r="K86" s="1" t="str">
        <f t="shared" si="2"/>
        <v>1992-07-01</v>
      </c>
      <c r="L86">
        <v>3393.8000489999999</v>
      </c>
      <c r="M86" s="4">
        <f t="shared" si="3"/>
        <v>2.2690989603736611E-2</v>
      </c>
    </row>
    <row r="87" spans="1:13" x14ac:dyDescent="0.25">
      <c r="A87" t="s">
        <v>513</v>
      </c>
      <c r="K87" s="1" t="str">
        <f t="shared" si="2"/>
        <v>1992-08-01</v>
      </c>
      <c r="L87">
        <v>3257.3999020000001</v>
      </c>
      <c r="M87" s="4">
        <f t="shared" si="3"/>
        <v>-4.0190979147457728E-2</v>
      </c>
    </row>
    <row r="88" spans="1:13" x14ac:dyDescent="0.25">
      <c r="A88" t="s">
        <v>514</v>
      </c>
      <c r="K88" s="1" t="str">
        <f t="shared" si="2"/>
        <v>1992-09-01</v>
      </c>
      <c r="L88">
        <v>3271.6999510000001</v>
      </c>
      <c r="M88" s="4">
        <f t="shared" si="3"/>
        <v>4.3900194726536057E-3</v>
      </c>
    </row>
    <row r="89" spans="1:13" x14ac:dyDescent="0.25">
      <c r="A89" t="s">
        <v>515</v>
      </c>
      <c r="K89" s="1" t="str">
        <f t="shared" si="2"/>
        <v>1992-10-01</v>
      </c>
      <c r="L89">
        <v>3226.3000489999999</v>
      </c>
      <c r="M89" s="4">
        <f t="shared" si="3"/>
        <v>-1.3876548179830306E-2</v>
      </c>
    </row>
    <row r="90" spans="1:13" x14ac:dyDescent="0.25">
      <c r="A90" t="s">
        <v>516</v>
      </c>
      <c r="K90" s="1" t="str">
        <f t="shared" si="2"/>
        <v>1992-11-01</v>
      </c>
      <c r="L90">
        <v>3305.1999510000001</v>
      </c>
      <c r="M90" s="4">
        <f t="shared" si="3"/>
        <v>2.4455227598702445E-2</v>
      </c>
    </row>
    <row r="91" spans="1:13" x14ac:dyDescent="0.25">
      <c r="A91" t="s">
        <v>517</v>
      </c>
      <c r="K91" s="1" t="str">
        <f t="shared" si="2"/>
        <v>1992-12-01</v>
      </c>
      <c r="L91">
        <v>3301.110107</v>
      </c>
      <c r="M91" s="4">
        <f t="shared" si="3"/>
        <v>-1.2373968475833941E-3</v>
      </c>
    </row>
    <row r="92" spans="1:13" x14ac:dyDescent="0.25">
      <c r="A92" t="s">
        <v>518</v>
      </c>
      <c r="K92" s="1" t="str">
        <f t="shared" si="2"/>
        <v>1993-01-01</v>
      </c>
      <c r="L92">
        <v>3310</v>
      </c>
      <c r="M92" s="4">
        <f t="shared" si="3"/>
        <v>2.6930010547510097E-3</v>
      </c>
    </row>
    <row r="93" spans="1:13" x14ac:dyDescent="0.25">
      <c r="A93" t="s">
        <v>519</v>
      </c>
      <c r="K93" s="1" t="str">
        <f t="shared" si="2"/>
        <v>1993-02-01</v>
      </c>
      <c r="L93">
        <v>3370.8100589999999</v>
      </c>
      <c r="M93" s="4">
        <f t="shared" si="3"/>
        <v>1.8371619033232589E-2</v>
      </c>
    </row>
    <row r="94" spans="1:13" x14ac:dyDescent="0.25">
      <c r="A94" t="s">
        <v>520</v>
      </c>
      <c r="K94" s="1" t="str">
        <f t="shared" si="2"/>
        <v>1993-03-01</v>
      </c>
      <c r="L94">
        <v>3435.110107</v>
      </c>
      <c r="M94" s="4">
        <f t="shared" si="3"/>
        <v>1.9075547679798799E-2</v>
      </c>
    </row>
    <row r="95" spans="1:13" x14ac:dyDescent="0.25">
      <c r="A95" t="s">
        <v>521</v>
      </c>
      <c r="K95" s="1" t="str">
        <f t="shared" si="2"/>
        <v>1993-04-01</v>
      </c>
      <c r="L95">
        <v>3427.5500489999999</v>
      </c>
      <c r="M95" s="4">
        <f t="shared" si="3"/>
        <v>-2.2008197014105058E-3</v>
      </c>
    </row>
    <row r="96" spans="1:13" x14ac:dyDescent="0.25">
      <c r="A96" t="s">
        <v>522</v>
      </c>
      <c r="K96" s="1" t="str">
        <f t="shared" si="2"/>
        <v>1993-05-01</v>
      </c>
      <c r="L96">
        <v>3527.429932</v>
      </c>
      <c r="M96" s="4">
        <f t="shared" si="3"/>
        <v>2.9140313510269689E-2</v>
      </c>
    </row>
    <row r="97" spans="1:13" x14ac:dyDescent="0.25">
      <c r="A97" t="s">
        <v>523</v>
      </c>
      <c r="K97" s="1" t="str">
        <f t="shared" si="2"/>
        <v>1993-06-01</v>
      </c>
      <c r="L97">
        <v>3516.080078</v>
      </c>
      <c r="M97" s="4">
        <f t="shared" si="3"/>
        <v>-3.2175987103348902E-3</v>
      </c>
    </row>
    <row r="98" spans="1:13" x14ac:dyDescent="0.25">
      <c r="A98" t="s">
        <v>524</v>
      </c>
      <c r="K98" s="1" t="str">
        <f t="shared" si="2"/>
        <v>1993-07-01</v>
      </c>
      <c r="L98">
        <v>3539.469971</v>
      </c>
      <c r="M98" s="4">
        <f t="shared" si="3"/>
        <v>6.6522640216160056E-3</v>
      </c>
    </row>
    <row r="99" spans="1:13" x14ac:dyDescent="0.25">
      <c r="A99" t="s">
        <v>525</v>
      </c>
      <c r="K99" s="1" t="str">
        <f t="shared" si="2"/>
        <v>1993-08-01</v>
      </c>
      <c r="L99">
        <v>3651.25</v>
      </c>
      <c r="M99" s="4">
        <f t="shared" si="3"/>
        <v>3.1581007867236943E-2</v>
      </c>
    </row>
    <row r="100" spans="1:13" x14ac:dyDescent="0.25">
      <c r="A100" t="s">
        <v>526</v>
      </c>
      <c r="K100" s="1" t="str">
        <f t="shared" si="2"/>
        <v>1993-09-01</v>
      </c>
      <c r="L100">
        <v>3555.1201169999999</v>
      </c>
      <c r="M100" s="4">
        <f t="shared" si="3"/>
        <v>-2.6327937829510484E-2</v>
      </c>
    </row>
    <row r="101" spans="1:13" x14ac:dyDescent="0.25">
      <c r="A101" t="s">
        <v>527</v>
      </c>
      <c r="K101" s="1" t="str">
        <f t="shared" si="2"/>
        <v>1993-10-01</v>
      </c>
      <c r="L101">
        <v>3680.5900879999999</v>
      </c>
      <c r="M101" s="4">
        <f t="shared" si="3"/>
        <v>3.5292751544462098E-2</v>
      </c>
    </row>
    <row r="102" spans="1:13" x14ac:dyDescent="0.25">
      <c r="A102" t="s">
        <v>528</v>
      </c>
      <c r="K102" s="1" t="str">
        <f t="shared" si="2"/>
        <v>1993-11-01</v>
      </c>
      <c r="L102">
        <v>3683.9499510000001</v>
      </c>
      <c r="M102" s="4">
        <f t="shared" si="3"/>
        <v>9.1285987291933601E-4</v>
      </c>
    </row>
    <row r="103" spans="1:13" x14ac:dyDescent="0.25">
      <c r="A103" t="s">
        <v>529</v>
      </c>
      <c r="K103" s="1" t="str">
        <f t="shared" si="2"/>
        <v>1993-12-01</v>
      </c>
      <c r="L103">
        <v>3754.0900879999999</v>
      </c>
      <c r="M103" s="4">
        <f t="shared" si="3"/>
        <v>1.9039383795363518E-2</v>
      </c>
    </row>
    <row r="104" spans="1:13" x14ac:dyDescent="0.25">
      <c r="A104" t="s">
        <v>530</v>
      </c>
      <c r="K104" s="1" t="str">
        <f t="shared" si="2"/>
        <v>1994-01-01</v>
      </c>
      <c r="L104">
        <v>3978.360107</v>
      </c>
      <c r="M104" s="4">
        <f t="shared" si="3"/>
        <v>5.9740180374701746E-2</v>
      </c>
    </row>
    <row r="105" spans="1:13" x14ac:dyDescent="0.25">
      <c r="A105" t="s">
        <v>531</v>
      </c>
      <c r="K105" s="1" t="str">
        <f t="shared" si="2"/>
        <v>1994-02-01</v>
      </c>
      <c r="L105">
        <v>3832.0200199999999</v>
      </c>
      <c r="M105" s="4">
        <f t="shared" si="3"/>
        <v>-3.6784022326815435E-2</v>
      </c>
    </row>
    <row r="106" spans="1:13" x14ac:dyDescent="0.25">
      <c r="A106" t="s">
        <v>532</v>
      </c>
      <c r="K106" s="1" t="str">
        <f t="shared" si="2"/>
        <v>1994-03-01</v>
      </c>
      <c r="L106">
        <v>3635.959961</v>
      </c>
      <c r="M106" s="4">
        <f t="shared" si="3"/>
        <v>-5.1163631185830782E-2</v>
      </c>
    </row>
    <row r="107" spans="1:13" x14ac:dyDescent="0.25">
      <c r="A107" t="s">
        <v>533</v>
      </c>
      <c r="K107" s="1" t="str">
        <f t="shared" si="2"/>
        <v>1994-04-01</v>
      </c>
      <c r="L107">
        <v>3681.6899410000001</v>
      </c>
      <c r="M107" s="4">
        <f t="shared" si="3"/>
        <v>1.2577140697507261E-2</v>
      </c>
    </row>
    <row r="108" spans="1:13" x14ac:dyDescent="0.25">
      <c r="A108" t="s">
        <v>534</v>
      </c>
      <c r="K108" s="1" t="str">
        <f t="shared" si="2"/>
        <v>1994-05-01</v>
      </c>
      <c r="L108">
        <v>3758.3701169999999</v>
      </c>
      <c r="M108" s="4">
        <f t="shared" si="3"/>
        <v>2.0827439906352385E-2</v>
      </c>
    </row>
    <row r="109" spans="1:13" x14ac:dyDescent="0.25">
      <c r="A109" t="s">
        <v>535</v>
      </c>
      <c r="K109" s="1" t="str">
        <f t="shared" si="2"/>
        <v>1994-06-01</v>
      </c>
      <c r="L109">
        <v>3624.959961</v>
      </c>
      <c r="M109" s="4">
        <f t="shared" si="3"/>
        <v>-3.549681160898821E-2</v>
      </c>
    </row>
    <row r="110" spans="1:13" x14ac:dyDescent="0.25">
      <c r="A110" t="s">
        <v>536</v>
      </c>
      <c r="K110" s="1" t="str">
        <f t="shared" si="2"/>
        <v>1994-07-01</v>
      </c>
      <c r="L110">
        <v>3764.5</v>
      </c>
      <c r="M110" s="4">
        <f t="shared" si="3"/>
        <v>3.8494229040120453E-2</v>
      </c>
    </row>
    <row r="111" spans="1:13" x14ac:dyDescent="0.25">
      <c r="A111" t="s">
        <v>537</v>
      </c>
      <c r="K111" s="1" t="str">
        <f t="shared" si="2"/>
        <v>1994-08-01</v>
      </c>
      <c r="L111">
        <v>3913.419922</v>
      </c>
      <c r="M111" s="4">
        <f t="shared" si="3"/>
        <v>3.9559017665028673E-2</v>
      </c>
    </row>
    <row r="112" spans="1:13" x14ac:dyDescent="0.25">
      <c r="A112" t="s">
        <v>538</v>
      </c>
      <c r="K112" s="1" t="str">
        <f t="shared" si="2"/>
        <v>1994-09-01</v>
      </c>
      <c r="L112">
        <v>3843.1899410000001</v>
      </c>
      <c r="M112" s="4">
        <f t="shared" si="3"/>
        <v>-1.7945935371052157E-2</v>
      </c>
    </row>
    <row r="113" spans="1:13" x14ac:dyDescent="0.25">
      <c r="A113" t="s">
        <v>539</v>
      </c>
      <c r="K113" s="1" t="str">
        <f t="shared" si="2"/>
        <v>1994-10-01</v>
      </c>
      <c r="L113">
        <v>3908.1201169999999</v>
      </c>
      <c r="M113" s="4">
        <f t="shared" si="3"/>
        <v>1.6894865202291998E-2</v>
      </c>
    </row>
    <row r="114" spans="1:13" x14ac:dyDescent="0.25">
      <c r="A114" t="s">
        <v>540</v>
      </c>
      <c r="K114" s="1" t="str">
        <f t="shared" si="2"/>
        <v>1994-11-01</v>
      </c>
      <c r="L114">
        <v>3739.2299800000001</v>
      </c>
      <c r="M114" s="4">
        <f t="shared" si="3"/>
        <v>-4.3215185803870737E-2</v>
      </c>
    </row>
    <row r="115" spans="1:13" x14ac:dyDescent="0.25">
      <c r="A115" t="s">
        <v>541</v>
      </c>
      <c r="K115" s="1" t="str">
        <f t="shared" si="2"/>
        <v>1994-12-01</v>
      </c>
      <c r="L115">
        <v>3834.4399410000001</v>
      </c>
      <c r="M115" s="4">
        <f t="shared" si="3"/>
        <v>2.5462451229062877E-2</v>
      </c>
    </row>
    <row r="116" spans="1:13" x14ac:dyDescent="0.25">
      <c r="A116" t="s">
        <v>542</v>
      </c>
      <c r="K116" s="1" t="str">
        <f t="shared" si="2"/>
        <v>1995-01-01</v>
      </c>
      <c r="L116">
        <v>3843.860107</v>
      </c>
      <c r="M116" s="4">
        <f t="shared" si="3"/>
        <v>2.4567254005660732E-3</v>
      </c>
    </row>
    <row r="117" spans="1:13" x14ac:dyDescent="0.25">
      <c r="A117" t="s">
        <v>543</v>
      </c>
      <c r="K117" s="1" t="str">
        <f t="shared" si="2"/>
        <v>1995-02-01</v>
      </c>
      <c r="L117">
        <v>4011.0500489999999</v>
      </c>
      <c r="M117" s="4">
        <f t="shared" si="3"/>
        <v>4.3495324321385365E-2</v>
      </c>
    </row>
    <row r="118" spans="1:13" x14ac:dyDescent="0.25">
      <c r="A118" t="s">
        <v>544</v>
      </c>
      <c r="K118" s="1" t="str">
        <f t="shared" si="2"/>
        <v>1995-03-01</v>
      </c>
      <c r="L118">
        <v>4157.6899409999996</v>
      </c>
      <c r="M118" s="4">
        <f t="shared" si="3"/>
        <v>3.6558978374393147E-2</v>
      </c>
    </row>
    <row r="119" spans="1:13" x14ac:dyDescent="0.25">
      <c r="A119" t="s">
        <v>545</v>
      </c>
      <c r="K119" s="1" t="str">
        <f t="shared" si="2"/>
        <v>1995-04-01</v>
      </c>
      <c r="L119">
        <v>4321.2700199999999</v>
      </c>
      <c r="M119" s="4">
        <f t="shared" si="3"/>
        <v>3.9343982192346028E-2</v>
      </c>
    </row>
    <row r="120" spans="1:13" x14ac:dyDescent="0.25">
      <c r="A120" t="s">
        <v>546</v>
      </c>
      <c r="K120" s="1" t="str">
        <f t="shared" si="2"/>
        <v>1995-05-01</v>
      </c>
      <c r="L120">
        <v>4465.1401370000003</v>
      </c>
      <c r="M120" s="4">
        <f t="shared" si="3"/>
        <v>3.329348000336263E-2</v>
      </c>
    </row>
    <row r="121" spans="1:13" x14ac:dyDescent="0.25">
      <c r="A121" t="s">
        <v>547</v>
      </c>
      <c r="K121" s="1" t="str">
        <f t="shared" si="2"/>
        <v>1995-06-01</v>
      </c>
      <c r="L121">
        <v>4556.1000979999999</v>
      </c>
      <c r="M121" s="4">
        <f t="shared" si="3"/>
        <v>2.0371132418950832E-2</v>
      </c>
    </row>
    <row r="122" spans="1:13" x14ac:dyDescent="0.25">
      <c r="A122" t="s">
        <v>548</v>
      </c>
      <c r="K122" s="1" t="str">
        <f t="shared" si="2"/>
        <v>1995-07-01</v>
      </c>
      <c r="L122">
        <v>4708.4702150000003</v>
      </c>
      <c r="M122" s="4">
        <f t="shared" si="3"/>
        <v>3.3443101275778986E-2</v>
      </c>
    </row>
    <row r="123" spans="1:13" x14ac:dyDescent="0.25">
      <c r="A123" t="s">
        <v>549</v>
      </c>
      <c r="K123" s="1" t="str">
        <f t="shared" si="2"/>
        <v>1995-08-01</v>
      </c>
      <c r="L123">
        <v>4610.5600590000004</v>
      </c>
      <c r="M123" s="4">
        <f t="shared" si="3"/>
        <v>-2.0794472839199996E-2</v>
      </c>
    </row>
    <row r="124" spans="1:13" x14ac:dyDescent="0.25">
      <c r="A124" t="s">
        <v>550</v>
      </c>
      <c r="K124" s="1" t="str">
        <f t="shared" si="2"/>
        <v>1995-09-01</v>
      </c>
      <c r="L124">
        <v>4789.080078</v>
      </c>
      <c r="M124" s="4">
        <f t="shared" si="3"/>
        <v>3.8719812065243886E-2</v>
      </c>
    </row>
    <row r="125" spans="1:13" x14ac:dyDescent="0.25">
      <c r="A125" t="s">
        <v>551</v>
      </c>
      <c r="K125" s="1" t="str">
        <f t="shared" si="2"/>
        <v>1995-10-01</v>
      </c>
      <c r="L125">
        <v>4755.4799800000001</v>
      </c>
      <c r="M125" s="4">
        <f t="shared" si="3"/>
        <v>-7.015981660935533E-3</v>
      </c>
    </row>
    <row r="126" spans="1:13" x14ac:dyDescent="0.25">
      <c r="A126" t="s">
        <v>552</v>
      </c>
      <c r="K126" s="1" t="str">
        <f t="shared" si="2"/>
        <v>1995-11-01</v>
      </c>
      <c r="L126">
        <v>5074.4902339999999</v>
      </c>
      <c r="M126" s="4">
        <f t="shared" si="3"/>
        <v>6.7082661548708566E-2</v>
      </c>
    </row>
    <row r="127" spans="1:13" x14ac:dyDescent="0.25">
      <c r="A127" t="s">
        <v>553</v>
      </c>
      <c r="K127" s="1" t="str">
        <f t="shared" si="2"/>
        <v>1995-12-01</v>
      </c>
      <c r="L127">
        <v>5117.1201170000004</v>
      </c>
      <c r="M127" s="4">
        <f t="shared" si="3"/>
        <v>8.4008207788779377E-3</v>
      </c>
    </row>
    <row r="128" spans="1:13" x14ac:dyDescent="0.25">
      <c r="A128" t="s">
        <v>554</v>
      </c>
      <c r="K128" s="1" t="str">
        <f t="shared" si="2"/>
        <v>1996-01-01</v>
      </c>
      <c r="L128">
        <v>5395.2998049999997</v>
      </c>
      <c r="M128" s="4">
        <f t="shared" si="3"/>
        <v>5.4362548003482614E-2</v>
      </c>
    </row>
    <row r="129" spans="1:13" x14ac:dyDescent="0.25">
      <c r="A129" t="s">
        <v>555</v>
      </c>
      <c r="K129" s="1" t="str">
        <f t="shared" si="2"/>
        <v>1996-02-01</v>
      </c>
      <c r="L129">
        <v>5485.6201170000004</v>
      </c>
      <c r="M129" s="4">
        <f t="shared" si="3"/>
        <v>1.6740554791097706E-2</v>
      </c>
    </row>
    <row r="130" spans="1:13" x14ac:dyDescent="0.25">
      <c r="A130" t="s">
        <v>556</v>
      </c>
      <c r="K130" s="1" t="str">
        <f t="shared" si="2"/>
        <v>1996-03-01</v>
      </c>
      <c r="L130">
        <v>5587.1401370000003</v>
      </c>
      <c r="M130" s="4">
        <f t="shared" si="3"/>
        <v>1.8506571332817634E-2</v>
      </c>
    </row>
    <row r="131" spans="1:13" x14ac:dyDescent="0.25">
      <c r="A131" t="s">
        <v>557</v>
      </c>
      <c r="K131" s="1" t="str">
        <f t="shared" ref="K131:K194" si="4">LEFT(A131,10)</f>
        <v>1996-04-01</v>
      </c>
      <c r="L131">
        <v>5569.080078</v>
      </c>
      <c r="M131" s="4">
        <f t="shared" si="3"/>
        <v>-3.2324335093011358E-3</v>
      </c>
    </row>
    <row r="132" spans="1:13" x14ac:dyDescent="0.25">
      <c r="A132" t="s">
        <v>558</v>
      </c>
      <c r="K132" s="1" t="str">
        <f t="shared" si="4"/>
        <v>1996-05-01</v>
      </c>
      <c r="L132">
        <v>5643.1801759999998</v>
      </c>
      <c r="M132" s="4">
        <f t="shared" ref="M132:M195" si="5">(L132/L131)-1</f>
        <v>1.3305626236678414E-2</v>
      </c>
    </row>
    <row r="133" spans="1:13" x14ac:dyDescent="0.25">
      <c r="A133" t="s">
        <v>559</v>
      </c>
      <c r="K133" s="1" t="str">
        <f t="shared" si="4"/>
        <v>1996-06-01</v>
      </c>
      <c r="L133">
        <v>5654.6298829999996</v>
      </c>
      <c r="M133" s="4">
        <f t="shared" si="5"/>
        <v>2.0289458501954183E-3</v>
      </c>
    </row>
    <row r="134" spans="1:13" x14ac:dyDescent="0.25">
      <c r="A134" t="s">
        <v>560</v>
      </c>
      <c r="K134" s="1" t="str">
        <f t="shared" si="4"/>
        <v>1996-07-01</v>
      </c>
      <c r="L134">
        <v>5528.9101559999999</v>
      </c>
      <c r="M134" s="4">
        <f t="shared" si="5"/>
        <v>-2.2233060271187988E-2</v>
      </c>
    </row>
    <row r="135" spans="1:13" x14ac:dyDescent="0.25">
      <c r="A135" t="s">
        <v>561</v>
      </c>
      <c r="K135" s="1" t="str">
        <f t="shared" si="4"/>
        <v>1996-08-01</v>
      </c>
      <c r="L135">
        <v>5616.2099609999996</v>
      </c>
      <c r="M135" s="4">
        <f t="shared" si="5"/>
        <v>1.5789694991744652E-2</v>
      </c>
    </row>
    <row r="136" spans="1:13" x14ac:dyDescent="0.25">
      <c r="A136" t="s">
        <v>562</v>
      </c>
      <c r="K136" s="1" t="str">
        <f t="shared" si="4"/>
        <v>1996-09-01</v>
      </c>
      <c r="L136">
        <v>5882.169922</v>
      </c>
      <c r="M136" s="4">
        <f t="shared" si="5"/>
        <v>4.7355772459875212E-2</v>
      </c>
    </row>
    <row r="137" spans="1:13" x14ac:dyDescent="0.25">
      <c r="A137" t="s">
        <v>563</v>
      </c>
      <c r="K137" s="1" t="str">
        <f t="shared" si="4"/>
        <v>1996-10-01</v>
      </c>
      <c r="L137">
        <v>6029.3798829999996</v>
      </c>
      <c r="M137" s="4">
        <f t="shared" si="5"/>
        <v>2.5026472025130975E-2</v>
      </c>
    </row>
    <row r="138" spans="1:13" x14ac:dyDescent="0.25">
      <c r="A138" t="s">
        <v>564</v>
      </c>
      <c r="K138" s="1" t="str">
        <f t="shared" si="4"/>
        <v>1996-11-01</v>
      </c>
      <c r="L138">
        <v>6521.7001950000003</v>
      </c>
      <c r="M138" s="4">
        <f t="shared" si="5"/>
        <v>8.1653556676385852E-2</v>
      </c>
    </row>
    <row r="139" spans="1:13" x14ac:dyDescent="0.25">
      <c r="A139" t="s">
        <v>565</v>
      </c>
      <c r="K139" s="1" t="str">
        <f t="shared" si="4"/>
        <v>1996-12-01</v>
      </c>
      <c r="L139">
        <v>6448.2700199999999</v>
      </c>
      <c r="M139" s="4">
        <f t="shared" si="5"/>
        <v>-1.1259360719509504E-2</v>
      </c>
    </row>
    <row r="140" spans="1:13" x14ac:dyDescent="0.25">
      <c r="A140" t="s">
        <v>566</v>
      </c>
      <c r="K140" s="1" t="str">
        <f t="shared" si="4"/>
        <v>1997-01-01</v>
      </c>
      <c r="L140">
        <v>6813.0898440000001</v>
      </c>
      <c r="M140" s="4">
        <f t="shared" si="5"/>
        <v>5.6576387599848177E-2</v>
      </c>
    </row>
    <row r="141" spans="1:13" x14ac:dyDescent="0.25">
      <c r="A141" t="s">
        <v>567</v>
      </c>
      <c r="K141" s="1" t="str">
        <f t="shared" si="4"/>
        <v>1997-02-01</v>
      </c>
      <c r="L141">
        <v>6877.7402339999999</v>
      </c>
      <c r="M141" s="4">
        <f t="shared" si="5"/>
        <v>9.489143909783504E-3</v>
      </c>
    </row>
    <row r="142" spans="1:13" x14ac:dyDescent="0.25">
      <c r="A142" t="s">
        <v>568</v>
      </c>
      <c r="K142" s="1" t="str">
        <f t="shared" si="4"/>
        <v>1997-03-01</v>
      </c>
      <c r="L142">
        <v>6583.4799800000001</v>
      </c>
      <c r="M142" s="4">
        <f t="shared" si="5"/>
        <v>-4.2784438491196397E-2</v>
      </c>
    </row>
    <row r="143" spans="1:13" x14ac:dyDescent="0.25">
      <c r="A143" t="s">
        <v>569</v>
      </c>
      <c r="K143" s="1" t="str">
        <f t="shared" si="4"/>
        <v>1997-04-01</v>
      </c>
      <c r="L143">
        <v>7009</v>
      </c>
      <c r="M143" s="4">
        <f t="shared" si="5"/>
        <v>6.4634512642658626E-2</v>
      </c>
    </row>
    <row r="144" spans="1:13" x14ac:dyDescent="0.25">
      <c r="A144" t="s">
        <v>570</v>
      </c>
      <c r="K144" s="1" t="str">
        <f t="shared" si="4"/>
        <v>1997-05-01</v>
      </c>
      <c r="L144">
        <v>7331</v>
      </c>
      <c r="M144" s="4">
        <f t="shared" si="5"/>
        <v>4.594093308603231E-2</v>
      </c>
    </row>
    <row r="145" spans="1:13" x14ac:dyDescent="0.25">
      <c r="A145" t="s">
        <v>571</v>
      </c>
      <c r="K145" s="1" t="str">
        <f t="shared" si="4"/>
        <v>1997-06-01</v>
      </c>
      <c r="L145">
        <v>7672.7998049999997</v>
      </c>
      <c r="M145" s="4">
        <f t="shared" si="5"/>
        <v>4.6623899195198382E-2</v>
      </c>
    </row>
    <row r="146" spans="1:13" x14ac:dyDescent="0.25">
      <c r="A146" t="s">
        <v>572</v>
      </c>
      <c r="K146" s="1" t="str">
        <f t="shared" si="4"/>
        <v>1997-07-01</v>
      </c>
      <c r="L146">
        <v>8222.5996090000008</v>
      </c>
      <c r="M146" s="4">
        <f t="shared" si="5"/>
        <v>7.1655695179447143E-2</v>
      </c>
    </row>
    <row r="147" spans="1:13" x14ac:dyDescent="0.25">
      <c r="A147" t="s">
        <v>573</v>
      </c>
      <c r="K147" s="1" t="str">
        <f t="shared" si="4"/>
        <v>1997-08-01</v>
      </c>
      <c r="L147">
        <v>7622.3999020000001</v>
      </c>
      <c r="M147" s="4">
        <f t="shared" si="5"/>
        <v>-7.2993911359013008E-2</v>
      </c>
    </row>
    <row r="148" spans="1:13" x14ac:dyDescent="0.25">
      <c r="A148" t="s">
        <v>574</v>
      </c>
      <c r="K148" s="1" t="str">
        <f t="shared" si="4"/>
        <v>1997-09-01</v>
      </c>
      <c r="L148">
        <v>7945.2998049999997</v>
      </c>
      <c r="M148" s="4">
        <f t="shared" si="5"/>
        <v>4.2361973545270937E-2</v>
      </c>
    </row>
    <row r="149" spans="1:13" x14ac:dyDescent="0.25">
      <c r="A149" t="s">
        <v>575</v>
      </c>
      <c r="K149" s="1" t="str">
        <f t="shared" si="4"/>
        <v>1997-10-01</v>
      </c>
      <c r="L149">
        <v>7442.1000979999999</v>
      </c>
      <c r="M149" s="4">
        <f t="shared" si="5"/>
        <v>-6.3333004335888621E-2</v>
      </c>
    </row>
    <row r="150" spans="1:13" x14ac:dyDescent="0.25">
      <c r="A150" t="s">
        <v>576</v>
      </c>
      <c r="K150" s="1" t="str">
        <f t="shared" si="4"/>
        <v>1997-11-01</v>
      </c>
      <c r="L150">
        <v>7823.1000979999999</v>
      </c>
      <c r="M150" s="4">
        <f t="shared" si="5"/>
        <v>5.1195226479470612E-2</v>
      </c>
    </row>
    <row r="151" spans="1:13" x14ac:dyDescent="0.25">
      <c r="A151" t="s">
        <v>577</v>
      </c>
      <c r="K151" s="1" t="str">
        <f t="shared" si="4"/>
        <v>1997-12-01</v>
      </c>
      <c r="L151">
        <v>7908.2998049999997</v>
      </c>
      <c r="M151" s="4">
        <f t="shared" si="5"/>
        <v>1.0890785741292097E-2</v>
      </c>
    </row>
    <row r="152" spans="1:13" x14ac:dyDescent="0.25">
      <c r="A152" t="s">
        <v>578</v>
      </c>
      <c r="K152" s="1" t="str">
        <f t="shared" si="4"/>
        <v>1998-01-01</v>
      </c>
      <c r="L152">
        <v>7906.5</v>
      </c>
      <c r="M152" s="4">
        <f t="shared" si="5"/>
        <v>-2.2758431576674898E-4</v>
      </c>
    </row>
    <row r="153" spans="1:13" x14ac:dyDescent="0.25">
      <c r="A153" t="s">
        <v>579</v>
      </c>
      <c r="K153" s="1" t="str">
        <f t="shared" si="4"/>
        <v>1998-02-01</v>
      </c>
      <c r="L153">
        <v>8545.7197269999997</v>
      </c>
      <c r="M153" s="4">
        <f t="shared" si="5"/>
        <v>8.0847369506102496E-2</v>
      </c>
    </row>
    <row r="154" spans="1:13" x14ac:dyDescent="0.25">
      <c r="A154" t="s">
        <v>580</v>
      </c>
      <c r="K154" s="1" t="str">
        <f t="shared" si="4"/>
        <v>1998-03-01</v>
      </c>
      <c r="L154">
        <v>8799.8095699999994</v>
      </c>
      <c r="M154" s="4">
        <f t="shared" si="5"/>
        <v>2.9732995127046857E-2</v>
      </c>
    </row>
    <row r="155" spans="1:13" x14ac:dyDescent="0.25">
      <c r="A155" t="s">
        <v>581</v>
      </c>
      <c r="K155" s="1" t="str">
        <f t="shared" si="4"/>
        <v>1998-04-01</v>
      </c>
      <c r="L155">
        <v>9063.3701170000004</v>
      </c>
      <c r="M155" s="4">
        <f t="shared" si="5"/>
        <v>2.9950710285654658E-2</v>
      </c>
    </row>
    <row r="156" spans="1:13" x14ac:dyDescent="0.25">
      <c r="A156" t="s">
        <v>582</v>
      </c>
      <c r="K156" s="1" t="str">
        <f t="shared" si="4"/>
        <v>1998-05-01</v>
      </c>
      <c r="L156">
        <v>8899.9501949999994</v>
      </c>
      <c r="M156" s="4">
        <f t="shared" si="5"/>
        <v>-1.8030811926512569E-2</v>
      </c>
    </row>
    <row r="157" spans="1:13" x14ac:dyDescent="0.25">
      <c r="A157" t="s">
        <v>583</v>
      </c>
      <c r="K157" s="1" t="str">
        <f t="shared" si="4"/>
        <v>1998-06-01</v>
      </c>
      <c r="L157">
        <v>8952.0195309999999</v>
      </c>
      <c r="M157" s="4">
        <f t="shared" si="5"/>
        <v>5.8505199309153433E-3</v>
      </c>
    </row>
    <row r="158" spans="1:13" x14ac:dyDescent="0.25">
      <c r="A158" t="s">
        <v>584</v>
      </c>
      <c r="K158" s="1" t="str">
        <f t="shared" si="4"/>
        <v>1998-07-01</v>
      </c>
      <c r="L158">
        <v>8883.2900389999995</v>
      </c>
      <c r="M158" s="4">
        <f t="shared" si="5"/>
        <v>-7.6775404434715755E-3</v>
      </c>
    </row>
    <row r="159" spans="1:13" x14ac:dyDescent="0.25">
      <c r="A159" t="s">
        <v>585</v>
      </c>
      <c r="K159" s="1" t="str">
        <f t="shared" si="4"/>
        <v>1998-08-01</v>
      </c>
      <c r="L159">
        <v>7539.0698240000002</v>
      </c>
      <c r="M159" s="4">
        <f t="shared" si="5"/>
        <v>-0.15132008626291793</v>
      </c>
    </row>
    <row r="160" spans="1:13" x14ac:dyDescent="0.25">
      <c r="A160" t="s">
        <v>586</v>
      </c>
      <c r="K160" s="1" t="str">
        <f t="shared" si="4"/>
        <v>1998-09-01</v>
      </c>
      <c r="L160">
        <v>7842.6201170000004</v>
      </c>
      <c r="M160" s="4">
        <f t="shared" si="5"/>
        <v>4.0263626692204513E-2</v>
      </c>
    </row>
    <row r="161" spans="1:13" x14ac:dyDescent="0.25">
      <c r="A161" t="s">
        <v>587</v>
      </c>
      <c r="K161" s="1" t="str">
        <f t="shared" si="4"/>
        <v>1998-10-01</v>
      </c>
      <c r="L161">
        <v>8592.0996090000008</v>
      </c>
      <c r="M161" s="4">
        <f t="shared" si="5"/>
        <v>9.5564936311959947E-2</v>
      </c>
    </row>
    <row r="162" spans="1:13" x14ac:dyDescent="0.25">
      <c r="A162" t="s">
        <v>588</v>
      </c>
      <c r="K162" s="1" t="str">
        <f t="shared" si="4"/>
        <v>1998-11-01</v>
      </c>
      <c r="L162">
        <v>9116.5498050000006</v>
      </c>
      <c r="M162" s="4">
        <f t="shared" si="5"/>
        <v>6.1038654096916112E-2</v>
      </c>
    </row>
    <row r="163" spans="1:13" x14ac:dyDescent="0.25">
      <c r="A163" t="s">
        <v>589</v>
      </c>
      <c r="K163" s="1" t="str">
        <f t="shared" si="4"/>
        <v>1998-12-01</v>
      </c>
      <c r="L163">
        <v>9181.4296880000002</v>
      </c>
      <c r="M163" s="4">
        <f t="shared" si="5"/>
        <v>7.11671458915486E-3</v>
      </c>
    </row>
    <row r="164" spans="1:13" x14ac:dyDescent="0.25">
      <c r="A164" t="s">
        <v>590</v>
      </c>
      <c r="K164" s="1" t="str">
        <f t="shared" si="4"/>
        <v>1999-01-01</v>
      </c>
      <c r="L164">
        <v>9358.8300780000009</v>
      </c>
      <c r="M164" s="4">
        <f t="shared" si="5"/>
        <v>1.9321652076893958E-2</v>
      </c>
    </row>
    <row r="165" spans="1:13" x14ac:dyDescent="0.25">
      <c r="A165" t="s">
        <v>591</v>
      </c>
      <c r="K165" s="1" t="str">
        <f t="shared" si="4"/>
        <v>1999-02-01</v>
      </c>
      <c r="L165">
        <v>9306.5800780000009</v>
      </c>
      <c r="M165" s="4">
        <f t="shared" si="5"/>
        <v>-5.5829627810879412E-3</v>
      </c>
    </row>
    <row r="166" spans="1:13" x14ac:dyDescent="0.25">
      <c r="A166" t="s">
        <v>592</v>
      </c>
      <c r="K166" s="1" t="str">
        <f t="shared" si="4"/>
        <v>1999-03-01</v>
      </c>
      <c r="L166">
        <v>9786.1601559999999</v>
      </c>
      <c r="M166" s="4">
        <f t="shared" si="5"/>
        <v>5.1531290117374784E-2</v>
      </c>
    </row>
    <row r="167" spans="1:13" x14ac:dyDescent="0.25">
      <c r="A167" t="s">
        <v>593</v>
      </c>
      <c r="K167" s="1" t="str">
        <f t="shared" si="4"/>
        <v>1999-04-01</v>
      </c>
      <c r="L167">
        <v>10789.040039</v>
      </c>
      <c r="M167" s="4">
        <f t="shared" si="5"/>
        <v>0.10247940632620067</v>
      </c>
    </row>
    <row r="168" spans="1:13" x14ac:dyDescent="0.25">
      <c r="A168" t="s">
        <v>594</v>
      </c>
      <c r="K168" s="1" t="str">
        <f t="shared" si="4"/>
        <v>1999-05-01</v>
      </c>
      <c r="L168">
        <v>10559.740234000001</v>
      </c>
      <c r="M168" s="4">
        <f t="shared" si="5"/>
        <v>-2.1253031240140996E-2</v>
      </c>
    </row>
    <row r="169" spans="1:13" x14ac:dyDescent="0.25">
      <c r="A169" t="s">
        <v>595</v>
      </c>
      <c r="K169" s="1" t="str">
        <f t="shared" si="4"/>
        <v>1999-06-01</v>
      </c>
      <c r="L169">
        <v>10970.799805000001</v>
      </c>
      <c r="M169" s="4">
        <f t="shared" si="5"/>
        <v>3.8927053307284964E-2</v>
      </c>
    </row>
    <row r="170" spans="1:13" x14ac:dyDescent="0.25">
      <c r="A170" t="s">
        <v>596</v>
      </c>
      <c r="K170" s="1" t="str">
        <f t="shared" si="4"/>
        <v>1999-07-01</v>
      </c>
      <c r="L170">
        <v>10655.150390999999</v>
      </c>
      <c r="M170" s="4">
        <f t="shared" si="5"/>
        <v>-2.8771777774683538E-2</v>
      </c>
    </row>
    <row r="171" spans="1:13" x14ac:dyDescent="0.25">
      <c r="A171" t="s">
        <v>597</v>
      </c>
      <c r="K171" s="1" t="str">
        <f t="shared" si="4"/>
        <v>1999-08-01</v>
      </c>
      <c r="L171">
        <v>10829.280273</v>
      </c>
      <c r="M171" s="4">
        <f t="shared" si="5"/>
        <v>1.634232043754924E-2</v>
      </c>
    </row>
    <row r="172" spans="1:13" x14ac:dyDescent="0.25">
      <c r="A172" t="s">
        <v>598</v>
      </c>
      <c r="K172" s="1" t="str">
        <f t="shared" si="4"/>
        <v>1999-09-01</v>
      </c>
      <c r="L172">
        <v>10336.950194999999</v>
      </c>
      <c r="M172" s="4">
        <f t="shared" si="5"/>
        <v>-4.5462862312973695E-2</v>
      </c>
    </row>
    <row r="173" spans="1:13" x14ac:dyDescent="0.25">
      <c r="A173" t="s">
        <v>599</v>
      </c>
      <c r="K173" s="1" t="str">
        <f t="shared" si="4"/>
        <v>1999-10-01</v>
      </c>
      <c r="L173">
        <v>10729.860352</v>
      </c>
      <c r="M173" s="4">
        <f t="shared" si="5"/>
        <v>3.8010259272609481E-2</v>
      </c>
    </row>
    <row r="174" spans="1:13" x14ac:dyDescent="0.25">
      <c r="A174" t="s">
        <v>600</v>
      </c>
      <c r="K174" s="1" t="str">
        <f t="shared" si="4"/>
        <v>1999-11-01</v>
      </c>
      <c r="L174">
        <v>10877.809569999999</v>
      </c>
      <c r="M174" s="4">
        <f t="shared" si="5"/>
        <v>1.3788550190443338E-2</v>
      </c>
    </row>
    <row r="175" spans="1:13" x14ac:dyDescent="0.25">
      <c r="A175" t="s">
        <v>601</v>
      </c>
      <c r="K175" s="1" t="str">
        <f t="shared" si="4"/>
        <v>1999-12-01</v>
      </c>
      <c r="L175">
        <v>11497.120117</v>
      </c>
      <c r="M175" s="4">
        <f t="shared" si="5"/>
        <v>5.6933387463226293E-2</v>
      </c>
    </row>
    <row r="176" spans="1:13" x14ac:dyDescent="0.25">
      <c r="A176" t="s">
        <v>602</v>
      </c>
      <c r="K176" s="1" t="str">
        <f t="shared" si="4"/>
        <v>2000-01-01</v>
      </c>
      <c r="L176">
        <v>10940.530273</v>
      </c>
      <c r="M176" s="4">
        <f t="shared" si="5"/>
        <v>-4.841124023545762E-2</v>
      </c>
    </row>
    <row r="177" spans="1:13" x14ac:dyDescent="0.25">
      <c r="A177" t="s">
        <v>603</v>
      </c>
      <c r="K177" s="1" t="str">
        <f t="shared" si="4"/>
        <v>2000-02-01</v>
      </c>
      <c r="L177">
        <v>10128.309569999999</v>
      </c>
      <c r="M177" s="4">
        <f t="shared" si="5"/>
        <v>-7.4239610213818419E-2</v>
      </c>
    </row>
    <row r="178" spans="1:13" x14ac:dyDescent="0.25">
      <c r="A178" t="s">
        <v>604</v>
      </c>
      <c r="K178" s="1" t="str">
        <f t="shared" si="4"/>
        <v>2000-03-01</v>
      </c>
      <c r="L178">
        <v>10921.919921999999</v>
      </c>
      <c r="M178" s="4">
        <f t="shared" si="5"/>
        <v>7.835565713262449E-2</v>
      </c>
    </row>
    <row r="179" spans="1:13" x14ac:dyDescent="0.25">
      <c r="A179" t="s">
        <v>605</v>
      </c>
      <c r="K179" s="1" t="str">
        <f t="shared" si="4"/>
        <v>2000-04-01</v>
      </c>
      <c r="L179">
        <v>10733.910156</v>
      </c>
      <c r="M179" s="4">
        <f t="shared" si="5"/>
        <v>-1.7213985026688583E-2</v>
      </c>
    </row>
    <row r="180" spans="1:13" x14ac:dyDescent="0.25">
      <c r="A180" t="s">
        <v>606</v>
      </c>
      <c r="K180" s="1" t="str">
        <f t="shared" si="4"/>
        <v>2000-05-01</v>
      </c>
      <c r="L180">
        <v>10522.330078000001</v>
      </c>
      <c r="M180" s="4">
        <f t="shared" si="5"/>
        <v>-1.9711370313802212E-2</v>
      </c>
    </row>
    <row r="181" spans="1:13" x14ac:dyDescent="0.25">
      <c r="A181" t="s">
        <v>607</v>
      </c>
      <c r="K181" s="1" t="str">
        <f t="shared" si="4"/>
        <v>2000-06-01</v>
      </c>
      <c r="L181">
        <v>10447.889648</v>
      </c>
      <c r="M181" s="4">
        <f t="shared" si="5"/>
        <v>-7.0745195644109637E-3</v>
      </c>
    </row>
    <row r="182" spans="1:13" x14ac:dyDescent="0.25">
      <c r="A182" t="s">
        <v>608</v>
      </c>
      <c r="K182" s="1" t="str">
        <f t="shared" si="4"/>
        <v>2000-07-01</v>
      </c>
      <c r="L182">
        <v>10521.980469</v>
      </c>
      <c r="M182" s="4">
        <f t="shared" si="5"/>
        <v>7.091462821315675E-3</v>
      </c>
    </row>
    <row r="183" spans="1:13" x14ac:dyDescent="0.25">
      <c r="A183" t="s">
        <v>609</v>
      </c>
      <c r="K183" s="1" t="str">
        <f t="shared" si="4"/>
        <v>2000-08-01</v>
      </c>
      <c r="L183">
        <v>11215.099609000001</v>
      </c>
      <c r="M183" s="4">
        <f t="shared" si="5"/>
        <v>6.5873448638502863E-2</v>
      </c>
    </row>
    <row r="184" spans="1:13" x14ac:dyDescent="0.25">
      <c r="A184" t="s">
        <v>610</v>
      </c>
      <c r="K184" s="1" t="str">
        <f t="shared" si="4"/>
        <v>2000-09-01</v>
      </c>
      <c r="L184">
        <v>10650.919921999999</v>
      </c>
      <c r="M184" s="4">
        <f t="shared" si="5"/>
        <v>-5.0305365682820402E-2</v>
      </c>
    </row>
    <row r="185" spans="1:13" x14ac:dyDescent="0.25">
      <c r="A185" t="s">
        <v>611</v>
      </c>
      <c r="K185" s="1" t="str">
        <f t="shared" si="4"/>
        <v>2000-10-01</v>
      </c>
      <c r="L185">
        <v>10971.139648</v>
      </c>
      <c r="M185" s="4">
        <f t="shared" si="5"/>
        <v>3.006498296345006E-2</v>
      </c>
    </row>
    <row r="186" spans="1:13" x14ac:dyDescent="0.25">
      <c r="A186" t="s">
        <v>612</v>
      </c>
      <c r="K186" s="1" t="str">
        <f t="shared" si="4"/>
        <v>2000-11-01</v>
      </c>
      <c r="L186">
        <v>10414.490234000001</v>
      </c>
      <c r="M186" s="4">
        <f t="shared" si="5"/>
        <v>-5.0737610846241954E-2</v>
      </c>
    </row>
    <row r="187" spans="1:13" x14ac:dyDescent="0.25">
      <c r="A187" t="s">
        <v>613</v>
      </c>
      <c r="K187" s="1" t="str">
        <f t="shared" si="4"/>
        <v>2000-12-01</v>
      </c>
      <c r="L187">
        <v>10787.990234000001</v>
      </c>
      <c r="M187" s="4">
        <f t="shared" si="5"/>
        <v>3.5863493229907784E-2</v>
      </c>
    </row>
    <row r="188" spans="1:13" x14ac:dyDescent="0.25">
      <c r="A188" t="s">
        <v>614</v>
      </c>
      <c r="K188" s="1" t="str">
        <f t="shared" si="4"/>
        <v>2001-01-01</v>
      </c>
      <c r="L188">
        <v>10887.360352</v>
      </c>
      <c r="M188" s="4">
        <f t="shared" si="5"/>
        <v>9.2111798253968757E-3</v>
      </c>
    </row>
    <row r="189" spans="1:13" x14ac:dyDescent="0.25">
      <c r="A189" t="s">
        <v>615</v>
      </c>
      <c r="K189" s="1" t="str">
        <f t="shared" si="4"/>
        <v>2001-02-01</v>
      </c>
      <c r="L189">
        <v>10495.280273</v>
      </c>
      <c r="M189" s="4">
        <f t="shared" si="5"/>
        <v>-3.6012409465989159E-2</v>
      </c>
    </row>
    <row r="190" spans="1:13" x14ac:dyDescent="0.25">
      <c r="A190" t="s">
        <v>616</v>
      </c>
      <c r="K190" s="1" t="str">
        <f t="shared" si="4"/>
        <v>2001-03-01</v>
      </c>
      <c r="L190">
        <v>9878.7802730000003</v>
      </c>
      <c r="M190" s="4">
        <f t="shared" si="5"/>
        <v>-5.8740689525557332E-2</v>
      </c>
    </row>
    <row r="191" spans="1:13" x14ac:dyDescent="0.25">
      <c r="A191" t="s">
        <v>617</v>
      </c>
      <c r="K191" s="1" t="str">
        <f t="shared" si="4"/>
        <v>2001-04-01</v>
      </c>
      <c r="L191">
        <v>10734.969727</v>
      </c>
      <c r="M191" s="4">
        <f t="shared" si="5"/>
        <v>8.6669551335206485E-2</v>
      </c>
    </row>
    <row r="192" spans="1:13" x14ac:dyDescent="0.25">
      <c r="A192" t="s">
        <v>618</v>
      </c>
      <c r="K192" s="1" t="str">
        <f t="shared" si="4"/>
        <v>2001-05-01</v>
      </c>
      <c r="L192">
        <v>10911.940430000001</v>
      </c>
      <c r="M192" s="4">
        <f t="shared" si="5"/>
        <v>1.6485440341288848E-2</v>
      </c>
    </row>
    <row r="193" spans="1:13" x14ac:dyDescent="0.25">
      <c r="A193" t="s">
        <v>619</v>
      </c>
      <c r="K193" s="1" t="str">
        <f t="shared" si="4"/>
        <v>2001-06-01</v>
      </c>
      <c r="L193">
        <v>10502.400390999999</v>
      </c>
      <c r="M193" s="4">
        <f t="shared" si="5"/>
        <v>-3.7531366820337531E-2</v>
      </c>
    </row>
    <row r="194" spans="1:13" x14ac:dyDescent="0.25">
      <c r="A194" t="s">
        <v>620</v>
      </c>
      <c r="K194" s="1" t="str">
        <f t="shared" si="4"/>
        <v>2001-07-01</v>
      </c>
      <c r="L194">
        <v>10522.809569999999</v>
      </c>
      <c r="M194" s="4">
        <f t="shared" si="5"/>
        <v>1.9432870810647263E-3</v>
      </c>
    </row>
    <row r="195" spans="1:13" x14ac:dyDescent="0.25">
      <c r="A195" t="s">
        <v>621</v>
      </c>
      <c r="K195" s="1" t="str">
        <f t="shared" ref="K195:K258" si="6">LEFT(A195,10)</f>
        <v>2001-08-01</v>
      </c>
      <c r="L195">
        <v>9949.75</v>
      </c>
      <c r="M195" s="4">
        <f t="shared" si="5"/>
        <v>-5.4458798877608072E-2</v>
      </c>
    </row>
    <row r="196" spans="1:13" x14ac:dyDescent="0.25">
      <c r="A196" t="s">
        <v>622</v>
      </c>
      <c r="K196" s="1" t="str">
        <f t="shared" si="6"/>
        <v>2001-09-01</v>
      </c>
      <c r="L196">
        <v>8847.5595699999994</v>
      </c>
      <c r="M196" s="4">
        <f t="shared" ref="M196:M259" si="7">(L196/L195)-1</f>
        <v>-0.11077569084650374</v>
      </c>
    </row>
    <row r="197" spans="1:13" x14ac:dyDescent="0.25">
      <c r="A197" t="s">
        <v>623</v>
      </c>
      <c r="K197" s="1" t="str">
        <f t="shared" si="6"/>
        <v>2001-10-01</v>
      </c>
      <c r="L197">
        <v>9075.1396480000003</v>
      </c>
      <c r="M197" s="4">
        <f t="shared" si="7"/>
        <v>2.5722356114071365E-2</v>
      </c>
    </row>
    <row r="198" spans="1:13" x14ac:dyDescent="0.25">
      <c r="A198" t="s">
        <v>624</v>
      </c>
      <c r="K198" s="1" t="str">
        <f t="shared" si="6"/>
        <v>2001-11-01</v>
      </c>
      <c r="L198">
        <v>9851.5595699999994</v>
      </c>
      <c r="M198" s="4">
        <f t="shared" si="7"/>
        <v>8.5554597737910187E-2</v>
      </c>
    </row>
    <row r="199" spans="1:13" x14ac:dyDescent="0.25">
      <c r="A199" t="s">
        <v>625</v>
      </c>
      <c r="K199" s="1" t="str">
        <f t="shared" si="6"/>
        <v>2001-12-01</v>
      </c>
      <c r="L199">
        <v>10021.570313</v>
      </c>
      <c r="M199" s="4">
        <f t="shared" si="7"/>
        <v>1.7257241535413081E-2</v>
      </c>
    </row>
    <row r="200" spans="1:13" x14ac:dyDescent="0.25">
      <c r="A200" t="s">
        <v>626</v>
      </c>
      <c r="K200" s="1" t="str">
        <f t="shared" si="6"/>
        <v>2002-01-01</v>
      </c>
      <c r="L200">
        <v>9920</v>
      </c>
      <c r="M200" s="4">
        <f t="shared" si="7"/>
        <v>-1.0135169422325285E-2</v>
      </c>
    </row>
    <row r="201" spans="1:13" x14ac:dyDescent="0.25">
      <c r="A201" t="s">
        <v>627</v>
      </c>
      <c r="K201" s="1" t="str">
        <f t="shared" si="6"/>
        <v>2002-02-01</v>
      </c>
      <c r="L201">
        <v>10106.129883</v>
      </c>
      <c r="M201" s="4">
        <f t="shared" si="7"/>
        <v>1.8763093044354751E-2</v>
      </c>
    </row>
    <row r="202" spans="1:13" x14ac:dyDescent="0.25">
      <c r="A202" t="s">
        <v>628</v>
      </c>
      <c r="K202" s="1" t="str">
        <f t="shared" si="6"/>
        <v>2002-03-01</v>
      </c>
      <c r="L202">
        <v>10403.940430000001</v>
      </c>
      <c r="M202" s="4">
        <f t="shared" si="7"/>
        <v>2.9468307893109724E-2</v>
      </c>
    </row>
    <row r="203" spans="1:13" x14ac:dyDescent="0.25">
      <c r="A203" t="s">
        <v>629</v>
      </c>
      <c r="K203" s="1" t="str">
        <f t="shared" si="6"/>
        <v>2002-04-01</v>
      </c>
      <c r="L203">
        <v>9946.2197269999997</v>
      </c>
      <c r="M203" s="4">
        <f t="shared" si="7"/>
        <v>-4.399493692602785E-2</v>
      </c>
    </row>
    <row r="204" spans="1:13" x14ac:dyDescent="0.25">
      <c r="A204" t="s">
        <v>630</v>
      </c>
      <c r="K204" s="1" t="str">
        <f t="shared" si="6"/>
        <v>2002-05-01</v>
      </c>
      <c r="L204">
        <v>9925.25</v>
      </c>
      <c r="M204" s="4">
        <f t="shared" si="7"/>
        <v>-2.1083112554889372E-3</v>
      </c>
    </row>
    <row r="205" spans="1:13" x14ac:dyDescent="0.25">
      <c r="A205" t="s">
        <v>631</v>
      </c>
      <c r="K205" s="1" t="str">
        <f t="shared" si="6"/>
        <v>2002-06-01</v>
      </c>
      <c r="L205">
        <v>9243.2597659999992</v>
      </c>
      <c r="M205" s="4">
        <f t="shared" si="7"/>
        <v>-6.8712650462205094E-2</v>
      </c>
    </row>
    <row r="206" spans="1:13" x14ac:dyDescent="0.25">
      <c r="A206" t="s">
        <v>632</v>
      </c>
      <c r="K206" s="1" t="str">
        <f t="shared" si="6"/>
        <v>2002-07-01</v>
      </c>
      <c r="L206">
        <v>8736.5898440000001</v>
      </c>
      <c r="M206" s="4">
        <f t="shared" si="7"/>
        <v>-5.4815069015339279E-2</v>
      </c>
    </row>
    <row r="207" spans="1:13" x14ac:dyDescent="0.25">
      <c r="A207" t="s">
        <v>633</v>
      </c>
      <c r="K207" s="1" t="str">
        <f t="shared" si="6"/>
        <v>2002-08-01</v>
      </c>
      <c r="L207">
        <v>8663.5</v>
      </c>
      <c r="M207" s="4">
        <f t="shared" si="7"/>
        <v>-8.3659465884386996E-3</v>
      </c>
    </row>
    <row r="208" spans="1:13" x14ac:dyDescent="0.25">
      <c r="A208" t="s">
        <v>634</v>
      </c>
      <c r="K208" s="1" t="str">
        <f t="shared" si="6"/>
        <v>2002-09-01</v>
      </c>
      <c r="L208">
        <v>7591.9301759999998</v>
      </c>
      <c r="M208" s="4">
        <f t="shared" si="7"/>
        <v>-0.12368786564321577</v>
      </c>
    </row>
    <row r="209" spans="1:13" x14ac:dyDescent="0.25">
      <c r="A209" t="s">
        <v>635</v>
      </c>
      <c r="K209" s="1" t="str">
        <f t="shared" si="6"/>
        <v>2002-10-01</v>
      </c>
      <c r="L209">
        <v>8397.0302730000003</v>
      </c>
      <c r="M209" s="4">
        <f t="shared" si="7"/>
        <v>0.10604682581843594</v>
      </c>
    </row>
    <row r="210" spans="1:13" x14ac:dyDescent="0.25">
      <c r="A210" t="s">
        <v>636</v>
      </c>
      <c r="K210" s="1" t="str">
        <f t="shared" si="6"/>
        <v>2002-11-01</v>
      </c>
      <c r="L210">
        <v>8896.0898440000001</v>
      </c>
      <c r="M210" s="4">
        <f t="shared" si="7"/>
        <v>5.9432865522074829E-2</v>
      </c>
    </row>
    <row r="211" spans="1:13" x14ac:dyDescent="0.25">
      <c r="A211" t="s">
        <v>637</v>
      </c>
      <c r="K211" s="1" t="str">
        <f t="shared" si="6"/>
        <v>2002-12-01</v>
      </c>
      <c r="L211">
        <v>8341.6298829999996</v>
      </c>
      <c r="M211" s="4">
        <f t="shared" si="7"/>
        <v>-6.2326254649278101E-2</v>
      </c>
    </row>
    <row r="212" spans="1:13" x14ac:dyDescent="0.25">
      <c r="A212" t="s">
        <v>638</v>
      </c>
      <c r="K212" s="1" t="str">
        <f t="shared" si="6"/>
        <v>2003-01-01</v>
      </c>
      <c r="L212">
        <v>8053.8100590000004</v>
      </c>
      <c r="M212" s="4">
        <f t="shared" si="7"/>
        <v>-3.4504027155000894E-2</v>
      </c>
    </row>
    <row r="213" spans="1:13" x14ac:dyDescent="0.25">
      <c r="A213" t="s">
        <v>639</v>
      </c>
      <c r="K213" s="1" t="str">
        <f t="shared" si="6"/>
        <v>2003-02-01</v>
      </c>
      <c r="L213">
        <v>7891.080078</v>
      </c>
      <c r="M213" s="4">
        <f t="shared" si="7"/>
        <v>-2.020534129907281E-2</v>
      </c>
    </row>
    <row r="214" spans="1:13" x14ac:dyDescent="0.25">
      <c r="A214" t="s">
        <v>640</v>
      </c>
      <c r="K214" s="1" t="str">
        <f t="shared" si="6"/>
        <v>2003-03-01</v>
      </c>
      <c r="L214">
        <v>7992.1298829999996</v>
      </c>
      <c r="M214" s="4">
        <f t="shared" si="7"/>
        <v>1.2805573381738045E-2</v>
      </c>
    </row>
    <row r="215" spans="1:13" x14ac:dyDescent="0.25">
      <c r="A215" t="s">
        <v>641</v>
      </c>
      <c r="K215" s="1" t="str">
        <f t="shared" si="6"/>
        <v>2003-04-01</v>
      </c>
      <c r="L215">
        <v>8480.0898440000001</v>
      </c>
      <c r="M215" s="4">
        <f t="shared" si="7"/>
        <v>6.1055058932154793E-2</v>
      </c>
    </row>
    <row r="216" spans="1:13" x14ac:dyDescent="0.25">
      <c r="A216" t="s">
        <v>642</v>
      </c>
      <c r="K216" s="1" t="str">
        <f t="shared" si="6"/>
        <v>2003-05-01</v>
      </c>
      <c r="L216">
        <v>8850.2597659999992</v>
      </c>
      <c r="M216" s="4">
        <f t="shared" si="7"/>
        <v>4.365165096239032E-2</v>
      </c>
    </row>
    <row r="217" spans="1:13" x14ac:dyDescent="0.25">
      <c r="A217" t="s">
        <v>643</v>
      </c>
      <c r="K217" s="1" t="str">
        <f t="shared" si="6"/>
        <v>2003-06-01</v>
      </c>
      <c r="L217">
        <v>8985.4404300000006</v>
      </c>
      <c r="M217" s="4">
        <f t="shared" si="7"/>
        <v>1.5274202969648876E-2</v>
      </c>
    </row>
    <row r="218" spans="1:13" x14ac:dyDescent="0.25">
      <c r="A218" t="s">
        <v>644</v>
      </c>
      <c r="K218" s="1" t="str">
        <f t="shared" si="6"/>
        <v>2003-07-01</v>
      </c>
      <c r="L218">
        <v>9233.7998050000006</v>
      </c>
      <c r="M218" s="4">
        <f t="shared" si="7"/>
        <v>2.7640200492654143E-2</v>
      </c>
    </row>
    <row r="219" spans="1:13" x14ac:dyDescent="0.25">
      <c r="A219" t="s">
        <v>645</v>
      </c>
      <c r="K219" s="1" t="str">
        <f t="shared" si="6"/>
        <v>2003-08-01</v>
      </c>
      <c r="L219">
        <v>9415.8203130000002</v>
      </c>
      <c r="M219" s="4">
        <f t="shared" si="7"/>
        <v>1.9712416539660937E-2</v>
      </c>
    </row>
    <row r="220" spans="1:13" x14ac:dyDescent="0.25">
      <c r="A220" t="s">
        <v>646</v>
      </c>
      <c r="K220" s="1" t="str">
        <f t="shared" si="6"/>
        <v>2003-09-01</v>
      </c>
      <c r="L220">
        <v>9275.0595699999994</v>
      </c>
      <c r="M220" s="4">
        <f t="shared" si="7"/>
        <v>-1.4949387129410185E-2</v>
      </c>
    </row>
    <row r="221" spans="1:13" x14ac:dyDescent="0.25">
      <c r="A221" t="s">
        <v>647</v>
      </c>
      <c r="K221" s="1" t="str">
        <f t="shared" si="6"/>
        <v>2003-10-01</v>
      </c>
      <c r="L221">
        <v>9801.1201170000004</v>
      </c>
      <c r="M221" s="4">
        <f t="shared" si="7"/>
        <v>5.6717753997131526E-2</v>
      </c>
    </row>
    <row r="222" spans="1:13" x14ac:dyDescent="0.25">
      <c r="A222" t="s">
        <v>648</v>
      </c>
      <c r="K222" s="1" t="str">
        <f t="shared" si="6"/>
        <v>2003-11-01</v>
      </c>
      <c r="L222">
        <v>9782.4599610000005</v>
      </c>
      <c r="M222" s="4">
        <f t="shared" si="7"/>
        <v>-1.903879942011355E-3</v>
      </c>
    </row>
    <row r="223" spans="1:13" x14ac:dyDescent="0.25">
      <c r="A223" t="s">
        <v>649</v>
      </c>
      <c r="K223" s="1" t="str">
        <f t="shared" si="6"/>
        <v>2003-12-01</v>
      </c>
      <c r="L223">
        <v>10453.919921999999</v>
      </c>
      <c r="M223" s="4">
        <f t="shared" si="7"/>
        <v>6.8639172935736736E-2</v>
      </c>
    </row>
    <row r="224" spans="1:13" x14ac:dyDescent="0.25">
      <c r="A224" t="s">
        <v>650</v>
      </c>
      <c r="K224" s="1" t="str">
        <f t="shared" si="6"/>
        <v>2004-01-01</v>
      </c>
      <c r="L224">
        <v>10488.070313</v>
      </c>
      <c r="M224" s="4">
        <f t="shared" si="7"/>
        <v>3.2667546006481807E-3</v>
      </c>
    </row>
    <row r="225" spans="1:13" x14ac:dyDescent="0.25">
      <c r="A225" t="s">
        <v>651</v>
      </c>
      <c r="K225" s="1" t="str">
        <f t="shared" si="6"/>
        <v>2004-02-01</v>
      </c>
      <c r="L225">
        <v>10583.919921999999</v>
      </c>
      <c r="M225" s="4">
        <f t="shared" si="7"/>
        <v>9.1389174690403863E-3</v>
      </c>
    </row>
    <row r="226" spans="1:13" x14ac:dyDescent="0.25">
      <c r="A226" t="s">
        <v>652</v>
      </c>
      <c r="K226" s="1" t="str">
        <f t="shared" si="6"/>
        <v>2004-03-01</v>
      </c>
      <c r="L226">
        <v>10357.700194999999</v>
      </c>
      <c r="M226" s="4">
        <f t="shared" si="7"/>
        <v>-2.1373907651150437E-2</v>
      </c>
    </row>
    <row r="227" spans="1:13" x14ac:dyDescent="0.25">
      <c r="A227" t="s">
        <v>653</v>
      </c>
      <c r="K227" s="1" t="str">
        <f t="shared" si="6"/>
        <v>2004-04-01</v>
      </c>
      <c r="L227">
        <v>10225.570313</v>
      </c>
      <c r="M227" s="4">
        <f t="shared" si="7"/>
        <v>-1.2756681455578622E-2</v>
      </c>
    </row>
    <row r="228" spans="1:13" x14ac:dyDescent="0.25">
      <c r="A228" t="s">
        <v>654</v>
      </c>
      <c r="K228" s="1" t="str">
        <f t="shared" si="6"/>
        <v>2004-05-01</v>
      </c>
      <c r="L228">
        <v>10188.450194999999</v>
      </c>
      <c r="M228" s="4">
        <f t="shared" si="7"/>
        <v>-3.6301269135873282E-3</v>
      </c>
    </row>
    <row r="229" spans="1:13" x14ac:dyDescent="0.25">
      <c r="A229" t="s">
        <v>655</v>
      </c>
      <c r="K229" s="1" t="str">
        <f t="shared" si="6"/>
        <v>2004-06-01</v>
      </c>
      <c r="L229">
        <v>10435.480469</v>
      </c>
      <c r="M229" s="4">
        <f t="shared" si="7"/>
        <v>2.4246109003038585E-2</v>
      </c>
    </row>
    <row r="230" spans="1:13" x14ac:dyDescent="0.25">
      <c r="A230" t="s">
        <v>656</v>
      </c>
      <c r="K230" s="1" t="str">
        <f t="shared" si="6"/>
        <v>2004-07-01</v>
      </c>
      <c r="L230">
        <v>10139.709961</v>
      </c>
      <c r="M230" s="4">
        <f t="shared" si="7"/>
        <v>-2.8342778167102622E-2</v>
      </c>
    </row>
    <row r="231" spans="1:13" x14ac:dyDescent="0.25">
      <c r="A231" t="s">
        <v>657</v>
      </c>
      <c r="K231" s="1" t="str">
        <f t="shared" si="6"/>
        <v>2004-08-01</v>
      </c>
      <c r="L231">
        <v>10173.919921999999</v>
      </c>
      <c r="M231" s="4">
        <f t="shared" si="7"/>
        <v>3.3738599162678184E-3</v>
      </c>
    </row>
    <row r="232" spans="1:13" x14ac:dyDescent="0.25">
      <c r="A232" t="s">
        <v>658</v>
      </c>
      <c r="K232" s="1" t="str">
        <f t="shared" si="6"/>
        <v>2004-09-01</v>
      </c>
      <c r="L232">
        <v>10080.269531</v>
      </c>
      <c r="M232" s="4">
        <f t="shared" si="7"/>
        <v>-9.204946738128994E-3</v>
      </c>
    </row>
    <row r="233" spans="1:13" x14ac:dyDescent="0.25">
      <c r="A233" t="s">
        <v>659</v>
      </c>
      <c r="K233" s="1" t="str">
        <f t="shared" si="6"/>
        <v>2004-10-01</v>
      </c>
      <c r="L233">
        <v>10027.469727</v>
      </c>
      <c r="M233" s="4">
        <f t="shared" si="7"/>
        <v>-5.2379357355102352E-3</v>
      </c>
    </row>
    <row r="234" spans="1:13" x14ac:dyDescent="0.25">
      <c r="A234" t="s">
        <v>660</v>
      </c>
      <c r="K234" s="1" t="str">
        <f t="shared" si="6"/>
        <v>2004-11-01</v>
      </c>
      <c r="L234">
        <v>10428.019531</v>
      </c>
      <c r="M234" s="4">
        <f t="shared" si="7"/>
        <v>3.9945251883581223E-2</v>
      </c>
    </row>
    <row r="235" spans="1:13" x14ac:dyDescent="0.25">
      <c r="A235" t="s">
        <v>661</v>
      </c>
      <c r="K235" s="1" t="str">
        <f t="shared" si="6"/>
        <v>2004-12-01</v>
      </c>
      <c r="L235">
        <v>10783.009765999999</v>
      </c>
      <c r="M235" s="4">
        <f t="shared" si="7"/>
        <v>3.404196107848656E-2</v>
      </c>
    </row>
    <row r="236" spans="1:13" x14ac:dyDescent="0.25">
      <c r="A236" t="s">
        <v>662</v>
      </c>
      <c r="K236" s="1" t="str">
        <f t="shared" si="6"/>
        <v>2005-01-01</v>
      </c>
      <c r="L236">
        <v>10489.940430000001</v>
      </c>
      <c r="M236" s="4">
        <f t="shared" si="7"/>
        <v>-2.7178806507630049E-2</v>
      </c>
    </row>
    <row r="237" spans="1:13" x14ac:dyDescent="0.25">
      <c r="A237" t="s">
        <v>663</v>
      </c>
      <c r="K237" s="1" t="str">
        <f t="shared" si="6"/>
        <v>2005-02-01</v>
      </c>
      <c r="L237">
        <v>10766.230469</v>
      </c>
      <c r="M237" s="4">
        <f t="shared" si="7"/>
        <v>2.6338570828280616E-2</v>
      </c>
    </row>
    <row r="238" spans="1:13" x14ac:dyDescent="0.25">
      <c r="A238" t="s">
        <v>664</v>
      </c>
      <c r="K238" s="1" t="str">
        <f t="shared" si="6"/>
        <v>2005-03-01</v>
      </c>
      <c r="L238">
        <v>10503.759765999999</v>
      </c>
      <c r="M238" s="4">
        <f t="shared" si="7"/>
        <v>-2.4379071556730247E-2</v>
      </c>
    </row>
    <row r="239" spans="1:13" x14ac:dyDescent="0.25">
      <c r="A239" t="s">
        <v>665</v>
      </c>
      <c r="K239" s="1" t="str">
        <f t="shared" si="6"/>
        <v>2005-04-01</v>
      </c>
      <c r="L239">
        <v>10192.509765999999</v>
      </c>
      <c r="M239" s="4">
        <f t="shared" si="7"/>
        <v>-2.9632246636818182E-2</v>
      </c>
    </row>
    <row r="240" spans="1:13" x14ac:dyDescent="0.25">
      <c r="A240" t="s">
        <v>666</v>
      </c>
      <c r="K240" s="1" t="str">
        <f t="shared" si="6"/>
        <v>2005-05-01</v>
      </c>
      <c r="L240">
        <v>10467.480469</v>
      </c>
      <c r="M240" s="4">
        <f t="shared" si="7"/>
        <v>2.6977722789851333E-2</v>
      </c>
    </row>
    <row r="241" spans="1:13" x14ac:dyDescent="0.25">
      <c r="A241" t="s">
        <v>667</v>
      </c>
      <c r="K241" s="1" t="str">
        <f t="shared" si="6"/>
        <v>2005-06-01</v>
      </c>
      <c r="L241">
        <v>10274.969727</v>
      </c>
      <c r="M241" s="4">
        <f t="shared" si="7"/>
        <v>-1.8391316092743693E-2</v>
      </c>
    </row>
    <row r="242" spans="1:13" x14ac:dyDescent="0.25">
      <c r="A242" t="s">
        <v>668</v>
      </c>
      <c r="K242" s="1" t="str">
        <f t="shared" si="6"/>
        <v>2005-07-01</v>
      </c>
      <c r="L242">
        <v>10640.910156</v>
      </c>
      <c r="M242" s="4">
        <f t="shared" si="7"/>
        <v>3.5614745222888766E-2</v>
      </c>
    </row>
    <row r="243" spans="1:13" x14ac:dyDescent="0.25">
      <c r="A243" t="s">
        <v>669</v>
      </c>
      <c r="K243" s="1" t="str">
        <f t="shared" si="6"/>
        <v>2005-08-01</v>
      </c>
      <c r="L243">
        <v>10481.599609000001</v>
      </c>
      <c r="M243" s="4">
        <f t="shared" si="7"/>
        <v>-1.4971515092641829E-2</v>
      </c>
    </row>
    <row r="244" spans="1:13" x14ac:dyDescent="0.25">
      <c r="A244" t="s">
        <v>670</v>
      </c>
      <c r="K244" s="1" t="str">
        <f t="shared" si="6"/>
        <v>2005-09-01</v>
      </c>
      <c r="L244">
        <v>10568.700194999999</v>
      </c>
      <c r="M244" s="4">
        <f t="shared" si="7"/>
        <v>8.3098562480110605E-3</v>
      </c>
    </row>
    <row r="245" spans="1:13" x14ac:dyDescent="0.25">
      <c r="A245" t="s">
        <v>671</v>
      </c>
      <c r="K245" s="1" t="str">
        <f t="shared" si="6"/>
        <v>2005-10-01</v>
      </c>
      <c r="L245">
        <v>10440.070313</v>
      </c>
      <c r="M245" s="4">
        <f t="shared" si="7"/>
        <v>-1.2170832706641987E-2</v>
      </c>
    </row>
    <row r="246" spans="1:13" x14ac:dyDescent="0.25">
      <c r="A246" t="s">
        <v>672</v>
      </c>
      <c r="K246" s="1" t="str">
        <f t="shared" si="6"/>
        <v>2005-11-01</v>
      </c>
      <c r="L246">
        <v>10805.870117</v>
      </c>
      <c r="M246" s="4">
        <f t="shared" si="7"/>
        <v>3.5038059422311196E-2</v>
      </c>
    </row>
    <row r="247" spans="1:13" x14ac:dyDescent="0.25">
      <c r="A247" t="s">
        <v>673</v>
      </c>
      <c r="K247" s="1" t="str">
        <f t="shared" si="6"/>
        <v>2005-12-01</v>
      </c>
      <c r="L247">
        <v>10717.5</v>
      </c>
      <c r="M247" s="4">
        <f t="shared" si="7"/>
        <v>-8.1779732722286891E-3</v>
      </c>
    </row>
    <row r="248" spans="1:13" x14ac:dyDescent="0.25">
      <c r="A248" t="s">
        <v>674</v>
      </c>
      <c r="K248" s="1" t="str">
        <f t="shared" si="6"/>
        <v>2006-01-01</v>
      </c>
      <c r="L248">
        <v>10864.860352</v>
      </c>
      <c r="M248" s="4">
        <f t="shared" si="7"/>
        <v>1.3749508000933108E-2</v>
      </c>
    </row>
    <row r="249" spans="1:13" x14ac:dyDescent="0.25">
      <c r="A249" t="s">
        <v>675</v>
      </c>
      <c r="K249" s="1" t="str">
        <f t="shared" si="6"/>
        <v>2006-02-01</v>
      </c>
      <c r="L249">
        <v>10993.410156</v>
      </c>
      <c r="M249" s="4">
        <f t="shared" si="7"/>
        <v>1.1831703292563445E-2</v>
      </c>
    </row>
    <row r="250" spans="1:13" x14ac:dyDescent="0.25">
      <c r="A250" t="s">
        <v>676</v>
      </c>
      <c r="K250" s="1" t="str">
        <f t="shared" si="6"/>
        <v>2006-03-01</v>
      </c>
      <c r="L250">
        <v>11109.320313</v>
      </c>
      <c r="M250" s="4">
        <f t="shared" si="7"/>
        <v>1.05436034274351E-2</v>
      </c>
    </row>
    <row r="251" spans="1:13" x14ac:dyDescent="0.25">
      <c r="A251" t="s">
        <v>677</v>
      </c>
      <c r="K251" s="1" t="str">
        <f t="shared" si="6"/>
        <v>2006-04-01</v>
      </c>
      <c r="L251">
        <v>11367.139648</v>
      </c>
      <c r="M251" s="4">
        <f t="shared" si="7"/>
        <v>2.3207480542108749E-2</v>
      </c>
    </row>
    <row r="252" spans="1:13" x14ac:dyDescent="0.25">
      <c r="A252" t="s">
        <v>678</v>
      </c>
      <c r="K252" s="1" t="str">
        <f t="shared" si="6"/>
        <v>2006-05-01</v>
      </c>
      <c r="L252">
        <v>11168.309569999999</v>
      </c>
      <c r="M252" s="4">
        <f t="shared" si="7"/>
        <v>-1.74916543789434E-2</v>
      </c>
    </row>
    <row r="253" spans="1:13" x14ac:dyDescent="0.25">
      <c r="A253" t="s">
        <v>679</v>
      </c>
      <c r="K253" s="1" t="str">
        <f t="shared" si="6"/>
        <v>2006-06-01</v>
      </c>
      <c r="L253">
        <v>11150.219727</v>
      </c>
      <c r="M253" s="4">
        <f t="shared" si="7"/>
        <v>-1.6197476338399852E-3</v>
      </c>
    </row>
    <row r="254" spans="1:13" x14ac:dyDescent="0.25">
      <c r="A254" t="s">
        <v>680</v>
      </c>
      <c r="K254" s="1" t="str">
        <f t="shared" si="6"/>
        <v>2006-07-01</v>
      </c>
      <c r="L254">
        <v>11185.679688</v>
      </c>
      <c r="M254" s="4">
        <f t="shared" si="7"/>
        <v>3.1802028900054236E-3</v>
      </c>
    </row>
    <row r="255" spans="1:13" x14ac:dyDescent="0.25">
      <c r="A255" t="s">
        <v>681</v>
      </c>
      <c r="K255" s="1" t="str">
        <f t="shared" si="6"/>
        <v>2006-08-01</v>
      </c>
      <c r="L255">
        <v>11381.150390999999</v>
      </c>
      <c r="M255" s="4">
        <f t="shared" si="7"/>
        <v>1.7475084970446586E-2</v>
      </c>
    </row>
    <row r="256" spans="1:13" x14ac:dyDescent="0.25">
      <c r="A256" t="s">
        <v>682</v>
      </c>
      <c r="K256" s="1" t="str">
        <f t="shared" si="6"/>
        <v>2006-09-01</v>
      </c>
      <c r="L256">
        <v>11679.070313</v>
      </c>
      <c r="M256" s="4">
        <f t="shared" si="7"/>
        <v>2.6176608845762228E-2</v>
      </c>
    </row>
    <row r="257" spans="1:13" x14ac:dyDescent="0.25">
      <c r="A257" t="s">
        <v>683</v>
      </c>
      <c r="K257" s="1" t="str">
        <f t="shared" si="6"/>
        <v>2006-10-01</v>
      </c>
      <c r="L257">
        <v>12080.730469</v>
      </c>
      <c r="M257" s="4">
        <f t="shared" si="7"/>
        <v>3.4391449424952203E-2</v>
      </c>
    </row>
    <row r="258" spans="1:13" x14ac:dyDescent="0.25">
      <c r="A258" t="s">
        <v>684</v>
      </c>
      <c r="K258" s="1" t="str">
        <f t="shared" si="6"/>
        <v>2006-11-01</v>
      </c>
      <c r="L258">
        <v>12221.929688</v>
      </c>
      <c r="M258" s="4">
        <f t="shared" si="7"/>
        <v>1.1687970306292872E-2</v>
      </c>
    </row>
    <row r="259" spans="1:13" x14ac:dyDescent="0.25">
      <c r="A259" t="s">
        <v>685</v>
      </c>
      <c r="K259" s="1" t="str">
        <f t="shared" ref="K259:K322" si="8">LEFT(A259,10)</f>
        <v>2006-12-01</v>
      </c>
      <c r="L259">
        <v>12463.150390999999</v>
      </c>
      <c r="M259" s="4">
        <f t="shared" si="7"/>
        <v>1.9736711727022849E-2</v>
      </c>
    </row>
    <row r="260" spans="1:13" x14ac:dyDescent="0.25">
      <c r="A260" t="s">
        <v>686</v>
      </c>
      <c r="K260" s="1" t="str">
        <f t="shared" si="8"/>
        <v>2007-01-01</v>
      </c>
      <c r="L260">
        <v>12621.690430000001</v>
      </c>
      <c r="M260" s="4">
        <f t="shared" ref="M260:M323" si="9">(L260/L259)-1</f>
        <v>1.2720703355588725E-2</v>
      </c>
    </row>
    <row r="261" spans="1:13" x14ac:dyDescent="0.25">
      <c r="A261" t="s">
        <v>687</v>
      </c>
      <c r="K261" s="1" t="str">
        <f t="shared" si="8"/>
        <v>2007-02-01</v>
      </c>
      <c r="L261">
        <v>12268.629883</v>
      </c>
      <c r="M261" s="4">
        <f t="shared" si="9"/>
        <v>-2.7972524675524024E-2</v>
      </c>
    </row>
    <row r="262" spans="1:13" x14ac:dyDescent="0.25">
      <c r="A262" t="s">
        <v>688</v>
      </c>
      <c r="K262" s="1" t="str">
        <f t="shared" si="8"/>
        <v>2007-03-01</v>
      </c>
      <c r="L262">
        <v>12354.349609000001</v>
      </c>
      <c r="M262" s="4">
        <f t="shared" si="9"/>
        <v>6.986902923755034E-3</v>
      </c>
    </row>
    <row r="263" spans="1:13" x14ac:dyDescent="0.25">
      <c r="A263" t="s">
        <v>689</v>
      </c>
      <c r="K263" s="1" t="str">
        <f t="shared" si="8"/>
        <v>2007-04-01</v>
      </c>
      <c r="L263">
        <v>13062.910156</v>
      </c>
      <c r="M263" s="4">
        <f t="shared" si="9"/>
        <v>5.7353124156679369E-2</v>
      </c>
    </row>
    <row r="264" spans="1:13" x14ac:dyDescent="0.25">
      <c r="A264" t="s">
        <v>690</v>
      </c>
      <c r="K264" s="1" t="str">
        <f t="shared" si="8"/>
        <v>2007-05-01</v>
      </c>
      <c r="L264">
        <v>13627.639648</v>
      </c>
      <c r="M264" s="4">
        <f t="shared" si="9"/>
        <v>4.3231522322046301E-2</v>
      </c>
    </row>
    <row r="265" spans="1:13" x14ac:dyDescent="0.25">
      <c r="A265" t="s">
        <v>691</v>
      </c>
      <c r="K265" s="1" t="str">
        <f t="shared" si="8"/>
        <v>2007-06-01</v>
      </c>
      <c r="L265">
        <v>13408.620117</v>
      </c>
      <c r="M265" s="4">
        <f t="shared" si="9"/>
        <v>-1.6071714299559114E-2</v>
      </c>
    </row>
    <row r="266" spans="1:13" x14ac:dyDescent="0.25">
      <c r="A266" t="s">
        <v>692</v>
      </c>
      <c r="K266" s="1" t="str">
        <f t="shared" si="8"/>
        <v>2007-07-01</v>
      </c>
      <c r="L266">
        <v>13211.990234000001</v>
      </c>
      <c r="M266" s="4">
        <f t="shared" si="9"/>
        <v>-1.4664438345203368E-2</v>
      </c>
    </row>
    <row r="267" spans="1:13" x14ac:dyDescent="0.25">
      <c r="A267" t="s">
        <v>693</v>
      </c>
      <c r="K267" s="1" t="str">
        <f t="shared" si="8"/>
        <v>2007-08-01</v>
      </c>
      <c r="L267">
        <v>13357.740234000001</v>
      </c>
      <c r="M267" s="4">
        <f t="shared" si="9"/>
        <v>1.1031646059268541E-2</v>
      </c>
    </row>
    <row r="268" spans="1:13" x14ac:dyDescent="0.25">
      <c r="A268" t="s">
        <v>694</v>
      </c>
      <c r="K268" s="1" t="str">
        <f t="shared" si="8"/>
        <v>2007-09-01</v>
      </c>
      <c r="L268">
        <v>13895.629883</v>
      </c>
      <c r="M268" s="4">
        <f t="shared" si="9"/>
        <v>4.0268012371649897E-2</v>
      </c>
    </row>
    <row r="269" spans="1:13" x14ac:dyDescent="0.25">
      <c r="A269" t="s">
        <v>695</v>
      </c>
      <c r="K269" s="1" t="str">
        <f t="shared" si="8"/>
        <v>2007-10-01</v>
      </c>
      <c r="L269">
        <v>13930.009765999999</v>
      </c>
      <c r="M269" s="4">
        <f t="shared" si="9"/>
        <v>2.4741507430374732E-3</v>
      </c>
    </row>
    <row r="270" spans="1:13" x14ac:dyDescent="0.25">
      <c r="A270" t="s">
        <v>696</v>
      </c>
      <c r="K270" s="1" t="str">
        <f t="shared" si="8"/>
        <v>2007-11-01</v>
      </c>
      <c r="L270">
        <v>13371.719727</v>
      </c>
      <c r="M270" s="4">
        <f t="shared" si="9"/>
        <v>-4.0078223086580933E-2</v>
      </c>
    </row>
    <row r="271" spans="1:13" x14ac:dyDescent="0.25">
      <c r="A271" t="s">
        <v>697</v>
      </c>
      <c r="K271" s="1" t="str">
        <f t="shared" si="8"/>
        <v>2007-12-01</v>
      </c>
      <c r="L271">
        <v>13264.820313</v>
      </c>
      <c r="M271" s="4">
        <f t="shared" si="9"/>
        <v>-7.9944402202919429E-3</v>
      </c>
    </row>
    <row r="272" spans="1:13" x14ac:dyDescent="0.25">
      <c r="A272" t="s">
        <v>698</v>
      </c>
      <c r="K272" s="1" t="str">
        <f t="shared" si="8"/>
        <v>2008-01-01</v>
      </c>
      <c r="L272">
        <v>12650.360352</v>
      </c>
      <c r="M272" s="4">
        <f t="shared" si="9"/>
        <v>-4.6322524278584298E-2</v>
      </c>
    </row>
    <row r="273" spans="1:13" x14ac:dyDescent="0.25">
      <c r="A273" t="s">
        <v>699</v>
      </c>
      <c r="K273" s="1" t="str">
        <f t="shared" si="8"/>
        <v>2008-02-01</v>
      </c>
      <c r="L273">
        <v>12266.389648</v>
      </c>
      <c r="M273" s="4">
        <f t="shared" si="9"/>
        <v>-3.0352550703371395E-2</v>
      </c>
    </row>
    <row r="274" spans="1:13" x14ac:dyDescent="0.25">
      <c r="A274" t="s">
        <v>700</v>
      </c>
      <c r="K274" s="1" t="str">
        <f t="shared" si="8"/>
        <v>2008-03-01</v>
      </c>
      <c r="L274">
        <v>12262.889648</v>
      </c>
      <c r="M274" s="4">
        <f t="shared" si="9"/>
        <v>-2.853325306334531E-4</v>
      </c>
    </row>
    <row r="275" spans="1:13" x14ac:dyDescent="0.25">
      <c r="A275" t="s">
        <v>701</v>
      </c>
      <c r="K275" s="1" t="str">
        <f t="shared" si="8"/>
        <v>2008-04-01</v>
      </c>
      <c r="L275">
        <v>12820.129883</v>
      </c>
      <c r="M275" s="4">
        <f t="shared" si="9"/>
        <v>4.5441184826357839E-2</v>
      </c>
    </row>
    <row r="276" spans="1:13" x14ac:dyDescent="0.25">
      <c r="A276" t="s">
        <v>702</v>
      </c>
      <c r="K276" s="1" t="str">
        <f t="shared" si="8"/>
        <v>2008-05-01</v>
      </c>
      <c r="L276">
        <v>12638.320313</v>
      </c>
      <c r="M276" s="4">
        <f t="shared" si="9"/>
        <v>-1.4181570051102654E-2</v>
      </c>
    </row>
    <row r="277" spans="1:13" x14ac:dyDescent="0.25">
      <c r="A277" t="s">
        <v>703</v>
      </c>
      <c r="K277" s="1" t="str">
        <f t="shared" si="8"/>
        <v>2008-06-01</v>
      </c>
      <c r="L277">
        <v>11350.009765999999</v>
      </c>
      <c r="M277" s="4">
        <f t="shared" si="9"/>
        <v>-0.10193684881327325</v>
      </c>
    </row>
    <row r="278" spans="1:13" x14ac:dyDescent="0.25">
      <c r="A278" t="s">
        <v>704</v>
      </c>
      <c r="K278" s="1" t="str">
        <f t="shared" si="8"/>
        <v>2008-07-01</v>
      </c>
      <c r="L278">
        <v>11378.019531</v>
      </c>
      <c r="M278" s="4">
        <f t="shared" si="9"/>
        <v>2.4678185814348552E-3</v>
      </c>
    </row>
    <row r="279" spans="1:13" x14ac:dyDescent="0.25">
      <c r="A279" t="s">
        <v>705</v>
      </c>
      <c r="K279" s="1" t="str">
        <f t="shared" si="8"/>
        <v>2008-08-01</v>
      </c>
      <c r="L279">
        <v>11543.959961</v>
      </c>
      <c r="M279" s="4">
        <f t="shared" si="9"/>
        <v>1.4584298220607472E-2</v>
      </c>
    </row>
    <row r="280" spans="1:13" x14ac:dyDescent="0.25">
      <c r="A280" t="s">
        <v>706</v>
      </c>
      <c r="K280" s="1" t="str">
        <f t="shared" si="8"/>
        <v>2008-09-01</v>
      </c>
      <c r="L280">
        <v>10850.660156</v>
      </c>
      <c r="M280" s="4">
        <f t="shared" si="9"/>
        <v>-6.0057363967151445E-2</v>
      </c>
    </row>
    <row r="281" spans="1:13" x14ac:dyDescent="0.25">
      <c r="A281" t="s">
        <v>707</v>
      </c>
      <c r="K281" s="1" t="str">
        <f t="shared" si="8"/>
        <v>2008-10-01</v>
      </c>
      <c r="L281">
        <v>9325.0097659999992</v>
      </c>
      <c r="M281" s="4">
        <f t="shared" si="9"/>
        <v>-0.14060438425549382</v>
      </c>
    </row>
    <row r="282" spans="1:13" x14ac:dyDescent="0.25">
      <c r="A282" t="s">
        <v>708</v>
      </c>
      <c r="K282" s="1" t="str">
        <f t="shared" si="8"/>
        <v>2008-11-01</v>
      </c>
      <c r="L282">
        <v>8829.0400389999995</v>
      </c>
      <c r="M282" s="4">
        <f t="shared" si="9"/>
        <v>-5.3187046388772585E-2</v>
      </c>
    </row>
    <row r="283" spans="1:13" x14ac:dyDescent="0.25">
      <c r="A283" t="s">
        <v>709</v>
      </c>
      <c r="K283" s="1" t="str">
        <f t="shared" si="8"/>
        <v>2008-12-01</v>
      </c>
      <c r="L283">
        <v>8776.3896480000003</v>
      </c>
      <c r="M283" s="4">
        <f t="shared" si="9"/>
        <v>-5.9633199948612159E-3</v>
      </c>
    </row>
    <row r="284" spans="1:13" x14ac:dyDescent="0.25">
      <c r="A284" t="s">
        <v>710</v>
      </c>
      <c r="K284" s="1" t="str">
        <f t="shared" si="8"/>
        <v>2009-01-01</v>
      </c>
      <c r="L284">
        <v>8000.8598629999997</v>
      </c>
      <c r="M284" s="4">
        <f t="shared" si="9"/>
        <v>-8.8365468729699304E-2</v>
      </c>
    </row>
    <row r="285" spans="1:13" x14ac:dyDescent="0.25">
      <c r="A285" t="s">
        <v>711</v>
      </c>
      <c r="K285" s="1" t="str">
        <f t="shared" si="8"/>
        <v>2009-02-01</v>
      </c>
      <c r="L285">
        <v>7062.9301759999998</v>
      </c>
      <c r="M285" s="4">
        <f t="shared" si="9"/>
        <v>-0.11722861080687819</v>
      </c>
    </row>
    <row r="286" spans="1:13" x14ac:dyDescent="0.25">
      <c r="A286" t="s">
        <v>712</v>
      </c>
      <c r="K286" s="1" t="str">
        <f t="shared" si="8"/>
        <v>2009-03-01</v>
      </c>
      <c r="L286">
        <v>7608.919922</v>
      </c>
      <c r="M286" s="4">
        <f t="shared" si="9"/>
        <v>7.7303574068350089E-2</v>
      </c>
    </row>
    <row r="287" spans="1:13" x14ac:dyDescent="0.25">
      <c r="A287" t="s">
        <v>713</v>
      </c>
      <c r="K287" s="1" t="str">
        <f t="shared" si="8"/>
        <v>2009-04-01</v>
      </c>
      <c r="L287">
        <v>8168.1201170000004</v>
      </c>
      <c r="M287" s="4">
        <f t="shared" si="9"/>
        <v>7.3492716539591996E-2</v>
      </c>
    </row>
    <row r="288" spans="1:13" x14ac:dyDescent="0.25">
      <c r="A288" t="s">
        <v>714</v>
      </c>
      <c r="K288" s="1" t="str">
        <f t="shared" si="8"/>
        <v>2009-05-01</v>
      </c>
      <c r="L288">
        <v>8500.3300780000009</v>
      </c>
      <c r="M288" s="4">
        <f t="shared" si="9"/>
        <v>4.0671532279328737E-2</v>
      </c>
    </row>
    <row r="289" spans="1:13" x14ac:dyDescent="0.25">
      <c r="A289" t="s">
        <v>715</v>
      </c>
      <c r="K289" s="1" t="str">
        <f t="shared" si="8"/>
        <v>2009-06-01</v>
      </c>
      <c r="L289">
        <v>8447</v>
      </c>
      <c r="M289" s="4">
        <f t="shared" si="9"/>
        <v>-6.2738831916687721E-3</v>
      </c>
    </row>
    <row r="290" spans="1:13" x14ac:dyDescent="0.25">
      <c r="A290" t="s">
        <v>716</v>
      </c>
      <c r="K290" s="1" t="str">
        <f t="shared" si="8"/>
        <v>2009-07-01</v>
      </c>
      <c r="L290">
        <v>9171.6103519999997</v>
      </c>
      <c r="M290" s="4">
        <f t="shared" si="9"/>
        <v>8.5783159938439546E-2</v>
      </c>
    </row>
    <row r="291" spans="1:13" x14ac:dyDescent="0.25">
      <c r="A291" t="s">
        <v>717</v>
      </c>
      <c r="K291" s="1" t="str">
        <f t="shared" si="8"/>
        <v>2009-08-01</v>
      </c>
      <c r="L291">
        <v>9496.2802730000003</v>
      </c>
      <c r="M291" s="4">
        <f t="shared" si="9"/>
        <v>3.5399445521494766E-2</v>
      </c>
    </row>
    <row r="292" spans="1:13" x14ac:dyDescent="0.25">
      <c r="A292" t="s">
        <v>718</v>
      </c>
      <c r="K292" s="1" t="str">
        <f t="shared" si="8"/>
        <v>2009-09-01</v>
      </c>
      <c r="L292">
        <v>9712.2802730000003</v>
      </c>
      <c r="M292" s="4">
        <f t="shared" si="9"/>
        <v>2.2745748207762428E-2</v>
      </c>
    </row>
    <row r="293" spans="1:13" x14ac:dyDescent="0.25">
      <c r="A293" t="s">
        <v>719</v>
      </c>
      <c r="K293" s="1" t="str">
        <f t="shared" si="8"/>
        <v>2009-10-01</v>
      </c>
      <c r="L293">
        <v>9712.7304690000001</v>
      </c>
      <c r="M293" s="4">
        <f t="shared" si="9"/>
        <v>4.6353275167554386E-5</v>
      </c>
    </row>
    <row r="294" spans="1:13" x14ac:dyDescent="0.25">
      <c r="A294" t="s">
        <v>720</v>
      </c>
      <c r="K294" s="1" t="str">
        <f t="shared" si="8"/>
        <v>2009-11-01</v>
      </c>
      <c r="L294">
        <v>10344.839844</v>
      </c>
      <c r="M294" s="4">
        <f t="shared" si="9"/>
        <v>6.5080502029526643E-2</v>
      </c>
    </row>
    <row r="295" spans="1:13" x14ac:dyDescent="0.25">
      <c r="A295" t="s">
        <v>721</v>
      </c>
      <c r="K295" s="1" t="str">
        <f t="shared" si="8"/>
        <v>2009-12-01</v>
      </c>
      <c r="L295">
        <v>10428.049805000001</v>
      </c>
      <c r="M295" s="4">
        <f t="shared" si="9"/>
        <v>8.043620032287091E-3</v>
      </c>
    </row>
    <row r="296" spans="1:13" x14ac:dyDescent="0.25">
      <c r="A296" t="s">
        <v>722</v>
      </c>
      <c r="K296" s="1" t="str">
        <f t="shared" si="8"/>
        <v>2010-01-01</v>
      </c>
      <c r="L296">
        <v>10067.330078000001</v>
      </c>
      <c r="M296" s="4">
        <f t="shared" si="9"/>
        <v>-3.459129307447717E-2</v>
      </c>
    </row>
    <row r="297" spans="1:13" x14ac:dyDescent="0.25">
      <c r="A297" t="s">
        <v>723</v>
      </c>
      <c r="K297" s="1" t="str">
        <f t="shared" si="8"/>
        <v>2010-02-01</v>
      </c>
      <c r="L297">
        <v>10325.259765999999</v>
      </c>
      <c r="M297" s="4">
        <f t="shared" si="9"/>
        <v>2.5620466002564957E-2</v>
      </c>
    </row>
    <row r="298" spans="1:13" x14ac:dyDescent="0.25">
      <c r="A298" t="s">
        <v>724</v>
      </c>
      <c r="K298" s="1" t="str">
        <f t="shared" si="8"/>
        <v>2010-03-01</v>
      </c>
      <c r="L298">
        <v>10856.629883</v>
      </c>
      <c r="M298" s="4">
        <f t="shared" si="9"/>
        <v>5.1463123354024143E-2</v>
      </c>
    </row>
    <row r="299" spans="1:13" x14ac:dyDescent="0.25">
      <c r="A299" t="s">
        <v>725</v>
      </c>
      <c r="K299" s="1" t="str">
        <f t="shared" si="8"/>
        <v>2010-04-01</v>
      </c>
      <c r="L299">
        <v>11008.610352</v>
      </c>
      <c r="M299" s="4">
        <f t="shared" si="9"/>
        <v>1.3998862505019138E-2</v>
      </c>
    </row>
    <row r="300" spans="1:13" x14ac:dyDescent="0.25">
      <c r="A300" t="s">
        <v>726</v>
      </c>
      <c r="K300" s="1" t="str">
        <f t="shared" si="8"/>
        <v>2010-05-01</v>
      </c>
      <c r="L300">
        <v>10136.629883</v>
      </c>
      <c r="M300" s="4">
        <f t="shared" si="9"/>
        <v>-7.9208950187030891E-2</v>
      </c>
    </row>
    <row r="301" spans="1:13" x14ac:dyDescent="0.25">
      <c r="A301" t="s">
        <v>727</v>
      </c>
      <c r="K301" s="1" t="str">
        <f t="shared" si="8"/>
        <v>2010-06-01</v>
      </c>
      <c r="L301">
        <v>9774.0195309999999</v>
      </c>
      <c r="M301" s="4">
        <f t="shared" si="9"/>
        <v>-3.5772278970955473E-2</v>
      </c>
    </row>
    <row r="302" spans="1:13" x14ac:dyDescent="0.25">
      <c r="A302" t="s">
        <v>728</v>
      </c>
      <c r="K302" s="1" t="str">
        <f t="shared" si="8"/>
        <v>2010-07-01</v>
      </c>
      <c r="L302">
        <v>10465.940430000001</v>
      </c>
      <c r="M302" s="4">
        <f t="shared" si="9"/>
        <v>7.0791847387398077E-2</v>
      </c>
    </row>
    <row r="303" spans="1:13" x14ac:dyDescent="0.25">
      <c r="A303" t="s">
        <v>729</v>
      </c>
      <c r="K303" s="1" t="str">
        <f t="shared" si="8"/>
        <v>2010-08-01</v>
      </c>
      <c r="L303">
        <v>10014.719727</v>
      </c>
      <c r="M303" s="4">
        <f t="shared" si="9"/>
        <v>-4.3113249690071132E-2</v>
      </c>
    </row>
    <row r="304" spans="1:13" x14ac:dyDescent="0.25">
      <c r="A304" t="s">
        <v>730</v>
      </c>
      <c r="K304" s="1" t="str">
        <f t="shared" si="8"/>
        <v>2010-09-01</v>
      </c>
      <c r="L304">
        <v>10788.049805000001</v>
      </c>
      <c r="M304" s="4">
        <f t="shared" si="9"/>
        <v>7.7219343035140442E-2</v>
      </c>
    </row>
    <row r="305" spans="1:13" x14ac:dyDescent="0.25">
      <c r="A305" t="s">
        <v>731</v>
      </c>
      <c r="K305" s="1" t="str">
        <f t="shared" si="8"/>
        <v>2010-10-01</v>
      </c>
      <c r="L305">
        <v>11118.490234000001</v>
      </c>
      <c r="M305" s="4">
        <f t="shared" si="9"/>
        <v>3.0630228352009459E-2</v>
      </c>
    </row>
    <row r="306" spans="1:13" x14ac:dyDescent="0.25">
      <c r="A306" t="s">
        <v>732</v>
      </c>
      <c r="K306" s="1" t="str">
        <f t="shared" si="8"/>
        <v>2010-11-01</v>
      </c>
      <c r="L306">
        <v>11006.019531</v>
      </c>
      <c r="M306" s="4">
        <f t="shared" si="9"/>
        <v>-1.0115645256949413E-2</v>
      </c>
    </row>
    <row r="307" spans="1:13" x14ac:dyDescent="0.25">
      <c r="A307" t="s">
        <v>733</v>
      </c>
      <c r="K307" s="1" t="str">
        <f t="shared" si="8"/>
        <v>2010-12-01</v>
      </c>
      <c r="L307">
        <v>11577.509765999999</v>
      </c>
      <c r="M307" s="4">
        <f t="shared" si="9"/>
        <v>5.1925242672004712E-2</v>
      </c>
    </row>
    <row r="308" spans="1:13" x14ac:dyDescent="0.25">
      <c r="A308" t="s">
        <v>734</v>
      </c>
      <c r="K308" s="1" t="str">
        <f t="shared" si="8"/>
        <v>2011-01-01</v>
      </c>
      <c r="L308">
        <v>11891.929688</v>
      </c>
      <c r="M308" s="4">
        <f t="shared" si="9"/>
        <v>2.7157819630899027E-2</v>
      </c>
    </row>
    <row r="309" spans="1:13" x14ac:dyDescent="0.25">
      <c r="A309" t="s">
        <v>735</v>
      </c>
      <c r="K309" s="1" t="str">
        <f t="shared" si="8"/>
        <v>2011-02-01</v>
      </c>
      <c r="L309">
        <v>12226.339844</v>
      </c>
      <c r="M309" s="4">
        <f t="shared" si="9"/>
        <v>2.812076465079083E-2</v>
      </c>
    </row>
    <row r="310" spans="1:13" x14ac:dyDescent="0.25">
      <c r="A310" t="s">
        <v>736</v>
      </c>
      <c r="K310" s="1" t="str">
        <f t="shared" si="8"/>
        <v>2011-03-01</v>
      </c>
      <c r="L310">
        <v>12319.730469</v>
      </c>
      <c r="M310" s="4">
        <f t="shared" si="9"/>
        <v>7.6384777612599208E-3</v>
      </c>
    </row>
    <row r="311" spans="1:13" x14ac:dyDescent="0.25">
      <c r="A311" t="s">
        <v>737</v>
      </c>
      <c r="K311" s="1" t="str">
        <f t="shared" si="8"/>
        <v>2011-04-01</v>
      </c>
      <c r="L311">
        <v>12810.540039</v>
      </c>
      <c r="M311" s="4">
        <f t="shared" si="9"/>
        <v>3.9839310708543296E-2</v>
      </c>
    </row>
    <row r="312" spans="1:13" x14ac:dyDescent="0.25">
      <c r="A312" t="s">
        <v>738</v>
      </c>
      <c r="K312" s="1" t="str">
        <f t="shared" si="8"/>
        <v>2011-05-01</v>
      </c>
      <c r="L312">
        <v>12569.790039</v>
      </c>
      <c r="M312" s="4">
        <f t="shared" si="9"/>
        <v>-1.879311873403211E-2</v>
      </c>
    </row>
    <row r="313" spans="1:13" x14ac:dyDescent="0.25">
      <c r="A313" t="s">
        <v>739</v>
      </c>
      <c r="K313" s="1" t="str">
        <f t="shared" si="8"/>
        <v>2011-06-01</v>
      </c>
      <c r="L313">
        <v>12414.339844</v>
      </c>
      <c r="M313" s="4">
        <f t="shared" si="9"/>
        <v>-1.2366968303980208E-2</v>
      </c>
    </row>
    <row r="314" spans="1:13" x14ac:dyDescent="0.25">
      <c r="A314" t="s">
        <v>740</v>
      </c>
      <c r="K314" s="1" t="str">
        <f t="shared" si="8"/>
        <v>2011-07-01</v>
      </c>
      <c r="L314">
        <v>12143.240234000001</v>
      </c>
      <c r="M314" s="4">
        <f t="shared" si="9"/>
        <v>-2.1837617900481887E-2</v>
      </c>
    </row>
    <row r="315" spans="1:13" x14ac:dyDescent="0.25">
      <c r="A315" t="s">
        <v>741</v>
      </c>
      <c r="K315" s="1" t="str">
        <f t="shared" si="8"/>
        <v>2011-08-01</v>
      </c>
      <c r="L315">
        <v>11613.530273</v>
      </c>
      <c r="M315" s="4">
        <f t="shared" si="9"/>
        <v>-4.3621797048604805E-2</v>
      </c>
    </row>
    <row r="316" spans="1:13" x14ac:dyDescent="0.25">
      <c r="A316" t="s">
        <v>742</v>
      </c>
      <c r="K316" s="1" t="str">
        <f t="shared" si="8"/>
        <v>2011-09-01</v>
      </c>
      <c r="L316">
        <v>10913.379883</v>
      </c>
      <c r="M316" s="4">
        <f t="shared" si="9"/>
        <v>-6.0287472761642702E-2</v>
      </c>
    </row>
    <row r="317" spans="1:13" x14ac:dyDescent="0.25">
      <c r="A317" t="s">
        <v>743</v>
      </c>
      <c r="K317" s="1" t="str">
        <f t="shared" si="8"/>
        <v>2011-10-01</v>
      </c>
      <c r="L317">
        <v>11955.009765999999</v>
      </c>
      <c r="M317" s="4">
        <f t="shared" si="9"/>
        <v>9.5445214421846281E-2</v>
      </c>
    </row>
    <row r="318" spans="1:13" x14ac:dyDescent="0.25">
      <c r="A318" t="s">
        <v>744</v>
      </c>
      <c r="K318" s="1" t="str">
        <f t="shared" si="8"/>
        <v>2011-11-01</v>
      </c>
      <c r="L318">
        <v>12045.679688</v>
      </c>
      <c r="M318" s="4">
        <f t="shared" si="9"/>
        <v>7.5842616421666342E-3</v>
      </c>
    </row>
    <row r="319" spans="1:13" x14ac:dyDescent="0.25">
      <c r="A319" t="s">
        <v>745</v>
      </c>
      <c r="K319" s="1" t="str">
        <f t="shared" si="8"/>
        <v>2011-12-01</v>
      </c>
      <c r="L319">
        <v>12217.559569999999</v>
      </c>
      <c r="M319" s="4">
        <f t="shared" si="9"/>
        <v>1.4269006519509908E-2</v>
      </c>
    </row>
    <row r="320" spans="1:13" x14ac:dyDescent="0.25">
      <c r="A320" t="s">
        <v>746</v>
      </c>
      <c r="K320" s="1" t="str">
        <f t="shared" si="8"/>
        <v>2012-01-01</v>
      </c>
      <c r="L320">
        <v>12632.910156</v>
      </c>
      <c r="M320" s="4">
        <f t="shared" si="9"/>
        <v>3.3996198964307611E-2</v>
      </c>
    </row>
    <row r="321" spans="1:13" x14ac:dyDescent="0.25">
      <c r="A321" t="s">
        <v>747</v>
      </c>
      <c r="K321" s="1" t="str">
        <f t="shared" si="8"/>
        <v>2012-02-01</v>
      </c>
      <c r="L321">
        <v>12952.070313</v>
      </c>
      <c r="M321" s="4">
        <f t="shared" si="9"/>
        <v>2.5264183237178717E-2</v>
      </c>
    </row>
    <row r="322" spans="1:13" x14ac:dyDescent="0.25">
      <c r="A322" t="s">
        <v>748</v>
      </c>
      <c r="K322" s="1" t="str">
        <f t="shared" si="8"/>
        <v>2012-03-01</v>
      </c>
      <c r="L322">
        <v>13212.040039</v>
      </c>
      <c r="M322" s="4">
        <f t="shared" si="9"/>
        <v>2.00716734635904E-2</v>
      </c>
    </row>
    <row r="323" spans="1:13" x14ac:dyDescent="0.25">
      <c r="A323" t="s">
        <v>749</v>
      </c>
      <c r="K323" s="1" t="str">
        <f t="shared" ref="K323:K386" si="10">LEFT(A323,10)</f>
        <v>2012-04-01</v>
      </c>
      <c r="L323">
        <v>13213.629883</v>
      </c>
      <c r="M323" s="4">
        <f t="shared" si="9"/>
        <v>1.2033296866387211E-4</v>
      </c>
    </row>
    <row r="324" spans="1:13" x14ac:dyDescent="0.25">
      <c r="A324" t="s">
        <v>750</v>
      </c>
      <c r="K324" s="1" t="str">
        <f t="shared" si="10"/>
        <v>2012-05-01</v>
      </c>
      <c r="L324">
        <v>12393.450194999999</v>
      </c>
      <c r="M324" s="4">
        <f t="shared" ref="M324:M387" si="11">(L324/L323)-1</f>
        <v>-6.2070732664852524E-2</v>
      </c>
    </row>
    <row r="325" spans="1:13" x14ac:dyDescent="0.25">
      <c r="A325" t="s">
        <v>751</v>
      </c>
      <c r="K325" s="1" t="str">
        <f t="shared" si="10"/>
        <v>2012-06-01</v>
      </c>
      <c r="L325">
        <v>12880.089844</v>
      </c>
      <c r="M325" s="4">
        <f t="shared" si="11"/>
        <v>3.9265873614139357E-2</v>
      </c>
    </row>
    <row r="326" spans="1:13" x14ac:dyDescent="0.25">
      <c r="A326" t="s">
        <v>752</v>
      </c>
      <c r="K326" s="1" t="str">
        <f t="shared" si="10"/>
        <v>2012-07-01</v>
      </c>
      <c r="L326">
        <v>13008.679688</v>
      </c>
      <c r="M326" s="4">
        <f t="shared" si="11"/>
        <v>9.9836139000148982E-3</v>
      </c>
    </row>
    <row r="327" spans="1:13" x14ac:dyDescent="0.25">
      <c r="A327" t="s">
        <v>753</v>
      </c>
      <c r="K327" s="1" t="str">
        <f t="shared" si="10"/>
        <v>2012-08-01</v>
      </c>
      <c r="L327">
        <v>13090.839844</v>
      </c>
      <c r="M327" s="4">
        <f t="shared" si="11"/>
        <v>6.3157951437446957E-3</v>
      </c>
    </row>
    <row r="328" spans="1:13" x14ac:dyDescent="0.25">
      <c r="A328" t="s">
        <v>754</v>
      </c>
      <c r="K328" s="1" t="str">
        <f t="shared" si="10"/>
        <v>2012-09-01</v>
      </c>
      <c r="L328">
        <v>13437.129883</v>
      </c>
      <c r="M328" s="4">
        <f t="shared" si="11"/>
        <v>2.6452851240000186E-2</v>
      </c>
    </row>
    <row r="329" spans="1:13" x14ac:dyDescent="0.25">
      <c r="A329" t="s">
        <v>755</v>
      </c>
      <c r="K329" s="1" t="str">
        <f t="shared" si="10"/>
        <v>2012-10-01</v>
      </c>
      <c r="L329">
        <v>13096.459961</v>
      </c>
      <c r="M329" s="4">
        <f t="shared" si="11"/>
        <v>-2.5352878551170188E-2</v>
      </c>
    </row>
    <row r="330" spans="1:13" x14ac:dyDescent="0.25">
      <c r="A330" t="s">
        <v>756</v>
      </c>
      <c r="K330" s="1" t="str">
        <f t="shared" si="10"/>
        <v>2012-11-01</v>
      </c>
      <c r="L330">
        <v>13025.580078000001</v>
      </c>
      <c r="M330" s="4">
        <f t="shared" si="11"/>
        <v>-5.4121406251057547E-3</v>
      </c>
    </row>
    <row r="331" spans="1:13" x14ac:dyDescent="0.25">
      <c r="A331" t="s">
        <v>757</v>
      </c>
      <c r="K331" s="1" t="str">
        <f t="shared" si="10"/>
        <v>2012-12-01</v>
      </c>
      <c r="L331">
        <v>13104.139648</v>
      </c>
      <c r="M331" s="4">
        <f t="shared" si="11"/>
        <v>6.031176310733688E-3</v>
      </c>
    </row>
    <row r="332" spans="1:13" x14ac:dyDescent="0.25">
      <c r="A332" t="s">
        <v>758</v>
      </c>
      <c r="K332" s="1" t="str">
        <f t="shared" si="10"/>
        <v>2013-01-01</v>
      </c>
      <c r="L332">
        <v>13860.580078000001</v>
      </c>
      <c r="M332" s="4">
        <f t="shared" si="11"/>
        <v>5.7725302867590589E-2</v>
      </c>
    </row>
    <row r="333" spans="1:13" x14ac:dyDescent="0.25">
      <c r="A333" t="s">
        <v>759</v>
      </c>
      <c r="K333" s="1" t="str">
        <f t="shared" si="10"/>
        <v>2013-02-01</v>
      </c>
      <c r="L333">
        <v>14054.490234000001</v>
      </c>
      <c r="M333" s="4">
        <f t="shared" si="11"/>
        <v>1.3990046225250019E-2</v>
      </c>
    </row>
    <row r="334" spans="1:13" x14ac:dyDescent="0.25">
      <c r="A334" t="s">
        <v>760</v>
      </c>
      <c r="K334" s="1" t="str">
        <f t="shared" si="10"/>
        <v>2013-03-01</v>
      </c>
      <c r="L334">
        <v>14578.540039</v>
      </c>
      <c r="M334" s="4">
        <f t="shared" si="11"/>
        <v>3.7287001966975764E-2</v>
      </c>
    </row>
    <row r="335" spans="1:13" x14ac:dyDescent="0.25">
      <c r="A335" t="s">
        <v>761</v>
      </c>
      <c r="K335" s="1" t="str">
        <f t="shared" si="10"/>
        <v>2013-04-01</v>
      </c>
      <c r="L335">
        <v>14839.799805000001</v>
      </c>
      <c r="M335" s="4">
        <f t="shared" si="11"/>
        <v>1.7920845660888363E-2</v>
      </c>
    </row>
    <row r="336" spans="1:13" x14ac:dyDescent="0.25">
      <c r="A336" t="s">
        <v>762</v>
      </c>
      <c r="K336" s="1" t="str">
        <f t="shared" si="10"/>
        <v>2013-05-01</v>
      </c>
      <c r="L336">
        <v>15115.570313</v>
      </c>
      <c r="M336" s="4">
        <f t="shared" si="11"/>
        <v>1.858316902004864E-2</v>
      </c>
    </row>
    <row r="337" spans="1:13" x14ac:dyDescent="0.25">
      <c r="A337" t="s">
        <v>763</v>
      </c>
      <c r="K337" s="1" t="str">
        <f t="shared" si="10"/>
        <v>2013-06-01</v>
      </c>
      <c r="L337">
        <v>14909.599609000001</v>
      </c>
      <c r="M337" s="4">
        <f t="shared" si="11"/>
        <v>-1.3626393165123041E-2</v>
      </c>
    </row>
    <row r="338" spans="1:13" x14ac:dyDescent="0.25">
      <c r="A338" t="s">
        <v>764</v>
      </c>
      <c r="K338" s="1" t="str">
        <f t="shared" si="10"/>
        <v>2013-07-01</v>
      </c>
      <c r="L338">
        <v>15499.540039</v>
      </c>
      <c r="M338" s="4">
        <f t="shared" si="11"/>
        <v>3.9567825124149358E-2</v>
      </c>
    </row>
    <row r="339" spans="1:13" x14ac:dyDescent="0.25">
      <c r="A339" t="s">
        <v>765</v>
      </c>
      <c r="K339" s="1" t="str">
        <f t="shared" si="10"/>
        <v>2013-08-01</v>
      </c>
      <c r="L339">
        <v>14810.309569999999</v>
      </c>
      <c r="M339" s="4">
        <f t="shared" si="11"/>
        <v>-4.4467801448672351E-2</v>
      </c>
    </row>
    <row r="340" spans="1:13" x14ac:dyDescent="0.25">
      <c r="A340" t="s">
        <v>766</v>
      </c>
      <c r="K340" s="1" t="str">
        <f t="shared" si="10"/>
        <v>2013-09-01</v>
      </c>
      <c r="L340">
        <v>15129.669921999999</v>
      </c>
      <c r="M340" s="4">
        <f t="shared" si="11"/>
        <v>2.1563381271037185E-2</v>
      </c>
    </row>
    <row r="341" spans="1:13" x14ac:dyDescent="0.25">
      <c r="A341" t="s">
        <v>767</v>
      </c>
      <c r="K341" s="1" t="str">
        <f t="shared" si="10"/>
        <v>2013-10-01</v>
      </c>
      <c r="L341">
        <v>15545.75</v>
      </c>
      <c r="M341" s="4">
        <f t="shared" si="11"/>
        <v>2.7500935588487652E-2</v>
      </c>
    </row>
    <row r="342" spans="1:13" x14ac:dyDescent="0.25">
      <c r="A342" t="s">
        <v>768</v>
      </c>
      <c r="K342" s="1" t="str">
        <f t="shared" si="10"/>
        <v>2013-11-01</v>
      </c>
      <c r="L342">
        <v>16086.410156</v>
      </c>
      <c r="M342" s="4">
        <f t="shared" si="11"/>
        <v>3.4778647283019382E-2</v>
      </c>
    </row>
    <row r="343" spans="1:13" x14ac:dyDescent="0.25">
      <c r="A343" t="s">
        <v>769</v>
      </c>
      <c r="K343" s="1" t="str">
        <f t="shared" si="10"/>
        <v>2013-12-01</v>
      </c>
      <c r="L343">
        <v>16576.660156000002</v>
      </c>
      <c r="M343" s="4">
        <f t="shared" si="11"/>
        <v>3.0476035065980511E-2</v>
      </c>
    </row>
    <row r="344" spans="1:13" x14ac:dyDescent="0.25">
      <c r="A344" t="s">
        <v>770</v>
      </c>
      <c r="K344" s="1" t="str">
        <f t="shared" si="10"/>
        <v>2014-01-01</v>
      </c>
      <c r="L344">
        <v>15698.849609000001</v>
      </c>
      <c r="M344" s="4">
        <f t="shared" si="11"/>
        <v>-5.2954608391502345E-2</v>
      </c>
    </row>
    <row r="345" spans="1:13" x14ac:dyDescent="0.25">
      <c r="A345" t="s">
        <v>771</v>
      </c>
      <c r="K345" s="1" t="str">
        <f t="shared" si="10"/>
        <v>2014-02-01</v>
      </c>
      <c r="L345">
        <v>16321.709961</v>
      </c>
      <c r="M345" s="4">
        <f t="shared" si="11"/>
        <v>3.9675541043652007E-2</v>
      </c>
    </row>
    <row r="346" spans="1:13" x14ac:dyDescent="0.25">
      <c r="A346" t="s">
        <v>772</v>
      </c>
      <c r="K346" s="1" t="str">
        <f t="shared" si="10"/>
        <v>2014-03-01</v>
      </c>
      <c r="L346">
        <v>16457.660156000002</v>
      </c>
      <c r="M346" s="4">
        <f t="shared" si="11"/>
        <v>8.3294088257204191E-3</v>
      </c>
    </row>
    <row r="347" spans="1:13" x14ac:dyDescent="0.25">
      <c r="A347" t="s">
        <v>773</v>
      </c>
      <c r="K347" s="1" t="str">
        <f t="shared" si="10"/>
        <v>2014-04-01</v>
      </c>
      <c r="L347">
        <v>16580.839843999998</v>
      </c>
      <c r="M347" s="4">
        <f t="shared" si="11"/>
        <v>7.4846416095843971E-3</v>
      </c>
    </row>
    <row r="348" spans="1:13" x14ac:dyDescent="0.25">
      <c r="A348" t="s">
        <v>774</v>
      </c>
      <c r="K348" s="1" t="str">
        <f t="shared" si="10"/>
        <v>2014-05-01</v>
      </c>
      <c r="L348">
        <v>16717.169922000001</v>
      </c>
      <c r="M348" s="4">
        <f t="shared" si="11"/>
        <v>8.2221455175164326E-3</v>
      </c>
    </row>
    <row r="349" spans="1:13" x14ac:dyDescent="0.25">
      <c r="A349" t="s">
        <v>775</v>
      </c>
      <c r="K349" s="1" t="str">
        <f t="shared" si="10"/>
        <v>2014-06-01</v>
      </c>
      <c r="L349">
        <v>16826.599609000001</v>
      </c>
      <c r="M349" s="4">
        <f t="shared" si="11"/>
        <v>6.545945725896507E-3</v>
      </c>
    </row>
    <row r="350" spans="1:13" x14ac:dyDescent="0.25">
      <c r="A350" t="s">
        <v>776</v>
      </c>
      <c r="K350" s="1" t="str">
        <f t="shared" si="10"/>
        <v>2014-07-01</v>
      </c>
      <c r="L350">
        <v>16563.300781000002</v>
      </c>
      <c r="M350" s="4">
        <f t="shared" si="11"/>
        <v>-1.5647774007718662E-2</v>
      </c>
    </row>
    <row r="351" spans="1:13" x14ac:dyDescent="0.25">
      <c r="A351" t="s">
        <v>777</v>
      </c>
      <c r="K351" s="1" t="str">
        <f t="shared" si="10"/>
        <v>2014-08-01</v>
      </c>
      <c r="L351">
        <v>17098.449218999998</v>
      </c>
      <c r="M351" s="4">
        <f t="shared" si="11"/>
        <v>3.2309286963735584E-2</v>
      </c>
    </row>
    <row r="352" spans="1:13" x14ac:dyDescent="0.25">
      <c r="A352" t="s">
        <v>778</v>
      </c>
      <c r="K352" s="1" t="str">
        <f t="shared" si="10"/>
        <v>2014-09-01</v>
      </c>
      <c r="L352">
        <v>17042.900390999999</v>
      </c>
      <c r="M352" s="4">
        <f t="shared" si="11"/>
        <v>-3.2487641006806456E-3</v>
      </c>
    </row>
    <row r="353" spans="1:13" x14ac:dyDescent="0.25">
      <c r="A353" t="s">
        <v>779</v>
      </c>
      <c r="K353" s="1" t="str">
        <f t="shared" si="10"/>
        <v>2014-10-01</v>
      </c>
      <c r="L353">
        <v>17390.519531000002</v>
      </c>
      <c r="M353" s="4">
        <f t="shared" si="11"/>
        <v>2.0396712532778416E-2</v>
      </c>
    </row>
    <row r="354" spans="1:13" x14ac:dyDescent="0.25">
      <c r="A354" t="s">
        <v>780</v>
      </c>
      <c r="K354" s="1" t="str">
        <f t="shared" si="10"/>
        <v>2014-11-01</v>
      </c>
      <c r="L354">
        <v>17828.240234000001</v>
      </c>
      <c r="M354" s="4">
        <f t="shared" si="11"/>
        <v>2.5170076271713748E-2</v>
      </c>
    </row>
    <row r="355" spans="1:13" x14ac:dyDescent="0.25">
      <c r="A355" t="s">
        <v>781</v>
      </c>
      <c r="K355" s="1" t="str">
        <f t="shared" si="10"/>
        <v>2014-12-01</v>
      </c>
      <c r="L355">
        <v>17823.070313</v>
      </c>
      <c r="M355" s="4">
        <f t="shared" si="11"/>
        <v>-2.8998493020870875E-4</v>
      </c>
    </row>
    <row r="356" spans="1:13" x14ac:dyDescent="0.25">
      <c r="A356" t="s">
        <v>782</v>
      </c>
      <c r="K356" s="1" t="str">
        <f t="shared" si="10"/>
        <v>2015-01-01</v>
      </c>
      <c r="L356">
        <v>17164.949218999998</v>
      </c>
      <c r="M356" s="4">
        <f t="shared" si="11"/>
        <v>-3.6925236922842331E-2</v>
      </c>
    </row>
    <row r="357" spans="1:13" x14ac:dyDescent="0.25">
      <c r="A357" t="s">
        <v>783</v>
      </c>
      <c r="K357" s="1" t="str">
        <f t="shared" si="10"/>
        <v>2015-02-01</v>
      </c>
      <c r="L357">
        <v>18132.699218999998</v>
      </c>
      <c r="M357" s="4">
        <f t="shared" si="11"/>
        <v>5.6379426915448727E-2</v>
      </c>
    </row>
    <row r="358" spans="1:13" x14ac:dyDescent="0.25">
      <c r="A358" t="s">
        <v>784</v>
      </c>
      <c r="K358" s="1" t="str">
        <f t="shared" si="10"/>
        <v>2015-03-01</v>
      </c>
      <c r="L358">
        <v>17776.119140999999</v>
      </c>
      <c r="M358" s="4">
        <f t="shared" si="11"/>
        <v>-1.9665030213834034E-2</v>
      </c>
    </row>
    <row r="359" spans="1:13" x14ac:dyDescent="0.25">
      <c r="A359" t="s">
        <v>785</v>
      </c>
      <c r="K359" s="1" t="str">
        <f t="shared" si="10"/>
        <v>2015-04-01</v>
      </c>
      <c r="L359">
        <v>17840.519531000002</v>
      </c>
      <c r="M359" s="4">
        <f t="shared" si="11"/>
        <v>3.6228599442420517E-3</v>
      </c>
    </row>
    <row r="360" spans="1:13" x14ac:dyDescent="0.25">
      <c r="A360" t="s">
        <v>786</v>
      </c>
      <c r="K360" s="1" t="str">
        <f t="shared" si="10"/>
        <v>2015-05-01</v>
      </c>
      <c r="L360">
        <v>18010.679688</v>
      </c>
      <c r="M360" s="4">
        <f t="shared" si="11"/>
        <v>9.5378476341074769E-3</v>
      </c>
    </row>
    <row r="361" spans="1:13" x14ac:dyDescent="0.25">
      <c r="A361" t="s">
        <v>787</v>
      </c>
      <c r="K361" s="1" t="str">
        <f t="shared" si="10"/>
        <v>2015-06-01</v>
      </c>
      <c r="L361">
        <v>17619.509765999999</v>
      </c>
      <c r="M361" s="4">
        <f t="shared" si="11"/>
        <v>-2.1718776235892245E-2</v>
      </c>
    </row>
    <row r="362" spans="1:13" x14ac:dyDescent="0.25">
      <c r="A362" t="s">
        <v>788</v>
      </c>
      <c r="K362" s="1" t="str">
        <f t="shared" si="10"/>
        <v>2015-07-01</v>
      </c>
      <c r="L362">
        <v>17689.859375</v>
      </c>
      <c r="M362" s="4">
        <f t="shared" si="11"/>
        <v>3.9927109172896991E-3</v>
      </c>
    </row>
    <row r="363" spans="1:13" x14ac:dyDescent="0.25">
      <c r="A363" t="s">
        <v>789</v>
      </c>
      <c r="K363" s="1" t="str">
        <f t="shared" si="10"/>
        <v>2015-08-01</v>
      </c>
      <c r="L363">
        <v>16528.029297000001</v>
      </c>
      <c r="M363" s="4">
        <f t="shared" si="11"/>
        <v>-6.5677745276027655E-2</v>
      </c>
    </row>
    <row r="364" spans="1:13" x14ac:dyDescent="0.25">
      <c r="A364" t="s">
        <v>790</v>
      </c>
      <c r="K364" s="1" t="str">
        <f t="shared" si="10"/>
        <v>2015-09-01</v>
      </c>
      <c r="L364">
        <v>16284.700194999999</v>
      </c>
      <c r="M364" s="4">
        <f t="shared" si="11"/>
        <v>-1.4722209020053501E-2</v>
      </c>
    </row>
    <row r="365" spans="1:13" x14ac:dyDescent="0.25">
      <c r="A365" t="s">
        <v>791</v>
      </c>
      <c r="K365" s="1" t="str">
        <f t="shared" si="10"/>
        <v>2015-10-01</v>
      </c>
      <c r="L365">
        <v>17663.539063</v>
      </c>
      <c r="M365" s="4">
        <f t="shared" si="11"/>
        <v>8.4670816870386911E-2</v>
      </c>
    </row>
    <row r="366" spans="1:13" x14ac:dyDescent="0.25">
      <c r="A366" t="s">
        <v>792</v>
      </c>
      <c r="K366" s="1" t="str">
        <f t="shared" si="10"/>
        <v>2015-11-01</v>
      </c>
      <c r="L366">
        <v>17719.919922000001</v>
      </c>
      <c r="M366" s="4">
        <f t="shared" si="11"/>
        <v>3.191934458825596E-3</v>
      </c>
    </row>
    <row r="367" spans="1:13" x14ac:dyDescent="0.25">
      <c r="A367" t="s">
        <v>793</v>
      </c>
      <c r="K367" s="1" t="str">
        <f t="shared" si="10"/>
        <v>2015-12-01</v>
      </c>
      <c r="L367">
        <v>17425.029297000001</v>
      </c>
      <c r="M367" s="4">
        <f t="shared" si="11"/>
        <v>-1.6641758331756407E-2</v>
      </c>
    </row>
    <row r="368" spans="1:13" x14ac:dyDescent="0.25">
      <c r="A368" t="s">
        <v>794</v>
      </c>
      <c r="K368" s="1" t="str">
        <f t="shared" si="10"/>
        <v>2016-01-01</v>
      </c>
      <c r="L368">
        <v>16466.300781000002</v>
      </c>
      <c r="M368" s="4">
        <f t="shared" si="11"/>
        <v>-5.5020195355715118E-2</v>
      </c>
    </row>
    <row r="369" spans="1:13" x14ac:dyDescent="0.25">
      <c r="A369" t="s">
        <v>795</v>
      </c>
      <c r="K369" s="1" t="str">
        <f t="shared" si="10"/>
        <v>2016-02-01</v>
      </c>
      <c r="L369">
        <v>16516.5</v>
      </c>
      <c r="M369" s="4">
        <f t="shared" si="11"/>
        <v>3.0486033060881379E-3</v>
      </c>
    </row>
    <row r="370" spans="1:13" x14ac:dyDescent="0.25">
      <c r="A370" t="s">
        <v>796</v>
      </c>
      <c r="K370" s="1" t="str">
        <f t="shared" si="10"/>
        <v>2016-03-01</v>
      </c>
      <c r="L370">
        <v>17685.089843999998</v>
      </c>
      <c r="M370" s="4">
        <f t="shared" si="11"/>
        <v>7.0752874035055813E-2</v>
      </c>
    </row>
    <row r="371" spans="1:13" x14ac:dyDescent="0.25">
      <c r="A371" t="s">
        <v>797</v>
      </c>
      <c r="K371" s="1" t="str">
        <f t="shared" si="10"/>
        <v>2016-04-01</v>
      </c>
      <c r="L371">
        <v>17773.640625</v>
      </c>
      <c r="M371" s="4">
        <f t="shared" si="11"/>
        <v>5.0070868613678599E-3</v>
      </c>
    </row>
    <row r="372" spans="1:13" x14ac:dyDescent="0.25">
      <c r="A372" t="s">
        <v>798</v>
      </c>
      <c r="K372" s="1" t="str">
        <f t="shared" si="10"/>
        <v>2016-05-01</v>
      </c>
      <c r="L372">
        <v>17787.199218999998</v>
      </c>
      <c r="M372" s="4">
        <f t="shared" si="11"/>
        <v>7.6284843865503937E-4</v>
      </c>
    </row>
    <row r="373" spans="1:13" x14ac:dyDescent="0.25">
      <c r="A373" t="s">
        <v>799</v>
      </c>
      <c r="K373" s="1" t="str">
        <f t="shared" si="10"/>
        <v>2016-06-01</v>
      </c>
      <c r="L373">
        <v>17929.990234000001</v>
      </c>
      <c r="M373" s="4">
        <f t="shared" si="11"/>
        <v>8.0277402440893653E-3</v>
      </c>
    </row>
    <row r="374" spans="1:13" x14ac:dyDescent="0.25">
      <c r="A374" t="s">
        <v>800</v>
      </c>
      <c r="K374" s="1" t="str">
        <f t="shared" si="10"/>
        <v>2016-07-01</v>
      </c>
      <c r="L374">
        <v>18432.240234000001</v>
      </c>
      <c r="M374" s="4">
        <f t="shared" si="11"/>
        <v>2.8011727471418224E-2</v>
      </c>
    </row>
    <row r="375" spans="1:13" x14ac:dyDescent="0.25">
      <c r="A375" t="s">
        <v>801</v>
      </c>
      <c r="K375" s="1" t="str">
        <f t="shared" si="10"/>
        <v>2016-08-01</v>
      </c>
      <c r="L375">
        <v>18400.880859000001</v>
      </c>
      <c r="M375" s="4">
        <f t="shared" si="11"/>
        <v>-1.7013328060988542E-3</v>
      </c>
    </row>
    <row r="376" spans="1:13" x14ac:dyDescent="0.25">
      <c r="A376" t="s">
        <v>802</v>
      </c>
      <c r="K376" s="1" t="str">
        <f t="shared" si="10"/>
        <v>2016-09-01</v>
      </c>
      <c r="L376">
        <v>18308.150390999999</v>
      </c>
      <c r="M376" s="4">
        <f t="shared" si="11"/>
        <v>-5.0394580949990608E-3</v>
      </c>
    </row>
    <row r="377" spans="1:13" x14ac:dyDescent="0.25">
      <c r="A377" t="s">
        <v>803</v>
      </c>
      <c r="K377" s="1" t="str">
        <f t="shared" si="10"/>
        <v>2016-10-01</v>
      </c>
      <c r="L377">
        <v>18142.419922000001</v>
      </c>
      <c r="M377" s="4">
        <f t="shared" si="11"/>
        <v>-9.0522781089600324E-3</v>
      </c>
    </row>
    <row r="378" spans="1:13" x14ac:dyDescent="0.25">
      <c r="A378" t="s">
        <v>804</v>
      </c>
      <c r="K378" s="1" t="str">
        <f t="shared" si="10"/>
        <v>2016-11-01</v>
      </c>
      <c r="L378">
        <v>19123.580077999999</v>
      </c>
      <c r="M378" s="4">
        <f t="shared" si="11"/>
        <v>5.4080996924242619E-2</v>
      </c>
    </row>
    <row r="379" spans="1:13" x14ac:dyDescent="0.25">
      <c r="A379" t="s">
        <v>805</v>
      </c>
      <c r="K379" s="1" t="str">
        <f t="shared" si="10"/>
        <v>2016-12-01</v>
      </c>
      <c r="L379">
        <v>19762.599609000001</v>
      </c>
      <c r="M379" s="4">
        <f t="shared" si="11"/>
        <v>3.3415266827320655E-2</v>
      </c>
    </row>
    <row r="380" spans="1:13" x14ac:dyDescent="0.25">
      <c r="A380" t="s">
        <v>806</v>
      </c>
      <c r="K380" s="1" t="str">
        <f t="shared" si="10"/>
        <v>2017-01-01</v>
      </c>
      <c r="L380">
        <v>19864.089843999998</v>
      </c>
      <c r="M380" s="4">
        <f t="shared" si="11"/>
        <v>5.1354698778482977E-3</v>
      </c>
    </row>
    <row r="381" spans="1:13" x14ac:dyDescent="0.25">
      <c r="A381" t="s">
        <v>807</v>
      </c>
      <c r="K381" s="1" t="str">
        <f t="shared" si="10"/>
        <v>2017-02-01</v>
      </c>
      <c r="L381">
        <v>20812.240234000001</v>
      </c>
      <c r="M381" s="4">
        <f t="shared" si="11"/>
        <v>4.7731881875594517E-2</v>
      </c>
    </row>
    <row r="382" spans="1:13" x14ac:dyDescent="0.25">
      <c r="A382" t="s">
        <v>808</v>
      </c>
      <c r="K382" s="1" t="str">
        <f t="shared" si="10"/>
        <v>2017-03-01</v>
      </c>
      <c r="L382">
        <v>20663.220702999999</v>
      </c>
      <c r="M382" s="4">
        <f t="shared" si="11"/>
        <v>-7.1601869536637164E-3</v>
      </c>
    </row>
    <row r="383" spans="1:13" x14ac:dyDescent="0.25">
      <c r="A383" t="s">
        <v>809</v>
      </c>
      <c r="K383" s="1" t="str">
        <f t="shared" si="10"/>
        <v>2017-04-01</v>
      </c>
      <c r="L383">
        <v>20940.509765999999</v>
      </c>
      <c r="M383" s="4">
        <f t="shared" si="11"/>
        <v>1.3419450287328161E-2</v>
      </c>
    </row>
    <row r="384" spans="1:13" x14ac:dyDescent="0.25">
      <c r="A384" t="s">
        <v>810</v>
      </c>
      <c r="K384" s="1" t="str">
        <f t="shared" si="10"/>
        <v>2017-05-01</v>
      </c>
      <c r="L384">
        <v>21008.650390999999</v>
      </c>
      <c r="M384" s="4">
        <f t="shared" si="11"/>
        <v>3.2540098479663104E-3</v>
      </c>
    </row>
    <row r="385" spans="1:13" x14ac:dyDescent="0.25">
      <c r="A385" t="s">
        <v>811</v>
      </c>
      <c r="K385" s="1" t="str">
        <f t="shared" si="10"/>
        <v>2017-06-01</v>
      </c>
      <c r="L385">
        <v>21349.630859000001</v>
      </c>
      <c r="M385" s="4">
        <f t="shared" si="11"/>
        <v>1.6230479428896327E-2</v>
      </c>
    </row>
    <row r="386" spans="1:13" x14ac:dyDescent="0.25">
      <c r="A386" t="s">
        <v>812</v>
      </c>
      <c r="K386" s="1" t="str">
        <f t="shared" si="10"/>
        <v>2017-07-01</v>
      </c>
      <c r="L386">
        <v>21891.119140999999</v>
      </c>
      <c r="M386" s="4">
        <f t="shared" si="11"/>
        <v>2.5362887329348549E-2</v>
      </c>
    </row>
    <row r="387" spans="1:13" x14ac:dyDescent="0.25">
      <c r="A387" t="s">
        <v>813</v>
      </c>
      <c r="K387" s="1" t="str">
        <f t="shared" ref="K387:K422" si="12">LEFT(A387,10)</f>
        <v>2017-08-01</v>
      </c>
      <c r="L387">
        <v>21948.099609000001</v>
      </c>
      <c r="M387" s="4">
        <f t="shared" si="11"/>
        <v>2.6029033798131707E-3</v>
      </c>
    </row>
    <row r="388" spans="1:13" x14ac:dyDescent="0.25">
      <c r="A388" t="s">
        <v>814</v>
      </c>
      <c r="K388" s="1" t="str">
        <f t="shared" si="12"/>
        <v>2017-09-01</v>
      </c>
      <c r="L388">
        <v>22405.089843999998</v>
      </c>
      <c r="M388" s="4">
        <f t="shared" ref="M388:M422" si="13">(L388/L387)-1</f>
        <v>2.082140336253091E-2</v>
      </c>
    </row>
    <row r="389" spans="1:13" x14ac:dyDescent="0.25">
      <c r="A389" t="s">
        <v>815</v>
      </c>
      <c r="K389" s="1" t="str">
        <f t="shared" si="12"/>
        <v>2017-10-01</v>
      </c>
      <c r="L389">
        <v>23377.240234000001</v>
      </c>
      <c r="M389" s="4">
        <f t="shared" si="13"/>
        <v>4.3389711747143123E-2</v>
      </c>
    </row>
    <row r="390" spans="1:13" x14ac:dyDescent="0.25">
      <c r="A390" t="s">
        <v>816</v>
      </c>
      <c r="K390" s="1" t="str">
        <f t="shared" si="12"/>
        <v>2017-11-01</v>
      </c>
      <c r="L390">
        <v>24272.349609000001</v>
      </c>
      <c r="M390" s="4">
        <f t="shared" si="13"/>
        <v>3.8289779547978853E-2</v>
      </c>
    </row>
    <row r="391" spans="1:13" x14ac:dyDescent="0.25">
      <c r="A391" t="s">
        <v>817</v>
      </c>
      <c r="K391" s="1" t="str">
        <f t="shared" si="12"/>
        <v>2017-12-01</v>
      </c>
      <c r="L391">
        <v>24719.220702999999</v>
      </c>
      <c r="M391" s="4">
        <f t="shared" si="13"/>
        <v>1.8410706058481496E-2</v>
      </c>
    </row>
    <row r="392" spans="1:13" x14ac:dyDescent="0.25">
      <c r="A392" t="s">
        <v>818</v>
      </c>
      <c r="K392" s="1" t="str">
        <f t="shared" si="12"/>
        <v>2018-01-01</v>
      </c>
      <c r="L392">
        <v>26149.390625</v>
      </c>
      <c r="M392" s="4">
        <f t="shared" si="13"/>
        <v>5.7856594234236169E-2</v>
      </c>
    </row>
    <row r="393" spans="1:13" x14ac:dyDescent="0.25">
      <c r="A393" t="s">
        <v>819</v>
      </c>
      <c r="K393" s="1" t="str">
        <f t="shared" si="12"/>
        <v>2018-02-01</v>
      </c>
      <c r="L393">
        <v>25029.199218999998</v>
      </c>
      <c r="M393" s="4">
        <f t="shared" si="13"/>
        <v>-4.2838145716827869E-2</v>
      </c>
    </row>
    <row r="394" spans="1:13" x14ac:dyDescent="0.25">
      <c r="A394" t="s">
        <v>820</v>
      </c>
      <c r="K394" s="1" t="str">
        <f t="shared" si="12"/>
        <v>2018-03-01</v>
      </c>
      <c r="L394">
        <v>24103.109375</v>
      </c>
      <c r="M394" s="4">
        <f t="shared" si="13"/>
        <v>-3.7000378473834306E-2</v>
      </c>
    </row>
    <row r="395" spans="1:13" x14ac:dyDescent="0.25">
      <c r="A395" t="s">
        <v>821</v>
      </c>
      <c r="K395" s="1" t="str">
        <f t="shared" si="12"/>
        <v>2018-04-01</v>
      </c>
      <c r="L395">
        <v>24163.150390999999</v>
      </c>
      <c r="M395" s="4">
        <f t="shared" si="13"/>
        <v>2.4910070757209191E-3</v>
      </c>
    </row>
    <row r="396" spans="1:13" x14ac:dyDescent="0.25">
      <c r="A396" t="s">
        <v>822</v>
      </c>
      <c r="K396" s="1" t="str">
        <f t="shared" si="12"/>
        <v>2018-05-01</v>
      </c>
      <c r="L396">
        <v>24415.839843999998</v>
      </c>
      <c r="M396" s="4">
        <f t="shared" si="13"/>
        <v>1.0457636893826505E-2</v>
      </c>
    </row>
    <row r="397" spans="1:13" x14ac:dyDescent="0.25">
      <c r="A397" t="s">
        <v>823</v>
      </c>
      <c r="K397" s="1" t="str">
        <f t="shared" si="12"/>
        <v>2018-06-01</v>
      </c>
      <c r="L397">
        <v>24271.410156000002</v>
      </c>
      <c r="M397" s="4">
        <f t="shared" si="13"/>
        <v>-5.9154093786165651E-3</v>
      </c>
    </row>
    <row r="398" spans="1:13" x14ac:dyDescent="0.25">
      <c r="A398" t="s">
        <v>824</v>
      </c>
      <c r="K398" s="1" t="str">
        <f t="shared" si="12"/>
        <v>2018-07-01</v>
      </c>
      <c r="L398">
        <v>25415.189452999999</v>
      </c>
      <c r="M398" s="4">
        <f t="shared" si="13"/>
        <v>4.7124550639973783E-2</v>
      </c>
    </row>
    <row r="399" spans="1:13" x14ac:dyDescent="0.25">
      <c r="A399" t="s">
        <v>825</v>
      </c>
      <c r="K399" s="1" t="str">
        <f t="shared" si="12"/>
        <v>2018-08-01</v>
      </c>
      <c r="L399">
        <v>25964.820313</v>
      </c>
      <c r="M399" s="4">
        <f t="shared" si="13"/>
        <v>2.1626077626390572E-2</v>
      </c>
    </row>
    <row r="400" spans="1:13" x14ac:dyDescent="0.25">
      <c r="A400" t="s">
        <v>826</v>
      </c>
      <c r="K400" s="1" t="str">
        <f t="shared" si="12"/>
        <v>2018-09-01</v>
      </c>
      <c r="L400">
        <v>26458.310547000001</v>
      </c>
      <c r="M400" s="4">
        <f t="shared" si="13"/>
        <v>1.9006110115575181E-2</v>
      </c>
    </row>
    <row r="401" spans="1:13" x14ac:dyDescent="0.25">
      <c r="A401" t="s">
        <v>827</v>
      </c>
      <c r="K401" s="1" t="str">
        <f t="shared" si="12"/>
        <v>2018-10-01</v>
      </c>
      <c r="L401">
        <v>25115.759765999999</v>
      </c>
      <c r="M401" s="4">
        <f t="shared" si="13"/>
        <v>-5.0742120462118012E-2</v>
      </c>
    </row>
    <row r="402" spans="1:13" x14ac:dyDescent="0.25">
      <c r="A402" t="s">
        <v>828</v>
      </c>
      <c r="K402" s="1" t="str">
        <f t="shared" si="12"/>
        <v>2018-11-01</v>
      </c>
      <c r="L402">
        <v>25538.460938</v>
      </c>
      <c r="M402" s="4">
        <f t="shared" si="13"/>
        <v>1.6830116864400946E-2</v>
      </c>
    </row>
    <row r="403" spans="1:13" x14ac:dyDescent="0.25">
      <c r="A403" t="s">
        <v>829</v>
      </c>
      <c r="K403" s="1" t="str">
        <f t="shared" si="12"/>
        <v>2018-12-01</v>
      </c>
      <c r="L403">
        <v>23327.460938</v>
      </c>
      <c r="M403" s="4">
        <f t="shared" si="13"/>
        <v>-8.6575303240381984E-2</v>
      </c>
    </row>
    <row r="404" spans="1:13" x14ac:dyDescent="0.25">
      <c r="A404" t="s">
        <v>830</v>
      </c>
      <c r="K404" s="1" t="str">
        <f t="shared" si="12"/>
        <v>2019-01-01</v>
      </c>
      <c r="L404">
        <v>24999.669922000001</v>
      </c>
      <c r="M404" s="4">
        <f t="shared" si="13"/>
        <v>7.1684140354769665E-2</v>
      </c>
    </row>
    <row r="405" spans="1:13" x14ac:dyDescent="0.25">
      <c r="A405" t="s">
        <v>831</v>
      </c>
      <c r="K405" s="1" t="str">
        <f t="shared" si="12"/>
        <v>2019-02-01</v>
      </c>
      <c r="L405">
        <v>25916</v>
      </c>
      <c r="M405" s="4">
        <f t="shared" si="13"/>
        <v>3.6653687063028739E-2</v>
      </c>
    </row>
    <row r="406" spans="1:13" x14ac:dyDescent="0.25">
      <c r="A406" t="s">
        <v>832</v>
      </c>
      <c r="K406" s="1" t="str">
        <f t="shared" si="12"/>
        <v>2019-03-01</v>
      </c>
      <c r="L406">
        <v>25928.679688</v>
      </c>
      <c r="M406" s="4">
        <f t="shared" si="13"/>
        <v>4.892609970674755E-4</v>
      </c>
    </row>
    <row r="407" spans="1:13" x14ac:dyDescent="0.25">
      <c r="A407" t="s">
        <v>833</v>
      </c>
      <c r="K407" s="1" t="str">
        <f t="shared" si="12"/>
        <v>2019-04-01</v>
      </c>
      <c r="L407">
        <v>26592.910156000002</v>
      </c>
      <c r="M407" s="4">
        <f t="shared" si="13"/>
        <v>2.5617597038981144E-2</v>
      </c>
    </row>
    <row r="408" spans="1:13" x14ac:dyDescent="0.25">
      <c r="A408" t="s">
        <v>834</v>
      </c>
      <c r="K408" s="1" t="str">
        <f t="shared" si="12"/>
        <v>2019-05-01</v>
      </c>
      <c r="L408">
        <v>24815.039063</v>
      </c>
      <c r="M408" s="4">
        <f t="shared" si="13"/>
        <v>-6.6855078386329647E-2</v>
      </c>
    </row>
    <row r="409" spans="1:13" x14ac:dyDescent="0.25">
      <c r="A409" t="s">
        <v>835</v>
      </c>
      <c r="K409" s="1" t="str">
        <f t="shared" si="12"/>
        <v>2019-06-01</v>
      </c>
      <c r="L409">
        <v>26599.960938</v>
      </c>
      <c r="M409" s="4">
        <f t="shared" si="13"/>
        <v>7.1929037486842873E-2</v>
      </c>
    </row>
    <row r="410" spans="1:13" x14ac:dyDescent="0.25">
      <c r="A410" t="s">
        <v>836</v>
      </c>
      <c r="K410" s="1" t="str">
        <f t="shared" si="12"/>
        <v>2019-07-01</v>
      </c>
      <c r="L410">
        <v>26864.269531000002</v>
      </c>
      <c r="M410" s="4">
        <f t="shared" si="13"/>
        <v>9.9364278622837698E-3</v>
      </c>
    </row>
    <row r="411" spans="1:13" x14ac:dyDescent="0.25">
      <c r="A411" t="s">
        <v>837</v>
      </c>
      <c r="K411" s="1" t="str">
        <f t="shared" si="12"/>
        <v>2019-08-01</v>
      </c>
      <c r="L411">
        <v>26403.279297000001</v>
      </c>
      <c r="M411" s="4">
        <f t="shared" si="13"/>
        <v>-1.7159976505895402E-2</v>
      </c>
    </row>
    <row r="412" spans="1:13" x14ac:dyDescent="0.25">
      <c r="A412" t="s">
        <v>838</v>
      </c>
      <c r="K412" s="1" t="str">
        <f t="shared" si="12"/>
        <v>2019-09-01</v>
      </c>
      <c r="L412">
        <v>26916.830077999999</v>
      </c>
      <c r="M412" s="4">
        <f t="shared" si="13"/>
        <v>1.9450265068337469E-2</v>
      </c>
    </row>
    <row r="413" spans="1:13" x14ac:dyDescent="0.25">
      <c r="A413" t="s">
        <v>839</v>
      </c>
      <c r="K413" s="1" t="str">
        <f t="shared" si="12"/>
        <v>2019-10-01</v>
      </c>
      <c r="L413">
        <v>27046.230468999998</v>
      </c>
      <c r="M413" s="4">
        <f t="shared" si="13"/>
        <v>4.8074156810078428E-3</v>
      </c>
    </row>
    <row r="414" spans="1:13" x14ac:dyDescent="0.25">
      <c r="A414" t="s">
        <v>840</v>
      </c>
      <c r="K414" s="1" t="str">
        <f t="shared" si="12"/>
        <v>2019-11-01</v>
      </c>
      <c r="L414">
        <v>28051.410156000002</v>
      </c>
      <c r="M414" s="4">
        <f t="shared" si="13"/>
        <v>3.7165241498334778E-2</v>
      </c>
    </row>
    <row r="415" spans="1:13" x14ac:dyDescent="0.25">
      <c r="A415" t="s">
        <v>841</v>
      </c>
      <c r="K415" s="1" t="str">
        <f t="shared" si="12"/>
        <v>2019-12-01</v>
      </c>
      <c r="L415">
        <v>28538.439452999999</v>
      </c>
      <c r="M415" s="4">
        <f t="shared" si="13"/>
        <v>1.7362025448685925E-2</v>
      </c>
    </row>
    <row r="416" spans="1:13" x14ac:dyDescent="0.25">
      <c r="A416" t="s">
        <v>842</v>
      </c>
      <c r="K416" s="1" t="str">
        <f t="shared" si="12"/>
        <v>2020-01-01</v>
      </c>
      <c r="L416">
        <v>28256.029297000001</v>
      </c>
      <c r="M416" s="4">
        <f t="shared" si="13"/>
        <v>-9.8957813185650556E-3</v>
      </c>
    </row>
    <row r="417" spans="1:13" x14ac:dyDescent="0.25">
      <c r="A417" t="s">
        <v>843</v>
      </c>
      <c r="K417" s="1" t="str">
        <f t="shared" si="12"/>
        <v>2020-02-01</v>
      </c>
      <c r="L417">
        <v>25409.359375</v>
      </c>
      <c r="M417" s="4">
        <f t="shared" si="13"/>
        <v>-0.1007455751152635</v>
      </c>
    </row>
    <row r="418" spans="1:13" x14ac:dyDescent="0.25">
      <c r="A418" t="s">
        <v>844</v>
      </c>
      <c r="K418" s="1" t="str">
        <f t="shared" si="12"/>
        <v>2020-03-01</v>
      </c>
      <c r="L418">
        <v>21917.160156000002</v>
      </c>
      <c r="M418" s="4">
        <f t="shared" si="13"/>
        <v>-0.13743751534467796</v>
      </c>
    </row>
    <row r="419" spans="1:13" x14ac:dyDescent="0.25">
      <c r="A419" t="s">
        <v>845</v>
      </c>
      <c r="K419" s="1" t="str">
        <f t="shared" si="12"/>
        <v>2020-04-01</v>
      </c>
      <c r="L419">
        <v>24345.720702999999</v>
      </c>
      <c r="M419" s="4">
        <f t="shared" si="13"/>
        <v>0.11080635126604932</v>
      </c>
    </row>
    <row r="420" spans="1:13" x14ac:dyDescent="0.25">
      <c r="A420" t="s">
        <v>846</v>
      </c>
      <c r="K420" s="1" t="str">
        <f t="shared" si="12"/>
        <v>2020-05-01</v>
      </c>
      <c r="L420">
        <v>25383.109375</v>
      </c>
      <c r="M420" s="4">
        <f t="shared" si="13"/>
        <v>4.2610719339771563E-2</v>
      </c>
    </row>
    <row r="421" spans="1:13" x14ac:dyDescent="0.25">
      <c r="A421" t="s">
        <v>847</v>
      </c>
      <c r="K421" s="1" t="str">
        <f t="shared" si="12"/>
        <v>2020-06-01</v>
      </c>
      <c r="L421">
        <v>25812.880859000001</v>
      </c>
      <c r="M421" s="4">
        <f t="shared" si="13"/>
        <v>1.6931396293918377E-2</v>
      </c>
    </row>
    <row r="422" spans="1:13" x14ac:dyDescent="0.25">
      <c r="A422" t="s">
        <v>849</v>
      </c>
      <c r="K422" s="1" t="str">
        <f t="shared" si="12"/>
        <v>2020-07-01</v>
      </c>
      <c r="L422">
        <v>26428.320313</v>
      </c>
      <c r="M422" s="4">
        <f t="shared" si="13"/>
        <v>2.3842338922252404E-2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4CB36-DDC3-48ED-BB59-9F4AF2D4D17A}">
  <sheetPr codeName="Sheet7"/>
  <dimension ref="A1:M422"/>
  <sheetViews>
    <sheetView workbookViewId="0">
      <selection activeCell="M3" sqref="M3"/>
    </sheetView>
  </sheetViews>
  <sheetFormatPr defaultRowHeight="15" x14ac:dyDescent="0.25"/>
  <cols>
    <col min="11" max="11" width="10.42578125" bestFit="1" customWidth="1"/>
    <col min="12" max="12" width="12.28515625" bestFit="1" customWidth="1"/>
  </cols>
  <sheetData>
    <row r="1" spans="1:13" x14ac:dyDescent="0.25">
      <c r="A1" t="s">
        <v>2</v>
      </c>
      <c r="K1" t="s">
        <v>3</v>
      </c>
      <c r="L1" t="s">
        <v>4</v>
      </c>
      <c r="M1" t="s">
        <v>852</v>
      </c>
    </row>
    <row r="2" spans="1:13" x14ac:dyDescent="0.25">
      <c r="A2" t="s">
        <v>8</v>
      </c>
      <c r="K2" s="1" t="str">
        <f>LEFT(A2,10)</f>
        <v>1985-07-01</v>
      </c>
      <c r="L2">
        <v>190.91999799999999</v>
      </c>
    </row>
    <row r="3" spans="1:13" x14ac:dyDescent="0.25">
      <c r="A3" t="s">
        <v>9</v>
      </c>
      <c r="K3" s="1" t="str">
        <f t="shared" ref="K3:K66" si="0">LEFT(A3,10)</f>
        <v>1985-08-01</v>
      </c>
      <c r="L3">
        <v>188.63000500000001</v>
      </c>
      <c r="M3" s="4">
        <f>(L3/L2)-1</f>
        <v>-1.1994516153305157E-2</v>
      </c>
    </row>
    <row r="4" spans="1:13" x14ac:dyDescent="0.25">
      <c r="A4" t="s">
        <v>10</v>
      </c>
      <c r="K4" s="1" t="str">
        <f t="shared" si="0"/>
        <v>1985-09-01</v>
      </c>
      <c r="L4">
        <v>182.08000200000001</v>
      </c>
      <c r="M4" s="4">
        <f t="shared" ref="M4:M67" si="1">(L4/L3)-1</f>
        <v>-3.4724077964160549E-2</v>
      </c>
    </row>
    <row r="5" spans="1:13" x14ac:dyDescent="0.25">
      <c r="A5" t="s">
        <v>11</v>
      </c>
      <c r="K5" s="1" t="str">
        <f t="shared" si="0"/>
        <v>1985-10-01</v>
      </c>
      <c r="L5">
        <v>189.820007</v>
      </c>
      <c r="M5" s="4">
        <f t="shared" si="1"/>
        <v>4.2508814339753842E-2</v>
      </c>
    </row>
    <row r="6" spans="1:13" x14ac:dyDescent="0.25">
      <c r="A6" t="s">
        <v>12</v>
      </c>
      <c r="K6" s="1" t="str">
        <f t="shared" si="0"/>
        <v>1985-11-01</v>
      </c>
      <c r="L6">
        <v>202.16999799999999</v>
      </c>
      <c r="M6" s="4">
        <f t="shared" si="1"/>
        <v>6.5061587528020715E-2</v>
      </c>
    </row>
    <row r="7" spans="1:13" x14ac:dyDescent="0.25">
      <c r="A7" t="s">
        <v>13</v>
      </c>
      <c r="K7" s="1" t="str">
        <f t="shared" si="0"/>
        <v>1985-12-01</v>
      </c>
      <c r="L7">
        <v>211.279999</v>
      </c>
      <c r="M7" s="4">
        <f t="shared" si="1"/>
        <v>4.5061092595944929E-2</v>
      </c>
    </row>
    <row r="8" spans="1:13" x14ac:dyDescent="0.25">
      <c r="A8" t="s">
        <v>14</v>
      </c>
      <c r="K8" s="1" t="str">
        <f t="shared" si="0"/>
        <v>1986-01-01</v>
      </c>
      <c r="L8">
        <v>211.779999</v>
      </c>
      <c r="M8" s="4">
        <f t="shared" si="1"/>
        <v>2.3665278415681001E-3</v>
      </c>
    </row>
    <row r="9" spans="1:13" x14ac:dyDescent="0.25">
      <c r="A9" t="s">
        <v>15</v>
      </c>
      <c r="K9" s="1" t="str">
        <f t="shared" si="0"/>
        <v>1986-02-01</v>
      </c>
      <c r="L9">
        <v>226.91999799999999</v>
      </c>
      <c r="M9" s="4">
        <f t="shared" si="1"/>
        <v>7.1489276945364333E-2</v>
      </c>
    </row>
    <row r="10" spans="1:13" x14ac:dyDescent="0.25">
      <c r="A10" t="s">
        <v>16</v>
      </c>
      <c r="K10" s="1" t="str">
        <f t="shared" si="0"/>
        <v>1986-03-01</v>
      </c>
      <c r="L10">
        <v>238.89999399999999</v>
      </c>
      <c r="M10" s="4">
        <f t="shared" si="1"/>
        <v>5.2793919026916214E-2</v>
      </c>
    </row>
    <row r="11" spans="1:13" x14ac:dyDescent="0.25">
      <c r="A11" t="s">
        <v>17</v>
      </c>
      <c r="K11" s="1" t="str">
        <f t="shared" si="0"/>
        <v>1986-04-01</v>
      </c>
      <c r="L11">
        <v>235.520004</v>
      </c>
      <c r="M11" s="4">
        <f t="shared" si="1"/>
        <v>-1.4148137651271764E-2</v>
      </c>
    </row>
    <row r="12" spans="1:13" x14ac:dyDescent="0.25">
      <c r="A12" t="s">
        <v>18</v>
      </c>
      <c r="K12" s="1" t="str">
        <f t="shared" si="0"/>
        <v>1986-05-01</v>
      </c>
      <c r="L12">
        <v>247.35000600000001</v>
      </c>
      <c r="M12" s="4">
        <f t="shared" si="1"/>
        <v>5.0229287530073163E-2</v>
      </c>
    </row>
    <row r="13" spans="1:13" x14ac:dyDescent="0.25">
      <c r="A13" t="s">
        <v>19</v>
      </c>
      <c r="K13" s="1" t="str">
        <f t="shared" si="0"/>
        <v>1986-06-01</v>
      </c>
      <c r="L13">
        <v>250.83999600000001</v>
      </c>
      <c r="M13" s="4">
        <f t="shared" si="1"/>
        <v>1.4109520579514312E-2</v>
      </c>
    </row>
    <row r="14" spans="1:13" x14ac:dyDescent="0.25">
      <c r="A14" t="s">
        <v>20</v>
      </c>
      <c r="K14" s="1" t="str">
        <f t="shared" si="0"/>
        <v>1986-07-01</v>
      </c>
      <c r="L14">
        <v>236.11999499999999</v>
      </c>
      <c r="M14" s="4">
        <f t="shared" si="1"/>
        <v>-5.868283062801527E-2</v>
      </c>
    </row>
    <row r="15" spans="1:13" x14ac:dyDescent="0.25">
      <c r="A15" t="s">
        <v>21</v>
      </c>
      <c r="K15" s="1" t="str">
        <f t="shared" si="0"/>
        <v>1986-08-01</v>
      </c>
      <c r="L15">
        <v>252.929993</v>
      </c>
      <c r="M15" s="4">
        <f t="shared" si="1"/>
        <v>7.1192606962404925E-2</v>
      </c>
    </row>
    <row r="16" spans="1:13" x14ac:dyDescent="0.25">
      <c r="A16" t="s">
        <v>22</v>
      </c>
      <c r="K16" s="1" t="str">
        <f t="shared" si="0"/>
        <v>1986-09-01</v>
      </c>
      <c r="L16">
        <v>231.320007</v>
      </c>
      <c r="M16" s="4">
        <f t="shared" si="1"/>
        <v>-8.5438605930772238E-2</v>
      </c>
    </row>
    <row r="17" spans="1:13" x14ac:dyDescent="0.25">
      <c r="A17" t="s">
        <v>23</v>
      </c>
      <c r="K17" s="1" t="str">
        <f t="shared" si="0"/>
        <v>1986-10-01</v>
      </c>
      <c r="L17">
        <v>243.979996</v>
      </c>
      <c r="M17" s="4">
        <f t="shared" si="1"/>
        <v>5.4729330005596877E-2</v>
      </c>
    </row>
    <row r="18" spans="1:13" x14ac:dyDescent="0.25">
      <c r="A18" t="s">
        <v>24</v>
      </c>
      <c r="K18" s="1" t="str">
        <f t="shared" si="0"/>
        <v>1986-11-01</v>
      </c>
      <c r="L18">
        <v>249.220001</v>
      </c>
      <c r="M18" s="4">
        <f t="shared" si="1"/>
        <v>2.1477191105454319E-2</v>
      </c>
    </row>
    <row r="19" spans="1:13" x14ac:dyDescent="0.25">
      <c r="A19" t="s">
        <v>25</v>
      </c>
      <c r="K19" s="1" t="str">
        <f t="shared" si="0"/>
        <v>1986-12-01</v>
      </c>
      <c r="L19">
        <v>242.16999799999999</v>
      </c>
      <c r="M19" s="4">
        <f t="shared" si="1"/>
        <v>-2.828827129328193E-2</v>
      </c>
    </row>
    <row r="20" spans="1:13" x14ac:dyDescent="0.25">
      <c r="A20" t="s">
        <v>26</v>
      </c>
      <c r="K20" s="1" t="str">
        <f t="shared" si="0"/>
        <v>1987-01-01</v>
      </c>
      <c r="L20">
        <v>274.07998700000002</v>
      </c>
      <c r="M20" s="4">
        <f t="shared" si="1"/>
        <v>0.13176689624451354</v>
      </c>
    </row>
    <row r="21" spans="1:13" x14ac:dyDescent="0.25">
      <c r="A21" t="s">
        <v>27</v>
      </c>
      <c r="K21" s="1" t="str">
        <f t="shared" si="0"/>
        <v>1987-02-01</v>
      </c>
      <c r="L21">
        <v>284.20001200000002</v>
      </c>
      <c r="M21" s="4">
        <f t="shared" si="1"/>
        <v>3.6923618943399905E-2</v>
      </c>
    </row>
    <row r="22" spans="1:13" x14ac:dyDescent="0.25">
      <c r="A22" t="s">
        <v>28</v>
      </c>
      <c r="K22" s="1" t="str">
        <f t="shared" si="0"/>
        <v>1987-03-01</v>
      </c>
      <c r="L22">
        <v>291.70001200000002</v>
      </c>
      <c r="M22" s="4">
        <f t="shared" si="1"/>
        <v>2.6389865177064209E-2</v>
      </c>
    </row>
    <row r="23" spans="1:13" x14ac:dyDescent="0.25">
      <c r="A23" t="s">
        <v>29</v>
      </c>
      <c r="K23" s="1" t="str">
        <f t="shared" si="0"/>
        <v>1987-04-01</v>
      </c>
      <c r="L23">
        <v>288.35998499999999</v>
      </c>
      <c r="M23" s="4">
        <f t="shared" si="1"/>
        <v>-1.1450212076096977E-2</v>
      </c>
    </row>
    <row r="24" spans="1:13" x14ac:dyDescent="0.25">
      <c r="A24" t="s">
        <v>30</v>
      </c>
      <c r="K24" s="1" t="str">
        <f t="shared" si="0"/>
        <v>1987-05-01</v>
      </c>
      <c r="L24">
        <v>290.10000600000001</v>
      </c>
      <c r="M24" s="4">
        <f t="shared" si="1"/>
        <v>6.0341971511754799E-3</v>
      </c>
    </row>
    <row r="25" spans="1:13" x14ac:dyDescent="0.25">
      <c r="A25" t="s">
        <v>31</v>
      </c>
      <c r="K25" s="1" t="str">
        <f t="shared" si="0"/>
        <v>1987-06-01</v>
      </c>
      <c r="L25">
        <v>304</v>
      </c>
      <c r="M25" s="4">
        <f t="shared" si="1"/>
        <v>4.7914490563643719E-2</v>
      </c>
    </row>
    <row r="26" spans="1:13" x14ac:dyDescent="0.25">
      <c r="A26" t="s">
        <v>32</v>
      </c>
      <c r="K26" s="1" t="str">
        <f t="shared" si="0"/>
        <v>1987-07-01</v>
      </c>
      <c r="L26">
        <v>318.66000400000001</v>
      </c>
      <c r="M26" s="4">
        <f t="shared" si="1"/>
        <v>4.8223697368421137E-2</v>
      </c>
    </row>
    <row r="27" spans="1:13" x14ac:dyDescent="0.25">
      <c r="A27" t="s">
        <v>33</v>
      </c>
      <c r="K27" s="1" t="str">
        <f t="shared" si="0"/>
        <v>1987-08-01</v>
      </c>
      <c r="L27">
        <v>329.79998799999998</v>
      </c>
      <c r="M27" s="4">
        <f t="shared" si="1"/>
        <v>3.4958839704276157E-2</v>
      </c>
    </row>
    <row r="28" spans="1:13" x14ac:dyDescent="0.25">
      <c r="A28" t="s">
        <v>34</v>
      </c>
      <c r="K28" s="1" t="str">
        <f t="shared" si="0"/>
        <v>1987-09-01</v>
      </c>
      <c r="L28">
        <v>321.82998700000002</v>
      </c>
      <c r="M28" s="4">
        <f t="shared" si="1"/>
        <v>-2.4166165221327973E-2</v>
      </c>
    </row>
    <row r="29" spans="1:13" x14ac:dyDescent="0.25">
      <c r="A29" t="s">
        <v>35</v>
      </c>
      <c r="K29" s="1" t="str">
        <f t="shared" si="0"/>
        <v>1987-10-01</v>
      </c>
      <c r="L29">
        <v>251.78999300000001</v>
      </c>
      <c r="M29" s="4">
        <f t="shared" si="1"/>
        <v>-0.21763041614888423</v>
      </c>
    </row>
    <row r="30" spans="1:13" x14ac:dyDescent="0.25">
      <c r="A30" t="s">
        <v>36</v>
      </c>
      <c r="K30" s="1" t="str">
        <f t="shared" si="0"/>
        <v>1987-11-01</v>
      </c>
      <c r="L30">
        <v>230.300003</v>
      </c>
      <c r="M30" s="4">
        <f t="shared" si="1"/>
        <v>-8.5348864519806389E-2</v>
      </c>
    </row>
    <row r="31" spans="1:13" x14ac:dyDescent="0.25">
      <c r="A31" t="s">
        <v>37</v>
      </c>
      <c r="K31" s="1" t="str">
        <f t="shared" si="0"/>
        <v>1987-12-01</v>
      </c>
      <c r="L31">
        <v>247.08000200000001</v>
      </c>
      <c r="M31" s="4">
        <f t="shared" si="1"/>
        <v>7.2861479728248302E-2</v>
      </c>
    </row>
    <row r="32" spans="1:13" x14ac:dyDescent="0.25">
      <c r="A32" t="s">
        <v>38</v>
      </c>
      <c r="K32" s="1" t="str">
        <f t="shared" si="0"/>
        <v>1988-01-01</v>
      </c>
      <c r="L32">
        <v>257.07000699999998</v>
      </c>
      <c r="M32" s="4">
        <f t="shared" si="1"/>
        <v>4.0432268573479924E-2</v>
      </c>
    </row>
    <row r="33" spans="1:13" x14ac:dyDescent="0.25">
      <c r="A33" t="s">
        <v>39</v>
      </c>
      <c r="K33" s="1" t="str">
        <f t="shared" si="0"/>
        <v>1988-02-01</v>
      </c>
      <c r="L33">
        <v>267.82000699999998</v>
      </c>
      <c r="M33" s="4">
        <f t="shared" si="1"/>
        <v>4.1817402681285865E-2</v>
      </c>
    </row>
    <row r="34" spans="1:13" x14ac:dyDescent="0.25">
      <c r="A34" t="s">
        <v>40</v>
      </c>
      <c r="K34" s="1" t="str">
        <f t="shared" si="0"/>
        <v>1988-03-01</v>
      </c>
      <c r="L34">
        <v>258.89001500000001</v>
      </c>
      <c r="M34" s="4">
        <f t="shared" si="1"/>
        <v>-3.3343259527283786E-2</v>
      </c>
    </row>
    <row r="35" spans="1:13" x14ac:dyDescent="0.25">
      <c r="A35" t="s">
        <v>41</v>
      </c>
      <c r="K35" s="1" t="str">
        <f t="shared" si="0"/>
        <v>1988-04-01</v>
      </c>
      <c r="L35">
        <v>261.32998700000002</v>
      </c>
      <c r="M35" s="4">
        <f t="shared" si="1"/>
        <v>9.4247435537442303E-3</v>
      </c>
    </row>
    <row r="36" spans="1:13" x14ac:dyDescent="0.25">
      <c r="A36" t="s">
        <v>42</v>
      </c>
      <c r="K36" s="1" t="str">
        <f t="shared" si="0"/>
        <v>1988-05-01</v>
      </c>
      <c r="L36">
        <v>262.16000400000001</v>
      </c>
      <c r="M36" s="4">
        <f t="shared" si="1"/>
        <v>3.1761261289926512E-3</v>
      </c>
    </row>
    <row r="37" spans="1:13" x14ac:dyDescent="0.25">
      <c r="A37" t="s">
        <v>43</v>
      </c>
      <c r="K37" s="1" t="str">
        <f t="shared" si="0"/>
        <v>1988-06-01</v>
      </c>
      <c r="L37">
        <v>273.5</v>
      </c>
      <c r="M37" s="4">
        <f t="shared" si="1"/>
        <v>4.3256010935977862E-2</v>
      </c>
    </row>
    <row r="38" spans="1:13" x14ac:dyDescent="0.25">
      <c r="A38" t="s">
        <v>44</v>
      </c>
      <c r="K38" s="1" t="str">
        <f t="shared" si="0"/>
        <v>1988-07-01</v>
      </c>
      <c r="L38">
        <v>272.01998900000001</v>
      </c>
      <c r="M38" s="4">
        <f t="shared" si="1"/>
        <v>-5.4113747714807925E-3</v>
      </c>
    </row>
    <row r="39" spans="1:13" x14ac:dyDescent="0.25">
      <c r="A39" t="s">
        <v>45</v>
      </c>
      <c r="K39" s="1" t="str">
        <f t="shared" si="0"/>
        <v>1988-08-01</v>
      </c>
      <c r="L39">
        <v>261.51998900000001</v>
      </c>
      <c r="M39" s="4">
        <f t="shared" si="1"/>
        <v>-3.8600104494526666E-2</v>
      </c>
    </row>
    <row r="40" spans="1:13" x14ac:dyDescent="0.25">
      <c r="A40" t="s">
        <v>46</v>
      </c>
      <c r="K40" s="1" t="str">
        <f t="shared" si="0"/>
        <v>1988-09-01</v>
      </c>
      <c r="L40">
        <v>271.91000400000001</v>
      </c>
      <c r="M40" s="4">
        <f t="shared" si="1"/>
        <v>3.9729334035724539E-2</v>
      </c>
    </row>
    <row r="41" spans="1:13" x14ac:dyDescent="0.25">
      <c r="A41" t="s">
        <v>47</v>
      </c>
      <c r="K41" s="1" t="str">
        <f t="shared" si="0"/>
        <v>1988-10-01</v>
      </c>
      <c r="L41">
        <v>278.97000100000002</v>
      </c>
      <c r="M41" s="4">
        <f t="shared" si="1"/>
        <v>2.5964462124019594E-2</v>
      </c>
    </row>
    <row r="42" spans="1:13" x14ac:dyDescent="0.25">
      <c r="A42" t="s">
        <v>48</v>
      </c>
      <c r="K42" s="1" t="str">
        <f t="shared" si="0"/>
        <v>1988-11-01</v>
      </c>
      <c r="L42">
        <v>273.70001200000002</v>
      </c>
      <c r="M42" s="4">
        <f t="shared" si="1"/>
        <v>-1.8890880672148058E-2</v>
      </c>
    </row>
    <row r="43" spans="1:13" x14ac:dyDescent="0.25">
      <c r="A43" t="s">
        <v>49</v>
      </c>
      <c r="K43" s="1" t="str">
        <f t="shared" si="0"/>
        <v>1988-12-01</v>
      </c>
      <c r="L43">
        <v>277.72000100000002</v>
      </c>
      <c r="M43" s="4">
        <f t="shared" si="1"/>
        <v>1.4687573342159865E-2</v>
      </c>
    </row>
    <row r="44" spans="1:13" x14ac:dyDescent="0.25">
      <c r="A44" t="s">
        <v>50</v>
      </c>
      <c r="K44" s="1" t="str">
        <f t="shared" si="0"/>
        <v>1989-01-01</v>
      </c>
      <c r="L44">
        <v>297.47000100000002</v>
      </c>
      <c r="M44" s="4">
        <f t="shared" si="1"/>
        <v>7.1114791620643825E-2</v>
      </c>
    </row>
    <row r="45" spans="1:13" x14ac:dyDescent="0.25">
      <c r="A45" t="s">
        <v>51</v>
      </c>
      <c r="K45" s="1" t="str">
        <f t="shared" si="0"/>
        <v>1989-02-01</v>
      </c>
      <c r="L45">
        <v>288.85998499999999</v>
      </c>
      <c r="M45" s="4">
        <f t="shared" si="1"/>
        <v>-2.8944148892513177E-2</v>
      </c>
    </row>
    <row r="46" spans="1:13" x14ac:dyDescent="0.25">
      <c r="A46" t="s">
        <v>52</v>
      </c>
      <c r="K46" s="1" t="str">
        <f t="shared" si="0"/>
        <v>1989-03-01</v>
      </c>
      <c r="L46">
        <v>294.86999500000002</v>
      </c>
      <c r="M46" s="4">
        <f t="shared" si="1"/>
        <v>2.0805962445785031E-2</v>
      </c>
    </row>
    <row r="47" spans="1:13" x14ac:dyDescent="0.25">
      <c r="A47" t="s">
        <v>53</v>
      </c>
      <c r="K47" s="1" t="str">
        <f t="shared" si="0"/>
        <v>1989-04-01</v>
      </c>
      <c r="L47">
        <v>309.64001500000001</v>
      </c>
      <c r="M47" s="4">
        <f t="shared" si="1"/>
        <v>5.0089938788108856E-2</v>
      </c>
    </row>
    <row r="48" spans="1:13" x14ac:dyDescent="0.25">
      <c r="A48" t="s">
        <v>54</v>
      </c>
      <c r="K48" s="1" t="str">
        <f t="shared" si="0"/>
        <v>1989-05-01</v>
      </c>
      <c r="L48">
        <v>320.51998900000001</v>
      </c>
      <c r="M48" s="4">
        <f t="shared" si="1"/>
        <v>3.5137493453486712E-2</v>
      </c>
    </row>
    <row r="49" spans="1:13" x14ac:dyDescent="0.25">
      <c r="A49" t="s">
        <v>55</v>
      </c>
      <c r="K49" s="1" t="str">
        <f t="shared" si="0"/>
        <v>1989-06-01</v>
      </c>
      <c r="L49">
        <v>317.98001099999999</v>
      </c>
      <c r="M49" s="4">
        <f t="shared" si="1"/>
        <v>-7.9245541219584714E-3</v>
      </c>
    </row>
    <row r="50" spans="1:13" x14ac:dyDescent="0.25">
      <c r="A50" t="s">
        <v>56</v>
      </c>
      <c r="K50" s="1" t="str">
        <f t="shared" si="0"/>
        <v>1989-07-01</v>
      </c>
      <c r="L50">
        <v>346.07998700000002</v>
      </c>
      <c r="M50" s="4">
        <f t="shared" si="1"/>
        <v>8.8370259223621517E-2</v>
      </c>
    </row>
    <row r="51" spans="1:13" x14ac:dyDescent="0.25">
      <c r="A51" t="s">
        <v>57</v>
      </c>
      <c r="K51" s="1" t="str">
        <f t="shared" si="0"/>
        <v>1989-08-01</v>
      </c>
      <c r="L51">
        <v>351.45001200000002</v>
      </c>
      <c r="M51" s="4">
        <f t="shared" si="1"/>
        <v>1.5516716371120287E-2</v>
      </c>
    </row>
    <row r="52" spans="1:13" x14ac:dyDescent="0.25">
      <c r="A52" t="s">
        <v>58</v>
      </c>
      <c r="K52" s="1" t="str">
        <f t="shared" si="0"/>
        <v>1989-09-01</v>
      </c>
      <c r="L52">
        <v>349.14999399999999</v>
      </c>
      <c r="M52" s="4">
        <f t="shared" si="1"/>
        <v>-6.5443673964080684E-3</v>
      </c>
    </row>
    <row r="53" spans="1:13" x14ac:dyDescent="0.25">
      <c r="A53" t="s">
        <v>59</v>
      </c>
      <c r="K53" s="1" t="str">
        <f t="shared" si="0"/>
        <v>1989-10-01</v>
      </c>
      <c r="L53">
        <v>340.35998499999999</v>
      </c>
      <c r="M53" s="4">
        <f t="shared" si="1"/>
        <v>-2.517545224417217E-2</v>
      </c>
    </row>
    <row r="54" spans="1:13" x14ac:dyDescent="0.25">
      <c r="A54" t="s">
        <v>60</v>
      </c>
      <c r="K54" s="1" t="str">
        <f t="shared" si="0"/>
        <v>1989-11-01</v>
      </c>
      <c r="L54">
        <v>345.98998999999998</v>
      </c>
      <c r="M54" s="4">
        <f t="shared" si="1"/>
        <v>1.6541324621341724E-2</v>
      </c>
    </row>
    <row r="55" spans="1:13" x14ac:dyDescent="0.25">
      <c r="A55" t="s">
        <v>61</v>
      </c>
      <c r="K55" s="1" t="str">
        <f t="shared" si="0"/>
        <v>1989-12-01</v>
      </c>
      <c r="L55">
        <v>353.39999399999999</v>
      </c>
      <c r="M55" s="4">
        <f t="shared" si="1"/>
        <v>2.141681613390034E-2</v>
      </c>
    </row>
    <row r="56" spans="1:13" x14ac:dyDescent="0.25">
      <c r="A56" t="s">
        <v>62</v>
      </c>
      <c r="K56" s="1" t="str">
        <f t="shared" si="0"/>
        <v>1990-01-01</v>
      </c>
      <c r="L56">
        <v>329.07998700000002</v>
      </c>
      <c r="M56" s="4">
        <f t="shared" si="1"/>
        <v>-6.8817225277032601E-2</v>
      </c>
    </row>
    <row r="57" spans="1:13" x14ac:dyDescent="0.25">
      <c r="A57" t="s">
        <v>63</v>
      </c>
      <c r="K57" s="1" t="str">
        <f t="shared" si="0"/>
        <v>1990-02-01</v>
      </c>
      <c r="L57">
        <v>331.89001500000001</v>
      </c>
      <c r="M57" s="4">
        <f t="shared" si="1"/>
        <v>8.5390425155207339E-3</v>
      </c>
    </row>
    <row r="58" spans="1:13" x14ac:dyDescent="0.25">
      <c r="A58" t="s">
        <v>64</v>
      </c>
      <c r="K58" s="1" t="str">
        <f t="shared" si="0"/>
        <v>1990-03-01</v>
      </c>
      <c r="L58">
        <v>339.94000199999999</v>
      </c>
      <c r="M58" s="4">
        <f t="shared" si="1"/>
        <v>2.4254983989199008E-2</v>
      </c>
    </row>
    <row r="59" spans="1:13" x14ac:dyDescent="0.25">
      <c r="A59" t="s">
        <v>65</v>
      </c>
      <c r="K59" s="1" t="str">
        <f t="shared" si="0"/>
        <v>1990-04-01</v>
      </c>
      <c r="L59">
        <v>330.79998799999998</v>
      </c>
      <c r="M59" s="4">
        <f t="shared" si="1"/>
        <v>-2.688713874867843E-2</v>
      </c>
    </row>
    <row r="60" spans="1:13" x14ac:dyDescent="0.25">
      <c r="A60" t="s">
        <v>66</v>
      </c>
      <c r="K60" s="1" t="str">
        <f t="shared" si="0"/>
        <v>1990-05-01</v>
      </c>
      <c r="L60">
        <v>361.23001099999999</v>
      </c>
      <c r="M60" s="4">
        <f t="shared" si="1"/>
        <v>9.1989190156802625E-2</v>
      </c>
    </row>
    <row r="61" spans="1:13" x14ac:dyDescent="0.25">
      <c r="A61" t="s">
        <v>67</v>
      </c>
      <c r="K61" s="1" t="str">
        <f t="shared" si="0"/>
        <v>1990-06-01</v>
      </c>
      <c r="L61">
        <v>358.01998900000001</v>
      </c>
      <c r="M61" s="4">
        <f t="shared" si="1"/>
        <v>-8.8863657565815268E-3</v>
      </c>
    </row>
    <row r="62" spans="1:13" x14ac:dyDescent="0.25">
      <c r="A62" t="s">
        <v>68</v>
      </c>
      <c r="K62" s="1" t="str">
        <f t="shared" si="0"/>
        <v>1990-07-01</v>
      </c>
      <c r="L62">
        <v>356.14999399999999</v>
      </c>
      <c r="M62" s="4">
        <f t="shared" si="1"/>
        <v>-5.2231580846174852E-3</v>
      </c>
    </row>
    <row r="63" spans="1:13" x14ac:dyDescent="0.25">
      <c r="A63" t="s">
        <v>69</v>
      </c>
      <c r="K63" s="1" t="str">
        <f t="shared" si="0"/>
        <v>1990-08-01</v>
      </c>
      <c r="L63">
        <v>322.55999800000001</v>
      </c>
      <c r="M63" s="4">
        <f t="shared" si="1"/>
        <v>-9.4314183815485286E-2</v>
      </c>
    </row>
    <row r="64" spans="1:13" x14ac:dyDescent="0.25">
      <c r="A64" t="s">
        <v>70</v>
      </c>
      <c r="K64" s="1" t="str">
        <f t="shared" si="0"/>
        <v>1990-09-01</v>
      </c>
      <c r="L64">
        <v>306.04998799999998</v>
      </c>
      <c r="M64" s="4">
        <f t="shared" si="1"/>
        <v>-5.118430711299804E-2</v>
      </c>
    </row>
    <row r="65" spans="1:13" x14ac:dyDescent="0.25">
      <c r="A65" t="s">
        <v>71</v>
      </c>
      <c r="K65" s="1" t="str">
        <f t="shared" si="0"/>
        <v>1990-10-01</v>
      </c>
      <c r="L65">
        <v>304</v>
      </c>
      <c r="M65" s="4">
        <f t="shared" si="1"/>
        <v>-6.6982129729734607E-3</v>
      </c>
    </row>
    <row r="66" spans="1:13" x14ac:dyDescent="0.25">
      <c r="A66" t="s">
        <v>72</v>
      </c>
      <c r="K66" s="1" t="str">
        <f t="shared" si="0"/>
        <v>1990-11-01</v>
      </c>
      <c r="L66">
        <v>322.22000100000002</v>
      </c>
      <c r="M66" s="4">
        <f t="shared" si="1"/>
        <v>5.993421381578945E-2</v>
      </c>
    </row>
    <row r="67" spans="1:13" x14ac:dyDescent="0.25">
      <c r="A67" t="s">
        <v>73</v>
      </c>
      <c r="K67" s="1" t="str">
        <f t="shared" ref="K67:K130" si="2">LEFT(A67,10)</f>
        <v>1990-12-01</v>
      </c>
      <c r="L67">
        <v>330.22000100000002</v>
      </c>
      <c r="M67" s="4">
        <f t="shared" si="1"/>
        <v>2.4827757355757596E-2</v>
      </c>
    </row>
    <row r="68" spans="1:13" x14ac:dyDescent="0.25">
      <c r="A68" t="s">
        <v>74</v>
      </c>
      <c r="K68" s="1" t="str">
        <f t="shared" si="2"/>
        <v>1991-01-01</v>
      </c>
      <c r="L68">
        <v>343.92999300000002</v>
      </c>
      <c r="M68" s="4">
        <f t="shared" ref="M68:M131" si="3">(L68/L67)-1</f>
        <v>4.1517751676101611E-2</v>
      </c>
    </row>
    <row r="69" spans="1:13" x14ac:dyDescent="0.25">
      <c r="A69" t="s">
        <v>75</v>
      </c>
      <c r="K69" s="1" t="str">
        <f t="shared" si="2"/>
        <v>1991-02-01</v>
      </c>
      <c r="L69">
        <v>367.07000699999998</v>
      </c>
      <c r="M69" s="4">
        <f t="shared" si="3"/>
        <v>6.7281174863978555E-2</v>
      </c>
    </row>
    <row r="70" spans="1:13" x14ac:dyDescent="0.25">
      <c r="A70" t="s">
        <v>76</v>
      </c>
      <c r="K70" s="1" t="str">
        <f t="shared" si="2"/>
        <v>1991-03-01</v>
      </c>
      <c r="L70">
        <v>375.22000100000002</v>
      </c>
      <c r="M70" s="4">
        <f t="shared" si="3"/>
        <v>2.2202832823658314E-2</v>
      </c>
    </row>
    <row r="71" spans="1:13" x14ac:dyDescent="0.25">
      <c r="A71" t="s">
        <v>77</v>
      </c>
      <c r="K71" s="1" t="str">
        <f t="shared" si="2"/>
        <v>1991-04-01</v>
      </c>
      <c r="L71">
        <v>375.33999599999999</v>
      </c>
      <c r="M71" s="4">
        <f t="shared" si="3"/>
        <v>3.1979905037093914E-4</v>
      </c>
    </row>
    <row r="72" spans="1:13" x14ac:dyDescent="0.25">
      <c r="A72" t="s">
        <v>78</v>
      </c>
      <c r="K72" s="1" t="str">
        <f t="shared" si="2"/>
        <v>1991-05-01</v>
      </c>
      <c r="L72">
        <v>389.82998700000002</v>
      </c>
      <c r="M72" s="4">
        <f t="shared" si="3"/>
        <v>3.8604974568178019E-2</v>
      </c>
    </row>
    <row r="73" spans="1:13" x14ac:dyDescent="0.25">
      <c r="A73" t="s">
        <v>79</v>
      </c>
      <c r="K73" s="1" t="str">
        <f t="shared" si="2"/>
        <v>1991-06-01</v>
      </c>
      <c r="L73">
        <v>371.16000400000001</v>
      </c>
      <c r="M73" s="4">
        <f t="shared" si="3"/>
        <v>-4.7892629152718302E-2</v>
      </c>
    </row>
    <row r="74" spans="1:13" x14ac:dyDescent="0.25">
      <c r="A74" t="s">
        <v>80</v>
      </c>
      <c r="K74" s="1" t="str">
        <f t="shared" si="2"/>
        <v>1991-07-01</v>
      </c>
      <c r="L74">
        <v>387.80999800000001</v>
      </c>
      <c r="M74" s="4">
        <f t="shared" si="3"/>
        <v>4.4859343195825518E-2</v>
      </c>
    </row>
    <row r="75" spans="1:13" x14ac:dyDescent="0.25">
      <c r="A75" t="s">
        <v>81</v>
      </c>
      <c r="K75" s="1" t="str">
        <f t="shared" si="2"/>
        <v>1991-08-01</v>
      </c>
      <c r="L75">
        <v>395.42999300000002</v>
      </c>
      <c r="M75" s="4">
        <f t="shared" si="3"/>
        <v>1.9648784299779676E-2</v>
      </c>
    </row>
    <row r="76" spans="1:13" x14ac:dyDescent="0.25">
      <c r="A76" t="s">
        <v>82</v>
      </c>
      <c r="K76" s="1" t="str">
        <f t="shared" si="2"/>
        <v>1991-09-01</v>
      </c>
      <c r="L76">
        <v>387.85998499999999</v>
      </c>
      <c r="M76" s="4">
        <f t="shared" si="3"/>
        <v>-1.9143737536368444E-2</v>
      </c>
    </row>
    <row r="77" spans="1:13" x14ac:dyDescent="0.25">
      <c r="A77" t="s">
        <v>83</v>
      </c>
      <c r="K77" s="1" t="str">
        <f t="shared" si="2"/>
        <v>1991-10-01</v>
      </c>
      <c r="L77">
        <v>392.45001200000002</v>
      </c>
      <c r="M77" s="4">
        <f t="shared" si="3"/>
        <v>1.1834237037883666E-2</v>
      </c>
    </row>
    <row r="78" spans="1:13" x14ac:dyDescent="0.25">
      <c r="A78" t="s">
        <v>84</v>
      </c>
      <c r="K78" s="1" t="str">
        <f t="shared" si="2"/>
        <v>1991-11-01</v>
      </c>
      <c r="L78">
        <v>375.22000100000002</v>
      </c>
      <c r="M78" s="4">
        <f t="shared" si="3"/>
        <v>-4.3903708684304932E-2</v>
      </c>
    </row>
    <row r="79" spans="1:13" x14ac:dyDescent="0.25">
      <c r="A79" t="s">
        <v>85</v>
      </c>
      <c r="K79" s="1" t="str">
        <f t="shared" si="2"/>
        <v>1991-12-01</v>
      </c>
      <c r="L79">
        <v>417.08999599999999</v>
      </c>
      <c r="M79" s="4">
        <f t="shared" si="3"/>
        <v>0.11158785482760014</v>
      </c>
    </row>
    <row r="80" spans="1:13" x14ac:dyDescent="0.25">
      <c r="A80" t="s">
        <v>86</v>
      </c>
      <c r="K80" s="1" t="str">
        <f t="shared" si="2"/>
        <v>1992-01-01</v>
      </c>
      <c r="L80">
        <v>408.77999899999998</v>
      </c>
      <c r="M80" s="4">
        <f t="shared" si="3"/>
        <v>-1.9923750460799861E-2</v>
      </c>
    </row>
    <row r="81" spans="1:13" x14ac:dyDescent="0.25">
      <c r="A81" t="s">
        <v>87</v>
      </c>
      <c r="K81" s="1" t="str">
        <f t="shared" si="2"/>
        <v>1992-02-01</v>
      </c>
      <c r="L81">
        <v>412.70001200000002</v>
      </c>
      <c r="M81" s="4">
        <f t="shared" si="3"/>
        <v>9.5895420754186222E-3</v>
      </c>
    </row>
    <row r="82" spans="1:13" x14ac:dyDescent="0.25">
      <c r="A82" t="s">
        <v>88</v>
      </c>
      <c r="K82" s="1" t="str">
        <f t="shared" si="2"/>
        <v>1992-03-01</v>
      </c>
      <c r="L82">
        <v>403.69000199999999</v>
      </c>
      <c r="M82" s="4">
        <f t="shared" si="3"/>
        <v>-2.1831862704186245E-2</v>
      </c>
    </row>
    <row r="83" spans="1:13" x14ac:dyDescent="0.25">
      <c r="A83" t="s">
        <v>89</v>
      </c>
      <c r="K83" s="1" t="str">
        <f t="shared" si="2"/>
        <v>1992-04-01</v>
      </c>
      <c r="L83">
        <v>414.95001200000002</v>
      </c>
      <c r="M83" s="4">
        <f t="shared" si="3"/>
        <v>2.7892714568640731E-2</v>
      </c>
    </row>
    <row r="84" spans="1:13" x14ac:dyDescent="0.25">
      <c r="A84" t="s">
        <v>90</v>
      </c>
      <c r="K84" s="1" t="str">
        <f t="shared" si="2"/>
        <v>1992-05-01</v>
      </c>
      <c r="L84">
        <v>415.35000600000001</v>
      </c>
      <c r="M84" s="4">
        <f t="shared" si="3"/>
        <v>9.6395707538854403E-4</v>
      </c>
    </row>
    <row r="85" spans="1:13" x14ac:dyDescent="0.25">
      <c r="A85" t="s">
        <v>91</v>
      </c>
      <c r="K85" s="1" t="str">
        <f t="shared" si="2"/>
        <v>1992-06-01</v>
      </c>
      <c r="L85">
        <v>408.14001500000001</v>
      </c>
      <c r="M85" s="4">
        <f t="shared" si="3"/>
        <v>-1.7358832059340301E-2</v>
      </c>
    </row>
    <row r="86" spans="1:13" x14ac:dyDescent="0.25">
      <c r="A86" t="s">
        <v>92</v>
      </c>
      <c r="K86" s="1" t="str">
        <f t="shared" si="2"/>
        <v>1992-07-01</v>
      </c>
      <c r="L86">
        <v>424.209991</v>
      </c>
      <c r="M86" s="4">
        <f t="shared" si="3"/>
        <v>3.9373684053008118E-2</v>
      </c>
    </row>
    <row r="87" spans="1:13" x14ac:dyDescent="0.25">
      <c r="A87" t="s">
        <v>93</v>
      </c>
      <c r="K87" s="1" t="str">
        <f t="shared" si="2"/>
        <v>1992-08-01</v>
      </c>
      <c r="L87">
        <v>414.02999899999998</v>
      </c>
      <c r="M87" s="4">
        <f t="shared" si="3"/>
        <v>-2.3997530034600256E-2</v>
      </c>
    </row>
    <row r="88" spans="1:13" x14ac:dyDescent="0.25">
      <c r="A88" t="s">
        <v>94</v>
      </c>
      <c r="K88" s="1" t="str">
        <f t="shared" si="2"/>
        <v>1992-09-01</v>
      </c>
      <c r="L88">
        <v>417.79998799999998</v>
      </c>
      <c r="M88" s="4">
        <f t="shared" si="3"/>
        <v>9.105593819543456E-3</v>
      </c>
    </row>
    <row r="89" spans="1:13" x14ac:dyDescent="0.25">
      <c r="A89" t="s">
        <v>95</v>
      </c>
      <c r="K89" s="1" t="str">
        <f t="shared" si="2"/>
        <v>1992-10-01</v>
      </c>
      <c r="L89">
        <v>418.67999300000002</v>
      </c>
      <c r="M89" s="4">
        <f t="shared" si="3"/>
        <v>2.1062829709799225E-3</v>
      </c>
    </row>
    <row r="90" spans="1:13" x14ac:dyDescent="0.25">
      <c r="A90" t="s">
        <v>96</v>
      </c>
      <c r="K90" s="1" t="str">
        <f t="shared" si="2"/>
        <v>1992-11-01</v>
      </c>
      <c r="L90">
        <v>431.35000600000001</v>
      </c>
      <c r="M90" s="4">
        <f t="shared" si="3"/>
        <v>3.0261806658623769E-2</v>
      </c>
    </row>
    <row r="91" spans="1:13" x14ac:dyDescent="0.25">
      <c r="A91" t="s">
        <v>97</v>
      </c>
      <c r="K91" s="1" t="str">
        <f t="shared" si="2"/>
        <v>1992-12-01</v>
      </c>
      <c r="L91">
        <v>435.709991</v>
      </c>
      <c r="M91" s="4">
        <f t="shared" si="3"/>
        <v>1.0107766174460187E-2</v>
      </c>
    </row>
    <row r="92" spans="1:13" x14ac:dyDescent="0.25">
      <c r="A92" t="s">
        <v>98</v>
      </c>
      <c r="K92" s="1" t="str">
        <f t="shared" si="2"/>
        <v>1993-01-01</v>
      </c>
      <c r="L92">
        <v>438.77999899999998</v>
      </c>
      <c r="M92" s="4">
        <f t="shared" si="3"/>
        <v>7.0459894503542841E-3</v>
      </c>
    </row>
    <row r="93" spans="1:13" x14ac:dyDescent="0.25">
      <c r="A93" t="s">
        <v>99</v>
      </c>
      <c r="K93" s="1" t="str">
        <f t="shared" si="2"/>
        <v>1993-02-01</v>
      </c>
      <c r="L93">
        <v>443.38000499999998</v>
      </c>
      <c r="M93" s="4">
        <f t="shared" si="3"/>
        <v>1.0483627354217706E-2</v>
      </c>
    </row>
    <row r="94" spans="1:13" x14ac:dyDescent="0.25">
      <c r="A94" t="s">
        <v>100</v>
      </c>
      <c r="K94" s="1" t="str">
        <f t="shared" si="2"/>
        <v>1993-03-01</v>
      </c>
      <c r="L94">
        <v>451.67001299999998</v>
      </c>
      <c r="M94" s="4">
        <f t="shared" si="3"/>
        <v>1.8697297817929392E-2</v>
      </c>
    </row>
    <row r="95" spans="1:13" x14ac:dyDescent="0.25">
      <c r="A95" t="s">
        <v>101</v>
      </c>
      <c r="K95" s="1" t="str">
        <f t="shared" si="2"/>
        <v>1993-04-01</v>
      </c>
      <c r="L95">
        <v>440.19000199999999</v>
      </c>
      <c r="M95" s="4">
        <f t="shared" si="3"/>
        <v>-2.5416810214496155E-2</v>
      </c>
    </row>
    <row r="96" spans="1:13" x14ac:dyDescent="0.25">
      <c r="A96" t="s">
        <v>102</v>
      </c>
      <c r="K96" s="1" t="str">
        <f t="shared" si="2"/>
        <v>1993-05-01</v>
      </c>
      <c r="L96">
        <v>450.19000199999999</v>
      </c>
      <c r="M96" s="4">
        <f t="shared" si="3"/>
        <v>2.2717462810525113E-2</v>
      </c>
    </row>
    <row r="97" spans="1:13" x14ac:dyDescent="0.25">
      <c r="A97" t="s">
        <v>103</v>
      </c>
      <c r="K97" s="1" t="str">
        <f t="shared" si="2"/>
        <v>1993-06-01</v>
      </c>
      <c r="L97">
        <v>450.52999899999998</v>
      </c>
      <c r="M97" s="4">
        <f t="shared" si="3"/>
        <v>7.5523001063881878E-4</v>
      </c>
    </row>
    <row r="98" spans="1:13" x14ac:dyDescent="0.25">
      <c r="A98" t="s">
        <v>104</v>
      </c>
      <c r="K98" s="1" t="str">
        <f t="shared" si="2"/>
        <v>1993-07-01</v>
      </c>
      <c r="L98">
        <v>448.13000499999998</v>
      </c>
      <c r="M98" s="4">
        <f t="shared" si="3"/>
        <v>-5.3270459355138078E-3</v>
      </c>
    </row>
    <row r="99" spans="1:13" x14ac:dyDescent="0.25">
      <c r="A99" t="s">
        <v>105</v>
      </c>
      <c r="K99" s="1" t="str">
        <f t="shared" si="2"/>
        <v>1993-08-01</v>
      </c>
      <c r="L99">
        <v>463.55999800000001</v>
      </c>
      <c r="M99" s="4">
        <f t="shared" si="3"/>
        <v>3.4431956860375923E-2</v>
      </c>
    </row>
    <row r="100" spans="1:13" x14ac:dyDescent="0.25">
      <c r="A100" t="s">
        <v>106</v>
      </c>
      <c r="K100" s="1" t="str">
        <f t="shared" si="2"/>
        <v>1993-09-01</v>
      </c>
      <c r="L100">
        <v>458.92999300000002</v>
      </c>
      <c r="M100" s="4">
        <f t="shared" si="3"/>
        <v>-9.9879304080935372E-3</v>
      </c>
    </row>
    <row r="101" spans="1:13" x14ac:dyDescent="0.25">
      <c r="A101" t="s">
        <v>107</v>
      </c>
      <c r="K101" s="1" t="str">
        <f t="shared" si="2"/>
        <v>1993-10-01</v>
      </c>
      <c r="L101">
        <v>467.82998700000002</v>
      </c>
      <c r="M101" s="4">
        <f t="shared" si="3"/>
        <v>1.9392922963742842E-2</v>
      </c>
    </row>
    <row r="102" spans="1:13" x14ac:dyDescent="0.25">
      <c r="A102" t="s">
        <v>108</v>
      </c>
      <c r="K102" s="1" t="str">
        <f t="shared" si="2"/>
        <v>1993-11-01</v>
      </c>
      <c r="L102">
        <v>461.790009</v>
      </c>
      <c r="M102" s="4">
        <f t="shared" si="3"/>
        <v>-1.2910626013377002E-2</v>
      </c>
    </row>
    <row r="103" spans="1:13" x14ac:dyDescent="0.25">
      <c r="A103" t="s">
        <v>109</v>
      </c>
      <c r="K103" s="1" t="str">
        <f t="shared" si="2"/>
        <v>1993-12-01</v>
      </c>
      <c r="L103">
        <v>466.45001200000002</v>
      </c>
      <c r="M103" s="4">
        <f t="shared" si="3"/>
        <v>1.0091173280450949E-2</v>
      </c>
    </row>
    <row r="104" spans="1:13" x14ac:dyDescent="0.25">
      <c r="A104" t="s">
        <v>110</v>
      </c>
      <c r="K104" s="1" t="str">
        <f t="shared" si="2"/>
        <v>1994-01-01</v>
      </c>
      <c r="L104">
        <v>481.60998499999999</v>
      </c>
      <c r="M104" s="4">
        <f t="shared" si="3"/>
        <v>3.2500745224549377E-2</v>
      </c>
    </row>
    <row r="105" spans="1:13" x14ac:dyDescent="0.25">
      <c r="A105" t="s">
        <v>111</v>
      </c>
      <c r="K105" s="1" t="str">
        <f t="shared" si="2"/>
        <v>1994-02-01</v>
      </c>
      <c r="L105">
        <v>467.14001500000001</v>
      </c>
      <c r="M105" s="4">
        <f t="shared" si="3"/>
        <v>-3.0044995848663714E-2</v>
      </c>
    </row>
    <row r="106" spans="1:13" x14ac:dyDescent="0.25">
      <c r="A106" t="s">
        <v>112</v>
      </c>
      <c r="K106" s="1" t="str">
        <f t="shared" si="2"/>
        <v>1994-03-01</v>
      </c>
      <c r="L106">
        <v>445.76998900000001</v>
      </c>
      <c r="M106" s="4">
        <f t="shared" si="3"/>
        <v>-4.5746511353774721E-2</v>
      </c>
    </row>
    <row r="107" spans="1:13" x14ac:dyDescent="0.25">
      <c r="A107" t="s">
        <v>113</v>
      </c>
      <c r="K107" s="1" t="str">
        <f t="shared" si="2"/>
        <v>1994-04-01</v>
      </c>
      <c r="L107">
        <v>450.91000400000001</v>
      </c>
      <c r="M107" s="4">
        <f t="shared" si="3"/>
        <v>1.1530643889981596E-2</v>
      </c>
    </row>
    <row r="108" spans="1:13" x14ac:dyDescent="0.25">
      <c r="A108" t="s">
        <v>114</v>
      </c>
      <c r="K108" s="1" t="str">
        <f t="shared" si="2"/>
        <v>1994-05-01</v>
      </c>
      <c r="L108">
        <v>456.5</v>
      </c>
      <c r="M108" s="4">
        <f t="shared" si="3"/>
        <v>1.2397143444171643E-2</v>
      </c>
    </row>
    <row r="109" spans="1:13" x14ac:dyDescent="0.25">
      <c r="A109" t="s">
        <v>115</v>
      </c>
      <c r="K109" s="1" t="str">
        <f t="shared" si="2"/>
        <v>1994-06-01</v>
      </c>
      <c r="L109">
        <v>444.26998900000001</v>
      </c>
      <c r="M109" s="4">
        <f t="shared" si="3"/>
        <v>-2.6790823658269458E-2</v>
      </c>
    </row>
    <row r="110" spans="1:13" x14ac:dyDescent="0.25">
      <c r="A110" t="s">
        <v>116</v>
      </c>
      <c r="K110" s="1" t="str">
        <f t="shared" si="2"/>
        <v>1994-07-01</v>
      </c>
      <c r="L110">
        <v>458.26001000000002</v>
      </c>
      <c r="M110" s="4">
        <f t="shared" si="3"/>
        <v>3.148990781819383E-2</v>
      </c>
    </row>
    <row r="111" spans="1:13" x14ac:dyDescent="0.25">
      <c r="A111" t="s">
        <v>117</v>
      </c>
      <c r="K111" s="1" t="str">
        <f t="shared" si="2"/>
        <v>1994-08-01</v>
      </c>
      <c r="L111">
        <v>475.48998999999998</v>
      </c>
      <c r="M111" s="4">
        <f t="shared" si="3"/>
        <v>3.7598698607805625E-2</v>
      </c>
    </row>
    <row r="112" spans="1:13" x14ac:dyDescent="0.25">
      <c r="A112" t="s">
        <v>118</v>
      </c>
      <c r="K112" s="1" t="str">
        <f t="shared" si="2"/>
        <v>1994-09-01</v>
      </c>
      <c r="L112">
        <v>462.709991</v>
      </c>
      <c r="M112" s="4">
        <f t="shared" si="3"/>
        <v>-2.6877535318882262E-2</v>
      </c>
    </row>
    <row r="113" spans="1:13" x14ac:dyDescent="0.25">
      <c r="A113" t="s">
        <v>119</v>
      </c>
      <c r="K113" s="1" t="str">
        <f t="shared" si="2"/>
        <v>1994-10-01</v>
      </c>
      <c r="L113">
        <v>472.35000600000001</v>
      </c>
      <c r="M113" s="4">
        <f t="shared" si="3"/>
        <v>2.0833816402291649E-2</v>
      </c>
    </row>
    <row r="114" spans="1:13" x14ac:dyDescent="0.25">
      <c r="A114" t="s">
        <v>120</v>
      </c>
      <c r="K114" s="1" t="str">
        <f t="shared" si="2"/>
        <v>1994-11-01</v>
      </c>
      <c r="L114">
        <v>453.69000199999999</v>
      </c>
      <c r="M114" s="4">
        <f t="shared" si="3"/>
        <v>-3.9504612602884182E-2</v>
      </c>
    </row>
    <row r="115" spans="1:13" x14ac:dyDescent="0.25">
      <c r="A115" t="s">
        <v>121</v>
      </c>
      <c r="K115" s="1" t="str">
        <f t="shared" si="2"/>
        <v>1994-12-01</v>
      </c>
      <c r="L115">
        <v>459.26998900000001</v>
      </c>
      <c r="M115" s="4">
        <f t="shared" si="3"/>
        <v>1.22991182864991E-2</v>
      </c>
    </row>
    <row r="116" spans="1:13" x14ac:dyDescent="0.25">
      <c r="A116" t="s">
        <v>122</v>
      </c>
      <c r="K116" s="1" t="str">
        <f t="shared" si="2"/>
        <v>1995-01-01</v>
      </c>
      <c r="L116">
        <v>470.42001299999998</v>
      </c>
      <c r="M116" s="4">
        <f t="shared" si="3"/>
        <v>2.4277710860832968E-2</v>
      </c>
    </row>
    <row r="117" spans="1:13" x14ac:dyDescent="0.25">
      <c r="A117" t="s">
        <v>123</v>
      </c>
      <c r="K117" s="1" t="str">
        <f t="shared" si="2"/>
        <v>1995-02-01</v>
      </c>
      <c r="L117">
        <v>487.39001500000001</v>
      </c>
      <c r="M117" s="4">
        <f t="shared" si="3"/>
        <v>3.6074149761991636E-2</v>
      </c>
    </row>
    <row r="118" spans="1:13" x14ac:dyDescent="0.25">
      <c r="A118" t="s">
        <v>124</v>
      </c>
      <c r="K118" s="1" t="str">
        <f t="shared" si="2"/>
        <v>1995-03-01</v>
      </c>
      <c r="L118">
        <v>500.709991</v>
      </c>
      <c r="M118" s="4">
        <f t="shared" si="3"/>
        <v>2.7329193438646815E-2</v>
      </c>
    </row>
    <row r="119" spans="1:13" x14ac:dyDescent="0.25">
      <c r="A119" t="s">
        <v>125</v>
      </c>
      <c r="K119" s="1" t="str">
        <f t="shared" si="2"/>
        <v>1995-04-01</v>
      </c>
      <c r="L119">
        <v>514.71002199999998</v>
      </c>
      <c r="M119" s="4">
        <f t="shared" si="3"/>
        <v>2.7960358793799323E-2</v>
      </c>
    </row>
    <row r="120" spans="1:13" x14ac:dyDescent="0.25">
      <c r="A120" t="s">
        <v>126</v>
      </c>
      <c r="K120" s="1" t="str">
        <f t="shared" si="2"/>
        <v>1995-05-01</v>
      </c>
      <c r="L120">
        <v>533.40002400000003</v>
      </c>
      <c r="M120" s="4">
        <f t="shared" si="3"/>
        <v>3.6311711839953409E-2</v>
      </c>
    </row>
    <row r="121" spans="1:13" x14ac:dyDescent="0.25">
      <c r="A121" t="s">
        <v>127</v>
      </c>
      <c r="K121" s="1" t="str">
        <f t="shared" si="2"/>
        <v>1995-06-01</v>
      </c>
      <c r="L121">
        <v>544.75</v>
      </c>
      <c r="M121" s="4">
        <f t="shared" si="3"/>
        <v>2.1278544224437423E-2</v>
      </c>
    </row>
    <row r="122" spans="1:13" x14ac:dyDescent="0.25">
      <c r="A122" t="s">
        <v>128</v>
      </c>
      <c r="K122" s="1" t="str">
        <f t="shared" si="2"/>
        <v>1995-07-01</v>
      </c>
      <c r="L122">
        <v>562.05999799999995</v>
      </c>
      <c r="M122" s="4">
        <f t="shared" si="3"/>
        <v>3.1776040385497861E-2</v>
      </c>
    </row>
    <row r="123" spans="1:13" x14ac:dyDescent="0.25">
      <c r="A123" t="s">
        <v>129</v>
      </c>
      <c r="K123" s="1" t="str">
        <f t="shared" si="2"/>
        <v>1995-08-01</v>
      </c>
      <c r="L123">
        <v>561.88000499999998</v>
      </c>
      <c r="M123" s="4">
        <f t="shared" si="3"/>
        <v>-3.2023805401637517E-4</v>
      </c>
    </row>
    <row r="124" spans="1:13" x14ac:dyDescent="0.25">
      <c r="A124" t="s">
        <v>130</v>
      </c>
      <c r="K124" s="1" t="str">
        <f t="shared" si="2"/>
        <v>1995-09-01</v>
      </c>
      <c r="L124">
        <v>584.40997300000004</v>
      </c>
      <c r="M124" s="4">
        <f t="shared" si="3"/>
        <v>4.0097472413171298E-2</v>
      </c>
    </row>
    <row r="125" spans="1:13" x14ac:dyDescent="0.25">
      <c r="A125" t="s">
        <v>131</v>
      </c>
      <c r="K125" s="1" t="str">
        <f t="shared" si="2"/>
        <v>1995-10-01</v>
      </c>
      <c r="L125">
        <v>581.5</v>
      </c>
      <c r="M125" s="4">
        <f t="shared" si="3"/>
        <v>-4.9793349436904055E-3</v>
      </c>
    </row>
    <row r="126" spans="1:13" x14ac:dyDescent="0.25">
      <c r="A126" t="s">
        <v>132</v>
      </c>
      <c r="K126" s="1" t="str">
        <f t="shared" si="2"/>
        <v>1995-11-01</v>
      </c>
      <c r="L126">
        <v>605.36999500000002</v>
      </c>
      <c r="M126" s="4">
        <f t="shared" si="3"/>
        <v>4.1049002579535809E-2</v>
      </c>
    </row>
    <row r="127" spans="1:13" x14ac:dyDescent="0.25">
      <c r="A127" t="s">
        <v>133</v>
      </c>
      <c r="K127" s="1" t="str">
        <f t="shared" si="2"/>
        <v>1995-12-01</v>
      </c>
      <c r="L127">
        <v>615.92999299999997</v>
      </c>
      <c r="M127" s="4">
        <f t="shared" si="3"/>
        <v>1.7443874138492799E-2</v>
      </c>
    </row>
    <row r="128" spans="1:13" x14ac:dyDescent="0.25">
      <c r="A128" t="s">
        <v>134</v>
      </c>
      <c r="K128" s="1" t="str">
        <f t="shared" si="2"/>
        <v>1996-01-01</v>
      </c>
      <c r="L128">
        <v>636.02002000000005</v>
      </c>
      <c r="M128" s="4">
        <f t="shared" si="3"/>
        <v>3.2617387086717242E-2</v>
      </c>
    </row>
    <row r="129" spans="1:13" x14ac:dyDescent="0.25">
      <c r="A129" t="s">
        <v>135</v>
      </c>
      <c r="K129" s="1" t="str">
        <f t="shared" si="2"/>
        <v>1996-02-01</v>
      </c>
      <c r="L129">
        <v>640.42999299999997</v>
      </c>
      <c r="M129" s="4">
        <f t="shared" si="3"/>
        <v>6.933701552350291E-3</v>
      </c>
    </row>
    <row r="130" spans="1:13" x14ac:dyDescent="0.25">
      <c r="A130" t="s">
        <v>136</v>
      </c>
      <c r="K130" s="1" t="str">
        <f t="shared" si="2"/>
        <v>1996-03-01</v>
      </c>
      <c r="L130">
        <v>645.5</v>
      </c>
      <c r="M130" s="4">
        <f t="shared" si="3"/>
        <v>7.9165670805803057E-3</v>
      </c>
    </row>
    <row r="131" spans="1:13" x14ac:dyDescent="0.25">
      <c r="A131" t="s">
        <v>137</v>
      </c>
      <c r="K131" s="1" t="str">
        <f t="shared" ref="K131:K194" si="4">LEFT(A131,10)</f>
        <v>1996-04-01</v>
      </c>
      <c r="L131">
        <v>654.169983</v>
      </c>
      <c r="M131" s="4">
        <f t="shared" si="3"/>
        <v>1.3431422153369565E-2</v>
      </c>
    </row>
    <row r="132" spans="1:13" x14ac:dyDescent="0.25">
      <c r="A132" t="s">
        <v>138</v>
      </c>
      <c r="K132" s="1" t="str">
        <f t="shared" si="4"/>
        <v>1996-05-01</v>
      </c>
      <c r="L132">
        <v>669.11999500000002</v>
      </c>
      <c r="M132" s="4">
        <f t="shared" ref="M132:M195" si="5">(L132/L131)-1</f>
        <v>2.2853405672085048E-2</v>
      </c>
    </row>
    <row r="133" spans="1:13" x14ac:dyDescent="0.25">
      <c r="A133" t="s">
        <v>139</v>
      </c>
      <c r="K133" s="1" t="str">
        <f t="shared" si="4"/>
        <v>1996-06-01</v>
      </c>
      <c r="L133">
        <v>670.63000499999998</v>
      </c>
      <c r="M133" s="4">
        <f t="shared" si="5"/>
        <v>2.2567103229369501E-3</v>
      </c>
    </row>
    <row r="134" spans="1:13" x14ac:dyDescent="0.25">
      <c r="A134" t="s">
        <v>140</v>
      </c>
      <c r="K134" s="1" t="str">
        <f t="shared" si="4"/>
        <v>1996-07-01</v>
      </c>
      <c r="L134">
        <v>639.95001200000002</v>
      </c>
      <c r="M134" s="4">
        <f t="shared" si="5"/>
        <v>-4.5748017194667479E-2</v>
      </c>
    </row>
    <row r="135" spans="1:13" x14ac:dyDescent="0.25">
      <c r="A135" t="s">
        <v>141</v>
      </c>
      <c r="K135" s="1" t="str">
        <f t="shared" si="4"/>
        <v>1996-08-01</v>
      </c>
      <c r="L135">
        <v>651.98999000000003</v>
      </c>
      <c r="M135" s="4">
        <f t="shared" si="5"/>
        <v>1.8813935110919333E-2</v>
      </c>
    </row>
    <row r="136" spans="1:13" x14ac:dyDescent="0.25">
      <c r="A136" t="s">
        <v>142</v>
      </c>
      <c r="K136" s="1" t="str">
        <f t="shared" si="4"/>
        <v>1996-09-01</v>
      </c>
      <c r="L136">
        <v>687.330017</v>
      </c>
      <c r="M136" s="4">
        <f t="shared" si="5"/>
        <v>5.4203327569492199E-2</v>
      </c>
    </row>
    <row r="137" spans="1:13" x14ac:dyDescent="0.25">
      <c r="A137" t="s">
        <v>143</v>
      </c>
      <c r="K137" s="1" t="str">
        <f t="shared" si="4"/>
        <v>1996-10-01</v>
      </c>
      <c r="L137">
        <v>705.27002000000005</v>
      </c>
      <c r="M137" s="4">
        <f t="shared" si="5"/>
        <v>2.6101003239030751E-2</v>
      </c>
    </row>
    <row r="138" spans="1:13" x14ac:dyDescent="0.25">
      <c r="A138" t="s">
        <v>144</v>
      </c>
      <c r="K138" s="1" t="str">
        <f t="shared" si="4"/>
        <v>1996-11-01</v>
      </c>
      <c r="L138">
        <v>757.02002000000005</v>
      </c>
      <c r="M138" s="4">
        <f t="shared" si="5"/>
        <v>7.3376151732637007E-2</v>
      </c>
    </row>
    <row r="139" spans="1:13" x14ac:dyDescent="0.25">
      <c r="A139" t="s">
        <v>145</v>
      </c>
      <c r="K139" s="1" t="str">
        <f t="shared" si="4"/>
        <v>1996-12-01</v>
      </c>
      <c r="L139">
        <v>740.73999000000003</v>
      </c>
      <c r="M139" s="4">
        <f t="shared" si="5"/>
        <v>-2.1505415404998174E-2</v>
      </c>
    </row>
    <row r="140" spans="1:13" x14ac:dyDescent="0.25">
      <c r="A140" t="s">
        <v>146</v>
      </c>
      <c r="K140" s="1" t="str">
        <f t="shared" si="4"/>
        <v>1997-01-01</v>
      </c>
      <c r="L140">
        <v>786.15997300000004</v>
      </c>
      <c r="M140" s="4">
        <f t="shared" si="5"/>
        <v>6.1317039194819234E-2</v>
      </c>
    </row>
    <row r="141" spans="1:13" x14ac:dyDescent="0.25">
      <c r="A141" t="s">
        <v>147</v>
      </c>
      <c r="K141" s="1" t="str">
        <f t="shared" si="4"/>
        <v>1997-02-01</v>
      </c>
      <c r="L141">
        <v>790.82000700000003</v>
      </c>
      <c r="M141" s="4">
        <f t="shared" si="5"/>
        <v>5.927590007180461E-3</v>
      </c>
    </row>
    <row r="142" spans="1:13" x14ac:dyDescent="0.25">
      <c r="A142" t="s">
        <v>148</v>
      </c>
      <c r="K142" s="1" t="str">
        <f t="shared" si="4"/>
        <v>1997-03-01</v>
      </c>
      <c r="L142">
        <v>757.11999500000002</v>
      </c>
      <c r="M142" s="4">
        <f t="shared" si="5"/>
        <v>-4.2614010396426427E-2</v>
      </c>
    </row>
    <row r="143" spans="1:13" x14ac:dyDescent="0.25">
      <c r="A143" t="s">
        <v>149</v>
      </c>
      <c r="K143" s="1" t="str">
        <f t="shared" si="4"/>
        <v>1997-04-01</v>
      </c>
      <c r="L143">
        <v>801.34002699999996</v>
      </c>
      <c r="M143" s="4">
        <f t="shared" si="5"/>
        <v>5.8405579422057041E-2</v>
      </c>
    </row>
    <row r="144" spans="1:13" x14ac:dyDescent="0.25">
      <c r="A144" t="s">
        <v>150</v>
      </c>
      <c r="K144" s="1" t="str">
        <f t="shared" si="4"/>
        <v>1997-05-01</v>
      </c>
      <c r="L144">
        <v>848.28002900000001</v>
      </c>
      <c r="M144" s="4">
        <f t="shared" si="5"/>
        <v>5.8576884241924976E-2</v>
      </c>
    </row>
    <row r="145" spans="1:13" x14ac:dyDescent="0.25">
      <c r="A145" t="s">
        <v>151</v>
      </c>
      <c r="K145" s="1" t="str">
        <f t="shared" si="4"/>
        <v>1997-06-01</v>
      </c>
      <c r="L145">
        <v>885.14001499999995</v>
      </c>
      <c r="M145" s="4">
        <f t="shared" si="5"/>
        <v>4.3452615574897546E-2</v>
      </c>
    </row>
    <row r="146" spans="1:13" x14ac:dyDescent="0.25">
      <c r="A146" t="s">
        <v>152</v>
      </c>
      <c r="K146" s="1" t="str">
        <f t="shared" si="4"/>
        <v>1997-07-01</v>
      </c>
      <c r="L146">
        <v>954.30999799999995</v>
      </c>
      <c r="M146" s="4">
        <f t="shared" si="5"/>
        <v>7.8145809507889075E-2</v>
      </c>
    </row>
    <row r="147" spans="1:13" x14ac:dyDescent="0.25">
      <c r="A147" t="s">
        <v>153</v>
      </c>
      <c r="K147" s="1" t="str">
        <f t="shared" si="4"/>
        <v>1997-08-01</v>
      </c>
      <c r="L147">
        <v>899.46997099999999</v>
      </c>
      <c r="M147" s="4">
        <f t="shared" si="5"/>
        <v>-5.7465631833399256E-2</v>
      </c>
    </row>
    <row r="148" spans="1:13" x14ac:dyDescent="0.25">
      <c r="A148" t="s">
        <v>154</v>
      </c>
      <c r="K148" s="1" t="str">
        <f t="shared" si="4"/>
        <v>1997-09-01</v>
      </c>
      <c r="L148">
        <v>947.28002900000001</v>
      </c>
      <c r="M148" s="4">
        <f t="shared" si="5"/>
        <v>5.3153589937912527E-2</v>
      </c>
    </row>
    <row r="149" spans="1:13" x14ac:dyDescent="0.25">
      <c r="A149" t="s">
        <v>155</v>
      </c>
      <c r="K149" s="1" t="str">
        <f t="shared" si="4"/>
        <v>1997-10-01</v>
      </c>
      <c r="L149">
        <v>914.61999500000002</v>
      </c>
      <c r="M149" s="4">
        <f t="shared" si="5"/>
        <v>-3.4477697196337753E-2</v>
      </c>
    </row>
    <row r="150" spans="1:13" x14ac:dyDescent="0.25">
      <c r="A150" t="s">
        <v>156</v>
      </c>
      <c r="K150" s="1" t="str">
        <f t="shared" si="4"/>
        <v>1997-11-01</v>
      </c>
      <c r="L150">
        <v>955.40002400000003</v>
      </c>
      <c r="M150" s="4">
        <f t="shared" si="5"/>
        <v>4.4586854893763794E-2</v>
      </c>
    </row>
    <row r="151" spans="1:13" x14ac:dyDescent="0.25">
      <c r="A151" t="s">
        <v>157</v>
      </c>
      <c r="K151" s="1" t="str">
        <f t="shared" si="4"/>
        <v>1997-12-01</v>
      </c>
      <c r="L151">
        <v>970.42999299999997</v>
      </c>
      <c r="M151" s="4">
        <f t="shared" si="5"/>
        <v>1.5731597888257953E-2</v>
      </c>
    </row>
    <row r="152" spans="1:13" x14ac:dyDescent="0.25">
      <c r="A152" t="s">
        <v>158</v>
      </c>
      <c r="K152" s="1" t="str">
        <f t="shared" si="4"/>
        <v>1998-01-01</v>
      </c>
      <c r="L152">
        <v>980.28002900000001</v>
      </c>
      <c r="M152" s="4">
        <f t="shared" si="5"/>
        <v>1.0150176798997546E-2</v>
      </c>
    </row>
    <row r="153" spans="1:13" x14ac:dyDescent="0.25">
      <c r="A153" t="s">
        <v>159</v>
      </c>
      <c r="K153" s="1" t="str">
        <f t="shared" si="4"/>
        <v>1998-02-01</v>
      </c>
      <c r="L153">
        <v>1049.339966</v>
      </c>
      <c r="M153" s="4">
        <f t="shared" si="5"/>
        <v>7.0449193043797154E-2</v>
      </c>
    </row>
    <row r="154" spans="1:13" x14ac:dyDescent="0.25">
      <c r="A154" t="s">
        <v>160</v>
      </c>
      <c r="K154" s="1" t="str">
        <f t="shared" si="4"/>
        <v>1998-03-01</v>
      </c>
      <c r="L154">
        <v>1101.75</v>
      </c>
      <c r="M154" s="4">
        <f t="shared" si="5"/>
        <v>4.9945714161429455E-2</v>
      </c>
    </row>
    <row r="155" spans="1:13" x14ac:dyDescent="0.25">
      <c r="A155" t="s">
        <v>161</v>
      </c>
      <c r="K155" s="1" t="str">
        <f t="shared" si="4"/>
        <v>1998-04-01</v>
      </c>
      <c r="L155">
        <v>1111.75</v>
      </c>
      <c r="M155" s="4">
        <f t="shared" si="5"/>
        <v>9.0764692534603952E-3</v>
      </c>
    </row>
    <row r="156" spans="1:13" x14ac:dyDescent="0.25">
      <c r="A156" t="s">
        <v>162</v>
      </c>
      <c r="K156" s="1" t="str">
        <f t="shared" si="4"/>
        <v>1998-05-01</v>
      </c>
      <c r="L156">
        <v>1090.8199460000001</v>
      </c>
      <c r="M156" s="4">
        <f t="shared" si="5"/>
        <v>-1.8826223521475116E-2</v>
      </c>
    </row>
    <row r="157" spans="1:13" x14ac:dyDescent="0.25">
      <c r="A157" t="s">
        <v>163</v>
      </c>
      <c r="K157" s="1" t="str">
        <f t="shared" si="4"/>
        <v>1998-06-01</v>
      </c>
      <c r="L157">
        <v>1133.839966</v>
      </c>
      <c r="M157" s="4">
        <f t="shared" si="5"/>
        <v>3.9438241075214098E-2</v>
      </c>
    </row>
    <row r="158" spans="1:13" x14ac:dyDescent="0.25">
      <c r="A158" t="s">
        <v>164</v>
      </c>
      <c r="K158" s="1" t="str">
        <f t="shared" si="4"/>
        <v>1998-07-01</v>
      </c>
      <c r="L158">
        <v>1120.670044</v>
      </c>
      <c r="M158" s="4">
        <f t="shared" si="5"/>
        <v>-1.161532702578949E-2</v>
      </c>
    </row>
    <row r="159" spans="1:13" x14ac:dyDescent="0.25">
      <c r="A159" t="s">
        <v>165</v>
      </c>
      <c r="K159" s="1" t="str">
        <f t="shared" si="4"/>
        <v>1998-08-01</v>
      </c>
      <c r="L159">
        <v>957.28002900000001</v>
      </c>
      <c r="M159" s="4">
        <f t="shared" si="5"/>
        <v>-0.14579671855670651</v>
      </c>
    </row>
    <row r="160" spans="1:13" x14ac:dyDescent="0.25">
      <c r="A160" t="s">
        <v>166</v>
      </c>
      <c r="K160" s="1" t="str">
        <f t="shared" si="4"/>
        <v>1998-09-01</v>
      </c>
      <c r="L160">
        <v>1017.01001</v>
      </c>
      <c r="M160" s="4">
        <f t="shared" si="5"/>
        <v>6.2395515617718944E-2</v>
      </c>
    </row>
    <row r="161" spans="1:13" x14ac:dyDescent="0.25">
      <c r="A161" t="s">
        <v>167</v>
      </c>
      <c r="K161" s="1" t="str">
        <f t="shared" si="4"/>
        <v>1998-10-01</v>
      </c>
      <c r="L161">
        <v>1098.670044</v>
      </c>
      <c r="M161" s="4">
        <f t="shared" si="5"/>
        <v>8.0294228372442378E-2</v>
      </c>
    </row>
    <row r="162" spans="1:13" x14ac:dyDescent="0.25">
      <c r="A162" t="s">
        <v>168</v>
      </c>
      <c r="K162" s="1" t="str">
        <f t="shared" si="4"/>
        <v>1998-11-01</v>
      </c>
      <c r="L162">
        <v>1163.630005</v>
      </c>
      <c r="M162" s="4">
        <f t="shared" si="5"/>
        <v>5.9125996339625342E-2</v>
      </c>
    </row>
    <row r="163" spans="1:13" x14ac:dyDescent="0.25">
      <c r="A163" t="s">
        <v>169</v>
      </c>
      <c r="K163" s="1" t="str">
        <f t="shared" si="4"/>
        <v>1998-12-01</v>
      </c>
      <c r="L163">
        <v>1229.2299800000001</v>
      </c>
      <c r="M163" s="4">
        <f t="shared" si="5"/>
        <v>5.6375286575735872E-2</v>
      </c>
    </row>
    <row r="164" spans="1:13" x14ac:dyDescent="0.25">
      <c r="A164" t="s">
        <v>170</v>
      </c>
      <c r="K164" s="1" t="str">
        <f t="shared" si="4"/>
        <v>1999-01-01</v>
      </c>
      <c r="L164">
        <v>1279.6400149999999</v>
      </c>
      <c r="M164" s="4">
        <f t="shared" si="5"/>
        <v>4.1009441536725255E-2</v>
      </c>
    </row>
    <row r="165" spans="1:13" x14ac:dyDescent="0.25">
      <c r="A165" t="s">
        <v>171</v>
      </c>
      <c r="K165" s="1" t="str">
        <f t="shared" si="4"/>
        <v>1999-02-01</v>
      </c>
      <c r="L165">
        <v>1238.329956</v>
      </c>
      <c r="M165" s="4">
        <f t="shared" si="5"/>
        <v>-3.2282562686194116E-2</v>
      </c>
    </row>
    <row r="166" spans="1:13" x14ac:dyDescent="0.25">
      <c r="A166" t="s">
        <v>172</v>
      </c>
      <c r="K166" s="1" t="str">
        <f t="shared" si="4"/>
        <v>1999-03-01</v>
      </c>
      <c r="L166">
        <v>1286.369995</v>
      </c>
      <c r="M166" s="4">
        <f t="shared" si="5"/>
        <v>3.8794215360158812E-2</v>
      </c>
    </row>
    <row r="167" spans="1:13" x14ac:dyDescent="0.25">
      <c r="A167" t="s">
        <v>173</v>
      </c>
      <c r="K167" s="1" t="str">
        <f t="shared" si="4"/>
        <v>1999-04-01</v>
      </c>
      <c r="L167">
        <v>1335.1800539999999</v>
      </c>
      <c r="M167" s="4">
        <f t="shared" si="5"/>
        <v>3.7944027915545409E-2</v>
      </c>
    </row>
    <row r="168" spans="1:13" x14ac:dyDescent="0.25">
      <c r="A168" t="s">
        <v>174</v>
      </c>
      <c r="K168" s="1" t="str">
        <f t="shared" si="4"/>
        <v>1999-05-01</v>
      </c>
      <c r="L168">
        <v>1301.839966</v>
      </c>
      <c r="M168" s="4">
        <f t="shared" si="5"/>
        <v>-2.4970480872686829E-2</v>
      </c>
    </row>
    <row r="169" spans="1:13" x14ac:dyDescent="0.25">
      <c r="A169" t="s">
        <v>175</v>
      </c>
      <c r="K169" s="1" t="str">
        <f t="shared" si="4"/>
        <v>1999-06-01</v>
      </c>
      <c r="L169">
        <v>1372.709961</v>
      </c>
      <c r="M169" s="4">
        <f t="shared" si="5"/>
        <v>5.4438331016794184E-2</v>
      </c>
    </row>
    <row r="170" spans="1:13" x14ac:dyDescent="0.25">
      <c r="A170" t="s">
        <v>176</v>
      </c>
      <c r="K170" s="1" t="str">
        <f t="shared" si="4"/>
        <v>1999-07-01</v>
      </c>
      <c r="L170">
        <v>1328.719971</v>
      </c>
      <c r="M170" s="4">
        <f t="shared" si="5"/>
        <v>-3.2046092218893762E-2</v>
      </c>
    </row>
    <row r="171" spans="1:13" x14ac:dyDescent="0.25">
      <c r="A171" t="s">
        <v>177</v>
      </c>
      <c r="K171" s="1" t="str">
        <f t="shared" si="4"/>
        <v>1999-08-01</v>
      </c>
      <c r="L171">
        <v>1320.410034</v>
      </c>
      <c r="M171" s="4">
        <f t="shared" si="5"/>
        <v>-6.2540920445004478E-3</v>
      </c>
    </row>
    <row r="172" spans="1:13" x14ac:dyDescent="0.25">
      <c r="A172" t="s">
        <v>178</v>
      </c>
      <c r="K172" s="1" t="str">
        <f t="shared" si="4"/>
        <v>1999-09-01</v>
      </c>
      <c r="L172">
        <v>1282.709961</v>
      </c>
      <c r="M172" s="4">
        <f t="shared" si="5"/>
        <v>-2.8551792268491583E-2</v>
      </c>
    </row>
    <row r="173" spans="1:13" x14ac:dyDescent="0.25">
      <c r="A173" t="s">
        <v>179</v>
      </c>
      <c r="K173" s="1" t="str">
        <f t="shared" si="4"/>
        <v>1999-10-01</v>
      </c>
      <c r="L173">
        <v>1362.9300539999999</v>
      </c>
      <c r="M173" s="4">
        <f t="shared" si="5"/>
        <v>6.2539541625965311E-2</v>
      </c>
    </row>
    <row r="174" spans="1:13" x14ac:dyDescent="0.25">
      <c r="A174" t="s">
        <v>180</v>
      </c>
      <c r="K174" s="1" t="str">
        <f t="shared" si="4"/>
        <v>1999-11-01</v>
      </c>
      <c r="L174">
        <v>1388.910034</v>
      </c>
      <c r="M174" s="4">
        <f t="shared" si="5"/>
        <v>1.906185862124965E-2</v>
      </c>
    </row>
    <row r="175" spans="1:13" x14ac:dyDescent="0.25">
      <c r="A175" t="s">
        <v>181</v>
      </c>
      <c r="K175" s="1" t="str">
        <f t="shared" si="4"/>
        <v>1999-12-01</v>
      </c>
      <c r="L175">
        <v>1469.25</v>
      </c>
      <c r="M175" s="4">
        <f t="shared" si="5"/>
        <v>5.7843894876779434E-2</v>
      </c>
    </row>
    <row r="176" spans="1:13" x14ac:dyDescent="0.25">
      <c r="A176" t="s">
        <v>182</v>
      </c>
      <c r="K176" s="1" t="str">
        <f t="shared" si="4"/>
        <v>2000-01-01</v>
      </c>
      <c r="L176">
        <v>1394.459961</v>
      </c>
      <c r="M176" s="4">
        <f t="shared" si="5"/>
        <v>-5.0903548749361871E-2</v>
      </c>
    </row>
    <row r="177" spans="1:13" x14ac:dyDescent="0.25">
      <c r="A177" t="s">
        <v>183</v>
      </c>
      <c r="K177" s="1" t="str">
        <f t="shared" si="4"/>
        <v>2000-02-01</v>
      </c>
      <c r="L177">
        <v>1366.420044</v>
      </c>
      <c r="M177" s="4">
        <f t="shared" si="5"/>
        <v>-2.0108083261058285E-2</v>
      </c>
    </row>
    <row r="178" spans="1:13" x14ac:dyDescent="0.25">
      <c r="A178" t="s">
        <v>184</v>
      </c>
      <c r="K178" s="1" t="str">
        <f t="shared" si="4"/>
        <v>2000-03-01</v>
      </c>
      <c r="L178">
        <v>1498.579956</v>
      </c>
      <c r="M178" s="4">
        <f t="shared" si="5"/>
        <v>9.6719828269732355E-2</v>
      </c>
    </row>
    <row r="179" spans="1:13" x14ac:dyDescent="0.25">
      <c r="A179" t="s">
        <v>185</v>
      </c>
      <c r="K179" s="1" t="str">
        <f t="shared" si="4"/>
        <v>2000-04-01</v>
      </c>
      <c r="L179">
        <v>1452.4300539999999</v>
      </c>
      <c r="M179" s="4">
        <f t="shared" si="5"/>
        <v>-3.079575555193137E-2</v>
      </c>
    </row>
    <row r="180" spans="1:13" x14ac:dyDescent="0.25">
      <c r="A180" t="s">
        <v>186</v>
      </c>
      <c r="K180" s="1" t="str">
        <f t="shared" si="4"/>
        <v>2000-05-01</v>
      </c>
      <c r="L180">
        <v>1420.599976</v>
      </c>
      <c r="M180" s="4">
        <f t="shared" si="5"/>
        <v>-2.1915050512993584E-2</v>
      </c>
    </row>
    <row r="181" spans="1:13" x14ac:dyDescent="0.25">
      <c r="A181" t="s">
        <v>187</v>
      </c>
      <c r="K181" s="1" t="str">
        <f t="shared" si="4"/>
        <v>2000-06-01</v>
      </c>
      <c r="L181">
        <v>1454.599976</v>
      </c>
      <c r="M181" s="4">
        <f t="shared" si="5"/>
        <v>2.3933549608901261E-2</v>
      </c>
    </row>
    <row r="182" spans="1:13" x14ac:dyDescent="0.25">
      <c r="A182" t="s">
        <v>188</v>
      </c>
      <c r="K182" s="1" t="str">
        <f t="shared" si="4"/>
        <v>2000-07-01</v>
      </c>
      <c r="L182">
        <v>1430.829956</v>
      </c>
      <c r="M182" s="4">
        <f t="shared" si="5"/>
        <v>-1.6341276221772727E-2</v>
      </c>
    </row>
    <row r="183" spans="1:13" x14ac:dyDescent="0.25">
      <c r="A183" t="s">
        <v>189</v>
      </c>
      <c r="K183" s="1" t="str">
        <f t="shared" si="4"/>
        <v>2000-08-01</v>
      </c>
      <c r="L183">
        <v>1517.6800539999999</v>
      </c>
      <c r="M183" s="4">
        <f t="shared" si="5"/>
        <v>6.0699105184236046E-2</v>
      </c>
    </row>
    <row r="184" spans="1:13" x14ac:dyDescent="0.25">
      <c r="A184" t="s">
        <v>190</v>
      </c>
      <c r="K184" s="1" t="str">
        <f t="shared" si="4"/>
        <v>2000-09-01</v>
      </c>
      <c r="L184">
        <v>1436.51001</v>
      </c>
      <c r="M184" s="4">
        <f t="shared" si="5"/>
        <v>-5.3482974745611256E-2</v>
      </c>
    </row>
    <row r="185" spans="1:13" x14ac:dyDescent="0.25">
      <c r="A185" t="s">
        <v>191</v>
      </c>
      <c r="K185" s="1" t="str">
        <f t="shared" si="4"/>
        <v>2000-10-01</v>
      </c>
      <c r="L185">
        <v>1429.400024</v>
      </c>
      <c r="M185" s="4">
        <f t="shared" si="5"/>
        <v>-4.9494858723608814E-3</v>
      </c>
    </row>
    <row r="186" spans="1:13" x14ac:dyDescent="0.25">
      <c r="A186" t="s">
        <v>192</v>
      </c>
      <c r="K186" s="1" t="str">
        <f t="shared" si="4"/>
        <v>2000-11-01</v>
      </c>
      <c r="L186">
        <v>1314.9499510000001</v>
      </c>
      <c r="M186" s="4">
        <f t="shared" si="5"/>
        <v>-8.0068609961069903E-2</v>
      </c>
    </row>
    <row r="187" spans="1:13" x14ac:dyDescent="0.25">
      <c r="A187" t="s">
        <v>193</v>
      </c>
      <c r="K187" s="1" t="str">
        <f t="shared" si="4"/>
        <v>2000-12-01</v>
      </c>
      <c r="L187">
        <v>1320.280029</v>
      </c>
      <c r="M187" s="4">
        <f t="shared" si="5"/>
        <v>4.0534455291978411E-3</v>
      </c>
    </row>
    <row r="188" spans="1:13" x14ac:dyDescent="0.25">
      <c r="A188" t="s">
        <v>194</v>
      </c>
      <c r="K188" s="1" t="str">
        <f t="shared" si="4"/>
        <v>2001-01-01</v>
      </c>
      <c r="L188">
        <v>1366.01001</v>
      </c>
      <c r="M188" s="4">
        <f t="shared" si="5"/>
        <v>3.4636577086329501E-2</v>
      </c>
    </row>
    <row r="189" spans="1:13" x14ac:dyDescent="0.25">
      <c r="A189" t="s">
        <v>195</v>
      </c>
      <c r="K189" s="1" t="str">
        <f t="shared" si="4"/>
        <v>2001-02-01</v>
      </c>
      <c r="L189">
        <v>1239.9399410000001</v>
      </c>
      <c r="M189" s="4">
        <f t="shared" si="5"/>
        <v>-9.229073584900005E-2</v>
      </c>
    </row>
    <row r="190" spans="1:13" x14ac:dyDescent="0.25">
      <c r="A190" t="s">
        <v>196</v>
      </c>
      <c r="K190" s="1" t="str">
        <f t="shared" si="4"/>
        <v>2001-03-01</v>
      </c>
      <c r="L190">
        <v>1160.329956</v>
      </c>
      <c r="M190" s="4">
        <f t="shared" si="5"/>
        <v>-6.4204710540895493E-2</v>
      </c>
    </row>
    <row r="191" spans="1:13" x14ac:dyDescent="0.25">
      <c r="A191" t="s">
        <v>197</v>
      </c>
      <c r="K191" s="1" t="str">
        <f t="shared" si="4"/>
        <v>2001-04-01</v>
      </c>
      <c r="L191">
        <v>1249.459961</v>
      </c>
      <c r="M191" s="4">
        <f t="shared" si="5"/>
        <v>7.6814361759009797E-2</v>
      </c>
    </row>
    <row r="192" spans="1:13" x14ac:dyDescent="0.25">
      <c r="A192" t="s">
        <v>198</v>
      </c>
      <c r="K192" s="1" t="str">
        <f t="shared" si="4"/>
        <v>2001-05-01</v>
      </c>
      <c r="L192">
        <v>1255.8199460000001</v>
      </c>
      <c r="M192" s="4">
        <f t="shared" si="5"/>
        <v>5.0901871196495918E-3</v>
      </c>
    </row>
    <row r="193" spans="1:13" x14ac:dyDescent="0.25">
      <c r="A193" t="s">
        <v>199</v>
      </c>
      <c r="K193" s="1" t="str">
        <f t="shared" si="4"/>
        <v>2001-06-01</v>
      </c>
      <c r="L193">
        <v>1224.380005</v>
      </c>
      <c r="M193" s="4">
        <f t="shared" si="5"/>
        <v>-2.5035389109833495E-2</v>
      </c>
    </row>
    <row r="194" spans="1:13" x14ac:dyDescent="0.25">
      <c r="A194" t="s">
        <v>200</v>
      </c>
      <c r="K194" s="1" t="str">
        <f t="shared" si="4"/>
        <v>2001-07-01</v>
      </c>
      <c r="L194">
        <v>1211.2299800000001</v>
      </c>
      <c r="M194" s="4">
        <f t="shared" si="5"/>
        <v>-1.0740150072934163E-2</v>
      </c>
    </row>
    <row r="195" spans="1:13" x14ac:dyDescent="0.25">
      <c r="A195" t="s">
        <v>201</v>
      </c>
      <c r="K195" s="1" t="str">
        <f t="shared" ref="K195:K258" si="6">LEFT(A195,10)</f>
        <v>2001-08-01</v>
      </c>
      <c r="L195">
        <v>1133.579956</v>
      </c>
      <c r="M195" s="4">
        <f t="shared" si="5"/>
        <v>-6.4108406563714748E-2</v>
      </c>
    </row>
    <row r="196" spans="1:13" x14ac:dyDescent="0.25">
      <c r="A196" t="s">
        <v>202</v>
      </c>
      <c r="K196" s="1" t="str">
        <f t="shared" si="6"/>
        <v>2001-09-01</v>
      </c>
      <c r="L196">
        <v>1040.9399410000001</v>
      </c>
      <c r="M196" s="4">
        <f t="shared" ref="M196:M259" si="7">(L196/L195)-1</f>
        <v>-8.1723406019716172E-2</v>
      </c>
    </row>
    <row r="197" spans="1:13" x14ac:dyDescent="0.25">
      <c r="A197" t="s">
        <v>203</v>
      </c>
      <c r="K197" s="1" t="str">
        <f t="shared" si="6"/>
        <v>2001-10-01</v>
      </c>
      <c r="L197">
        <v>1059.780029</v>
      </c>
      <c r="M197" s="4">
        <f t="shared" si="7"/>
        <v>1.809911144527776E-2</v>
      </c>
    </row>
    <row r="198" spans="1:13" x14ac:dyDescent="0.25">
      <c r="A198" t="s">
        <v>204</v>
      </c>
      <c r="K198" s="1" t="str">
        <f t="shared" si="6"/>
        <v>2001-11-01</v>
      </c>
      <c r="L198">
        <v>1139.4499510000001</v>
      </c>
      <c r="M198" s="4">
        <f t="shared" si="7"/>
        <v>7.5175904263053539E-2</v>
      </c>
    </row>
    <row r="199" spans="1:13" x14ac:dyDescent="0.25">
      <c r="A199" t="s">
        <v>205</v>
      </c>
      <c r="K199" s="1" t="str">
        <f t="shared" si="6"/>
        <v>2001-12-01</v>
      </c>
      <c r="L199">
        <v>1148.079956</v>
      </c>
      <c r="M199" s="4">
        <f t="shared" si="7"/>
        <v>7.5738341929156849E-3</v>
      </c>
    </row>
    <row r="200" spans="1:13" x14ac:dyDescent="0.25">
      <c r="A200" t="s">
        <v>206</v>
      </c>
      <c r="K200" s="1" t="str">
        <f t="shared" si="6"/>
        <v>2002-01-01</v>
      </c>
      <c r="L200">
        <v>1130.1999510000001</v>
      </c>
      <c r="M200" s="4">
        <f t="shared" si="7"/>
        <v>-1.5573832559794276E-2</v>
      </c>
    </row>
    <row r="201" spans="1:13" x14ac:dyDescent="0.25">
      <c r="A201" t="s">
        <v>207</v>
      </c>
      <c r="K201" s="1" t="str">
        <f t="shared" si="6"/>
        <v>2002-02-01</v>
      </c>
      <c r="L201">
        <v>1106.7299800000001</v>
      </c>
      <c r="M201" s="4">
        <f t="shared" si="7"/>
        <v>-2.0766211305560334E-2</v>
      </c>
    </row>
    <row r="202" spans="1:13" x14ac:dyDescent="0.25">
      <c r="A202" t="s">
        <v>208</v>
      </c>
      <c r="K202" s="1" t="str">
        <f t="shared" si="6"/>
        <v>2002-03-01</v>
      </c>
      <c r="L202">
        <v>1147.3900149999999</v>
      </c>
      <c r="M202" s="4">
        <f t="shared" si="7"/>
        <v>3.6738893618839086E-2</v>
      </c>
    </row>
    <row r="203" spans="1:13" x14ac:dyDescent="0.25">
      <c r="A203" t="s">
        <v>209</v>
      </c>
      <c r="K203" s="1" t="str">
        <f t="shared" si="6"/>
        <v>2002-04-01</v>
      </c>
      <c r="L203">
        <v>1076.920044</v>
      </c>
      <c r="M203" s="4">
        <f t="shared" si="7"/>
        <v>-6.1417626159139926E-2</v>
      </c>
    </row>
    <row r="204" spans="1:13" x14ac:dyDescent="0.25">
      <c r="A204" t="s">
        <v>210</v>
      </c>
      <c r="K204" s="1" t="str">
        <f t="shared" si="6"/>
        <v>2002-05-01</v>
      </c>
      <c r="L204">
        <v>1067.1400149999999</v>
      </c>
      <c r="M204" s="4">
        <f t="shared" si="7"/>
        <v>-9.0814810760454501E-3</v>
      </c>
    </row>
    <row r="205" spans="1:13" x14ac:dyDescent="0.25">
      <c r="A205" t="s">
        <v>211</v>
      </c>
      <c r="K205" s="1" t="str">
        <f t="shared" si="6"/>
        <v>2002-06-01</v>
      </c>
      <c r="L205">
        <v>989.82000700000003</v>
      </c>
      <c r="M205" s="4">
        <f t="shared" si="7"/>
        <v>-7.245535441757367E-2</v>
      </c>
    </row>
    <row r="206" spans="1:13" x14ac:dyDescent="0.25">
      <c r="A206" t="s">
        <v>212</v>
      </c>
      <c r="K206" s="1" t="str">
        <f t="shared" si="6"/>
        <v>2002-07-01</v>
      </c>
      <c r="L206">
        <v>911.61999500000002</v>
      </c>
      <c r="M206" s="4">
        <f t="shared" si="7"/>
        <v>-7.9004274966125276E-2</v>
      </c>
    </row>
    <row r="207" spans="1:13" x14ac:dyDescent="0.25">
      <c r="A207" t="s">
        <v>213</v>
      </c>
      <c r="K207" s="1" t="str">
        <f t="shared" si="6"/>
        <v>2002-08-01</v>
      </c>
      <c r="L207">
        <v>916.07000700000003</v>
      </c>
      <c r="M207" s="4">
        <f t="shared" si="7"/>
        <v>4.8814330800193151E-3</v>
      </c>
    </row>
    <row r="208" spans="1:13" x14ac:dyDescent="0.25">
      <c r="A208" t="s">
        <v>214</v>
      </c>
      <c r="K208" s="1" t="str">
        <f t="shared" si="6"/>
        <v>2002-09-01</v>
      </c>
      <c r="L208">
        <v>815.28002900000001</v>
      </c>
      <c r="M208" s="4">
        <f t="shared" si="7"/>
        <v>-0.11002431826151904</v>
      </c>
    </row>
    <row r="209" spans="1:13" x14ac:dyDescent="0.25">
      <c r="A209" t="s">
        <v>215</v>
      </c>
      <c r="K209" s="1" t="str">
        <f t="shared" si="6"/>
        <v>2002-10-01</v>
      </c>
      <c r="L209">
        <v>885.76000999999997</v>
      </c>
      <c r="M209" s="4">
        <f t="shared" si="7"/>
        <v>8.6448801016809851E-2</v>
      </c>
    </row>
    <row r="210" spans="1:13" x14ac:dyDescent="0.25">
      <c r="A210" t="s">
        <v>216</v>
      </c>
      <c r="K210" s="1" t="str">
        <f t="shared" si="6"/>
        <v>2002-11-01</v>
      </c>
      <c r="L210">
        <v>936.30999799999995</v>
      </c>
      <c r="M210" s="4">
        <f t="shared" si="7"/>
        <v>5.7069620923617892E-2</v>
      </c>
    </row>
    <row r="211" spans="1:13" x14ac:dyDescent="0.25">
      <c r="A211" t="s">
        <v>217</v>
      </c>
      <c r="K211" s="1" t="str">
        <f t="shared" si="6"/>
        <v>2002-12-01</v>
      </c>
      <c r="L211">
        <v>879.82000700000003</v>
      </c>
      <c r="M211" s="4">
        <f t="shared" si="7"/>
        <v>-6.0332572674290597E-2</v>
      </c>
    </row>
    <row r="212" spans="1:13" x14ac:dyDescent="0.25">
      <c r="A212" t="s">
        <v>218</v>
      </c>
      <c r="K212" s="1" t="str">
        <f t="shared" si="6"/>
        <v>2003-01-01</v>
      </c>
      <c r="L212">
        <v>855.70001200000002</v>
      </c>
      <c r="M212" s="4">
        <f t="shared" si="7"/>
        <v>-2.7414692559952214E-2</v>
      </c>
    </row>
    <row r="213" spans="1:13" x14ac:dyDescent="0.25">
      <c r="A213" t="s">
        <v>219</v>
      </c>
      <c r="K213" s="1" t="str">
        <f t="shared" si="6"/>
        <v>2003-02-01</v>
      </c>
      <c r="L213">
        <v>841.15002400000003</v>
      </c>
      <c r="M213" s="4">
        <f t="shared" si="7"/>
        <v>-1.7003608502929368E-2</v>
      </c>
    </row>
    <row r="214" spans="1:13" x14ac:dyDescent="0.25">
      <c r="A214" t="s">
        <v>220</v>
      </c>
      <c r="K214" s="1" t="str">
        <f t="shared" si="6"/>
        <v>2003-03-01</v>
      </c>
      <c r="L214">
        <v>848.17999299999997</v>
      </c>
      <c r="M214" s="4">
        <f t="shared" si="7"/>
        <v>8.3575685661514409E-3</v>
      </c>
    </row>
    <row r="215" spans="1:13" x14ac:dyDescent="0.25">
      <c r="A215" t="s">
        <v>221</v>
      </c>
      <c r="K215" s="1" t="str">
        <f t="shared" si="6"/>
        <v>2003-04-01</v>
      </c>
      <c r="L215">
        <v>916.919983</v>
      </c>
      <c r="M215" s="4">
        <f t="shared" si="7"/>
        <v>8.1044106872726118E-2</v>
      </c>
    </row>
    <row r="216" spans="1:13" x14ac:dyDescent="0.25">
      <c r="A216" t="s">
        <v>222</v>
      </c>
      <c r="K216" s="1" t="str">
        <f t="shared" si="6"/>
        <v>2003-05-01</v>
      </c>
      <c r="L216">
        <v>963.59002699999996</v>
      </c>
      <c r="M216" s="4">
        <f t="shared" si="7"/>
        <v>5.0898709664177977E-2</v>
      </c>
    </row>
    <row r="217" spans="1:13" x14ac:dyDescent="0.25">
      <c r="A217" t="s">
        <v>223</v>
      </c>
      <c r="K217" s="1" t="str">
        <f t="shared" si="6"/>
        <v>2003-06-01</v>
      </c>
      <c r="L217">
        <v>974.5</v>
      </c>
      <c r="M217" s="4">
        <f t="shared" si="7"/>
        <v>1.1322214525161467E-2</v>
      </c>
    </row>
    <row r="218" spans="1:13" x14ac:dyDescent="0.25">
      <c r="A218" t="s">
        <v>224</v>
      </c>
      <c r="K218" s="1" t="str">
        <f t="shared" si="6"/>
        <v>2003-07-01</v>
      </c>
      <c r="L218">
        <v>990.30999799999995</v>
      </c>
      <c r="M218" s="4">
        <f t="shared" si="7"/>
        <v>1.6223702411493068E-2</v>
      </c>
    </row>
    <row r="219" spans="1:13" x14ac:dyDescent="0.25">
      <c r="A219" t="s">
        <v>225</v>
      </c>
      <c r="K219" s="1" t="str">
        <f t="shared" si="6"/>
        <v>2003-08-01</v>
      </c>
      <c r="L219">
        <v>1008.01001</v>
      </c>
      <c r="M219" s="4">
        <f t="shared" si="7"/>
        <v>1.7873203376464364E-2</v>
      </c>
    </row>
    <row r="220" spans="1:13" x14ac:dyDescent="0.25">
      <c r="A220" t="s">
        <v>226</v>
      </c>
      <c r="K220" s="1" t="str">
        <f t="shared" si="6"/>
        <v>2003-09-01</v>
      </c>
      <c r="L220">
        <v>995.96997099999999</v>
      </c>
      <c r="M220" s="4">
        <f t="shared" si="7"/>
        <v>-1.194436452074521E-2</v>
      </c>
    </row>
    <row r="221" spans="1:13" x14ac:dyDescent="0.25">
      <c r="A221" t="s">
        <v>227</v>
      </c>
      <c r="K221" s="1" t="str">
        <f t="shared" si="6"/>
        <v>2003-10-01</v>
      </c>
      <c r="L221">
        <v>1050.709961</v>
      </c>
      <c r="M221" s="4">
        <f t="shared" si="7"/>
        <v>5.496148638401066E-2</v>
      </c>
    </row>
    <row r="222" spans="1:13" x14ac:dyDescent="0.25">
      <c r="A222" t="s">
        <v>228</v>
      </c>
      <c r="K222" s="1" t="str">
        <f t="shared" si="6"/>
        <v>2003-11-01</v>
      </c>
      <c r="L222">
        <v>1058.1999510000001</v>
      </c>
      <c r="M222" s="4">
        <f t="shared" si="7"/>
        <v>7.1285038478854368E-3</v>
      </c>
    </row>
    <row r="223" spans="1:13" x14ac:dyDescent="0.25">
      <c r="A223" t="s">
        <v>229</v>
      </c>
      <c r="K223" s="1" t="str">
        <f t="shared" si="6"/>
        <v>2003-12-01</v>
      </c>
      <c r="L223">
        <v>1111.920044</v>
      </c>
      <c r="M223" s="4">
        <f t="shared" si="7"/>
        <v>5.0765541001239312E-2</v>
      </c>
    </row>
    <row r="224" spans="1:13" x14ac:dyDescent="0.25">
      <c r="A224" t="s">
        <v>230</v>
      </c>
      <c r="K224" s="1" t="str">
        <f t="shared" si="6"/>
        <v>2004-01-01</v>
      </c>
      <c r="L224">
        <v>1131.130005</v>
      </c>
      <c r="M224" s="4">
        <f t="shared" si="7"/>
        <v>1.7276387006114557E-2</v>
      </c>
    </row>
    <row r="225" spans="1:13" x14ac:dyDescent="0.25">
      <c r="A225" t="s">
        <v>231</v>
      </c>
      <c r="K225" s="1" t="str">
        <f t="shared" si="6"/>
        <v>2004-02-01</v>
      </c>
      <c r="L225">
        <v>1144.9399410000001</v>
      </c>
      <c r="M225" s="4">
        <f t="shared" si="7"/>
        <v>1.2208973273589496E-2</v>
      </c>
    </row>
    <row r="226" spans="1:13" x14ac:dyDescent="0.25">
      <c r="A226" t="s">
        <v>232</v>
      </c>
      <c r="K226" s="1" t="str">
        <f t="shared" si="6"/>
        <v>2004-03-01</v>
      </c>
      <c r="L226">
        <v>1126.209961</v>
      </c>
      <c r="M226" s="4">
        <f t="shared" si="7"/>
        <v>-1.6358919214261247E-2</v>
      </c>
    </row>
    <row r="227" spans="1:13" x14ac:dyDescent="0.25">
      <c r="A227" t="s">
        <v>233</v>
      </c>
      <c r="K227" s="1" t="str">
        <f t="shared" si="6"/>
        <v>2004-04-01</v>
      </c>
      <c r="L227">
        <v>1107.3000489999999</v>
      </c>
      <c r="M227" s="4">
        <f t="shared" si="7"/>
        <v>-1.6790751862298725E-2</v>
      </c>
    </row>
    <row r="228" spans="1:13" x14ac:dyDescent="0.25">
      <c r="A228" t="s">
        <v>234</v>
      </c>
      <c r="K228" s="1" t="str">
        <f t="shared" si="6"/>
        <v>2004-05-01</v>
      </c>
      <c r="L228">
        <v>1120.6800539999999</v>
      </c>
      <c r="M228" s="4">
        <f t="shared" si="7"/>
        <v>1.2083450201310297E-2</v>
      </c>
    </row>
    <row r="229" spans="1:13" x14ac:dyDescent="0.25">
      <c r="A229" t="s">
        <v>235</v>
      </c>
      <c r="K229" s="1" t="str">
        <f t="shared" si="6"/>
        <v>2004-06-01</v>
      </c>
      <c r="L229">
        <v>1140.839966</v>
      </c>
      <c r="M229" s="4">
        <f t="shared" si="7"/>
        <v>1.7988998669195677E-2</v>
      </c>
    </row>
    <row r="230" spans="1:13" x14ac:dyDescent="0.25">
      <c r="A230" t="s">
        <v>236</v>
      </c>
      <c r="K230" s="1" t="str">
        <f t="shared" si="6"/>
        <v>2004-07-01</v>
      </c>
      <c r="L230">
        <v>1101.719971</v>
      </c>
      <c r="M230" s="4">
        <f t="shared" si="7"/>
        <v>-3.4290519411904974E-2</v>
      </c>
    </row>
    <row r="231" spans="1:13" x14ac:dyDescent="0.25">
      <c r="A231" t="s">
        <v>237</v>
      </c>
      <c r="K231" s="1" t="str">
        <f t="shared" si="6"/>
        <v>2004-08-01</v>
      </c>
      <c r="L231">
        <v>1104.23999</v>
      </c>
      <c r="M231" s="4">
        <f t="shared" si="7"/>
        <v>2.287349840552233E-3</v>
      </c>
    </row>
    <row r="232" spans="1:13" x14ac:dyDescent="0.25">
      <c r="A232" t="s">
        <v>238</v>
      </c>
      <c r="K232" s="1" t="str">
        <f t="shared" si="6"/>
        <v>2004-09-01</v>
      </c>
      <c r="L232">
        <v>1114.579956</v>
      </c>
      <c r="M232" s="4">
        <f t="shared" si="7"/>
        <v>9.3638756915515042E-3</v>
      </c>
    </row>
    <row r="233" spans="1:13" x14ac:dyDescent="0.25">
      <c r="A233" t="s">
        <v>239</v>
      </c>
      <c r="K233" s="1" t="str">
        <f t="shared" si="6"/>
        <v>2004-10-01</v>
      </c>
      <c r="L233">
        <v>1130.1999510000001</v>
      </c>
      <c r="M233" s="4">
        <f t="shared" si="7"/>
        <v>1.4014243586486952E-2</v>
      </c>
    </row>
    <row r="234" spans="1:13" x14ac:dyDescent="0.25">
      <c r="A234" t="s">
        <v>240</v>
      </c>
      <c r="K234" s="1" t="str">
        <f t="shared" si="6"/>
        <v>2004-11-01</v>
      </c>
      <c r="L234">
        <v>1173.8199460000001</v>
      </c>
      <c r="M234" s="4">
        <f t="shared" si="7"/>
        <v>3.8594936198152352E-2</v>
      </c>
    </row>
    <row r="235" spans="1:13" x14ac:dyDescent="0.25">
      <c r="A235" t="s">
        <v>241</v>
      </c>
      <c r="K235" s="1" t="str">
        <f t="shared" si="6"/>
        <v>2004-12-01</v>
      </c>
      <c r="L235">
        <v>1211.920044</v>
      </c>
      <c r="M235" s="4">
        <f t="shared" si="7"/>
        <v>3.24582131440454E-2</v>
      </c>
    </row>
    <row r="236" spans="1:13" x14ac:dyDescent="0.25">
      <c r="A236" t="s">
        <v>242</v>
      </c>
      <c r="K236" s="1" t="str">
        <f t="shared" si="6"/>
        <v>2005-01-01</v>
      </c>
      <c r="L236">
        <v>1181.2700199999999</v>
      </c>
      <c r="M236" s="4">
        <f t="shared" si="7"/>
        <v>-2.5290467099494562E-2</v>
      </c>
    </row>
    <row r="237" spans="1:13" x14ac:dyDescent="0.25">
      <c r="A237" t="s">
        <v>243</v>
      </c>
      <c r="K237" s="1" t="str">
        <f t="shared" si="6"/>
        <v>2005-02-01</v>
      </c>
      <c r="L237">
        <v>1203.599976</v>
      </c>
      <c r="M237" s="4">
        <f t="shared" si="7"/>
        <v>1.8903346078316563E-2</v>
      </c>
    </row>
    <row r="238" spans="1:13" x14ac:dyDescent="0.25">
      <c r="A238" t="s">
        <v>244</v>
      </c>
      <c r="K238" s="1" t="str">
        <f t="shared" si="6"/>
        <v>2005-03-01</v>
      </c>
      <c r="L238">
        <v>1180.589966</v>
      </c>
      <c r="M238" s="4">
        <f t="shared" si="7"/>
        <v>-1.9117655748441043E-2</v>
      </c>
    </row>
    <row r="239" spans="1:13" x14ac:dyDescent="0.25">
      <c r="A239" t="s">
        <v>245</v>
      </c>
      <c r="K239" s="1" t="str">
        <f t="shared" si="6"/>
        <v>2005-04-01</v>
      </c>
      <c r="L239">
        <v>1156.849976</v>
      </c>
      <c r="M239" s="4">
        <f t="shared" si="7"/>
        <v>-2.0108581881679299E-2</v>
      </c>
    </row>
    <row r="240" spans="1:13" x14ac:dyDescent="0.25">
      <c r="A240" t="s">
        <v>246</v>
      </c>
      <c r="K240" s="1" t="str">
        <f t="shared" si="6"/>
        <v>2005-05-01</v>
      </c>
      <c r="L240">
        <v>1191.5</v>
      </c>
      <c r="M240" s="4">
        <f t="shared" si="7"/>
        <v>2.9952046262565757E-2</v>
      </c>
    </row>
    <row r="241" spans="1:13" x14ac:dyDescent="0.25">
      <c r="A241" t="s">
        <v>247</v>
      </c>
      <c r="K241" s="1" t="str">
        <f t="shared" si="6"/>
        <v>2005-06-01</v>
      </c>
      <c r="L241">
        <v>1191.329956</v>
      </c>
      <c r="M241" s="4">
        <f t="shared" si="7"/>
        <v>-1.427142257658387E-4</v>
      </c>
    </row>
    <row r="242" spans="1:13" x14ac:dyDescent="0.25">
      <c r="A242" t="s">
        <v>248</v>
      </c>
      <c r="K242" s="1" t="str">
        <f t="shared" si="6"/>
        <v>2005-07-01</v>
      </c>
      <c r="L242">
        <v>1234.1800539999999</v>
      </c>
      <c r="M242" s="4">
        <f t="shared" si="7"/>
        <v>3.5968287193812287E-2</v>
      </c>
    </row>
    <row r="243" spans="1:13" x14ac:dyDescent="0.25">
      <c r="A243" t="s">
        <v>249</v>
      </c>
      <c r="K243" s="1" t="str">
        <f t="shared" si="6"/>
        <v>2005-08-01</v>
      </c>
      <c r="L243">
        <v>1220.329956</v>
      </c>
      <c r="M243" s="4">
        <f t="shared" si="7"/>
        <v>-1.1222104874496597E-2</v>
      </c>
    </row>
    <row r="244" spans="1:13" x14ac:dyDescent="0.25">
      <c r="A244" t="s">
        <v>250</v>
      </c>
      <c r="K244" s="1" t="str">
        <f t="shared" si="6"/>
        <v>2005-09-01</v>
      </c>
      <c r="L244">
        <v>1228.8100589999999</v>
      </c>
      <c r="M244" s="4">
        <f t="shared" si="7"/>
        <v>6.9490246947603307E-3</v>
      </c>
    </row>
    <row r="245" spans="1:13" x14ac:dyDescent="0.25">
      <c r="A245" t="s">
        <v>251</v>
      </c>
      <c r="K245" s="1" t="str">
        <f t="shared" si="6"/>
        <v>2005-10-01</v>
      </c>
      <c r="L245">
        <v>1207.01001</v>
      </c>
      <c r="M245" s="4">
        <f t="shared" si="7"/>
        <v>-1.7740780066319406E-2</v>
      </c>
    </row>
    <row r="246" spans="1:13" x14ac:dyDescent="0.25">
      <c r="A246" t="s">
        <v>252</v>
      </c>
      <c r="K246" s="1" t="str">
        <f t="shared" si="6"/>
        <v>2005-11-01</v>
      </c>
      <c r="L246">
        <v>1249.4799800000001</v>
      </c>
      <c r="M246" s="4">
        <f t="shared" si="7"/>
        <v>3.5186095929726546E-2</v>
      </c>
    </row>
    <row r="247" spans="1:13" x14ac:dyDescent="0.25">
      <c r="A247" t="s">
        <v>253</v>
      </c>
      <c r="K247" s="1" t="str">
        <f t="shared" si="6"/>
        <v>2005-12-01</v>
      </c>
      <c r="L247">
        <v>1248.290039</v>
      </c>
      <c r="M247" s="4">
        <f t="shared" si="7"/>
        <v>-9.5234899241847248E-4</v>
      </c>
    </row>
    <row r="248" spans="1:13" x14ac:dyDescent="0.25">
      <c r="A248" t="s">
        <v>254</v>
      </c>
      <c r="K248" s="1" t="str">
        <f t="shared" si="6"/>
        <v>2006-01-01</v>
      </c>
      <c r="L248">
        <v>1280.079956</v>
      </c>
      <c r="M248" s="4">
        <f t="shared" si="7"/>
        <v>2.5466771348641615E-2</v>
      </c>
    </row>
    <row r="249" spans="1:13" x14ac:dyDescent="0.25">
      <c r="A249" t="s">
        <v>255</v>
      </c>
      <c r="K249" s="1" t="str">
        <f t="shared" si="6"/>
        <v>2006-02-01</v>
      </c>
      <c r="L249">
        <v>1280.660034</v>
      </c>
      <c r="M249" s="4">
        <f t="shared" si="7"/>
        <v>4.5315763072539816E-4</v>
      </c>
    </row>
    <row r="250" spans="1:13" x14ac:dyDescent="0.25">
      <c r="A250" t="s">
        <v>256</v>
      </c>
      <c r="K250" s="1" t="str">
        <f t="shared" si="6"/>
        <v>2006-03-01</v>
      </c>
      <c r="L250">
        <v>1294.869995</v>
      </c>
      <c r="M250" s="4">
        <f t="shared" si="7"/>
        <v>1.1095810459249567E-2</v>
      </c>
    </row>
    <row r="251" spans="1:13" x14ac:dyDescent="0.25">
      <c r="A251" t="s">
        <v>257</v>
      </c>
      <c r="K251" s="1" t="str">
        <f t="shared" si="6"/>
        <v>2006-04-01</v>
      </c>
      <c r="L251">
        <v>1310.6099850000001</v>
      </c>
      <c r="M251" s="4">
        <f t="shared" si="7"/>
        <v>1.2155652737941391E-2</v>
      </c>
    </row>
    <row r="252" spans="1:13" x14ac:dyDescent="0.25">
      <c r="A252" t="s">
        <v>258</v>
      </c>
      <c r="K252" s="1" t="str">
        <f t="shared" si="6"/>
        <v>2006-05-01</v>
      </c>
      <c r="L252">
        <v>1270.089966</v>
      </c>
      <c r="M252" s="4">
        <f t="shared" si="7"/>
        <v>-3.0916916141150885E-2</v>
      </c>
    </row>
    <row r="253" spans="1:13" x14ac:dyDescent="0.25">
      <c r="A253" t="s">
        <v>259</v>
      </c>
      <c r="K253" s="1" t="str">
        <f t="shared" si="6"/>
        <v>2006-06-01</v>
      </c>
      <c r="L253">
        <v>1270.1999510000001</v>
      </c>
      <c r="M253" s="4">
        <f t="shared" si="7"/>
        <v>8.6596227782509416E-5</v>
      </c>
    </row>
    <row r="254" spans="1:13" x14ac:dyDescent="0.25">
      <c r="A254" t="s">
        <v>260</v>
      </c>
      <c r="K254" s="1" t="str">
        <f t="shared" si="6"/>
        <v>2006-07-01</v>
      </c>
      <c r="L254">
        <v>1276.660034</v>
      </c>
      <c r="M254" s="4">
        <f t="shared" si="7"/>
        <v>5.0858787979908282E-3</v>
      </c>
    </row>
    <row r="255" spans="1:13" x14ac:dyDescent="0.25">
      <c r="A255" t="s">
        <v>261</v>
      </c>
      <c r="K255" s="1" t="str">
        <f t="shared" si="6"/>
        <v>2006-08-01</v>
      </c>
      <c r="L255">
        <v>1303.8199460000001</v>
      </c>
      <c r="M255" s="4">
        <f t="shared" si="7"/>
        <v>2.1274193032348121E-2</v>
      </c>
    </row>
    <row r="256" spans="1:13" x14ac:dyDescent="0.25">
      <c r="A256" t="s">
        <v>262</v>
      </c>
      <c r="K256" s="1" t="str">
        <f t="shared" si="6"/>
        <v>2006-09-01</v>
      </c>
      <c r="L256">
        <v>1335.849976</v>
      </c>
      <c r="M256" s="4">
        <f t="shared" si="7"/>
        <v>2.4566298512509466E-2</v>
      </c>
    </row>
    <row r="257" spans="1:13" x14ac:dyDescent="0.25">
      <c r="A257" t="s">
        <v>263</v>
      </c>
      <c r="K257" s="1" t="str">
        <f t="shared" si="6"/>
        <v>2006-10-01</v>
      </c>
      <c r="L257">
        <v>1377.9399410000001</v>
      </c>
      <c r="M257" s="4">
        <f t="shared" si="7"/>
        <v>3.1508002961554205E-2</v>
      </c>
    </row>
    <row r="258" spans="1:13" x14ac:dyDescent="0.25">
      <c r="A258" t="s">
        <v>264</v>
      </c>
      <c r="K258" s="1" t="str">
        <f t="shared" si="6"/>
        <v>2006-11-01</v>
      </c>
      <c r="L258">
        <v>1400.630005</v>
      </c>
      <c r="M258" s="4">
        <f t="shared" si="7"/>
        <v>1.6466656727820217E-2</v>
      </c>
    </row>
    <row r="259" spans="1:13" x14ac:dyDescent="0.25">
      <c r="A259" t="s">
        <v>265</v>
      </c>
      <c r="K259" s="1" t="str">
        <f t="shared" ref="K259:K322" si="8">LEFT(A259,10)</f>
        <v>2006-12-01</v>
      </c>
      <c r="L259">
        <v>1418.3000489999999</v>
      </c>
      <c r="M259" s="4">
        <f t="shared" si="7"/>
        <v>1.2615782852659851E-2</v>
      </c>
    </row>
    <row r="260" spans="1:13" x14ac:dyDescent="0.25">
      <c r="A260" t="s">
        <v>266</v>
      </c>
      <c r="K260" s="1" t="str">
        <f t="shared" si="8"/>
        <v>2007-01-01</v>
      </c>
      <c r="L260">
        <v>1438.23999</v>
      </c>
      <c r="M260" s="4">
        <f t="shared" ref="M260:M323" si="9">(L260/L259)-1</f>
        <v>1.4059042735039773E-2</v>
      </c>
    </row>
    <row r="261" spans="1:13" x14ac:dyDescent="0.25">
      <c r="A261" t="s">
        <v>267</v>
      </c>
      <c r="K261" s="1" t="str">
        <f t="shared" si="8"/>
        <v>2007-02-01</v>
      </c>
      <c r="L261">
        <v>1406.8199460000001</v>
      </c>
      <c r="M261" s="4">
        <f t="shared" si="9"/>
        <v>-2.1846176033528231E-2</v>
      </c>
    </row>
    <row r="262" spans="1:13" x14ac:dyDescent="0.25">
      <c r="A262" t="s">
        <v>268</v>
      </c>
      <c r="K262" s="1" t="str">
        <f t="shared" si="8"/>
        <v>2007-03-01</v>
      </c>
      <c r="L262">
        <v>1420.8599850000001</v>
      </c>
      <c r="M262" s="4">
        <f t="shared" si="9"/>
        <v>9.9799828968305526E-3</v>
      </c>
    </row>
    <row r="263" spans="1:13" x14ac:dyDescent="0.25">
      <c r="A263" t="s">
        <v>269</v>
      </c>
      <c r="K263" s="1" t="str">
        <f t="shared" si="8"/>
        <v>2007-04-01</v>
      </c>
      <c r="L263">
        <v>1482.369995</v>
      </c>
      <c r="M263" s="4">
        <f t="shared" si="9"/>
        <v>4.3290690602424187E-2</v>
      </c>
    </row>
    <row r="264" spans="1:13" x14ac:dyDescent="0.25">
      <c r="A264" t="s">
        <v>270</v>
      </c>
      <c r="K264" s="1" t="str">
        <f t="shared" si="8"/>
        <v>2007-05-01</v>
      </c>
      <c r="L264">
        <v>1530.619995</v>
      </c>
      <c r="M264" s="4">
        <f t="shared" si="9"/>
        <v>3.254922870993493E-2</v>
      </c>
    </row>
    <row r="265" spans="1:13" x14ac:dyDescent="0.25">
      <c r="A265" t="s">
        <v>271</v>
      </c>
      <c r="K265" s="1" t="str">
        <f t="shared" si="8"/>
        <v>2007-06-01</v>
      </c>
      <c r="L265">
        <v>1503.349976</v>
      </c>
      <c r="M265" s="4">
        <f t="shared" si="9"/>
        <v>-1.7816322202167556E-2</v>
      </c>
    </row>
    <row r="266" spans="1:13" x14ac:dyDescent="0.25">
      <c r="A266" t="s">
        <v>272</v>
      </c>
      <c r="K266" s="1" t="str">
        <f t="shared" si="8"/>
        <v>2007-07-01</v>
      </c>
      <c r="L266">
        <v>1455.2700199999999</v>
      </c>
      <c r="M266" s="4">
        <f t="shared" si="9"/>
        <v>-3.1981878316802548E-2</v>
      </c>
    </row>
    <row r="267" spans="1:13" x14ac:dyDescent="0.25">
      <c r="A267" t="s">
        <v>273</v>
      </c>
      <c r="K267" s="1" t="str">
        <f t="shared" si="8"/>
        <v>2007-08-01</v>
      </c>
      <c r="L267">
        <v>1473.98999</v>
      </c>
      <c r="M267" s="4">
        <f t="shared" si="9"/>
        <v>1.2863571531556817E-2</v>
      </c>
    </row>
    <row r="268" spans="1:13" x14ac:dyDescent="0.25">
      <c r="A268" t="s">
        <v>274</v>
      </c>
      <c r="K268" s="1" t="str">
        <f t="shared" si="8"/>
        <v>2007-09-01</v>
      </c>
      <c r="L268">
        <v>1526.75</v>
      </c>
      <c r="M268" s="4">
        <f t="shared" si="9"/>
        <v>3.5794008343299488E-2</v>
      </c>
    </row>
    <row r="269" spans="1:13" x14ac:dyDescent="0.25">
      <c r="A269" t="s">
        <v>275</v>
      </c>
      <c r="K269" s="1" t="str">
        <f t="shared" si="8"/>
        <v>2007-10-01</v>
      </c>
      <c r="L269">
        <v>1549.380005</v>
      </c>
      <c r="M269" s="4">
        <f t="shared" si="9"/>
        <v>1.4822338300311211E-2</v>
      </c>
    </row>
    <row r="270" spans="1:13" x14ac:dyDescent="0.25">
      <c r="A270" t="s">
        <v>276</v>
      </c>
      <c r="K270" s="1" t="str">
        <f t="shared" si="8"/>
        <v>2007-11-01</v>
      </c>
      <c r="L270">
        <v>1481.1400149999999</v>
      </c>
      <c r="M270" s="4">
        <f t="shared" si="9"/>
        <v>-4.4043417224814418E-2</v>
      </c>
    </row>
    <row r="271" spans="1:13" x14ac:dyDescent="0.25">
      <c r="A271" t="s">
        <v>277</v>
      </c>
      <c r="K271" s="1" t="str">
        <f t="shared" si="8"/>
        <v>2007-12-01</v>
      </c>
      <c r="L271">
        <v>1468.3599850000001</v>
      </c>
      <c r="M271" s="4">
        <f t="shared" si="9"/>
        <v>-8.6285090339686121E-3</v>
      </c>
    </row>
    <row r="272" spans="1:13" x14ac:dyDescent="0.25">
      <c r="A272" t="s">
        <v>278</v>
      </c>
      <c r="K272" s="1" t="str">
        <f t="shared" si="8"/>
        <v>2008-01-01</v>
      </c>
      <c r="L272">
        <v>1378.5500489999999</v>
      </c>
      <c r="M272" s="4">
        <f t="shared" si="9"/>
        <v>-6.116343193593643E-2</v>
      </c>
    </row>
    <row r="273" spans="1:13" x14ac:dyDescent="0.25">
      <c r="A273" t="s">
        <v>279</v>
      </c>
      <c r="K273" s="1" t="str">
        <f t="shared" si="8"/>
        <v>2008-02-01</v>
      </c>
      <c r="L273">
        <v>1330.630005</v>
      </c>
      <c r="M273" s="4">
        <f t="shared" si="9"/>
        <v>-3.4761192772624461E-2</v>
      </c>
    </row>
    <row r="274" spans="1:13" x14ac:dyDescent="0.25">
      <c r="A274" t="s">
        <v>280</v>
      </c>
      <c r="K274" s="1" t="str">
        <f t="shared" si="8"/>
        <v>2008-03-01</v>
      </c>
      <c r="L274">
        <v>1322.6999510000001</v>
      </c>
      <c r="M274" s="4">
        <f t="shared" si="9"/>
        <v>-5.9596236145298409E-3</v>
      </c>
    </row>
    <row r="275" spans="1:13" x14ac:dyDescent="0.25">
      <c r="A275" t="s">
        <v>281</v>
      </c>
      <c r="K275" s="1" t="str">
        <f t="shared" si="8"/>
        <v>2008-04-01</v>
      </c>
      <c r="L275">
        <v>1385.589966</v>
      </c>
      <c r="M275" s="4">
        <f t="shared" si="9"/>
        <v>4.7546697913198877E-2</v>
      </c>
    </row>
    <row r="276" spans="1:13" x14ac:dyDescent="0.25">
      <c r="A276" t="s">
        <v>282</v>
      </c>
      <c r="K276" s="1" t="str">
        <f t="shared" si="8"/>
        <v>2008-05-01</v>
      </c>
      <c r="L276">
        <v>1400.380005</v>
      </c>
      <c r="M276" s="4">
        <f t="shared" si="9"/>
        <v>1.0674181657577053E-2</v>
      </c>
    </row>
    <row r="277" spans="1:13" x14ac:dyDescent="0.25">
      <c r="A277" t="s">
        <v>283</v>
      </c>
      <c r="K277" s="1" t="str">
        <f t="shared" si="8"/>
        <v>2008-06-01</v>
      </c>
      <c r="L277">
        <v>1280</v>
      </c>
      <c r="M277" s="4">
        <f t="shared" si="9"/>
        <v>-8.5962384902803612E-2</v>
      </c>
    </row>
    <row r="278" spans="1:13" x14ac:dyDescent="0.25">
      <c r="A278" t="s">
        <v>284</v>
      </c>
      <c r="K278" s="1" t="str">
        <f t="shared" si="8"/>
        <v>2008-07-01</v>
      </c>
      <c r="L278">
        <v>1267.380005</v>
      </c>
      <c r="M278" s="4">
        <f t="shared" si="9"/>
        <v>-9.8593710937500134E-3</v>
      </c>
    </row>
    <row r="279" spans="1:13" x14ac:dyDescent="0.25">
      <c r="A279" t="s">
        <v>285</v>
      </c>
      <c r="K279" s="1" t="str">
        <f t="shared" si="8"/>
        <v>2008-08-01</v>
      </c>
      <c r="L279">
        <v>1282.829956</v>
      </c>
      <c r="M279" s="4">
        <f t="shared" si="9"/>
        <v>1.2190464532380041E-2</v>
      </c>
    </row>
    <row r="280" spans="1:13" x14ac:dyDescent="0.25">
      <c r="A280" t="s">
        <v>286</v>
      </c>
      <c r="K280" s="1" t="str">
        <f t="shared" si="8"/>
        <v>2008-09-01</v>
      </c>
      <c r="L280">
        <v>1166.3599850000001</v>
      </c>
      <c r="M280" s="4">
        <f t="shared" si="9"/>
        <v>-9.0791433779084607E-2</v>
      </c>
    </row>
    <row r="281" spans="1:13" x14ac:dyDescent="0.25">
      <c r="A281" t="s">
        <v>287</v>
      </c>
      <c r="K281" s="1" t="str">
        <f t="shared" si="8"/>
        <v>2008-10-01</v>
      </c>
      <c r="L281">
        <v>968.75</v>
      </c>
      <c r="M281" s="4">
        <f t="shared" si="9"/>
        <v>-0.1694245237674199</v>
      </c>
    </row>
    <row r="282" spans="1:13" x14ac:dyDescent="0.25">
      <c r="A282" t="s">
        <v>288</v>
      </c>
      <c r="K282" s="1" t="str">
        <f t="shared" si="8"/>
        <v>2008-11-01</v>
      </c>
      <c r="L282">
        <v>896.23999000000003</v>
      </c>
      <c r="M282" s="4">
        <f t="shared" si="9"/>
        <v>-7.4849042580645175E-2</v>
      </c>
    </row>
    <row r="283" spans="1:13" x14ac:dyDescent="0.25">
      <c r="A283" t="s">
        <v>289</v>
      </c>
      <c r="K283" s="1" t="str">
        <f t="shared" si="8"/>
        <v>2008-12-01</v>
      </c>
      <c r="L283">
        <v>903.25</v>
      </c>
      <c r="M283" s="4">
        <f t="shared" si="9"/>
        <v>7.8215768970539834E-3</v>
      </c>
    </row>
    <row r="284" spans="1:13" x14ac:dyDescent="0.25">
      <c r="A284" t="s">
        <v>290</v>
      </c>
      <c r="K284" s="1" t="str">
        <f t="shared" si="8"/>
        <v>2009-01-01</v>
      </c>
      <c r="L284">
        <v>825.88000499999998</v>
      </c>
      <c r="M284" s="4">
        <f t="shared" si="9"/>
        <v>-8.5657342928314395E-2</v>
      </c>
    </row>
    <row r="285" spans="1:13" x14ac:dyDescent="0.25">
      <c r="A285" t="s">
        <v>291</v>
      </c>
      <c r="K285" s="1" t="str">
        <f t="shared" si="8"/>
        <v>2009-02-01</v>
      </c>
      <c r="L285">
        <v>735.09002699999996</v>
      </c>
      <c r="M285" s="4">
        <f t="shared" si="9"/>
        <v>-0.10993119757149228</v>
      </c>
    </row>
    <row r="286" spans="1:13" x14ac:dyDescent="0.25">
      <c r="A286" t="s">
        <v>292</v>
      </c>
      <c r="K286" s="1" t="str">
        <f t="shared" si="8"/>
        <v>2009-03-01</v>
      </c>
      <c r="L286">
        <v>797.86999500000002</v>
      </c>
      <c r="M286" s="4">
        <f t="shared" si="9"/>
        <v>8.540446162249471E-2</v>
      </c>
    </row>
    <row r="287" spans="1:13" x14ac:dyDescent="0.25">
      <c r="A287" t="s">
        <v>293</v>
      </c>
      <c r="K287" s="1" t="str">
        <f t="shared" si="8"/>
        <v>2009-04-01</v>
      </c>
      <c r="L287">
        <v>872.80999799999995</v>
      </c>
      <c r="M287" s="4">
        <f t="shared" si="9"/>
        <v>9.3925079862164695E-2</v>
      </c>
    </row>
    <row r="288" spans="1:13" x14ac:dyDescent="0.25">
      <c r="A288" t="s">
        <v>294</v>
      </c>
      <c r="K288" s="1" t="str">
        <f t="shared" si="8"/>
        <v>2009-05-01</v>
      </c>
      <c r="L288">
        <v>919.14001499999995</v>
      </c>
      <c r="M288" s="4">
        <f t="shared" si="9"/>
        <v>5.3081446255385467E-2</v>
      </c>
    </row>
    <row r="289" spans="1:13" x14ac:dyDescent="0.25">
      <c r="A289" t="s">
        <v>295</v>
      </c>
      <c r="K289" s="1" t="str">
        <f t="shared" si="8"/>
        <v>2009-06-01</v>
      </c>
      <c r="L289">
        <v>919.32000700000003</v>
      </c>
      <c r="M289" s="4">
        <f t="shared" si="9"/>
        <v>1.9582653030303376E-4</v>
      </c>
    </row>
    <row r="290" spans="1:13" x14ac:dyDescent="0.25">
      <c r="A290" t="s">
        <v>296</v>
      </c>
      <c r="K290" s="1" t="str">
        <f t="shared" si="8"/>
        <v>2009-07-01</v>
      </c>
      <c r="L290">
        <v>987.47997999999995</v>
      </c>
      <c r="M290" s="4">
        <f t="shared" si="9"/>
        <v>7.4141727016716619E-2</v>
      </c>
    </row>
    <row r="291" spans="1:13" x14ac:dyDescent="0.25">
      <c r="A291" t="s">
        <v>297</v>
      </c>
      <c r="K291" s="1" t="str">
        <f t="shared" si="8"/>
        <v>2009-08-01</v>
      </c>
      <c r="L291">
        <v>1020.619995</v>
      </c>
      <c r="M291" s="4">
        <f t="shared" si="9"/>
        <v>3.3560189240494864E-2</v>
      </c>
    </row>
    <row r="292" spans="1:13" x14ac:dyDescent="0.25">
      <c r="A292" t="s">
        <v>298</v>
      </c>
      <c r="K292" s="1" t="str">
        <f t="shared" si="8"/>
        <v>2009-09-01</v>
      </c>
      <c r="L292">
        <v>1057.079956</v>
      </c>
      <c r="M292" s="4">
        <f t="shared" si="9"/>
        <v>3.5723345788458705E-2</v>
      </c>
    </row>
    <row r="293" spans="1:13" x14ac:dyDescent="0.25">
      <c r="A293" t="s">
        <v>299</v>
      </c>
      <c r="K293" s="1" t="str">
        <f t="shared" si="8"/>
        <v>2009-10-01</v>
      </c>
      <c r="L293">
        <v>1036.1899410000001</v>
      </c>
      <c r="M293" s="4">
        <f t="shared" si="9"/>
        <v>-1.9762000860415463E-2</v>
      </c>
    </row>
    <row r="294" spans="1:13" x14ac:dyDescent="0.25">
      <c r="A294" t="s">
        <v>300</v>
      </c>
      <c r="K294" s="1" t="str">
        <f t="shared" si="8"/>
        <v>2009-11-01</v>
      </c>
      <c r="L294">
        <v>1095.630005</v>
      </c>
      <c r="M294" s="4">
        <f t="shared" si="9"/>
        <v>5.736406198137356E-2</v>
      </c>
    </row>
    <row r="295" spans="1:13" x14ac:dyDescent="0.25">
      <c r="A295" t="s">
        <v>301</v>
      </c>
      <c r="K295" s="1" t="str">
        <f t="shared" si="8"/>
        <v>2009-12-01</v>
      </c>
      <c r="L295">
        <v>1115.099976</v>
      </c>
      <c r="M295" s="4">
        <f t="shared" si="9"/>
        <v>1.7770571188400419E-2</v>
      </c>
    </row>
    <row r="296" spans="1:13" x14ac:dyDescent="0.25">
      <c r="A296" t="s">
        <v>302</v>
      </c>
      <c r="K296" s="1" t="str">
        <f t="shared" si="8"/>
        <v>2010-01-01</v>
      </c>
      <c r="L296">
        <v>1073.869995</v>
      </c>
      <c r="M296" s="4">
        <f t="shared" si="9"/>
        <v>-3.6974246154947377E-2</v>
      </c>
    </row>
    <row r="297" spans="1:13" x14ac:dyDescent="0.25">
      <c r="A297" t="s">
        <v>303</v>
      </c>
      <c r="K297" s="1" t="str">
        <f t="shared" si="8"/>
        <v>2010-02-01</v>
      </c>
      <c r="L297">
        <v>1104.48999</v>
      </c>
      <c r="M297" s="4">
        <f t="shared" si="9"/>
        <v>2.8513688940531301E-2</v>
      </c>
    </row>
    <row r="298" spans="1:13" x14ac:dyDescent="0.25">
      <c r="A298" t="s">
        <v>304</v>
      </c>
      <c r="K298" s="1" t="str">
        <f t="shared" si="8"/>
        <v>2010-03-01</v>
      </c>
      <c r="L298">
        <v>1169.4300539999999</v>
      </c>
      <c r="M298" s="4">
        <f t="shared" si="9"/>
        <v>5.8796426031891835E-2</v>
      </c>
    </row>
    <row r="299" spans="1:13" x14ac:dyDescent="0.25">
      <c r="A299" t="s">
        <v>305</v>
      </c>
      <c r="K299" s="1" t="str">
        <f t="shared" si="8"/>
        <v>2010-04-01</v>
      </c>
      <c r="L299">
        <v>1186.6899410000001</v>
      </c>
      <c r="M299" s="4">
        <f t="shared" si="9"/>
        <v>1.4759229883791081E-2</v>
      </c>
    </row>
    <row r="300" spans="1:13" x14ac:dyDescent="0.25">
      <c r="A300" t="s">
        <v>306</v>
      </c>
      <c r="K300" s="1" t="str">
        <f t="shared" si="8"/>
        <v>2010-05-01</v>
      </c>
      <c r="L300">
        <v>1089.410034</v>
      </c>
      <c r="M300" s="4">
        <f t="shared" si="9"/>
        <v>-8.1975841910334468E-2</v>
      </c>
    </row>
    <row r="301" spans="1:13" x14ac:dyDescent="0.25">
      <c r="A301" t="s">
        <v>307</v>
      </c>
      <c r="K301" s="1" t="str">
        <f t="shared" si="8"/>
        <v>2010-06-01</v>
      </c>
      <c r="L301">
        <v>1030.709961</v>
      </c>
      <c r="M301" s="4">
        <f t="shared" si="9"/>
        <v>-5.3882442026415123E-2</v>
      </c>
    </row>
    <row r="302" spans="1:13" x14ac:dyDescent="0.25">
      <c r="A302" t="s">
        <v>308</v>
      </c>
      <c r="K302" s="1" t="str">
        <f t="shared" si="8"/>
        <v>2010-07-01</v>
      </c>
      <c r="L302">
        <v>1101.599976</v>
      </c>
      <c r="M302" s="4">
        <f t="shared" si="9"/>
        <v>6.8777849911552336E-2</v>
      </c>
    </row>
    <row r="303" spans="1:13" x14ac:dyDescent="0.25">
      <c r="A303" t="s">
        <v>309</v>
      </c>
      <c r="K303" s="1" t="str">
        <f t="shared" si="8"/>
        <v>2010-08-01</v>
      </c>
      <c r="L303">
        <v>1049.329956</v>
      </c>
      <c r="M303" s="4">
        <f t="shared" si="9"/>
        <v>-4.7449184040287196E-2</v>
      </c>
    </row>
    <row r="304" spans="1:13" x14ac:dyDescent="0.25">
      <c r="A304" t="s">
        <v>310</v>
      </c>
      <c r="K304" s="1" t="str">
        <f t="shared" si="8"/>
        <v>2010-09-01</v>
      </c>
      <c r="L304">
        <v>1141.1999510000001</v>
      </c>
      <c r="M304" s="4">
        <f t="shared" si="9"/>
        <v>8.7551102944020132E-2</v>
      </c>
    </row>
    <row r="305" spans="1:13" x14ac:dyDescent="0.25">
      <c r="A305" t="s">
        <v>311</v>
      </c>
      <c r="K305" s="1" t="str">
        <f t="shared" si="8"/>
        <v>2010-10-01</v>
      </c>
      <c r="L305">
        <v>1183.26001</v>
      </c>
      <c r="M305" s="4">
        <f t="shared" si="9"/>
        <v>3.6855994397076541E-2</v>
      </c>
    </row>
    <row r="306" spans="1:13" x14ac:dyDescent="0.25">
      <c r="A306" t="s">
        <v>312</v>
      </c>
      <c r="K306" s="1" t="str">
        <f t="shared" si="8"/>
        <v>2010-11-01</v>
      </c>
      <c r="L306">
        <v>1180.5500489999999</v>
      </c>
      <c r="M306" s="4">
        <f t="shared" si="9"/>
        <v>-2.2902497989432113E-3</v>
      </c>
    </row>
    <row r="307" spans="1:13" x14ac:dyDescent="0.25">
      <c r="A307" t="s">
        <v>313</v>
      </c>
      <c r="K307" s="1" t="str">
        <f t="shared" si="8"/>
        <v>2010-12-01</v>
      </c>
      <c r="L307">
        <v>1257.6400149999999</v>
      </c>
      <c r="M307" s="4">
        <f t="shared" si="9"/>
        <v>6.5300040489854716E-2</v>
      </c>
    </row>
    <row r="308" spans="1:13" x14ac:dyDescent="0.25">
      <c r="A308" t="s">
        <v>314</v>
      </c>
      <c r="K308" s="1" t="str">
        <f t="shared" si="8"/>
        <v>2011-01-01</v>
      </c>
      <c r="L308">
        <v>1286.119995</v>
      </c>
      <c r="M308" s="4">
        <f t="shared" si="9"/>
        <v>2.2645573980086819E-2</v>
      </c>
    </row>
    <row r="309" spans="1:13" x14ac:dyDescent="0.25">
      <c r="A309" t="s">
        <v>315</v>
      </c>
      <c r="K309" s="1" t="str">
        <f t="shared" si="8"/>
        <v>2011-02-01</v>
      </c>
      <c r="L309">
        <v>1327.219971</v>
      </c>
      <c r="M309" s="4">
        <f t="shared" si="9"/>
        <v>3.1956564052952219E-2</v>
      </c>
    </row>
    <row r="310" spans="1:13" x14ac:dyDescent="0.25">
      <c r="A310" t="s">
        <v>316</v>
      </c>
      <c r="K310" s="1" t="str">
        <f t="shared" si="8"/>
        <v>2011-03-01</v>
      </c>
      <c r="L310">
        <v>1325.829956</v>
      </c>
      <c r="M310" s="4">
        <f t="shared" si="9"/>
        <v>-1.0473132038185673E-3</v>
      </c>
    </row>
    <row r="311" spans="1:13" x14ac:dyDescent="0.25">
      <c r="A311" t="s">
        <v>317</v>
      </c>
      <c r="K311" s="1" t="str">
        <f t="shared" si="8"/>
        <v>2011-04-01</v>
      </c>
      <c r="L311">
        <v>1363.6099850000001</v>
      </c>
      <c r="M311" s="4">
        <f t="shared" si="9"/>
        <v>2.8495380443795071E-2</v>
      </c>
    </row>
    <row r="312" spans="1:13" x14ac:dyDescent="0.25">
      <c r="A312" t="s">
        <v>318</v>
      </c>
      <c r="K312" s="1" t="str">
        <f t="shared" si="8"/>
        <v>2011-05-01</v>
      </c>
      <c r="L312">
        <v>1345.1999510000001</v>
      </c>
      <c r="M312" s="4">
        <f t="shared" si="9"/>
        <v>-1.3500952766930641E-2</v>
      </c>
    </row>
    <row r="313" spans="1:13" x14ac:dyDescent="0.25">
      <c r="A313" t="s">
        <v>319</v>
      </c>
      <c r="K313" s="1" t="str">
        <f t="shared" si="8"/>
        <v>2011-06-01</v>
      </c>
      <c r="L313">
        <v>1320.6400149999999</v>
      </c>
      <c r="M313" s="4">
        <f t="shared" si="9"/>
        <v>-1.825746126569705E-2</v>
      </c>
    </row>
    <row r="314" spans="1:13" x14ac:dyDescent="0.25">
      <c r="A314" t="s">
        <v>320</v>
      </c>
      <c r="K314" s="1" t="str">
        <f t="shared" si="8"/>
        <v>2011-07-01</v>
      </c>
      <c r="L314">
        <v>1292.280029</v>
      </c>
      <c r="M314" s="4">
        <f t="shared" si="9"/>
        <v>-2.1474425791952023E-2</v>
      </c>
    </row>
    <row r="315" spans="1:13" x14ac:dyDescent="0.25">
      <c r="A315" t="s">
        <v>321</v>
      </c>
      <c r="K315" s="1" t="str">
        <f t="shared" si="8"/>
        <v>2011-08-01</v>
      </c>
      <c r="L315">
        <v>1218.8900149999999</v>
      </c>
      <c r="M315" s="4">
        <f t="shared" si="9"/>
        <v>-5.6791107463597612E-2</v>
      </c>
    </row>
    <row r="316" spans="1:13" x14ac:dyDescent="0.25">
      <c r="A316" t="s">
        <v>322</v>
      </c>
      <c r="K316" s="1" t="str">
        <f t="shared" si="8"/>
        <v>2011-09-01</v>
      </c>
      <c r="L316">
        <v>1131.420044</v>
      </c>
      <c r="M316" s="4">
        <f t="shared" si="9"/>
        <v>-7.1761988303760127E-2</v>
      </c>
    </row>
    <row r="317" spans="1:13" x14ac:dyDescent="0.25">
      <c r="A317" t="s">
        <v>323</v>
      </c>
      <c r="K317" s="1" t="str">
        <f t="shared" si="8"/>
        <v>2011-10-01</v>
      </c>
      <c r="L317">
        <v>1253.3000489999999</v>
      </c>
      <c r="M317" s="4">
        <f t="shared" si="9"/>
        <v>0.10772303853581011</v>
      </c>
    </row>
    <row r="318" spans="1:13" x14ac:dyDescent="0.25">
      <c r="A318" t="s">
        <v>324</v>
      </c>
      <c r="K318" s="1" t="str">
        <f t="shared" si="8"/>
        <v>2011-11-01</v>
      </c>
      <c r="L318">
        <v>1246.959961</v>
      </c>
      <c r="M318" s="4">
        <f t="shared" si="9"/>
        <v>-5.0587151935872487E-3</v>
      </c>
    </row>
    <row r="319" spans="1:13" x14ac:dyDescent="0.25">
      <c r="A319" t="s">
        <v>325</v>
      </c>
      <c r="K319" s="1" t="str">
        <f t="shared" si="8"/>
        <v>2011-12-01</v>
      </c>
      <c r="L319">
        <v>1257.599976</v>
      </c>
      <c r="M319" s="4">
        <f t="shared" si="9"/>
        <v>8.532763948144062E-3</v>
      </c>
    </row>
    <row r="320" spans="1:13" x14ac:dyDescent="0.25">
      <c r="A320" t="s">
        <v>326</v>
      </c>
      <c r="K320" s="1" t="str">
        <f t="shared" si="8"/>
        <v>2012-01-01</v>
      </c>
      <c r="L320">
        <v>1312.410034</v>
      </c>
      <c r="M320" s="4">
        <f t="shared" si="9"/>
        <v>4.3583062218506274E-2</v>
      </c>
    </row>
    <row r="321" spans="1:13" x14ac:dyDescent="0.25">
      <c r="A321" t="s">
        <v>327</v>
      </c>
      <c r="K321" s="1" t="str">
        <f t="shared" si="8"/>
        <v>2012-02-01</v>
      </c>
      <c r="L321">
        <v>1365.6800539999999</v>
      </c>
      <c r="M321" s="4">
        <f t="shared" si="9"/>
        <v>4.0589464130841746E-2</v>
      </c>
    </row>
    <row r="322" spans="1:13" x14ac:dyDescent="0.25">
      <c r="A322" t="s">
        <v>328</v>
      </c>
      <c r="K322" s="1" t="str">
        <f t="shared" si="8"/>
        <v>2012-03-01</v>
      </c>
      <c r="L322">
        <v>1408.469971</v>
      </c>
      <c r="M322" s="4">
        <f t="shared" si="9"/>
        <v>3.1332314530530647E-2</v>
      </c>
    </row>
    <row r="323" spans="1:13" x14ac:dyDescent="0.25">
      <c r="A323" t="s">
        <v>329</v>
      </c>
      <c r="K323" s="1" t="str">
        <f t="shared" ref="K323:K386" si="10">LEFT(A323,10)</f>
        <v>2012-04-01</v>
      </c>
      <c r="L323">
        <v>1397.910034</v>
      </c>
      <c r="M323" s="4">
        <f t="shared" si="9"/>
        <v>-7.4974527092703802E-3</v>
      </c>
    </row>
    <row r="324" spans="1:13" x14ac:dyDescent="0.25">
      <c r="A324" t="s">
        <v>330</v>
      </c>
      <c r="K324" s="1" t="str">
        <f t="shared" si="10"/>
        <v>2012-05-01</v>
      </c>
      <c r="L324">
        <v>1310.329956</v>
      </c>
      <c r="M324" s="4">
        <f t="shared" ref="M324:M387" si="11">(L324/L323)-1</f>
        <v>-6.265072563317764E-2</v>
      </c>
    </row>
    <row r="325" spans="1:13" x14ac:dyDescent="0.25">
      <c r="A325" t="s">
        <v>331</v>
      </c>
      <c r="K325" s="1" t="str">
        <f t="shared" si="10"/>
        <v>2012-06-01</v>
      </c>
      <c r="L325">
        <v>1362.160034</v>
      </c>
      <c r="M325" s="4">
        <f t="shared" si="11"/>
        <v>3.9554982134591521E-2</v>
      </c>
    </row>
    <row r="326" spans="1:13" x14ac:dyDescent="0.25">
      <c r="A326" t="s">
        <v>332</v>
      </c>
      <c r="K326" s="1" t="str">
        <f t="shared" si="10"/>
        <v>2012-07-01</v>
      </c>
      <c r="L326">
        <v>1379.3199460000001</v>
      </c>
      <c r="M326" s="4">
        <f t="shared" si="11"/>
        <v>1.2597574126154365E-2</v>
      </c>
    </row>
    <row r="327" spans="1:13" x14ac:dyDescent="0.25">
      <c r="A327" t="s">
        <v>333</v>
      </c>
      <c r="K327" s="1" t="str">
        <f t="shared" si="10"/>
        <v>2012-08-01</v>
      </c>
      <c r="L327">
        <v>1406.579956</v>
      </c>
      <c r="M327" s="4">
        <f t="shared" si="11"/>
        <v>1.9763369680148246E-2</v>
      </c>
    </row>
    <row r="328" spans="1:13" x14ac:dyDescent="0.25">
      <c r="A328" t="s">
        <v>334</v>
      </c>
      <c r="K328" s="1" t="str">
        <f t="shared" si="10"/>
        <v>2012-09-01</v>
      </c>
      <c r="L328">
        <v>1440.670044</v>
      </c>
      <c r="M328" s="4">
        <f t="shared" si="11"/>
        <v>2.4236153696477025E-2</v>
      </c>
    </row>
    <row r="329" spans="1:13" x14ac:dyDescent="0.25">
      <c r="A329" t="s">
        <v>335</v>
      </c>
      <c r="K329" s="1" t="str">
        <f t="shared" si="10"/>
        <v>2012-10-01</v>
      </c>
      <c r="L329">
        <v>1412.160034</v>
      </c>
      <c r="M329" s="4">
        <f t="shared" si="11"/>
        <v>-1.9789409878227415E-2</v>
      </c>
    </row>
    <row r="330" spans="1:13" x14ac:dyDescent="0.25">
      <c r="A330" t="s">
        <v>336</v>
      </c>
      <c r="K330" s="1" t="str">
        <f t="shared" si="10"/>
        <v>2012-11-01</v>
      </c>
      <c r="L330">
        <v>1416.1800539999999</v>
      </c>
      <c r="M330" s="4">
        <f t="shared" si="11"/>
        <v>2.8467170173434031E-3</v>
      </c>
    </row>
    <row r="331" spans="1:13" x14ac:dyDescent="0.25">
      <c r="A331" t="s">
        <v>337</v>
      </c>
      <c r="K331" s="1" t="str">
        <f t="shared" si="10"/>
        <v>2012-12-01</v>
      </c>
      <c r="L331">
        <v>1426.1899410000001</v>
      </c>
      <c r="M331" s="4">
        <f t="shared" si="11"/>
        <v>7.068230463864511E-3</v>
      </c>
    </row>
    <row r="332" spans="1:13" x14ac:dyDescent="0.25">
      <c r="A332" t="s">
        <v>338</v>
      </c>
      <c r="K332" s="1" t="str">
        <f t="shared" si="10"/>
        <v>2013-01-01</v>
      </c>
      <c r="L332">
        <v>1498.1099850000001</v>
      </c>
      <c r="M332" s="4">
        <f t="shared" si="11"/>
        <v>5.0428096519578469E-2</v>
      </c>
    </row>
    <row r="333" spans="1:13" x14ac:dyDescent="0.25">
      <c r="A333" t="s">
        <v>339</v>
      </c>
      <c r="K333" s="1" t="str">
        <f t="shared" si="10"/>
        <v>2013-02-01</v>
      </c>
      <c r="L333">
        <v>1514.6800539999999</v>
      </c>
      <c r="M333" s="4">
        <f t="shared" si="11"/>
        <v>1.1060649195259176E-2</v>
      </c>
    </row>
    <row r="334" spans="1:13" x14ac:dyDescent="0.25">
      <c r="A334" t="s">
        <v>340</v>
      </c>
      <c r="K334" s="1" t="str">
        <f t="shared" si="10"/>
        <v>2013-03-01</v>
      </c>
      <c r="L334">
        <v>1569.1899410000001</v>
      </c>
      <c r="M334" s="4">
        <f t="shared" si="11"/>
        <v>3.5987723516956116E-2</v>
      </c>
    </row>
    <row r="335" spans="1:13" x14ac:dyDescent="0.25">
      <c r="A335" t="s">
        <v>341</v>
      </c>
      <c r="K335" s="1" t="str">
        <f t="shared" si="10"/>
        <v>2013-04-01</v>
      </c>
      <c r="L335">
        <v>1597.5699460000001</v>
      </c>
      <c r="M335" s="4">
        <f t="shared" si="11"/>
        <v>1.8085767859252311E-2</v>
      </c>
    </row>
    <row r="336" spans="1:13" x14ac:dyDescent="0.25">
      <c r="A336" t="s">
        <v>342</v>
      </c>
      <c r="K336" s="1" t="str">
        <f t="shared" si="10"/>
        <v>2013-05-01</v>
      </c>
      <c r="L336">
        <v>1630.73999</v>
      </c>
      <c r="M336" s="4">
        <f t="shared" si="11"/>
        <v>2.0762811721046104E-2</v>
      </c>
    </row>
    <row r="337" spans="1:13" x14ac:dyDescent="0.25">
      <c r="A337" t="s">
        <v>343</v>
      </c>
      <c r="K337" s="1" t="str">
        <f t="shared" si="10"/>
        <v>2013-06-01</v>
      </c>
      <c r="L337">
        <v>1606.280029</v>
      </c>
      <c r="M337" s="4">
        <f t="shared" si="11"/>
        <v>-1.4999301636062778E-2</v>
      </c>
    </row>
    <row r="338" spans="1:13" x14ac:dyDescent="0.25">
      <c r="A338" t="s">
        <v>344</v>
      </c>
      <c r="K338" s="1" t="str">
        <f t="shared" si="10"/>
        <v>2013-07-01</v>
      </c>
      <c r="L338">
        <v>1685.7299800000001</v>
      </c>
      <c r="M338" s="4">
        <f t="shared" si="11"/>
        <v>4.9462079815224991E-2</v>
      </c>
    </row>
    <row r="339" spans="1:13" x14ac:dyDescent="0.25">
      <c r="A339" t="s">
        <v>345</v>
      </c>
      <c r="K339" s="1" t="str">
        <f t="shared" si="10"/>
        <v>2013-08-01</v>
      </c>
      <c r="L339">
        <v>1632.969971</v>
      </c>
      <c r="M339" s="4">
        <f t="shared" si="11"/>
        <v>-3.1298019033866864E-2</v>
      </c>
    </row>
    <row r="340" spans="1:13" x14ac:dyDescent="0.25">
      <c r="A340" t="s">
        <v>346</v>
      </c>
      <c r="K340" s="1" t="str">
        <f t="shared" si="10"/>
        <v>2013-09-01</v>
      </c>
      <c r="L340">
        <v>1681.5500489999999</v>
      </c>
      <c r="M340" s="4">
        <f t="shared" si="11"/>
        <v>2.9749523177239112E-2</v>
      </c>
    </row>
    <row r="341" spans="1:13" x14ac:dyDescent="0.25">
      <c r="A341" t="s">
        <v>347</v>
      </c>
      <c r="K341" s="1" t="str">
        <f t="shared" si="10"/>
        <v>2013-10-01</v>
      </c>
      <c r="L341">
        <v>1756.540039</v>
      </c>
      <c r="M341" s="4">
        <f t="shared" si="11"/>
        <v>4.4595752618006079E-2</v>
      </c>
    </row>
    <row r="342" spans="1:13" x14ac:dyDescent="0.25">
      <c r="A342" t="s">
        <v>348</v>
      </c>
      <c r="K342" s="1" t="str">
        <f t="shared" si="10"/>
        <v>2013-11-01</v>
      </c>
      <c r="L342">
        <v>1805.8100589999999</v>
      </c>
      <c r="M342" s="4">
        <f t="shared" si="11"/>
        <v>2.8049471635186451E-2</v>
      </c>
    </row>
    <row r="343" spans="1:13" x14ac:dyDescent="0.25">
      <c r="A343" t="s">
        <v>349</v>
      </c>
      <c r="K343" s="1" t="str">
        <f t="shared" si="10"/>
        <v>2013-12-01</v>
      </c>
      <c r="L343">
        <v>1848.3599850000001</v>
      </c>
      <c r="M343" s="4">
        <f t="shared" si="11"/>
        <v>2.356279155049279E-2</v>
      </c>
    </row>
    <row r="344" spans="1:13" x14ac:dyDescent="0.25">
      <c r="A344" t="s">
        <v>350</v>
      </c>
      <c r="K344" s="1" t="str">
        <f t="shared" si="10"/>
        <v>2014-01-01</v>
      </c>
      <c r="L344">
        <v>1782.589966</v>
      </c>
      <c r="M344" s="4">
        <f t="shared" si="11"/>
        <v>-3.5582905675162646E-2</v>
      </c>
    </row>
    <row r="345" spans="1:13" x14ac:dyDescent="0.25">
      <c r="A345" t="s">
        <v>351</v>
      </c>
      <c r="K345" s="1" t="str">
        <f t="shared" si="10"/>
        <v>2014-02-01</v>
      </c>
      <c r="L345">
        <v>1859.4499510000001</v>
      </c>
      <c r="M345" s="4">
        <f t="shared" si="11"/>
        <v>4.3117029976595278E-2</v>
      </c>
    </row>
    <row r="346" spans="1:13" x14ac:dyDescent="0.25">
      <c r="A346" t="s">
        <v>352</v>
      </c>
      <c r="K346" s="1" t="str">
        <f t="shared" si="10"/>
        <v>2014-03-01</v>
      </c>
      <c r="L346">
        <v>1872.339966</v>
      </c>
      <c r="M346" s="4">
        <f t="shared" si="11"/>
        <v>6.9321656079357474E-3</v>
      </c>
    </row>
    <row r="347" spans="1:13" x14ac:dyDescent="0.25">
      <c r="A347" t="s">
        <v>353</v>
      </c>
      <c r="K347" s="1" t="str">
        <f t="shared" si="10"/>
        <v>2014-04-01</v>
      </c>
      <c r="L347">
        <v>1883.9499510000001</v>
      </c>
      <c r="M347" s="4">
        <f t="shared" si="11"/>
        <v>6.2007889650528281E-3</v>
      </c>
    </row>
    <row r="348" spans="1:13" x14ac:dyDescent="0.25">
      <c r="A348" t="s">
        <v>354</v>
      </c>
      <c r="K348" s="1" t="str">
        <f t="shared" si="10"/>
        <v>2014-05-01</v>
      </c>
      <c r="L348">
        <v>1923.5699460000001</v>
      </c>
      <c r="M348" s="4">
        <f t="shared" si="11"/>
        <v>2.1030280012996005E-2</v>
      </c>
    </row>
    <row r="349" spans="1:13" x14ac:dyDescent="0.25">
      <c r="A349" t="s">
        <v>355</v>
      </c>
      <c r="K349" s="1" t="str">
        <f t="shared" si="10"/>
        <v>2014-06-01</v>
      </c>
      <c r="L349">
        <v>1960.2299800000001</v>
      </c>
      <c r="M349" s="4">
        <f t="shared" si="11"/>
        <v>1.9058331658920569E-2</v>
      </c>
    </row>
    <row r="350" spans="1:13" x14ac:dyDescent="0.25">
      <c r="A350" t="s">
        <v>356</v>
      </c>
      <c r="K350" s="1" t="str">
        <f t="shared" si="10"/>
        <v>2014-07-01</v>
      </c>
      <c r="L350">
        <v>1930.670044</v>
      </c>
      <c r="M350" s="4">
        <f t="shared" si="11"/>
        <v>-1.5079830581919862E-2</v>
      </c>
    </row>
    <row r="351" spans="1:13" x14ac:dyDescent="0.25">
      <c r="A351" t="s">
        <v>357</v>
      </c>
      <c r="K351" s="1" t="str">
        <f t="shared" si="10"/>
        <v>2014-08-01</v>
      </c>
      <c r="L351">
        <v>2003.369995</v>
      </c>
      <c r="M351" s="4">
        <f t="shared" si="11"/>
        <v>3.7655295489735119E-2</v>
      </c>
    </row>
    <row r="352" spans="1:13" x14ac:dyDescent="0.25">
      <c r="A352" t="s">
        <v>358</v>
      </c>
      <c r="K352" s="1" t="str">
        <f t="shared" si="10"/>
        <v>2014-09-01</v>
      </c>
      <c r="L352">
        <v>1972.290039</v>
      </c>
      <c r="M352" s="4">
        <f t="shared" si="11"/>
        <v>-1.5513837223063764E-2</v>
      </c>
    </row>
    <row r="353" spans="1:13" x14ac:dyDescent="0.25">
      <c r="A353" t="s">
        <v>359</v>
      </c>
      <c r="K353" s="1" t="str">
        <f t="shared" si="10"/>
        <v>2014-10-01</v>
      </c>
      <c r="L353">
        <v>2018.0500489999999</v>
      </c>
      <c r="M353" s="4">
        <f t="shared" si="11"/>
        <v>2.3201460786772321E-2</v>
      </c>
    </row>
    <row r="354" spans="1:13" x14ac:dyDescent="0.25">
      <c r="A354" t="s">
        <v>360</v>
      </c>
      <c r="K354" s="1" t="str">
        <f t="shared" si="10"/>
        <v>2014-11-01</v>
      </c>
      <c r="L354">
        <v>2067.5600589999999</v>
      </c>
      <c r="M354" s="4">
        <f t="shared" si="11"/>
        <v>2.4533588760364822E-2</v>
      </c>
    </row>
    <row r="355" spans="1:13" x14ac:dyDescent="0.25">
      <c r="A355" t="s">
        <v>361</v>
      </c>
      <c r="K355" s="1" t="str">
        <f t="shared" si="10"/>
        <v>2014-12-01</v>
      </c>
      <c r="L355">
        <v>2058.8999020000001</v>
      </c>
      <c r="M355" s="4">
        <f t="shared" si="11"/>
        <v>-4.1885878779204244E-3</v>
      </c>
    </row>
    <row r="356" spans="1:13" x14ac:dyDescent="0.25">
      <c r="A356" t="s">
        <v>362</v>
      </c>
      <c r="K356" s="1" t="str">
        <f t="shared" si="10"/>
        <v>2015-01-01</v>
      </c>
      <c r="L356">
        <v>1994.98999</v>
      </c>
      <c r="M356" s="4">
        <f t="shared" si="11"/>
        <v>-3.1040805790470194E-2</v>
      </c>
    </row>
    <row r="357" spans="1:13" x14ac:dyDescent="0.25">
      <c r="A357" t="s">
        <v>363</v>
      </c>
      <c r="K357" s="1" t="str">
        <f t="shared" si="10"/>
        <v>2015-02-01</v>
      </c>
      <c r="L357">
        <v>2104.5</v>
      </c>
      <c r="M357" s="4">
        <f t="shared" si="11"/>
        <v>5.4892511014553946E-2</v>
      </c>
    </row>
    <row r="358" spans="1:13" x14ac:dyDescent="0.25">
      <c r="A358" t="s">
        <v>364</v>
      </c>
      <c r="K358" s="1" t="str">
        <f t="shared" si="10"/>
        <v>2015-03-01</v>
      </c>
      <c r="L358">
        <v>2067.889893</v>
      </c>
      <c r="M358" s="4">
        <f t="shared" si="11"/>
        <v>-1.739610691375626E-2</v>
      </c>
    </row>
    <row r="359" spans="1:13" x14ac:dyDescent="0.25">
      <c r="A359" t="s">
        <v>365</v>
      </c>
      <c r="K359" s="1" t="str">
        <f t="shared" si="10"/>
        <v>2015-04-01</v>
      </c>
      <c r="L359">
        <v>2085.51001</v>
      </c>
      <c r="M359" s="4">
        <f t="shared" si="11"/>
        <v>8.5208197301247512E-3</v>
      </c>
    </row>
    <row r="360" spans="1:13" x14ac:dyDescent="0.25">
      <c r="A360" t="s">
        <v>366</v>
      </c>
      <c r="K360" s="1" t="str">
        <f t="shared" si="10"/>
        <v>2015-05-01</v>
      </c>
      <c r="L360">
        <v>2107.389893</v>
      </c>
      <c r="M360" s="4">
        <f t="shared" si="11"/>
        <v>1.0491382393316817E-2</v>
      </c>
    </row>
    <row r="361" spans="1:13" x14ac:dyDescent="0.25">
      <c r="A361" t="s">
        <v>367</v>
      </c>
      <c r="K361" s="1" t="str">
        <f t="shared" si="10"/>
        <v>2015-06-01</v>
      </c>
      <c r="L361">
        <v>2063.110107</v>
      </c>
      <c r="M361" s="4">
        <f t="shared" si="11"/>
        <v>-2.1011672375900514E-2</v>
      </c>
    </row>
    <row r="362" spans="1:13" x14ac:dyDescent="0.25">
      <c r="A362" t="s">
        <v>368</v>
      </c>
      <c r="K362" s="1" t="str">
        <f t="shared" si="10"/>
        <v>2015-07-01</v>
      </c>
      <c r="L362">
        <v>2103.8400879999999</v>
      </c>
      <c r="M362" s="4">
        <f t="shared" si="11"/>
        <v>1.9742029696721453E-2</v>
      </c>
    </row>
    <row r="363" spans="1:13" x14ac:dyDescent="0.25">
      <c r="A363" t="s">
        <v>369</v>
      </c>
      <c r="K363" s="1" t="str">
        <f t="shared" si="10"/>
        <v>2015-08-01</v>
      </c>
      <c r="L363">
        <v>1972.1800539999999</v>
      </c>
      <c r="M363" s="4">
        <f t="shared" si="11"/>
        <v>-6.2580818167202845E-2</v>
      </c>
    </row>
    <row r="364" spans="1:13" x14ac:dyDescent="0.25">
      <c r="A364" t="s">
        <v>370</v>
      </c>
      <c r="K364" s="1" t="str">
        <f t="shared" si="10"/>
        <v>2015-09-01</v>
      </c>
      <c r="L364">
        <v>1920.030029</v>
      </c>
      <c r="M364" s="4">
        <f t="shared" si="11"/>
        <v>-2.6442831573227132E-2</v>
      </c>
    </row>
    <row r="365" spans="1:13" x14ac:dyDescent="0.25">
      <c r="A365" t="s">
        <v>371</v>
      </c>
      <c r="K365" s="1" t="str">
        <f t="shared" si="10"/>
        <v>2015-10-01</v>
      </c>
      <c r="L365">
        <v>2079.360107</v>
      </c>
      <c r="M365" s="4">
        <f t="shared" si="11"/>
        <v>8.2983117760394132E-2</v>
      </c>
    </row>
    <row r="366" spans="1:13" x14ac:dyDescent="0.25">
      <c r="A366" t="s">
        <v>372</v>
      </c>
      <c r="K366" s="1" t="str">
        <f t="shared" si="10"/>
        <v>2015-11-01</v>
      </c>
      <c r="L366">
        <v>2080.4099120000001</v>
      </c>
      <c r="M366" s="4">
        <f t="shared" si="11"/>
        <v>5.0486926072412786E-4</v>
      </c>
    </row>
    <row r="367" spans="1:13" x14ac:dyDescent="0.25">
      <c r="A367" t="s">
        <v>373</v>
      </c>
      <c r="K367" s="1" t="str">
        <f t="shared" si="10"/>
        <v>2015-12-01</v>
      </c>
      <c r="L367">
        <v>2043.9399410000001</v>
      </c>
      <c r="M367" s="4">
        <f t="shared" si="11"/>
        <v>-1.7530185176314439E-2</v>
      </c>
    </row>
    <row r="368" spans="1:13" x14ac:dyDescent="0.25">
      <c r="A368" t="s">
        <v>374</v>
      </c>
      <c r="K368" s="1" t="str">
        <f t="shared" si="10"/>
        <v>2016-01-01</v>
      </c>
      <c r="L368">
        <v>1940.23999</v>
      </c>
      <c r="M368" s="4">
        <f t="shared" si="11"/>
        <v>-5.073532197294639E-2</v>
      </c>
    </row>
    <row r="369" spans="1:13" x14ac:dyDescent="0.25">
      <c r="A369" t="s">
        <v>375</v>
      </c>
      <c r="K369" s="1" t="str">
        <f t="shared" si="10"/>
        <v>2016-02-01</v>
      </c>
      <c r="L369">
        <v>1932.2299800000001</v>
      </c>
      <c r="M369" s="4">
        <f t="shared" si="11"/>
        <v>-4.1283604302990717E-3</v>
      </c>
    </row>
    <row r="370" spans="1:13" x14ac:dyDescent="0.25">
      <c r="A370" t="s">
        <v>376</v>
      </c>
      <c r="K370" s="1" t="str">
        <f t="shared" si="10"/>
        <v>2016-03-01</v>
      </c>
      <c r="L370">
        <v>2059.73999</v>
      </c>
      <c r="M370" s="4">
        <f t="shared" si="11"/>
        <v>6.5991114577365062E-2</v>
      </c>
    </row>
    <row r="371" spans="1:13" x14ac:dyDescent="0.25">
      <c r="A371" t="s">
        <v>377</v>
      </c>
      <c r="K371" s="1" t="str">
        <f t="shared" si="10"/>
        <v>2016-04-01</v>
      </c>
      <c r="L371">
        <v>2065.3000489999999</v>
      </c>
      <c r="M371" s="4">
        <f t="shared" si="11"/>
        <v>2.6993984808731941E-3</v>
      </c>
    </row>
    <row r="372" spans="1:13" x14ac:dyDescent="0.25">
      <c r="A372" t="s">
        <v>378</v>
      </c>
      <c r="K372" s="1" t="str">
        <f t="shared" si="10"/>
        <v>2016-05-01</v>
      </c>
      <c r="L372">
        <v>2096.9499510000001</v>
      </c>
      <c r="M372" s="4">
        <f t="shared" si="11"/>
        <v>1.5324602357572603E-2</v>
      </c>
    </row>
    <row r="373" spans="1:13" x14ac:dyDescent="0.25">
      <c r="A373" t="s">
        <v>379</v>
      </c>
      <c r="K373" s="1" t="str">
        <f t="shared" si="10"/>
        <v>2016-06-01</v>
      </c>
      <c r="L373">
        <v>2098.860107</v>
      </c>
      <c r="M373" s="4">
        <f t="shared" si="11"/>
        <v>9.1092112097812539E-4</v>
      </c>
    </row>
    <row r="374" spans="1:13" x14ac:dyDescent="0.25">
      <c r="A374" t="s">
        <v>380</v>
      </c>
      <c r="K374" s="1" t="str">
        <f t="shared" si="10"/>
        <v>2016-07-01</v>
      </c>
      <c r="L374">
        <v>2173.6000979999999</v>
      </c>
      <c r="M374" s="4">
        <f t="shared" si="11"/>
        <v>3.5609801125254359E-2</v>
      </c>
    </row>
    <row r="375" spans="1:13" x14ac:dyDescent="0.25">
      <c r="A375" t="s">
        <v>381</v>
      </c>
      <c r="K375" s="1" t="str">
        <f t="shared" si="10"/>
        <v>2016-08-01</v>
      </c>
      <c r="L375">
        <v>2170.9499510000001</v>
      </c>
      <c r="M375" s="4">
        <f t="shared" si="11"/>
        <v>-1.2192431360480427E-3</v>
      </c>
    </row>
    <row r="376" spans="1:13" x14ac:dyDescent="0.25">
      <c r="A376" t="s">
        <v>382</v>
      </c>
      <c r="K376" s="1" t="str">
        <f t="shared" si="10"/>
        <v>2016-09-01</v>
      </c>
      <c r="L376">
        <v>2168.2700199999999</v>
      </c>
      <c r="M376" s="4">
        <f t="shared" si="11"/>
        <v>-1.2344508443253854E-3</v>
      </c>
    </row>
    <row r="377" spans="1:13" x14ac:dyDescent="0.25">
      <c r="A377" t="s">
        <v>383</v>
      </c>
      <c r="K377" s="1" t="str">
        <f t="shared" si="10"/>
        <v>2016-10-01</v>
      </c>
      <c r="L377">
        <v>2126.1499020000001</v>
      </c>
      <c r="M377" s="4">
        <f t="shared" si="11"/>
        <v>-1.9425679279557517E-2</v>
      </c>
    </row>
    <row r="378" spans="1:13" x14ac:dyDescent="0.25">
      <c r="A378" t="s">
        <v>384</v>
      </c>
      <c r="K378" s="1" t="str">
        <f t="shared" si="10"/>
        <v>2016-11-01</v>
      </c>
      <c r="L378">
        <v>2198.8100589999999</v>
      </c>
      <c r="M378" s="4">
        <f t="shared" si="11"/>
        <v>3.4174522187570444E-2</v>
      </c>
    </row>
    <row r="379" spans="1:13" x14ac:dyDescent="0.25">
      <c r="A379" t="s">
        <v>385</v>
      </c>
      <c r="K379" s="1" t="str">
        <f t="shared" si="10"/>
        <v>2016-12-01</v>
      </c>
      <c r="L379">
        <v>2238.830078</v>
      </c>
      <c r="M379" s="4">
        <f t="shared" si="11"/>
        <v>1.8200762196895148E-2</v>
      </c>
    </row>
    <row r="380" spans="1:13" x14ac:dyDescent="0.25">
      <c r="A380" t="s">
        <v>386</v>
      </c>
      <c r="K380" s="1" t="str">
        <f t="shared" si="10"/>
        <v>2017-01-01</v>
      </c>
      <c r="L380">
        <v>2278.8701169999999</v>
      </c>
      <c r="M380" s="4">
        <f t="shared" si="11"/>
        <v>1.7884358171464498E-2</v>
      </c>
    </row>
    <row r="381" spans="1:13" x14ac:dyDescent="0.25">
      <c r="A381" t="s">
        <v>387</v>
      </c>
      <c r="K381" s="1" t="str">
        <f t="shared" si="10"/>
        <v>2017-02-01</v>
      </c>
      <c r="L381">
        <v>2363.639893</v>
      </c>
      <c r="M381" s="4">
        <f t="shared" si="11"/>
        <v>3.7198160337279074E-2</v>
      </c>
    </row>
    <row r="382" spans="1:13" x14ac:dyDescent="0.25">
      <c r="A382" t="s">
        <v>388</v>
      </c>
      <c r="K382" s="1" t="str">
        <f t="shared" si="10"/>
        <v>2017-03-01</v>
      </c>
      <c r="L382">
        <v>2362.719971</v>
      </c>
      <c r="M382" s="4">
        <f t="shared" si="11"/>
        <v>-3.8919718808450021E-4</v>
      </c>
    </row>
    <row r="383" spans="1:13" x14ac:dyDescent="0.25">
      <c r="A383" t="s">
        <v>389</v>
      </c>
      <c r="K383" s="1" t="str">
        <f t="shared" si="10"/>
        <v>2017-04-01</v>
      </c>
      <c r="L383">
        <v>2384.1999510000001</v>
      </c>
      <c r="M383" s="4">
        <f t="shared" si="11"/>
        <v>9.0912085493182193E-3</v>
      </c>
    </row>
    <row r="384" spans="1:13" x14ac:dyDescent="0.25">
      <c r="A384" t="s">
        <v>390</v>
      </c>
      <c r="K384" s="1" t="str">
        <f t="shared" si="10"/>
        <v>2017-05-01</v>
      </c>
      <c r="L384">
        <v>2411.8000489999999</v>
      </c>
      <c r="M384" s="4">
        <f t="shared" si="11"/>
        <v>1.157625139134133E-2</v>
      </c>
    </row>
    <row r="385" spans="1:13" x14ac:dyDescent="0.25">
      <c r="A385" t="s">
        <v>391</v>
      </c>
      <c r="K385" s="1" t="str">
        <f t="shared" si="10"/>
        <v>2017-06-01</v>
      </c>
      <c r="L385">
        <v>2423.4099120000001</v>
      </c>
      <c r="M385" s="4">
        <f t="shared" si="11"/>
        <v>4.8137750908554544E-3</v>
      </c>
    </row>
    <row r="386" spans="1:13" x14ac:dyDescent="0.25">
      <c r="A386" t="s">
        <v>392</v>
      </c>
      <c r="K386" s="1" t="str">
        <f t="shared" si="10"/>
        <v>2017-07-01</v>
      </c>
      <c r="L386">
        <v>2470.3000489999999</v>
      </c>
      <c r="M386" s="4">
        <f t="shared" si="11"/>
        <v>1.9348826118030571E-2</v>
      </c>
    </row>
    <row r="387" spans="1:13" x14ac:dyDescent="0.25">
      <c r="A387" t="s">
        <v>393</v>
      </c>
      <c r="K387" s="1" t="str">
        <f t="shared" ref="K387:K422" si="12">LEFT(A387,10)</f>
        <v>2017-08-01</v>
      </c>
      <c r="L387">
        <v>2471.6499020000001</v>
      </c>
      <c r="M387" s="4">
        <f t="shared" si="11"/>
        <v>5.4643281108557318E-4</v>
      </c>
    </row>
    <row r="388" spans="1:13" x14ac:dyDescent="0.25">
      <c r="A388" t="s">
        <v>394</v>
      </c>
      <c r="K388" s="1" t="str">
        <f t="shared" si="12"/>
        <v>2017-09-01</v>
      </c>
      <c r="L388">
        <v>2519.360107</v>
      </c>
      <c r="M388" s="4">
        <f t="shared" ref="M388:M422" si="13">(L388/L387)-1</f>
        <v>1.9302978533243698E-2</v>
      </c>
    </row>
    <row r="389" spans="1:13" x14ac:dyDescent="0.25">
      <c r="A389" t="s">
        <v>395</v>
      </c>
      <c r="K389" s="1" t="str">
        <f t="shared" si="12"/>
        <v>2017-10-01</v>
      </c>
      <c r="L389">
        <v>2575.26001</v>
      </c>
      <c r="M389" s="4">
        <f t="shared" si="13"/>
        <v>2.218813533034969E-2</v>
      </c>
    </row>
    <row r="390" spans="1:13" x14ac:dyDescent="0.25">
      <c r="A390" t="s">
        <v>396</v>
      </c>
      <c r="K390" s="1" t="str">
        <f t="shared" si="12"/>
        <v>2017-11-01</v>
      </c>
      <c r="L390">
        <v>2584.8400879999999</v>
      </c>
      <c r="M390" s="4">
        <f t="shared" si="13"/>
        <v>3.7200430103365711E-3</v>
      </c>
    </row>
    <row r="391" spans="1:13" x14ac:dyDescent="0.25">
      <c r="A391" t="s">
        <v>397</v>
      </c>
      <c r="K391" s="1" t="str">
        <f t="shared" si="12"/>
        <v>2017-12-01</v>
      </c>
      <c r="L391">
        <v>2673.610107</v>
      </c>
      <c r="M391" s="4">
        <f t="shared" si="13"/>
        <v>3.4342557364422932E-2</v>
      </c>
    </row>
    <row r="392" spans="1:13" x14ac:dyDescent="0.25">
      <c r="A392" t="s">
        <v>398</v>
      </c>
      <c r="K392" s="1" t="str">
        <f t="shared" si="12"/>
        <v>2018-01-01</v>
      </c>
      <c r="L392">
        <v>2823.8100589999999</v>
      </c>
      <c r="M392" s="4">
        <f t="shared" si="13"/>
        <v>5.6178704444133087E-2</v>
      </c>
    </row>
    <row r="393" spans="1:13" x14ac:dyDescent="0.25">
      <c r="A393" t="s">
        <v>399</v>
      </c>
      <c r="K393" s="1" t="str">
        <f t="shared" si="12"/>
        <v>2018-02-01</v>
      </c>
      <c r="L393">
        <v>2713.830078</v>
      </c>
      <c r="M393" s="4">
        <f t="shared" si="13"/>
        <v>-3.8947372061896912E-2</v>
      </c>
    </row>
    <row r="394" spans="1:13" x14ac:dyDescent="0.25">
      <c r="A394" t="s">
        <v>400</v>
      </c>
      <c r="K394" s="1" t="str">
        <f t="shared" si="12"/>
        <v>2018-03-01</v>
      </c>
      <c r="L394">
        <v>2640.8701169999999</v>
      </c>
      <c r="M394" s="4">
        <f t="shared" si="13"/>
        <v>-2.6884498624825115E-2</v>
      </c>
    </row>
    <row r="395" spans="1:13" x14ac:dyDescent="0.25">
      <c r="A395" t="s">
        <v>401</v>
      </c>
      <c r="K395" s="1" t="str">
        <f t="shared" si="12"/>
        <v>2018-04-01</v>
      </c>
      <c r="L395">
        <v>2648.0500489999999</v>
      </c>
      <c r="M395" s="4">
        <f t="shared" si="13"/>
        <v>2.718775131643536E-3</v>
      </c>
    </row>
    <row r="396" spans="1:13" x14ac:dyDescent="0.25">
      <c r="A396" t="s">
        <v>402</v>
      </c>
      <c r="K396" s="1" t="str">
        <f t="shared" si="12"/>
        <v>2018-05-01</v>
      </c>
      <c r="L396">
        <v>2705.2700199999999</v>
      </c>
      <c r="M396" s="4">
        <f t="shared" si="13"/>
        <v>2.1608341965291933E-2</v>
      </c>
    </row>
    <row r="397" spans="1:13" x14ac:dyDescent="0.25">
      <c r="A397" t="s">
        <v>403</v>
      </c>
      <c r="K397" s="1" t="str">
        <f t="shared" si="12"/>
        <v>2018-06-01</v>
      </c>
      <c r="L397">
        <v>2718.3701169999999</v>
      </c>
      <c r="M397" s="4">
        <f t="shared" si="13"/>
        <v>4.8424360241865472E-3</v>
      </c>
    </row>
    <row r="398" spans="1:13" x14ac:dyDescent="0.25">
      <c r="A398" t="s">
        <v>404</v>
      </c>
      <c r="K398" s="1" t="str">
        <f t="shared" si="12"/>
        <v>2018-07-01</v>
      </c>
      <c r="L398">
        <v>2816.290039</v>
      </c>
      <c r="M398" s="4">
        <f t="shared" si="13"/>
        <v>3.6021556221367268E-2</v>
      </c>
    </row>
    <row r="399" spans="1:13" x14ac:dyDescent="0.25">
      <c r="A399" t="s">
        <v>405</v>
      </c>
      <c r="K399" s="1" t="str">
        <f t="shared" si="12"/>
        <v>2018-08-01</v>
      </c>
      <c r="L399">
        <v>2901.5200199999999</v>
      </c>
      <c r="M399" s="4">
        <f t="shared" si="13"/>
        <v>3.0263211466054596E-2</v>
      </c>
    </row>
    <row r="400" spans="1:13" x14ac:dyDescent="0.25">
      <c r="A400" t="s">
        <v>406</v>
      </c>
      <c r="K400" s="1" t="str">
        <f t="shared" si="12"/>
        <v>2018-09-01</v>
      </c>
      <c r="L400">
        <v>2913.9799800000001</v>
      </c>
      <c r="M400" s="4">
        <f t="shared" si="13"/>
        <v>4.2942871026614426E-3</v>
      </c>
    </row>
    <row r="401" spans="1:13" x14ac:dyDescent="0.25">
      <c r="A401" t="s">
        <v>407</v>
      </c>
      <c r="K401" s="1" t="str">
        <f t="shared" si="12"/>
        <v>2018-10-01</v>
      </c>
      <c r="L401">
        <v>2711.73999</v>
      </c>
      <c r="M401" s="4">
        <f t="shared" si="13"/>
        <v>-6.9403356024429486E-2</v>
      </c>
    </row>
    <row r="402" spans="1:13" x14ac:dyDescent="0.25">
      <c r="A402" t="s">
        <v>408</v>
      </c>
      <c r="K402" s="1" t="str">
        <f t="shared" si="12"/>
        <v>2018-11-01</v>
      </c>
      <c r="L402">
        <v>2760.169922</v>
      </c>
      <c r="M402" s="4">
        <f t="shared" si="13"/>
        <v>1.7859356788848979E-2</v>
      </c>
    </row>
    <row r="403" spans="1:13" x14ac:dyDescent="0.25">
      <c r="A403" t="s">
        <v>409</v>
      </c>
      <c r="K403" s="1" t="str">
        <f t="shared" si="12"/>
        <v>2018-12-01</v>
      </c>
      <c r="L403">
        <v>2506.8500979999999</v>
      </c>
      <c r="M403" s="4">
        <f t="shared" si="13"/>
        <v>-9.1776894596563907E-2</v>
      </c>
    </row>
    <row r="404" spans="1:13" x14ac:dyDescent="0.25">
      <c r="A404" t="s">
        <v>410</v>
      </c>
      <c r="K404" s="1" t="str">
        <f t="shared" si="12"/>
        <v>2019-01-01</v>
      </c>
      <c r="L404">
        <v>2704.1000979999999</v>
      </c>
      <c r="M404" s="4">
        <f t="shared" si="13"/>
        <v>7.8684401655036762E-2</v>
      </c>
    </row>
    <row r="405" spans="1:13" x14ac:dyDescent="0.25">
      <c r="A405" t="s">
        <v>411</v>
      </c>
      <c r="K405" s="1" t="str">
        <f t="shared" si="12"/>
        <v>2019-02-01</v>
      </c>
      <c r="L405">
        <v>2784.48999</v>
      </c>
      <c r="M405" s="4">
        <f t="shared" si="13"/>
        <v>2.9728889126352298E-2</v>
      </c>
    </row>
    <row r="406" spans="1:13" x14ac:dyDescent="0.25">
      <c r="A406" t="s">
        <v>412</v>
      </c>
      <c r="K406" s="1" t="str">
        <f t="shared" si="12"/>
        <v>2019-03-01</v>
      </c>
      <c r="L406">
        <v>2834.3999020000001</v>
      </c>
      <c r="M406" s="4">
        <f t="shared" si="13"/>
        <v>1.7924256211817147E-2</v>
      </c>
    </row>
    <row r="407" spans="1:13" x14ac:dyDescent="0.25">
      <c r="A407" t="s">
        <v>413</v>
      </c>
      <c r="K407" s="1" t="str">
        <f t="shared" si="12"/>
        <v>2019-04-01</v>
      </c>
      <c r="L407">
        <v>2945.830078</v>
      </c>
      <c r="M407" s="4">
        <f t="shared" si="13"/>
        <v>3.9313498395682656E-2</v>
      </c>
    </row>
    <row r="408" spans="1:13" x14ac:dyDescent="0.25">
      <c r="A408" t="s">
        <v>414</v>
      </c>
      <c r="K408" s="1" t="str">
        <f t="shared" si="12"/>
        <v>2019-05-01</v>
      </c>
      <c r="L408">
        <v>2752.0600589999999</v>
      </c>
      <c r="M408" s="4">
        <f t="shared" si="13"/>
        <v>-6.577773118928687E-2</v>
      </c>
    </row>
    <row r="409" spans="1:13" x14ac:dyDescent="0.25">
      <c r="A409" t="s">
        <v>415</v>
      </c>
      <c r="K409" s="1" t="str">
        <f t="shared" si="12"/>
        <v>2019-06-01</v>
      </c>
      <c r="L409">
        <v>2941.76001</v>
      </c>
      <c r="M409" s="4">
        <f t="shared" si="13"/>
        <v>6.8930163925612131E-2</v>
      </c>
    </row>
    <row r="410" spans="1:13" x14ac:dyDescent="0.25">
      <c r="A410" t="s">
        <v>416</v>
      </c>
      <c r="K410" s="1" t="str">
        <f t="shared" si="12"/>
        <v>2019-07-01</v>
      </c>
      <c r="L410">
        <v>2980.3798830000001</v>
      </c>
      <c r="M410" s="4">
        <f t="shared" si="13"/>
        <v>1.3128152149977756E-2</v>
      </c>
    </row>
    <row r="411" spans="1:13" x14ac:dyDescent="0.25">
      <c r="A411" t="s">
        <v>417</v>
      </c>
      <c r="K411" s="1" t="str">
        <f t="shared" si="12"/>
        <v>2019-08-01</v>
      </c>
      <c r="L411">
        <v>2926.459961</v>
      </c>
      <c r="M411" s="4">
        <f t="shared" si="13"/>
        <v>-1.8091627281326739E-2</v>
      </c>
    </row>
    <row r="412" spans="1:13" x14ac:dyDescent="0.25">
      <c r="A412" t="s">
        <v>418</v>
      </c>
      <c r="K412" s="1" t="str">
        <f t="shared" si="12"/>
        <v>2019-09-01</v>
      </c>
      <c r="L412">
        <v>2976.73999</v>
      </c>
      <c r="M412" s="4">
        <f t="shared" si="13"/>
        <v>1.7181177829208583E-2</v>
      </c>
    </row>
    <row r="413" spans="1:13" x14ac:dyDescent="0.25">
      <c r="A413" t="s">
        <v>419</v>
      </c>
      <c r="K413" s="1" t="str">
        <f t="shared" si="12"/>
        <v>2019-10-01</v>
      </c>
      <c r="L413">
        <v>3037.5600589999999</v>
      </c>
      <c r="M413" s="4">
        <f t="shared" si="13"/>
        <v>2.0431770730503063E-2</v>
      </c>
    </row>
    <row r="414" spans="1:13" x14ac:dyDescent="0.25">
      <c r="A414" t="s">
        <v>420</v>
      </c>
      <c r="K414" s="1" t="str">
        <f t="shared" si="12"/>
        <v>2019-11-01</v>
      </c>
      <c r="L414">
        <v>3140.9799800000001</v>
      </c>
      <c r="M414" s="4">
        <f t="shared" si="13"/>
        <v>3.4047037421886195E-2</v>
      </c>
    </row>
    <row r="415" spans="1:13" x14ac:dyDescent="0.25">
      <c r="A415" t="s">
        <v>421</v>
      </c>
      <c r="K415" s="1" t="str">
        <f t="shared" si="12"/>
        <v>2019-12-01</v>
      </c>
      <c r="L415">
        <v>3230.780029</v>
      </c>
      <c r="M415" s="4">
        <f t="shared" si="13"/>
        <v>2.8589818964716907E-2</v>
      </c>
    </row>
    <row r="416" spans="1:13" x14ac:dyDescent="0.25">
      <c r="A416" t="s">
        <v>422</v>
      </c>
      <c r="K416" s="1" t="str">
        <f t="shared" si="12"/>
        <v>2020-01-01</v>
      </c>
      <c r="L416">
        <v>3225.5200199999999</v>
      </c>
      <c r="M416" s="4">
        <f t="shared" si="13"/>
        <v>-1.6280925822201864E-3</v>
      </c>
    </row>
    <row r="417" spans="1:13" x14ac:dyDescent="0.25">
      <c r="A417" t="s">
        <v>423</v>
      </c>
      <c r="K417" s="1" t="str">
        <f t="shared" si="12"/>
        <v>2020-02-01</v>
      </c>
      <c r="L417">
        <v>2954.219971</v>
      </c>
      <c r="M417" s="4">
        <f t="shared" si="13"/>
        <v>-8.411048367946572E-2</v>
      </c>
    </row>
    <row r="418" spans="1:13" x14ac:dyDescent="0.25">
      <c r="A418" t="s">
        <v>424</v>
      </c>
      <c r="K418" s="1" t="str">
        <f t="shared" si="12"/>
        <v>2020-03-01</v>
      </c>
      <c r="L418">
        <v>2584.5900879999999</v>
      </c>
      <c r="M418" s="4">
        <f t="shared" si="13"/>
        <v>-0.12511928245982329</v>
      </c>
    </row>
    <row r="419" spans="1:13" x14ac:dyDescent="0.25">
      <c r="A419" t="s">
        <v>425</v>
      </c>
      <c r="K419" s="1" t="str">
        <f t="shared" si="12"/>
        <v>2020-04-01</v>
      </c>
      <c r="L419">
        <v>2912.429932</v>
      </c>
      <c r="M419" s="4">
        <f t="shared" si="13"/>
        <v>0.12684403825663826</v>
      </c>
    </row>
    <row r="420" spans="1:13" x14ac:dyDescent="0.25">
      <c r="A420" t="s">
        <v>426</v>
      </c>
      <c r="K420" s="1" t="str">
        <f t="shared" si="12"/>
        <v>2020-05-01</v>
      </c>
      <c r="L420">
        <v>3044.3100589999999</v>
      </c>
      <c r="M420" s="4">
        <f t="shared" si="13"/>
        <v>4.5281819676065593E-2</v>
      </c>
    </row>
    <row r="421" spans="1:13" x14ac:dyDescent="0.25">
      <c r="A421" t="s">
        <v>427</v>
      </c>
      <c r="K421" s="1" t="str">
        <f t="shared" si="12"/>
        <v>2020-06-01</v>
      </c>
      <c r="L421">
        <v>3100.290039</v>
      </c>
      <c r="M421" s="4">
        <f t="shared" si="13"/>
        <v>1.8388396357494674E-2</v>
      </c>
    </row>
    <row r="422" spans="1:13" x14ac:dyDescent="0.25">
      <c r="A422" t="s">
        <v>848</v>
      </c>
      <c r="K422" s="1" t="str">
        <f t="shared" si="12"/>
        <v>2020-07-01</v>
      </c>
      <c r="L422">
        <v>3271.1201169999999</v>
      </c>
      <c r="M422" s="4">
        <f t="shared" si="13"/>
        <v>5.5101321441235696E-2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254F2-FD2B-4770-AA21-ADAD1181A171}">
  <sheetPr codeName="Sheet6"/>
  <dimension ref="B2:D13"/>
  <sheetViews>
    <sheetView workbookViewId="0">
      <selection activeCell="E19" sqref="E19"/>
    </sheetView>
  </sheetViews>
  <sheetFormatPr defaultRowHeight="15" x14ac:dyDescent="0.25"/>
  <cols>
    <col min="2" max="2" width="16.5703125" customWidth="1"/>
    <col min="3" max="3" width="18.85546875" bestFit="1" customWidth="1"/>
    <col min="4" max="4" width="12.42578125" bestFit="1" customWidth="1"/>
  </cols>
  <sheetData>
    <row r="2" spans="2:4" x14ac:dyDescent="0.25">
      <c r="B2" t="s">
        <v>861</v>
      </c>
    </row>
    <row r="3" spans="2:4" x14ac:dyDescent="0.25">
      <c r="B3" t="s">
        <v>854</v>
      </c>
    </row>
    <row r="4" spans="2:4" x14ac:dyDescent="0.25">
      <c r="C4" t="s">
        <v>855</v>
      </c>
      <c r="D4">
        <v>132</v>
      </c>
    </row>
    <row r="5" spans="2:4" x14ac:dyDescent="0.25">
      <c r="C5" t="s">
        <v>856</v>
      </c>
      <c r="D5" s="7" t="e">
        <f>PMT(D12,D4,D6)</f>
        <v>#REF!</v>
      </c>
    </row>
    <row r="6" spans="2:4" x14ac:dyDescent="0.25">
      <c r="C6" t="s">
        <v>857</v>
      </c>
      <c r="D6" s="6" t="e">
        <f>FV(D12,D8,D9)</f>
        <v>#REF!</v>
      </c>
    </row>
    <row r="7" spans="2:4" x14ac:dyDescent="0.25">
      <c r="B7" t="s">
        <v>858</v>
      </c>
    </row>
    <row r="8" spans="2:4" x14ac:dyDescent="0.25">
      <c r="C8" t="s">
        <v>855</v>
      </c>
      <c r="D8" s="6">
        <v>17</v>
      </c>
    </row>
    <row r="9" spans="2:4" x14ac:dyDescent="0.25">
      <c r="C9" t="s">
        <v>859</v>
      </c>
      <c r="D9" s="6">
        <v>1040</v>
      </c>
    </row>
    <row r="10" spans="2:4" x14ac:dyDescent="0.25">
      <c r="D10" s="5"/>
    </row>
    <row r="11" spans="2:4" x14ac:dyDescent="0.25">
      <c r="B11" t="s">
        <v>866</v>
      </c>
    </row>
    <row r="12" spans="2:4" x14ac:dyDescent="0.25">
      <c r="C12" t="s">
        <v>851</v>
      </c>
      <c r="D12" s="3" t="e">
        <f>AVERAGE(#REF!)</f>
        <v>#REF!</v>
      </c>
    </row>
    <row r="13" spans="2:4" x14ac:dyDescent="0.25">
      <c r="C13" t="s">
        <v>860</v>
      </c>
      <c r="D13" s="3" t="e">
        <f>AVERAGE(#REF!)</f>
        <v>#REF!</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2F36F-F05A-479B-BD0F-6F1EDC04BEDE}">
  <sheetPr codeName="Sheet11"/>
  <dimension ref="B2:M422"/>
  <sheetViews>
    <sheetView workbookViewId="0">
      <selection activeCell="D9" sqref="D9"/>
    </sheetView>
  </sheetViews>
  <sheetFormatPr defaultRowHeight="15" x14ac:dyDescent="0.25"/>
  <cols>
    <col min="2" max="2" width="15.7109375" customWidth="1"/>
    <col min="3" max="3" width="18.85546875" bestFit="1" customWidth="1"/>
    <col min="4" max="4" width="12.42578125" bestFit="1" customWidth="1"/>
  </cols>
  <sheetData>
    <row r="2" spans="2:13" x14ac:dyDescent="0.25">
      <c r="B2" t="s">
        <v>862</v>
      </c>
    </row>
    <row r="3" spans="2:13" x14ac:dyDescent="0.25">
      <c r="B3" t="s">
        <v>854</v>
      </c>
      <c r="M3" s="4"/>
    </row>
    <row r="4" spans="2:13" x14ac:dyDescent="0.25">
      <c r="C4" t="s">
        <v>855</v>
      </c>
      <c r="D4">
        <v>360</v>
      </c>
      <c r="M4" s="4"/>
    </row>
    <row r="5" spans="2:13" x14ac:dyDescent="0.25">
      <c r="C5" t="s">
        <v>856</v>
      </c>
      <c r="D5" s="10">
        <v>360</v>
      </c>
      <c r="M5" s="4"/>
    </row>
    <row r="6" spans="2:13" x14ac:dyDescent="0.25">
      <c r="C6" t="s">
        <v>857</v>
      </c>
      <c r="D6" s="9" t="e">
        <f>FV(D13,D4,D5,,1)</f>
        <v>#REF!</v>
      </c>
      <c r="M6" s="4"/>
    </row>
    <row r="7" spans="2:13" x14ac:dyDescent="0.25">
      <c r="B7" t="s">
        <v>858</v>
      </c>
      <c r="D7" s="10"/>
      <c r="M7" s="4"/>
    </row>
    <row r="8" spans="2:13" x14ac:dyDescent="0.25">
      <c r="C8" t="s">
        <v>855</v>
      </c>
      <c r="D8" s="8" t="e">
        <f>-NPER(D12,D9,-D6)</f>
        <v>#REF!</v>
      </c>
      <c r="M8" s="4"/>
    </row>
    <row r="9" spans="2:13" x14ac:dyDescent="0.25">
      <c r="C9" t="s">
        <v>859</v>
      </c>
      <c r="D9" s="9">
        <v>1290</v>
      </c>
      <c r="M9" s="4"/>
    </row>
    <row r="10" spans="2:13" x14ac:dyDescent="0.25">
      <c r="D10" s="5"/>
      <c r="M10" s="4"/>
    </row>
    <row r="11" spans="2:13" x14ac:dyDescent="0.25">
      <c r="B11" t="s">
        <v>5</v>
      </c>
      <c r="M11" s="4"/>
    </row>
    <row r="12" spans="2:13" x14ac:dyDescent="0.25">
      <c r="C12" t="s">
        <v>851</v>
      </c>
      <c r="D12" s="3" t="e">
        <f>AVERAGE(#REF!)</f>
        <v>#REF!</v>
      </c>
      <c r="M12" s="4"/>
    </row>
    <row r="13" spans="2:13" x14ac:dyDescent="0.25">
      <c r="C13" t="s">
        <v>860</v>
      </c>
      <c r="D13" s="3" t="e">
        <f>AVERAGE(#REF!)</f>
        <v>#REF!</v>
      </c>
      <c r="M13" s="4"/>
    </row>
    <row r="14" spans="2:13" x14ac:dyDescent="0.25">
      <c r="M14" s="4"/>
    </row>
    <row r="15" spans="2:13" x14ac:dyDescent="0.25">
      <c r="M15" s="4"/>
    </row>
    <row r="16" spans="2:13" x14ac:dyDescent="0.25">
      <c r="M16" s="4"/>
    </row>
    <row r="17" spans="13:13" x14ac:dyDescent="0.25">
      <c r="M17" s="4"/>
    </row>
    <row r="18" spans="13:13" x14ac:dyDescent="0.25">
      <c r="M18" s="4"/>
    </row>
    <row r="19" spans="13:13" x14ac:dyDescent="0.25">
      <c r="M19" s="4"/>
    </row>
    <row r="20" spans="13:13" x14ac:dyDescent="0.25">
      <c r="M20" s="4"/>
    </row>
    <row r="21" spans="13:13" x14ac:dyDescent="0.25">
      <c r="M21" s="4"/>
    </row>
    <row r="22" spans="13:13" x14ac:dyDescent="0.25">
      <c r="M22" s="4"/>
    </row>
    <row r="23" spans="13:13" x14ac:dyDescent="0.25">
      <c r="M23" s="4"/>
    </row>
    <row r="24" spans="13:13" x14ac:dyDescent="0.25">
      <c r="M24" s="4"/>
    </row>
    <row r="25" spans="13:13" x14ac:dyDescent="0.25">
      <c r="M25" s="4"/>
    </row>
    <row r="26" spans="13:13" x14ac:dyDescent="0.25">
      <c r="M26" s="4"/>
    </row>
    <row r="27" spans="13:13" x14ac:dyDescent="0.25">
      <c r="M27" s="4"/>
    </row>
    <row r="28" spans="13:13" x14ac:dyDescent="0.25">
      <c r="M28" s="4"/>
    </row>
    <row r="29" spans="13:13" x14ac:dyDescent="0.25">
      <c r="M29" s="4"/>
    </row>
    <row r="30" spans="13:13" x14ac:dyDescent="0.25">
      <c r="M30" s="4"/>
    </row>
    <row r="31" spans="13:13" x14ac:dyDescent="0.25">
      <c r="M31" s="4"/>
    </row>
    <row r="32" spans="13:13" x14ac:dyDescent="0.25">
      <c r="M32" s="4"/>
    </row>
    <row r="33" spans="13:13" x14ac:dyDescent="0.25">
      <c r="M33" s="4"/>
    </row>
    <row r="34" spans="13:13" x14ac:dyDescent="0.25">
      <c r="M34" s="4"/>
    </row>
    <row r="35" spans="13:13" x14ac:dyDescent="0.25">
      <c r="M35" s="4"/>
    </row>
    <row r="36" spans="13:13" x14ac:dyDescent="0.25">
      <c r="M36" s="4"/>
    </row>
    <row r="37" spans="13:13" x14ac:dyDescent="0.25">
      <c r="M37" s="4"/>
    </row>
    <row r="38" spans="13:13" x14ac:dyDescent="0.25">
      <c r="M38" s="4"/>
    </row>
    <row r="39" spans="13:13" x14ac:dyDescent="0.25">
      <c r="M39" s="4"/>
    </row>
    <row r="40" spans="13:13" x14ac:dyDescent="0.25">
      <c r="M40" s="4"/>
    </row>
    <row r="41" spans="13:13" x14ac:dyDescent="0.25">
      <c r="M41" s="4"/>
    </row>
    <row r="42" spans="13:13" x14ac:dyDescent="0.25">
      <c r="M42" s="4"/>
    </row>
    <row r="43" spans="13:13" x14ac:dyDescent="0.25">
      <c r="M43" s="4"/>
    </row>
    <row r="44" spans="13:13" x14ac:dyDescent="0.25">
      <c r="M44" s="4"/>
    </row>
    <row r="45" spans="13:13" x14ac:dyDescent="0.25">
      <c r="M45" s="4"/>
    </row>
    <row r="46" spans="13:13" x14ac:dyDescent="0.25">
      <c r="M46" s="4"/>
    </row>
    <row r="47" spans="13:13" x14ac:dyDescent="0.25">
      <c r="M47" s="4"/>
    </row>
    <row r="48" spans="13:13" x14ac:dyDescent="0.25">
      <c r="M48" s="4"/>
    </row>
    <row r="49" spans="13:13" x14ac:dyDescent="0.25">
      <c r="M49" s="4"/>
    </row>
    <row r="50" spans="13:13" x14ac:dyDescent="0.25">
      <c r="M50" s="4"/>
    </row>
    <row r="51" spans="13:13" x14ac:dyDescent="0.25">
      <c r="M51" s="4"/>
    </row>
    <row r="52" spans="13:13" x14ac:dyDescent="0.25">
      <c r="M52" s="4"/>
    </row>
    <row r="53" spans="13:13" x14ac:dyDescent="0.25">
      <c r="M53" s="4"/>
    </row>
    <row r="54" spans="13:13" x14ac:dyDescent="0.25">
      <c r="M54" s="4"/>
    </row>
    <row r="55" spans="13:13" x14ac:dyDescent="0.25">
      <c r="M55" s="4"/>
    </row>
    <row r="56" spans="13:13" x14ac:dyDescent="0.25">
      <c r="M56" s="4"/>
    </row>
    <row r="57" spans="13:13" x14ac:dyDescent="0.25">
      <c r="M57" s="4"/>
    </row>
    <row r="58" spans="13:13" x14ac:dyDescent="0.25">
      <c r="M58" s="4"/>
    </row>
    <row r="59" spans="13:13" x14ac:dyDescent="0.25">
      <c r="M59" s="4"/>
    </row>
    <row r="60" spans="13:13" x14ac:dyDescent="0.25">
      <c r="M60" s="4"/>
    </row>
    <row r="61" spans="13:13" x14ac:dyDescent="0.25">
      <c r="M61" s="4"/>
    </row>
    <row r="62" spans="13:13" x14ac:dyDescent="0.25">
      <c r="M62" s="4"/>
    </row>
    <row r="63" spans="13:13" x14ac:dyDescent="0.25">
      <c r="M63" s="4"/>
    </row>
    <row r="64" spans="13:13" x14ac:dyDescent="0.25">
      <c r="M64" s="4"/>
    </row>
    <row r="65" spans="13:13" x14ac:dyDescent="0.25">
      <c r="M65" s="4"/>
    </row>
    <row r="66" spans="13:13" x14ac:dyDescent="0.25">
      <c r="M66" s="4"/>
    </row>
    <row r="67" spans="13:13" x14ac:dyDescent="0.25">
      <c r="M67" s="4"/>
    </row>
    <row r="68" spans="13:13" x14ac:dyDescent="0.25">
      <c r="M68" s="4"/>
    </row>
    <row r="69" spans="13:13" x14ac:dyDescent="0.25">
      <c r="M69" s="4"/>
    </row>
    <row r="70" spans="13:13" x14ac:dyDescent="0.25">
      <c r="M70" s="4"/>
    </row>
    <row r="71" spans="13:13" x14ac:dyDescent="0.25">
      <c r="M71" s="4"/>
    </row>
    <row r="72" spans="13:13" x14ac:dyDescent="0.25">
      <c r="M72" s="4"/>
    </row>
    <row r="73" spans="13:13" x14ac:dyDescent="0.25">
      <c r="M73" s="4"/>
    </row>
    <row r="74" spans="13:13" x14ac:dyDescent="0.25">
      <c r="M74" s="4"/>
    </row>
    <row r="75" spans="13:13" x14ac:dyDescent="0.25">
      <c r="M75" s="4"/>
    </row>
    <row r="76" spans="13:13" x14ac:dyDescent="0.25">
      <c r="M76" s="4"/>
    </row>
    <row r="77" spans="13:13" x14ac:dyDescent="0.25">
      <c r="M77" s="4"/>
    </row>
    <row r="78" spans="13:13" x14ac:dyDescent="0.25">
      <c r="M78" s="4"/>
    </row>
    <row r="79" spans="13:13" x14ac:dyDescent="0.25">
      <c r="M79" s="4"/>
    </row>
    <row r="80" spans="13:13" x14ac:dyDescent="0.25">
      <c r="M80" s="4"/>
    </row>
    <row r="81" spans="13:13" x14ac:dyDescent="0.25">
      <c r="M81" s="4"/>
    </row>
    <row r="82" spans="13:13" x14ac:dyDescent="0.25">
      <c r="M82" s="4"/>
    </row>
    <row r="83" spans="13:13" x14ac:dyDescent="0.25">
      <c r="M83" s="4"/>
    </row>
    <row r="84" spans="13:13" x14ac:dyDescent="0.25">
      <c r="M84" s="4"/>
    </row>
    <row r="85" spans="13:13" x14ac:dyDescent="0.25">
      <c r="M85" s="4"/>
    </row>
    <row r="86" spans="13:13" x14ac:dyDescent="0.25">
      <c r="M86" s="4"/>
    </row>
    <row r="87" spans="13:13" x14ac:dyDescent="0.25">
      <c r="M87" s="4"/>
    </row>
    <row r="88" spans="13:13" x14ac:dyDescent="0.25">
      <c r="M88" s="4"/>
    </row>
    <row r="89" spans="13:13" x14ac:dyDescent="0.25">
      <c r="M89" s="4"/>
    </row>
    <row r="90" spans="13:13" x14ac:dyDescent="0.25">
      <c r="M90" s="4"/>
    </row>
    <row r="91" spans="13:13" x14ac:dyDescent="0.25">
      <c r="M91" s="4"/>
    </row>
    <row r="92" spans="13:13" x14ac:dyDescent="0.25">
      <c r="M92" s="4"/>
    </row>
    <row r="93" spans="13:13" x14ac:dyDescent="0.25">
      <c r="M93" s="4"/>
    </row>
    <row r="94" spans="13:13" x14ac:dyDescent="0.25">
      <c r="M94" s="4"/>
    </row>
    <row r="95" spans="13:13" x14ac:dyDescent="0.25">
      <c r="M95" s="4"/>
    </row>
    <row r="96" spans="13:13" x14ac:dyDescent="0.25">
      <c r="M96" s="4"/>
    </row>
    <row r="97" spans="13:13" x14ac:dyDescent="0.25">
      <c r="M97" s="4"/>
    </row>
    <row r="98" spans="13:13" x14ac:dyDescent="0.25">
      <c r="M98" s="4"/>
    </row>
    <row r="99" spans="13:13" x14ac:dyDescent="0.25">
      <c r="M99" s="4"/>
    </row>
    <row r="100" spans="13:13" x14ac:dyDescent="0.25">
      <c r="M100" s="4"/>
    </row>
    <row r="101" spans="13:13" x14ac:dyDescent="0.25">
      <c r="M101" s="4"/>
    </row>
    <row r="102" spans="13:13" x14ac:dyDescent="0.25">
      <c r="M102" s="4"/>
    </row>
    <row r="103" spans="13:13" x14ac:dyDescent="0.25">
      <c r="M103" s="4"/>
    </row>
    <row r="104" spans="13:13" x14ac:dyDescent="0.25">
      <c r="M104" s="4"/>
    </row>
    <row r="105" spans="13:13" x14ac:dyDescent="0.25">
      <c r="M105" s="4"/>
    </row>
    <row r="106" spans="13:13" x14ac:dyDescent="0.25">
      <c r="M106" s="4"/>
    </row>
    <row r="107" spans="13:13" x14ac:dyDescent="0.25">
      <c r="M107" s="4"/>
    </row>
    <row r="108" spans="13:13" x14ac:dyDescent="0.25">
      <c r="M108" s="4"/>
    </row>
    <row r="109" spans="13:13" x14ac:dyDescent="0.25">
      <c r="M109" s="4"/>
    </row>
    <row r="110" spans="13:13" x14ac:dyDescent="0.25">
      <c r="M110" s="4"/>
    </row>
    <row r="111" spans="13:13" x14ac:dyDescent="0.25">
      <c r="M111" s="4"/>
    </row>
    <row r="112" spans="13:13" x14ac:dyDescent="0.25">
      <c r="M112" s="4"/>
    </row>
    <row r="113" spans="13:13" x14ac:dyDescent="0.25">
      <c r="M113" s="4"/>
    </row>
    <row r="114" spans="13:13" x14ac:dyDescent="0.25">
      <c r="M114" s="4"/>
    </row>
    <row r="115" spans="13:13" x14ac:dyDescent="0.25">
      <c r="M115" s="4"/>
    </row>
    <row r="116" spans="13:13" x14ac:dyDescent="0.25">
      <c r="M116" s="4"/>
    </row>
    <row r="117" spans="13:13" x14ac:dyDescent="0.25">
      <c r="M117" s="4"/>
    </row>
    <row r="118" spans="13:13" x14ac:dyDescent="0.25">
      <c r="M118" s="4"/>
    </row>
    <row r="119" spans="13:13" x14ac:dyDescent="0.25">
      <c r="M119" s="4"/>
    </row>
    <row r="120" spans="13:13" x14ac:dyDescent="0.25">
      <c r="M120" s="4"/>
    </row>
    <row r="121" spans="13:13" x14ac:dyDescent="0.25">
      <c r="M121" s="4"/>
    </row>
    <row r="122" spans="13:13" x14ac:dyDescent="0.25">
      <c r="M122" s="4"/>
    </row>
    <row r="123" spans="13:13" x14ac:dyDescent="0.25">
      <c r="M123" s="4"/>
    </row>
    <row r="124" spans="13:13" x14ac:dyDescent="0.25">
      <c r="M124" s="4"/>
    </row>
    <row r="125" spans="13:13" x14ac:dyDescent="0.25">
      <c r="M125" s="4"/>
    </row>
    <row r="126" spans="13:13" x14ac:dyDescent="0.25">
      <c r="M126" s="4"/>
    </row>
    <row r="127" spans="13:13" x14ac:dyDescent="0.25">
      <c r="M127" s="4"/>
    </row>
    <row r="128" spans="13:13" x14ac:dyDescent="0.25">
      <c r="M128" s="4"/>
    </row>
    <row r="129" spans="13:13" x14ac:dyDescent="0.25">
      <c r="M129" s="4"/>
    </row>
    <row r="130" spans="13:13" x14ac:dyDescent="0.25">
      <c r="M130" s="4"/>
    </row>
    <row r="131" spans="13:13" x14ac:dyDescent="0.25">
      <c r="M131" s="4"/>
    </row>
    <row r="132" spans="13:13" x14ac:dyDescent="0.25">
      <c r="M132" s="4"/>
    </row>
    <row r="133" spans="13:13" x14ac:dyDescent="0.25">
      <c r="M133" s="4"/>
    </row>
    <row r="134" spans="13:13" x14ac:dyDescent="0.25">
      <c r="M134" s="4"/>
    </row>
    <row r="135" spans="13:13" x14ac:dyDescent="0.25">
      <c r="M135" s="4"/>
    </row>
    <row r="136" spans="13:13" x14ac:dyDescent="0.25">
      <c r="M136" s="4"/>
    </row>
    <row r="137" spans="13:13" x14ac:dyDescent="0.25">
      <c r="M137" s="4"/>
    </row>
    <row r="138" spans="13:13" x14ac:dyDescent="0.25">
      <c r="M138" s="4"/>
    </row>
    <row r="139" spans="13:13" x14ac:dyDescent="0.25">
      <c r="M139" s="4"/>
    </row>
    <row r="140" spans="13:13" x14ac:dyDescent="0.25">
      <c r="M140" s="4"/>
    </row>
    <row r="141" spans="13:13" x14ac:dyDescent="0.25">
      <c r="M141" s="4"/>
    </row>
    <row r="142" spans="13:13" x14ac:dyDescent="0.25">
      <c r="M142" s="4"/>
    </row>
    <row r="143" spans="13:13" x14ac:dyDescent="0.25">
      <c r="M143" s="4"/>
    </row>
    <row r="144" spans="13:13" x14ac:dyDescent="0.25">
      <c r="M144" s="4"/>
    </row>
    <row r="145" spans="13:13" x14ac:dyDescent="0.25">
      <c r="M145" s="4"/>
    </row>
    <row r="146" spans="13:13" x14ac:dyDescent="0.25">
      <c r="M146" s="4"/>
    </row>
    <row r="147" spans="13:13" x14ac:dyDescent="0.25">
      <c r="M147" s="4"/>
    </row>
    <row r="148" spans="13:13" x14ac:dyDescent="0.25">
      <c r="M148" s="4"/>
    </row>
    <row r="149" spans="13:13" x14ac:dyDescent="0.25">
      <c r="M149" s="4"/>
    </row>
    <row r="150" spans="13:13" x14ac:dyDescent="0.25">
      <c r="M150" s="4"/>
    </row>
    <row r="151" spans="13:13" x14ac:dyDescent="0.25">
      <c r="M151" s="4"/>
    </row>
    <row r="152" spans="13:13" x14ac:dyDescent="0.25">
      <c r="M152" s="4"/>
    </row>
    <row r="153" spans="13:13" x14ac:dyDescent="0.25">
      <c r="M153" s="4"/>
    </row>
    <row r="154" spans="13:13" x14ac:dyDescent="0.25">
      <c r="M154" s="4"/>
    </row>
    <row r="155" spans="13:13" x14ac:dyDescent="0.25">
      <c r="M155" s="4"/>
    </row>
    <row r="156" spans="13:13" x14ac:dyDescent="0.25">
      <c r="M156" s="4"/>
    </row>
    <row r="157" spans="13:13" x14ac:dyDescent="0.25">
      <c r="M157" s="4"/>
    </row>
    <row r="158" spans="13:13" x14ac:dyDescent="0.25">
      <c r="M158" s="4"/>
    </row>
    <row r="159" spans="13:13" x14ac:dyDescent="0.25">
      <c r="M159" s="4"/>
    </row>
    <row r="160" spans="13:13" x14ac:dyDescent="0.25">
      <c r="M160" s="4"/>
    </row>
    <row r="161" spans="13:13" x14ac:dyDescent="0.25">
      <c r="M161" s="4"/>
    </row>
    <row r="162" spans="13:13" x14ac:dyDescent="0.25">
      <c r="M162" s="4"/>
    </row>
    <row r="163" spans="13:13" x14ac:dyDescent="0.25">
      <c r="M163" s="4"/>
    </row>
    <row r="164" spans="13:13" x14ac:dyDescent="0.25">
      <c r="M164" s="4"/>
    </row>
    <row r="165" spans="13:13" x14ac:dyDescent="0.25">
      <c r="M165" s="4"/>
    </row>
    <row r="166" spans="13:13" x14ac:dyDescent="0.25">
      <c r="M166" s="4"/>
    </row>
    <row r="167" spans="13:13" x14ac:dyDescent="0.25">
      <c r="M167" s="4"/>
    </row>
    <row r="168" spans="13:13" x14ac:dyDescent="0.25">
      <c r="M168" s="4"/>
    </row>
    <row r="169" spans="13:13" x14ac:dyDescent="0.25">
      <c r="M169" s="4"/>
    </row>
    <row r="170" spans="13:13" x14ac:dyDescent="0.25">
      <c r="M170" s="4"/>
    </row>
    <row r="171" spans="13:13" x14ac:dyDescent="0.25">
      <c r="M171" s="4"/>
    </row>
    <row r="172" spans="13:13" x14ac:dyDescent="0.25">
      <c r="M172" s="4"/>
    </row>
    <row r="173" spans="13:13" x14ac:dyDescent="0.25">
      <c r="M173" s="4"/>
    </row>
    <row r="174" spans="13:13" x14ac:dyDescent="0.25">
      <c r="M174" s="4"/>
    </row>
    <row r="175" spans="13:13" x14ac:dyDescent="0.25">
      <c r="M175" s="4"/>
    </row>
    <row r="176" spans="13:13" x14ac:dyDescent="0.25">
      <c r="M176" s="4"/>
    </row>
    <row r="177" spans="13:13" x14ac:dyDescent="0.25">
      <c r="M177" s="4"/>
    </row>
    <row r="178" spans="13:13" x14ac:dyDescent="0.25">
      <c r="M178" s="4"/>
    </row>
    <row r="179" spans="13:13" x14ac:dyDescent="0.25">
      <c r="M179" s="4"/>
    </row>
    <row r="180" spans="13:13" x14ac:dyDescent="0.25">
      <c r="M180" s="4"/>
    </row>
    <row r="181" spans="13:13" x14ac:dyDescent="0.25">
      <c r="M181" s="4"/>
    </row>
    <row r="182" spans="13:13" x14ac:dyDescent="0.25">
      <c r="M182" s="4"/>
    </row>
    <row r="183" spans="13:13" x14ac:dyDescent="0.25">
      <c r="M183" s="4"/>
    </row>
    <row r="184" spans="13:13" x14ac:dyDescent="0.25">
      <c r="M184" s="4"/>
    </row>
    <row r="185" spans="13:13" x14ac:dyDescent="0.25">
      <c r="M185" s="4"/>
    </row>
    <row r="186" spans="13:13" x14ac:dyDescent="0.25">
      <c r="M186" s="4"/>
    </row>
    <row r="187" spans="13:13" x14ac:dyDescent="0.25">
      <c r="M187" s="4"/>
    </row>
    <row r="188" spans="13:13" x14ac:dyDescent="0.25">
      <c r="M188" s="4"/>
    </row>
    <row r="189" spans="13:13" x14ac:dyDescent="0.25">
      <c r="M189" s="4"/>
    </row>
    <row r="190" spans="13:13" x14ac:dyDescent="0.25">
      <c r="M190" s="4"/>
    </row>
    <row r="191" spans="13:13" x14ac:dyDescent="0.25">
      <c r="M191" s="4"/>
    </row>
    <row r="192" spans="13:13" x14ac:dyDescent="0.25">
      <c r="M192" s="4"/>
    </row>
    <row r="193" spans="13:13" x14ac:dyDescent="0.25">
      <c r="M193" s="4"/>
    </row>
    <row r="194" spans="13:13" x14ac:dyDescent="0.25">
      <c r="M194" s="4"/>
    </row>
    <row r="195" spans="13:13" x14ac:dyDescent="0.25">
      <c r="M195" s="4"/>
    </row>
    <row r="196" spans="13:13" x14ac:dyDescent="0.25">
      <c r="M196" s="4"/>
    </row>
    <row r="197" spans="13:13" x14ac:dyDescent="0.25">
      <c r="M197" s="4"/>
    </row>
    <row r="198" spans="13:13" x14ac:dyDescent="0.25">
      <c r="M198" s="4"/>
    </row>
    <row r="199" spans="13:13" x14ac:dyDescent="0.25">
      <c r="M199" s="4"/>
    </row>
    <row r="200" spans="13:13" x14ac:dyDescent="0.25">
      <c r="M200" s="4"/>
    </row>
    <row r="201" spans="13:13" x14ac:dyDescent="0.25">
      <c r="M201" s="4"/>
    </row>
    <row r="202" spans="13:13" x14ac:dyDescent="0.25">
      <c r="M202" s="4"/>
    </row>
    <row r="203" spans="13:13" x14ac:dyDescent="0.25">
      <c r="M203" s="4"/>
    </row>
    <row r="204" spans="13:13" x14ac:dyDescent="0.25">
      <c r="M204" s="4"/>
    </row>
    <row r="205" spans="13:13" x14ac:dyDescent="0.25">
      <c r="M205" s="4"/>
    </row>
    <row r="206" spans="13:13" x14ac:dyDescent="0.25">
      <c r="M206" s="4"/>
    </row>
    <row r="207" spans="13:13" x14ac:dyDescent="0.25">
      <c r="M207" s="4"/>
    </row>
    <row r="208" spans="13:13" x14ac:dyDescent="0.25">
      <c r="M208" s="4"/>
    </row>
    <row r="209" spans="13:13" x14ac:dyDescent="0.25">
      <c r="M209" s="4"/>
    </row>
    <row r="210" spans="13:13" x14ac:dyDescent="0.25">
      <c r="M210" s="4"/>
    </row>
    <row r="211" spans="13:13" x14ac:dyDescent="0.25">
      <c r="M211" s="4"/>
    </row>
    <row r="212" spans="13:13" x14ac:dyDescent="0.25">
      <c r="M212" s="4"/>
    </row>
    <row r="213" spans="13:13" x14ac:dyDescent="0.25">
      <c r="M213" s="4"/>
    </row>
    <row r="214" spans="13:13" x14ac:dyDescent="0.25">
      <c r="M214" s="4"/>
    </row>
    <row r="215" spans="13:13" x14ac:dyDescent="0.25">
      <c r="M215" s="4"/>
    </row>
    <row r="216" spans="13:13" x14ac:dyDescent="0.25">
      <c r="M216" s="4"/>
    </row>
    <row r="217" spans="13:13" x14ac:dyDescent="0.25">
      <c r="M217" s="4"/>
    </row>
    <row r="218" spans="13:13" x14ac:dyDescent="0.25">
      <c r="M218" s="4"/>
    </row>
    <row r="219" spans="13:13" x14ac:dyDescent="0.25">
      <c r="M219" s="4"/>
    </row>
    <row r="220" spans="13:13" x14ac:dyDescent="0.25">
      <c r="M220" s="4"/>
    </row>
    <row r="221" spans="13:13" x14ac:dyDescent="0.25">
      <c r="M221" s="4"/>
    </row>
    <row r="222" spans="13:13" x14ac:dyDescent="0.25">
      <c r="M222" s="4"/>
    </row>
    <row r="223" spans="13:13" x14ac:dyDescent="0.25">
      <c r="M223" s="4"/>
    </row>
    <row r="224" spans="13:13" x14ac:dyDescent="0.25">
      <c r="M224" s="4"/>
    </row>
    <row r="225" spans="13:13" x14ac:dyDescent="0.25">
      <c r="M225" s="4"/>
    </row>
    <row r="226" spans="13:13" x14ac:dyDescent="0.25">
      <c r="M226" s="4"/>
    </row>
    <row r="227" spans="13:13" x14ac:dyDescent="0.25">
      <c r="M227" s="4"/>
    </row>
    <row r="228" spans="13:13" x14ac:dyDescent="0.25">
      <c r="M228" s="4"/>
    </row>
    <row r="229" spans="13:13" x14ac:dyDescent="0.25">
      <c r="M229" s="4"/>
    </row>
    <row r="230" spans="13:13" x14ac:dyDescent="0.25">
      <c r="M230" s="4"/>
    </row>
    <row r="231" spans="13:13" x14ac:dyDescent="0.25">
      <c r="M231" s="4"/>
    </row>
    <row r="232" spans="13:13" x14ac:dyDescent="0.25">
      <c r="M232" s="4"/>
    </row>
    <row r="233" spans="13:13" x14ac:dyDescent="0.25">
      <c r="M233" s="4"/>
    </row>
    <row r="234" spans="13:13" x14ac:dyDescent="0.25">
      <c r="M234" s="4"/>
    </row>
    <row r="235" spans="13:13" x14ac:dyDescent="0.25">
      <c r="M235" s="4"/>
    </row>
    <row r="236" spans="13:13" x14ac:dyDescent="0.25">
      <c r="M236" s="4"/>
    </row>
    <row r="237" spans="13:13" x14ac:dyDescent="0.25">
      <c r="M237" s="4"/>
    </row>
    <row r="238" spans="13:13" x14ac:dyDescent="0.25">
      <c r="M238" s="4"/>
    </row>
    <row r="239" spans="13:13" x14ac:dyDescent="0.25">
      <c r="M239" s="4"/>
    </row>
    <row r="240" spans="13:13" x14ac:dyDescent="0.25">
      <c r="M240" s="4"/>
    </row>
    <row r="241" spans="13:13" x14ac:dyDescent="0.25">
      <c r="M241" s="4"/>
    </row>
    <row r="242" spans="13:13" x14ac:dyDescent="0.25">
      <c r="M242" s="4"/>
    </row>
    <row r="243" spans="13:13" x14ac:dyDescent="0.25">
      <c r="M243" s="4"/>
    </row>
    <row r="244" spans="13:13" x14ac:dyDescent="0.25">
      <c r="M244" s="4"/>
    </row>
    <row r="245" spans="13:13" x14ac:dyDescent="0.25">
      <c r="M245" s="4"/>
    </row>
    <row r="246" spans="13:13" x14ac:dyDescent="0.25">
      <c r="M246" s="4"/>
    </row>
    <row r="247" spans="13:13" x14ac:dyDescent="0.25">
      <c r="M247" s="4"/>
    </row>
    <row r="248" spans="13:13" x14ac:dyDescent="0.25">
      <c r="M248" s="4"/>
    </row>
    <row r="249" spans="13:13" x14ac:dyDescent="0.25">
      <c r="M249" s="4"/>
    </row>
    <row r="250" spans="13:13" x14ac:dyDescent="0.25">
      <c r="M250" s="4"/>
    </row>
    <row r="251" spans="13:13" x14ac:dyDescent="0.25">
      <c r="M251" s="4"/>
    </row>
    <row r="252" spans="13:13" x14ac:dyDescent="0.25">
      <c r="M252" s="4"/>
    </row>
    <row r="253" spans="13:13" x14ac:dyDescent="0.25">
      <c r="M253" s="4"/>
    </row>
    <row r="254" spans="13:13" x14ac:dyDescent="0.25">
      <c r="M254" s="4"/>
    </row>
    <row r="255" spans="13:13" x14ac:dyDescent="0.25">
      <c r="M255" s="4"/>
    </row>
    <row r="256" spans="13:13" x14ac:dyDescent="0.25">
      <c r="M256" s="4"/>
    </row>
    <row r="257" spans="13:13" x14ac:dyDescent="0.25">
      <c r="M257" s="4"/>
    </row>
    <row r="258" spans="13:13" x14ac:dyDescent="0.25">
      <c r="M258" s="4"/>
    </row>
    <row r="259" spans="13:13" x14ac:dyDescent="0.25">
      <c r="M259" s="4"/>
    </row>
    <row r="260" spans="13:13" x14ac:dyDescent="0.25">
      <c r="M260" s="4"/>
    </row>
    <row r="261" spans="13:13" x14ac:dyDescent="0.25">
      <c r="M261" s="4"/>
    </row>
    <row r="262" spans="13:13" x14ac:dyDescent="0.25">
      <c r="M262" s="4"/>
    </row>
    <row r="263" spans="13:13" x14ac:dyDescent="0.25">
      <c r="M263" s="4"/>
    </row>
    <row r="264" spans="13:13" x14ac:dyDescent="0.25">
      <c r="M264" s="4"/>
    </row>
    <row r="265" spans="13:13" x14ac:dyDescent="0.25">
      <c r="M265" s="4"/>
    </row>
    <row r="266" spans="13:13" x14ac:dyDescent="0.25">
      <c r="M266" s="4"/>
    </row>
    <row r="267" spans="13:13" x14ac:dyDescent="0.25">
      <c r="M267" s="4"/>
    </row>
    <row r="268" spans="13:13" x14ac:dyDescent="0.25">
      <c r="M268" s="4"/>
    </row>
    <row r="269" spans="13:13" x14ac:dyDescent="0.25">
      <c r="M269" s="4"/>
    </row>
    <row r="270" spans="13:13" x14ac:dyDescent="0.25">
      <c r="M270" s="4"/>
    </row>
    <row r="271" spans="13:13" x14ac:dyDescent="0.25">
      <c r="M271" s="4"/>
    </row>
    <row r="272" spans="13:13" x14ac:dyDescent="0.25">
      <c r="M272" s="4"/>
    </row>
    <row r="273" spans="13:13" x14ac:dyDescent="0.25">
      <c r="M273" s="4"/>
    </row>
    <row r="274" spans="13:13" x14ac:dyDescent="0.25">
      <c r="M274" s="4"/>
    </row>
    <row r="275" spans="13:13" x14ac:dyDescent="0.25">
      <c r="M275" s="4"/>
    </row>
    <row r="276" spans="13:13" x14ac:dyDescent="0.25">
      <c r="M276" s="4"/>
    </row>
    <row r="277" spans="13:13" x14ac:dyDescent="0.25">
      <c r="M277" s="4"/>
    </row>
    <row r="278" spans="13:13" x14ac:dyDescent="0.25">
      <c r="M278" s="4"/>
    </row>
    <row r="279" spans="13:13" x14ac:dyDescent="0.25">
      <c r="M279" s="4"/>
    </row>
    <row r="280" spans="13:13" x14ac:dyDescent="0.25">
      <c r="M280" s="4"/>
    </row>
    <row r="281" spans="13:13" x14ac:dyDescent="0.25">
      <c r="M281" s="4"/>
    </row>
    <row r="282" spans="13:13" x14ac:dyDescent="0.25">
      <c r="M282" s="4"/>
    </row>
    <row r="283" spans="13:13" x14ac:dyDescent="0.25">
      <c r="M283" s="4"/>
    </row>
    <row r="284" spans="13:13" x14ac:dyDescent="0.25">
      <c r="M284" s="4"/>
    </row>
    <row r="285" spans="13:13" x14ac:dyDescent="0.25">
      <c r="M285" s="4"/>
    </row>
    <row r="286" spans="13:13" x14ac:dyDescent="0.25">
      <c r="M286" s="4"/>
    </row>
    <row r="287" spans="13:13" x14ac:dyDescent="0.25">
      <c r="M287" s="4"/>
    </row>
    <row r="288" spans="13:13" x14ac:dyDescent="0.25">
      <c r="M288" s="4"/>
    </row>
    <row r="289" spans="13:13" x14ac:dyDescent="0.25">
      <c r="M289" s="4"/>
    </row>
    <row r="290" spans="13:13" x14ac:dyDescent="0.25">
      <c r="M290" s="4"/>
    </row>
    <row r="291" spans="13:13" x14ac:dyDescent="0.25">
      <c r="M291" s="4"/>
    </row>
    <row r="292" spans="13:13" x14ac:dyDescent="0.25">
      <c r="M292" s="4"/>
    </row>
    <row r="293" spans="13:13" x14ac:dyDescent="0.25">
      <c r="M293" s="4"/>
    </row>
    <row r="294" spans="13:13" x14ac:dyDescent="0.25">
      <c r="M294" s="4"/>
    </row>
    <row r="295" spans="13:13" x14ac:dyDescent="0.25">
      <c r="M295" s="4"/>
    </row>
    <row r="296" spans="13:13" x14ac:dyDescent="0.25">
      <c r="M296" s="4"/>
    </row>
    <row r="297" spans="13:13" x14ac:dyDescent="0.25">
      <c r="M297" s="4"/>
    </row>
    <row r="298" spans="13:13" x14ac:dyDescent="0.25">
      <c r="M298" s="4"/>
    </row>
    <row r="299" spans="13:13" x14ac:dyDescent="0.25">
      <c r="M299" s="4"/>
    </row>
    <row r="300" spans="13:13" x14ac:dyDescent="0.25">
      <c r="M300" s="4"/>
    </row>
    <row r="301" spans="13:13" x14ac:dyDescent="0.25">
      <c r="M301" s="4"/>
    </row>
    <row r="302" spans="13:13" x14ac:dyDescent="0.25">
      <c r="M302" s="4"/>
    </row>
    <row r="303" spans="13:13" x14ac:dyDescent="0.25">
      <c r="M303" s="4"/>
    </row>
    <row r="304" spans="13:13" x14ac:dyDescent="0.25">
      <c r="M304" s="4"/>
    </row>
    <row r="305" spans="13:13" x14ac:dyDescent="0.25">
      <c r="M305" s="4"/>
    </row>
    <row r="306" spans="13:13" x14ac:dyDescent="0.25">
      <c r="M306" s="4"/>
    </row>
    <row r="307" spans="13:13" x14ac:dyDescent="0.25">
      <c r="M307" s="4"/>
    </row>
    <row r="308" spans="13:13" x14ac:dyDescent="0.25">
      <c r="M308" s="4"/>
    </row>
    <row r="309" spans="13:13" x14ac:dyDescent="0.25">
      <c r="M309" s="4"/>
    </row>
    <row r="310" spans="13:13" x14ac:dyDescent="0.25">
      <c r="M310" s="4"/>
    </row>
    <row r="311" spans="13:13" x14ac:dyDescent="0.25">
      <c r="M311" s="4"/>
    </row>
    <row r="312" spans="13:13" x14ac:dyDescent="0.25">
      <c r="M312" s="4"/>
    </row>
    <row r="313" spans="13:13" x14ac:dyDescent="0.25">
      <c r="M313" s="4"/>
    </row>
    <row r="314" spans="13:13" x14ac:dyDescent="0.25">
      <c r="M314" s="4"/>
    </row>
    <row r="315" spans="13:13" x14ac:dyDescent="0.25">
      <c r="M315" s="4"/>
    </row>
    <row r="316" spans="13:13" x14ac:dyDescent="0.25">
      <c r="M316" s="4"/>
    </row>
    <row r="317" spans="13:13" x14ac:dyDescent="0.25">
      <c r="M317" s="4"/>
    </row>
    <row r="318" spans="13:13" x14ac:dyDescent="0.25">
      <c r="M318" s="4"/>
    </row>
    <row r="319" spans="13:13" x14ac:dyDescent="0.25">
      <c r="M319" s="4"/>
    </row>
    <row r="320" spans="13:13" x14ac:dyDescent="0.25">
      <c r="M320" s="4"/>
    </row>
    <row r="321" spans="13:13" x14ac:dyDescent="0.25">
      <c r="M321" s="4"/>
    </row>
    <row r="322" spans="13:13" x14ac:dyDescent="0.25">
      <c r="M322" s="4"/>
    </row>
    <row r="323" spans="13:13" x14ac:dyDescent="0.25">
      <c r="M323" s="4"/>
    </row>
    <row r="324" spans="13:13" x14ac:dyDescent="0.25">
      <c r="M324" s="4"/>
    </row>
    <row r="325" spans="13:13" x14ac:dyDescent="0.25">
      <c r="M325" s="4"/>
    </row>
    <row r="326" spans="13:13" x14ac:dyDescent="0.25">
      <c r="M326" s="4"/>
    </row>
    <row r="327" spans="13:13" x14ac:dyDescent="0.25">
      <c r="M327" s="4"/>
    </row>
    <row r="328" spans="13:13" x14ac:dyDescent="0.25">
      <c r="M328" s="4"/>
    </row>
    <row r="329" spans="13:13" x14ac:dyDescent="0.25">
      <c r="M329" s="4"/>
    </row>
    <row r="330" spans="13:13" x14ac:dyDescent="0.25">
      <c r="M330" s="4"/>
    </row>
    <row r="331" spans="13:13" x14ac:dyDescent="0.25">
      <c r="M331" s="4"/>
    </row>
    <row r="332" spans="13:13" x14ac:dyDescent="0.25">
      <c r="M332" s="4"/>
    </row>
    <row r="333" spans="13:13" x14ac:dyDescent="0.25">
      <c r="M333" s="4"/>
    </row>
    <row r="334" spans="13:13" x14ac:dyDescent="0.25">
      <c r="M334" s="4"/>
    </row>
    <row r="335" spans="13:13" x14ac:dyDescent="0.25">
      <c r="M335" s="4"/>
    </row>
    <row r="336" spans="13:13" x14ac:dyDescent="0.25">
      <c r="M336" s="4"/>
    </row>
    <row r="337" spans="13:13" x14ac:dyDescent="0.25">
      <c r="M337" s="4"/>
    </row>
    <row r="338" spans="13:13" x14ac:dyDescent="0.25">
      <c r="M338" s="4"/>
    </row>
    <row r="339" spans="13:13" x14ac:dyDescent="0.25">
      <c r="M339" s="4"/>
    </row>
    <row r="340" spans="13:13" x14ac:dyDescent="0.25">
      <c r="M340" s="4"/>
    </row>
    <row r="341" spans="13:13" x14ac:dyDescent="0.25">
      <c r="M341" s="4"/>
    </row>
    <row r="342" spans="13:13" x14ac:dyDescent="0.25">
      <c r="M342" s="4"/>
    </row>
    <row r="343" spans="13:13" x14ac:dyDescent="0.25">
      <c r="M343" s="4"/>
    </row>
    <row r="344" spans="13:13" x14ac:dyDescent="0.25">
      <c r="M344" s="4"/>
    </row>
    <row r="345" spans="13:13" x14ac:dyDescent="0.25">
      <c r="M345" s="4"/>
    </row>
    <row r="346" spans="13:13" x14ac:dyDescent="0.25">
      <c r="M346" s="4"/>
    </row>
    <row r="347" spans="13:13" x14ac:dyDescent="0.25">
      <c r="M347" s="4"/>
    </row>
    <row r="348" spans="13:13" x14ac:dyDescent="0.25">
      <c r="M348" s="4"/>
    </row>
    <row r="349" spans="13:13" x14ac:dyDescent="0.25">
      <c r="M349" s="4"/>
    </row>
    <row r="350" spans="13:13" x14ac:dyDescent="0.25">
      <c r="M350" s="4"/>
    </row>
    <row r="351" spans="13:13" x14ac:dyDescent="0.25">
      <c r="M351" s="4"/>
    </row>
    <row r="352" spans="13:13" x14ac:dyDescent="0.25">
      <c r="M352" s="4"/>
    </row>
    <row r="353" spans="13:13" x14ac:dyDescent="0.25">
      <c r="M353" s="4"/>
    </row>
    <row r="354" spans="13:13" x14ac:dyDescent="0.25">
      <c r="M354" s="4"/>
    </row>
    <row r="355" spans="13:13" x14ac:dyDescent="0.25">
      <c r="M355" s="4"/>
    </row>
    <row r="356" spans="13:13" x14ac:dyDescent="0.25">
      <c r="M356" s="4"/>
    </row>
    <row r="357" spans="13:13" x14ac:dyDescent="0.25">
      <c r="M357" s="4"/>
    </row>
    <row r="358" spans="13:13" x14ac:dyDescent="0.25">
      <c r="M358" s="4"/>
    </row>
    <row r="359" spans="13:13" x14ac:dyDescent="0.25">
      <c r="M359" s="4"/>
    </row>
    <row r="360" spans="13:13" x14ac:dyDescent="0.25">
      <c r="M360" s="4"/>
    </row>
    <row r="361" spans="13:13" x14ac:dyDescent="0.25">
      <c r="M361" s="4"/>
    </row>
    <row r="362" spans="13:13" x14ac:dyDescent="0.25">
      <c r="M362" s="4"/>
    </row>
    <row r="363" spans="13:13" x14ac:dyDescent="0.25">
      <c r="M363" s="4"/>
    </row>
    <row r="364" spans="13:13" x14ac:dyDescent="0.25">
      <c r="M364" s="4"/>
    </row>
    <row r="365" spans="13:13" x14ac:dyDescent="0.25">
      <c r="M365" s="4"/>
    </row>
    <row r="366" spans="13:13" x14ac:dyDescent="0.25">
      <c r="M366" s="4"/>
    </row>
    <row r="367" spans="13:13" x14ac:dyDescent="0.25">
      <c r="M367" s="4"/>
    </row>
    <row r="368" spans="13:13" x14ac:dyDescent="0.25">
      <c r="M368" s="4"/>
    </row>
    <row r="369" spans="13:13" x14ac:dyDescent="0.25">
      <c r="M369" s="4"/>
    </row>
    <row r="370" spans="13:13" x14ac:dyDescent="0.25">
      <c r="M370" s="4"/>
    </row>
    <row r="371" spans="13:13" x14ac:dyDescent="0.25">
      <c r="M371" s="4"/>
    </row>
    <row r="372" spans="13:13" x14ac:dyDescent="0.25">
      <c r="M372" s="4"/>
    </row>
    <row r="373" spans="13:13" x14ac:dyDescent="0.25">
      <c r="M373" s="4"/>
    </row>
    <row r="374" spans="13:13" x14ac:dyDescent="0.25">
      <c r="M374" s="4"/>
    </row>
    <row r="375" spans="13:13" x14ac:dyDescent="0.25">
      <c r="M375" s="4"/>
    </row>
    <row r="376" spans="13:13" x14ac:dyDescent="0.25">
      <c r="M376" s="4"/>
    </row>
    <row r="377" spans="13:13" x14ac:dyDescent="0.25">
      <c r="M377" s="4"/>
    </row>
    <row r="378" spans="13:13" x14ac:dyDescent="0.25">
      <c r="M378" s="4"/>
    </row>
    <row r="379" spans="13:13" x14ac:dyDescent="0.25">
      <c r="M379" s="4"/>
    </row>
    <row r="380" spans="13:13" x14ac:dyDescent="0.25">
      <c r="M380" s="4"/>
    </row>
    <row r="381" spans="13:13" x14ac:dyDescent="0.25">
      <c r="M381" s="4"/>
    </row>
    <row r="382" spans="13:13" x14ac:dyDescent="0.25">
      <c r="M382" s="4"/>
    </row>
    <row r="383" spans="13:13" x14ac:dyDescent="0.25">
      <c r="M383" s="4"/>
    </row>
    <row r="384" spans="13:13" x14ac:dyDescent="0.25">
      <c r="M384" s="4"/>
    </row>
    <row r="385" spans="13:13" x14ac:dyDescent="0.25">
      <c r="M385" s="4"/>
    </row>
    <row r="386" spans="13:13" x14ac:dyDescent="0.25">
      <c r="M386" s="4"/>
    </row>
    <row r="387" spans="13:13" x14ac:dyDescent="0.25">
      <c r="M387" s="4"/>
    </row>
    <row r="388" spans="13:13" x14ac:dyDescent="0.25">
      <c r="M388" s="4"/>
    </row>
    <row r="389" spans="13:13" x14ac:dyDescent="0.25">
      <c r="M389" s="4"/>
    </row>
    <row r="390" spans="13:13" x14ac:dyDescent="0.25">
      <c r="M390" s="4"/>
    </row>
    <row r="391" spans="13:13" x14ac:dyDescent="0.25">
      <c r="M391" s="4"/>
    </row>
    <row r="392" spans="13:13" x14ac:dyDescent="0.25">
      <c r="M392" s="4"/>
    </row>
    <row r="393" spans="13:13" x14ac:dyDescent="0.25">
      <c r="M393" s="4"/>
    </row>
    <row r="394" spans="13:13" x14ac:dyDescent="0.25">
      <c r="M394" s="4"/>
    </row>
    <row r="395" spans="13:13" x14ac:dyDescent="0.25">
      <c r="M395" s="4"/>
    </row>
    <row r="396" spans="13:13" x14ac:dyDescent="0.25">
      <c r="M396" s="4"/>
    </row>
    <row r="397" spans="13:13" x14ac:dyDescent="0.25">
      <c r="M397" s="4"/>
    </row>
    <row r="398" spans="13:13" x14ac:dyDescent="0.25">
      <c r="M398" s="4"/>
    </row>
    <row r="399" spans="13:13" x14ac:dyDescent="0.25">
      <c r="M399" s="4"/>
    </row>
    <row r="400" spans="13:13" x14ac:dyDescent="0.25">
      <c r="M400" s="4"/>
    </row>
    <row r="401" spans="13:13" x14ac:dyDescent="0.25">
      <c r="M401" s="4"/>
    </row>
    <row r="402" spans="13:13" x14ac:dyDescent="0.25">
      <c r="M402" s="4"/>
    </row>
    <row r="403" spans="13:13" x14ac:dyDescent="0.25">
      <c r="M403" s="4"/>
    </row>
    <row r="404" spans="13:13" x14ac:dyDescent="0.25">
      <c r="M404" s="4"/>
    </row>
    <row r="405" spans="13:13" x14ac:dyDescent="0.25">
      <c r="M405" s="4"/>
    </row>
    <row r="406" spans="13:13" x14ac:dyDescent="0.25">
      <c r="M406" s="4"/>
    </row>
    <row r="407" spans="13:13" x14ac:dyDescent="0.25">
      <c r="M407" s="4"/>
    </row>
    <row r="408" spans="13:13" x14ac:dyDescent="0.25">
      <c r="M408" s="4"/>
    </row>
    <row r="409" spans="13:13" x14ac:dyDescent="0.25">
      <c r="M409" s="4"/>
    </row>
    <row r="410" spans="13:13" x14ac:dyDescent="0.25">
      <c r="M410" s="4"/>
    </row>
    <row r="411" spans="13:13" x14ac:dyDescent="0.25">
      <c r="M411" s="4"/>
    </row>
    <row r="412" spans="13:13" x14ac:dyDescent="0.25">
      <c r="M412" s="4"/>
    </row>
    <row r="413" spans="13:13" x14ac:dyDescent="0.25">
      <c r="M413" s="4"/>
    </row>
    <row r="414" spans="13:13" x14ac:dyDescent="0.25">
      <c r="M414" s="4"/>
    </row>
    <row r="415" spans="13:13" x14ac:dyDescent="0.25">
      <c r="M415" s="4"/>
    </row>
    <row r="416" spans="13:13" x14ac:dyDescent="0.25">
      <c r="M416" s="4"/>
    </row>
    <row r="417" spans="13:13" x14ac:dyDescent="0.25">
      <c r="M417" s="4"/>
    </row>
    <row r="418" spans="13:13" x14ac:dyDescent="0.25">
      <c r="M418" s="4"/>
    </row>
    <row r="419" spans="13:13" x14ac:dyDescent="0.25">
      <c r="M419" s="4"/>
    </row>
    <row r="420" spans="13:13" x14ac:dyDescent="0.25">
      <c r="M420" s="4"/>
    </row>
    <row r="421" spans="13:13" x14ac:dyDescent="0.25">
      <c r="M421" s="4"/>
    </row>
    <row r="422" spans="13:13" x14ac:dyDescent="0.25">
      <c r="M422" s="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9BF97-7898-4CAF-8898-7CFFB67AF820}">
  <sheetPr codeName="Sheet12"/>
  <dimension ref="A2:D13"/>
  <sheetViews>
    <sheetView workbookViewId="0">
      <selection activeCell="D9" sqref="D9"/>
    </sheetView>
  </sheetViews>
  <sheetFormatPr defaultRowHeight="15" x14ac:dyDescent="0.25"/>
  <cols>
    <col min="1" max="1" width="14.7109375" bestFit="1" customWidth="1"/>
    <col min="2" max="2" width="15.5703125" customWidth="1"/>
    <col min="3" max="3" width="18.85546875" bestFit="1" customWidth="1"/>
    <col min="4" max="4" width="12.42578125" bestFit="1" customWidth="1"/>
  </cols>
  <sheetData>
    <row r="2" spans="1:4" x14ac:dyDescent="0.25">
      <c r="B2" t="s">
        <v>863</v>
      </c>
    </row>
    <row r="3" spans="1:4" x14ac:dyDescent="0.25">
      <c r="B3" t="s">
        <v>854</v>
      </c>
    </row>
    <row r="4" spans="1:4" x14ac:dyDescent="0.25">
      <c r="C4" t="s">
        <v>855</v>
      </c>
      <c r="D4" s="12" t="e">
        <f>NPER(D12,D5,,D6)</f>
        <v>#REF!</v>
      </c>
    </row>
    <row r="5" spans="1:4" x14ac:dyDescent="0.25">
      <c r="C5" t="s">
        <v>856</v>
      </c>
      <c r="D5" s="9">
        <v>437</v>
      </c>
    </row>
    <row r="6" spans="1:4" x14ac:dyDescent="0.25">
      <c r="C6" t="s">
        <v>857</v>
      </c>
      <c r="D6" s="9" t="e">
        <f>FV(D12,D8,D9)</f>
        <v>#REF!</v>
      </c>
    </row>
    <row r="7" spans="1:4" x14ac:dyDescent="0.25">
      <c r="B7" t="s">
        <v>858</v>
      </c>
      <c r="D7" s="10"/>
    </row>
    <row r="8" spans="1:4" x14ac:dyDescent="0.25">
      <c r="A8" s="5"/>
      <c r="C8" t="s">
        <v>855</v>
      </c>
      <c r="D8" s="9">
        <v>25</v>
      </c>
    </row>
    <row r="9" spans="1:4" x14ac:dyDescent="0.25">
      <c r="C9" t="s">
        <v>859</v>
      </c>
      <c r="D9" s="9">
        <v>1187</v>
      </c>
    </row>
    <row r="10" spans="1:4" x14ac:dyDescent="0.25">
      <c r="D10" s="5"/>
    </row>
    <row r="11" spans="1:4" x14ac:dyDescent="0.25">
      <c r="B11" t="s">
        <v>5</v>
      </c>
    </row>
    <row r="12" spans="1:4" x14ac:dyDescent="0.25">
      <c r="C12" t="s">
        <v>851</v>
      </c>
      <c r="D12" s="3" t="e">
        <f>AVERAGE(#REF!)</f>
        <v>#REF!</v>
      </c>
    </row>
    <row r="13" spans="1:4" x14ac:dyDescent="0.25">
      <c r="C13" t="s">
        <v>860</v>
      </c>
      <c r="D13" s="3" t="e">
        <f>AVERAGE(#REF!)</f>
        <v>#REF!</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97AB-293E-4C5A-932F-E0DDF0EA6CCB}">
  <sheetPr codeName="Sheet13"/>
  <dimension ref="B2:D13"/>
  <sheetViews>
    <sheetView workbookViewId="0">
      <selection activeCell="D12" sqref="D12:D13"/>
    </sheetView>
  </sheetViews>
  <sheetFormatPr defaultRowHeight="15" x14ac:dyDescent="0.25"/>
  <cols>
    <col min="2" max="2" width="16.28515625" customWidth="1"/>
    <col min="3" max="3" width="18.85546875" bestFit="1" customWidth="1"/>
    <col min="4" max="4" width="12.42578125" bestFit="1" customWidth="1"/>
  </cols>
  <sheetData>
    <row r="2" spans="2:4" x14ac:dyDescent="0.25">
      <c r="B2" t="s">
        <v>864</v>
      </c>
    </row>
    <row r="3" spans="2:4" x14ac:dyDescent="0.25">
      <c r="B3" t="s">
        <v>854</v>
      </c>
    </row>
    <row r="4" spans="2:4" x14ac:dyDescent="0.25">
      <c r="C4" t="s">
        <v>855</v>
      </c>
      <c r="D4">
        <v>60</v>
      </c>
    </row>
    <row r="5" spans="2:4" x14ac:dyDescent="0.25">
      <c r="B5" s="11"/>
      <c r="C5" t="s">
        <v>856</v>
      </c>
      <c r="D5" s="13">
        <v>428</v>
      </c>
    </row>
    <row r="6" spans="2:4" x14ac:dyDescent="0.25">
      <c r="B6" s="11"/>
      <c r="C6" t="s">
        <v>857</v>
      </c>
      <c r="D6" s="9" t="e">
        <f>FV(D12,D4,D5,,1)</f>
        <v>#REF!</v>
      </c>
    </row>
    <row r="7" spans="2:4" x14ac:dyDescent="0.25">
      <c r="B7" s="11" t="s">
        <v>858</v>
      </c>
      <c r="D7" s="10"/>
    </row>
    <row r="8" spans="2:4" x14ac:dyDescent="0.25">
      <c r="B8" s="11"/>
      <c r="C8" t="s">
        <v>855</v>
      </c>
      <c r="D8" s="9">
        <v>21</v>
      </c>
    </row>
    <row r="9" spans="2:4" x14ac:dyDescent="0.25">
      <c r="B9" s="11"/>
      <c r="C9" t="s">
        <v>859</v>
      </c>
      <c r="D9" s="8" t="e">
        <f>PMT(D12,D8,,D6,)</f>
        <v>#REF!</v>
      </c>
    </row>
    <row r="10" spans="2:4" x14ac:dyDescent="0.25">
      <c r="D10" s="5"/>
    </row>
    <row r="11" spans="2:4" x14ac:dyDescent="0.25">
      <c r="B11" t="s">
        <v>5</v>
      </c>
    </row>
    <row r="12" spans="2:4" x14ac:dyDescent="0.25">
      <c r="C12" t="s">
        <v>851</v>
      </c>
      <c r="D12" s="3" t="e">
        <f>AVERAGE(#REF!)</f>
        <v>#REF!</v>
      </c>
    </row>
    <row r="13" spans="2:4" x14ac:dyDescent="0.25">
      <c r="C13" t="s">
        <v>860</v>
      </c>
      <c r="D13" s="3" t="e">
        <f>AVERAGE(#REF!)</f>
        <v>#REF!</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Cover Sheet</vt:lpstr>
      <vt:lpstr>Documentation</vt:lpstr>
      <vt:lpstr>Retirement Income Calculator</vt:lpstr>
      <vt:lpstr>Stock Prices Links</vt:lpstr>
      <vt:lpstr>DJI</vt:lpstr>
      <vt:lpstr>S&amp;P_500</vt:lpstr>
      <vt:lpstr>Monthly Investments</vt:lpstr>
      <vt:lpstr>Retirement Length</vt:lpstr>
      <vt:lpstr>Retirement Age</vt:lpstr>
      <vt:lpstr>Expected Retirement Spending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Jakub Černý</dc:creator>
  <cp:lastModifiedBy>Tiep Luu Danh</cp:lastModifiedBy>
  <dcterms:created xsi:type="dcterms:W3CDTF">2020-07-28T08:14:30Z</dcterms:created>
  <dcterms:modified xsi:type="dcterms:W3CDTF">2020-08-03T12:42:29Z</dcterms:modified>
</cp:coreProperties>
</file>