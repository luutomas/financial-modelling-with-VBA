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4005BE02-FB98-47FB-A2B6-6ED45DAB4B82}" xr6:coauthVersionLast="45" xr6:coauthVersionMax="45" xr10:uidLastSave="{00000000-0000-0000-0000-000000000000}"/>
  <bookViews>
    <workbookView xWindow="-120" yWindow="-120" windowWidth="29040" windowHeight="15990" activeTab="2" xr2:uid="{010FAFBA-36AA-4242-AAF6-B8A6A840039F}"/>
  </bookViews>
  <sheets>
    <sheet name="Cover Sheet" sheetId="101" r:id="rId1"/>
    <sheet name="Documentation" sheetId="102" r:id="rId2"/>
    <sheet name="Retirement Income Calculator" sheetId="2" r:id="rId3"/>
    <sheet name="Microsoft" sheetId="264" state="hidden" r:id="rId4"/>
    <sheet name="Apple" sheetId="263" state="hidden" r:id="rId5"/>
    <sheet name="Gold Dec 20" sheetId="262" state="hidden" r:id="rId6"/>
    <sheet name="Nasdaq" sheetId="261" state="hidden" r:id="rId7"/>
    <sheet name="DJI" sheetId="260" state="hidden" r:id="rId8"/>
    <sheet name="S&amp;P_500" sheetId="259" state="hidden" r:id="rId9"/>
    <sheet name="Monthly Investments" sheetId="54" state="hidden" r:id="rId10"/>
    <sheet name="Retirement Length" sheetId="77" state="hidden" r:id="rId11"/>
    <sheet name="Retirement Age" sheetId="78" state="hidden" r:id="rId12"/>
    <sheet name="Expected Retirement Spending" sheetId="79" state="hidden"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264" l="1"/>
  <c r="M5" i="264"/>
  <c r="M6" i="264"/>
  <c r="M7" i="264"/>
  <c r="M8" i="264"/>
  <c r="M9" i="264"/>
  <c r="M10" i="264"/>
  <c r="M11" i="264"/>
  <c r="M12" i="264"/>
  <c r="M13" i="264"/>
  <c r="M14" i="264"/>
  <c r="M15" i="264"/>
  <c r="M16" i="264"/>
  <c r="M17" i="264"/>
  <c r="M18" i="264"/>
  <c r="M19" i="264"/>
  <c r="M20" i="264"/>
  <c r="M21" i="264"/>
  <c r="M22" i="264"/>
  <c r="M23" i="264"/>
  <c r="M24" i="264"/>
  <c r="M25" i="264"/>
  <c r="M26" i="264"/>
  <c r="M27" i="264"/>
  <c r="M28" i="264"/>
  <c r="M29" i="264"/>
  <c r="M30" i="264"/>
  <c r="M31" i="264"/>
  <c r="M32" i="264"/>
  <c r="M33" i="264"/>
  <c r="M34" i="264"/>
  <c r="M35" i="264"/>
  <c r="M36" i="264"/>
  <c r="M37" i="264"/>
  <c r="M38" i="264"/>
  <c r="M39" i="264"/>
  <c r="M40" i="264"/>
  <c r="M41" i="264"/>
  <c r="M42" i="264"/>
  <c r="M43" i="264"/>
  <c r="M44" i="264"/>
  <c r="M45" i="264"/>
  <c r="M46" i="264"/>
  <c r="M47" i="264"/>
  <c r="M48" i="264"/>
  <c r="M49" i="264"/>
  <c r="M50" i="264"/>
  <c r="M51" i="264"/>
  <c r="M52" i="264"/>
  <c r="M53" i="264"/>
  <c r="M54" i="264"/>
  <c r="M55" i="264"/>
  <c r="M56" i="264"/>
  <c r="M57" i="264"/>
  <c r="M58" i="264"/>
  <c r="M59" i="264"/>
  <c r="M60" i="264"/>
  <c r="M61" i="264"/>
  <c r="M62" i="264"/>
  <c r="M63" i="264"/>
  <c r="M64" i="264"/>
  <c r="M65" i="264"/>
  <c r="M66" i="264"/>
  <c r="M67" i="264"/>
  <c r="M68" i="264"/>
  <c r="M69" i="264"/>
  <c r="M70" i="264"/>
  <c r="M71" i="264"/>
  <c r="M72" i="264"/>
  <c r="M73" i="264"/>
  <c r="M74" i="264"/>
  <c r="M75" i="264"/>
  <c r="M76" i="264"/>
  <c r="M77" i="264"/>
  <c r="M78" i="264"/>
  <c r="M79" i="264"/>
  <c r="M80" i="264"/>
  <c r="M81" i="264"/>
  <c r="M82" i="264"/>
  <c r="M83" i="264"/>
  <c r="M84" i="264"/>
  <c r="M85" i="264"/>
  <c r="M86" i="264"/>
  <c r="M87" i="264"/>
  <c r="M88" i="264"/>
  <c r="M89" i="264"/>
  <c r="M90" i="264"/>
  <c r="M91" i="264"/>
  <c r="M92" i="264"/>
  <c r="M93" i="264"/>
  <c r="M94" i="264"/>
  <c r="M95" i="264"/>
  <c r="M96" i="264"/>
  <c r="M97" i="264"/>
  <c r="M98" i="264"/>
  <c r="M99" i="264"/>
  <c r="M100" i="264"/>
  <c r="M101" i="264"/>
  <c r="M102" i="264"/>
  <c r="M103" i="264"/>
  <c r="M104" i="264"/>
  <c r="M105" i="264"/>
  <c r="M106" i="264"/>
  <c r="M107" i="264"/>
  <c r="M108" i="264"/>
  <c r="M109" i="264"/>
  <c r="M110" i="264"/>
  <c r="M111" i="264"/>
  <c r="M112" i="264"/>
  <c r="M113" i="264"/>
  <c r="M114" i="264"/>
  <c r="M115" i="264"/>
  <c r="M116" i="264"/>
  <c r="M117" i="264"/>
  <c r="M118" i="264"/>
  <c r="M119" i="264"/>
  <c r="M120" i="264"/>
  <c r="M121" i="264"/>
  <c r="M122" i="264"/>
  <c r="M123" i="264"/>
  <c r="M124" i="264"/>
  <c r="M125" i="264"/>
  <c r="M126" i="264"/>
  <c r="M127" i="264"/>
  <c r="M128" i="264"/>
  <c r="M129" i="264"/>
  <c r="M130" i="264"/>
  <c r="M131" i="264"/>
  <c r="M132" i="264"/>
  <c r="M133" i="264"/>
  <c r="M134" i="264"/>
  <c r="M135" i="264"/>
  <c r="M136" i="264"/>
  <c r="M137" i="264"/>
  <c r="M138" i="264"/>
  <c r="M139" i="264"/>
  <c r="M140" i="264"/>
  <c r="M141" i="264"/>
  <c r="M142" i="264"/>
  <c r="M143" i="264"/>
  <c r="M144" i="264"/>
  <c r="M145" i="264"/>
  <c r="M146" i="264"/>
  <c r="M147" i="264"/>
  <c r="M148" i="264"/>
  <c r="M149" i="264"/>
  <c r="M150" i="264"/>
  <c r="M151" i="264"/>
  <c r="M152" i="264"/>
  <c r="M153" i="264"/>
  <c r="M154" i="264"/>
  <c r="M155" i="264"/>
  <c r="M156" i="264"/>
  <c r="M157" i="264"/>
  <c r="M158" i="264"/>
  <c r="M159" i="264"/>
  <c r="M160" i="264"/>
  <c r="M161" i="264"/>
  <c r="M162" i="264"/>
  <c r="M163" i="264"/>
  <c r="M164" i="264"/>
  <c r="M165" i="264"/>
  <c r="M166" i="264"/>
  <c r="M167" i="264"/>
  <c r="M168" i="264"/>
  <c r="M169" i="264"/>
  <c r="M170" i="264"/>
  <c r="M171" i="264"/>
  <c r="M172" i="264"/>
  <c r="M173" i="264"/>
  <c r="M174" i="264"/>
  <c r="M175" i="264"/>
  <c r="M176" i="264"/>
  <c r="M177" i="264"/>
  <c r="M178" i="264"/>
  <c r="M179" i="264"/>
  <c r="M180" i="264"/>
  <c r="M181" i="264"/>
  <c r="M182" i="264"/>
  <c r="M183" i="264"/>
  <c r="M184" i="264"/>
  <c r="M185" i="264"/>
  <c r="M186" i="264"/>
  <c r="M187" i="264"/>
  <c r="M188" i="264"/>
  <c r="M189" i="264"/>
  <c r="M190" i="264"/>
  <c r="M191" i="264"/>
  <c r="M192" i="264"/>
  <c r="M193" i="264"/>
  <c r="M194" i="264"/>
  <c r="M195" i="264"/>
  <c r="M196" i="264"/>
  <c r="M197" i="264"/>
  <c r="M198" i="264"/>
  <c r="M199" i="264"/>
  <c r="M200" i="264"/>
  <c r="M201" i="264"/>
  <c r="M202" i="264"/>
  <c r="M203" i="264"/>
  <c r="M204" i="264"/>
  <c r="M205" i="264"/>
  <c r="M206" i="264"/>
  <c r="M207" i="264"/>
  <c r="M208" i="264"/>
  <c r="M209" i="264"/>
  <c r="M210" i="264"/>
  <c r="M211" i="264"/>
  <c r="M212" i="264"/>
  <c r="M213" i="264"/>
  <c r="M214" i="264"/>
  <c r="M215" i="264"/>
  <c r="M216" i="264"/>
  <c r="M217" i="264"/>
  <c r="M218" i="264"/>
  <c r="M219" i="264"/>
  <c r="M220" i="264"/>
  <c r="M221" i="264"/>
  <c r="M222" i="264"/>
  <c r="M223" i="264"/>
  <c r="M224" i="264"/>
  <c r="M225" i="264"/>
  <c r="M226" i="264"/>
  <c r="M227" i="264"/>
  <c r="M228" i="264"/>
  <c r="M229" i="264"/>
  <c r="M230" i="264"/>
  <c r="M231" i="264"/>
  <c r="M232" i="264"/>
  <c r="M233" i="264"/>
  <c r="M234" i="264"/>
  <c r="M235" i="264"/>
  <c r="M236" i="264"/>
  <c r="M237" i="264"/>
  <c r="M238" i="264"/>
  <c r="M239" i="264"/>
  <c r="M240" i="264"/>
  <c r="M241" i="264"/>
  <c r="M242" i="264"/>
  <c r="M243" i="264"/>
  <c r="M244" i="264"/>
  <c r="M245" i="264"/>
  <c r="M246" i="264"/>
  <c r="M247" i="264"/>
  <c r="M248" i="264"/>
  <c r="M249" i="264"/>
  <c r="M250" i="264"/>
  <c r="M251" i="264"/>
  <c r="M252" i="264"/>
  <c r="M253" i="264"/>
  <c r="M254" i="264"/>
  <c r="M255" i="264"/>
  <c r="M256" i="264"/>
  <c r="M257" i="264"/>
  <c r="M258" i="264"/>
  <c r="M259" i="264"/>
  <c r="M260" i="264"/>
  <c r="M261" i="264"/>
  <c r="M262" i="264"/>
  <c r="M263" i="264"/>
  <c r="M264" i="264"/>
  <c r="M265" i="264"/>
  <c r="M266" i="264"/>
  <c r="M267" i="264"/>
  <c r="M268" i="264"/>
  <c r="M269" i="264"/>
  <c r="M270" i="264"/>
  <c r="M271" i="264"/>
  <c r="M272" i="264"/>
  <c r="M273" i="264"/>
  <c r="M274" i="264"/>
  <c r="M275" i="264"/>
  <c r="M276" i="264"/>
  <c r="M277" i="264"/>
  <c r="M278" i="264"/>
  <c r="M279" i="264"/>
  <c r="M280" i="264"/>
  <c r="M281" i="264"/>
  <c r="M282" i="264"/>
  <c r="M283" i="264"/>
  <c r="M284" i="264"/>
  <c r="M285" i="264"/>
  <c r="M286" i="264"/>
  <c r="M287" i="264"/>
  <c r="M288" i="264"/>
  <c r="M289" i="264"/>
  <c r="M290" i="264"/>
  <c r="M291" i="264"/>
  <c r="M292" i="264"/>
  <c r="M293" i="264"/>
  <c r="M294" i="264"/>
  <c r="M295" i="264"/>
  <c r="M296" i="264"/>
  <c r="M297" i="264"/>
  <c r="M298" i="264"/>
  <c r="M299" i="264"/>
  <c r="M300" i="264"/>
  <c r="M301" i="264"/>
  <c r="M302" i="264"/>
  <c r="M303" i="264"/>
  <c r="M304" i="264"/>
  <c r="M305" i="264"/>
  <c r="M306" i="264"/>
  <c r="M307" i="264"/>
  <c r="M308" i="264"/>
  <c r="M309" i="264"/>
  <c r="M310" i="264"/>
  <c r="M311" i="264"/>
  <c r="M312" i="264"/>
  <c r="M313" i="264"/>
  <c r="M314" i="264"/>
  <c r="M315" i="264"/>
  <c r="M316" i="264"/>
  <c r="M317" i="264"/>
  <c r="M318" i="264"/>
  <c r="M319" i="264"/>
  <c r="M320" i="264"/>
  <c r="M321" i="264"/>
  <c r="M322" i="264"/>
  <c r="M323" i="264"/>
  <c r="M324" i="264"/>
  <c r="M325" i="264"/>
  <c r="M326" i="264"/>
  <c r="M327" i="264"/>
  <c r="M328" i="264"/>
  <c r="M329" i="264"/>
  <c r="M330" i="264"/>
  <c r="M331" i="264"/>
  <c r="M332" i="264"/>
  <c r="M333" i="264"/>
  <c r="M334" i="264"/>
  <c r="M335" i="264"/>
  <c r="M336" i="264"/>
  <c r="M337" i="264"/>
  <c r="M338" i="264"/>
  <c r="M339" i="264"/>
  <c r="M340" i="264"/>
  <c r="M341" i="264"/>
  <c r="M342" i="264"/>
  <c r="M343" i="264"/>
  <c r="M344" i="264"/>
  <c r="M345" i="264"/>
  <c r="M346" i="264"/>
  <c r="M347" i="264"/>
  <c r="M348" i="264"/>
  <c r="M349" i="264"/>
  <c r="M350" i="264"/>
  <c r="M351" i="264"/>
  <c r="M352" i="264"/>
  <c r="M353" i="264"/>
  <c r="M354" i="264"/>
  <c r="M355" i="264"/>
  <c r="M356" i="264"/>
  <c r="M357" i="264"/>
  <c r="M358" i="264"/>
  <c r="M359" i="264"/>
  <c r="M360" i="264"/>
  <c r="M361" i="264"/>
  <c r="M362" i="264"/>
  <c r="M363" i="264"/>
  <c r="M364" i="264"/>
  <c r="M365" i="264"/>
  <c r="M366" i="264"/>
  <c r="M367" i="264"/>
  <c r="M368" i="264"/>
  <c r="M369" i="264"/>
  <c r="M370" i="264"/>
  <c r="M371" i="264"/>
  <c r="M372" i="264"/>
  <c r="M373" i="264"/>
  <c r="M374" i="264"/>
  <c r="M375" i="264"/>
  <c r="M376" i="264"/>
  <c r="M377" i="264"/>
  <c r="M378" i="264"/>
  <c r="M379" i="264"/>
  <c r="M380" i="264"/>
  <c r="M381" i="264"/>
  <c r="M382" i="264"/>
  <c r="M383" i="264"/>
  <c r="M384" i="264"/>
  <c r="M385" i="264"/>
  <c r="M386" i="264"/>
  <c r="M387" i="264"/>
  <c r="M388" i="264"/>
  <c r="M389" i="264"/>
  <c r="M390" i="264"/>
  <c r="M391" i="264"/>
  <c r="M392" i="264"/>
  <c r="M393" i="264"/>
  <c r="M394" i="264"/>
  <c r="M395" i="264"/>
  <c r="M396" i="264"/>
  <c r="M397" i="264"/>
  <c r="M398" i="264"/>
  <c r="M399" i="264"/>
  <c r="M400" i="264"/>
  <c r="M401" i="264"/>
  <c r="M402" i="264"/>
  <c r="M403" i="264"/>
  <c r="M404" i="264"/>
  <c r="M405" i="264"/>
  <c r="M406" i="264"/>
  <c r="M407" i="264"/>
  <c r="M408" i="264"/>
  <c r="M409" i="264"/>
  <c r="M410" i="264"/>
  <c r="M411" i="264"/>
  <c r="M412" i="264"/>
  <c r="M413" i="264"/>
  <c r="M414" i="264"/>
  <c r="M3" i="264"/>
  <c r="K3" i="264"/>
  <c r="K4" i="264"/>
  <c r="K5" i="264"/>
  <c r="K6" i="264"/>
  <c r="K7" i="264"/>
  <c r="K8" i="264"/>
  <c r="K9" i="264"/>
  <c r="K10" i="264"/>
  <c r="K11" i="264"/>
  <c r="K12" i="264"/>
  <c r="K13" i="264"/>
  <c r="K14" i="264"/>
  <c r="K15" i="264"/>
  <c r="K16" i="264"/>
  <c r="K17" i="264"/>
  <c r="K18" i="264"/>
  <c r="K19" i="264"/>
  <c r="K20" i="264"/>
  <c r="K21" i="264"/>
  <c r="K22" i="264"/>
  <c r="K23" i="264"/>
  <c r="K24" i="264"/>
  <c r="K25" i="264"/>
  <c r="K26" i="264"/>
  <c r="K27" i="264"/>
  <c r="K28" i="264"/>
  <c r="K29" i="264"/>
  <c r="K30" i="264"/>
  <c r="K31" i="264"/>
  <c r="K32" i="264"/>
  <c r="K33" i="264"/>
  <c r="K34" i="264"/>
  <c r="K35" i="264"/>
  <c r="K36" i="264"/>
  <c r="K37" i="264"/>
  <c r="K38" i="264"/>
  <c r="K39" i="264"/>
  <c r="K40" i="264"/>
  <c r="K41" i="264"/>
  <c r="K42" i="264"/>
  <c r="K43" i="264"/>
  <c r="K44" i="264"/>
  <c r="K45" i="264"/>
  <c r="K46" i="264"/>
  <c r="K47" i="264"/>
  <c r="K48" i="264"/>
  <c r="K49" i="264"/>
  <c r="K50" i="264"/>
  <c r="K51" i="264"/>
  <c r="K52" i="264"/>
  <c r="K53" i="264"/>
  <c r="K54" i="264"/>
  <c r="K55" i="264"/>
  <c r="K56" i="264"/>
  <c r="K57" i="264"/>
  <c r="K58" i="264"/>
  <c r="K59" i="264"/>
  <c r="K60" i="264"/>
  <c r="K61" i="264"/>
  <c r="K62" i="264"/>
  <c r="K63" i="264"/>
  <c r="K64" i="264"/>
  <c r="K65" i="264"/>
  <c r="K66" i="264"/>
  <c r="K67" i="264"/>
  <c r="K68" i="264"/>
  <c r="K69" i="264"/>
  <c r="K70" i="264"/>
  <c r="K71" i="264"/>
  <c r="K72" i="264"/>
  <c r="K73" i="264"/>
  <c r="K74" i="264"/>
  <c r="K75" i="264"/>
  <c r="K76" i="264"/>
  <c r="K77" i="264"/>
  <c r="K78" i="264"/>
  <c r="K79" i="264"/>
  <c r="K80" i="264"/>
  <c r="K81" i="264"/>
  <c r="K82" i="264"/>
  <c r="K83" i="264"/>
  <c r="K84" i="264"/>
  <c r="K85" i="264"/>
  <c r="K86" i="264"/>
  <c r="K87" i="264"/>
  <c r="K88" i="264"/>
  <c r="K89" i="264"/>
  <c r="K90" i="264"/>
  <c r="K91" i="264"/>
  <c r="K92" i="264"/>
  <c r="K93" i="264"/>
  <c r="K94" i="264"/>
  <c r="K95" i="264"/>
  <c r="K96" i="264"/>
  <c r="K97" i="264"/>
  <c r="K98" i="264"/>
  <c r="K99" i="264"/>
  <c r="K100" i="264"/>
  <c r="K101" i="264"/>
  <c r="K102" i="264"/>
  <c r="K103" i="264"/>
  <c r="K104" i="264"/>
  <c r="K105" i="264"/>
  <c r="K106" i="264"/>
  <c r="K107" i="264"/>
  <c r="K108" i="264"/>
  <c r="K109" i="264"/>
  <c r="K110" i="264"/>
  <c r="K111" i="264"/>
  <c r="K112" i="264"/>
  <c r="K113" i="264"/>
  <c r="K114" i="264"/>
  <c r="K115" i="264"/>
  <c r="K116" i="264"/>
  <c r="K117" i="264"/>
  <c r="K118" i="264"/>
  <c r="K119" i="264"/>
  <c r="K120" i="264"/>
  <c r="K121" i="264"/>
  <c r="K122" i="264"/>
  <c r="K123" i="264"/>
  <c r="K124" i="264"/>
  <c r="K125" i="264"/>
  <c r="K126" i="264"/>
  <c r="K127" i="264"/>
  <c r="K128" i="264"/>
  <c r="K129" i="264"/>
  <c r="K130" i="264"/>
  <c r="K131" i="264"/>
  <c r="K132" i="264"/>
  <c r="K133" i="264"/>
  <c r="K134" i="264"/>
  <c r="K135" i="264"/>
  <c r="K136" i="264"/>
  <c r="K137" i="264"/>
  <c r="K138" i="264"/>
  <c r="K139" i="264"/>
  <c r="K140" i="264"/>
  <c r="K141" i="264"/>
  <c r="K142" i="264"/>
  <c r="K143" i="264"/>
  <c r="K144" i="264"/>
  <c r="K145" i="264"/>
  <c r="K146" i="264"/>
  <c r="K147" i="264"/>
  <c r="K148" i="264"/>
  <c r="K149" i="264"/>
  <c r="K150" i="264"/>
  <c r="K151" i="264"/>
  <c r="K152" i="264"/>
  <c r="K153" i="264"/>
  <c r="K154" i="264"/>
  <c r="K155" i="264"/>
  <c r="K156" i="264"/>
  <c r="K157" i="264"/>
  <c r="K158" i="264"/>
  <c r="K159" i="264"/>
  <c r="K160" i="264"/>
  <c r="K161" i="264"/>
  <c r="K162" i="264"/>
  <c r="K163" i="264"/>
  <c r="K164" i="264"/>
  <c r="K165" i="264"/>
  <c r="K166" i="264"/>
  <c r="K167" i="264"/>
  <c r="K168" i="264"/>
  <c r="K169" i="264"/>
  <c r="K170" i="264"/>
  <c r="K171" i="264"/>
  <c r="K172" i="264"/>
  <c r="K173" i="264"/>
  <c r="K174" i="264"/>
  <c r="K175" i="264"/>
  <c r="K176" i="264"/>
  <c r="K177" i="264"/>
  <c r="K178" i="264"/>
  <c r="K179" i="264"/>
  <c r="K180" i="264"/>
  <c r="K181" i="264"/>
  <c r="K182" i="264"/>
  <c r="K183" i="264"/>
  <c r="K184" i="264"/>
  <c r="K185" i="264"/>
  <c r="K186" i="264"/>
  <c r="K187" i="264"/>
  <c r="K188" i="264"/>
  <c r="K189" i="264"/>
  <c r="K190" i="264"/>
  <c r="K191" i="264"/>
  <c r="K192" i="264"/>
  <c r="K193" i="264"/>
  <c r="K194" i="264"/>
  <c r="K195" i="264"/>
  <c r="K196" i="264"/>
  <c r="K197" i="264"/>
  <c r="K198" i="264"/>
  <c r="K199" i="264"/>
  <c r="K200" i="264"/>
  <c r="K201" i="264"/>
  <c r="K202" i="264"/>
  <c r="K203" i="264"/>
  <c r="K204" i="264"/>
  <c r="K205" i="264"/>
  <c r="K206" i="264"/>
  <c r="K207" i="264"/>
  <c r="K208" i="264"/>
  <c r="K209" i="264"/>
  <c r="K210" i="264"/>
  <c r="K211" i="264"/>
  <c r="K212" i="264"/>
  <c r="K213" i="264"/>
  <c r="K214" i="264"/>
  <c r="K215" i="264"/>
  <c r="K216" i="264"/>
  <c r="K217" i="264"/>
  <c r="K218" i="264"/>
  <c r="K219" i="264"/>
  <c r="K220" i="264"/>
  <c r="K221" i="264"/>
  <c r="K222" i="264"/>
  <c r="K223" i="264"/>
  <c r="K224" i="264"/>
  <c r="K225" i="264"/>
  <c r="K226" i="264"/>
  <c r="K227" i="264"/>
  <c r="K228" i="264"/>
  <c r="K229" i="264"/>
  <c r="K230" i="264"/>
  <c r="K231" i="264"/>
  <c r="K232" i="264"/>
  <c r="K233" i="264"/>
  <c r="K234" i="264"/>
  <c r="K235" i="264"/>
  <c r="K236" i="264"/>
  <c r="K237" i="264"/>
  <c r="K238" i="264"/>
  <c r="K239" i="264"/>
  <c r="K240" i="264"/>
  <c r="K241" i="264"/>
  <c r="K242" i="264"/>
  <c r="K243" i="264"/>
  <c r="K244" i="264"/>
  <c r="K245" i="264"/>
  <c r="K246" i="264"/>
  <c r="K247" i="264"/>
  <c r="K248" i="264"/>
  <c r="K249" i="264"/>
  <c r="K250" i="264"/>
  <c r="K251" i="264"/>
  <c r="K252" i="264"/>
  <c r="K253" i="264"/>
  <c r="K254" i="264"/>
  <c r="K255" i="264"/>
  <c r="K256" i="264"/>
  <c r="K257" i="264"/>
  <c r="K258" i="264"/>
  <c r="K259" i="264"/>
  <c r="K260" i="264"/>
  <c r="K261" i="264"/>
  <c r="K262" i="264"/>
  <c r="K263" i="264"/>
  <c r="K264" i="264"/>
  <c r="K265" i="264"/>
  <c r="K266" i="264"/>
  <c r="K267" i="264"/>
  <c r="K268" i="264"/>
  <c r="K269" i="264"/>
  <c r="K270" i="264"/>
  <c r="K271" i="264"/>
  <c r="K272" i="264"/>
  <c r="K273" i="264"/>
  <c r="K274" i="264"/>
  <c r="K275" i="264"/>
  <c r="K276" i="264"/>
  <c r="K277" i="264"/>
  <c r="K278" i="264"/>
  <c r="K279" i="264"/>
  <c r="K280" i="264"/>
  <c r="K281" i="264"/>
  <c r="K282" i="264"/>
  <c r="K283" i="264"/>
  <c r="K284" i="264"/>
  <c r="K285" i="264"/>
  <c r="K286" i="264"/>
  <c r="K287" i="264"/>
  <c r="K288" i="264"/>
  <c r="K289" i="264"/>
  <c r="K290" i="264"/>
  <c r="K291" i="264"/>
  <c r="K292" i="264"/>
  <c r="K293" i="264"/>
  <c r="K294" i="264"/>
  <c r="K295" i="264"/>
  <c r="K296" i="264"/>
  <c r="K297" i="264"/>
  <c r="K298" i="264"/>
  <c r="K299" i="264"/>
  <c r="K300" i="264"/>
  <c r="K301" i="264"/>
  <c r="K302" i="264"/>
  <c r="K303" i="264"/>
  <c r="K304" i="264"/>
  <c r="K305" i="264"/>
  <c r="K306" i="264"/>
  <c r="K307" i="264"/>
  <c r="K308" i="264"/>
  <c r="K309" i="264"/>
  <c r="K310" i="264"/>
  <c r="K311" i="264"/>
  <c r="K312" i="264"/>
  <c r="K313" i="264"/>
  <c r="K314" i="264"/>
  <c r="K315" i="264"/>
  <c r="K316" i="264"/>
  <c r="K317" i="264"/>
  <c r="K318" i="264"/>
  <c r="K319" i="264"/>
  <c r="K320" i="264"/>
  <c r="K321" i="264"/>
  <c r="K322" i="264"/>
  <c r="K323" i="264"/>
  <c r="K324" i="264"/>
  <c r="K325" i="264"/>
  <c r="K326" i="264"/>
  <c r="K327" i="264"/>
  <c r="K328" i="264"/>
  <c r="K329" i="264"/>
  <c r="K330" i="264"/>
  <c r="K331" i="264"/>
  <c r="K332" i="264"/>
  <c r="K333" i="264"/>
  <c r="K334" i="264"/>
  <c r="K335" i="264"/>
  <c r="K336" i="264"/>
  <c r="K337" i="264"/>
  <c r="K338" i="264"/>
  <c r="K339" i="264"/>
  <c r="K340" i="264"/>
  <c r="K341" i="264"/>
  <c r="K342" i="264"/>
  <c r="K343" i="264"/>
  <c r="K344" i="264"/>
  <c r="K345" i="264"/>
  <c r="K346" i="264"/>
  <c r="K347" i="264"/>
  <c r="K348" i="264"/>
  <c r="K349" i="264"/>
  <c r="K350" i="264"/>
  <c r="K351" i="264"/>
  <c r="K352" i="264"/>
  <c r="K353" i="264"/>
  <c r="K354" i="264"/>
  <c r="K355" i="264"/>
  <c r="K356" i="264"/>
  <c r="K357" i="264"/>
  <c r="K358" i="264"/>
  <c r="K359" i="264"/>
  <c r="K360" i="264"/>
  <c r="K361" i="264"/>
  <c r="K362" i="264"/>
  <c r="K363" i="264"/>
  <c r="K364" i="264"/>
  <c r="K365" i="264"/>
  <c r="K366" i="264"/>
  <c r="K367" i="264"/>
  <c r="K368" i="264"/>
  <c r="K369" i="264"/>
  <c r="K370" i="264"/>
  <c r="K371" i="264"/>
  <c r="K372" i="264"/>
  <c r="K373" i="264"/>
  <c r="K374" i="264"/>
  <c r="K375" i="264"/>
  <c r="K376" i="264"/>
  <c r="K377" i="264"/>
  <c r="K378" i="264"/>
  <c r="K379" i="264"/>
  <c r="K380" i="264"/>
  <c r="K381" i="264"/>
  <c r="K382" i="264"/>
  <c r="K383" i="264"/>
  <c r="K384" i="264"/>
  <c r="K385" i="264"/>
  <c r="K386" i="264"/>
  <c r="K387" i="264"/>
  <c r="K388" i="264"/>
  <c r="K389" i="264"/>
  <c r="K390" i="264"/>
  <c r="K391" i="264"/>
  <c r="K392" i="264"/>
  <c r="K393" i="264"/>
  <c r="K394" i="264"/>
  <c r="K395" i="264"/>
  <c r="K396" i="264"/>
  <c r="K397" i="264"/>
  <c r="K398" i="264"/>
  <c r="K399" i="264"/>
  <c r="K400" i="264"/>
  <c r="K401" i="264"/>
  <c r="K402" i="264"/>
  <c r="K403" i="264"/>
  <c r="K404" i="264"/>
  <c r="K405" i="264"/>
  <c r="K406" i="264"/>
  <c r="K407" i="264"/>
  <c r="K408" i="264"/>
  <c r="K409" i="264"/>
  <c r="K410" i="264"/>
  <c r="K411" i="264"/>
  <c r="K412" i="264"/>
  <c r="K413" i="264"/>
  <c r="K414" i="264"/>
  <c r="K2" i="264"/>
  <c r="M4" i="263"/>
  <c r="M5" i="263"/>
  <c r="M6" i="263"/>
  <c r="M7" i="263"/>
  <c r="M8" i="263"/>
  <c r="M9" i="263"/>
  <c r="M10" i="263"/>
  <c r="M11" i="263"/>
  <c r="M12" i="263"/>
  <c r="M13" i="263"/>
  <c r="M14" i="263"/>
  <c r="M15" i="263"/>
  <c r="M16" i="263"/>
  <c r="M17" i="263"/>
  <c r="M18" i="263"/>
  <c r="M19" i="263"/>
  <c r="M20" i="263"/>
  <c r="M21" i="263"/>
  <c r="M22" i="263"/>
  <c r="M23" i="263"/>
  <c r="M24" i="263"/>
  <c r="M25" i="263"/>
  <c r="M26" i="263"/>
  <c r="M27" i="263"/>
  <c r="M28" i="263"/>
  <c r="M29" i="263"/>
  <c r="M30" i="263"/>
  <c r="M31" i="263"/>
  <c r="M32" i="263"/>
  <c r="M33" i="263"/>
  <c r="M34" i="263"/>
  <c r="M35" i="263"/>
  <c r="M36" i="263"/>
  <c r="M37" i="263"/>
  <c r="M38" i="263"/>
  <c r="M39" i="263"/>
  <c r="M40" i="263"/>
  <c r="M41" i="263"/>
  <c r="M42" i="263"/>
  <c r="M43" i="263"/>
  <c r="M44" i="263"/>
  <c r="M45" i="263"/>
  <c r="M46" i="263"/>
  <c r="M47" i="263"/>
  <c r="M48" i="263"/>
  <c r="M49" i="263"/>
  <c r="M50" i="263"/>
  <c r="M51" i="263"/>
  <c r="M52" i="263"/>
  <c r="M53" i="263"/>
  <c r="M54" i="263"/>
  <c r="M55" i="263"/>
  <c r="M56" i="263"/>
  <c r="M57" i="263"/>
  <c r="M58" i="263"/>
  <c r="M59" i="263"/>
  <c r="M60" i="263"/>
  <c r="M61" i="263"/>
  <c r="M62" i="263"/>
  <c r="M63" i="263"/>
  <c r="M64" i="263"/>
  <c r="M65" i="263"/>
  <c r="M66" i="263"/>
  <c r="M67" i="263"/>
  <c r="M68" i="263"/>
  <c r="M69" i="263"/>
  <c r="M70" i="263"/>
  <c r="M71" i="263"/>
  <c r="M72" i="263"/>
  <c r="M73" i="263"/>
  <c r="M74" i="263"/>
  <c r="M75" i="263"/>
  <c r="M76" i="263"/>
  <c r="M77" i="263"/>
  <c r="M78" i="263"/>
  <c r="M79" i="263"/>
  <c r="M80" i="263"/>
  <c r="M81" i="263"/>
  <c r="M82" i="263"/>
  <c r="M83" i="263"/>
  <c r="M84" i="263"/>
  <c r="M85" i="263"/>
  <c r="M86" i="263"/>
  <c r="M87" i="263"/>
  <c r="M88" i="263"/>
  <c r="M89" i="263"/>
  <c r="M90" i="263"/>
  <c r="M91" i="263"/>
  <c r="M92" i="263"/>
  <c r="M93" i="263"/>
  <c r="M94" i="263"/>
  <c r="M95" i="263"/>
  <c r="M96" i="263"/>
  <c r="M97" i="263"/>
  <c r="M98" i="263"/>
  <c r="M99" i="263"/>
  <c r="M100" i="263"/>
  <c r="M101" i="263"/>
  <c r="M102" i="263"/>
  <c r="M103" i="263"/>
  <c r="M104" i="263"/>
  <c r="M105" i="263"/>
  <c r="M106" i="263"/>
  <c r="M107" i="263"/>
  <c r="M108" i="263"/>
  <c r="M109" i="263"/>
  <c r="M110" i="263"/>
  <c r="M111" i="263"/>
  <c r="M112" i="263"/>
  <c r="M113" i="263"/>
  <c r="M114" i="263"/>
  <c r="M115" i="263"/>
  <c r="M116" i="263"/>
  <c r="M117" i="263"/>
  <c r="M118" i="263"/>
  <c r="M119" i="263"/>
  <c r="M120" i="263"/>
  <c r="M121" i="263"/>
  <c r="M122" i="263"/>
  <c r="M123" i="263"/>
  <c r="M124" i="263"/>
  <c r="M125" i="263"/>
  <c r="M126" i="263"/>
  <c r="M127" i="263"/>
  <c r="M128" i="263"/>
  <c r="M129" i="263"/>
  <c r="M130" i="263"/>
  <c r="M131" i="263"/>
  <c r="M132" i="263"/>
  <c r="M133" i="263"/>
  <c r="M134" i="263"/>
  <c r="M135" i="263"/>
  <c r="M136" i="263"/>
  <c r="M137" i="263"/>
  <c r="M138" i="263"/>
  <c r="M139" i="263"/>
  <c r="M140" i="263"/>
  <c r="M141" i="263"/>
  <c r="M142" i="263"/>
  <c r="M143" i="263"/>
  <c r="M144" i="263"/>
  <c r="M145" i="263"/>
  <c r="M146" i="263"/>
  <c r="M147" i="263"/>
  <c r="M148" i="263"/>
  <c r="M149" i="263"/>
  <c r="M150" i="263"/>
  <c r="M151" i="263"/>
  <c r="M152" i="263"/>
  <c r="M153" i="263"/>
  <c r="M154" i="263"/>
  <c r="M155" i="263"/>
  <c r="M156" i="263"/>
  <c r="M157" i="263"/>
  <c r="M158" i="263"/>
  <c r="M159" i="263"/>
  <c r="M160" i="263"/>
  <c r="M161" i="263"/>
  <c r="M162" i="263"/>
  <c r="M163" i="263"/>
  <c r="M164" i="263"/>
  <c r="M165" i="263"/>
  <c r="M166" i="263"/>
  <c r="M167" i="263"/>
  <c r="M168" i="263"/>
  <c r="M169" i="263"/>
  <c r="M170" i="263"/>
  <c r="M171" i="263"/>
  <c r="M172" i="263"/>
  <c r="M173" i="263"/>
  <c r="M174" i="263"/>
  <c r="M175" i="263"/>
  <c r="M176" i="263"/>
  <c r="M177" i="263"/>
  <c r="M178" i="263"/>
  <c r="M179" i="263"/>
  <c r="M180" i="263"/>
  <c r="M181" i="263"/>
  <c r="M182" i="263"/>
  <c r="M183" i="263"/>
  <c r="M184" i="263"/>
  <c r="M185" i="263"/>
  <c r="M186" i="263"/>
  <c r="M187" i="263"/>
  <c r="M188" i="263"/>
  <c r="M189" i="263"/>
  <c r="M190" i="263"/>
  <c r="M191" i="263"/>
  <c r="M192" i="263"/>
  <c r="M193" i="263"/>
  <c r="M194" i="263"/>
  <c r="M195" i="263"/>
  <c r="M196" i="263"/>
  <c r="M197" i="263"/>
  <c r="M198" i="263"/>
  <c r="M199" i="263"/>
  <c r="M200" i="263"/>
  <c r="M201" i="263"/>
  <c r="M202" i="263"/>
  <c r="M203" i="263"/>
  <c r="M204" i="263"/>
  <c r="M205" i="263"/>
  <c r="M206" i="263"/>
  <c r="M207" i="263"/>
  <c r="M208" i="263"/>
  <c r="M209" i="263"/>
  <c r="M210" i="263"/>
  <c r="M211" i="263"/>
  <c r="M212" i="263"/>
  <c r="M213" i="263"/>
  <c r="M214" i="263"/>
  <c r="M215" i="263"/>
  <c r="M216" i="263"/>
  <c r="M217" i="263"/>
  <c r="M218" i="263"/>
  <c r="M219" i="263"/>
  <c r="M220" i="263"/>
  <c r="M221" i="263"/>
  <c r="M222" i="263"/>
  <c r="M223" i="263"/>
  <c r="M224" i="263"/>
  <c r="M225" i="263"/>
  <c r="M226" i="263"/>
  <c r="M227" i="263"/>
  <c r="M228" i="263"/>
  <c r="M229" i="263"/>
  <c r="M230" i="263"/>
  <c r="M231" i="263"/>
  <c r="M232" i="263"/>
  <c r="M233" i="263"/>
  <c r="M234" i="263"/>
  <c r="M235" i="263"/>
  <c r="M236" i="263"/>
  <c r="M237" i="263"/>
  <c r="M238" i="263"/>
  <c r="M239" i="263"/>
  <c r="M240" i="263"/>
  <c r="M241" i="263"/>
  <c r="M242" i="263"/>
  <c r="M243" i="263"/>
  <c r="M244" i="263"/>
  <c r="M245" i="263"/>
  <c r="M246" i="263"/>
  <c r="M247" i="263"/>
  <c r="M248" i="263"/>
  <c r="M249" i="263"/>
  <c r="M250" i="263"/>
  <c r="M251" i="263"/>
  <c r="M252" i="263"/>
  <c r="M253" i="263"/>
  <c r="M254" i="263"/>
  <c r="M255" i="263"/>
  <c r="M256" i="263"/>
  <c r="M257" i="263"/>
  <c r="M258" i="263"/>
  <c r="M259" i="263"/>
  <c r="M260" i="263"/>
  <c r="M261" i="263"/>
  <c r="M262" i="263"/>
  <c r="M263" i="263"/>
  <c r="M264" i="263"/>
  <c r="M265" i="263"/>
  <c r="M266" i="263"/>
  <c r="M267" i="263"/>
  <c r="M268" i="263"/>
  <c r="M269" i="263"/>
  <c r="M270" i="263"/>
  <c r="M271" i="263"/>
  <c r="M272" i="263"/>
  <c r="M273" i="263"/>
  <c r="M274" i="263"/>
  <c r="M275" i="263"/>
  <c r="M276" i="263"/>
  <c r="M277" i="263"/>
  <c r="M278" i="263"/>
  <c r="M279" i="263"/>
  <c r="M280" i="263"/>
  <c r="M281" i="263"/>
  <c r="M282" i="263"/>
  <c r="M283" i="263"/>
  <c r="M284" i="263"/>
  <c r="M285" i="263"/>
  <c r="M286" i="263"/>
  <c r="M287" i="263"/>
  <c r="M288" i="263"/>
  <c r="M289" i="263"/>
  <c r="M290" i="263"/>
  <c r="M291" i="263"/>
  <c r="M292" i="263"/>
  <c r="M293" i="263"/>
  <c r="M294" i="263"/>
  <c r="M295" i="263"/>
  <c r="M296" i="263"/>
  <c r="M297" i="263"/>
  <c r="M298" i="263"/>
  <c r="M299" i="263"/>
  <c r="M300" i="263"/>
  <c r="M301" i="263"/>
  <c r="M302" i="263"/>
  <c r="M303" i="263"/>
  <c r="M304" i="263"/>
  <c r="M305" i="263"/>
  <c r="M306" i="263"/>
  <c r="M307" i="263"/>
  <c r="M308" i="263"/>
  <c r="M309" i="263"/>
  <c r="M310" i="263"/>
  <c r="M311" i="263"/>
  <c r="M312" i="263"/>
  <c r="M313" i="263"/>
  <c r="M314" i="263"/>
  <c r="M315" i="263"/>
  <c r="M316" i="263"/>
  <c r="M317" i="263"/>
  <c r="M318" i="263"/>
  <c r="M319" i="263"/>
  <c r="M320" i="263"/>
  <c r="M321" i="263"/>
  <c r="M322" i="263"/>
  <c r="M323" i="263"/>
  <c r="M324" i="263"/>
  <c r="M325" i="263"/>
  <c r="M326" i="263"/>
  <c r="M327" i="263"/>
  <c r="M328" i="263"/>
  <c r="M329" i="263"/>
  <c r="M330" i="263"/>
  <c r="M331" i="263"/>
  <c r="M332" i="263"/>
  <c r="M333" i="263"/>
  <c r="M334" i="263"/>
  <c r="M335" i="263"/>
  <c r="M336" i="263"/>
  <c r="M337" i="263"/>
  <c r="M338" i="263"/>
  <c r="M339" i="263"/>
  <c r="M340" i="263"/>
  <c r="M341" i="263"/>
  <c r="M342" i="263"/>
  <c r="M343" i="263"/>
  <c r="M344" i="263"/>
  <c r="M345" i="263"/>
  <c r="M346" i="263"/>
  <c r="M347" i="263"/>
  <c r="M348" i="263"/>
  <c r="M349" i="263"/>
  <c r="M350" i="263"/>
  <c r="M351" i="263"/>
  <c r="M352" i="263"/>
  <c r="M353" i="263"/>
  <c r="M354" i="263"/>
  <c r="M355" i="263"/>
  <c r="M356" i="263"/>
  <c r="M357" i="263"/>
  <c r="M358" i="263"/>
  <c r="M359" i="263"/>
  <c r="M360" i="263"/>
  <c r="M361" i="263"/>
  <c r="M362" i="263"/>
  <c r="M363" i="263"/>
  <c r="M364" i="263"/>
  <c r="M365" i="263"/>
  <c r="M366" i="263"/>
  <c r="M367" i="263"/>
  <c r="M368" i="263"/>
  <c r="M369" i="263"/>
  <c r="M370" i="263"/>
  <c r="M371" i="263"/>
  <c r="M372" i="263"/>
  <c r="M373" i="263"/>
  <c r="M374" i="263"/>
  <c r="M375" i="263"/>
  <c r="M376" i="263"/>
  <c r="M377" i="263"/>
  <c r="M378" i="263"/>
  <c r="M379" i="263"/>
  <c r="M380" i="263"/>
  <c r="M381" i="263"/>
  <c r="M382" i="263"/>
  <c r="M383" i="263"/>
  <c r="M384" i="263"/>
  <c r="M385" i="263"/>
  <c r="M386" i="263"/>
  <c r="M387" i="263"/>
  <c r="M388" i="263"/>
  <c r="M389" i="263"/>
  <c r="M390" i="263"/>
  <c r="M391" i="263"/>
  <c r="M392" i="263"/>
  <c r="M393" i="263"/>
  <c r="M394" i="263"/>
  <c r="M395" i="263"/>
  <c r="M396" i="263"/>
  <c r="M397" i="263"/>
  <c r="M398" i="263"/>
  <c r="M399" i="263"/>
  <c r="M400" i="263"/>
  <c r="M401" i="263"/>
  <c r="M402" i="263"/>
  <c r="M403" i="263"/>
  <c r="M404" i="263"/>
  <c r="M405" i="263"/>
  <c r="M406" i="263"/>
  <c r="M407" i="263"/>
  <c r="M408" i="263"/>
  <c r="M409" i="263"/>
  <c r="M410" i="263"/>
  <c r="M411" i="263"/>
  <c r="M412" i="263"/>
  <c r="M413" i="263"/>
  <c r="M414" i="263"/>
  <c r="M415" i="263"/>
  <c r="M416" i="263"/>
  <c r="M417" i="263"/>
  <c r="M418" i="263"/>
  <c r="M419" i="263"/>
  <c r="M420" i="263"/>
  <c r="M421" i="263"/>
  <c r="M422" i="263"/>
  <c r="M3" i="263"/>
  <c r="K3" i="263"/>
  <c r="K4" i="263"/>
  <c r="K5" i="263"/>
  <c r="K6" i="263"/>
  <c r="K7" i="263"/>
  <c r="K8" i="263"/>
  <c r="K9" i="263"/>
  <c r="K10" i="263"/>
  <c r="K11" i="263"/>
  <c r="K12" i="263"/>
  <c r="K13" i="263"/>
  <c r="K14" i="263"/>
  <c r="K15" i="263"/>
  <c r="K16" i="263"/>
  <c r="K17" i="263"/>
  <c r="K18" i="263"/>
  <c r="K19" i="263"/>
  <c r="K20" i="263"/>
  <c r="K21" i="263"/>
  <c r="K22" i="263"/>
  <c r="K23" i="263"/>
  <c r="K24" i="263"/>
  <c r="K25" i="263"/>
  <c r="K26" i="263"/>
  <c r="K27" i="263"/>
  <c r="K28" i="263"/>
  <c r="K29" i="263"/>
  <c r="K30" i="263"/>
  <c r="K31" i="263"/>
  <c r="K32" i="263"/>
  <c r="K33" i="263"/>
  <c r="K34" i="263"/>
  <c r="K35" i="263"/>
  <c r="K36" i="263"/>
  <c r="K37" i="263"/>
  <c r="K38" i="263"/>
  <c r="K39" i="263"/>
  <c r="K40" i="263"/>
  <c r="K41" i="263"/>
  <c r="K42" i="263"/>
  <c r="K43" i="263"/>
  <c r="K44" i="263"/>
  <c r="K45" i="263"/>
  <c r="K46" i="263"/>
  <c r="K47" i="263"/>
  <c r="K48" i="263"/>
  <c r="K49" i="263"/>
  <c r="K50" i="263"/>
  <c r="K51" i="263"/>
  <c r="K52" i="263"/>
  <c r="K53" i="263"/>
  <c r="K54" i="263"/>
  <c r="K55" i="263"/>
  <c r="K56" i="263"/>
  <c r="K57" i="263"/>
  <c r="K58" i="263"/>
  <c r="K59" i="263"/>
  <c r="K60" i="263"/>
  <c r="K61" i="263"/>
  <c r="K62" i="263"/>
  <c r="K63" i="263"/>
  <c r="K64" i="263"/>
  <c r="K65" i="263"/>
  <c r="K66" i="263"/>
  <c r="K67" i="263"/>
  <c r="K68" i="263"/>
  <c r="K69" i="263"/>
  <c r="K70" i="263"/>
  <c r="K71" i="263"/>
  <c r="K72" i="263"/>
  <c r="K73" i="263"/>
  <c r="K74" i="263"/>
  <c r="K75" i="263"/>
  <c r="K76" i="263"/>
  <c r="K77" i="263"/>
  <c r="K78" i="263"/>
  <c r="K79" i="263"/>
  <c r="K80" i="263"/>
  <c r="K81" i="263"/>
  <c r="K82" i="263"/>
  <c r="K83" i="263"/>
  <c r="K84" i="263"/>
  <c r="K85" i="263"/>
  <c r="K86" i="263"/>
  <c r="K87" i="263"/>
  <c r="K88" i="263"/>
  <c r="K89" i="263"/>
  <c r="K90" i="263"/>
  <c r="K91" i="263"/>
  <c r="K92" i="263"/>
  <c r="K93" i="263"/>
  <c r="K94" i="263"/>
  <c r="K95" i="263"/>
  <c r="K96" i="263"/>
  <c r="K97" i="263"/>
  <c r="K98" i="263"/>
  <c r="K99" i="263"/>
  <c r="K100" i="263"/>
  <c r="K101" i="263"/>
  <c r="K102" i="263"/>
  <c r="K103" i="263"/>
  <c r="K104" i="263"/>
  <c r="K105" i="263"/>
  <c r="K106" i="263"/>
  <c r="K107" i="263"/>
  <c r="K108" i="263"/>
  <c r="K109" i="263"/>
  <c r="K110" i="263"/>
  <c r="K111" i="263"/>
  <c r="K112" i="263"/>
  <c r="K113" i="263"/>
  <c r="K114" i="263"/>
  <c r="K115" i="263"/>
  <c r="K116" i="263"/>
  <c r="K117" i="263"/>
  <c r="K118" i="263"/>
  <c r="K119" i="263"/>
  <c r="K120" i="263"/>
  <c r="K121" i="263"/>
  <c r="K122" i="263"/>
  <c r="K123" i="263"/>
  <c r="K124" i="263"/>
  <c r="K125" i="263"/>
  <c r="K126" i="263"/>
  <c r="K127" i="263"/>
  <c r="K128" i="263"/>
  <c r="K129" i="263"/>
  <c r="K130" i="263"/>
  <c r="K131" i="263"/>
  <c r="K132" i="263"/>
  <c r="K133" i="263"/>
  <c r="K134" i="263"/>
  <c r="K135" i="263"/>
  <c r="K136" i="263"/>
  <c r="K137" i="263"/>
  <c r="K138" i="263"/>
  <c r="K139" i="263"/>
  <c r="K140" i="263"/>
  <c r="K141" i="263"/>
  <c r="K142" i="263"/>
  <c r="K143" i="263"/>
  <c r="K144" i="263"/>
  <c r="K145" i="263"/>
  <c r="K146" i="263"/>
  <c r="K147" i="263"/>
  <c r="K148" i="263"/>
  <c r="K149" i="263"/>
  <c r="K150" i="263"/>
  <c r="K151" i="263"/>
  <c r="K152" i="263"/>
  <c r="K153" i="263"/>
  <c r="K154" i="263"/>
  <c r="K155" i="263"/>
  <c r="K156" i="263"/>
  <c r="K157" i="263"/>
  <c r="K158" i="263"/>
  <c r="K159" i="263"/>
  <c r="K160" i="263"/>
  <c r="K161" i="263"/>
  <c r="K162" i="263"/>
  <c r="K163" i="263"/>
  <c r="K164" i="263"/>
  <c r="K165" i="263"/>
  <c r="K166" i="263"/>
  <c r="K167" i="263"/>
  <c r="K168" i="263"/>
  <c r="K169" i="263"/>
  <c r="K170" i="263"/>
  <c r="K171" i="263"/>
  <c r="K172" i="263"/>
  <c r="K173" i="263"/>
  <c r="K174" i="263"/>
  <c r="K175" i="263"/>
  <c r="K176" i="263"/>
  <c r="K177" i="263"/>
  <c r="K178" i="263"/>
  <c r="K179" i="263"/>
  <c r="K180" i="263"/>
  <c r="K181" i="263"/>
  <c r="K182" i="263"/>
  <c r="K183" i="263"/>
  <c r="K184" i="263"/>
  <c r="K185" i="263"/>
  <c r="K186" i="263"/>
  <c r="K187" i="263"/>
  <c r="K188" i="263"/>
  <c r="K189" i="263"/>
  <c r="K190" i="263"/>
  <c r="K191" i="263"/>
  <c r="K192" i="263"/>
  <c r="K193" i="263"/>
  <c r="K194" i="263"/>
  <c r="K195" i="263"/>
  <c r="K196" i="263"/>
  <c r="K197" i="263"/>
  <c r="K198" i="263"/>
  <c r="K199" i="263"/>
  <c r="K200" i="263"/>
  <c r="K201" i="263"/>
  <c r="K202" i="263"/>
  <c r="K203" i="263"/>
  <c r="K204" i="263"/>
  <c r="K205" i="263"/>
  <c r="K206" i="263"/>
  <c r="K207" i="263"/>
  <c r="K208" i="263"/>
  <c r="K209" i="263"/>
  <c r="K210" i="263"/>
  <c r="K211" i="263"/>
  <c r="K212" i="263"/>
  <c r="K213" i="263"/>
  <c r="K214" i="263"/>
  <c r="K215" i="263"/>
  <c r="K216" i="263"/>
  <c r="K217" i="263"/>
  <c r="K218" i="263"/>
  <c r="K219" i="263"/>
  <c r="K220" i="263"/>
  <c r="K221" i="263"/>
  <c r="K222" i="263"/>
  <c r="K223" i="263"/>
  <c r="K224" i="263"/>
  <c r="K225" i="263"/>
  <c r="K226" i="263"/>
  <c r="K227" i="263"/>
  <c r="K228" i="263"/>
  <c r="K229" i="263"/>
  <c r="K230" i="263"/>
  <c r="K231" i="263"/>
  <c r="K232" i="263"/>
  <c r="K233" i="263"/>
  <c r="K234" i="263"/>
  <c r="K235" i="263"/>
  <c r="K236" i="263"/>
  <c r="K237" i="263"/>
  <c r="K238" i="263"/>
  <c r="K239" i="263"/>
  <c r="K240" i="263"/>
  <c r="K241" i="263"/>
  <c r="K242" i="263"/>
  <c r="K243" i="263"/>
  <c r="K244" i="263"/>
  <c r="K245" i="263"/>
  <c r="K246" i="263"/>
  <c r="K247" i="263"/>
  <c r="K248" i="263"/>
  <c r="K249" i="263"/>
  <c r="K250" i="263"/>
  <c r="K251" i="263"/>
  <c r="K252" i="263"/>
  <c r="K253" i="263"/>
  <c r="K254" i="263"/>
  <c r="K255" i="263"/>
  <c r="K256" i="263"/>
  <c r="K257" i="263"/>
  <c r="K258" i="263"/>
  <c r="K259" i="263"/>
  <c r="K260" i="263"/>
  <c r="K261" i="263"/>
  <c r="K262" i="263"/>
  <c r="K263" i="263"/>
  <c r="K264" i="263"/>
  <c r="K265" i="263"/>
  <c r="K266" i="263"/>
  <c r="K267" i="263"/>
  <c r="K268" i="263"/>
  <c r="K269" i="263"/>
  <c r="K270" i="263"/>
  <c r="K271" i="263"/>
  <c r="K272" i="263"/>
  <c r="K273" i="263"/>
  <c r="K274" i="263"/>
  <c r="K275" i="263"/>
  <c r="K276" i="263"/>
  <c r="K277" i="263"/>
  <c r="K278" i="263"/>
  <c r="K279" i="263"/>
  <c r="K280" i="263"/>
  <c r="K281" i="263"/>
  <c r="K282" i="263"/>
  <c r="K283" i="263"/>
  <c r="K284" i="263"/>
  <c r="K285" i="263"/>
  <c r="K286" i="263"/>
  <c r="K287" i="263"/>
  <c r="K288" i="263"/>
  <c r="K289" i="263"/>
  <c r="K290" i="263"/>
  <c r="K291" i="263"/>
  <c r="K292" i="263"/>
  <c r="K293" i="263"/>
  <c r="K294" i="263"/>
  <c r="K295" i="263"/>
  <c r="K296" i="263"/>
  <c r="K297" i="263"/>
  <c r="K298" i="263"/>
  <c r="K299" i="263"/>
  <c r="K300" i="263"/>
  <c r="K301" i="263"/>
  <c r="K302" i="263"/>
  <c r="K303" i="263"/>
  <c r="K304" i="263"/>
  <c r="K305" i="263"/>
  <c r="K306" i="263"/>
  <c r="K307" i="263"/>
  <c r="K308" i="263"/>
  <c r="K309" i="263"/>
  <c r="K310" i="263"/>
  <c r="K311" i="263"/>
  <c r="K312" i="263"/>
  <c r="K313" i="263"/>
  <c r="K314" i="263"/>
  <c r="K315" i="263"/>
  <c r="K316" i="263"/>
  <c r="K317" i="263"/>
  <c r="K318" i="263"/>
  <c r="K319" i="263"/>
  <c r="K320" i="263"/>
  <c r="K321" i="263"/>
  <c r="K322" i="263"/>
  <c r="K323" i="263"/>
  <c r="K324" i="263"/>
  <c r="K325" i="263"/>
  <c r="K326" i="263"/>
  <c r="K327" i="263"/>
  <c r="K328" i="263"/>
  <c r="K329" i="263"/>
  <c r="K330" i="263"/>
  <c r="K331" i="263"/>
  <c r="K332" i="263"/>
  <c r="K333" i="263"/>
  <c r="K334" i="263"/>
  <c r="K335" i="263"/>
  <c r="K336" i="263"/>
  <c r="K337" i="263"/>
  <c r="K338" i="263"/>
  <c r="K339" i="263"/>
  <c r="K340" i="263"/>
  <c r="K341" i="263"/>
  <c r="K342" i="263"/>
  <c r="K343" i="263"/>
  <c r="K344" i="263"/>
  <c r="K345" i="263"/>
  <c r="K346" i="263"/>
  <c r="K347" i="263"/>
  <c r="K348" i="263"/>
  <c r="K349" i="263"/>
  <c r="K350" i="263"/>
  <c r="K351" i="263"/>
  <c r="K352" i="263"/>
  <c r="K353" i="263"/>
  <c r="K354" i="263"/>
  <c r="K355" i="263"/>
  <c r="K356" i="263"/>
  <c r="K357" i="263"/>
  <c r="K358" i="263"/>
  <c r="K359" i="263"/>
  <c r="K360" i="263"/>
  <c r="K361" i="263"/>
  <c r="K362" i="263"/>
  <c r="K363" i="263"/>
  <c r="K364" i="263"/>
  <c r="K365" i="263"/>
  <c r="K366" i="263"/>
  <c r="K367" i="263"/>
  <c r="K368" i="263"/>
  <c r="K369" i="263"/>
  <c r="K370" i="263"/>
  <c r="K371" i="263"/>
  <c r="K372" i="263"/>
  <c r="K373" i="263"/>
  <c r="K374" i="263"/>
  <c r="K375" i="263"/>
  <c r="K376" i="263"/>
  <c r="K377" i="263"/>
  <c r="K378" i="263"/>
  <c r="K379" i="263"/>
  <c r="K380" i="263"/>
  <c r="K381" i="263"/>
  <c r="K382" i="263"/>
  <c r="K383" i="263"/>
  <c r="K384" i="263"/>
  <c r="K385" i="263"/>
  <c r="K386" i="263"/>
  <c r="K387" i="263"/>
  <c r="K388" i="263"/>
  <c r="K389" i="263"/>
  <c r="K390" i="263"/>
  <c r="K391" i="263"/>
  <c r="K392" i="263"/>
  <c r="K393" i="263"/>
  <c r="K394" i="263"/>
  <c r="K395" i="263"/>
  <c r="K396" i="263"/>
  <c r="K397" i="263"/>
  <c r="K398" i="263"/>
  <c r="K399" i="263"/>
  <c r="K400" i="263"/>
  <c r="K401" i="263"/>
  <c r="K402" i="263"/>
  <c r="K403" i="263"/>
  <c r="K404" i="263"/>
  <c r="K405" i="263"/>
  <c r="K406" i="263"/>
  <c r="K407" i="263"/>
  <c r="K408" i="263"/>
  <c r="K409" i="263"/>
  <c r="K410" i="263"/>
  <c r="K411" i="263"/>
  <c r="K412" i="263"/>
  <c r="K413" i="263"/>
  <c r="K414" i="263"/>
  <c r="K415" i="263"/>
  <c r="K416" i="263"/>
  <c r="K417" i="263"/>
  <c r="K418" i="263"/>
  <c r="K419" i="263"/>
  <c r="K420" i="263"/>
  <c r="K421" i="263"/>
  <c r="K422" i="263"/>
  <c r="K2" i="263"/>
  <c r="M4" i="262"/>
  <c r="M5" i="262"/>
  <c r="M6" i="262"/>
  <c r="M7" i="262"/>
  <c r="M8" i="262"/>
  <c r="M9" i="262"/>
  <c r="M10" i="262"/>
  <c r="M11" i="262"/>
  <c r="M12" i="262"/>
  <c r="M13" i="262"/>
  <c r="M14" i="262"/>
  <c r="M15" i="262"/>
  <c r="M16" i="262"/>
  <c r="M17" i="262"/>
  <c r="M18" i="262"/>
  <c r="M19" i="262"/>
  <c r="M20" i="262"/>
  <c r="M21" i="262"/>
  <c r="M22" i="262"/>
  <c r="M23" i="262"/>
  <c r="M24" i="262"/>
  <c r="M25" i="262"/>
  <c r="M26" i="262"/>
  <c r="M27" i="262"/>
  <c r="M28" i="262"/>
  <c r="M29" i="262"/>
  <c r="M30" i="262"/>
  <c r="M31" i="262"/>
  <c r="M32" i="262"/>
  <c r="M33" i="262"/>
  <c r="M34" i="262"/>
  <c r="M35" i="262"/>
  <c r="M36" i="262"/>
  <c r="M37" i="262"/>
  <c r="M38" i="262"/>
  <c r="M39" i="262"/>
  <c r="M40" i="262"/>
  <c r="M41" i="262"/>
  <c r="M42" i="262"/>
  <c r="M43" i="262"/>
  <c r="M44" i="262"/>
  <c r="M45" i="262"/>
  <c r="M46" i="262"/>
  <c r="M47" i="262"/>
  <c r="M48" i="262"/>
  <c r="M49" i="262"/>
  <c r="M50" i="262"/>
  <c r="M51" i="262"/>
  <c r="M52" i="262"/>
  <c r="M53" i="262"/>
  <c r="M54" i="262"/>
  <c r="M55" i="262"/>
  <c r="M56" i="262"/>
  <c r="M57" i="262"/>
  <c r="M58" i="262"/>
  <c r="M59" i="262"/>
  <c r="M60" i="262"/>
  <c r="M61" i="262"/>
  <c r="M62" i="262"/>
  <c r="M63" i="262"/>
  <c r="M64" i="262"/>
  <c r="M65" i="262"/>
  <c r="M66" i="262"/>
  <c r="M67" i="262"/>
  <c r="M68" i="262"/>
  <c r="M69" i="262"/>
  <c r="M70" i="262"/>
  <c r="M71" i="262"/>
  <c r="M72" i="262"/>
  <c r="M73" i="262"/>
  <c r="M74" i="262"/>
  <c r="M75" i="262"/>
  <c r="M76" i="262"/>
  <c r="M77" i="262"/>
  <c r="M78" i="262"/>
  <c r="M79" i="262"/>
  <c r="M80" i="262"/>
  <c r="M81" i="262"/>
  <c r="M82" i="262"/>
  <c r="M83" i="262"/>
  <c r="M84" i="262"/>
  <c r="M85" i="262"/>
  <c r="M86" i="262"/>
  <c r="M87" i="262"/>
  <c r="M88" i="262"/>
  <c r="M89" i="262"/>
  <c r="M90" i="262"/>
  <c r="M91" i="262"/>
  <c r="M92" i="262"/>
  <c r="M93" i="262"/>
  <c r="M94" i="262"/>
  <c r="M95" i="262"/>
  <c r="M96" i="262"/>
  <c r="M97" i="262"/>
  <c r="M98" i="262"/>
  <c r="M99" i="262"/>
  <c r="M100" i="262"/>
  <c r="M101" i="262"/>
  <c r="M102" i="262"/>
  <c r="M103" i="262"/>
  <c r="M104" i="262"/>
  <c r="M105" i="262"/>
  <c r="M106" i="262"/>
  <c r="M107" i="262"/>
  <c r="M108" i="262"/>
  <c r="M109" i="262"/>
  <c r="M110" i="262"/>
  <c r="M111" i="262"/>
  <c r="M112" i="262"/>
  <c r="M113" i="262"/>
  <c r="M114" i="262"/>
  <c r="M115" i="262"/>
  <c r="M116" i="262"/>
  <c r="M117" i="262"/>
  <c r="M118" i="262"/>
  <c r="M119" i="262"/>
  <c r="M120" i="262"/>
  <c r="M121" i="262"/>
  <c r="M122" i="262"/>
  <c r="M123" i="262"/>
  <c r="M124" i="262"/>
  <c r="M125" i="262"/>
  <c r="M126" i="262"/>
  <c r="M127" i="262"/>
  <c r="M128" i="262"/>
  <c r="M129" i="262"/>
  <c r="M130" i="262"/>
  <c r="M131" i="262"/>
  <c r="M132" i="262"/>
  <c r="M133" i="262"/>
  <c r="M134" i="262"/>
  <c r="M135" i="262"/>
  <c r="M136" i="262"/>
  <c r="M137" i="262"/>
  <c r="M138" i="262"/>
  <c r="M139" i="262"/>
  <c r="M140" i="262"/>
  <c r="M141" i="262"/>
  <c r="M142" i="262"/>
  <c r="M143" i="262"/>
  <c r="M144" i="262"/>
  <c r="M145" i="262"/>
  <c r="M146" i="262"/>
  <c r="M147" i="262"/>
  <c r="M148" i="262"/>
  <c r="M149" i="262"/>
  <c r="M150" i="262"/>
  <c r="M151" i="262"/>
  <c r="M152" i="262"/>
  <c r="M153" i="262"/>
  <c r="M154" i="262"/>
  <c r="M155" i="262"/>
  <c r="M156" i="262"/>
  <c r="M157" i="262"/>
  <c r="M158" i="262"/>
  <c r="M159" i="262"/>
  <c r="M160" i="262"/>
  <c r="M161" i="262"/>
  <c r="M162" i="262"/>
  <c r="M163" i="262"/>
  <c r="M164" i="262"/>
  <c r="M165" i="262"/>
  <c r="M166" i="262"/>
  <c r="M167" i="262"/>
  <c r="M168" i="262"/>
  <c r="M169" i="262"/>
  <c r="M170" i="262"/>
  <c r="M171" i="262"/>
  <c r="M172" i="262"/>
  <c r="M173" i="262"/>
  <c r="M174" i="262"/>
  <c r="M175" i="262"/>
  <c r="M176" i="262"/>
  <c r="M177" i="262"/>
  <c r="M178" i="262"/>
  <c r="M179" i="262"/>
  <c r="M180" i="262"/>
  <c r="M181" i="262"/>
  <c r="M182" i="262"/>
  <c r="M183" i="262"/>
  <c r="M184" i="262"/>
  <c r="M185" i="262"/>
  <c r="M186" i="262"/>
  <c r="M187" i="262"/>
  <c r="M188" i="262"/>
  <c r="M189" i="262"/>
  <c r="M190" i="262"/>
  <c r="M191" i="262"/>
  <c r="M192" i="262"/>
  <c r="M193" i="262"/>
  <c r="M194" i="262"/>
  <c r="M195" i="262"/>
  <c r="M196" i="262"/>
  <c r="M197" i="262"/>
  <c r="M198" i="262"/>
  <c r="M199" i="262"/>
  <c r="M200" i="262"/>
  <c r="M201" i="262"/>
  <c r="M202" i="262"/>
  <c r="M203" i="262"/>
  <c r="M204" i="262"/>
  <c r="M205" i="262"/>
  <c r="M206" i="262"/>
  <c r="M207" i="262"/>
  <c r="M208" i="262"/>
  <c r="M209" i="262"/>
  <c r="M210" i="262"/>
  <c r="M211" i="262"/>
  <c r="M212" i="262"/>
  <c r="M213" i="262"/>
  <c r="M214" i="262"/>
  <c r="M215" i="262"/>
  <c r="M216" i="262"/>
  <c r="M217" i="262"/>
  <c r="M218" i="262"/>
  <c r="M219" i="262"/>
  <c r="M220" i="262"/>
  <c r="M221" i="262"/>
  <c r="M222" i="262"/>
  <c r="M223" i="262"/>
  <c r="M224" i="262"/>
  <c r="M225" i="262"/>
  <c r="M226" i="262"/>
  <c r="M227" i="262"/>
  <c r="M228" i="262"/>
  <c r="M229" i="262"/>
  <c r="M230" i="262"/>
  <c r="M231" i="262"/>
  <c r="M232" i="262"/>
  <c r="M233" i="262"/>
  <c r="M234" i="262"/>
  <c r="M235" i="262"/>
  <c r="M236" i="262"/>
  <c r="M237" i="262"/>
  <c r="M238" i="262"/>
  <c r="M239" i="262"/>
  <c r="M240" i="262"/>
  <c r="M3" i="262"/>
  <c r="K3" i="262"/>
  <c r="K4" i="262"/>
  <c r="K5" i="262"/>
  <c r="K6" i="262"/>
  <c r="K7" i="262"/>
  <c r="K8" i="262"/>
  <c r="K9" i="262"/>
  <c r="K10" i="262"/>
  <c r="K11" i="262"/>
  <c r="K12" i="262"/>
  <c r="K13" i="262"/>
  <c r="K14" i="262"/>
  <c r="K15" i="262"/>
  <c r="K16" i="262"/>
  <c r="K17" i="262"/>
  <c r="K18" i="262"/>
  <c r="K19" i="262"/>
  <c r="K20" i="262"/>
  <c r="K21" i="262"/>
  <c r="K22" i="262"/>
  <c r="K23" i="262"/>
  <c r="K24" i="262"/>
  <c r="K25" i="262"/>
  <c r="K26" i="262"/>
  <c r="K27" i="262"/>
  <c r="K28" i="262"/>
  <c r="K29" i="262"/>
  <c r="K30" i="262"/>
  <c r="K31" i="262"/>
  <c r="K32" i="262"/>
  <c r="K33" i="262"/>
  <c r="K34" i="262"/>
  <c r="K35" i="262"/>
  <c r="K36" i="262"/>
  <c r="K37" i="262"/>
  <c r="K38" i="262"/>
  <c r="K39" i="262"/>
  <c r="K40" i="262"/>
  <c r="K41" i="262"/>
  <c r="K42" i="262"/>
  <c r="K43" i="262"/>
  <c r="K44" i="262"/>
  <c r="K45" i="262"/>
  <c r="K46" i="262"/>
  <c r="K47" i="262"/>
  <c r="K48" i="262"/>
  <c r="K49" i="262"/>
  <c r="K50" i="262"/>
  <c r="K51" i="262"/>
  <c r="K52" i="262"/>
  <c r="K53" i="262"/>
  <c r="K54" i="262"/>
  <c r="K55" i="262"/>
  <c r="K56" i="262"/>
  <c r="K57" i="262"/>
  <c r="K58" i="262"/>
  <c r="K59" i="262"/>
  <c r="K60" i="262"/>
  <c r="K61" i="262"/>
  <c r="K62" i="262"/>
  <c r="K63" i="262"/>
  <c r="K64" i="262"/>
  <c r="K65" i="262"/>
  <c r="K66" i="262"/>
  <c r="K67" i="262"/>
  <c r="K68" i="262"/>
  <c r="K69" i="262"/>
  <c r="K70" i="262"/>
  <c r="K71" i="262"/>
  <c r="K72" i="262"/>
  <c r="K73" i="262"/>
  <c r="K74" i="262"/>
  <c r="K75" i="262"/>
  <c r="K76" i="262"/>
  <c r="K77" i="262"/>
  <c r="K78" i="262"/>
  <c r="K79" i="262"/>
  <c r="K80" i="262"/>
  <c r="K81" i="262"/>
  <c r="K82" i="262"/>
  <c r="K83" i="262"/>
  <c r="K84" i="262"/>
  <c r="K85" i="262"/>
  <c r="K86" i="262"/>
  <c r="K87" i="262"/>
  <c r="K88" i="262"/>
  <c r="K89" i="262"/>
  <c r="K90" i="262"/>
  <c r="K91" i="262"/>
  <c r="K92" i="262"/>
  <c r="K93" i="262"/>
  <c r="K94" i="262"/>
  <c r="K95" i="262"/>
  <c r="K96" i="262"/>
  <c r="K97" i="262"/>
  <c r="K98" i="262"/>
  <c r="K99" i="262"/>
  <c r="K100" i="262"/>
  <c r="K101" i="262"/>
  <c r="K102" i="262"/>
  <c r="K103" i="262"/>
  <c r="K104" i="262"/>
  <c r="K105" i="262"/>
  <c r="K106" i="262"/>
  <c r="K107" i="262"/>
  <c r="K108" i="262"/>
  <c r="K109" i="262"/>
  <c r="K110" i="262"/>
  <c r="K111" i="262"/>
  <c r="K112" i="262"/>
  <c r="K113" i="262"/>
  <c r="K114" i="262"/>
  <c r="K115" i="262"/>
  <c r="K116" i="262"/>
  <c r="K117" i="262"/>
  <c r="K118" i="262"/>
  <c r="K119" i="262"/>
  <c r="K120" i="262"/>
  <c r="K121" i="262"/>
  <c r="K122" i="262"/>
  <c r="K123" i="262"/>
  <c r="K124" i="262"/>
  <c r="K125" i="262"/>
  <c r="K126" i="262"/>
  <c r="K127" i="262"/>
  <c r="K128" i="262"/>
  <c r="K129" i="262"/>
  <c r="K130" i="262"/>
  <c r="K131" i="262"/>
  <c r="K132" i="262"/>
  <c r="K133" i="262"/>
  <c r="K134" i="262"/>
  <c r="K135" i="262"/>
  <c r="K136" i="262"/>
  <c r="K137" i="262"/>
  <c r="K138" i="262"/>
  <c r="K139" i="262"/>
  <c r="K140" i="262"/>
  <c r="K141" i="262"/>
  <c r="K142" i="262"/>
  <c r="K143" i="262"/>
  <c r="K144" i="262"/>
  <c r="K145" i="262"/>
  <c r="K146" i="262"/>
  <c r="K147" i="262"/>
  <c r="K148" i="262"/>
  <c r="K149" i="262"/>
  <c r="K150" i="262"/>
  <c r="K151" i="262"/>
  <c r="K152" i="262"/>
  <c r="K153" i="262"/>
  <c r="K154" i="262"/>
  <c r="K155" i="262"/>
  <c r="K156" i="262"/>
  <c r="K157" i="262"/>
  <c r="K158" i="262"/>
  <c r="K159" i="262"/>
  <c r="K160" i="262"/>
  <c r="K161" i="262"/>
  <c r="K162" i="262"/>
  <c r="K163" i="262"/>
  <c r="K164" i="262"/>
  <c r="K165" i="262"/>
  <c r="K166" i="262"/>
  <c r="K167" i="262"/>
  <c r="K168" i="262"/>
  <c r="K169" i="262"/>
  <c r="K170" i="262"/>
  <c r="K171" i="262"/>
  <c r="K172" i="262"/>
  <c r="K173" i="262"/>
  <c r="K174" i="262"/>
  <c r="K175" i="262"/>
  <c r="K176" i="262"/>
  <c r="K177" i="262"/>
  <c r="K178" i="262"/>
  <c r="K179" i="262"/>
  <c r="K180" i="262"/>
  <c r="K181" i="262"/>
  <c r="K182" i="262"/>
  <c r="K183" i="262"/>
  <c r="K184" i="262"/>
  <c r="K185" i="262"/>
  <c r="K186" i="262"/>
  <c r="K187" i="262"/>
  <c r="K188" i="262"/>
  <c r="K189" i="262"/>
  <c r="K190" i="262"/>
  <c r="K191" i="262"/>
  <c r="K192" i="262"/>
  <c r="K193" i="262"/>
  <c r="K194" i="262"/>
  <c r="K195" i="262"/>
  <c r="K196" i="262"/>
  <c r="K197" i="262"/>
  <c r="K198" i="262"/>
  <c r="K199" i="262"/>
  <c r="K200" i="262"/>
  <c r="K201" i="262"/>
  <c r="K202" i="262"/>
  <c r="K203" i="262"/>
  <c r="K204" i="262"/>
  <c r="K205" i="262"/>
  <c r="K206" i="262"/>
  <c r="K207" i="262"/>
  <c r="K208" i="262"/>
  <c r="K209" i="262"/>
  <c r="K210" i="262"/>
  <c r="K211" i="262"/>
  <c r="K212" i="262"/>
  <c r="K213" i="262"/>
  <c r="K214" i="262"/>
  <c r="K215" i="262"/>
  <c r="K216" i="262"/>
  <c r="K217" i="262"/>
  <c r="K218" i="262"/>
  <c r="K219" i="262"/>
  <c r="K220" i="262"/>
  <c r="K221" i="262"/>
  <c r="K222" i="262"/>
  <c r="K223" i="262"/>
  <c r="K224" i="262"/>
  <c r="K225" i="262"/>
  <c r="K226" i="262"/>
  <c r="K227" i="262"/>
  <c r="K228" i="262"/>
  <c r="K229" i="262"/>
  <c r="K230" i="262"/>
  <c r="K231" i="262"/>
  <c r="K232" i="262"/>
  <c r="K233" i="262"/>
  <c r="K234" i="262"/>
  <c r="K235" i="262"/>
  <c r="K236" i="262"/>
  <c r="K237" i="262"/>
  <c r="K238" i="262"/>
  <c r="K239" i="262"/>
  <c r="K240" i="262"/>
  <c r="K2" i="262"/>
  <c r="M4" i="261"/>
  <c r="M5" i="261"/>
  <c r="M6" i="261"/>
  <c r="M7" i="261"/>
  <c r="M8" i="261"/>
  <c r="M9" i="261"/>
  <c r="M10" i="261"/>
  <c r="M11" i="261"/>
  <c r="M12" i="261"/>
  <c r="M13" i="261"/>
  <c r="M14" i="261"/>
  <c r="M15" i="261"/>
  <c r="M16" i="261"/>
  <c r="M17" i="261"/>
  <c r="M18" i="261"/>
  <c r="M19" i="261"/>
  <c r="M20" i="261"/>
  <c r="M21" i="261"/>
  <c r="M22" i="261"/>
  <c r="M23" i="261"/>
  <c r="M24" i="261"/>
  <c r="M25" i="261"/>
  <c r="M26" i="261"/>
  <c r="M27" i="261"/>
  <c r="M28" i="261"/>
  <c r="M29" i="261"/>
  <c r="M30" i="261"/>
  <c r="M31" i="261"/>
  <c r="M32" i="261"/>
  <c r="M33" i="261"/>
  <c r="M34" i="261"/>
  <c r="M35" i="261"/>
  <c r="M36" i="261"/>
  <c r="M37" i="261"/>
  <c r="M38" i="261"/>
  <c r="M39" i="261"/>
  <c r="M40" i="261"/>
  <c r="M41" i="261"/>
  <c r="M42" i="261"/>
  <c r="M43" i="261"/>
  <c r="M44" i="261"/>
  <c r="M45" i="261"/>
  <c r="M46" i="261"/>
  <c r="M47" i="261"/>
  <c r="M48" i="261"/>
  <c r="M49" i="261"/>
  <c r="M50" i="261"/>
  <c r="M51" i="261"/>
  <c r="M52" i="261"/>
  <c r="M53" i="261"/>
  <c r="M54" i="261"/>
  <c r="M55" i="261"/>
  <c r="M56" i="261"/>
  <c r="M57" i="261"/>
  <c r="M58" i="261"/>
  <c r="M59" i="261"/>
  <c r="M60" i="261"/>
  <c r="M61" i="261"/>
  <c r="M62" i="261"/>
  <c r="M63" i="261"/>
  <c r="M64" i="261"/>
  <c r="M65" i="261"/>
  <c r="M66" i="261"/>
  <c r="M67" i="261"/>
  <c r="M68" i="261"/>
  <c r="M69" i="261"/>
  <c r="M70" i="261"/>
  <c r="M71" i="261"/>
  <c r="M72" i="261"/>
  <c r="M73" i="261"/>
  <c r="M74" i="261"/>
  <c r="M75" i="261"/>
  <c r="M76" i="261"/>
  <c r="M77" i="261"/>
  <c r="M78" i="261"/>
  <c r="M79" i="261"/>
  <c r="M80" i="261"/>
  <c r="M81" i="261"/>
  <c r="M82" i="261"/>
  <c r="M83" i="261"/>
  <c r="M84" i="261"/>
  <c r="M85" i="261"/>
  <c r="M86" i="261"/>
  <c r="M87" i="261"/>
  <c r="M88" i="261"/>
  <c r="M89" i="261"/>
  <c r="M90" i="261"/>
  <c r="M91" i="261"/>
  <c r="M92" i="261"/>
  <c r="M93" i="261"/>
  <c r="M94" i="261"/>
  <c r="M95" i="261"/>
  <c r="M96" i="261"/>
  <c r="M97" i="261"/>
  <c r="M98" i="261"/>
  <c r="M99" i="261"/>
  <c r="M100" i="261"/>
  <c r="M101" i="261"/>
  <c r="M102" i="261"/>
  <c r="M103" i="261"/>
  <c r="M104" i="261"/>
  <c r="M105" i="261"/>
  <c r="M106" i="261"/>
  <c r="M107" i="261"/>
  <c r="M108" i="261"/>
  <c r="M109" i="261"/>
  <c r="M110" i="261"/>
  <c r="M111" i="261"/>
  <c r="M112" i="261"/>
  <c r="M113" i="261"/>
  <c r="M114" i="261"/>
  <c r="M115" i="261"/>
  <c r="M116" i="261"/>
  <c r="M117" i="261"/>
  <c r="M118" i="261"/>
  <c r="M119" i="261"/>
  <c r="M120" i="261"/>
  <c r="M121" i="261"/>
  <c r="M122" i="261"/>
  <c r="M123" i="261"/>
  <c r="M124" i="261"/>
  <c r="M125" i="261"/>
  <c r="M126" i="261"/>
  <c r="M127" i="261"/>
  <c r="M128" i="261"/>
  <c r="M129" i="261"/>
  <c r="M130" i="261"/>
  <c r="M131" i="261"/>
  <c r="M132" i="261"/>
  <c r="M133" i="261"/>
  <c r="M134" i="261"/>
  <c r="M135" i="261"/>
  <c r="M136" i="261"/>
  <c r="M137" i="261"/>
  <c r="M138" i="261"/>
  <c r="M139" i="261"/>
  <c r="M140" i="261"/>
  <c r="M141" i="261"/>
  <c r="M142" i="261"/>
  <c r="M143" i="261"/>
  <c r="M144" i="261"/>
  <c r="M145" i="261"/>
  <c r="M146" i="261"/>
  <c r="M147" i="261"/>
  <c r="M148" i="261"/>
  <c r="M149" i="261"/>
  <c r="M150" i="261"/>
  <c r="M151" i="261"/>
  <c r="M152" i="261"/>
  <c r="M153" i="261"/>
  <c r="M154" i="261"/>
  <c r="M155" i="261"/>
  <c r="M156" i="261"/>
  <c r="M157" i="261"/>
  <c r="M158" i="261"/>
  <c r="M159" i="261"/>
  <c r="M160" i="261"/>
  <c r="M161" i="261"/>
  <c r="M162" i="261"/>
  <c r="M163" i="261"/>
  <c r="M164" i="261"/>
  <c r="M165" i="261"/>
  <c r="M166" i="261"/>
  <c r="M167" i="261"/>
  <c r="M168" i="261"/>
  <c r="M169" i="261"/>
  <c r="M170" i="261"/>
  <c r="M171" i="261"/>
  <c r="M172" i="261"/>
  <c r="M173" i="261"/>
  <c r="M174" i="261"/>
  <c r="M175" i="261"/>
  <c r="M176" i="261"/>
  <c r="M177" i="261"/>
  <c r="M178" i="261"/>
  <c r="M179" i="261"/>
  <c r="M180" i="261"/>
  <c r="M181" i="261"/>
  <c r="M182" i="261"/>
  <c r="M183" i="261"/>
  <c r="M184" i="261"/>
  <c r="M185" i="261"/>
  <c r="M186" i="261"/>
  <c r="M187" i="261"/>
  <c r="M188" i="261"/>
  <c r="M189" i="261"/>
  <c r="M190" i="261"/>
  <c r="M191" i="261"/>
  <c r="M192" i="261"/>
  <c r="M193" i="261"/>
  <c r="M194" i="261"/>
  <c r="M195" i="261"/>
  <c r="M196" i="261"/>
  <c r="M197" i="261"/>
  <c r="M198" i="261"/>
  <c r="M199" i="261"/>
  <c r="M200" i="261"/>
  <c r="M201" i="261"/>
  <c r="M202" i="261"/>
  <c r="M203" i="261"/>
  <c r="M204" i="261"/>
  <c r="M205" i="261"/>
  <c r="M206" i="261"/>
  <c r="M207" i="261"/>
  <c r="M208" i="261"/>
  <c r="M209" i="261"/>
  <c r="M210" i="261"/>
  <c r="M211" i="261"/>
  <c r="M212" i="261"/>
  <c r="M213" i="261"/>
  <c r="M214" i="261"/>
  <c r="M215" i="261"/>
  <c r="M216" i="261"/>
  <c r="M217" i="261"/>
  <c r="M218" i="261"/>
  <c r="M219" i="261"/>
  <c r="M220" i="261"/>
  <c r="M221" i="261"/>
  <c r="M222" i="261"/>
  <c r="M223" i="261"/>
  <c r="M224" i="261"/>
  <c r="M225" i="261"/>
  <c r="M226" i="261"/>
  <c r="M227" i="261"/>
  <c r="M228" i="261"/>
  <c r="M229" i="261"/>
  <c r="M230" i="261"/>
  <c r="M231" i="261"/>
  <c r="M232" i="261"/>
  <c r="M233" i="261"/>
  <c r="M234" i="261"/>
  <c r="M235" i="261"/>
  <c r="M236" i="261"/>
  <c r="M237" i="261"/>
  <c r="M238" i="261"/>
  <c r="M239" i="261"/>
  <c r="M240" i="261"/>
  <c r="M241" i="261"/>
  <c r="M242" i="261"/>
  <c r="M243" i="261"/>
  <c r="M244" i="261"/>
  <c r="M245" i="261"/>
  <c r="M246" i="261"/>
  <c r="M247" i="261"/>
  <c r="M248" i="261"/>
  <c r="M249" i="261"/>
  <c r="M250" i="261"/>
  <c r="M251" i="261"/>
  <c r="M252" i="261"/>
  <c r="M253" i="261"/>
  <c r="M254" i="261"/>
  <c r="M255" i="261"/>
  <c r="M256" i="261"/>
  <c r="M257" i="261"/>
  <c r="M258" i="261"/>
  <c r="M259" i="261"/>
  <c r="M260" i="261"/>
  <c r="M261" i="261"/>
  <c r="M262" i="261"/>
  <c r="M263" i="261"/>
  <c r="M264" i="261"/>
  <c r="M265" i="261"/>
  <c r="M266" i="261"/>
  <c r="M267" i="261"/>
  <c r="M268" i="261"/>
  <c r="M269" i="261"/>
  <c r="M270" i="261"/>
  <c r="M271" i="261"/>
  <c r="M272" i="261"/>
  <c r="M273" i="261"/>
  <c r="M274" i="261"/>
  <c r="M275" i="261"/>
  <c r="M276" i="261"/>
  <c r="M277" i="261"/>
  <c r="M278" i="261"/>
  <c r="M279" i="261"/>
  <c r="M280" i="261"/>
  <c r="M281" i="261"/>
  <c r="M282" i="261"/>
  <c r="M283" i="261"/>
  <c r="M284" i="261"/>
  <c r="M285" i="261"/>
  <c r="M286" i="261"/>
  <c r="M287" i="261"/>
  <c r="M288" i="261"/>
  <c r="M289" i="261"/>
  <c r="M290" i="261"/>
  <c r="M291" i="261"/>
  <c r="M292" i="261"/>
  <c r="M293" i="261"/>
  <c r="M294" i="261"/>
  <c r="M295" i="261"/>
  <c r="M296" i="261"/>
  <c r="M297" i="261"/>
  <c r="M298" i="261"/>
  <c r="M299" i="261"/>
  <c r="M300" i="261"/>
  <c r="M301" i="261"/>
  <c r="M302" i="261"/>
  <c r="M303" i="261"/>
  <c r="M304" i="261"/>
  <c r="M305" i="261"/>
  <c r="M306" i="261"/>
  <c r="M307" i="261"/>
  <c r="M308" i="261"/>
  <c r="M309" i="261"/>
  <c r="M310" i="261"/>
  <c r="M311" i="261"/>
  <c r="M312" i="261"/>
  <c r="M313" i="261"/>
  <c r="M314" i="261"/>
  <c r="M315" i="261"/>
  <c r="M316" i="261"/>
  <c r="M317" i="261"/>
  <c r="M318" i="261"/>
  <c r="M319" i="261"/>
  <c r="M320" i="261"/>
  <c r="M321" i="261"/>
  <c r="M322" i="261"/>
  <c r="M323" i="261"/>
  <c r="M324" i="261"/>
  <c r="M325" i="261"/>
  <c r="M326" i="261"/>
  <c r="M327" i="261"/>
  <c r="M328" i="261"/>
  <c r="M329" i="261"/>
  <c r="M330" i="261"/>
  <c r="M331" i="261"/>
  <c r="M332" i="261"/>
  <c r="M333" i="261"/>
  <c r="M334" i="261"/>
  <c r="M335" i="261"/>
  <c r="M336" i="261"/>
  <c r="M337" i="261"/>
  <c r="M338" i="261"/>
  <c r="M339" i="261"/>
  <c r="M340" i="261"/>
  <c r="M341" i="261"/>
  <c r="M342" i="261"/>
  <c r="M343" i="261"/>
  <c r="M344" i="261"/>
  <c r="M345" i="261"/>
  <c r="M346" i="261"/>
  <c r="M347" i="261"/>
  <c r="M348" i="261"/>
  <c r="M349" i="261"/>
  <c r="M350" i="261"/>
  <c r="M351" i="261"/>
  <c r="M352" i="261"/>
  <c r="M353" i="261"/>
  <c r="M354" i="261"/>
  <c r="M355" i="261"/>
  <c r="M356" i="261"/>
  <c r="M357" i="261"/>
  <c r="M358" i="261"/>
  <c r="M359" i="261"/>
  <c r="M360" i="261"/>
  <c r="M361" i="261"/>
  <c r="M362" i="261"/>
  <c r="M363" i="261"/>
  <c r="M364" i="261"/>
  <c r="M365" i="261"/>
  <c r="M366" i="261"/>
  <c r="M367" i="261"/>
  <c r="M368" i="261"/>
  <c r="M369" i="261"/>
  <c r="M370" i="261"/>
  <c r="M371" i="261"/>
  <c r="M372" i="261"/>
  <c r="M373" i="261"/>
  <c r="M374" i="261"/>
  <c r="M375" i="261"/>
  <c r="M376" i="261"/>
  <c r="M377" i="261"/>
  <c r="M378" i="261"/>
  <c r="M379" i="261"/>
  <c r="M380" i="261"/>
  <c r="M381" i="261"/>
  <c r="M382" i="261"/>
  <c r="M383" i="261"/>
  <c r="M384" i="261"/>
  <c r="M385" i="261"/>
  <c r="M386" i="261"/>
  <c r="M387" i="261"/>
  <c r="M388" i="261"/>
  <c r="M389" i="261"/>
  <c r="M390" i="261"/>
  <c r="M391" i="261"/>
  <c r="M392" i="261"/>
  <c r="M393" i="261"/>
  <c r="M394" i="261"/>
  <c r="M395" i="261"/>
  <c r="M396" i="261"/>
  <c r="M397" i="261"/>
  <c r="M398" i="261"/>
  <c r="M399" i="261"/>
  <c r="M400" i="261"/>
  <c r="M401" i="261"/>
  <c r="M402" i="261"/>
  <c r="M403" i="261"/>
  <c r="M404" i="261"/>
  <c r="M405" i="261"/>
  <c r="M406" i="261"/>
  <c r="M407" i="261"/>
  <c r="M408" i="261"/>
  <c r="M409" i="261"/>
  <c r="M410" i="261"/>
  <c r="M411" i="261"/>
  <c r="M412" i="261"/>
  <c r="M413" i="261"/>
  <c r="M414" i="261"/>
  <c r="M415" i="261"/>
  <c r="M416" i="261"/>
  <c r="M417" i="261"/>
  <c r="M418" i="261"/>
  <c r="M419" i="261"/>
  <c r="M420" i="261"/>
  <c r="M421" i="261"/>
  <c r="M422" i="261"/>
  <c r="M3" i="261"/>
  <c r="K3" i="261"/>
  <c r="K4" i="261"/>
  <c r="K5" i="261"/>
  <c r="K6" i="261"/>
  <c r="K7" i="261"/>
  <c r="K8" i="261"/>
  <c r="K9" i="261"/>
  <c r="K10" i="261"/>
  <c r="K11" i="261"/>
  <c r="K12" i="261"/>
  <c r="K13" i="261"/>
  <c r="K14" i="261"/>
  <c r="K15" i="261"/>
  <c r="K16" i="261"/>
  <c r="K17" i="261"/>
  <c r="K18" i="261"/>
  <c r="K19" i="261"/>
  <c r="K20" i="261"/>
  <c r="K21" i="261"/>
  <c r="K22" i="261"/>
  <c r="K23" i="261"/>
  <c r="K24" i="261"/>
  <c r="K25" i="261"/>
  <c r="K26" i="261"/>
  <c r="K27" i="261"/>
  <c r="K28" i="261"/>
  <c r="K29" i="261"/>
  <c r="K30" i="261"/>
  <c r="K31" i="261"/>
  <c r="K32" i="261"/>
  <c r="K33" i="261"/>
  <c r="K34" i="261"/>
  <c r="K35" i="261"/>
  <c r="K36" i="261"/>
  <c r="K37" i="261"/>
  <c r="K38" i="261"/>
  <c r="K39" i="261"/>
  <c r="K40" i="261"/>
  <c r="K41" i="261"/>
  <c r="K42" i="261"/>
  <c r="K43" i="261"/>
  <c r="K44" i="261"/>
  <c r="K45" i="261"/>
  <c r="K46" i="261"/>
  <c r="K47" i="261"/>
  <c r="K48" i="261"/>
  <c r="K49" i="261"/>
  <c r="K50" i="261"/>
  <c r="K51" i="261"/>
  <c r="K52" i="261"/>
  <c r="K53" i="261"/>
  <c r="K54" i="261"/>
  <c r="K55" i="261"/>
  <c r="K56" i="261"/>
  <c r="K57" i="261"/>
  <c r="K58" i="261"/>
  <c r="K59" i="261"/>
  <c r="K60" i="261"/>
  <c r="K61" i="261"/>
  <c r="K62" i="261"/>
  <c r="K63" i="261"/>
  <c r="K64" i="261"/>
  <c r="K65" i="261"/>
  <c r="K66" i="261"/>
  <c r="K67" i="261"/>
  <c r="K68" i="261"/>
  <c r="K69" i="261"/>
  <c r="K70" i="261"/>
  <c r="K71" i="261"/>
  <c r="K72" i="261"/>
  <c r="K73" i="261"/>
  <c r="K74" i="261"/>
  <c r="K75" i="261"/>
  <c r="K76" i="261"/>
  <c r="K77" i="261"/>
  <c r="K78" i="261"/>
  <c r="K79" i="261"/>
  <c r="K80" i="261"/>
  <c r="K81" i="261"/>
  <c r="K82" i="261"/>
  <c r="K83" i="261"/>
  <c r="K84" i="261"/>
  <c r="K85" i="261"/>
  <c r="K86" i="261"/>
  <c r="K87" i="261"/>
  <c r="K88" i="261"/>
  <c r="K89" i="261"/>
  <c r="K90" i="261"/>
  <c r="K91" i="261"/>
  <c r="K92" i="261"/>
  <c r="K93" i="261"/>
  <c r="K94" i="261"/>
  <c r="K95" i="261"/>
  <c r="K96" i="261"/>
  <c r="K97" i="261"/>
  <c r="K98" i="261"/>
  <c r="K99" i="261"/>
  <c r="K100" i="261"/>
  <c r="K101" i="261"/>
  <c r="K102" i="261"/>
  <c r="K103" i="261"/>
  <c r="K104" i="261"/>
  <c r="K105" i="261"/>
  <c r="K106" i="261"/>
  <c r="K107" i="261"/>
  <c r="K108" i="261"/>
  <c r="K109" i="261"/>
  <c r="K110" i="261"/>
  <c r="K111" i="261"/>
  <c r="K112" i="261"/>
  <c r="K113" i="261"/>
  <c r="K114" i="261"/>
  <c r="K115" i="261"/>
  <c r="K116" i="261"/>
  <c r="K117" i="261"/>
  <c r="K118" i="261"/>
  <c r="K119" i="261"/>
  <c r="K120" i="261"/>
  <c r="K121" i="261"/>
  <c r="K122" i="261"/>
  <c r="K123" i="261"/>
  <c r="K124" i="261"/>
  <c r="K125" i="261"/>
  <c r="K126" i="261"/>
  <c r="K127" i="261"/>
  <c r="K128" i="261"/>
  <c r="K129" i="261"/>
  <c r="K130" i="261"/>
  <c r="K131" i="261"/>
  <c r="K132" i="261"/>
  <c r="K133" i="261"/>
  <c r="K134" i="261"/>
  <c r="K135" i="261"/>
  <c r="K136" i="261"/>
  <c r="K137" i="261"/>
  <c r="K138" i="261"/>
  <c r="K139" i="261"/>
  <c r="K140" i="261"/>
  <c r="K141" i="261"/>
  <c r="K142" i="261"/>
  <c r="K143" i="261"/>
  <c r="K144" i="261"/>
  <c r="K145" i="261"/>
  <c r="K146" i="261"/>
  <c r="K147" i="261"/>
  <c r="K148" i="261"/>
  <c r="K149" i="261"/>
  <c r="K150" i="261"/>
  <c r="K151" i="261"/>
  <c r="K152" i="261"/>
  <c r="K153" i="261"/>
  <c r="K154" i="261"/>
  <c r="K155" i="261"/>
  <c r="K156" i="261"/>
  <c r="K157" i="261"/>
  <c r="K158" i="261"/>
  <c r="K159" i="261"/>
  <c r="K160" i="261"/>
  <c r="K161" i="261"/>
  <c r="K162" i="261"/>
  <c r="K163" i="261"/>
  <c r="K164" i="261"/>
  <c r="K165" i="261"/>
  <c r="K166" i="261"/>
  <c r="K167" i="261"/>
  <c r="K168" i="261"/>
  <c r="K169" i="261"/>
  <c r="K170" i="261"/>
  <c r="K171" i="261"/>
  <c r="K172" i="261"/>
  <c r="K173" i="261"/>
  <c r="K174" i="261"/>
  <c r="K175" i="261"/>
  <c r="K176" i="261"/>
  <c r="K177" i="261"/>
  <c r="K178" i="261"/>
  <c r="K179" i="261"/>
  <c r="K180" i="261"/>
  <c r="K181" i="261"/>
  <c r="K182" i="261"/>
  <c r="K183" i="261"/>
  <c r="K184" i="261"/>
  <c r="K185" i="261"/>
  <c r="K186" i="261"/>
  <c r="K187" i="261"/>
  <c r="K188" i="261"/>
  <c r="K189" i="261"/>
  <c r="K190" i="261"/>
  <c r="K191" i="261"/>
  <c r="K192" i="261"/>
  <c r="K193" i="261"/>
  <c r="K194" i="261"/>
  <c r="K195" i="261"/>
  <c r="K196" i="261"/>
  <c r="K197" i="261"/>
  <c r="K198" i="261"/>
  <c r="K199" i="261"/>
  <c r="K200" i="261"/>
  <c r="K201" i="261"/>
  <c r="K202" i="261"/>
  <c r="K203" i="261"/>
  <c r="K204" i="261"/>
  <c r="K205" i="261"/>
  <c r="K206" i="261"/>
  <c r="K207" i="261"/>
  <c r="K208" i="261"/>
  <c r="K209" i="261"/>
  <c r="K210" i="261"/>
  <c r="K211" i="261"/>
  <c r="K212" i="261"/>
  <c r="K213" i="261"/>
  <c r="K214" i="261"/>
  <c r="K215" i="261"/>
  <c r="K216" i="261"/>
  <c r="K217" i="261"/>
  <c r="K218" i="261"/>
  <c r="K219" i="261"/>
  <c r="K220" i="261"/>
  <c r="K221" i="261"/>
  <c r="K222" i="261"/>
  <c r="K223" i="261"/>
  <c r="K224" i="261"/>
  <c r="K225" i="261"/>
  <c r="K226" i="261"/>
  <c r="K227" i="261"/>
  <c r="K228" i="261"/>
  <c r="K229" i="261"/>
  <c r="K230" i="261"/>
  <c r="K231" i="261"/>
  <c r="K232" i="261"/>
  <c r="K233" i="261"/>
  <c r="K234" i="261"/>
  <c r="K235" i="261"/>
  <c r="K236" i="261"/>
  <c r="K237" i="261"/>
  <c r="K238" i="261"/>
  <c r="K239" i="261"/>
  <c r="K240" i="261"/>
  <c r="K241" i="261"/>
  <c r="K242" i="261"/>
  <c r="K243" i="261"/>
  <c r="K244" i="261"/>
  <c r="K245" i="261"/>
  <c r="K246" i="261"/>
  <c r="K247" i="261"/>
  <c r="K248" i="261"/>
  <c r="K249" i="261"/>
  <c r="K250" i="261"/>
  <c r="K251" i="261"/>
  <c r="K252" i="261"/>
  <c r="K253" i="261"/>
  <c r="K254" i="261"/>
  <c r="K255" i="261"/>
  <c r="K256" i="261"/>
  <c r="K257" i="261"/>
  <c r="K258" i="261"/>
  <c r="K259" i="261"/>
  <c r="K260" i="261"/>
  <c r="K261" i="261"/>
  <c r="K262" i="261"/>
  <c r="K263" i="261"/>
  <c r="K264" i="261"/>
  <c r="K265" i="261"/>
  <c r="K266" i="261"/>
  <c r="K267" i="261"/>
  <c r="K268" i="261"/>
  <c r="K269" i="261"/>
  <c r="K270" i="261"/>
  <c r="K271" i="261"/>
  <c r="K272" i="261"/>
  <c r="K273" i="261"/>
  <c r="K274" i="261"/>
  <c r="K275" i="261"/>
  <c r="K276" i="261"/>
  <c r="K277" i="261"/>
  <c r="K278" i="261"/>
  <c r="K279" i="261"/>
  <c r="K280" i="261"/>
  <c r="K281" i="261"/>
  <c r="K282" i="261"/>
  <c r="K283" i="261"/>
  <c r="K284" i="261"/>
  <c r="K285" i="261"/>
  <c r="K286" i="261"/>
  <c r="K287" i="261"/>
  <c r="K288" i="261"/>
  <c r="K289" i="261"/>
  <c r="K290" i="261"/>
  <c r="K291" i="261"/>
  <c r="K292" i="261"/>
  <c r="K293" i="261"/>
  <c r="K294" i="261"/>
  <c r="K295" i="261"/>
  <c r="K296" i="261"/>
  <c r="K297" i="261"/>
  <c r="K298" i="261"/>
  <c r="K299" i="261"/>
  <c r="K300" i="261"/>
  <c r="K301" i="261"/>
  <c r="K302" i="261"/>
  <c r="K303" i="261"/>
  <c r="K304" i="261"/>
  <c r="K305" i="261"/>
  <c r="K306" i="261"/>
  <c r="K307" i="261"/>
  <c r="K308" i="261"/>
  <c r="K309" i="261"/>
  <c r="K310" i="261"/>
  <c r="K311" i="261"/>
  <c r="K312" i="261"/>
  <c r="K313" i="261"/>
  <c r="K314" i="261"/>
  <c r="K315" i="261"/>
  <c r="K316" i="261"/>
  <c r="K317" i="261"/>
  <c r="K318" i="261"/>
  <c r="K319" i="261"/>
  <c r="K320" i="261"/>
  <c r="K321" i="261"/>
  <c r="K322" i="261"/>
  <c r="K323" i="261"/>
  <c r="K324" i="261"/>
  <c r="K325" i="261"/>
  <c r="K326" i="261"/>
  <c r="K327" i="261"/>
  <c r="K328" i="261"/>
  <c r="K329" i="261"/>
  <c r="K330" i="261"/>
  <c r="K331" i="261"/>
  <c r="K332" i="261"/>
  <c r="K333" i="261"/>
  <c r="K334" i="261"/>
  <c r="K335" i="261"/>
  <c r="K336" i="261"/>
  <c r="K337" i="261"/>
  <c r="K338" i="261"/>
  <c r="K339" i="261"/>
  <c r="K340" i="261"/>
  <c r="K341" i="261"/>
  <c r="K342" i="261"/>
  <c r="K343" i="261"/>
  <c r="K344" i="261"/>
  <c r="K345" i="261"/>
  <c r="K346" i="261"/>
  <c r="K347" i="261"/>
  <c r="K348" i="261"/>
  <c r="K349" i="261"/>
  <c r="K350" i="261"/>
  <c r="K351" i="261"/>
  <c r="K352" i="261"/>
  <c r="K353" i="261"/>
  <c r="K354" i="261"/>
  <c r="K355" i="261"/>
  <c r="K356" i="261"/>
  <c r="K357" i="261"/>
  <c r="K358" i="261"/>
  <c r="K359" i="261"/>
  <c r="K360" i="261"/>
  <c r="K361" i="261"/>
  <c r="K362" i="261"/>
  <c r="K363" i="261"/>
  <c r="K364" i="261"/>
  <c r="K365" i="261"/>
  <c r="K366" i="261"/>
  <c r="K367" i="261"/>
  <c r="K368" i="261"/>
  <c r="K369" i="261"/>
  <c r="K370" i="261"/>
  <c r="K371" i="261"/>
  <c r="K372" i="261"/>
  <c r="K373" i="261"/>
  <c r="K374" i="261"/>
  <c r="K375" i="261"/>
  <c r="K376" i="261"/>
  <c r="K377" i="261"/>
  <c r="K378" i="261"/>
  <c r="K379" i="261"/>
  <c r="K380" i="261"/>
  <c r="K381" i="261"/>
  <c r="K382" i="261"/>
  <c r="K383" i="261"/>
  <c r="K384" i="261"/>
  <c r="K385" i="261"/>
  <c r="K386" i="261"/>
  <c r="K387" i="261"/>
  <c r="K388" i="261"/>
  <c r="K389" i="261"/>
  <c r="K390" i="261"/>
  <c r="K391" i="261"/>
  <c r="K392" i="261"/>
  <c r="K393" i="261"/>
  <c r="K394" i="261"/>
  <c r="K395" i="261"/>
  <c r="K396" i="261"/>
  <c r="K397" i="261"/>
  <c r="K398" i="261"/>
  <c r="K399" i="261"/>
  <c r="K400" i="261"/>
  <c r="K401" i="261"/>
  <c r="K402" i="261"/>
  <c r="K403" i="261"/>
  <c r="K404" i="261"/>
  <c r="K405" i="261"/>
  <c r="K406" i="261"/>
  <c r="K407" i="261"/>
  <c r="K408" i="261"/>
  <c r="K409" i="261"/>
  <c r="K410" i="261"/>
  <c r="K411" i="261"/>
  <c r="K412" i="261"/>
  <c r="K413" i="261"/>
  <c r="K414" i="261"/>
  <c r="K415" i="261"/>
  <c r="K416" i="261"/>
  <c r="K417" i="261"/>
  <c r="K418" i="261"/>
  <c r="K419" i="261"/>
  <c r="K420" i="261"/>
  <c r="K421" i="261"/>
  <c r="K422" i="261"/>
  <c r="K2" i="261"/>
  <c r="M4" i="260"/>
  <c r="M5" i="260"/>
  <c r="M6" i="260"/>
  <c r="M7" i="260"/>
  <c r="M8" i="260"/>
  <c r="M9" i="260"/>
  <c r="M10" i="260"/>
  <c r="M11" i="260"/>
  <c r="M12" i="260"/>
  <c r="M13" i="260"/>
  <c r="M14" i="260"/>
  <c r="M15" i="260"/>
  <c r="M16" i="260"/>
  <c r="M17" i="260"/>
  <c r="M18" i="260"/>
  <c r="M19" i="260"/>
  <c r="M20" i="260"/>
  <c r="M21" i="260"/>
  <c r="M22" i="260"/>
  <c r="M23" i="260"/>
  <c r="M24" i="260"/>
  <c r="M25" i="260"/>
  <c r="M26" i="260"/>
  <c r="M27" i="260"/>
  <c r="M28" i="260"/>
  <c r="M29" i="260"/>
  <c r="M30" i="260"/>
  <c r="M31" i="260"/>
  <c r="M32" i="260"/>
  <c r="M33" i="260"/>
  <c r="M34" i="260"/>
  <c r="M35" i="260"/>
  <c r="M36" i="260"/>
  <c r="M37" i="260"/>
  <c r="M38" i="260"/>
  <c r="M39" i="260"/>
  <c r="M40" i="260"/>
  <c r="M41" i="260"/>
  <c r="M42" i="260"/>
  <c r="M43" i="260"/>
  <c r="M44" i="260"/>
  <c r="M45" i="260"/>
  <c r="M46" i="260"/>
  <c r="M47" i="260"/>
  <c r="M48" i="260"/>
  <c r="M49" i="260"/>
  <c r="M50" i="260"/>
  <c r="M51" i="260"/>
  <c r="M52" i="260"/>
  <c r="M53" i="260"/>
  <c r="M54" i="260"/>
  <c r="M55" i="260"/>
  <c r="M56" i="260"/>
  <c r="M57" i="260"/>
  <c r="M58" i="260"/>
  <c r="M59" i="260"/>
  <c r="M60" i="260"/>
  <c r="M61" i="260"/>
  <c r="M62" i="260"/>
  <c r="M63" i="260"/>
  <c r="M64" i="260"/>
  <c r="M65" i="260"/>
  <c r="M66" i="260"/>
  <c r="M67" i="260"/>
  <c r="M68" i="260"/>
  <c r="M69" i="260"/>
  <c r="M70" i="260"/>
  <c r="M71" i="260"/>
  <c r="M72" i="260"/>
  <c r="M73" i="260"/>
  <c r="M74" i="260"/>
  <c r="M75" i="260"/>
  <c r="M76" i="260"/>
  <c r="M77" i="260"/>
  <c r="M78" i="260"/>
  <c r="M79" i="260"/>
  <c r="M80" i="260"/>
  <c r="M81" i="260"/>
  <c r="M82" i="260"/>
  <c r="M83" i="260"/>
  <c r="M84" i="260"/>
  <c r="M85" i="260"/>
  <c r="M86" i="260"/>
  <c r="M87" i="260"/>
  <c r="M88" i="260"/>
  <c r="M89" i="260"/>
  <c r="M90" i="260"/>
  <c r="M91" i="260"/>
  <c r="M92" i="260"/>
  <c r="M93" i="260"/>
  <c r="M94" i="260"/>
  <c r="M95" i="260"/>
  <c r="M96" i="260"/>
  <c r="M97" i="260"/>
  <c r="M98" i="260"/>
  <c r="M99" i="260"/>
  <c r="M100" i="260"/>
  <c r="M101" i="260"/>
  <c r="M102" i="260"/>
  <c r="M103" i="260"/>
  <c r="M104" i="260"/>
  <c r="M105" i="260"/>
  <c r="M106" i="260"/>
  <c r="M107" i="260"/>
  <c r="M108" i="260"/>
  <c r="M109" i="260"/>
  <c r="M110" i="260"/>
  <c r="M111" i="260"/>
  <c r="M112" i="260"/>
  <c r="M113" i="260"/>
  <c r="M114" i="260"/>
  <c r="M115" i="260"/>
  <c r="M116" i="260"/>
  <c r="M117" i="260"/>
  <c r="M118" i="260"/>
  <c r="M119" i="260"/>
  <c r="M120" i="260"/>
  <c r="M121" i="260"/>
  <c r="M122" i="260"/>
  <c r="M123" i="260"/>
  <c r="M124" i="260"/>
  <c r="M125" i="260"/>
  <c r="M126" i="260"/>
  <c r="M127" i="260"/>
  <c r="M128" i="260"/>
  <c r="M129" i="260"/>
  <c r="M130" i="260"/>
  <c r="M131" i="260"/>
  <c r="M132" i="260"/>
  <c r="M133" i="260"/>
  <c r="M134" i="260"/>
  <c r="M135" i="260"/>
  <c r="M136" i="260"/>
  <c r="M137" i="260"/>
  <c r="M138" i="260"/>
  <c r="M139" i="260"/>
  <c r="M140" i="260"/>
  <c r="M141" i="260"/>
  <c r="M142" i="260"/>
  <c r="M143" i="260"/>
  <c r="M144" i="260"/>
  <c r="M145" i="260"/>
  <c r="M146" i="260"/>
  <c r="M147" i="260"/>
  <c r="M148" i="260"/>
  <c r="M149" i="260"/>
  <c r="M150" i="260"/>
  <c r="M151" i="260"/>
  <c r="M152" i="260"/>
  <c r="M153" i="260"/>
  <c r="M154" i="260"/>
  <c r="M155" i="260"/>
  <c r="M156" i="260"/>
  <c r="M157" i="260"/>
  <c r="M158" i="260"/>
  <c r="M159" i="260"/>
  <c r="M160" i="260"/>
  <c r="M161" i="260"/>
  <c r="M162" i="260"/>
  <c r="M163" i="260"/>
  <c r="M164" i="260"/>
  <c r="M165" i="260"/>
  <c r="M166" i="260"/>
  <c r="M167" i="260"/>
  <c r="M168" i="260"/>
  <c r="M169" i="260"/>
  <c r="M170" i="260"/>
  <c r="M171" i="260"/>
  <c r="M172" i="260"/>
  <c r="M173" i="260"/>
  <c r="M174" i="260"/>
  <c r="M175" i="260"/>
  <c r="M176" i="260"/>
  <c r="M177" i="260"/>
  <c r="M178" i="260"/>
  <c r="M179" i="260"/>
  <c r="M180" i="260"/>
  <c r="M181" i="260"/>
  <c r="M182" i="260"/>
  <c r="M183" i="260"/>
  <c r="M184" i="260"/>
  <c r="M185" i="260"/>
  <c r="M186" i="260"/>
  <c r="M187" i="260"/>
  <c r="M188" i="260"/>
  <c r="M189" i="260"/>
  <c r="M190" i="260"/>
  <c r="M191" i="260"/>
  <c r="M192" i="260"/>
  <c r="M193" i="260"/>
  <c r="M194" i="260"/>
  <c r="M195" i="260"/>
  <c r="M196" i="260"/>
  <c r="M197" i="260"/>
  <c r="M198" i="260"/>
  <c r="M199" i="260"/>
  <c r="M200" i="260"/>
  <c r="M201" i="260"/>
  <c r="M202" i="260"/>
  <c r="M203" i="260"/>
  <c r="M204" i="260"/>
  <c r="M205" i="260"/>
  <c r="M206" i="260"/>
  <c r="M207" i="260"/>
  <c r="M208" i="260"/>
  <c r="M209" i="260"/>
  <c r="M210" i="260"/>
  <c r="M211" i="260"/>
  <c r="M212" i="260"/>
  <c r="M213" i="260"/>
  <c r="M214" i="260"/>
  <c r="M215" i="260"/>
  <c r="M216" i="260"/>
  <c r="M217" i="260"/>
  <c r="M218" i="260"/>
  <c r="M219" i="260"/>
  <c r="M220" i="260"/>
  <c r="M221" i="260"/>
  <c r="M222" i="260"/>
  <c r="M223" i="260"/>
  <c r="M224" i="260"/>
  <c r="M225" i="260"/>
  <c r="M226" i="260"/>
  <c r="M227" i="260"/>
  <c r="M228" i="260"/>
  <c r="M229" i="260"/>
  <c r="M230" i="260"/>
  <c r="M231" i="260"/>
  <c r="M232" i="260"/>
  <c r="M233" i="260"/>
  <c r="M234" i="260"/>
  <c r="M235" i="260"/>
  <c r="M236" i="260"/>
  <c r="M237" i="260"/>
  <c r="M238" i="260"/>
  <c r="M239" i="260"/>
  <c r="M240" i="260"/>
  <c r="M241" i="260"/>
  <c r="M242" i="260"/>
  <c r="M243" i="260"/>
  <c r="M244" i="260"/>
  <c r="M245" i="260"/>
  <c r="M246" i="260"/>
  <c r="M247" i="260"/>
  <c r="M248" i="260"/>
  <c r="M249" i="260"/>
  <c r="M250" i="260"/>
  <c r="M251" i="260"/>
  <c r="M252" i="260"/>
  <c r="M253" i="260"/>
  <c r="M254" i="260"/>
  <c r="M255" i="260"/>
  <c r="M256" i="260"/>
  <c r="M257" i="260"/>
  <c r="M258" i="260"/>
  <c r="M259" i="260"/>
  <c r="M260" i="260"/>
  <c r="M261" i="260"/>
  <c r="M262" i="260"/>
  <c r="M263" i="260"/>
  <c r="M264" i="260"/>
  <c r="M265" i="260"/>
  <c r="M266" i="260"/>
  <c r="M267" i="260"/>
  <c r="M268" i="260"/>
  <c r="M269" i="260"/>
  <c r="M270" i="260"/>
  <c r="M271" i="260"/>
  <c r="M272" i="260"/>
  <c r="M273" i="260"/>
  <c r="M274" i="260"/>
  <c r="M275" i="260"/>
  <c r="M276" i="260"/>
  <c r="M277" i="260"/>
  <c r="M278" i="260"/>
  <c r="M279" i="260"/>
  <c r="M280" i="260"/>
  <c r="M281" i="260"/>
  <c r="M282" i="260"/>
  <c r="M283" i="260"/>
  <c r="M284" i="260"/>
  <c r="M285" i="260"/>
  <c r="M286" i="260"/>
  <c r="M287" i="260"/>
  <c r="M288" i="260"/>
  <c r="M289" i="260"/>
  <c r="M290" i="260"/>
  <c r="M291" i="260"/>
  <c r="M292" i="260"/>
  <c r="M293" i="260"/>
  <c r="M294" i="260"/>
  <c r="M295" i="260"/>
  <c r="M296" i="260"/>
  <c r="M297" i="260"/>
  <c r="M298" i="260"/>
  <c r="M299" i="260"/>
  <c r="M300" i="260"/>
  <c r="M301" i="260"/>
  <c r="M302" i="260"/>
  <c r="M303" i="260"/>
  <c r="M304" i="260"/>
  <c r="M305" i="260"/>
  <c r="M306" i="260"/>
  <c r="M307" i="260"/>
  <c r="M308" i="260"/>
  <c r="M309" i="260"/>
  <c r="M310" i="260"/>
  <c r="M311" i="260"/>
  <c r="M312" i="260"/>
  <c r="M313" i="260"/>
  <c r="M314" i="260"/>
  <c r="M315" i="260"/>
  <c r="M316" i="260"/>
  <c r="M317" i="260"/>
  <c r="M318" i="260"/>
  <c r="M319" i="260"/>
  <c r="M320" i="260"/>
  <c r="M321" i="260"/>
  <c r="M322" i="260"/>
  <c r="M323" i="260"/>
  <c r="M324" i="260"/>
  <c r="M325" i="260"/>
  <c r="M326" i="260"/>
  <c r="M327" i="260"/>
  <c r="M328" i="260"/>
  <c r="M329" i="260"/>
  <c r="M330" i="260"/>
  <c r="M331" i="260"/>
  <c r="M332" i="260"/>
  <c r="M333" i="260"/>
  <c r="M334" i="260"/>
  <c r="M335" i="260"/>
  <c r="M336" i="260"/>
  <c r="M337" i="260"/>
  <c r="M338" i="260"/>
  <c r="M339" i="260"/>
  <c r="M340" i="260"/>
  <c r="M341" i="260"/>
  <c r="M342" i="260"/>
  <c r="M343" i="260"/>
  <c r="M344" i="260"/>
  <c r="M345" i="260"/>
  <c r="M346" i="260"/>
  <c r="M347" i="260"/>
  <c r="M348" i="260"/>
  <c r="M349" i="260"/>
  <c r="M350" i="260"/>
  <c r="M351" i="260"/>
  <c r="M352" i="260"/>
  <c r="M353" i="260"/>
  <c r="M354" i="260"/>
  <c r="M355" i="260"/>
  <c r="M356" i="260"/>
  <c r="M357" i="260"/>
  <c r="M358" i="260"/>
  <c r="M359" i="260"/>
  <c r="M360" i="260"/>
  <c r="M361" i="260"/>
  <c r="M362" i="260"/>
  <c r="M363" i="260"/>
  <c r="M364" i="260"/>
  <c r="M365" i="260"/>
  <c r="M366" i="260"/>
  <c r="M367" i="260"/>
  <c r="M368" i="260"/>
  <c r="M369" i="260"/>
  <c r="M370" i="260"/>
  <c r="M371" i="260"/>
  <c r="M372" i="260"/>
  <c r="M373" i="260"/>
  <c r="M374" i="260"/>
  <c r="M375" i="260"/>
  <c r="M376" i="260"/>
  <c r="M377" i="260"/>
  <c r="M378" i="260"/>
  <c r="M379" i="260"/>
  <c r="M380" i="260"/>
  <c r="M381" i="260"/>
  <c r="M382" i="260"/>
  <c r="M383" i="260"/>
  <c r="M384" i="260"/>
  <c r="M385" i="260"/>
  <c r="M386" i="260"/>
  <c r="M387" i="260"/>
  <c r="M388" i="260"/>
  <c r="M389" i="260"/>
  <c r="M390" i="260"/>
  <c r="M391" i="260"/>
  <c r="M392" i="260"/>
  <c r="M393" i="260"/>
  <c r="M394" i="260"/>
  <c r="M395" i="260"/>
  <c r="M396" i="260"/>
  <c r="M397" i="260"/>
  <c r="M398" i="260"/>
  <c r="M399" i="260"/>
  <c r="M400" i="260"/>
  <c r="M401" i="260"/>
  <c r="M402" i="260"/>
  <c r="M403" i="260"/>
  <c r="M404" i="260"/>
  <c r="M405" i="260"/>
  <c r="M406" i="260"/>
  <c r="M407" i="260"/>
  <c r="M408" i="260"/>
  <c r="M409" i="260"/>
  <c r="M410" i="260"/>
  <c r="M411" i="260"/>
  <c r="M412" i="260"/>
  <c r="M413" i="260"/>
  <c r="M414" i="260"/>
  <c r="M415" i="260"/>
  <c r="M416" i="260"/>
  <c r="M417" i="260"/>
  <c r="M418" i="260"/>
  <c r="M419" i="260"/>
  <c r="M420" i="260"/>
  <c r="M421" i="260"/>
  <c r="M422" i="260"/>
  <c r="M3" i="260"/>
  <c r="K3" i="260"/>
  <c r="K4" i="260"/>
  <c r="K5" i="260"/>
  <c r="K6" i="260"/>
  <c r="K7" i="260"/>
  <c r="K8" i="260"/>
  <c r="K9" i="260"/>
  <c r="K10" i="260"/>
  <c r="K11" i="260"/>
  <c r="K12" i="260"/>
  <c r="K13" i="260"/>
  <c r="K14" i="260"/>
  <c r="K15" i="260"/>
  <c r="K16" i="260"/>
  <c r="K17" i="260"/>
  <c r="K18" i="260"/>
  <c r="K19" i="260"/>
  <c r="K20" i="260"/>
  <c r="K21" i="260"/>
  <c r="K22" i="260"/>
  <c r="K23" i="260"/>
  <c r="K24" i="260"/>
  <c r="K25" i="260"/>
  <c r="K26" i="260"/>
  <c r="K27" i="260"/>
  <c r="K28" i="260"/>
  <c r="K29" i="260"/>
  <c r="K30" i="260"/>
  <c r="K31" i="260"/>
  <c r="K32" i="260"/>
  <c r="K33" i="260"/>
  <c r="K34" i="260"/>
  <c r="K35" i="260"/>
  <c r="K36" i="260"/>
  <c r="K37" i="260"/>
  <c r="K38" i="260"/>
  <c r="K39" i="260"/>
  <c r="K40" i="260"/>
  <c r="K41" i="260"/>
  <c r="K42" i="260"/>
  <c r="K43" i="260"/>
  <c r="K44" i="260"/>
  <c r="K45" i="260"/>
  <c r="K46" i="260"/>
  <c r="K47" i="260"/>
  <c r="K48" i="260"/>
  <c r="K49" i="260"/>
  <c r="K50" i="260"/>
  <c r="K51" i="260"/>
  <c r="K52" i="260"/>
  <c r="K53" i="260"/>
  <c r="K54" i="260"/>
  <c r="K55" i="260"/>
  <c r="K56" i="260"/>
  <c r="K57" i="260"/>
  <c r="K58" i="260"/>
  <c r="K59" i="260"/>
  <c r="K60" i="260"/>
  <c r="K61" i="260"/>
  <c r="K62" i="260"/>
  <c r="K63" i="260"/>
  <c r="K64" i="260"/>
  <c r="K65" i="260"/>
  <c r="K66" i="260"/>
  <c r="K67" i="260"/>
  <c r="K68" i="260"/>
  <c r="K69" i="260"/>
  <c r="K70" i="260"/>
  <c r="K71" i="260"/>
  <c r="K72" i="260"/>
  <c r="K73" i="260"/>
  <c r="K74" i="260"/>
  <c r="K75" i="260"/>
  <c r="K76" i="260"/>
  <c r="K77" i="260"/>
  <c r="K78" i="260"/>
  <c r="K79" i="260"/>
  <c r="K80" i="260"/>
  <c r="K81" i="260"/>
  <c r="K82" i="260"/>
  <c r="K83" i="260"/>
  <c r="K84" i="260"/>
  <c r="K85" i="260"/>
  <c r="K86" i="260"/>
  <c r="K87" i="260"/>
  <c r="K88" i="260"/>
  <c r="K89" i="260"/>
  <c r="K90" i="260"/>
  <c r="K91" i="260"/>
  <c r="K92" i="260"/>
  <c r="K93" i="260"/>
  <c r="K94" i="260"/>
  <c r="K95" i="260"/>
  <c r="K96" i="260"/>
  <c r="K97" i="260"/>
  <c r="K98" i="260"/>
  <c r="K99" i="260"/>
  <c r="K100" i="260"/>
  <c r="K101" i="260"/>
  <c r="K102" i="260"/>
  <c r="K103" i="260"/>
  <c r="K104" i="260"/>
  <c r="K105" i="260"/>
  <c r="K106" i="260"/>
  <c r="K107" i="260"/>
  <c r="K108" i="260"/>
  <c r="K109" i="260"/>
  <c r="K110" i="260"/>
  <c r="K111" i="260"/>
  <c r="K112" i="260"/>
  <c r="K113" i="260"/>
  <c r="K114" i="260"/>
  <c r="K115" i="260"/>
  <c r="K116" i="260"/>
  <c r="K117" i="260"/>
  <c r="K118" i="260"/>
  <c r="K119" i="260"/>
  <c r="K120" i="260"/>
  <c r="K121" i="260"/>
  <c r="K122" i="260"/>
  <c r="K123" i="260"/>
  <c r="K124" i="260"/>
  <c r="K125" i="260"/>
  <c r="K126" i="260"/>
  <c r="K127" i="260"/>
  <c r="K128" i="260"/>
  <c r="K129" i="260"/>
  <c r="K130" i="260"/>
  <c r="K131" i="260"/>
  <c r="K132" i="260"/>
  <c r="K133" i="260"/>
  <c r="K134" i="260"/>
  <c r="K135" i="260"/>
  <c r="K136" i="260"/>
  <c r="K137" i="260"/>
  <c r="K138" i="260"/>
  <c r="K139" i="260"/>
  <c r="K140" i="260"/>
  <c r="K141" i="260"/>
  <c r="K142" i="260"/>
  <c r="K143" i="260"/>
  <c r="K144" i="260"/>
  <c r="K145" i="260"/>
  <c r="K146" i="260"/>
  <c r="K147" i="260"/>
  <c r="K148" i="260"/>
  <c r="K149" i="260"/>
  <c r="K150" i="260"/>
  <c r="K151" i="260"/>
  <c r="K152" i="260"/>
  <c r="K153" i="260"/>
  <c r="K154" i="260"/>
  <c r="K155" i="260"/>
  <c r="K156" i="260"/>
  <c r="K157" i="260"/>
  <c r="K158" i="260"/>
  <c r="K159" i="260"/>
  <c r="K160" i="260"/>
  <c r="K161" i="260"/>
  <c r="K162" i="260"/>
  <c r="K163" i="260"/>
  <c r="K164" i="260"/>
  <c r="K165" i="260"/>
  <c r="K166" i="260"/>
  <c r="K167" i="260"/>
  <c r="K168" i="260"/>
  <c r="K169" i="260"/>
  <c r="K170" i="260"/>
  <c r="K171" i="260"/>
  <c r="K172" i="260"/>
  <c r="K173" i="260"/>
  <c r="K174" i="260"/>
  <c r="K175" i="260"/>
  <c r="K176" i="260"/>
  <c r="K177" i="260"/>
  <c r="K178" i="260"/>
  <c r="K179" i="260"/>
  <c r="K180" i="260"/>
  <c r="K181" i="260"/>
  <c r="K182" i="260"/>
  <c r="K183" i="260"/>
  <c r="K184" i="260"/>
  <c r="K185" i="260"/>
  <c r="K186" i="260"/>
  <c r="K187" i="260"/>
  <c r="K188" i="260"/>
  <c r="K189" i="260"/>
  <c r="K190" i="260"/>
  <c r="K191" i="260"/>
  <c r="K192" i="260"/>
  <c r="K193" i="260"/>
  <c r="K194" i="260"/>
  <c r="K195" i="260"/>
  <c r="K196" i="260"/>
  <c r="K197" i="260"/>
  <c r="K198" i="260"/>
  <c r="K199" i="260"/>
  <c r="K200" i="260"/>
  <c r="K201" i="260"/>
  <c r="K202" i="260"/>
  <c r="K203" i="260"/>
  <c r="K204" i="260"/>
  <c r="K205" i="260"/>
  <c r="K206" i="260"/>
  <c r="K207" i="260"/>
  <c r="K208" i="260"/>
  <c r="K209" i="260"/>
  <c r="K210" i="260"/>
  <c r="K211" i="260"/>
  <c r="K212" i="260"/>
  <c r="K213" i="260"/>
  <c r="K214" i="260"/>
  <c r="K215" i="260"/>
  <c r="K216" i="260"/>
  <c r="K217" i="260"/>
  <c r="K218" i="260"/>
  <c r="K219" i="260"/>
  <c r="K220" i="260"/>
  <c r="K221" i="260"/>
  <c r="K222" i="260"/>
  <c r="K223" i="260"/>
  <c r="K224" i="260"/>
  <c r="K225" i="260"/>
  <c r="K226" i="260"/>
  <c r="K227" i="260"/>
  <c r="K228" i="260"/>
  <c r="K229" i="260"/>
  <c r="K230" i="260"/>
  <c r="K231" i="260"/>
  <c r="K232" i="260"/>
  <c r="K233" i="260"/>
  <c r="K234" i="260"/>
  <c r="K235" i="260"/>
  <c r="K236" i="260"/>
  <c r="K237" i="260"/>
  <c r="K238" i="260"/>
  <c r="K239" i="260"/>
  <c r="K240" i="260"/>
  <c r="K241" i="260"/>
  <c r="K242" i="260"/>
  <c r="K243" i="260"/>
  <c r="K244" i="260"/>
  <c r="K245" i="260"/>
  <c r="K246" i="260"/>
  <c r="K247" i="260"/>
  <c r="K248" i="260"/>
  <c r="K249" i="260"/>
  <c r="K250" i="260"/>
  <c r="K251" i="260"/>
  <c r="K252" i="260"/>
  <c r="K253" i="260"/>
  <c r="K254" i="260"/>
  <c r="K255" i="260"/>
  <c r="K256" i="260"/>
  <c r="K257" i="260"/>
  <c r="K258" i="260"/>
  <c r="K259" i="260"/>
  <c r="K260" i="260"/>
  <c r="K261" i="260"/>
  <c r="K262" i="260"/>
  <c r="K263" i="260"/>
  <c r="K264" i="260"/>
  <c r="K265" i="260"/>
  <c r="K266" i="260"/>
  <c r="K267" i="260"/>
  <c r="K268" i="260"/>
  <c r="K269" i="260"/>
  <c r="K270" i="260"/>
  <c r="K271" i="260"/>
  <c r="K272" i="260"/>
  <c r="K273" i="260"/>
  <c r="K274" i="260"/>
  <c r="K275" i="260"/>
  <c r="K276" i="260"/>
  <c r="K277" i="260"/>
  <c r="K278" i="260"/>
  <c r="K279" i="260"/>
  <c r="K280" i="260"/>
  <c r="K281" i="260"/>
  <c r="K282" i="260"/>
  <c r="K283" i="260"/>
  <c r="K284" i="260"/>
  <c r="K285" i="260"/>
  <c r="K286" i="260"/>
  <c r="K287" i="260"/>
  <c r="K288" i="260"/>
  <c r="K289" i="260"/>
  <c r="K290" i="260"/>
  <c r="K291" i="260"/>
  <c r="K292" i="260"/>
  <c r="K293" i="260"/>
  <c r="K294" i="260"/>
  <c r="K295" i="260"/>
  <c r="K296" i="260"/>
  <c r="K297" i="260"/>
  <c r="K298" i="260"/>
  <c r="K299" i="260"/>
  <c r="K300" i="260"/>
  <c r="K301" i="260"/>
  <c r="K302" i="260"/>
  <c r="K303" i="260"/>
  <c r="K304" i="260"/>
  <c r="K305" i="260"/>
  <c r="K306" i="260"/>
  <c r="K307" i="260"/>
  <c r="K308" i="260"/>
  <c r="K309" i="260"/>
  <c r="K310" i="260"/>
  <c r="K311" i="260"/>
  <c r="K312" i="260"/>
  <c r="K313" i="260"/>
  <c r="K314" i="260"/>
  <c r="K315" i="260"/>
  <c r="K316" i="260"/>
  <c r="K317" i="260"/>
  <c r="K318" i="260"/>
  <c r="K319" i="260"/>
  <c r="K320" i="260"/>
  <c r="K321" i="260"/>
  <c r="K322" i="260"/>
  <c r="K323" i="260"/>
  <c r="K324" i="260"/>
  <c r="K325" i="260"/>
  <c r="K326" i="260"/>
  <c r="K327" i="260"/>
  <c r="K328" i="260"/>
  <c r="K329" i="260"/>
  <c r="K330" i="260"/>
  <c r="K331" i="260"/>
  <c r="K332" i="260"/>
  <c r="K333" i="260"/>
  <c r="K334" i="260"/>
  <c r="K335" i="260"/>
  <c r="K336" i="260"/>
  <c r="K337" i="260"/>
  <c r="K338" i="260"/>
  <c r="K339" i="260"/>
  <c r="K340" i="260"/>
  <c r="K341" i="260"/>
  <c r="K342" i="260"/>
  <c r="K343" i="260"/>
  <c r="K344" i="260"/>
  <c r="K345" i="260"/>
  <c r="K346" i="260"/>
  <c r="K347" i="260"/>
  <c r="K348" i="260"/>
  <c r="K349" i="260"/>
  <c r="K350" i="260"/>
  <c r="K351" i="260"/>
  <c r="K352" i="260"/>
  <c r="K353" i="260"/>
  <c r="K354" i="260"/>
  <c r="K355" i="260"/>
  <c r="K356" i="260"/>
  <c r="K357" i="260"/>
  <c r="K358" i="260"/>
  <c r="K359" i="260"/>
  <c r="K360" i="260"/>
  <c r="K361" i="260"/>
  <c r="K362" i="260"/>
  <c r="K363" i="260"/>
  <c r="K364" i="260"/>
  <c r="K365" i="260"/>
  <c r="K366" i="260"/>
  <c r="K367" i="260"/>
  <c r="K368" i="260"/>
  <c r="K369" i="260"/>
  <c r="K370" i="260"/>
  <c r="K371" i="260"/>
  <c r="K372" i="260"/>
  <c r="K373" i="260"/>
  <c r="K374" i="260"/>
  <c r="K375" i="260"/>
  <c r="K376" i="260"/>
  <c r="K377" i="260"/>
  <c r="K378" i="260"/>
  <c r="K379" i="260"/>
  <c r="K380" i="260"/>
  <c r="K381" i="260"/>
  <c r="K382" i="260"/>
  <c r="K383" i="260"/>
  <c r="K384" i="260"/>
  <c r="K385" i="260"/>
  <c r="K386" i="260"/>
  <c r="K387" i="260"/>
  <c r="K388" i="260"/>
  <c r="K389" i="260"/>
  <c r="K390" i="260"/>
  <c r="K391" i="260"/>
  <c r="K392" i="260"/>
  <c r="K393" i="260"/>
  <c r="K394" i="260"/>
  <c r="K395" i="260"/>
  <c r="K396" i="260"/>
  <c r="K397" i="260"/>
  <c r="K398" i="260"/>
  <c r="K399" i="260"/>
  <c r="K400" i="260"/>
  <c r="K401" i="260"/>
  <c r="K402" i="260"/>
  <c r="K403" i="260"/>
  <c r="K404" i="260"/>
  <c r="K405" i="260"/>
  <c r="K406" i="260"/>
  <c r="K407" i="260"/>
  <c r="K408" i="260"/>
  <c r="K409" i="260"/>
  <c r="K410" i="260"/>
  <c r="K411" i="260"/>
  <c r="K412" i="260"/>
  <c r="K413" i="260"/>
  <c r="K414" i="260"/>
  <c r="K415" i="260"/>
  <c r="K416" i="260"/>
  <c r="K417" i="260"/>
  <c r="K418" i="260"/>
  <c r="K419" i="260"/>
  <c r="K420" i="260"/>
  <c r="K421" i="260"/>
  <c r="K422" i="260"/>
  <c r="K2" i="260"/>
  <c r="M4" i="259"/>
  <c r="M5" i="259"/>
  <c r="M6" i="259"/>
  <c r="M7" i="259"/>
  <c r="M8" i="259"/>
  <c r="M9" i="259"/>
  <c r="M10" i="259"/>
  <c r="M11" i="259"/>
  <c r="M12" i="259"/>
  <c r="M13" i="259"/>
  <c r="M14" i="259"/>
  <c r="M15" i="259"/>
  <c r="M16" i="259"/>
  <c r="M17" i="259"/>
  <c r="M18" i="259"/>
  <c r="M19" i="259"/>
  <c r="M20" i="259"/>
  <c r="M21" i="259"/>
  <c r="M22" i="259"/>
  <c r="M23" i="259"/>
  <c r="M24" i="259"/>
  <c r="M25" i="259"/>
  <c r="M26" i="259"/>
  <c r="M27" i="259"/>
  <c r="M28" i="259"/>
  <c r="M29" i="259"/>
  <c r="M30" i="259"/>
  <c r="M31" i="259"/>
  <c r="M32" i="259"/>
  <c r="M33" i="259"/>
  <c r="M34" i="259"/>
  <c r="M35" i="259"/>
  <c r="M36" i="259"/>
  <c r="M37" i="259"/>
  <c r="M38" i="259"/>
  <c r="M39" i="259"/>
  <c r="M40" i="259"/>
  <c r="M41" i="259"/>
  <c r="M42" i="259"/>
  <c r="M43" i="259"/>
  <c r="M44" i="259"/>
  <c r="M45" i="259"/>
  <c r="M46" i="259"/>
  <c r="M47" i="259"/>
  <c r="M48" i="259"/>
  <c r="M49" i="259"/>
  <c r="M50" i="259"/>
  <c r="M51" i="259"/>
  <c r="M52" i="259"/>
  <c r="M53" i="259"/>
  <c r="M54" i="259"/>
  <c r="M55" i="259"/>
  <c r="M56" i="259"/>
  <c r="M57" i="259"/>
  <c r="M58" i="259"/>
  <c r="M59" i="259"/>
  <c r="M60" i="259"/>
  <c r="M61" i="259"/>
  <c r="M62" i="259"/>
  <c r="M63" i="259"/>
  <c r="M64" i="259"/>
  <c r="M65" i="259"/>
  <c r="M66" i="259"/>
  <c r="M67" i="259"/>
  <c r="M68" i="259"/>
  <c r="M69" i="259"/>
  <c r="M70" i="259"/>
  <c r="M71" i="259"/>
  <c r="M72" i="259"/>
  <c r="M73" i="259"/>
  <c r="M74" i="259"/>
  <c r="M75" i="259"/>
  <c r="M76" i="259"/>
  <c r="M77" i="259"/>
  <c r="M78" i="259"/>
  <c r="M79" i="259"/>
  <c r="M80" i="259"/>
  <c r="M81" i="259"/>
  <c r="M82" i="259"/>
  <c r="M83" i="259"/>
  <c r="M84" i="259"/>
  <c r="M85" i="259"/>
  <c r="M86" i="259"/>
  <c r="M87" i="259"/>
  <c r="M88" i="259"/>
  <c r="M89" i="259"/>
  <c r="M90" i="259"/>
  <c r="M91" i="259"/>
  <c r="M92" i="259"/>
  <c r="M93" i="259"/>
  <c r="M94" i="259"/>
  <c r="M95" i="259"/>
  <c r="M96" i="259"/>
  <c r="M97" i="259"/>
  <c r="M98" i="259"/>
  <c r="M99" i="259"/>
  <c r="M100" i="259"/>
  <c r="M101" i="259"/>
  <c r="M102" i="259"/>
  <c r="M103" i="259"/>
  <c r="M104" i="259"/>
  <c r="M105" i="259"/>
  <c r="M106" i="259"/>
  <c r="M107" i="259"/>
  <c r="M108" i="259"/>
  <c r="M109" i="259"/>
  <c r="M110" i="259"/>
  <c r="M111" i="259"/>
  <c r="M112" i="259"/>
  <c r="M113" i="259"/>
  <c r="M114" i="259"/>
  <c r="M115" i="259"/>
  <c r="M116" i="259"/>
  <c r="M117" i="259"/>
  <c r="M118" i="259"/>
  <c r="M119" i="259"/>
  <c r="M120" i="259"/>
  <c r="M121" i="259"/>
  <c r="M122" i="259"/>
  <c r="M123" i="259"/>
  <c r="M124" i="259"/>
  <c r="M125" i="259"/>
  <c r="M126" i="259"/>
  <c r="M127" i="259"/>
  <c r="M128" i="259"/>
  <c r="M129" i="259"/>
  <c r="M130" i="259"/>
  <c r="M131" i="259"/>
  <c r="M132" i="259"/>
  <c r="M133" i="259"/>
  <c r="M134" i="259"/>
  <c r="M135" i="259"/>
  <c r="M136" i="259"/>
  <c r="M137" i="259"/>
  <c r="M138" i="259"/>
  <c r="M139" i="259"/>
  <c r="M140" i="259"/>
  <c r="M141" i="259"/>
  <c r="M142" i="259"/>
  <c r="M143" i="259"/>
  <c r="M144" i="259"/>
  <c r="M145" i="259"/>
  <c r="M146" i="259"/>
  <c r="M147" i="259"/>
  <c r="M148" i="259"/>
  <c r="M149" i="259"/>
  <c r="M150" i="259"/>
  <c r="M151" i="259"/>
  <c r="M152" i="259"/>
  <c r="M153" i="259"/>
  <c r="M154" i="259"/>
  <c r="M155" i="259"/>
  <c r="M156" i="259"/>
  <c r="M157" i="259"/>
  <c r="M158" i="259"/>
  <c r="M159" i="259"/>
  <c r="M160" i="259"/>
  <c r="M161" i="259"/>
  <c r="M162" i="259"/>
  <c r="M163" i="259"/>
  <c r="M164" i="259"/>
  <c r="M165" i="259"/>
  <c r="M166" i="259"/>
  <c r="M167" i="259"/>
  <c r="M168" i="259"/>
  <c r="M169" i="259"/>
  <c r="M170" i="259"/>
  <c r="M171" i="259"/>
  <c r="M172" i="259"/>
  <c r="M173" i="259"/>
  <c r="M174" i="259"/>
  <c r="M175" i="259"/>
  <c r="M176" i="259"/>
  <c r="M177" i="259"/>
  <c r="M178" i="259"/>
  <c r="M179" i="259"/>
  <c r="M180" i="259"/>
  <c r="M181" i="259"/>
  <c r="M182" i="259"/>
  <c r="M183" i="259"/>
  <c r="M184" i="259"/>
  <c r="M185" i="259"/>
  <c r="M186" i="259"/>
  <c r="M187" i="259"/>
  <c r="M188" i="259"/>
  <c r="M189" i="259"/>
  <c r="M190" i="259"/>
  <c r="M191" i="259"/>
  <c r="M192" i="259"/>
  <c r="M193" i="259"/>
  <c r="M194" i="259"/>
  <c r="M195" i="259"/>
  <c r="M196" i="259"/>
  <c r="M197" i="259"/>
  <c r="M198" i="259"/>
  <c r="M199" i="259"/>
  <c r="M200" i="259"/>
  <c r="M201" i="259"/>
  <c r="M202" i="259"/>
  <c r="M203" i="259"/>
  <c r="M204" i="259"/>
  <c r="M205" i="259"/>
  <c r="M206" i="259"/>
  <c r="M207" i="259"/>
  <c r="M208" i="259"/>
  <c r="M209" i="259"/>
  <c r="M210" i="259"/>
  <c r="M211" i="259"/>
  <c r="M212" i="259"/>
  <c r="M213" i="259"/>
  <c r="M214" i="259"/>
  <c r="M215" i="259"/>
  <c r="M216" i="259"/>
  <c r="M217" i="259"/>
  <c r="M218" i="259"/>
  <c r="M219" i="259"/>
  <c r="M220" i="259"/>
  <c r="M221" i="259"/>
  <c r="M222" i="259"/>
  <c r="M223" i="259"/>
  <c r="M224" i="259"/>
  <c r="M225" i="259"/>
  <c r="M226" i="259"/>
  <c r="M227" i="259"/>
  <c r="M228" i="259"/>
  <c r="M229" i="259"/>
  <c r="M230" i="259"/>
  <c r="M231" i="259"/>
  <c r="M232" i="259"/>
  <c r="M233" i="259"/>
  <c r="M234" i="259"/>
  <c r="M235" i="259"/>
  <c r="M236" i="259"/>
  <c r="M237" i="259"/>
  <c r="M238" i="259"/>
  <c r="M239" i="259"/>
  <c r="M240" i="259"/>
  <c r="M241" i="259"/>
  <c r="M242" i="259"/>
  <c r="M243" i="259"/>
  <c r="M244" i="259"/>
  <c r="M245" i="259"/>
  <c r="M246" i="259"/>
  <c r="M247" i="259"/>
  <c r="M248" i="259"/>
  <c r="M249" i="259"/>
  <c r="M250" i="259"/>
  <c r="M251" i="259"/>
  <c r="M252" i="259"/>
  <c r="M253" i="259"/>
  <c r="M254" i="259"/>
  <c r="M255" i="259"/>
  <c r="M256" i="259"/>
  <c r="M257" i="259"/>
  <c r="M258" i="259"/>
  <c r="M259" i="259"/>
  <c r="M260" i="259"/>
  <c r="M261" i="259"/>
  <c r="M262" i="259"/>
  <c r="M263" i="259"/>
  <c r="M264" i="259"/>
  <c r="M265" i="259"/>
  <c r="M266" i="259"/>
  <c r="M267" i="259"/>
  <c r="M268" i="259"/>
  <c r="M269" i="259"/>
  <c r="M270" i="259"/>
  <c r="M271" i="259"/>
  <c r="M272" i="259"/>
  <c r="M273" i="259"/>
  <c r="M274" i="259"/>
  <c r="M275" i="259"/>
  <c r="M276" i="259"/>
  <c r="M277" i="259"/>
  <c r="M278" i="259"/>
  <c r="M279" i="259"/>
  <c r="M280" i="259"/>
  <c r="M281" i="259"/>
  <c r="M282" i="259"/>
  <c r="M283" i="259"/>
  <c r="M284" i="259"/>
  <c r="M285" i="259"/>
  <c r="M286" i="259"/>
  <c r="M287" i="259"/>
  <c r="M288" i="259"/>
  <c r="M289" i="259"/>
  <c r="M290" i="259"/>
  <c r="M291" i="259"/>
  <c r="M292" i="259"/>
  <c r="M293" i="259"/>
  <c r="M294" i="259"/>
  <c r="M295" i="259"/>
  <c r="M296" i="259"/>
  <c r="M297" i="259"/>
  <c r="M298" i="259"/>
  <c r="M299" i="259"/>
  <c r="M300" i="259"/>
  <c r="M301" i="259"/>
  <c r="M302" i="259"/>
  <c r="M303" i="259"/>
  <c r="M304" i="259"/>
  <c r="M305" i="259"/>
  <c r="M306" i="259"/>
  <c r="M307" i="259"/>
  <c r="M308" i="259"/>
  <c r="M309" i="259"/>
  <c r="M310" i="259"/>
  <c r="M311" i="259"/>
  <c r="M312" i="259"/>
  <c r="M313" i="259"/>
  <c r="M314" i="259"/>
  <c r="M315" i="259"/>
  <c r="M316" i="259"/>
  <c r="M317" i="259"/>
  <c r="M318" i="259"/>
  <c r="M319" i="259"/>
  <c r="M320" i="259"/>
  <c r="M321" i="259"/>
  <c r="M322" i="259"/>
  <c r="M323" i="259"/>
  <c r="M324" i="259"/>
  <c r="M325" i="259"/>
  <c r="M326" i="259"/>
  <c r="M327" i="259"/>
  <c r="M328" i="259"/>
  <c r="M329" i="259"/>
  <c r="M330" i="259"/>
  <c r="M331" i="259"/>
  <c r="M332" i="259"/>
  <c r="M333" i="259"/>
  <c r="M334" i="259"/>
  <c r="M335" i="259"/>
  <c r="M336" i="259"/>
  <c r="M337" i="259"/>
  <c r="M338" i="259"/>
  <c r="M339" i="259"/>
  <c r="M340" i="259"/>
  <c r="M341" i="259"/>
  <c r="M342" i="259"/>
  <c r="M343" i="259"/>
  <c r="M344" i="259"/>
  <c r="M345" i="259"/>
  <c r="M346" i="259"/>
  <c r="M347" i="259"/>
  <c r="M348" i="259"/>
  <c r="M349" i="259"/>
  <c r="M350" i="259"/>
  <c r="M351" i="259"/>
  <c r="M352" i="259"/>
  <c r="M353" i="259"/>
  <c r="M354" i="259"/>
  <c r="M355" i="259"/>
  <c r="M356" i="259"/>
  <c r="M357" i="259"/>
  <c r="M358" i="259"/>
  <c r="M359" i="259"/>
  <c r="M360" i="259"/>
  <c r="M361" i="259"/>
  <c r="M362" i="259"/>
  <c r="M363" i="259"/>
  <c r="M364" i="259"/>
  <c r="M365" i="259"/>
  <c r="M366" i="259"/>
  <c r="M367" i="259"/>
  <c r="M368" i="259"/>
  <c r="M369" i="259"/>
  <c r="M370" i="259"/>
  <c r="M371" i="259"/>
  <c r="M372" i="259"/>
  <c r="M373" i="259"/>
  <c r="M374" i="259"/>
  <c r="M375" i="259"/>
  <c r="M376" i="259"/>
  <c r="M377" i="259"/>
  <c r="M378" i="259"/>
  <c r="M379" i="259"/>
  <c r="M380" i="259"/>
  <c r="M381" i="259"/>
  <c r="M382" i="259"/>
  <c r="M383" i="259"/>
  <c r="M384" i="259"/>
  <c r="M385" i="259"/>
  <c r="M386" i="259"/>
  <c r="M387" i="259"/>
  <c r="M388" i="259"/>
  <c r="M389" i="259"/>
  <c r="M390" i="259"/>
  <c r="M391" i="259"/>
  <c r="M392" i="259"/>
  <c r="M393" i="259"/>
  <c r="M394" i="259"/>
  <c r="M395" i="259"/>
  <c r="M396" i="259"/>
  <c r="M397" i="259"/>
  <c r="M398" i="259"/>
  <c r="M399" i="259"/>
  <c r="M400" i="259"/>
  <c r="M401" i="259"/>
  <c r="M402" i="259"/>
  <c r="M403" i="259"/>
  <c r="M404" i="259"/>
  <c r="M405" i="259"/>
  <c r="M406" i="259"/>
  <c r="M407" i="259"/>
  <c r="M408" i="259"/>
  <c r="M409" i="259"/>
  <c r="M410" i="259"/>
  <c r="M411" i="259"/>
  <c r="M412" i="259"/>
  <c r="M413" i="259"/>
  <c r="M414" i="259"/>
  <c r="M415" i="259"/>
  <c r="M416" i="259"/>
  <c r="M417" i="259"/>
  <c r="M418" i="259"/>
  <c r="M419" i="259"/>
  <c r="M420" i="259"/>
  <c r="M421" i="259"/>
  <c r="M422" i="259"/>
  <c r="M3" i="259"/>
  <c r="K3" i="259"/>
  <c r="K4" i="259"/>
  <c r="K5" i="259"/>
  <c r="K6" i="259"/>
  <c r="K7" i="259"/>
  <c r="K8" i="259"/>
  <c r="K9" i="259"/>
  <c r="K10" i="259"/>
  <c r="K11" i="259"/>
  <c r="K12" i="259"/>
  <c r="K13" i="259"/>
  <c r="K14" i="259"/>
  <c r="K15" i="259"/>
  <c r="K16" i="259"/>
  <c r="K17" i="259"/>
  <c r="K18" i="259"/>
  <c r="K19" i="259"/>
  <c r="K20" i="259"/>
  <c r="K21" i="259"/>
  <c r="K22" i="259"/>
  <c r="K23" i="259"/>
  <c r="K24" i="259"/>
  <c r="K25" i="259"/>
  <c r="K26" i="259"/>
  <c r="K27" i="259"/>
  <c r="K28" i="259"/>
  <c r="K29" i="259"/>
  <c r="K30" i="259"/>
  <c r="K31" i="259"/>
  <c r="K32" i="259"/>
  <c r="K33" i="259"/>
  <c r="K34" i="259"/>
  <c r="K35" i="259"/>
  <c r="K36" i="259"/>
  <c r="K37" i="259"/>
  <c r="K38" i="259"/>
  <c r="K39" i="259"/>
  <c r="K40" i="259"/>
  <c r="K41" i="259"/>
  <c r="K42" i="259"/>
  <c r="K43" i="259"/>
  <c r="K44" i="259"/>
  <c r="K45" i="259"/>
  <c r="K46" i="259"/>
  <c r="K47" i="259"/>
  <c r="K48" i="259"/>
  <c r="K49" i="259"/>
  <c r="K50" i="259"/>
  <c r="K51" i="259"/>
  <c r="K52" i="259"/>
  <c r="K53" i="259"/>
  <c r="K54" i="259"/>
  <c r="K55" i="259"/>
  <c r="K56" i="259"/>
  <c r="K57" i="259"/>
  <c r="K58" i="259"/>
  <c r="K59" i="259"/>
  <c r="K60" i="259"/>
  <c r="K61" i="259"/>
  <c r="K62" i="259"/>
  <c r="K63" i="259"/>
  <c r="K64" i="259"/>
  <c r="K65" i="259"/>
  <c r="K66" i="259"/>
  <c r="K67" i="259"/>
  <c r="K68" i="259"/>
  <c r="K69" i="259"/>
  <c r="K70" i="259"/>
  <c r="K71" i="259"/>
  <c r="K72" i="259"/>
  <c r="K73" i="259"/>
  <c r="K74" i="259"/>
  <c r="K75" i="259"/>
  <c r="K76" i="259"/>
  <c r="K77" i="259"/>
  <c r="K78" i="259"/>
  <c r="K79" i="259"/>
  <c r="K80" i="259"/>
  <c r="K81" i="259"/>
  <c r="K82" i="259"/>
  <c r="K83" i="259"/>
  <c r="K84" i="259"/>
  <c r="K85" i="259"/>
  <c r="K86" i="259"/>
  <c r="K87" i="259"/>
  <c r="K88" i="259"/>
  <c r="K89" i="259"/>
  <c r="K90" i="259"/>
  <c r="K91" i="259"/>
  <c r="K92" i="259"/>
  <c r="K93" i="259"/>
  <c r="K94" i="259"/>
  <c r="K95" i="259"/>
  <c r="K96" i="259"/>
  <c r="K97" i="259"/>
  <c r="K98" i="259"/>
  <c r="K99" i="259"/>
  <c r="K100" i="259"/>
  <c r="K101" i="259"/>
  <c r="K102" i="259"/>
  <c r="K103" i="259"/>
  <c r="K104" i="259"/>
  <c r="K105" i="259"/>
  <c r="K106" i="259"/>
  <c r="K107" i="259"/>
  <c r="K108" i="259"/>
  <c r="K109" i="259"/>
  <c r="K110" i="259"/>
  <c r="K111" i="259"/>
  <c r="K112" i="259"/>
  <c r="K113" i="259"/>
  <c r="K114" i="259"/>
  <c r="K115" i="259"/>
  <c r="K116" i="259"/>
  <c r="K117" i="259"/>
  <c r="K118" i="259"/>
  <c r="K119" i="259"/>
  <c r="K120" i="259"/>
  <c r="K121" i="259"/>
  <c r="K122" i="259"/>
  <c r="K123" i="259"/>
  <c r="K124" i="259"/>
  <c r="K125" i="259"/>
  <c r="K126" i="259"/>
  <c r="K127" i="259"/>
  <c r="K128" i="259"/>
  <c r="K129" i="259"/>
  <c r="K130" i="259"/>
  <c r="K131" i="259"/>
  <c r="K132" i="259"/>
  <c r="K133" i="259"/>
  <c r="K134" i="259"/>
  <c r="K135" i="259"/>
  <c r="K136" i="259"/>
  <c r="K137" i="259"/>
  <c r="K138" i="259"/>
  <c r="K139" i="259"/>
  <c r="K140" i="259"/>
  <c r="K141" i="259"/>
  <c r="K142" i="259"/>
  <c r="K143" i="259"/>
  <c r="K144" i="259"/>
  <c r="K145" i="259"/>
  <c r="K146" i="259"/>
  <c r="K147" i="259"/>
  <c r="K148" i="259"/>
  <c r="K149" i="259"/>
  <c r="K150" i="259"/>
  <c r="K151" i="259"/>
  <c r="K152" i="259"/>
  <c r="K153" i="259"/>
  <c r="K154" i="259"/>
  <c r="K155" i="259"/>
  <c r="K156" i="259"/>
  <c r="K157" i="259"/>
  <c r="K158" i="259"/>
  <c r="K159" i="259"/>
  <c r="K160" i="259"/>
  <c r="K161" i="259"/>
  <c r="K162" i="259"/>
  <c r="K163" i="259"/>
  <c r="K164" i="259"/>
  <c r="K165" i="259"/>
  <c r="K166" i="259"/>
  <c r="K167" i="259"/>
  <c r="K168" i="259"/>
  <c r="K169" i="259"/>
  <c r="K170" i="259"/>
  <c r="K171" i="259"/>
  <c r="K172" i="259"/>
  <c r="K173" i="259"/>
  <c r="K174" i="259"/>
  <c r="K175" i="259"/>
  <c r="K176" i="259"/>
  <c r="K177" i="259"/>
  <c r="K178" i="259"/>
  <c r="K179" i="259"/>
  <c r="K180" i="259"/>
  <c r="K181" i="259"/>
  <c r="K182" i="259"/>
  <c r="K183" i="259"/>
  <c r="K184" i="259"/>
  <c r="K185" i="259"/>
  <c r="K186" i="259"/>
  <c r="K187" i="259"/>
  <c r="K188" i="259"/>
  <c r="K189" i="259"/>
  <c r="K190" i="259"/>
  <c r="K191" i="259"/>
  <c r="K192" i="259"/>
  <c r="K193" i="259"/>
  <c r="K194" i="259"/>
  <c r="K195" i="259"/>
  <c r="K196" i="259"/>
  <c r="K197" i="259"/>
  <c r="K198" i="259"/>
  <c r="K199" i="259"/>
  <c r="K200" i="259"/>
  <c r="K201" i="259"/>
  <c r="K202" i="259"/>
  <c r="K203" i="259"/>
  <c r="K204" i="259"/>
  <c r="K205" i="259"/>
  <c r="K206" i="259"/>
  <c r="K207" i="259"/>
  <c r="K208" i="259"/>
  <c r="K209" i="259"/>
  <c r="K210" i="259"/>
  <c r="K211" i="259"/>
  <c r="K212" i="259"/>
  <c r="K213" i="259"/>
  <c r="K214" i="259"/>
  <c r="K215" i="259"/>
  <c r="K216" i="259"/>
  <c r="K217" i="259"/>
  <c r="K218" i="259"/>
  <c r="K219" i="259"/>
  <c r="K220" i="259"/>
  <c r="K221" i="259"/>
  <c r="K222" i="259"/>
  <c r="K223" i="259"/>
  <c r="K224" i="259"/>
  <c r="K225" i="259"/>
  <c r="K226" i="259"/>
  <c r="K227" i="259"/>
  <c r="K228" i="259"/>
  <c r="K229" i="259"/>
  <c r="K230" i="259"/>
  <c r="K231" i="259"/>
  <c r="K232" i="259"/>
  <c r="K233" i="259"/>
  <c r="K234" i="259"/>
  <c r="K235" i="259"/>
  <c r="K236" i="259"/>
  <c r="K237" i="259"/>
  <c r="K238" i="259"/>
  <c r="K239" i="259"/>
  <c r="K240" i="259"/>
  <c r="K241" i="259"/>
  <c r="K242" i="259"/>
  <c r="K243" i="259"/>
  <c r="K244" i="259"/>
  <c r="K245" i="259"/>
  <c r="K246" i="259"/>
  <c r="K247" i="259"/>
  <c r="K248" i="259"/>
  <c r="K249" i="259"/>
  <c r="K250" i="259"/>
  <c r="K251" i="259"/>
  <c r="K252" i="259"/>
  <c r="K253" i="259"/>
  <c r="K254" i="259"/>
  <c r="K255" i="259"/>
  <c r="K256" i="259"/>
  <c r="K257" i="259"/>
  <c r="K258" i="259"/>
  <c r="K259" i="259"/>
  <c r="K260" i="259"/>
  <c r="K261" i="259"/>
  <c r="K262" i="259"/>
  <c r="K263" i="259"/>
  <c r="K264" i="259"/>
  <c r="K265" i="259"/>
  <c r="K266" i="259"/>
  <c r="K267" i="259"/>
  <c r="K268" i="259"/>
  <c r="K269" i="259"/>
  <c r="K270" i="259"/>
  <c r="K271" i="259"/>
  <c r="K272" i="259"/>
  <c r="K273" i="259"/>
  <c r="K274" i="259"/>
  <c r="K275" i="259"/>
  <c r="K276" i="259"/>
  <c r="K277" i="259"/>
  <c r="K278" i="259"/>
  <c r="K279" i="259"/>
  <c r="K280" i="259"/>
  <c r="K281" i="259"/>
  <c r="K282" i="259"/>
  <c r="K283" i="259"/>
  <c r="K284" i="259"/>
  <c r="K285" i="259"/>
  <c r="K286" i="259"/>
  <c r="K287" i="259"/>
  <c r="K288" i="259"/>
  <c r="K289" i="259"/>
  <c r="K290" i="259"/>
  <c r="K291" i="259"/>
  <c r="K292" i="259"/>
  <c r="K293" i="259"/>
  <c r="K294" i="259"/>
  <c r="K295" i="259"/>
  <c r="K296" i="259"/>
  <c r="K297" i="259"/>
  <c r="K298" i="259"/>
  <c r="K299" i="259"/>
  <c r="K300" i="259"/>
  <c r="K301" i="259"/>
  <c r="K302" i="259"/>
  <c r="K303" i="259"/>
  <c r="K304" i="259"/>
  <c r="K305" i="259"/>
  <c r="K306" i="259"/>
  <c r="K307" i="259"/>
  <c r="K308" i="259"/>
  <c r="K309" i="259"/>
  <c r="K310" i="259"/>
  <c r="K311" i="259"/>
  <c r="K312" i="259"/>
  <c r="K313" i="259"/>
  <c r="K314" i="259"/>
  <c r="K315" i="259"/>
  <c r="K316" i="259"/>
  <c r="K317" i="259"/>
  <c r="K318" i="259"/>
  <c r="K319" i="259"/>
  <c r="K320" i="259"/>
  <c r="K321" i="259"/>
  <c r="K322" i="259"/>
  <c r="K323" i="259"/>
  <c r="K324" i="259"/>
  <c r="K325" i="259"/>
  <c r="K326" i="259"/>
  <c r="K327" i="259"/>
  <c r="K328" i="259"/>
  <c r="K329" i="259"/>
  <c r="K330" i="259"/>
  <c r="K331" i="259"/>
  <c r="K332" i="259"/>
  <c r="K333" i="259"/>
  <c r="K334" i="259"/>
  <c r="K335" i="259"/>
  <c r="K336" i="259"/>
  <c r="K337" i="259"/>
  <c r="K338" i="259"/>
  <c r="K339" i="259"/>
  <c r="K340" i="259"/>
  <c r="K341" i="259"/>
  <c r="K342" i="259"/>
  <c r="K343" i="259"/>
  <c r="K344" i="259"/>
  <c r="K345" i="259"/>
  <c r="K346" i="259"/>
  <c r="K347" i="259"/>
  <c r="K348" i="259"/>
  <c r="K349" i="259"/>
  <c r="K350" i="259"/>
  <c r="K351" i="259"/>
  <c r="K352" i="259"/>
  <c r="K353" i="259"/>
  <c r="K354" i="259"/>
  <c r="K355" i="259"/>
  <c r="K356" i="259"/>
  <c r="K357" i="259"/>
  <c r="K358" i="259"/>
  <c r="K359" i="259"/>
  <c r="K360" i="259"/>
  <c r="K361" i="259"/>
  <c r="K362" i="259"/>
  <c r="K363" i="259"/>
  <c r="K364" i="259"/>
  <c r="K365" i="259"/>
  <c r="K366" i="259"/>
  <c r="K367" i="259"/>
  <c r="K368" i="259"/>
  <c r="K369" i="259"/>
  <c r="K370" i="259"/>
  <c r="K371" i="259"/>
  <c r="K372" i="259"/>
  <c r="K373" i="259"/>
  <c r="K374" i="259"/>
  <c r="K375" i="259"/>
  <c r="K376" i="259"/>
  <c r="K377" i="259"/>
  <c r="K378" i="259"/>
  <c r="K379" i="259"/>
  <c r="K380" i="259"/>
  <c r="K381" i="259"/>
  <c r="K382" i="259"/>
  <c r="K383" i="259"/>
  <c r="K384" i="259"/>
  <c r="K385" i="259"/>
  <c r="K386" i="259"/>
  <c r="K387" i="259"/>
  <c r="K388" i="259"/>
  <c r="K389" i="259"/>
  <c r="K390" i="259"/>
  <c r="K391" i="259"/>
  <c r="K392" i="259"/>
  <c r="K393" i="259"/>
  <c r="K394" i="259"/>
  <c r="K395" i="259"/>
  <c r="K396" i="259"/>
  <c r="K397" i="259"/>
  <c r="K398" i="259"/>
  <c r="K399" i="259"/>
  <c r="K400" i="259"/>
  <c r="K401" i="259"/>
  <c r="K402" i="259"/>
  <c r="K403" i="259"/>
  <c r="K404" i="259"/>
  <c r="K405" i="259"/>
  <c r="K406" i="259"/>
  <c r="K407" i="259"/>
  <c r="K408" i="259"/>
  <c r="K409" i="259"/>
  <c r="K410" i="259"/>
  <c r="K411" i="259"/>
  <c r="K412" i="259"/>
  <c r="K413" i="259"/>
  <c r="K414" i="259"/>
  <c r="K415" i="259"/>
  <c r="K416" i="259"/>
  <c r="K417" i="259"/>
  <c r="K418" i="259"/>
  <c r="K419" i="259"/>
  <c r="K420" i="259"/>
  <c r="K421" i="259"/>
  <c r="K422" i="259"/>
  <c r="K2" i="259"/>
  <c r="D6" i="78"/>
  <c r="AB7" i="2" l="1"/>
  <c r="A1" i="79"/>
  <c r="D6" i="77" l="1"/>
  <c r="D6" i="79"/>
  <c r="D9" i="79" l="1"/>
  <c r="D8" i="77"/>
  <c r="A1" i="77" s="1"/>
  <c r="D4" i="78"/>
  <c r="A1" i="78" s="1"/>
  <c r="D6" i="54" l="1"/>
  <c r="D5" i="54" s="1"/>
  <c r="A1" i="54" s="1"/>
</calcChain>
</file>

<file path=xl/sharedStrings.xml><?xml version="1.0" encoding="utf-8"?>
<sst xmlns="http://schemas.openxmlformats.org/spreadsheetml/2006/main" count="2453" uniqueCount="2395">
  <si>
    <t>Link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</si>
  <si>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</si>
  <si>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</si>
  <si>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</si>
  <si>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</si>
  <si>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</si>
  <si>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</si>
  <si>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</si>
  <si>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</si>
  <si>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</si>
  <si>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</si>
  <si>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</si>
  <si>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</si>
  <si>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</si>
  <si>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</si>
  <si>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</si>
  <si>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</si>
  <si>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</si>
  <si>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</si>
  <si>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</si>
  <si>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</si>
  <si>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</si>
  <si>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</si>
  <si>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</si>
  <si>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</si>
  <si>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</si>
  <si>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</si>
  <si>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</si>
  <si>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</si>
  <si>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</si>
  <si>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</si>
  <si>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</si>
  <si>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</si>
  <si>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</si>
  <si>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</si>
  <si>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</si>
  <si>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</si>
  <si>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</si>
  <si>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</si>
  <si>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</si>
  <si>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</si>
  <si>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</si>
  <si>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</si>
  <si>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</si>
  <si>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</si>
  <si>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</si>
  <si>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</si>
  <si>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</si>
  <si>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</si>
  <si>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</si>
  <si>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</si>
  <si>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</si>
  <si>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</si>
  <si>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</si>
  <si>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</si>
  <si>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</si>
  <si>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</si>
  <si>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</si>
  <si>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</si>
  <si>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</si>
  <si>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</si>
  <si>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</si>
  <si>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</si>
  <si>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</si>
  <si>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</si>
  <si>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</si>
  <si>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</si>
  <si>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</si>
  <si>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</si>
  <si>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</si>
  <si>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</si>
  <si>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</si>
  <si>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</si>
  <si>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</si>
  <si>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</si>
  <si>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</si>
  <si>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</si>
  <si>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</si>
  <si>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</si>
  <si>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</si>
  <si>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</si>
  <si>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</si>
  <si>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</si>
  <si>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</si>
  <si>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</si>
  <si>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</si>
  <si>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</si>
  <si>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</si>
  <si>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</si>
  <si>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</si>
  <si>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</si>
  <si>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</si>
  <si>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</si>
  <si>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</si>
  <si>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</si>
  <si>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</si>
  <si>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</si>
  <si>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</si>
  <si>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</si>
  <si>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</si>
  <si>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</si>
  <si>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</si>
  <si>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</si>
  <si>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</si>
  <si>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</si>
  <si>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</si>
  <si>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</si>
  <si>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</si>
  <si>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</si>
  <si>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</si>
  <si>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</si>
  <si>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</si>
  <si>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</si>
  <si>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</si>
  <si>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</si>
  <si>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</si>
  <si>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</si>
  <si>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</si>
  <si>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</si>
  <si>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</si>
  <si>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</si>
  <si>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</si>
  <si>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</si>
  <si>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</si>
  <si>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</si>
  <si>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</si>
  <si>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</si>
  <si>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</si>
  <si>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</si>
  <si>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</si>
  <si>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</si>
  <si>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</si>
  <si>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</si>
  <si>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</si>
  <si>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</si>
  <si>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</si>
  <si>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</si>
  <si>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</si>
  <si>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</si>
  <si>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</si>
  <si>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</si>
  <si>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</si>
  <si>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</si>
  <si>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</si>
  <si>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</si>
  <si>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</si>
  <si>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</si>
  <si>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</si>
  <si>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</si>
  <si>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</si>
  <si>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</si>
  <si>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</si>
  <si>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</si>
  <si>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</si>
  <si>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</si>
  <si>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</si>
  <si>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</si>
  <si>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</si>
  <si>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</si>
  <si>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</si>
  <si>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</si>
  <si>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</si>
  <si>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</si>
  <si>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</si>
  <si>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</si>
  <si>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</si>
  <si>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</si>
  <si>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</si>
  <si>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</si>
  <si>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</si>
  <si>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</si>
  <si>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</si>
  <si>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</si>
  <si>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</si>
  <si>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</si>
  <si>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</si>
  <si>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</si>
  <si>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</si>
  <si>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</si>
  <si>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</si>
  <si>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</si>
  <si>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</si>
  <si>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</si>
  <si>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</si>
  <si>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</si>
  <si>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</si>
  <si>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</si>
  <si>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</si>
  <si>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</si>
  <si>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</si>
  <si>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</si>
  <si>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</si>
  <si>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</si>
  <si>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</si>
  <si>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</si>
  <si>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</si>
  <si>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</si>
  <si>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</si>
  <si>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</si>
  <si>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</si>
  <si>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</si>
  <si>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</si>
  <si>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</si>
  <si>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</si>
  <si>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</si>
  <si>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</si>
  <si>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</si>
  <si>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</si>
  <si>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</si>
  <si>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</si>
  <si>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</si>
  <si>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</si>
  <si>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</si>
  <si>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</si>
  <si>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</si>
  <si>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</si>
  <si>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</si>
  <si>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</si>
  <si>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</si>
  <si>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</si>
  <si>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</si>
  <si>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</si>
  <si>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</si>
  <si>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</si>
  <si>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</si>
  <si>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</si>
  <si>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</si>
  <si>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</si>
  <si>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</si>
  <si>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</si>
  <si>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</si>
  <si>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</si>
  <si>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</si>
  <si>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</si>
  <si>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</si>
  <si>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</si>
  <si>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</si>
  <si>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</si>
  <si>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</si>
  <si>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</si>
  <si>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</si>
  <si>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</si>
  <si>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</si>
  <si>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</si>
  <si>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</si>
  <si>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</si>
  <si>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</si>
  <si>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</si>
  <si>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</si>
  <si>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</si>
  <si>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</si>
  <si>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</si>
  <si>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</si>
  <si>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</si>
  <si>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</si>
  <si>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</si>
  <si>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</si>
  <si>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</si>
  <si>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</si>
  <si>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</si>
  <si>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</si>
  <si>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</si>
  <si>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</si>
  <si>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</si>
  <si>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</si>
  <si>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</si>
  <si>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</si>
  <si>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</si>
  <si>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</si>
  <si>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</si>
  <si>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</si>
  <si>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</si>
  <si>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</si>
  <si>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</si>
  <si>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</si>
  <si>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</si>
  <si>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</si>
  <si>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</si>
  <si>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</si>
  <si>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</si>
  <si>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</si>
  <si>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</si>
  <si>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</si>
  <si>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</si>
  <si>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</si>
  <si>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</si>
  <si>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</si>
  <si>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</si>
  <si>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</si>
  <si>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</si>
  <si>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</si>
  <si>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</si>
  <si>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</si>
  <si>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</si>
  <si>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</si>
  <si>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</si>
  <si>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</si>
  <si>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</si>
  <si>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</si>
  <si>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</si>
  <si>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</si>
  <si>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</si>
  <si>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</si>
  <si>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</si>
  <si>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</si>
  <si>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</si>
  <si>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</si>
  <si>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</si>
  <si>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</si>
  <si>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</si>
  <si>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</si>
  <si>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</si>
  <si>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</si>
  <si>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</si>
  <si>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</si>
  <si>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</si>
  <si>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</si>
  <si>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</si>
  <si>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</si>
  <si>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</si>
  <si>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</si>
  <si>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</si>
  <si>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</si>
  <si>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</si>
  <si>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</si>
  <si>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</si>
  <si>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</si>
  <si>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</si>
  <si>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</si>
  <si>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</si>
  <si>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</si>
  <si>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</si>
  <si>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</si>
  <si>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</si>
  <si>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</si>
  <si>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</si>
  <si>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</si>
  <si>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</si>
  <si>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</si>
  <si>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</si>
  <si>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</si>
  <si>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</si>
  <si>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</si>
  <si>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</si>
  <si>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</si>
  <si>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</si>
  <si>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</si>
  <si>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</si>
  <si>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</si>
  <si>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</si>
  <si>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</si>
  <si>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</si>
  <si>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</si>
  <si>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</si>
  <si>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</si>
  <si>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</si>
  <si>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</si>
  <si>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</si>
  <si>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</si>
  <si>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</si>
  <si>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</si>
  <si>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</si>
  <si>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</si>
  <si>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</si>
  <si>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</si>
  <si>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</si>
  <si>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</si>
  <si>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</si>
  <si>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</si>
  <si>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</si>
  <si>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</si>
  <si>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</si>
  <si>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</si>
  <si>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</si>
  <si>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</si>
  <si>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</si>
  <si>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</si>
  <si>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</si>
  <si>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</si>
  <si>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</si>
  <si>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</si>
  <si>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</si>
  <si>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</si>
  <si>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</si>
  <si>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</si>
  <si>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</si>
  <si>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</si>
  <si>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</si>
  <si>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</si>
  <si>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</si>
  <si>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</si>
  <si>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</si>
  <si>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</si>
  <si>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</si>
  <si>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</si>
  <si>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</si>
  <si>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</si>
  <si>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</si>
  <si>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</si>
  <si>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</si>
  <si>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</si>
  <si>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</si>
  <si>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</si>
  <si>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</si>
  <si>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</si>
  <si>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</si>
  <si>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</si>
  <si>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</si>
  <si>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</si>
  <si>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</si>
  <si>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</si>
  <si>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</si>
  <si>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</si>
  <si>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</si>
  <si>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</si>
  <si>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</si>
  <si>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</si>
  <si>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</si>
  <si>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</si>
  <si>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</si>
  <si>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</si>
  <si>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</si>
  <si>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</si>
  <si>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</si>
  <si>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</si>
  <si>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</si>
  <si>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</si>
  <si>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</si>
  <si>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</si>
  <si>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</si>
  <si>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</si>
  <si>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</si>
  <si>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</si>
  <si>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</si>
  <si>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</si>
  <si>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</si>
  <si>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</si>
  <si>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</si>
  <si>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</si>
  <si>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</si>
  <si>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</si>
  <si>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</si>
  <si>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</si>
  <si>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</si>
  <si>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</si>
  <si>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</si>
  <si>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</si>
  <si>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</si>
  <si>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</si>
  <si>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</si>
  <si>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</si>
  <si>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</si>
  <si>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</si>
  <si>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</si>
  <si>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</si>
  <si>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</si>
  <si>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</si>
  <si>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</si>
  <si>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</si>
  <si>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</si>
  <si>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</si>
  <si>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</si>
  <si>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</si>
  <si>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</si>
  <si>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</si>
  <si>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</si>
  <si>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</si>
  <si>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</si>
  <si>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</si>
  <si>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</si>
  <si>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</si>
  <si>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</si>
  <si>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</si>
  <si>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</si>
  <si>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</si>
  <si>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</si>
  <si>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</si>
  <si>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</si>
  <si>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</si>
  <si>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</si>
  <si>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</si>
  <si>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</si>
  <si>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</si>
  <si>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</si>
  <si>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</si>
  <si>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</si>
  <si>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</si>
  <si>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</si>
  <si>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</si>
  <si>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</si>
  <si>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</si>
  <si>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</si>
  <si>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</si>
  <si>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</si>
  <si>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</si>
  <si>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</si>
  <si>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</si>
  <si>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</si>
  <si>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</si>
  <si>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</si>
  <si>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</si>
  <si>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</si>
  <si>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</si>
  <si>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</si>
  <si>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</si>
  <si>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</si>
  <si>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</si>
  <si>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</si>
  <si>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</si>
  <si>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</si>
  <si>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</si>
  <si>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</si>
  <si>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</si>
  <si>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</si>
  <si>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</si>
  <si>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</si>
  <si>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</si>
  <si>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</si>
  <si>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</si>
  <si>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</si>
  <si>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</si>
  <si>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</si>
  <si>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</si>
  <si>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</si>
  <si>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</si>
  <si>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</si>
  <si>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</si>
  <si>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</si>
  <si>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</si>
  <si>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</si>
  <si>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</si>
  <si>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</si>
  <si>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</si>
  <si>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</si>
  <si>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</si>
  <si>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</si>
  <si>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</si>
  <si>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</si>
  <si>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</si>
  <si>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</si>
  <si>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</si>
  <si>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</si>
  <si>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</si>
  <si>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</si>
  <si>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</si>
  <si>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</si>
  <si>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</si>
  <si>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</si>
  <si>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</si>
  <si>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</si>
  <si>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</si>
  <si>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</si>
  <si>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</si>
  <si>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</si>
  <si>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</si>
  <si>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</si>
  <si>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</si>
  <si>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</si>
  <si>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</si>
  <si>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</si>
  <si>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</si>
  <si>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</si>
  <si>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</si>
  <si>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</si>
  <si>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</si>
  <si>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</si>
  <si>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</si>
  <si>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</si>
  <si>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</si>
  <si>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</si>
  <si>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</si>
  <si>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</si>
  <si>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</si>
  <si>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</si>
  <si>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</si>
  <si>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</si>
  <si>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</si>
  <si>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</si>
  <si>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</si>
  <si>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</si>
  <si>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</si>
  <si>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</si>
  <si>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</si>
  <si>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</si>
  <si>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</si>
  <si>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</si>
  <si>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</si>
  <si>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</si>
  <si>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</si>
  <si>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</si>
  <si>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</si>
  <si>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</si>
  <si>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</si>
  <si>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</si>
  <si>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</si>
  <si>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</si>
  <si>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</si>
  <si>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</si>
  <si>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</si>
  <si>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</si>
  <si>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</si>
  <si>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</si>
  <si>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</si>
  <si>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</si>
  <si>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</si>
  <si>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</si>
  <si>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</si>
  <si>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</si>
  <si>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</si>
  <si>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</si>
  <si>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</si>
  <si>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</si>
  <si>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</si>
  <si>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</si>
  <si>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</si>
  <si>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</si>
  <si>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</si>
  <si>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</si>
  <si>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</si>
  <si>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</si>
  <si>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</si>
  <si>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</si>
  <si>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</si>
  <si>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</si>
  <si>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</si>
  <si>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</si>
  <si>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</si>
  <si>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</si>
  <si>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</si>
  <si>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</si>
  <si>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</si>
  <si>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</si>
  <si>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</si>
  <si>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</si>
  <si>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</si>
  <si>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</si>
  <si>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</si>
  <si>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</si>
  <si>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</si>
  <si>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</si>
  <si>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</si>
  <si>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</si>
  <si>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</si>
  <si>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</si>
  <si>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</si>
  <si>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</si>
  <si>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</si>
  <si>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</si>
  <si>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</si>
  <si>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</si>
  <si>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</si>
  <si>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</si>
  <si>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</si>
  <si>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</si>
  <si>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</si>
  <si>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</si>
  <si>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</si>
  <si>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</si>
  <si>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</si>
  <si>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</si>
  <si>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</si>
  <si>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</si>
  <si>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</si>
  <si>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</si>
  <si>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</si>
  <si>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</si>
  <si>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</si>
  <si>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</si>
  <si>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</si>
  <si>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</si>
  <si>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</si>
  <si>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</si>
  <si>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</si>
  <si>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</si>
  <si>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</si>
  <si>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</si>
  <si>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</si>
  <si>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</si>
  <si>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</si>
  <si>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</si>
  <si>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</si>
  <si>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</si>
  <si>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</si>
  <si>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</si>
  <si>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</si>
  <si>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</si>
  <si>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</si>
  <si>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</si>
  <si>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</si>
  <si>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</si>
  <si>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</si>
  <si>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</si>
  <si>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</si>
  <si>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</si>
  <si>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</si>
  <si>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</si>
  <si>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</si>
  <si>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</si>
  <si>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</si>
  <si>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</si>
  <si>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</si>
  <si>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</si>
  <si>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</si>
  <si>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</si>
  <si>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</si>
  <si>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</si>
  <si>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</si>
  <si>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</si>
  <si>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</si>
  <si>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</si>
  <si>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</si>
  <si>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</si>
  <si>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</si>
  <si>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</si>
  <si>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</si>
  <si>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</si>
  <si>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</si>
  <si>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</si>
  <si>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</si>
  <si>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</si>
  <si>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</si>
  <si>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</si>
  <si>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</si>
  <si>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</si>
  <si>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</si>
  <si>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</si>
  <si>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</si>
  <si>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</si>
  <si>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</si>
  <si>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</si>
  <si>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</si>
  <si>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</si>
  <si>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</si>
  <si>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</si>
  <si>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</si>
  <si>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</si>
  <si>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</si>
  <si>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</si>
  <si>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</si>
  <si>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</si>
  <si>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</si>
  <si>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</si>
  <si>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</si>
  <si>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</si>
  <si>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</si>
  <si>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</si>
  <si>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</si>
  <si>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</si>
  <si>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</si>
  <si>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</si>
  <si>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</si>
  <si>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</si>
  <si>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</si>
  <si>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</si>
  <si>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</si>
  <si>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</si>
  <si>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</si>
  <si>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</si>
  <si>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</si>
  <si>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</si>
  <si>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</si>
  <si>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</si>
  <si>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</si>
  <si>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</si>
  <si>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</si>
  <si>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</si>
  <si>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</si>
  <si>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</si>
  <si>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</si>
  <si>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</si>
  <si>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</si>
  <si>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</si>
  <si>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</si>
  <si>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</si>
  <si>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</si>
  <si>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</si>
  <si>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</si>
  <si>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</si>
  <si>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</si>
  <si>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</si>
  <si>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</si>
  <si>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</si>
  <si>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</si>
  <si>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</si>
  <si>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</si>
  <si>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</si>
  <si>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</si>
  <si>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</si>
  <si>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</si>
  <si>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</si>
  <si>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</si>
  <si>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</si>
  <si>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</si>
  <si>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</si>
  <si>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</si>
  <si>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</si>
  <si>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</si>
  <si>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</si>
  <si>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</si>
  <si>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</si>
  <si>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</si>
  <si>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</si>
  <si>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</si>
  <si>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</si>
  <si>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</si>
  <si>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</si>
  <si>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</si>
  <si>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</si>
  <si>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</si>
  <si>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</si>
  <si>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</si>
  <si>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</si>
  <si>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</si>
  <si>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</si>
  <si>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</si>
  <si>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</si>
  <si>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</si>
  <si>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</si>
  <si>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</si>
  <si>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</si>
  <si>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</si>
  <si>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</si>
  <si>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</si>
  <si>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</si>
  <si>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</si>
  <si>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</si>
  <si>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</si>
  <si>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</si>
  <si>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</si>
  <si>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</si>
  <si>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</si>
  <si>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</si>
  <si>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</si>
  <si>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</si>
  <si>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</si>
  <si>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</si>
  <si>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</si>
  <si>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</si>
  <si>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</si>
  <si>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</si>
  <si>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</si>
  <si>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</si>
  <si>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</si>
  <si>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</si>
  <si>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</si>
  <si>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</si>
  <si>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</si>
  <si>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</si>
  <si>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</si>
  <si>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</si>
  <si>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</si>
  <si>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</si>
  <si>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</si>
  <si>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</si>
  <si>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</si>
  <si>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</si>
  <si>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</si>
  <si>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</si>
  <si>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</si>
  <si>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Case 1 - monthly investment missing</t>
  </si>
  <si>
    <t>Case 2 - lenght of retirement missing</t>
  </si>
  <si>
    <t>Case 3 - retirement age missing</t>
  </si>
  <si>
    <t>Monthly interest</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</si>
  <si>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</si>
  <si>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</si>
  <si>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</si>
  <si>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</si>
  <si>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</si>
  <si>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</si>
  <si>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</si>
  <si>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</si>
  <si>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</si>
  <si>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</si>
  <si>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</si>
  <si>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</si>
  <si>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</si>
  <si>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</si>
  <si>
    <t>Average</t>
  </si>
  <si>
    <t>Jakub Černý, Jan Malecha and Tiep Luu Danh</t>
  </si>
  <si>
    <t xml:space="preserve">Whether the goal is to achieve early financial independence or to not entirely be dependent on the state retirement system, the FIRE movement have made a huge uproar among the so-called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</si>
  <si>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Case 4 - expected monthly pension missing</t>
  </si>
  <si>
    <t>Nasdaq</t>
  </si>
  <si>
    <t>https://query1.finance.yahoo.com/v7/finance/download/%5EIXIC?period1=489024000&amp;period2=1596153600&amp;interval=1mo&amp;events=history</t>
  </si>
  <si>
    <t>1985-07-01,295.899994,307.899994,295.500000,301.299988,301.299988,1769440000</t>
  </si>
  <si>
    <t>1985-08-01,302.600006,304.600006,295.100006,297.700012,297.700012,1636000000</t>
  </si>
  <si>
    <t>1985-09-01,297.299988,297.700012,279.500000,280.299988,280.299988,1334990000</t>
  </si>
  <si>
    <t>1985-10-01,280.600006,292.799988,276.600006,292.500000,292.500000,1858340000</t>
  </si>
  <si>
    <t>1985-11-01,293.000000,314.000000,292.500000,314.000000,314.000000,1840880000</t>
  </si>
  <si>
    <t>1985-12-01,313.899994,325.600006,312.299988,324.899994,324.899994,2212020000</t>
  </si>
  <si>
    <t>1986-01-01,325.000000,335.799988,322.100006,335.799988,335.799988,2410850000</t>
  </si>
  <si>
    <t>1986-02-01,336.100006,359.799988,335.799988,359.500000,359.500000,2345500000</t>
  </si>
  <si>
    <t>1986-03-01,360.000000,374.700012,359.100006,374.700012,374.700012,2595900000</t>
  </si>
  <si>
    <t>1986-04-01,375.799988,393.000000,368.000000,383.200012,383.200012,2814600000</t>
  </si>
  <si>
    <t>1986-05-01,383.200012,400.399994,381.500000,400.200012,400.200012,2412320000</t>
  </si>
  <si>
    <t>1986-06-01,400.700012,405.500000,391.799988,405.500000,405.500000,2569400000</t>
  </si>
  <si>
    <t>1986-07-01,407.000000,411.299988,369.100006,371.399994,371.399994,2411040000</t>
  </si>
  <si>
    <t>1986-08-01,372.500000,383.200012,364.399994,382.899994,382.899994,2101540000</t>
  </si>
  <si>
    <t>1986-09-01,382.799988,384.000000,342.299988,350.700012,350.700012,2203180000</t>
  </si>
  <si>
    <t>1986-10-01,352.500000,361.600006,351.200012,360.799988,360.799988,2152890000</t>
  </si>
  <si>
    <t>1986-11-01,361.000000,362.500000,349.100006,359.600006,359.600006,2074770000</t>
  </si>
  <si>
    <t>1986-12-01,357.399994,364.700012,347.000000,348.799988,348.799988,2608890000</t>
  </si>
  <si>
    <t>1987-01-01,351.299988,396.200012,348.799988,392.100006,392.100006,3184620000</t>
  </si>
  <si>
    <t>1987-02-01,393.799988,425.000000,392.000000,425.000000,425.000000,3029700000</t>
  </si>
  <si>
    <t>1987-03-01,425.000000,440.000000,422.899994,430.100006,430.100006,3305000000</t>
  </si>
  <si>
    <t>1987-04-01,426.299988,439.200012,407.399994,417.799988,417.799988,3027000000</t>
  </si>
  <si>
    <t>1987-05-01,418.600006,424.799988,404.500000,416.500000,416.500000,2783700000</t>
  </si>
  <si>
    <t>1987-06-01,415.500000,429.899994,413.500000,424.700012,424.700012,3274900000</t>
  </si>
  <si>
    <t>1987-07-01,424.500000,434.899994,423.700012,434.899994,434.899994,3379500000</t>
  </si>
  <si>
    <t>1987-08-01,433.299988,455.799988,431.200012,455.000000,455.000000,3136000000</t>
  </si>
  <si>
    <t>1987-09-01,455.500000,456.299988,434.899994,444.299988,444.299988,3092900000</t>
  </si>
  <si>
    <t>1987-10-01,446.200012,453.700012,288.500000,323.299988,323.299988,4074200000</t>
  </si>
  <si>
    <t>1987-11-01,325.399994,328.799988,301.600006,305.200012,305.200012,2497350000</t>
  </si>
  <si>
    <t>1987-12-01,306.399994,333.200012,291.899994,330.500000,330.500000,2943710000</t>
  </si>
  <si>
    <t>1988-01-01,335.100006,349.700012,329.000000,344.700012,344.700012,2465240000</t>
  </si>
  <si>
    <t>1988-02-01,346.200012,367.000000,343.500000,367.000000,367.000000,2492870000</t>
  </si>
  <si>
    <t>1988-03-01,367.399994,382.600006,366.700012,374.600006,374.600006,3154880000</t>
  </si>
  <si>
    <t>1988-04-01,373.700012,384.299988,369.799988,379.200012,379.200012,2502240000</t>
  </si>
  <si>
    <t>1988-05-01,379.000000,383.100006,362.399994,370.299988,370.299988,2467340000</t>
  </si>
  <si>
    <t>1988-06-01,372.700012,394.799988,372.700012,394.700012,394.700012,3096040000</t>
  </si>
  <si>
    <t>1988-07-01,394.200012,397.500000,382.100006,387.299988,387.299988,2609630000</t>
  </si>
  <si>
    <t>1988-08-01,387.600006,389.500000,372.200012,376.600006,376.600006,2590980000</t>
  </si>
  <si>
    <t>1988-09-01,374.200012,388.399994,372.200012,387.700012,387.700012,2344120000</t>
  </si>
  <si>
    <t>1988-10-01,384.700012,388.899994,380.700012,382.500000,382.500000,2496530000</t>
  </si>
  <si>
    <t>1988-11-01,382.700012,383.100006,364.000000,371.500000,371.500000,2285850000</t>
  </si>
  <si>
    <t>1988-12-01,372.100006,381.399994,371.200012,381.399994,381.399994,2486740000</t>
  </si>
  <si>
    <t>1989-01-01,378.899994,401.399994,376.899994,401.299988,401.299988,2716010000</t>
  </si>
  <si>
    <t>1989-02-01,401.799988,410.100006,398.200012,399.700012,399.700012,2527450000</t>
  </si>
  <si>
    <t>1989-03-01,401.000000,409.799988,397.799988,406.700012,406.700012,2869270000</t>
  </si>
  <si>
    <t>1989-04-01,407.000000,427.600006,406.500000,427.600006,427.600006,2661880000</t>
  </si>
  <si>
    <t>1989-05-01,425.899994,446.200012,425.799988,446.200012,446.200012,3074870000</t>
  </si>
  <si>
    <t>1989-06-01,446.799988,454.600006,431.700012,435.299988,435.299988,3014700000</t>
  </si>
  <si>
    <t>1989-07-01,434.500000,453.799988,434.399994,453.799988,453.799988,2499440000</t>
  </si>
  <si>
    <t>1989-08-01,455.200012,469.399994,452.399994,469.299988,469.299988,3057070000</t>
  </si>
  <si>
    <t>1989-09-01,469.899994,474.600006,464.899994,472.899994,472.899994,2623010000</t>
  </si>
  <si>
    <t>1989-10-01,472.799988,487.500000,447.100006,455.600006,455.600006,3160470000</t>
  </si>
  <si>
    <t>1989-11-01,456.200012,457.799988,446.799988,456.100006,456.100006,2532190000</t>
  </si>
  <si>
    <t>1989-12-01,456.600006,459.399994,431.799988,454.799988,454.799988,2777730000</t>
  </si>
  <si>
    <t>1990-01-01,452.899994,461.600006,410.000000,415.799988,415.799988,3027830000</t>
  </si>
  <si>
    <t>1990-02-01,416.799988,430.899994,416.200012,425.799988,425.799988,2420920000</t>
  </si>
  <si>
    <t>1990-03-01,425.299988,443.299988,424.500000,435.500000,435.500000,2885450000</t>
  </si>
  <si>
    <t>1990-04-01,431.600006,438.500000,417.000000,420.100006,420.100006,2591450000</t>
  </si>
  <si>
    <t>1990-05-01,422.000000,460.000000,420.700012,459.000000,459.000000,3468570000</t>
  </si>
  <si>
    <t>1990-06-01,459.500000,469.399994,453.200012,462.299988,462.299988,3142690000</t>
  </si>
  <si>
    <t>1990-07-01,461.600006,470.299988,436.799988,438.200012,438.200012,2984860000</t>
  </si>
  <si>
    <t>1990-08-01,437.700012,438.600006,359.700012,381.200012,381.200012,3111320000</t>
  </si>
  <si>
    <t>1990-09-01,379.000000,385.200012,334.600006,344.500000,344.500000,2089400000</t>
  </si>
  <si>
    <t>1990-10-01,349.000000,360.899994,323.000000,329.799988,329.799988,2688480000</t>
  </si>
  <si>
    <t>1990-11-01,328.600006,359.100006,327.799988,359.100006,359.100006,2378230000</t>
  </si>
  <si>
    <t>1990-12-01,361.100006,378.000000,359.799988,373.799988,373.799988,2500100000</t>
  </si>
  <si>
    <t>1991-01-01,373.000000,414.200012,353.000000,414.200012,414.200012,2924360000</t>
  </si>
  <si>
    <t>1991-02-01,415.100006,454.200012,413.500000,453.100006,453.100006,3312960000</t>
  </si>
  <si>
    <t>1991-03-01,450.600006,483.320007,450.299988,482.299988,482.299988,3585210000</t>
  </si>
  <si>
    <t>1991-04-01,480.179993,512.679993,479.119995,484.720001,484.720001,4113980000</t>
  </si>
  <si>
    <t>1991-05-01,481.940002,506.119995,476.579987,506.109985,506.109985,3377720000</t>
  </si>
  <si>
    <t>1991-06-01,505.839996,508.040009,470.920013,475.920013,475.920013,2835480000</t>
  </si>
  <si>
    <t>1991-07-01,478.059998,502.130005,471.239990,502.040009,502.040009,3098110000</t>
  </si>
  <si>
    <t>1991-08-01,502.269989,527.710022,487.079987,525.679993,525.679993,3274400000</t>
  </si>
  <si>
    <t>1991-09-01,526.299988,529.210022,511.049988,526.880005,526.880005,3215650000</t>
  </si>
  <si>
    <t>1991-10-01,527.140015,543.010010,513.210022,542.979980,542.979980,4070930000</t>
  </si>
  <si>
    <t>1991-11-01,542.169983,558.159973,516.390015,523.900024,523.900024,3700150000</t>
  </si>
  <si>
    <t>1991-12-01,519.479980,586.349976,518.630005,586.340027,586.340027,3632360000</t>
  </si>
  <si>
    <t>1992-01-01,580.039978,632.989990,576.130005,620.210022,620.210022,5605540000</t>
  </si>
  <si>
    <t>1992-02-01,620.570007,646.090027,617.080017,633.469971,633.469971,4219570000</t>
  </si>
  <si>
    <t>1992-03-01,634.039978,637.210022,599.599976,603.770020,603.770020,4048220000</t>
  </si>
  <si>
    <t>1992-04-01,598.619995,603.169983,557.059998,578.679993,578.679993,3946710000</t>
  </si>
  <si>
    <t>1992-05-01,579.729980,591.210022,571.010010,585.309998,585.309998,3114980000</t>
  </si>
  <si>
    <t>1992-06-01,583.669983,591.070007,545.950012,563.599976,563.599976,3589630000</t>
  </si>
  <si>
    <t>1992-07-01,563.729980,581.010010,553.760010,580.830017,580.830017,3591650000</t>
  </si>
  <si>
    <t>1992-08-01,579.619995,583.840027,550.359985,563.119995,563.119995,3083350000</t>
  </si>
  <si>
    <t>1992-09-01,562.510010,594.210022,562.359985,583.270020,583.270020,3700770000</t>
  </si>
  <si>
    <t>1992-10-01,581.080017,606.580017,551.719971,605.169983,605.169983,4223690000</t>
  </si>
  <si>
    <t>1992-11-01,603.760010,652.750000,603.309998,652.729980,652.729980,4404630000</t>
  </si>
  <si>
    <t>1992-12-01,650.580017,676.950012,648.750000,676.950012,676.950012,4949710000</t>
  </si>
  <si>
    <t>1993-01-01,675.309998,711.030029,670.510010,696.340027,696.340027,5187460000</t>
  </si>
  <si>
    <t>1993-02-01,697.979980,711.280029,647.789978,670.770020,670.770020,4973610000</t>
  </si>
  <si>
    <t>1993-03-01,670.880005,697.409973,668.739990,690.130005,690.130005,5119150000</t>
  </si>
  <si>
    <t>1993-04-01,690.820007,691.150024,644.710022,661.419983,661.419983,4887000000</t>
  </si>
  <si>
    <t>1993-05-01,662.750000,707.049988,661.429993,700.530029,700.530029,5106460000</t>
  </si>
  <si>
    <t>1993-06-01,700.960022,706.630005,682.890015,703.950012,703.950012,5371310000</t>
  </si>
  <si>
    <t>1993-07-01,702.010010,713.960022,694.530029,704.700012,704.700012,5191300000</t>
  </si>
  <si>
    <t>1993-08-01,706.380005,742.909973,705.059998,742.840027,742.840027,5712060000</t>
  </si>
  <si>
    <t>1993-09-01,743.650024,766.570007,724.479980,762.780029,762.780029,5776680000</t>
  </si>
  <si>
    <t>1993-10-01,761.619995,791.200012,758.900024,779.260010,779.260010,6700790000</t>
  </si>
  <si>
    <t>1993-11-01,780.369995,786.099976,737.669983,754.390015,754.390015,6246880000</t>
  </si>
  <si>
    <t>1993-12-01,759.900024,776.869995,750.299988,776.799988,776.799988,6225130000</t>
  </si>
  <si>
    <t>1994-01-01,774.109985,800.630005,768.409973,800.469971,800.469971,6683340000</t>
  </si>
  <si>
    <t>1994-02-01,798.419983,799.989990,767.299988,792.500000,792.500000,5993960000</t>
  </si>
  <si>
    <t>1994-03-01,792.099976,804.429993,731.849976,743.460022,743.460022,7321980000</t>
  </si>
  <si>
    <t>1994-04-01,723.059998,755.349976,703.400024,733.840027,733.840027,5623380000</t>
  </si>
  <si>
    <t>1994-05-01,733.969971,742.460022,703.840027,735.190002,735.190002,5743170000</t>
  </si>
  <si>
    <t>1994-06-01,733.179993,744.940002,690.950012,705.960022,705.960022,6016150000</t>
  </si>
  <si>
    <t>1994-07-01,706.289978,725.190002,699.409973,722.159973,722.159973,5335860000</t>
  </si>
  <si>
    <t>1994-08-01,722.840027,767.599976,715.909973,765.619995,765.619995,6695930000</t>
  </si>
  <si>
    <t>1994-09-01,763.000000,779.580017,752.489990,764.289978,764.289978,5964610000</t>
  </si>
  <si>
    <t>1994-10-01,764.469971,778.809998,737.619995,777.489990,777.489990,6625590000</t>
  </si>
  <si>
    <t>1994-11-01,776.250000,776.859985,728.780029,750.320007,750.320007,6188120000</t>
  </si>
  <si>
    <t>1994-12-01,748.830017,751.979980,710.940002,751.960022,751.960022,6169730000</t>
  </si>
  <si>
    <t>1995-01-01,751.309998,774.309998,740.469971,755.200012,755.200012,6429730000</t>
  </si>
  <si>
    <t>1995-02-01,756.679993,796.020020,756.679993,793.729980,793.729980,6206060000</t>
  </si>
  <si>
    <t>1995-03-01,794.330017,829.919983,790.349976,817.210022,817.210022,7600900000</t>
  </si>
  <si>
    <t>1995-04-01,816.059998,844.419983,810.890015,843.979980,843.979980,6910700000</t>
  </si>
  <si>
    <t>1995-05-01,844.719971,885.919983,839.429993,864.580017,864.580017,8133750000</t>
  </si>
  <si>
    <t>1995-06-01,865.669983,941.169983,863.840027,933.450012,933.450012,8795140000</t>
  </si>
  <si>
    <t>1995-07-01,933.989990,1023.030029,931.989990,1001.210022,1001.210022,9056140000</t>
  </si>
  <si>
    <t>1995-08-01,1001.570007,1035.189941,970.809998,1020.109985,1020.109985,9872930000</t>
  </si>
  <si>
    <t>1995-09-01,1019.419983,1070.229980,1008.440002,1043.540039,1043.540039,8983540000</t>
  </si>
  <si>
    <t>1995-10-01,1041.390015,1050.650024,959.359985,1036.060059,1036.060059,9660490000</t>
  </si>
  <si>
    <t>1995-11-01,1037.300049,1068.810059,1016.580017,1059.199951,1059.199951,9544310000</t>
  </si>
  <si>
    <t>1995-12-01,1060.660034,1074.849976,1001.530029,1052.130005,1052.130005,9972500000</t>
  </si>
  <si>
    <t>1996-01-01,1052.829956,1059.810059,977.789978,1059.790039,1059.790039,11326210000</t>
  </si>
  <si>
    <t>1996-02-01,1058.260010,1121.890015,1057.819946,1100.050049,1100.050049,10690430000</t>
  </si>
  <si>
    <t>1996-03-01,1098.939941,1119.839966,1057.869995,1101.400024,1101.400024,10648850000</t>
  </si>
  <si>
    <t>1996-04-01,1105.770020,1190.869995,1092.439941,1190.520020,1190.520020,11951730000</t>
  </si>
  <si>
    <t>1996-05-01,1190.479980,1252.810059,1163.209961,1243.430054,1243.430054,14550600000</t>
  </si>
  <si>
    <t>1996-06-01,1242.540039,1254.119995,1147.750000,1185.020020,1185.020020,11479100000</t>
  </si>
  <si>
    <t>1996-07-01,1185.640015,1198.040039,1008.440002,1080.589966,1080.589966,11807920000</t>
  </si>
  <si>
    <t>1996-08-01,1081.339966,1153.900024,1080.410034,1141.500000,1141.500000,9696450000</t>
  </si>
  <si>
    <t>1996-09-01,1133.300049,1237.260010,1123.140015,1226.920044,1226.920044,10646990000</t>
  </si>
  <si>
    <t>1996-10-01,1223.729980,1269.619995,1202.359985,1221.510010,1221.510010,12543840000</t>
  </si>
  <si>
    <t>1996-11-01,1223.719971,1293.750000,1218.229980,1292.609985,1292.609985,10973580000</t>
  </si>
  <si>
    <t>1996-12-01,1294.780029,1328.949951,1251.030029,1291.030029,1291.030029,11852910000</t>
  </si>
  <si>
    <t>1997-01-01,1292.650024,1400.530029,1272.339966,1379.849976,1379.849976,14074400000</t>
  </si>
  <si>
    <t>1997-02-01,1383.969971,1384.510010,1296.880005,1309.000000,1309.000000,12037800000</t>
  </si>
  <si>
    <t>1997-03-01,1306.209961,1332.339966,1220.400024,1221.699951,1221.699951,11834210000</t>
  </si>
  <si>
    <t>1997-04-01,1211.280029,1267.410034,1194.160034,1260.760010,1260.760010,12452400000</t>
  </si>
  <si>
    <t>1997-05-01,1263.930054,1414.260010,1260.939941,1400.319946,1400.319946,12905590000</t>
  </si>
  <si>
    <t>1997-06-01,1407.069946,1467.290039,1375.449951,1442.069946,1442.069946,12580930000</t>
  </si>
  <si>
    <t>1997-07-01,1442.650024,1595.760010,1432.420044,1593.810059,1593.810059,14331570000</t>
  </si>
  <si>
    <t>1997-08-01,1594.670044,1638.260010,1545.130005,1587.319946,1587.319946,13420440000</t>
  </si>
  <si>
    <t>1997-09-01,1595.069946,1702.489990,1595.069946,1685.689941,1685.689941,14680150000</t>
  </si>
  <si>
    <t>1997-10-01,1690.790039,1748.780029,1465.839966,1593.609985,1593.609985,18850990000</t>
  </si>
  <si>
    <t>1997-11-01,1609.619995,1654.430054,1508.410034,1600.550049,1600.550049,11687640000</t>
  </si>
  <si>
    <t>1997-12-01,1608.560059,1652.839966,1486.510010,1570.349976,1570.349976,14926610000</t>
  </si>
  <si>
    <t>1998-01-01,1574.099976,1629.540039,1465.609985,1619.359985,1619.359985,13738080000</t>
  </si>
  <si>
    <t>1998-02-01,1640.060059,1783.739990,1640.060059,1770.510010,1770.510010,14564140000</t>
  </si>
  <si>
    <t>1998-03-01,1778.719971,1840.829956,1708.479980,1835.680054,1835.680054,16973400000</t>
  </si>
  <si>
    <t>1998-04-01,1838.150024,1931.829956,1788.739990,1868.410034,1868.410034,17292480000</t>
  </si>
  <si>
    <t>1998-05-01,1871.810059,1890.800049,1742.050049,1778.869995,1778.869995,14377770000</t>
  </si>
  <si>
    <t>1998-06-01,1770.369995,1898.619995,1715.040039,1894.739990,1894.739990,15899310000</t>
  </si>
  <si>
    <t>1998-07-01,1904.239990,2028.180054,1871.719971,1872.390015,1872.390015,17597450000</t>
  </si>
  <si>
    <t>1998-08-01,1869.719971,1874.310059,1498.729980,1499.250000,1499.250000,15746140000</t>
  </si>
  <si>
    <t>1998-09-01,1509.010010,1769.709961,1475.489990,1693.839966,1693.839966,15884050000</t>
  </si>
  <si>
    <t>1998-10-01,1663.300049,1781.630005,1343.869995,1771.390015,1771.390015,19397870000</t>
  </si>
  <si>
    <t>1998-11-01,1783.709961,2025.040039,1771.400024,1949.540039,1949.540039,17697660000</t>
  </si>
  <si>
    <t>1998-12-01,1928.510010,2200.629883,1924.150024,2192.689941,2192.689941,19075670000</t>
  </si>
  <si>
    <t>1999-01-01,2207.540039,2506.679932,2192.679932,2505.889893,2505.889893,20526060000</t>
  </si>
  <si>
    <t>1999-02-01,2522.379883,2533.439941,2224.209961,2288.030029,2288.030029,17439250000</t>
  </si>
  <si>
    <t>1999-03-01,2286.830078,2520.629883,2235.189941,2461.399902,2461.399902,21196320000</t>
  </si>
  <si>
    <t>1999-04-01,2493.070068,2677.760010,2329.870117,2542.860107,2542.860107,23426400000</t>
  </si>
  <si>
    <t>1999-05-01,2546.330078,2632.739990,2339.120117,2470.520020,2470.520020,18519390000</t>
  </si>
  <si>
    <t>1999-06-01,2467.510010,2696.870117,2364.590088,2686.120117,2686.120117,19607990000</t>
  </si>
  <si>
    <t>1999-07-01,2692.959961,2874.919922,2619.080078,2638.489990,2638.489990,20915660000</t>
  </si>
  <si>
    <t>1999-08-01,2638.310059,2819.899902,2442.219971,2739.350098,2739.350098,20246710000</t>
  </si>
  <si>
    <t>1999-09-01,2752.330078,2897.530029,2684.699951,2746.159912,2746.159912,21333490000</t>
  </si>
  <si>
    <t>1999-10-01,2729.040039,2978.629883,2632.010010,2966.429932,2966.429932,22684970000</t>
  </si>
  <si>
    <t>1999-11-01,2970.929932,3469.350098,2967.629883,3336.159912,3336.159912,28754050000</t>
  </si>
  <si>
    <t>1999-12-01,3341.100098,4090.610107,3321.570068,4069.310059,4069.310059,31236210000</t>
  </si>
  <si>
    <t>2000-01-01,4186.189941,4303.149902,3711.090088,3940.350098,3940.350098,33421060000</t>
  </si>
  <si>
    <t>2000-02-01,3961.070068,4698.459961,3911.840088,4696.689941,4696.689941,35644700000</t>
  </si>
  <si>
    <t>2000-03-01,4732.819824,5132.520020,4355.689941,4572.830078,4572.830078,43200490000</t>
  </si>
  <si>
    <t>2000-04-01,4494.890137,4572.839844,3227.040039,3860.659912,3860.659912,35147970000</t>
  </si>
  <si>
    <t>2000-05-01,3930.179932,3982.379883,3042.659912,3400.909912,3400.909912,30831980000</t>
  </si>
  <si>
    <t>2000-06-01,3471.949951,4073.729980,3459.850098,3966.110107,3966.110107,33352380000</t>
  </si>
  <si>
    <t>2000-07-01,3950.590088,4289.060059,3615.790039,3766.989990,3766.989990,30916110000</t>
  </si>
  <si>
    <t>2000-08-01,3760.949951,4208.729980,3521.139893,4206.350098,4206.350098,33222920000</t>
  </si>
  <si>
    <t>2000-09-01,4252.149902,4259.870117,3614.659912,3672.820068,3672.820068,34727330000</t>
  </si>
  <si>
    <t>2000-10-01,3714.479980,3714.479980,3026.110107,3369.629883,3369.629883,44129010000</t>
  </si>
  <si>
    <t>2000-11-01,3316.510010,3480.010010,2523.040039,2597.929932,2597.929932,38181910000</t>
  </si>
  <si>
    <t>2000-12-01,2644.090088,3028.750000,2288.159912,2470.520020,2470.520020,44347190000</t>
  </si>
  <si>
    <t>2001-01-01,2474.159912,2892.360107,2251.709961,2772.729980,2772.729980,49399780000</t>
  </si>
  <si>
    <t>2001-02-01,2771.570068,2796.889893,2127.500000,2151.830078,2151.830078,36428040000</t>
  </si>
  <si>
    <t>2001-03-01,2126.300049,2243.780029,1794.209961,1840.260010,1840.260010,44719260000</t>
  </si>
  <si>
    <t>2001-04-01,1835.219971,2202.860107,1619.579956,2116.239990,2116.239990,42649960000</t>
  </si>
  <si>
    <t>2001-05-01,2116.239990,2328.050049,2052.409912,2110.489990,2110.489990,41465750000</t>
  </si>
  <si>
    <t>2001-06-01,2131.120117,2264.580078,1973.699951,2160.540039,2160.540039,36577380000</t>
  </si>
  <si>
    <t>2001-07-01,2156.760010,2181.050049,1934.670044,2027.130005,2027.130005,32812530000</t>
  </si>
  <si>
    <t>2001-08-01,2051.560059,2103.159912,1777.109985,1805.430054,1805.430054,32437350000</t>
  </si>
  <si>
    <t>2001-09-01,1802.290039,1836.189941,1387.060059,1498.800049,1498.800049,30829450000</t>
  </si>
  <si>
    <t>2001-10-01,1491.449951,1792.869995,1458.410034,1690.199951,1690.199951,43885890000</t>
  </si>
  <si>
    <t>2001-11-01,1705.520020,1965.089966,1683.989990,1930.579956,1930.579956,38324730000</t>
  </si>
  <si>
    <t>2001-12-01,1915.130005,2065.689941,1898.979980,1950.400024,1950.400024,35539380000</t>
  </si>
  <si>
    <t>2002-01-01,1965.180054,2098.879883,1851.489990,1934.030029,1934.030029,39095980000</t>
  </si>
  <si>
    <t>2002-02-01,1928.829956,1942.150024,1696.550049,1731.489990,1731.489990,34022690000</t>
  </si>
  <si>
    <t>2002-03-01,1745.489990,1946.229980,1742.079956,1845.349976,1845.349976,34619370000</t>
  </si>
  <si>
    <t>2002-04-01,1834.589966,1865.369995,1640.969971,1688.229980,1688.229980,38648510000</t>
  </si>
  <si>
    <t>2002-05-01,1683.760010,1759.329956,1560.290039,1615.729980,1615.729980,39802810000</t>
  </si>
  <si>
    <t>2002-06-01,1613.500000,1621.500000,1375.530029,1463.209961,1463.209961,36638230000</t>
  </si>
  <si>
    <t>2002-07-01,1457.040039,1459.839966,1192.420044,1328.260010,1328.260010,45237670000</t>
  </si>
  <si>
    <t>2002-08-01,1322.469971,1426.760010,1205.680054,1314.849976,1314.849976,31490760000</t>
  </si>
  <si>
    <t>2002-09-01,1302.670044,1347.270020,1160.069946,1172.060059,1172.060059,29029680000</t>
  </si>
  <si>
    <t>2002-10-01,1180.260010,1347.579956,1108.489990,1329.750000,1329.750000,38730160000</t>
  </si>
  <si>
    <t>2002-11-01,1320.949951,1497.439941,1313.719971,1478.780029,1478.780029,35673650000</t>
  </si>
  <si>
    <t>2002-12-01,1507.939941,1521.439941,1327.189941,1335.510010,1335.510010,29122630000</t>
  </si>
  <si>
    <t>2003-01-01,1346.930054,1467.349976,1303.640015,1320.910034,1320.910034,30898030000</t>
  </si>
  <si>
    <t>2003-02-01,1324.739990,1352.069946,1261.790039,1337.520020,1337.520020,24374040000</t>
  </si>
  <si>
    <t>2003-03-01,1344.209961,1425.729980,1253.219971,1341.170044,1341.170044,31136990000</t>
  </si>
  <si>
    <t>2003-04-01,1347.540039,1482.489990,1338.229980,1464.310059,1464.310059,30761430000</t>
  </si>
  <si>
    <t>2003-05-01,1463.000000,1599.920044,1451.319946,1595.910034,1595.910034,38423310000</t>
  </si>
  <si>
    <t>2003-06-01,1612.099976,1686.099976,1584.699951,1622.800049,1622.800049,41170990000</t>
  </si>
  <si>
    <t>2003-07-01,1617.300049,1776.099976,1598.920044,1735.020020,1735.020020,38212570000</t>
  </si>
  <si>
    <t>2003-08-01,1731.630005,1813.819946,1640.880005,1810.449951,1810.449951,30294060000</t>
  </si>
  <si>
    <t>2003-09-01,1817.920044,1913.739990,1783.459961,1786.939941,1786.939941,39917180000</t>
  </si>
  <si>
    <t>2003-10-01,1797.069946,1966.869995,1796.089966,1932.209961,1932.209961,41226870000</t>
  </si>
  <si>
    <t>2003-11-01,1941.310059,1992.270020,1878.069946,1960.260010,1960.260010,34049930000</t>
  </si>
  <si>
    <t>2003-12-01,1972.969971,2015.229980,1887.459961,2003.369995,2003.369995,35470880000</t>
  </si>
  <si>
    <t>2004-01-01,2011.079956,2153.830078,1999.770020,2066.149902,2066.149902,45972690000</t>
  </si>
  <si>
    <t>2004-02-01,2072.129883,2094.919922,1991.050049,2029.819946,2029.819946,35916840000</t>
  </si>
  <si>
    <t>2004-03-01,2036.920044,2069.020020,1896.910034,1994.219971,1994.219971,42497500000</t>
  </si>
  <si>
    <t>2004-04-01,1996.449951,2079.120117,1919.390015,1920.150024,1920.150024,40153120000</t>
  </si>
  <si>
    <t>2004-05-01,1928.719971,1991.869995,1865.400024,1986.739990,1986.739990,32652780000</t>
  </si>
  <si>
    <t>2004-06-01,1978.520020,2055.649902,1960.260010,2047.790039,2047.790039,32602090000</t>
  </si>
  <si>
    <t>2004-07-01,2045.530029,2045.530029,1829.060059,1887.359985,1887.359985,35711700000</t>
  </si>
  <si>
    <t>2004-08-01,1874.930054,1893.130005,1750.819946,1838.099976,1838.099976,30823660000</t>
  </si>
  <si>
    <t>2004-09-01,1833.369995,1925.849976,1833.329956,1896.839966,1896.839966,31295080000</t>
  </si>
  <si>
    <t>2004-10-01,1909.589966,1984.180054,1899.329956,1974.989990,1974.989990,35975380000</t>
  </si>
  <si>
    <t>2004-11-01,1975.479980,2117.889893,1969.319946,2096.810059,2096.810059,37928210000</t>
  </si>
  <si>
    <t>2004-12-01,2104.580078,2185.560059,2097.860107,2175.439941,2175.439941,44379920000</t>
  </si>
  <si>
    <t>2005-01-01,2184.750000,2191.600098,2008.680054,2062.409912,2062.409912,43135970000</t>
  </si>
  <si>
    <t>2005-02-01,2063.270020,2103.449951,2023.000000,2051.719971,2051.719971,36633150000</t>
  </si>
  <si>
    <t>2005-03-01,2057.469971,2100.570068,1968.579956,1999.229980,1999.229980,39780380000</t>
  </si>
  <si>
    <t>2005-04-01,2009.089966,2021.819946,1889.829956,1921.650024,1921.650024,37517930000</t>
  </si>
  <si>
    <t>2005-05-01,1923.229980,2076.800049,1916.030029,2068.219971,2068.219971,34223410000</t>
  </si>
  <si>
    <t>2005-06-01,2067.229980,2106.570068,2039.689941,2056.959961,2056.959961,36702320000</t>
  </si>
  <si>
    <t>2005-07-01,2060.969971,2201.389893,2050.300049,2184.830078,2184.830078,32702310000</t>
  </si>
  <si>
    <t>2005-08-01,2191.489990,2219.909912,2112.250000,2152.090088,2152.090088,34238710000</t>
  </si>
  <si>
    <t>2005-09-01,2150.030029,2186.830078,2093.060059,2151.689941,2151.689941,34790080000</t>
  </si>
  <si>
    <t>2005-10-01,2152.699951,2167.000000,2025.579956,2120.300049,2120.300049,36500900000</t>
  </si>
  <si>
    <t>2005-11-01,2109.889893,2269.300049,2108.860107,2232.820068,2232.820068,35854200000</t>
  </si>
  <si>
    <t>2005-12-01,2244.850098,2278.159912,2200.510010,2205.320068,2205.320068,34343260000</t>
  </si>
  <si>
    <t>2006-01-01,2216.530029,2332.919922,2189.909912,2305.820068,2305.820068,41781780000</t>
  </si>
  <si>
    <t>2006-02-01,2294.110107,2313.530029,2232.679932,2281.389893,2281.389893,37103890000</t>
  </si>
  <si>
    <t>2006-03-01,2288.149902,2353.139893,2239.540039,2339.790039,2339.790039,47567350000</t>
  </si>
  <si>
    <t>2006-04-01,2352.239990,2375.540039,2299.419922,2322.570068,2322.570068,39227480000</t>
  </si>
  <si>
    <t>2006-05-01,2329.790039,2352.560059,2135.810059,2178.879883,2178.879883,45923780000</t>
  </si>
  <si>
    <t>2006-06-01,2179.820068,2233.879883,2065.110107,2172.090088,2172.090088,43418010000</t>
  </si>
  <si>
    <t>2006-07-01,2177.909912,2190.439941,2012.780029,2091.469971,2091.469971,36405330000</t>
  </si>
  <si>
    <t>2006-08-01,2080.340088,2193.340088,2048.219971,2183.750000,2183.750000,38177580000</t>
  </si>
  <si>
    <t>2006-09-01,2194.560059,2273.300049,2147.439941,2258.429932,2258.429932,37304950000</t>
  </si>
  <si>
    <t>2006-10-01,2257.000000,2379.290039,2224.209961,2366.709961,2366.709961,42714580000</t>
  </si>
  <si>
    <t>2006-11-01,2373.489990,2468.419922,2316.820068,2431.770020,2431.770020,38943340000</t>
  </si>
  <si>
    <t>2006-12-01,2430.750000,2470.949951,2392.949951,2415.290039,2415.290039,35073670000</t>
  </si>
  <si>
    <t>2007-01-01,2429.719971,2508.929932,2394.659912,2463.929932,2463.929932,42688490000</t>
  </si>
  <si>
    <t>2007-02-01,2474.080078,2531.419922,2395.350098,2416.149902,2416.149902,39700560000</t>
  </si>
  <si>
    <t>2007-03-01,2377.179932,2459.959961,2331.570068,2421.639893,2421.639893,43563900000</t>
  </si>
  <si>
    <t>2007-04-01,2425.360107,2562.989990,2409.040039,2525.090088,2525.090088,39717000000</t>
  </si>
  <si>
    <t>2007-05-01,2529.949951,2607.899902,2510.570068,2604.520020,2604.520020,44252460000</t>
  </si>
  <si>
    <t>2007-06-01,2614.010010,2634.600098,2534.969971,2603.229980,2603.229980,45340310000</t>
  </si>
  <si>
    <t>2007-07-01,2617.389893,2724.739990,2545.899902,2546.270020,2546.270020,45107360000</t>
  </si>
  <si>
    <t>2007-08-01,2538.500000,2627.750000,2386.689941,2596.360107,2596.360107,52126030000</t>
  </si>
  <si>
    <t>2007-09-01,2596.379883,2716.750000,2536.929932,2701.500000,2701.500000,35257250000</t>
  </si>
  <si>
    <t>2007-10-01,2704.250000,2861.510010,2698.139893,2859.120117,2859.120117,48751620000</t>
  </si>
  <si>
    <t>2007-11-01,2835.000000,2835.629883,2539.810059,2660.959961,2660.959961,50214790000</t>
  </si>
  <si>
    <t>2007-12-01,2654.909912,2734.820068,2553.989990,2652.280029,2652.280029,37753390000</t>
  </si>
  <si>
    <t>2008-01-01,2653.909912,2661.500000,2202.540039,2389.860107,2389.860107,55211960000</t>
  </si>
  <si>
    <t>2008-02-01,2392.580078,2419.229980,2252.649902,2271.479980,2271.479980,45767570000</t>
  </si>
  <si>
    <t>2008-03-01,2271.260010,2346.780029,2155.419922,2279.100098,2279.100098,44966440000</t>
  </si>
  <si>
    <t>2008-04-01,2306.510010,2451.189941,2266.290039,2412.800049,2412.800049,42726250000</t>
  </si>
  <si>
    <t>2008-05-01,2416.489990,2551.469971,2416.489990,2522.659912,2522.659912,42783110000</t>
  </si>
  <si>
    <t>2008-06-01,2514.820068,2549.939941,2290.590088,2292.979980,2292.979980,45968100000</t>
  </si>
  <si>
    <t>2008-07-01,2274.239990,2353.389893,2167.290039,2325.550049,2325.550049,50672460000</t>
  </si>
  <si>
    <t>2008-08-01,2326.830078,2473.199951,2280.929932,2367.520020,2367.520020,39482890000</t>
  </si>
  <si>
    <t>2008-09-01,2402.110107,2413.110107,1983.729980,2091.879883,2091.879883,51722940000</t>
  </si>
  <si>
    <t>2008-10-01,2075.100098,2083.199951,1493.790039,1720.949951,1720.949951,62537120000</t>
  </si>
  <si>
    <t>2008-11-01,1718.890015,1785.839966,1295.479980,1535.569946,1535.569946,41933210000</t>
  </si>
  <si>
    <t>2008-12-01,1496.089966,1602.920044,1398.069946,1577.030029,1577.030029,39619890000</t>
  </si>
  <si>
    <t>2009-01-01,1578.869995,1665.630005,1434.079956,1476.420044,1476.420044,39995600000</t>
  </si>
  <si>
    <t>2009-02-01,1460.849976,1598.500000,1372.420044,1377.839966,1377.839966,42380620000</t>
  </si>
  <si>
    <t>2009-03-01,1356.130005,1587.000000,1265.520020,1528.589966,1528.589966,49480930000</t>
  </si>
  <si>
    <t>2009-04-01,1504.869995,1753.609985,1498.540039,1717.300049,1717.300049,48683640000</t>
  </si>
  <si>
    <t>2009-05-01,1719.290039,1774.329956,1664.189941,1774.329956,1774.329956,47352030000</t>
  </si>
  <si>
    <t>2009-06-01,1796.089966,1879.920044,1753.780029,1835.040039,1835.040039,51881250000</t>
  </si>
  <si>
    <t>2009-07-01,1846.119995,2009.810059,1727.050049,1978.500000,1978.500000,47084360000</t>
  </si>
  <si>
    <t>2009-08-01,1998.349976,2059.479980,1929.640015,2009.060059,2009.060059,44011670000</t>
  </si>
  <si>
    <t>2009-09-01,2001.300049,2167.699951,1958.040039,2122.419922,2122.419922,49652910000</t>
  </si>
  <si>
    <t>2009-10-01,2111.770020,2190.639893,2040.209961,2045.109985,2045.109985,50489640000</t>
  </si>
  <si>
    <t>2009-11-01,2047.420044,2205.320068,2024.270020,2144.600098,2144.600098,38877300000</t>
  </si>
  <si>
    <t>2009-12-01,2162.229980,2295.800049,2155.959961,2269.149902,2269.149902,39269070000</t>
  </si>
  <si>
    <t>2010-01-01,2294.409912,2326.280029,2140.340088,2147.350098,2147.350098,45625830000</t>
  </si>
  <si>
    <t>2010-02-01,2155.810059,2251.679932,2100.169922,2238.260010,2238.260010,42835360000</t>
  </si>
  <si>
    <t>2010-03-01,2247.399902,2432.250000,2247.330078,2397.959961,2397.959961,54955550000</t>
  </si>
  <si>
    <t>2010-04-01,2411.679932,2535.280029,2383.770020,2461.189941,2461.189941,54528540000</t>
  </si>
  <si>
    <t>2010-05-01,2472.320068,2503.000000,2140.530029,2257.040039,2257.040039,57203120000</t>
  </si>
  <si>
    <t>2010-06-01,2244.790039,2341.110107,2105.260010,2109.239990,2109.239990,48633730000</t>
  </si>
  <si>
    <t>2010-07-01,2110.750000,2307.600098,2061.139893,2254.699951,2254.699951,43910370000</t>
  </si>
  <si>
    <t>2010-08-01,2283.320068,2309.429932,2099.290039,2114.030029,2114.030029,41794240000</t>
  </si>
  <si>
    <t>2010-09-01,2142.750000,2400.060059,2141.949951,2368.620117,2368.620117,41586870000</t>
  </si>
  <si>
    <t>2010-10-01,2386.820068,2517.500000,2332.459961,2507.409912,2507.409912,41539760000</t>
  </si>
  <si>
    <t>2010-11-01,2520.449951,2592.939941,2459.790039,2498.229980,2498.229980,40893560000</t>
  </si>
  <si>
    <t>2010-12-01,2535.189941,2675.260010,2535.189941,2652.870117,2652.870117,36306890000</t>
  </si>
  <si>
    <t>2011-01-01,2676.649902,2766.169922,2663.639893,2700.080078,2700.080078,40221760000</t>
  </si>
  <si>
    <t>2011-02-01,2717.610107,2840.510010,2705.540039,2782.270020,2782.270020,39225340000</t>
  </si>
  <si>
    <t>2011-03-01,2791.080078,2802.320068,2603.500000,2781.070068,2781.070068,45049990000</t>
  </si>
  <si>
    <t>2011-04-01,2796.669922,2876.830078,2706.500000,2873.540039,2873.540039,38024600000</t>
  </si>
  <si>
    <t>2011-05-01,2881.280029,2887.750000,2739.850098,2835.300049,2835.300049,42067110000</t>
  </si>
  <si>
    <t>2011-06-01,2829.389893,2834.050049,2599.860107,2773.520020,2773.520020,42570710000</t>
  </si>
  <si>
    <t>2011-07-01,2775.080078,2878.939941,2724.989990,2756.379883,2756.379883,37282980000</t>
  </si>
  <si>
    <t>2011-08-01,2791.449951,2796.239990,2331.649902,2579.459961,2579.459961,56977870000</t>
  </si>
  <si>
    <t>2011-09-01,2583.340088,2643.370117,2414.310059,2415.399902,2415.399902,42996470000</t>
  </si>
  <si>
    <t>2011-10-01,2401.189941,2753.370117,2298.889893,2684.409912,2684.409912,42787830000</t>
  </si>
  <si>
    <t>2011-11-01,2607.310059,2730.389893,2441.479980,2620.340088,2620.340088,38397210000</t>
  </si>
  <si>
    <t>2011-12-01,2615.669922,2674.530029,2518.010010,2605.149902,2605.149902,33177490000</t>
  </si>
  <si>
    <t>2012-01-01,2657.389893,2834.300049,2627.229980,2813.840088,2813.840088,35325900000</t>
  </si>
  <si>
    <t>2012-02-01,2830.100098,3000.110107,2825.189941,2966.889893,2966.889893,37728460000</t>
  </si>
  <si>
    <t>2012-03-01,2979.110107,3134.169922,2900.280029,3091.570068,3091.570068,36686310000</t>
  </si>
  <si>
    <t>2012-04-01,3085.939941,3128.250000,2946.040039,3046.360107,3046.360107,33793990000</t>
  </si>
  <si>
    <t>2012-05-01,3044.790039,3085.399902,2774.449951,2827.340088,2827.340088,40115930000</t>
  </si>
  <si>
    <t>2012-06-01,2810.129883,2942.280029,2726.679932,2935.050049,2935.050049,37458650000</t>
  </si>
  <si>
    <t>2012-07-01,2938.409912,2987.939941,2837.719971,2939.520020,2939.520020,34686680000</t>
  </si>
  <si>
    <t>2012-08-01,2956.719971,3100.540039,2890.850098,3066.959961,3066.959961,35708950000</t>
  </si>
  <si>
    <t>2012-09-01,3063.250000,3196.929932,3040.239990,3116.229980,3116.229980,33719730000</t>
  </si>
  <si>
    <t>2012-10-01,3130.310059,3171.459961,2961.159912,2977.229980,2977.229980,36367020000</t>
  </si>
  <si>
    <t>2012-11-01,2987.540039,3033.850098,2810.800049,3010.239990,3010.239990,36894240000</t>
  </si>
  <si>
    <t>2012-12-01,3029.209961,3061.820068,2951.040039,3019.510010,3019.510010,33522490000</t>
  </si>
  <si>
    <t>2013-01-01,3091.330078,3164.060059,3076.600098,3142.129883,3142.129883,39027620000</t>
  </si>
  <si>
    <t>2013-02-01,3162.939941,3213.600098,3105.360107,3160.189941,3160.189941,35765430000</t>
  </si>
  <si>
    <t>2013-03-01,3143.540039,3270.300049,3129.399902,3267.520020,3267.520020,33749180000</t>
  </si>
  <si>
    <t>2013-04-01,3268.629883,3328.790039,3154.959961,3328.790039,3328.790039,36904330000</t>
  </si>
  <si>
    <t>2013-05-01,3325.350098,3532.040039,3296.500000,3455.909912,3455.909912,39144080000</t>
  </si>
  <si>
    <t>2013-06-01,3460.760010,3488.310059,3294.949951,3403.250000,3403.250000,37528250000</t>
  </si>
  <si>
    <t>2013-07-01,3430.479980,3649.350098,3415.229980,3626.370117,3626.370117,35889520000</t>
  </si>
  <si>
    <t>2013-08-01,3654.179932,3694.189941,3573.570068,3589.870117,3589.870117,32934650000</t>
  </si>
  <si>
    <t>2013-09-01,3622.639893,3798.760010,3593.620117,3771.479980,3771.479980,34997740000</t>
  </si>
  <si>
    <t>2013-10-01,3774.179932,3966.709961,3650.030029,3919.709961,3919.709961,43017190000</t>
  </si>
  <si>
    <t>2013-11-01,3932.449951,4069.699951,3855.070068,4059.889893,4059.889893,35818470000</t>
  </si>
  <si>
    <t>2013-12-01,4065.659912,4177.729980,3979.590088,4176.589844,4176.589844,37139280000</t>
  </si>
  <si>
    <t>2014-01-01,4160.029785,4246.549805,4044.760010,4103.879883,4103.879883,45227610000</t>
  </si>
  <si>
    <t>2014-02-01,4105.060059,4342.589844,3968.189941,4308.120117,4308.120117,39978180000</t>
  </si>
  <si>
    <t>2014-03-01,4261.419922,4371.709961,4131.810059,4198.990234,4198.990234,46796180000</t>
  </si>
  <si>
    <t>2014-04-01,4219.870117,4286.089844,3946.030029,4114.560059,4114.560059,44391220000</t>
  </si>
  <si>
    <t>2014-05-01,4121.250000,4252.080078,4021.050049,4242.620117,4242.620117,39290130000</t>
  </si>
  <si>
    <t>2014-06-01,4247.959961,4417.459961,4207.609863,4408.180176,4408.180176,40249370000</t>
  </si>
  <si>
    <t>2014-07-01,4424.709961,4485.930176,4351.040039,4369.770020,4369.770020,39536410000</t>
  </si>
  <si>
    <t>2014-08-01,4363.390137,4580.270020,4321.890137,4580.270020,4580.270020,33417300000</t>
  </si>
  <si>
    <t>2014-09-01,4592.419922,4610.569824,4464.439941,4493.390137,4493.390137,39631130000</t>
  </si>
  <si>
    <t>2014-10-01,4486.649902,4641.509766,4116.600098,4630.740234,4630.740234,50136190000</t>
  </si>
  <si>
    <t>2014-11-01,4633.709961,4810.859863,4594.919922,4791.629883,4791.629883,32967990000</t>
  </si>
  <si>
    <t>2014-12-01,4777.729980,4814.950195,4547.310059,4736.049805,4736.049805,39587090000</t>
  </si>
  <si>
    <t>2015-01-01,4760.240234,4777.009766,4563.109863,4635.240234,4635.240234,38719030000</t>
  </si>
  <si>
    <t>2015-02-01,4650.600098,4989.250000,4580.459961,4963.529785,4963.529785,35773090000</t>
  </si>
  <si>
    <t>2015-03-01,4973.430176,5042.140137,4825.930176,4900.879883,4900.879883,41204240000</t>
  </si>
  <si>
    <t>2015-04-01,4894.359863,5119.830078,4844.390137,4941.419922,4941.419922,37409760000</t>
  </si>
  <si>
    <t>2015-05-01,4966.319824,5111.540039,4888.169922,5070.029785,5070.029785,35994540000</t>
  </si>
  <si>
    <t>2015-06-01,5094.939941,5164.359863,4956.229980,4986.870117,4986.870117,41338820000</t>
  </si>
  <si>
    <t>2015-07-01,5029.049805,5231.939941,4901.509766,5128.279785,5128.279785,40633420000</t>
  </si>
  <si>
    <t>2015-08-01,5134.339844,5175.259766,4292.140137,4812.709961,4812.709961,45767180000</t>
  </si>
  <si>
    <t>2015-09-01,4673.609863,4960.870117,4487.060059,4620.160156,4620.160156,41503920000</t>
  </si>
  <si>
    <t>2015-10-01,4624.459961,5095.689941,4552.339844,5053.750000,5053.750000,42348240000</t>
  </si>
  <si>
    <t>2015-11-01,5065.640137,5163.470215,4908.660156,5108.669922,5108.669922,36834860000</t>
  </si>
  <si>
    <t>2015-12-01,5129.640137,5176.770020,4871.589844,5007.410156,5007.410156,40617940000</t>
  </si>
  <si>
    <t>2016-01-01,4897.649902,4926.729980,4313.390137,4613.950195,4613.950195,44877130000</t>
  </si>
  <si>
    <t>2016-02-01,4587.589844,4636.930176,4209.759766,4557.950195,4557.950195,43108650000</t>
  </si>
  <si>
    <t>2016-03-01,4596.009766,4899.140137,4581.750000,4869.850098,4869.850098,40738880000</t>
  </si>
  <si>
    <t>2016-04-01,4842.549805,4969.319824,4740.839844,4775.359863,4775.359863,38014300000</t>
  </si>
  <si>
    <t>2016-05-01,4786.549805,4951.450195,4678.379883,4948.049805,4948.049805,38803240000</t>
  </si>
  <si>
    <t>2016-06-01,4928.970215,4980.140137,4574.250000,4842.669922,4842.669922,44213900000</t>
  </si>
  <si>
    <t>2016-07-01,4837.180176,5175.810059,4786.009766,5162.129883,5162.129883,36050040000</t>
  </si>
  <si>
    <t>2016-08-01,5167.419922,5275.740234,5109.799805,5213.220215,5213.220215,38754780000</t>
  </si>
  <si>
    <t>2016-09-01,5218.279785,5342.879883,5097.799805,5312.000000,5312.000000,40054600000</t>
  </si>
  <si>
    <t>2016-10-01,5300.290039,5340.520020,5169.759766,5189.140137,5189.140137,34644850000</t>
  </si>
  <si>
    <t>2016-11-01,5199.770020,5403.859863,5034.410156,5323.680176,5323.680176,41870720000</t>
  </si>
  <si>
    <t>2016-12-01,5323.879883,5512.370117,5238.209961,5444.500000,5444.500000,40597960000</t>
  </si>
  <si>
    <t>2017-01-01,5425.620117,5669.609863,5397.990234,5614.790039,5614.790039,36027970000</t>
  </si>
  <si>
    <t>2017-02-01,5654.509766,5867.890137,5616.399902,5825.439941,5825.439941,36709560000</t>
  </si>
  <si>
    <t>2017-03-01,5874.859863,5928.060059,5769.390137,5911.740234,5911.740234,43937720000</t>
  </si>
  <si>
    <t>2017-04-01,5917.319824,6074.040039,5805.149902,6047.609863,6047.609863,33793200000</t>
  </si>
  <si>
    <t>2017-05-01,6067.560059,6221.990234,5996.810059,6198.520020,6198.520020,42285390000</t>
  </si>
  <si>
    <t>2017-06-01,6215.910156,6341.700195,6087.810059,6140.419922,6140.419922,48689910000</t>
  </si>
  <si>
    <t>2017-07-01,6173.290039,6460.839844,6081.959961,6348.120117,6348.120117,36063120000</t>
  </si>
  <si>
    <t>2017-08-01,6372.160156,6435.270020,6177.189941,6428.660156,6428.660156,41236800000</t>
  </si>
  <si>
    <t>2017-09-01,6442.169922,6497.979980,6334.589844,6495.959961,6495.959961,38177120000</t>
  </si>
  <si>
    <t>2017-10-01,6506.080078,6737.750000,6484.140137,6727.669922,6727.669922,41421370000</t>
  </si>
  <si>
    <t>2017-11-01,6758.640137,6914.189941,6667.310059,6873.970215,6873.970215,41870380000</t>
  </si>
  <si>
    <t>2017-12-01,6844.040039,7003.890137,6734.129883,6903.390137,6903.390137,38573170000</t>
  </si>
  <si>
    <t>2018-01-01,6937.649902,7505.770020,6924.080078,7411.479980,7411.479980,44405890000</t>
  </si>
  <si>
    <t>2018-02-01,7377.169922,7441.089844,6630.669922,7273.009766,7273.009766,43791970000</t>
  </si>
  <si>
    <t>2018-03-01,7274.750000,7637.270020,6901.069824,7063.450195,7063.450195,48355130000</t>
  </si>
  <si>
    <t>2018-04-01,7016.169922,7319.580078,6805.959961,7066.270020,7066.270020,42932190000</t>
  </si>
  <si>
    <t>2018-05-01,7053.649902,7492.419922,6991.140137,7442.120117,7442.120117,45405220000</t>
  </si>
  <si>
    <t>2018-06-01,7487.660156,7806.600098,7419.560059,7510.299805,7510.299805,48305960000</t>
  </si>
  <si>
    <t>2018-07-01,7451.899902,7933.310059,7443.100098,7671.790039,7671.790039,38678490000</t>
  </si>
  <si>
    <t>2018-08-01,7701.819824,8133.299805,7659.520020,8109.540039,8109.540039,45900880000</t>
  </si>
  <si>
    <t>2018-09-01,8087.950195,8104.069824,7873.930176,8046.350098,8046.350098,44545790000</t>
  </si>
  <si>
    <t>2018-10-01,8091.500000,8107.379883,6922.830078,7305.899902,7305.899902,61400960000</t>
  </si>
  <si>
    <t>2018-11-01,7327.819824,7572.930176,6830.759766,7330.540039,7330.540039,48560650000</t>
  </si>
  <si>
    <t>2018-12-01,7486.129883,7486.509766,6190.169922,6635.279785,6635.279785,48808340000</t>
  </si>
  <si>
    <t>2019-01-01,6506.910156,7303.120117,6457.129883,7281.740234,7281.740234,49199040000</t>
  </si>
  <si>
    <t>2019-02-01,7256.370117,7602.689941,7225.140137,7532.529785,7532.529785,42304540000</t>
  </si>
  <si>
    <t>2019-03-01,7587.450195,7850.109863,7332.919922,7729.319824,7729.319824,49145540000</t>
  </si>
  <si>
    <t>2019-04-01,7800.240234,8176.080078,7777.089844,8095.390137,8095.390137,43162800000</t>
  </si>
  <si>
    <t>2019-05-01,8132.930176,8164.709961,7448.229980,7453.149902,7453.149902,47405100000</t>
  </si>
  <si>
    <t>2019-06-01,7441.209961,8088.879883,7292.220215,8006.240234,8006.240234,44505410000</t>
  </si>
  <si>
    <t>2019-07-01,8145.850098,8339.639648,8059.290039,8175.419922,8175.419922,39238360000</t>
  </si>
  <si>
    <t>2019-08-01,8190.560059,8311.040039,7662.899902,7962.879883,7962.879883,46090570000</t>
  </si>
  <si>
    <t>2019-09-01,7906.439941,8243.799805,7847.319824,7999.339844,7999.339844,41462650000</t>
  </si>
  <si>
    <t>2019-10-01,8026.830078,8335.559570,7700.000000,8292.360352,8292.360352,43976360000</t>
  </si>
  <si>
    <t>2019-11-01,8335.049805,8705.910156,8326.559570,8665.469727,8665.469727,41581990000</t>
  </si>
  <si>
    <t>2019-12-01,8672.839844,9052.000000,8435.400391,8972.599609,8972.599609,45940880000</t>
  </si>
  <si>
    <t>2020-01-01,9039.459961,9451.429688,8943.500000,9150.940430,9150.940430,52456350000</t>
  </si>
  <si>
    <t>2020-02-01,9190.719727,9838.370117,8264.160156,8567.370117,8567.370117,49488620000</t>
  </si>
  <si>
    <t>2020-03-01,8667.139648,9070.320313,6631.419922,7700.100098,7700.100098,96874040000</t>
  </si>
  <si>
    <t>2020-04-01,7459.500000,8957.269531,7288.109863,8889.549805,8889.549805,78697140000</t>
  </si>
  <si>
    <t>2020-05-01,8681.290039,9523.639648,8537.830078,9489.870117,9489.870117,76347800000</t>
  </si>
  <si>
    <t>2020-06-01,9471.419922,10221.849609,9403.000000,10058.769531,10058.769531,111455270000</t>
  </si>
  <si>
    <t>2020-07-01,10063.669922,10839.929688,10048.040039,10745.269531,10745.269531,94321170000</t>
  </si>
  <si>
    <t>Currency</t>
  </si>
  <si>
    <t>USD</t>
  </si>
  <si>
    <t>EUR</t>
  </si>
  <si>
    <t>Gold Dec 20</t>
  </si>
  <si>
    <t>https://query1.finance.yahoo.com/v7/finance/download/GC=F?period1=489024000&amp;period2=1596153600&amp;interval=1mo&amp;events=history</t>
  </si>
  <si>
    <t>Apple</t>
  </si>
  <si>
    <t>https://query1.finance.yahoo.com/v7/finance/download/AAPL?period1=489024000&amp;period2=1596153600&amp;interval=1mo&amp;events=history</t>
  </si>
  <si>
    <t>Ticker</t>
  </si>
  <si>
    <t>^GSPC</t>
  </si>
  <si>
    <t>^DJI</t>
  </si>
  <si>
    <t>^IXIC</t>
  </si>
  <si>
    <t>GC=F</t>
  </si>
  <si>
    <t>AAPL</t>
  </si>
  <si>
    <t>MSFT</t>
  </si>
  <si>
    <t>Microsoft</t>
  </si>
  <si>
    <t>Name</t>
  </si>
  <si>
    <t>1986-03-01,0.088542,0.103299,0.088542,0.095486,0.061094,1857052800</t>
  </si>
  <si>
    <t>1986-04-01,0.095486,0.121962,0.092882,0.111979,0.071647,547142400</t>
  </si>
  <si>
    <t>1986-05-01,0.111979,0.123264,0.107639,0.121528,0.077756,333446400</t>
  </si>
  <si>
    <t>1986-06-01,0.121528,0.121528,0.102431,0.106771,0.068314,293788800</t>
  </si>
  <si>
    <t>1986-07-01,0.106771,0.109375,0.090278,0.098958,0.063316,460800000</t>
  </si>
  <si>
    <t>1986-08-01,0.098958,0.106771,0.094618,0.098958,0.063316,266256000</t>
  </si>
  <si>
    <t>1986-09-01,0.098958,0.109375,0.091146,0.098090,0.062760,285120000</t>
  </si>
  <si>
    <t>1986-10-01,0.098090,0.139757,0.095486,0.134549,0.086087,1565712000</t>
  </si>
  <si>
    <t>1986-11-01,0.135417,0.177951,0.135417,0.172743,0.110525,1053964800</t>
  </si>
  <si>
    <t>1986-12-01,0.172743,0.173611,0.157118,0.167535,0.107193,721526400</t>
  </si>
  <si>
    <t>1987-01-01,0.167535,0.269097,0.164931,0.253906,0.162455,1961596800</t>
  </si>
  <si>
    <t>1987-02-01,0.253906,0.276042,0.230903,0.266493,0.170508,1834272000</t>
  </si>
  <si>
    <t>1987-03-01,0.266493,0.343750,0.255208,0.335938,0.214941,1783324800</t>
  </si>
  <si>
    <t>1987-04-01,0.335938,0.378472,0.314236,0.361111,0.231047,2118585600</t>
  </si>
  <si>
    <t>1987-05-01,0.361111,0.445313,0.356771,0.400174,0.256040,2192054400</t>
  </si>
  <si>
    <t>1987-06-01,0.400174,0.400174,0.334201,0.354167,0.226604,1729353600</t>
  </si>
  <si>
    <t>1987-07-01,0.353299,0.367188,0.307292,0.326389,0.208831,1813536000</t>
  </si>
  <si>
    <t>1987-08-01,0.326389,0.421007,0.316840,0.412326,0.263816,2034921600</t>
  </si>
  <si>
    <t>1987-09-01,0.409722,0.462674,0.368056,0.460069,0.294363,1554902400</t>
  </si>
  <si>
    <t>1987-10-01,0.460069,0.550347,0.258681,0.345486,0.221050,3567219200</t>
  </si>
  <si>
    <t>1987-11-01,0.342014,0.361111,0.281250,0.310764,0.198834,1550172800</t>
  </si>
  <si>
    <t>1987-12-01,0.309028,0.388889,0.277778,0.376736,0.241045,1780182400</t>
  </si>
  <si>
    <t>1988-01-01,0.380208,0.428819,0.364583,0.387153,0.247709,1966780800</t>
  </si>
  <si>
    <t>1988-02-01,0.394097,0.421875,0.345486,0.412326,0.263816,1403884800</t>
  </si>
  <si>
    <t>1988-03-01,0.414931,0.454861,0.376736,0.392361,0.251042,2113660800</t>
  </si>
  <si>
    <t>1988-04-01,0.388889,0.407986,0.366319,0.378472,0.242155,1155084800</t>
  </si>
  <si>
    <t>1988-05-01,0.378472,0.411458,0.371528,0.402778,0.257707,1032995200</t>
  </si>
  <si>
    <t>1988-06-01,0.404514,0.468750,0.401042,0.465278,0.297696,1198579200</t>
  </si>
  <si>
    <t>1988-07-01,0.465278,0.489583,0.394097,0.413194,0.264371,1401097600</t>
  </si>
  <si>
    <t>1988-08-01,0.414931,0.416667,0.331597,0.347222,0.222161,1862576000</t>
  </si>
  <si>
    <t>1988-09-01,0.343750,0.383681,0.333333,0.362847,0.232158,1216566400</t>
  </si>
  <si>
    <t>1988-10-01,0.355903,0.375000,0.331597,0.340278,0.217718,1532086400</t>
  </si>
  <si>
    <t>1988-11-01,0.340278,0.350694,0.314236,0.328125,0.209942,1558912000</t>
  </si>
  <si>
    <t>1988-12-01,0.329861,0.376736,0.326389,0.369792,0.236601,1030441600</t>
  </si>
  <si>
    <t>1989-01-01,0.371528,0.418403,0.348958,0.414063,0.264927,1375062400</t>
  </si>
  <si>
    <t>1989-02-01,0.413194,0.449653,0.406250,0.413194,0.264371,1802134400</t>
  </si>
  <si>
    <t>1989-03-01,0.416667,0.432292,0.317708,0.346354,0.221605,3058688000</t>
  </si>
  <si>
    <t>1989-04-01,0.347222,0.392361,0.329861,0.388021,0.248265,1134803200</t>
  </si>
  <si>
    <t>1989-05-01,0.384549,0.423611,0.354167,0.420139,0.268815,1258956800</t>
  </si>
  <si>
    <t>1989-06-01,0.418403,0.421875,0.355903,0.368056,0.235490,1072560000</t>
  </si>
  <si>
    <t>1989-07-01,0.368924,0.395833,0.357639,0.380208,0.243266,1221004800</t>
  </si>
  <si>
    <t>1989-08-01,0.380208,0.420139,0.375000,0.407986,0.261039,1380710400</t>
  </si>
  <si>
    <t>1989-09-01,0.409722,0.482639,0.401042,0.475694,0.304360,1284505600</t>
  </si>
  <si>
    <t>1989-10-01,0.473958,0.597222,0.472222,0.567708,0.363233,2608976000</t>
  </si>
  <si>
    <t>1989-11-01,0.567708,0.619792,0.527778,0.604167,0.386560,1835852800</t>
  </si>
  <si>
    <t>1989-12-01,0.605035,0.612847,0.520833,0.604167,0.386560,1460649600</t>
  </si>
  <si>
    <t>1990-01-01,0.605903,0.666667,0.583333,0.642361,0.410997,2380947200</t>
  </si>
  <si>
    <t>1990-02-01,0.642361,0.697917,0.640625,0.685764,0.438768,1429331200</t>
  </si>
  <si>
    <t>1990-03-01,0.684028,0.812500,0.684028,0.769097,0.492086,1717801600</t>
  </si>
  <si>
    <t>1990-04-01,0.762153,0.875000,0.758681,0.805556,0.515413,1200806400</t>
  </si>
  <si>
    <t>1990-05-01,0.815972,1.093750,0.788194,1.013889,0.648710,1634729600</t>
  </si>
  <si>
    <t>1990-06-01,1.017361,1.079861,0.986111,1.055556,0.675369,1165913600</t>
  </si>
  <si>
    <t>1990-07-01,1.055556,1.121528,0.913194,0.923611,0.590948,1548944000</t>
  </si>
  <si>
    <t>1990-08-01,0.920139,0.934028,0.704861,0.854167,0.546516,1983792000</t>
  </si>
  <si>
    <t>1990-09-01,0.847222,0.881944,0.756944,0.875000,0.559845,1270809600</t>
  </si>
  <si>
    <t>1990-10-01,0.899306,0.951389,0.743056,0.885417,0.566510,2198080000</t>
  </si>
  <si>
    <t>1990-11-01,0.875000,1.031250,0.871528,1.003472,0.642045,1253123200</t>
  </si>
  <si>
    <t>1990-12-01,1.017361,1.065972,0.979167,1.045139,0.668704,959971200</t>
  </si>
  <si>
    <t>1991-01-01,1.041667,1.381944,1.013889,1.362847,0.871981,2219728000</t>
  </si>
  <si>
    <t>1991-02-01,1.375000,1.513889,1.350694,1.440972,0.921968,1781539200</t>
  </si>
  <si>
    <t>1991-03-01,1.430556,1.569444,1.291667,1.473958,0.943072,1932505600</t>
  </si>
  <si>
    <t>1991-04-01,1.472222,1.631944,1.333333,1.375000,0.879757,1985737600</t>
  </si>
  <si>
    <t>1991-05-01,1.368056,1.562500,1.342014,1.524306,0.975286,1462662400</t>
  </si>
  <si>
    <t>1991-06-01,1.520833,1.593750,1.354167,1.419271,0.908082,1295366400</t>
  </si>
  <si>
    <t>1991-07-01,1.432292,1.541667,1.260417,1.531250,0.979729,1587264000</t>
  </si>
  <si>
    <t>1991-08-01,1.536458,1.807292,1.494792,1.776042,1.136353,1281145600</t>
  </si>
  <si>
    <t>1991-09-01,1.770833,1.875000,1.666667,1.854167,1.186339,834064000</t>
  </si>
  <si>
    <t>1991-10-01,1.854167,1.984375,1.796875,1.955729,1.251321,1061907200</t>
  </si>
  <si>
    <t>1991-11-01,1.947917,2.119792,1.890625,2.026042,1.296308,887222400</t>
  </si>
  <si>
    <t>1991-12-01,2.005208,2.333333,2.000000,2.317708,1.482924,808755200</t>
  </si>
  <si>
    <t>1992-01-01,2.307292,2.776042,2.281250,2.505208,1.602890,1468918400</t>
  </si>
  <si>
    <t>1992-02-01,2.463542,2.687500,2.354167,2.572917,1.646212,1394012800</t>
  </si>
  <si>
    <t>1992-03-01,2.578125,2.713542,2.432292,2.468750,1.579563,1204256000</t>
  </si>
  <si>
    <t>1992-04-01,2.442708,2.692708,2.229167,2.296875,1.469594,2138947200</t>
  </si>
  <si>
    <t>1992-05-01,2.302083,2.546875,2.276042,2.520833,1.612888,1069219200</t>
  </si>
  <si>
    <t>1992-06-01,2.510417,2.593750,2.054688,2.187500,1.399613,1576790400</t>
  </si>
  <si>
    <t>1992-07-01,2.195313,2.335938,2.046875,2.273438,1.454598,1245196800</t>
  </si>
  <si>
    <t>1992-08-01,2.273438,2.343750,2.125000,2.328125,1.489588,889324800</t>
  </si>
  <si>
    <t>1992-09-01,2.312500,2.562500,2.289063,2.515625,1.609555,1002921600</t>
  </si>
  <si>
    <t>1992-10-01,2.500000,2.820313,2.367188,2.773438,1.774510,1146720000</t>
  </si>
  <si>
    <t>1992-11-01,2.781250,2.968750,2.726563,2.910156,1.861986,1227161600</t>
  </si>
  <si>
    <t>1992-12-01,2.898438,2.937500,2.664063,2.667969,1.707028,1133328000</t>
  </si>
  <si>
    <t>1993-01-01,2.656250,2.937500,2.640625,2.703125,1.729522,1411331200</t>
  </si>
  <si>
    <t>1993-02-01,2.695313,2.820313,2.398438,2.605469,1.667039,1548342400</t>
  </si>
  <si>
    <t>1993-03-01,2.617188,2.945313,2.539063,2.890625,1.849489,1197958400</t>
  </si>
  <si>
    <t>1993-04-01,2.890625,2.960938,2.492188,2.671875,1.709528,1298633600</t>
  </si>
  <si>
    <t>1993-05-01,2.671875,2.984375,2.640625,2.894531,1.851989,1304448000</t>
  </si>
  <si>
    <t>1993-06-01,2.906250,3.062500,2.710938,2.750000,1.759514,1216211200</t>
  </si>
  <si>
    <t>1993-07-01,2.757813,2.765625,2.250000,2.312500,1.479591,1953414400</t>
  </si>
  <si>
    <t>1993-08-01,2.335938,2.476563,2.199219,2.347656,1.502084,1871481600</t>
  </si>
  <si>
    <t>1993-09-01,2.351563,2.632813,2.289063,2.578125,1.649544,1162460800</t>
  </si>
  <si>
    <t>1993-10-01,2.578125,2.679688,2.437500,2.503906,1.602057,1370752000</t>
  </si>
  <si>
    <t>1993-11-01,2.507813,2.593750,2.375000,2.500000,1.599558,966515200</t>
  </si>
  <si>
    <t>1993-12-01,2.515625,2.703125,2.476563,2.519531,1.612054,934784000</t>
  </si>
  <si>
    <t>1994-01-01,2.515625,2.718750,2.476563,2.660156,1.702030,1233651200</t>
  </si>
  <si>
    <t>1994-02-01,2.656250,2.679688,2.437500,2.578125,1.649544,1368720000</t>
  </si>
  <si>
    <t>1994-03-01,2.593750,2.789063,2.492188,2.648438,1.694532,1377510400</t>
  </si>
  <si>
    <t>1994-04-01,2.578125,2.976563,2.562500,2.890625,1.849489,1871520000</t>
  </si>
  <si>
    <t>1994-05-01,2.898438,3.360352,2.839844,3.359375,2.149406,1629892800</t>
  </si>
  <si>
    <t>1994-06-01,3.343750,3.414063,3.078125,3.226563,2.064430,2439195200</t>
  </si>
  <si>
    <t>1994-07-01,3.226563,3.234375,2.929688,3.218750,2.059431,1527966400</t>
  </si>
  <si>
    <t>1994-08-01,3.226563,3.703125,3.218750,3.632813,2.324357,1290998400</t>
  </si>
  <si>
    <t>1994-09-01,3.562500,3.640625,3.429688,3.507813,2.244379,964849600</t>
  </si>
  <si>
    <t>1994-10-01,3.507813,3.984375,3.367188,3.937500,2.519304,1207155200</t>
  </si>
  <si>
    <t>1994-11-01,3.921875,4.070313,3.796875,3.929688,2.514305,1024286400</t>
  </si>
  <si>
    <t>1994-12-01,3.914063,4.015625,3.671875,3.820313,2.444325,1059353600</t>
  </si>
  <si>
    <t>1995-01-01,3.843750,4.078125,3.640625,3.710938,2.374343,1111609600</t>
  </si>
  <si>
    <t>1995-02-01,3.710938,3.953125,3.648438,3.937500,2.519304,998657600</t>
  </si>
  <si>
    <t>1995-03-01,3.945313,4.632813,3.921875,4.445313,2.844213,1415724800</t>
  </si>
  <si>
    <t>1995-04-01,4.437500,5.132813,4.296875,5.109375,3.269097,1299571200</t>
  </si>
  <si>
    <t>1995-05-01,5.117188,5.593750,4.929688,5.292969,3.386565,1333040000</t>
  </si>
  <si>
    <t>1995-06-01,5.312500,5.773438,5.109375,5.648438,3.614001,1270388800</t>
  </si>
  <si>
    <t>1995-07-01,5.679688,6.828125,5.531250,5.656250,3.618999,2330859200</t>
  </si>
  <si>
    <t>1995-08-01,5.671875,6.296875,5.437500,5.781250,3.698978,2130745600</t>
  </si>
  <si>
    <t>1995-09-01,5.734375,6.117188,5.210938,5.656250,3.618999,1622329600</t>
  </si>
  <si>
    <t>1995-10-01,5.656250,6.460938,5.023438,6.250000,3.998895,2228136000</t>
  </si>
  <si>
    <t>1995-11-01,6.257813,6.312500,5.265625,5.445313,3.484037,1870920000</t>
  </si>
  <si>
    <t>1995-12-01,5.445313,5.921875,5.320313,5.484375,3.509032,1653614400</t>
  </si>
  <si>
    <t>1996-01-01,5.492188,5.828125,4.992188,5.781250,3.698978,2056616000</t>
  </si>
  <si>
    <t>1996-02-01,5.765625,6.476563,5.750000,6.167969,3.946409,1636929600</t>
  </si>
  <si>
    <t>1996-03-01,6.148438,6.691406,5.914063,6.445313,4.123860,1698950400</t>
  </si>
  <si>
    <t>1996-04-01,6.446289,7.117188,6.226563,7.078125,4.528747,1346283200</t>
  </si>
  <si>
    <t>1996-05-01,7.054688,7.500000,6.851563,7.421875,4.748687,1207328000</t>
  </si>
  <si>
    <t>1996-06-01,7.421875,7.867188,7.265625,7.507813,4.803674,1280102400</t>
  </si>
  <si>
    <t>1996-07-01,7.515625,7.679688,6.718750,7.367188,4.713697,2176897600</t>
  </si>
  <si>
    <t>1996-08-01,7.367188,7.882813,7.335938,7.656250,4.898646,1143864000</t>
  </si>
  <si>
    <t>1996-09-01,7.625000,8.664063,7.539063,8.242188,5.273541,1299435200</t>
  </si>
  <si>
    <t>1996-10-01,8.234375,8.695313,8.179688,8.578125,5.488484,1340635200</t>
  </si>
  <si>
    <t>1996-11-01,8.578125,9.875000,8.531250,9.804688,6.273266,1620968000</t>
  </si>
  <si>
    <t>1996-12-01,9.843750,10.765625,9.266602,10.328125,6.608173,1459023200</t>
  </si>
  <si>
    <t>1997-01-01,10.390625,12.906250,10.093750,12.750000,8.157744,1565781600</t>
  </si>
  <si>
    <t>1997-02-01,12.828125,12.937500,11.750000,12.187500,7.797845,1297152800</t>
  </si>
  <si>
    <t>1997-03-01,12.125000,12.625000,10.953125,11.460938,7.332973,1477638400</t>
  </si>
  <si>
    <t>1997-04-01,11.265625,15.328125,11.218750,15.187500,9.717314,1907452000</t>
  </si>
  <si>
    <t>1997-05-01,15.250000,16.132813,14.359375,15.500000,9.917259,1297835200</t>
  </si>
  <si>
    <t>1997-06-01,15.625000,16.867188,14.781250,15.796875,10.107203,970189600</t>
  </si>
  <si>
    <t>1997-07-01,15.804688,18.843750,15.406250,17.671875,11.306874,1693945600</t>
  </si>
  <si>
    <t>1997-08-01,17.671875,18.078125,16.375000,16.523438,10.572077,1169070400</t>
  </si>
  <si>
    <t>1997-09-01,16.640625,17.531250,16.328125,16.539063,10.582074,1153615200</t>
  </si>
  <si>
    <t>1997-10-01,16.562500,17.453125,15.437500,16.250000,10.397129,1533380800</t>
  </si>
  <si>
    <t>1997-11-01,16.453125,17.781250,16.125000,17.687500,11.316874,915970400</t>
  </si>
  <si>
    <t>1997-12-01,17.742188,18.328125,14.750000,16.156250,10.337144,1437224000</t>
  </si>
  <si>
    <t>1998-01-01,16.203125,18.765625,15.546875,18.648438,11.931702,1486108000</t>
  </si>
  <si>
    <t>1998-02-01,18.968750,21.500000,18.812500,21.187500,13.556254,1402018400</t>
  </si>
  <si>
    <t>1998-03-01,21.468750,22.734375,19.812500,22.375000,14.316044,1099927600</t>
  </si>
  <si>
    <t>1998-04-01,22.453125,24.781250,21.656250,22.531250,14.416018,1018977200</t>
  </si>
  <si>
    <t>1998-05-01,22.546875,22.750000,20.468750,21.203125,13.566251,1095382400</t>
  </si>
  <si>
    <t>1998-06-01,20.968750,27.140625,20.781250,27.093750,17.335213,1233152400</t>
  </si>
  <si>
    <t>1998-07-01,27.281250,29.906250,26.343750,27.484375,17.585135,1229298000</t>
  </si>
  <si>
    <t>1998-08-01,27.281250,28.437500,23.937500,23.984375,15.345758,1350039600</t>
  </si>
  <si>
    <t>1998-09-01,23.812500,28.656250,23.625000,27.515625,17.605129,1192324400</t>
  </si>
  <si>
    <t>1998-10-01,27.015625,27.531250,21.937500,26.468750,16.935316,1643049200</t>
  </si>
  <si>
    <t>1998-11-01,26.593750,32.566406,26.187500,30.500000,19.514608,1162706800</t>
  </si>
  <si>
    <t>1998-12-01,30.062500,36.000000,30.031250,34.671875,22.183867,1101522000</t>
  </si>
  <si>
    <t>1999-01-01,34.902344,43.781250,34.000000,43.750000,27.992279,1472518800</t>
  </si>
  <si>
    <t>1999-02-01,43.859375,43.984375,35.996094,37.531250,24.013357,1599103200</t>
  </si>
  <si>
    <t>1999-03-01,37.390625,47.312500,36.765625,44.812500,28.672085,1569410000</t>
  </si>
  <si>
    <t>1999-04-01,45.625000,47.812500,39.937500,40.656250,26.012810,1163599400</t>
  </si>
  <si>
    <t>1999-05-01,40.718750,40.906250,37.750000,40.343750,25.812860,1124257000</t>
  </si>
  <si>
    <t>1999-06-01,40.312500,45.125000,38.062500,45.093750,28.852030,887432600</t>
  </si>
  <si>
    <t>1999-07-01,44.937500,50.375000,42.750000,42.906250,27.452402,1144701200</t>
  </si>
  <si>
    <t>1999-08-01,42.843750,48.187500,40.812500,46.281250,29.611809,1347994200</t>
  </si>
  <si>
    <t>1999-09-01,46.156250,48.937500,44.406250,45.281250,28.971998,977273600</t>
  </si>
  <si>
    <t>1999-10-01,45.093750,47.625000,42.531250,46.281250,29.611809,1062304400</t>
  </si>
  <si>
    <t>1999-11-01,46.625000,47.250000,42.187500,45.523438,29.126945,1465256000</t>
  </si>
  <si>
    <t>1999-12-01,45.531250,59.968750,45.437500,58.375000,37.349682,1260977800</t>
  </si>
  <si>
    <t>2000-01-01,58.687500,59.312500,47.437500,48.937500,31.311335,1274875200</t>
  </si>
  <si>
    <t>2000-02-01,49.250000,55.000000,44.062500,44.687500,28.592091,1334487600</t>
  </si>
  <si>
    <t>2000-03-01,44.812500,57.500000,44.468750,53.125000,33.990612,2028187600</t>
  </si>
  <si>
    <t>2000-04-01,47.218750,48.250000,32.500000,34.875000,22.313837,2258146600</t>
  </si>
  <si>
    <t>2000-05-01,36.437500,37.000000,30.187500,31.281250,20.014467,1344430800</t>
  </si>
  <si>
    <t>2000-06-01,32.187500,41.093750,31.906250,40.000000,25.592920,1467050200</t>
  </si>
  <si>
    <t>2000-07-01,39.843750,41.437500,33.625000,34.906250,22.333832,1234185800</t>
  </si>
  <si>
    <t>2000-08-01,34.968750,37.437500,34.062500,34.906250,22.333832,1219399800</t>
  </si>
  <si>
    <t>2000-09-01,35.000000,36.031250,29.312500,30.156250,19.294668,1425533800</t>
  </si>
  <si>
    <t>2000-10-01,30.250000,35.062500,24.218750,34.437500,22.033911,2469415600</t>
  </si>
  <si>
    <t>2000-11-01,34.250000,36.187500,28.500000,28.687500,18.354927,1983462600</t>
  </si>
  <si>
    <t>2000-12-01,29.031250,30.312500,20.156250,21.687500,13.876167,2056668200</t>
  </si>
  <si>
    <t>2001-01-01,22.062500,32.375000,21.437500,30.531250,19.534599,2005531200</t>
  </si>
  <si>
    <t>2001-02-01,30.406250,32.531250,26.937500,29.500000,18.874783,1536895600</t>
  </si>
  <si>
    <t>2001-03-01,29.281250,30.562500,24.875000,27.343750,17.495163,1895349800</t>
  </si>
  <si>
    <t>2001-04-01,27.406250,35.549999,25.531250,33.875000,21.674013,2075807000</t>
  </si>
  <si>
    <t>2001-05-01,33.830002,36.075001,33.625000,34.590000,22.131483,1777305800</t>
  </si>
  <si>
    <t>2001-06-01,34.799999,38.075001,33.005001,36.500000,23.353546,1449177800</t>
  </si>
  <si>
    <t>2001-07-01,36.025002,36.575001,32.099998,33.095001,21.174950,1455201000</t>
  </si>
  <si>
    <t>2001-08-01,33.400002,33.770000,28.150000,28.525000,18.250954,1153896400</t>
  </si>
  <si>
    <t>2001-09-01,28.594999,29.540001,23.750000,25.584999,16.369871,1510824400</t>
  </si>
  <si>
    <t>2001-10-01,25.469999,31.815001,25.205000,29.075001,18.602856,1750891000</t>
  </si>
  <si>
    <t>2001-11-01,30.040001,34.169998,29.799999,32.105000,20.541525,1330968600</t>
  </si>
  <si>
    <t>2001-12-01,31.915001,34.945000,31.900000,33.125000,21.194139,977089000</t>
  </si>
  <si>
    <t>2002-01-01,33.325001,35.310001,30.665001,31.855000,20.381571,1360115800</t>
  </si>
  <si>
    <t>2002-02-01,32.075001,32.250000,28.575001,29.170000,18.663643,1131159200</t>
  </si>
  <si>
    <t>2002-03-01,29.525000,32.500000,29.155001,30.155001,19.293869,1073244200</t>
  </si>
  <si>
    <t>2002-04-01,29.915001,30.200001,25.719999,26.129999,16.718578,1417479400</t>
  </si>
  <si>
    <t>2002-05-01,26.080000,28.219999,24.174999,25.455000,16.286699,1420266200</t>
  </si>
  <si>
    <t>2002-06-01,25.495001,28.219999,24.584999,27.350000,17.499161,1834073000</t>
  </si>
  <si>
    <t>2002-07-01,27.059999,27.465000,20.705000,23.990000,15.349359,2432188000</t>
  </si>
  <si>
    <t>2002-08-01,23.790001,26.725000,21.900000,24.540001,15.701262,1715757200</t>
  </si>
  <si>
    <t>2002-09-01,24.260000,25.549999,21.555000,21.870001,13.992935,1695705800</t>
  </si>
  <si>
    <t>2002-10-01,22.160000,27.035000,21.594999,26.735001,17.105673,2475370600</t>
  </si>
  <si>
    <t>2002-11-01,26.215000,29.320000,25.950001,28.840000,18.452496,1555997200</t>
  </si>
  <si>
    <t>2002-12-01,29.325001,29.480000,25.629999,25.850000,16.539431,1268370200</t>
  </si>
  <si>
    <t>2003-01-01,26.150000,28.660000,23.514999,23.730000,15.183000,1718662200</t>
  </si>
  <si>
    <t>2003-02-01,23.965000,24.990000,23.000000,23.700001,15.163813,1346970800</t>
  </si>
  <si>
    <t>2003-03-01,24.020000,26.799999,22.549999,24.209999,15.539930,1371902600</t>
  </si>
  <si>
    <t>2003-04-01,24.459999,26.430000,23.950001,25.570000,16.412878,1249617700</t>
  </si>
  <si>
    <t>2003-05-01,25.540001,26.500000,23.889999,24.610001,15.796675,1311003700</t>
  </si>
  <si>
    <t>2003-06-01,24.980000,26.510000,23.600000,25.639999,16.457819,1569995800</t>
  </si>
  <si>
    <t>2003-07-01,25.590000,27.809999,25.389999,26.410000,16.952070,1292011000</t>
  </si>
  <si>
    <t>2003-08-01,26.330000,26.950001,25.430000,26.520000,17.022669,966506900</t>
  </si>
  <si>
    <t>2003-09-01,26.700001,30.000000,26.469999,27.799999,17.844282,1253309100</t>
  </si>
  <si>
    <t>2003-10-01,28.030001,29.459999,25.910000,26.139999,16.778751,1400032500</t>
  </si>
  <si>
    <t>2003-11-01,26.350000,26.750000,24.840000,25.709999,16.595333,1442336700</t>
  </si>
  <si>
    <t>2003-12-01,25.900000,27.549999,25.500000,27.370001,17.666834,1476461300</t>
  </si>
  <si>
    <t>2004-01-01,27.580000,28.830000,27.260000,27.650000,17.847561,1232189000</t>
  </si>
  <si>
    <t>2004-02-01,27.610001,27.799999,26.350000,26.530001,17.124624,1032065600</t>
  </si>
  <si>
    <t>2004-03-01,26.629999,26.719999,24.010000,24.930000,16.091856,1703041000</t>
  </si>
  <si>
    <t>2004-04-01,24.950001,27.719999,24.850000,26.129999,16.866430,1558947800</t>
  </si>
  <si>
    <t>2004-05-01,26.190001,26.600000,25.420000,26.230000,16.930977,1141456900</t>
  </si>
  <si>
    <t>2004-06-01,26.129999,28.799999,25.860001,28.559999,18.434956,1534889700</t>
  </si>
  <si>
    <t>2004-07-01,28.700001,29.889999,27.250000,28.490000,18.389772,1550446900</t>
  </si>
  <si>
    <t>2004-08-01,28.270000,28.549999,26.850000,27.299999,17.621641,1094195300</t>
  </si>
  <si>
    <t>2004-09-01,27.230000,27.790001,26.740000,27.650000,17.900215,1141012300</t>
  </si>
  <si>
    <t>2004-10-01,27.820000,28.889999,27.549999,27.969999,18.107374,1300591200</t>
  </si>
  <si>
    <t>2004-11-01,28.160000,30.200001,26.100000,26.809999,17.356415,1739407300</t>
  </si>
  <si>
    <t>2004-12-01,26.950001,27.440001,26.680000,26.719999,19.279480,1803777700</t>
  </si>
  <si>
    <t>2005-01-01,26.799999,27.100000,25.639999,26.280001,18.962008,1521414300</t>
  </si>
  <si>
    <t>2005-02-01,26.250000,26.500000,25.129999,25.160000,18.153879,1361126000</t>
  </si>
  <si>
    <t>2005-03-01,25.190001,25.790001,23.820000,24.170000,17.493368,1541411300</t>
  </si>
  <si>
    <t>2005-04-01,24.240000,25.450001,23.940001,25.299999,18.311220,1520253700</t>
  </si>
  <si>
    <t>2005-05-01,25.230000,26.090000,24.639999,25.799999,18.673107,1270563700</t>
  </si>
  <si>
    <t>2005-06-01,25.730000,26.000000,24.820000,24.840000,18.035316,1303029500</t>
  </si>
  <si>
    <t>2005-07-01,24.850000,26.480000,24.500000,25.610001,18.594385,1321407700</t>
  </si>
  <si>
    <t>2005-08-01,25.809999,27.940001,25.760000,27.379999,19.879503,1441979300</t>
  </si>
  <si>
    <t>2005-09-01,27.379999,27.389999,25.120001,25.730000,18.736923,1348861500</t>
  </si>
  <si>
    <t>2005-10-01,25.709999,25.799999,24.250000,25.700001,18.715080,1439659900</t>
  </si>
  <si>
    <t>2005-11-01,25.610001,28.250000,25.610001,27.680000,20.156940,1444948300</t>
  </si>
  <si>
    <t>2005-12-01,27.730000,28.100000,26.100000,26.150000,19.098595,1271695500</t>
  </si>
  <si>
    <t>2006-01-01,26.250000,28.379999,26.100000,28.150000,20.559288,1388622700</t>
  </si>
  <si>
    <t>2006-02-01,27.959999,28.070000,26.340000,26.870001,19.624445,1047699000</t>
  </si>
  <si>
    <t>2006-03-01,26.980000,28.219999,26.620001,27.209999,19.940111,1437940900</t>
  </si>
  <si>
    <t>2006-04-01,27.670000,27.940001,24.000000,24.150000,17.697670,1446126900</t>
  </si>
  <si>
    <t>2006-05-01,24.320000,25.000000,22.450001,22.650000,16.598438,2309193400</t>
  </si>
  <si>
    <t>2006-06-01,22.740000,23.650000,21.459999,23.299999,17.141356,1971637200</t>
  </si>
  <si>
    <t>2006-07-01,23.530001,24.600000,22.230000,24.059999,17.700468,1332298100</t>
  </si>
  <si>
    <t>2006-08-01,24.020000,26.250000,23.850000,25.700001,18.906988,1134188400</t>
  </si>
  <si>
    <t>2006-09-01,25.889999,27.520000,25.389999,27.350000,20.194958,1097482600</t>
  </si>
  <si>
    <t>2006-10-01,27.320000,28.850000,27.150000,28.709999,21.199154,1290967400</t>
  </si>
  <si>
    <t>2006-11-01,28.780001,30.000000,28.580000,29.360001,21.679113,1239142000</t>
  </si>
  <si>
    <t>2006-12-01,29.230000,30.260000,28.799999,29.860001,22.123693,1137160900</t>
  </si>
  <si>
    <t>2007-01-01,29.910000,31.480000,29.400000,30.860001,22.864599,1324518200</t>
  </si>
  <si>
    <t>2007-02-01,30.840000,30.940001,27.790001,28.170000,20.871538,1290850900</t>
  </si>
  <si>
    <t>2007-03-01,27.820000,28.549999,26.600000,27.870001,20.720869,1269506500</t>
  </si>
  <si>
    <t>2007-04-01,27.889999,30.740000,27.559999,29.940001,22.259882,958964900</t>
  </si>
  <si>
    <t>2007-05-01,29.940001,31.160000,29.900000,30.690001,22.817492,1327154700</t>
  </si>
  <si>
    <t>2007-06-01,30.790001,30.900000,29.040001,29.469999,21.981421,1181412800</t>
  </si>
  <si>
    <t>2007-07-01,29.670000,31.840000,28.950001,28.990000,21.623386,1295548000</t>
  </si>
  <si>
    <t>2007-08-01,28.950001,30.100000,27.510000,28.730000,21.429457,1228579500</t>
  </si>
  <si>
    <t>2007-09-01,28.500000,29.850000,28.270000,29.459999,22.050978,1117419500</t>
  </si>
  <si>
    <t>2007-10-01,29.459999,37.000000,29.290001,36.810001,27.552505,1772076700</t>
  </si>
  <si>
    <t>2007-11-01,36.529999,37.500000,32.680000,33.599998,25.149792,1830846800</t>
  </si>
  <si>
    <t>2007-12-01,33.500000,36.720001,32.630001,35.599998,26.734909,1064817100</t>
  </si>
  <si>
    <t>2008-01-01,35.790001,35.959999,31.040001,32.599998,24.481956,1950301600</t>
  </si>
  <si>
    <t>2008-02-01,31.059999,33.250000,27.020000,27.200001,20.426674,2324580800</t>
  </si>
  <si>
    <t>2008-03-01,27.240000,29.590000,26.870001,28.379999,21.395643,1452390200</t>
  </si>
  <si>
    <t>2008-04-01,28.830000,32.099998,27.930000,28.520000,21.501184,1444720000</t>
  </si>
  <si>
    <t>2008-05-01,28.500000,30.530001,27.950001,28.320000,21.350401,1405170200</t>
  </si>
  <si>
    <t>2008-06-01,28.240000,29.570000,27.110001,27.510000,20.816101,1560439100</t>
  </si>
  <si>
    <t>2008-07-01,27.270000,27.910000,24.870001,25.719999,19.461647,1637501300</t>
  </si>
  <si>
    <t>2008-08-01,25.920000,28.500000,25.070000,27.290001,20.649632,1206949700</t>
  </si>
  <si>
    <t>2008-09-01,27.670000,27.760000,23.500000,26.690001,20.276171,1927538700</t>
  </si>
  <si>
    <t>2008-10-01,26.379999,27.469999,20.650000,22.330000,16.963913,3044579400</t>
  </si>
  <si>
    <t>2008-11-01,22.480000,23.660000,17.500000,20.219999,15.360969,1794911800</t>
  </si>
  <si>
    <t>2008-12-01,19.879999,21.250000,18.469999,19.440001,14.868458,1546943400</t>
  </si>
  <si>
    <t>2009-01-01,19.530001,21.000000,16.750000,17.100000,13.078737,1564043400</t>
  </si>
  <si>
    <t>2009-02-01,17.030001,19.930000,16.100000,16.150000,12.352136,1456213400</t>
  </si>
  <si>
    <t>2009-03-01,15.960000,18.879999,14.870000,18.370001,14.146416,1625752800</t>
  </si>
  <si>
    <t>2009-04-01,18.230000,21.200001,18.180000,20.260000,15.601868,1562400700</t>
  </si>
  <si>
    <t>2009-05-01,20.190001,20.940001,19.010000,20.889999,16.087019,1101122400</t>
  </si>
  <si>
    <t>2009-06-01,21.000000,24.340000,20.860001,23.770000,18.421108,1411144700</t>
  </si>
  <si>
    <t>2009-07-01,24.049999,25.719999,22.000000,23.520000,18.227369,1517459800</t>
  </si>
  <si>
    <t>2009-08-01,23.820000,25.490000,23.030001,24.650000,19.103081,993250400</t>
  </si>
  <si>
    <t>2009-09-01,24.350000,26.250000,23.760000,25.719999,20.044380,1038979700</t>
  </si>
  <si>
    <t>2009-10-01,25.410000,29.350000,24.430000,27.730000,21.610834,1523430100</t>
  </si>
  <si>
    <t>2009-11-01,27.700001,30.139999,27.410000,29.410000,22.920111,1018256700</t>
  </si>
  <si>
    <t>2009-12-01,29.520000,31.500000,29.250000,30.480000,23.858992,920605500</t>
  </si>
  <si>
    <t>2010-01-01,30.620001,31.240000,27.660000,28.180000,22.058609,1359650900</t>
  </si>
  <si>
    <t>2010-02-01,28.389999,29.030001,27.570000,28.670000,22.442167,1074643300</t>
  </si>
  <si>
    <t>2010-03-01,28.770000,30.570000,28.240000,29.290001,23.034698,1110237200</t>
  </si>
  <si>
    <t>2010-04-01,29.350000,31.580000,28.620001,30.540001,24.017746,1319029500</t>
  </si>
  <si>
    <t>2010-05-01,30.670000,31.059999,24.559999,25.799999,20.290043,1720130200</t>
  </si>
  <si>
    <t>2010-06-01,25.530001,26.930000,22.950001,23.010000,18.177536,1671811600</t>
  </si>
  <si>
    <t>2010-07-01,23.090000,26.410000,22.730000,25.809999,20.389498,1408590600</t>
  </si>
  <si>
    <t>2010-08-01,25.990000,26.379999,23.320000,23.469999,18.540930,1279372100</t>
  </si>
  <si>
    <t>2010-09-01,23.670000,25.530001,23.540001,24.490000,19.449926,1273139500</t>
  </si>
  <si>
    <t>2010-10-01,24.770000,27.200001,23.780001,26.670000,21.181273,1281432800</t>
  </si>
  <si>
    <t>2010-11-01,26.879999,28.870001,24.930000,25.260000,20.061455,1361176300</t>
  </si>
  <si>
    <t>2010-12-01,25.570000,28.400000,25.559999,27.910000,22.302277,1033710000</t>
  </si>
  <si>
    <t>2011-01-01,28.049999,29.459999,27.420000,27.730000,22.158440,1361258700</t>
  </si>
  <si>
    <t>2011-02-01,27.799999,28.340000,26.430000,26.580000,21.239498,1114368500</t>
  </si>
  <si>
    <t>2011-03-01,26.600000,26.780001,24.680000,25.389999,20.408522,1310885200</t>
  </si>
  <si>
    <t>2011-04-01,25.530001,26.870001,24.719999,25.920000,20.834534,1313844800</t>
  </si>
  <si>
    <t>2011-05-01,25.940001,26.250000,24.030001,25.010000,20.103067,1364062800</t>
  </si>
  <si>
    <t>2011-06-01,24.990000,26.000000,23.650000,26.000000,21.035822,1297757600</t>
  </si>
  <si>
    <t>2011-07-01,25.930000,28.150000,25.840000,27.400000,22.168518,1259328200</t>
  </si>
  <si>
    <t>2011-08-01,27.510000,27.690001,23.790001,26.600000,21.521263,1719339500</t>
  </si>
  <si>
    <t>2011-09-01,26.459999,27.500000,24.600000,24.889999,20.264854,1279920200</t>
  </si>
  <si>
    <t>2011-10-01,24.719999,27.500000,24.260000,26.629999,21.681520,1218142500</t>
  </si>
  <si>
    <t>2011-11-01,26.190001,27.200001,24.299999,25.580000,20.826637,1046207400</t>
  </si>
  <si>
    <t>2011-12-01,25.559999,26.190001,25.160000,25.959999,21.295179,1007166600</t>
  </si>
  <si>
    <t>2012-01-01,26.549999,29.950001,26.389999,29.530001,24.223677,1354858100</t>
  </si>
  <si>
    <t>2012-02-01,29.790001,32.000000,29.709999,31.740000,26.036560,984332300</t>
  </si>
  <si>
    <t>2012-03-01,31.930000,32.950001,31.490000,32.259998,26.637335,942366500</t>
  </si>
  <si>
    <t>2012-04-01,32.220001,32.889999,30.230000,32.020000,26.439165,940739700</t>
  </si>
  <si>
    <t>2012-05-01,32.049999,32.340000,28.639999,29.190001,24.102409,1014372600</t>
  </si>
  <si>
    <t>2012-06-01,28.760000,31.139999,28.320000,30.590000,25.424137,973131400</t>
  </si>
  <si>
    <t>2012-07-01,30.620001,31.049999,28.540001,29.469999,24.493275,846604100</t>
  </si>
  <si>
    <t>2012-08-01,29.590000,30.959999,28.969999,30.820000,25.615297,671748400</t>
  </si>
  <si>
    <t>2012-09-01,30.450001,31.610001,29.740000,29.760000,24.898161,893107700</t>
  </si>
  <si>
    <t>2012-10-01,29.809999,30.250000,27.760000,28.540001,23.877470,1105402300</t>
  </si>
  <si>
    <t>2012-11-01,28.840000,30.200001,26.340000,26.620001,22.271143,1310516100</t>
  </si>
  <si>
    <t>2012-12-01,26.780001,27.730000,26.260000,26.709999,22.530056,947310900</t>
  </si>
  <si>
    <t>2013-01-01,27.250000,28.230000,26.280001,27.450001,23.154259,1145054400</t>
  </si>
  <si>
    <t>2013-02-01,27.670000,28.200001,27.100000,27.799999,23.449482,780587000</t>
  </si>
  <si>
    <t>2013-03-01,27.719999,28.660000,27.520000,28.610001,24.332527,844946000</t>
  </si>
  <si>
    <t>2013-04-01,28.639999,33.110001,28.110001,33.099998,28.151226,1465757200</t>
  </si>
  <si>
    <t>2013-05-01,32.930000,35.279999,32.320000,34.900002,29.682102,1071860000</t>
  </si>
  <si>
    <t>2013-06-01,34.919998,35.779999,32.570000,34.540001,29.581924,945155500</t>
  </si>
  <si>
    <t>2013-07-01,34.750000,36.430000,31.020000,31.840000,27.269497,1111130600</t>
  </si>
  <si>
    <t>2013-08-01,32.060001,35.200001,30.840000,33.400002,28.605564,1051265000</t>
  </si>
  <si>
    <t>2013-09-01,31.750000,33.750000,30.950001,33.279999,28.703634,1242961500</t>
  </si>
  <si>
    <t>2013-10-01,33.349998,36.290001,32.799999,35.410000,30.540737,965331500</t>
  </si>
  <si>
    <t>2013-11-01,35.669998,38.290001,35.389999,38.130001,32.886723,800431600</t>
  </si>
  <si>
    <t>2013-12-01,38.090000,38.980000,35.529999,37.410000,32.510414,826617700</t>
  </si>
  <si>
    <t>2014-01-01,37.349998,37.889999,34.630001,37.840000,32.884098,930226200</t>
  </si>
  <si>
    <t>2014-02-01,37.740002,38.459999,35.689999,38.310001,33.292553,705304500</t>
  </si>
  <si>
    <t>2014-03-01,37.919998,41.500000,37.490002,40.990002,35.888676,778425700</t>
  </si>
  <si>
    <t>2014-04-01,41.150002,41.660000,38.900002,40.400002,35.372089,746112500</t>
  </si>
  <si>
    <t>2014-05-01,40.240002,40.970001,38.509998,40.939999,35.844891,574362900</t>
  </si>
  <si>
    <t>2014-06-01,40.950001,42.290001,39.860001,41.700001,36.767872,555767300</t>
  </si>
  <si>
    <t>2014-07-01,41.860001,45.709999,41.049999,43.160000,38.055195,731616500</t>
  </si>
  <si>
    <t>2014-08-01,43.209999,45.470001,42.209999,45.430000,40.056698,513919700</t>
  </si>
  <si>
    <t>2014-09-01,45.430000,47.570000,44.529999,46.360001,41.132004,860827300</t>
  </si>
  <si>
    <t>2014-10-01,46.270000,46.970001,42.099998,46.950001,41.655464,853260900</t>
  </si>
  <si>
    <t>2014-11-01,46.889999,50.049999,46.730000,47.810001,42.418499,523005900</t>
  </si>
  <si>
    <t>2014-12-01,47.880001,49.060001,44.900002,46.450001,41.471783,626771200</t>
  </si>
  <si>
    <t>2015-01-01,46.660000,47.910000,40.349998,40.400002,36.070190,918966800</t>
  </si>
  <si>
    <t>2015-02-01,40.590000,44.299999,40.230000,43.849998,39.150440,656509700</t>
  </si>
  <si>
    <t>2015-03-01,43.669998,44.189999,40.540001,40.660000,36.560669,824335300</t>
  </si>
  <si>
    <t>2015-04-01,40.599998,49.540001,40.119999,48.639999,43.736134,874535300</t>
  </si>
  <si>
    <t>2015-05-01,48.580002,48.910000,46.020000,46.860001,42.135593,633072800</t>
  </si>
  <si>
    <t>2015-06-01,47.060001,47.770000,43.939999,44.150002,39.956821,664853400</t>
  </si>
  <si>
    <t>2015-07-01,44.459999,47.400002,43.320000,46.700001,42.264629,725458100</t>
  </si>
  <si>
    <t>2015-08-01,46.980000,48.410000,39.720001,43.520000,39.386646,776480300</t>
  </si>
  <si>
    <t>2015-09-01,42.169998,45.000000,41.660000,44.259998,40.320511,673079900</t>
  </si>
  <si>
    <t>2015-10-01,44.750000,54.369999,43.750000,52.639999,47.954620,856716800</t>
  </si>
  <si>
    <t>2015-11-01,52.849998,54.980000,52.529999,54.349998,49.512417,662626600</t>
  </si>
  <si>
    <t>2015-12-01,54.410000,56.849998,53.680000,55.480000,50.882519,792820900</t>
  </si>
  <si>
    <t>2016-01-01,54.320000,55.389999,49.099998,55.090000,50.524834,927914700</t>
  </si>
  <si>
    <t>2016-02-01,54.880001,55.090000,48.189999,50.880001,46.663708,814770900</t>
  </si>
  <si>
    <t>2016-03-01,50.970001,55.639999,50.580002,55.230000,51.016907,641110900</t>
  </si>
  <si>
    <t>2016-04-01,55.049999,56.770000,49.349998,49.869999,46.065788,699025700</t>
  </si>
  <si>
    <t>2016-05-01,50.000000,53.000000,49.459999,53.000000,48.957027,530704800</t>
  </si>
  <si>
    <t>2016-06-01,52.439999,52.950001,48.040001,51.169998,47.597221,823627000</t>
  </si>
  <si>
    <t>2016-07-01,51.130001,57.290001,50.389999,56.680000,52.722500,647587800</t>
  </si>
  <si>
    <t>2016-08-01,56.599998,58.700001,56.139999,57.459999,53.448044,467078900</t>
  </si>
  <si>
    <t>2016-09-01,57.009998,58.189999,55.610001,57.599998,53.912209,526427800</t>
  </si>
  <si>
    <t>2016-10-01,57.410000,61.369999,56.320000,59.919998,56.083664,614841800</t>
  </si>
  <si>
    <t>2016-11-01,59.970001,61.410000,57.279999,60.259998,56.401897,613056800</t>
  </si>
  <si>
    <t>2016-12-01,60.110001,64.099998,58.799999,62.139999,58.554443,513579700</t>
  </si>
  <si>
    <t>2017-01-01,62.790001,65.910004,61.950001,64.650002,60.919617,493453500</t>
  </si>
  <si>
    <t>2017-02-01,64.360001,65.239998,62.750000,63.980000,60.288280,440744000</t>
  </si>
  <si>
    <t>2017-03-01,64.129997,66.190002,63.619999,65.860001,62.436039,489169700</t>
  </si>
  <si>
    <t>2017-04-01,65.809998,69.139999,64.849998,68.459999,64.900871,433191200</t>
  </si>
  <si>
    <t>2017-05-01,68.680000,70.739998,67.139999,69.839996,66.209122,517218500</t>
  </si>
  <si>
    <t>2017-06-01,70.239998,72.889999,68.089996,68.930000,65.720985,629716800</t>
  </si>
  <si>
    <t>2017-07-01,69.330002,74.419998,68.019997,72.699997,69.315483,469851200</t>
  </si>
  <si>
    <t>2017-08-01,73.099998,74.959999,71.279999,74.769997,71.289108,444070500</t>
  </si>
  <si>
    <t>2017-09-01,74.709999,75.970001,72.919998,74.489998,71.400551,375983900</t>
  </si>
  <si>
    <t>2017-10-01,74.709999,86.199997,73.709999,83.180000,79.730133,449950000</t>
  </si>
  <si>
    <t>2017-11-01,83.680000,85.059998,82.239998,84.169998,80.679062,421926000</t>
  </si>
  <si>
    <t>2017-12-01,83.599998,87.500000,80.699997,85.540001,82.404037,466203300</t>
  </si>
  <si>
    <t>2018-01-01,86.129997,95.449997,85.500000,95.010002,91.526848,574258400</t>
  </si>
  <si>
    <t>2018-02-01,94.790001,96.070000,83.830002,93.769997,90.332314,725663300</t>
  </si>
  <si>
    <t>2018-03-01,93.989998,97.239998,87.080002,91.269997,88.336983,750754800</t>
  </si>
  <si>
    <t>2018-04-01,90.470001,97.900002,87.510002,93.519997,90.514664,668130700</t>
  </si>
  <si>
    <t>2018-05-01,93.209999,99.989998,92.449997,98.839996,95.663704,509417900</t>
  </si>
  <si>
    <t>2018-06-01,99.279999,102.690002,97.260002,98.610001,95.854782,602585200</t>
  </si>
  <si>
    <t>2018-07-01,98.099998,111.150002,98.000000,106.080002,103.116066,569352300</t>
  </si>
  <si>
    <t>2018-08-01,106.029999,112.779999,104.839996,112.330002,109.191444,456628100</t>
  </si>
  <si>
    <t>2018-09-01,110.849998,115.290001,107.230003,114.370003,111.602264,480255500</t>
  </si>
  <si>
    <t>2018-10-01,114.750000,116.180000,100.110001,106.809998,104.225212,927548000</t>
  </si>
  <si>
    <t>2018-11-01,107.050003,112.239998,99.349998,110.889999,108.206497,720228600</t>
  </si>
  <si>
    <t>2018-12-01,113.000000,113.419998,93.959999,101.570000,99.540192,944314600</t>
  </si>
  <si>
    <t>2019-01-01,99.550003,107.900002,97.199997,104.430000,102.343040,714212800</t>
  </si>
  <si>
    <t>2019-02-01,103.779999,113.239998,102.349998,112.029999,109.791168,469095900</t>
  </si>
  <si>
    <t>2019-03-01,112.889999,120.820000,108.800003,117.940002,116.076683,589095800</t>
  </si>
  <si>
    <t>2019-04-01,118.949997,131.369995,118.099998,130.600006,128.536667,433157700</t>
  </si>
  <si>
    <t>2019-05-01,130.529999,130.649994,123.040001,123.680000,121.725990,547218800</t>
  </si>
  <si>
    <t>2019-06-01,123.849998,138.399994,119.010002,133.960007,132.331619,508316500</t>
  </si>
  <si>
    <t>2019-07-01,136.630005,141.679993,134.669998,136.270004,134.613541,484547500</t>
  </si>
  <si>
    <t>2019-08-01,137.000000,140.940002,130.779999,137.860001,136.184204,584474300</t>
  </si>
  <si>
    <t>2019-09-01,136.610001,142.369995,134.509995,139.029999,137.797318,472544800</t>
  </si>
  <si>
    <t>2019-10-01,139.660004,145.669998,133.220001,143.369995,142.098831,549523400</t>
  </si>
  <si>
    <t>2019-11-01,144.259995,152.500000,142.970001,151.380005,150.037827,392371800</t>
  </si>
  <si>
    <t>2019-12-01,151.809998,159.550003,146.649994,157.699997,156.833633,450303300</t>
  </si>
  <si>
    <t>2020-03-01,165.309998,175.000000,132.520004,157.710007,157.271988,1612695500</t>
  </si>
  <si>
    <t>2020-04-01,153.000000,180.399994,150.360001,179.210007,178.712280,984596200</t>
  </si>
  <si>
    <t>2020-06-01,182.539993,204.399994,181.350006,203.509995,203.509995,764905600</t>
  </si>
  <si>
    <t>2020-01-01,158.779999,174.050003,156.509995,170.229996,169.294800,558530000</t>
  </si>
  <si>
    <t>2020-07-01,203.139999,216.380005,197.509995,205.009995,205.009995,770510200</t>
  </si>
  <si>
    <t>2000-09-01,277.000000,278.399994,269.000000,273.600006,273.600006,4291</t>
  </si>
  <si>
    <t>2000-10-01,272.799988,276.399994,264.299988,264.899994,264.899994,321</t>
  </si>
  <si>
    <t>2000-11-01,263.899994,270.200012,263.899994,270.100006,270.100006,32465</t>
  </si>
  <si>
    <t>2000-12-01,269.700012,276.000000,268.000000,272.000000,272.000000,1664</t>
  </si>
  <si>
    <t>2001-01-01,268.399994,268.399994,262.799988,265.600006,265.600006,17811</t>
  </si>
  <si>
    <t>2001-02-01,266.299988,268.899994,255.000000,266.799988,266.799988,1066</t>
  </si>
  <si>
    <t>2001-03-01,265.200012,271.600006,256.600006,257.899994,257.899994,31161</t>
  </si>
  <si>
    <t>2001-04-01,257.200012,265.299988,255.000000,264.000000,264.000000,1733</t>
  </si>
  <si>
    <t>2001-05-01,264.399994,287.399994,264.200012,265.299988,265.299988,32850</t>
  </si>
  <si>
    <t>2001-06-01,264.700012,277.000000,264.500000,270.600006,270.600006,1350</t>
  </si>
  <si>
    <t>2001-07-01,269.399994,270.399994,263.700012,266.200012,266.200012,20322</t>
  </si>
  <si>
    <t>2001-08-01,266.200012,279.299988,265.799988,274.399994,274.399994,1817</t>
  </si>
  <si>
    <t>2001-09-01,271.600006,294.000000,271.600006,292.399994,292.399994,3137</t>
  </si>
  <si>
    <t>2001-10-01,291.799988,292.899994,275.500000,279.500000,279.500000,893</t>
  </si>
  <si>
    <t>2001-11-01,279.700012,281.000000,272.299988,273.899994,273.899994,27949</t>
  </si>
  <si>
    <t>2001-12-01,273.500000,281.299988,271.200012,278.700012,278.700012,2157</t>
  </si>
  <si>
    <t>2002-01-01,278.899994,287.399994,278.100006,282.100006,282.100006,28613</t>
  </si>
  <si>
    <t>2002-02-01,282.299988,308.000000,282.200012,296.700012,296.700012,3964</t>
  </si>
  <si>
    <t>2002-03-01,298.000000,304.500000,289.899994,302.600006,302.600006,29465</t>
  </si>
  <si>
    <t>2002-04-01,302.600006,312.500000,297.500000,308.899994,308.899994,2226</t>
  </si>
  <si>
    <t>2002-05-01,309.100006,329.000000,306.799988,326.500000,326.500000,29743</t>
  </si>
  <si>
    <t>2002-06-01,326.600006,330.299988,313.500000,313.500000,313.500000,5817</t>
  </si>
  <si>
    <t>2002-07-01,314.000000,323.899994,300.799988,303.200012,303.200012,28530</t>
  </si>
  <si>
    <t>2002-08-01,303.200012,318.000000,298.000000,312.399994,312.399994,3256</t>
  </si>
  <si>
    <t>2002-09-01,312.500000,325.899994,312.500000,323.899994,323.899994,4400</t>
  </si>
  <si>
    <t>2002-10-01,322.000000,322.899994,309.799988,318.000000,318.000000,3849</t>
  </si>
  <si>
    <t>2002-11-01,318.799988,324.500000,316.500000,316.799988,316.799988,54551</t>
  </si>
  <si>
    <t>2002-12-01,318.100006,350.500000,315.500000,347.600006,347.600006,4453</t>
  </si>
  <si>
    <t>2003-01-01,346.100006,372.000000,345.200012,368.299988,368.299988,8298</t>
  </si>
  <si>
    <t>2003-02-01,368.000000,388.899994,342.000000,350.200012,350.200012,6928</t>
  </si>
  <si>
    <t>2003-03-01,349.200012,356.799988,326.000000,335.899994,335.899994,6100</t>
  </si>
  <si>
    <t>2003-04-01,336.000000,338.399994,319.299988,339.100006,339.100006,3097</t>
  </si>
  <si>
    <t>2003-05-01,339.000000,370.000000,339.000000,364.500000,364.500000,164025</t>
  </si>
  <si>
    <t>2003-06-01,360.000000,370.000000,343.399994,346.000000,346.000000,10422</t>
  </si>
  <si>
    <t>2003-07-01,351.399994,364.799988,342.100006,354.000000,354.000000,86330</t>
  </si>
  <si>
    <t>2003-08-01,354.100006,375.000000,346.000000,375.700012,375.700012,5743</t>
  </si>
  <si>
    <t>2003-09-01,375.000000,388.700012,372.899994,385.399994,385.399994,16207</t>
  </si>
  <si>
    <t>2003-10-01,385.500000,394.000000,368.000000,384.500000,384.500000,3594</t>
  </si>
  <si>
    <t>2003-11-01,382.799988,402.000000,377.000000,396.799988,396.799988,165003</t>
  </si>
  <si>
    <t>2003-12-01,397.200012,417.200012,397.000000,415.700012,415.700012,10267</t>
  </si>
  <si>
    <t>2004-01-01,415.700012,428.200012,396.500000,402.200012,402.200012,132663</t>
  </si>
  <si>
    <t>2004-02-01,403.000000,416.000000,394.000000,396.399994,396.399994,5931</t>
  </si>
  <si>
    <t>2004-03-01,396.399994,428.000000,391.100006,427.299988,427.299988,105746</t>
  </si>
  <si>
    <t>2004-04-01,427.200012,432.000000,380.000000,387.000000,387.000000,6579</t>
  </si>
  <si>
    <t>2004-05-01,387.000000,396.299988,375.799988,394.000000,394.000000,144835</t>
  </si>
  <si>
    <t>2004-06-01,393.899994,405.000000,383.000000,392.600006,392.600006,6207</t>
  </si>
  <si>
    <t>2004-07-01,396.000000,408.100006,385.000000,391.000000,391.000000,116575</t>
  </si>
  <si>
    <t>2004-08-01,394.000000,412.799988,388.799988,410.399994,410.399994,6340</t>
  </si>
  <si>
    <t>2004-09-01,407.299988,418.799988,396.799988,418.700012,418.700012,16144</t>
  </si>
  <si>
    <t>2004-10-01,419.100006,430.000000,410.299988,428.500000,428.500000,2646</t>
  </si>
  <si>
    <t>2004-11-01,427.299988,454.799988,424.600006,451.299988,451.299988,183608</t>
  </si>
  <si>
    <t>2004-12-01,451.600006,456.500000,432.600006,437.500000,437.500000,12728</t>
  </si>
  <si>
    <t>2005-01-01,431.000000,431.000000,418.700012,421.799988,421.799988,115342</t>
  </si>
  <si>
    <t>2005-02-01,422.200012,436.000000,410.100006,436.500000,436.500000,8468</t>
  </si>
  <si>
    <t>2005-03-01,435.000000,446.399994,424.700012,428.700012,428.700012,3171</t>
  </si>
  <si>
    <t>2005-04-01,428.299988,438.200012,422.700012,435.000000,435.000000,2579</t>
  </si>
  <si>
    <t>2005-05-01,429.500000,429.799988,413.200012,416.299988,416.299988,131509</t>
  </si>
  <si>
    <t>2005-06-01,416.399994,442.500000,414.000000,435.899994,435.899994,6950</t>
  </si>
  <si>
    <t>2005-07-01,427.799988,430.500000,419.600006,429.899994,429.899994,44574</t>
  </si>
  <si>
    <t>2005-08-01,430.000000,449.500000,429.100006,433.799988,433.799988,3085</t>
  </si>
  <si>
    <t>2005-09-01,438.500000,474.000000,438.500000,469.000000,469.000000,11805</t>
  </si>
  <si>
    <t>2005-10-01,467.799988,478.500000,460.500000,465.100006,465.100006,2106</t>
  </si>
  <si>
    <t>2005-11-01,463.000000,502.299988,455.299988,494.600006,494.600006,157642</t>
  </si>
  <si>
    <t>2005-12-01,494.200012,538.500000,490.100006,517.099976,517.099976,12240</t>
  </si>
  <si>
    <t>2006-01-01,518.599976,572.700012,518.599976,570.799988,570.799988,121984</t>
  </si>
  <si>
    <t>2006-02-01,570.799988,575.299988,535.500000,561.599976,561.599976,10165</t>
  </si>
  <si>
    <t>2006-03-01,562.500000,589.599976,539.900024,581.799988,581.799988,94801</t>
  </si>
  <si>
    <t>2006-04-01,582.000000,651.799988,582.000000,651.799988,651.799988,8121</t>
  </si>
  <si>
    <t>2006-05-01,658.000000,723.000000,637.000000,642.500000,642.500000,137161</t>
  </si>
  <si>
    <t>2006-06-01,642.799988,645.099976,555.000000,613.500000,613.500000,6197</t>
  </si>
  <si>
    <t>2006-07-01,631.000000,677.000000,612.700012,634.200012,634.200012,99344</t>
  </si>
  <si>
    <t>2006-08-01,635.400024,656.000000,609.000000,625.900024,625.900024,4608</t>
  </si>
  <si>
    <t>2006-09-01,624.400024,638.500000,576.400024,598.599976,598.599976,17592</t>
  </si>
  <si>
    <t>2006-10-01,598.900024,608.900024,560.500000,604.099976,604.099976,6239</t>
  </si>
  <si>
    <t>2006-11-01,612.500000,648.000000,612.500000,646.900024,646.900024,114115</t>
  </si>
  <si>
    <t>2006-12-01,645.700012,649.700012,612.000000,635.200012,635.200012,3823</t>
  </si>
  <si>
    <t>2007-01-01,635.200012,655.500000,607.000000,652.000000,652.000000,101525</t>
  </si>
  <si>
    <t>2007-02-01,652.900024,687.700012,642.000000,669.400024,669.400024,3981</t>
  </si>
  <si>
    <t>2007-03-01,673.000000,673.000000,640.000000,663.000000,663.000000,52996</t>
  </si>
  <si>
    <t>2007-04-01,665.500000,692.500000,656.099976,680.500000,680.500000,4436</t>
  </si>
  <si>
    <t>2007-05-01,673.700012,688.000000,651.000000,661.000000,661.000000,158741</t>
  </si>
  <si>
    <t>2007-06-01,661.500000,674.000000,640.000000,648.099976,648.099976,4027</t>
  </si>
  <si>
    <t>2007-07-01,656.799988,684.200012,648.400024,666.900024,666.900024,138110</t>
  </si>
  <si>
    <t>2007-08-01,663.200012,676.200012,642.900024,673.000000,673.000000,8547</t>
  </si>
  <si>
    <t>2007-09-01,672.500000,745.700012,672.500000,742.799988,742.799988,27393</t>
  </si>
  <si>
    <t>2007-10-01,745.099976,795.400024,724.299988,792.000000,792.000000,2720</t>
  </si>
  <si>
    <t>2007-11-01,785.299988,841.299988,777.599976,782.200012,782.200012,239351</t>
  </si>
  <si>
    <t>2007-12-01,783.900024,843.200012,777.000000,834.900024,834.900024,7681</t>
  </si>
  <si>
    <t>2008-01-01,848.700012,936.299988,846.400024,922.700012,922.700012,231851</t>
  </si>
  <si>
    <t>2008-02-01,924.799988,973.099976,884.700012,972.099976,972.099976,8233</t>
  </si>
  <si>
    <t>2008-03-01,984.200012,1014.599976,912.000000,916.200012,916.200012,216432</t>
  </si>
  <si>
    <t>2008-04-01,915.000000,948.700012,863.000000,862.799988,862.799988,13006</t>
  </si>
  <si>
    <t>2008-05-01,855.000000,925.599976,849.599976,887.299988,887.299988,221797</t>
  </si>
  <si>
    <t>2008-06-01,887.299988,933.700012,858.200012,926.200012,926.200012,9462</t>
  </si>
  <si>
    <t>2008-07-01,943.599976,986.200012,893.299988,913.900024,913.900024,250610</t>
  </si>
  <si>
    <t>2008-08-01,904.900024,916.099976,780.900024,829.299988,829.299988,9253</t>
  </si>
  <si>
    <t>2008-09-01,829.900024,919.000000,739.000000,874.200012,874.200012,18800</t>
  </si>
  <si>
    <t>2008-10-01,878.000000,925.700012,681.000000,716.799988,716.799988,3365</t>
  </si>
  <si>
    <t>2008-11-01,728.799988,824.000000,707.000000,816.200012,816.200012,377779</t>
  </si>
  <si>
    <t>2008-12-01,817.200012,883.599976,740.000000,883.599976,883.599976,9599</t>
  </si>
  <si>
    <t>2009-01-01,881.500000,930.299988,805.599976,927.299988,927.299988,215420</t>
  </si>
  <si>
    <t>2009-02-01,924.299988,1004.900024,889.799988,941.500000,941.500000,14216</t>
  </si>
  <si>
    <t>2009-03-01,945.000000,963.200012,885.000000,922.599976,922.599976,178292</t>
  </si>
  <si>
    <t>2009-04-01,918.599976,932.500000,865.000000,890.700012,890.700012,17300</t>
  </si>
  <si>
    <t>2009-05-01,884.000000,980.400024,881.500000,978.799988,978.799988,234559</t>
  </si>
  <si>
    <t>2009-06-01,978.799988,990.299988,917.299988,927.099976,927.099976,12773</t>
  </si>
  <si>
    <t>2009-07-01,929.299988,958.099976,905.599976,953.700012,953.700012,177420</t>
  </si>
  <si>
    <t>2009-08-01,952.599976,971.099976,931.500000,951.700012,951.700012,7492</t>
  </si>
  <si>
    <t>2009-09-01,954.200012,1019.799988,948.700012,1008.000000,1008.000000,15642</t>
  </si>
  <si>
    <t>2009-10-01,1007.400024,1070.199951,986.799988,1039.699951,1039.699951,3699</t>
  </si>
  <si>
    <t>2009-11-01,1053.400024,1195.000000,1043.500000,1181.099976,1181.099976,333290</t>
  </si>
  <si>
    <t>2009-12-01,1181.000000,1226.400024,1075.000000,1095.199951,1095.199951,24177</t>
  </si>
  <si>
    <t>2010-01-01,1117.699951,1161.199951,1073.199951,1083.000000,1083.000000,320664</t>
  </si>
  <si>
    <t>2010-02-01,1081.000000,1127.400024,1045.199951,1118.300049,1118.300049,18209</t>
  </si>
  <si>
    <t>2010-03-01,1119.300049,1145.000000,1085.500000,1113.300049,1113.300049,222583</t>
  </si>
  <si>
    <t>2010-04-01,1125.099976,1181.300049,1111.300049,1180.099976,1180.099976,10917</t>
  </si>
  <si>
    <t>2010-05-01,1178.599976,1246.500000,1159.199951,1212.199951,1212.199951,361661</t>
  </si>
  <si>
    <t>2010-06-01,1224.800049,1264.800049,1196.900024,1245.500000,1245.500000,16703</t>
  </si>
  <si>
    <t>2010-07-01,1206.300049,1242.400024,1158.000000,1181.699951,1181.699951,267525</t>
  </si>
  <si>
    <t>2010-08-01,1183.400024,1249.400024,1174.699951,1248.300049,1248.300049,9250</t>
  </si>
  <si>
    <t>2010-09-01,1246.300049,1315.199951,1240.000000,1307.800049,1307.800049,33200</t>
  </si>
  <si>
    <t>2010-10-01,1309.000000,1383.900024,1309.000000,1357.099976,1357.099976,3190</t>
  </si>
  <si>
    <t>2010-11-01,1360.300049,1423.199951,1327.500000,1385.000000,1385.000000,245327</t>
  </si>
  <si>
    <t>2010-12-01,1386.800049,1431.099976,1362.500000,1421.099976,1421.099976,16511</t>
  </si>
  <si>
    <t>2011-01-01,1415.599976,1423.900024,1307.699951,1333.800049,1333.800049,299379</t>
  </si>
  <si>
    <t>2011-02-01,1333.099976,1415.699951,1324.900024,1409.300049,1409.300049,14468</t>
  </si>
  <si>
    <t>2011-03-01,1415.300049,1446.900024,1385.500000,1438.900024,1438.900024,194338</t>
  </si>
  <si>
    <t>2011-04-01,1433.400024,1568.699951,1413.000000,1556.000000,1556.000000,15801</t>
  </si>
  <si>
    <t>2011-05-01,1572.900024,1576.599976,1471.000000,1535.900024,1535.900024,271249</t>
  </si>
  <si>
    <t>2011-06-01,1535.699951,1558.500000,1490.699951,1502.300049,1502.300049,15027</t>
  </si>
  <si>
    <t>2011-07-01,1502.199951,1634.900024,1480.000000,1628.300049,1628.300049,309932</t>
  </si>
  <si>
    <t>2011-08-01,1623.000000,1909.300049,1607.000000,1828.500000,1828.500000,25647</t>
  </si>
  <si>
    <t>2011-09-01,1825.800049,1911.599976,1562.400024,1620.400024,1620.400024,31848</t>
  </si>
  <si>
    <t>2011-10-01,1627.800049,1752.000000,1596.599976,1724.199951,1724.199951,2715</t>
  </si>
  <si>
    <t>2011-11-01,1706.699951,1798.400024,1674.400024,1745.500000,1745.500000,257009</t>
  </si>
  <si>
    <t>2011-12-01,1747.000000,1762.900024,1525.000000,1565.800049,1565.800049,11311</t>
  </si>
  <si>
    <t>2012-01-01,1568.900024,1747.699951,1566.000000,1737.800049,1737.800049,237708</t>
  </si>
  <si>
    <t>2012-02-01,1738.199951,1790.400024,1669.000000,1709.900024,1709.900024,9587</t>
  </si>
  <si>
    <t>2012-03-01,1698.599976,1724.599976,1633.800049,1669.300049,1669.300049,254540</t>
  </si>
  <si>
    <t>2012-04-01,1670.400024,1682.800049,1612.300049,1663.400024,1663.400024,9743</t>
  </si>
  <si>
    <t>2012-05-01,1665.000000,1670.500000,1528.500000,1562.599976,1562.599976,345507</t>
  </si>
  <si>
    <t>2012-06-01,1560.000000,1639.699951,1545.500000,1603.500000,1603.500000,11162</t>
  </si>
  <si>
    <t>2012-07-01,1597.099976,1627.500000,1557.199951,1610.500000,1610.500000,257528</t>
  </si>
  <si>
    <t>2012-08-01,1613.400024,1690.000000,1583.099976,1684.599976,1684.599976,11783</t>
  </si>
  <si>
    <t>2012-09-01,1689.099976,1785.300049,1687.699951,1771.099976,1771.099976,25557</t>
  </si>
  <si>
    <t>2012-10-01,1766.000000,1794.800049,1698.599976,1717.500000,1717.500000,2741</t>
  </si>
  <si>
    <t>2012-11-01,1722.300049,1751.300049,1674.099976,1710.900024,1710.900024,345777</t>
  </si>
  <si>
    <t>2012-12-01,1714.900024,1722.300049,1635.800049,1674.800049,1674.800049,7061</t>
  </si>
  <si>
    <t>2013-01-01,1672.800049,1694.699951,1625.699951,1660.599976,1660.599976,197723</t>
  </si>
  <si>
    <t>2013-02-01,1663.900024,1683.400024,1555.199951,1577.699951,1577.699951,11784</t>
  </si>
  <si>
    <t>2013-03-01,1579.599976,1613.800049,1561.800049,1594.800049,1594.800049,223847</t>
  </si>
  <si>
    <t>2013-04-01,1596.800049,1602.599976,1323.000000,1472.199951,1472.199951,14648</t>
  </si>
  <si>
    <t>2013-05-01,1475.800049,1487.099976,1342.900024,1392.599976,1392.599976,222108</t>
  </si>
  <si>
    <t>2013-06-01,1389.099976,1422.699951,1183.199951,1223.800049,1223.800049,12739</t>
  </si>
  <si>
    <t>2013-07-01,1234.699951,1343.500000,1208.900024,1312.400024,1312.400024,186170</t>
  </si>
  <si>
    <t>2013-08-01,1323.000000,1428.000000,1274.000000,1396.099976,1396.099976,10507</t>
  </si>
  <si>
    <t>2013-09-01,1393.000000,1414.400024,1292.099976,1326.500000,1326.500000,17759</t>
  </si>
  <si>
    <t>2013-10-01,1328.000000,1359.699951,1254.099976,1323.599976,1323.599976,2723</t>
  </si>
  <si>
    <t>2013-11-01,1325.699951,1325.699951,1229.000000,1250.599976,1250.599976,270667</t>
  </si>
  <si>
    <t>2013-12-01,1251.400024,1267.000000,1182.000000,1201.900024,1201.900024,14554</t>
  </si>
  <si>
    <t>2014-01-01,1204.300049,1269.400024,1204.300049,1240.099976,1240.099976,189701</t>
  </si>
  <si>
    <t>2014-02-01,1242.400024,1343.900024,1241.199951,1321.400024,1321.400024,11943</t>
  </si>
  <si>
    <t>2014-03-01,1335.900024,1391.400024,1282.400024,1283.400024,1283.400024,255794</t>
  </si>
  <si>
    <t>2014-04-01,1285.099976,1330.000000,1272.400024,1295.599976,1295.599976,8265</t>
  </si>
  <si>
    <t>2014-05-01,1288.699951,1314.199951,1241.800049,1245.599976,1245.599976,211143</t>
  </si>
  <si>
    <t>2014-06-01,1250.000000,1328.699951,1240.500000,1321.800049,1321.800049,10619</t>
  </si>
  <si>
    <t>2014-07-01,1326.699951,1343.699951,1280.599976,1281.300049,1281.300049,224607</t>
  </si>
  <si>
    <t>2014-08-01,1284.099976,1321.400024,1272.000000,1285.800049,1285.800049,9633</t>
  </si>
  <si>
    <t>2014-09-01,1284.500000,1286.400024,1204.000000,1210.500000,1210.500000,27705</t>
  </si>
  <si>
    <t>2014-10-01,1207.699951,1251.000000,1161.400024,1171.099976,1171.099976,4510</t>
  </si>
  <si>
    <t>2014-11-01,1166.400024,1202.400024,1133.000000,1175.199951,1175.199951,299410</t>
  </si>
  <si>
    <t>2014-12-01,1160.000000,1238.000000,1141.699951,1183.900024,1183.900024,11140</t>
  </si>
  <si>
    <t>2015-01-01,1184.000000,1303.500000,1169.500000,1278.500000,1278.500000,258615</t>
  </si>
  <si>
    <t>2015-02-01,1284.099976,1284.699951,1191.599976,1212.599976,1212.599976,8294</t>
  </si>
  <si>
    <t>2015-03-01,1214.300049,1222.699951,1144.300049,1183.099976,1183.099976,215205</t>
  </si>
  <si>
    <t>2015-04-01,1182.900024,1224.199951,1174.599976,1183.500000,1183.500000,328901746</t>
  </si>
  <si>
    <t>2015-05-01,1178.099976,1228.099976,1170.000000,1189.400024,1189.400024,258123</t>
  </si>
  <si>
    <t>2015-06-01,1190.599976,1204.000000,1164.000000,1172.099976,1172.099976,597263843</t>
  </si>
  <si>
    <t>2015-07-01,1173.099976,1173.099976,1078.599976,1094.900024,1094.900024,216892</t>
  </si>
  <si>
    <t>2015-08-01,1083.699951,1169.800049,1079.099976,1131.599976,1131.599976,1894250570</t>
  </si>
  <si>
    <t>2015-09-01,1133.500000,1155.900024,1098.199951,1115.500000,1115.500000,9119</t>
  </si>
  <si>
    <t>2015-10-01,1115.199951,1189.000000,1105.800049,1141.500000,1141.500000,4321</t>
  </si>
  <si>
    <t>2015-11-01,1141.300049,1142.699951,1051.099976,1065.800049,1065.800049,1599812103</t>
  </si>
  <si>
    <t>2015-12-01,1064.599976,1098.800049,1046.199951,1060.300049,1060.300049,10149</t>
  </si>
  <si>
    <t>2016-01-01,1061.500000,1128.000000,1061.000000,1117.300049,1117.300049,2385571803</t>
  </si>
  <si>
    <t>2016-02-01,1116.699951,1260.800049,1115.300049,1233.900024,1233.900024,13930</t>
  </si>
  <si>
    <t>2016-03-01,1240.500000,1280.699951,1210.000000,1234.199951,1234.199951,244751</t>
  </si>
  <si>
    <t>2016-04-01,1232.300049,1295.500000,1209.199951,1289.199951,1289.199951,9954</t>
  </si>
  <si>
    <t>2016-05-01,1293.199951,1306.000000,1199.000000,1214.800049,1214.800049,1923146269</t>
  </si>
  <si>
    <t>2016-06-01,1215.699951,1355.599976,1205.400024,1318.400024,1318.400024,13380</t>
  </si>
  <si>
    <t>2016-07-01,1324.500000,1374.900024,1312.800049,1349.000000,1349.000000,281653</t>
  </si>
  <si>
    <t>2016-08-01,1348.800049,1366.000000,1306.300049,1306.900024,1306.900024,11854</t>
  </si>
  <si>
    <t>2016-09-01,1305.300049,1350.500000,1301.500000,1318.800049,1318.800049,765379220</t>
  </si>
  <si>
    <t>2016-10-01,1313.500000,1316.800049,1248.900024,1271.500000,1271.500000,5775</t>
  </si>
  <si>
    <t>2016-11-01,1279.300049,1318.599976,1167.900024,1170.800049,1170.800049,242622</t>
  </si>
  <si>
    <t>2016-12-01,1172.699951,1186.699951,1123.900024,1150.000000,1150.000000,9972</t>
  </si>
  <si>
    <t>2017-01-01,1154.400024,1223.000000,1146.500000,1208.599976,1208.599976,2539728596</t>
  </si>
  <si>
    <t>2017-02-01,1211.900024,1263.099976,1197.900024,1252.599976,1252.599976,11087</t>
  </si>
  <si>
    <t>2017-03-01,1247.800049,1257.699951,1196.199951,1247.300049,1247.300049,251026</t>
  </si>
  <si>
    <t>2017-04-01,1251.900024,1297.400024,1243.000000,1266.099976,1266.099976,2210948019</t>
  </si>
  <si>
    <t>2017-05-01,1268.699951,1273.199951,1214.000000,1272.000000,1272.000000,404733</t>
  </si>
  <si>
    <t>2017-06-01,1268.000000,1295.199951,1238.099976,1240.699951,1240.699951,8948</t>
  </si>
  <si>
    <t>2017-07-01,1241.699951,1277.300049,1204.000000,1266.599976,1266.599976,2376990246</t>
  </si>
  <si>
    <t>2017-08-01,1268.400024,1323.800049,1251.400024,1316.199951,1316.199951,10098</t>
  </si>
  <si>
    <t>2017-09-01,1320.199951,1355.800049,1277.000000,1281.500000,1281.500000,26808</t>
  </si>
  <si>
    <t>2017-10-01,1282.199951,1308.400024,1260.500000,1267.000000,1267.000000,1605747936</t>
  </si>
  <si>
    <t>2017-11-01,1272.199951,1300.099976,1265.300049,1277.900024,1277.900024,2847920918</t>
  </si>
  <si>
    <t>2017-12-01,1274.099976,1306.300049,1236.500000,1306.300049,1306.300049,7596</t>
  </si>
  <si>
    <t>2018-01-01,1305.300049,1365.400024,1302.300049,1339.000000,1339.000000,4214050197</t>
  </si>
  <si>
    <t>2018-02-01,1343.800049,1361.400024,1307.000000,1315.500000,1315.500000,10243</t>
  </si>
  <si>
    <t>2018-03-01,1310.400024,1354.400024,1301.800049,1322.800049,1322.800049,356297</t>
  </si>
  <si>
    <t>2018-04-01,1330.699951,1369.400024,1309.599976,1316.199951,1316.199951,3213516281</t>
  </si>
  <si>
    <t>2018-05-01,1313.199951,1320.800049,1285.199951,1300.099976,1300.099976,441893</t>
  </si>
  <si>
    <t>2018-06-01,1298.599976,1307.699951,1244.800049,1251.300049,1251.300049,5166</t>
  </si>
  <si>
    <t>2018-07-01,1249.900024,1262.300049,1211.699951,1223.699951,1223.699951,319715</t>
  </si>
  <si>
    <t>2018-08-01,1222.900024,1223.699951,1161.400024,1200.300049,1200.300049,5996</t>
  </si>
  <si>
    <t>2018-09-01,1206.300049,1218.000000,1180.000000,1191.500000,1191.500000,2861105313</t>
  </si>
  <si>
    <t>2018-10-01,1191.599976,1238.599976,1183.699951,1212.300049,1212.300049,4126</t>
  </si>
  <si>
    <t>2018-11-01,1215.400024,1236.000000,1196.300049,1220.199951,1220.199951,304805</t>
  </si>
  <si>
    <t>2018-12-01,1227.800049,1286.500000,1221.300049,1284.699951,1284.699951,1932785358</t>
  </si>
  <si>
    <t>2019-01-01,1285.000000,1331.099976,1275.300049,1319.699951,1319.699951,2608402502</t>
  </si>
  <si>
    <t>2019-02-01,1320.300049,1344.000000,1301.599976,1312.800049,1312.800049,7989</t>
  </si>
  <si>
    <t>2019-03-01,1312.199951,1322.900024,1281.000000,1293.000000,1293.000000,295700</t>
  </si>
  <si>
    <t>2019-04-01,1291.800049,1309.099976,1266.000000,1282.800049,1282.800049,6961</t>
  </si>
  <si>
    <t>2019-05-01,1278.699951,1311.900024,1266.599976,1310.199951,1310.199951,2185342576</t>
  </si>
  <si>
    <t>2019-06-01,1312.500000,1442.900024,1307.000000,1409.699951,1409.699951,3590063213</t>
  </si>
  <si>
    <t>2019-07-01,1386.599976,1444.199951,1382.800049,1426.099976,1426.099976,302051</t>
  </si>
  <si>
    <t>2019-08-01,1411.300049,1549.300049,1400.900024,1519.099976,1519.099976,17142</t>
  </si>
  <si>
    <t>2019-09-01,1535.199951,1566.199951,1463.500000,1465.699951,1465.699951,4181273676</t>
  </si>
  <si>
    <t>2019-10-01,1468.699951,1518.199951,1458.300049,1511.400024,1511.400024,5233</t>
  </si>
  <si>
    <t>2019-11-01,1511.000000,1511.599976,1447.099976,1465.599976,1465.599976,443701</t>
  </si>
  <si>
    <t>2019-12-01,1462.800049,1529.000000,1453.300049,1520.000000,1520.000000,120952773</t>
  </si>
  <si>
    <t>2020-01-01,1521.000000,1604.199951,1518.000000,1582.900024,1582.900024,50731229</t>
  </si>
  <si>
    <t>2020-02-01,1597.800049,1686.599976,1547.699951,1642.500000,1642.500000,43029857</t>
  </si>
  <si>
    <t>2020-03-01,1583.900024,1701.599976,1452.099976,1583.400024,1583.400024,3351838</t>
  </si>
  <si>
    <t>2020-04-01,1570.000000,1775.000000,1570.000000,1684.199951,1684.199951,1445984</t>
  </si>
  <si>
    <t>2020-05-01,1686.599976,1770.500000,1670.500000,1755.099976,1755.099976,32347521</t>
  </si>
  <si>
    <t>2020-06-01,1740.400024,1793.199951,1668.599976,1793.000000,1793.000000,1880902</t>
  </si>
  <si>
    <t>2020-07-01,1793.599976,1981.099976,1765.800049,1962.800049,1962.800049,2225222</t>
  </si>
  <si>
    <t>2020-05-01,175.800003,187.509995,173.800003,183.250000,182.741058,688854900</t>
  </si>
  <si>
    <t xml:space="preserve">This Workbook is inteneded for English and Czech Formatted worksheets. </t>
  </si>
  <si>
    <t>1985-07-01,0.323661,0.325893,0.283482,0.283482,0.223605,650148800</t>
  </si>
  <si>
    <t>1985-08-01,0.283482,0.287946,0.258929,0.267857,0.211280,454686400</t>
  </si>
  <si>
    <t>1985-09-01,0.267857,2.000000,0.263393,0.281250,0.221844,449549600</t>
  </si>
  <si>
    <t>1985-10-01,0.281250,0.343750,0.267857,0.332589,0.262339,946478400</t>
  </si>
  <si>
    <t>1985-11-01,0.332589,0.370536,0.332589,0.359375,0.283467,721168000</t>
  </si>
  <si>
    <t>1985-12-01,0.359375,0.408482,0.343750,0.392857,0.309877,892802400</t>
  </si>
  <si>
    <t>1986-01-01,0.392857,0.441964,0.388393,0.412946,0.325723,1572950400</t>
  </si>
  <si>
    <t>1986-02-01,0.412946,0.477679,0.408482,0.446429,0.352133,855215200</t>
  </si>
  <si>
    <t>1986-03-01,0.446429,0.529018,0.433036,0.504464,0.397911,1066083200</t>
  </si>
  <si>
    <t>1986-04-01,0.504464,0.584821,0.468750,0.540179,0.426081,1115671200</t>
  </si>
  <si>
    <t>1986-05-01,0.540179,0.669643,0.531250,0.660714,0.521157,1238512800</t>
  </si>
  <si>
    <t>1986-06-01,0.660714,0.698661,0.580357,0.640625,0.505311,1015840000</t>
  </si>
  <si>
    <t>1986-07-01,0.640625,0.674107,0.535714,0.558036,0.440166,1422909600</t>
  </si>
  <si>
    <t>1986-08-01,0.555804,0.678571,0.546875,0.660714,0.521157,910879200</t>
  </si>
  <si>
    <t>1986-09-01,0.662946,0.662946,0.564732,0.598214,0.471858,894549600</t>
  </si>
  <si>
    <t>1986-10-01,0.595982,0.629464,0.575893,0.618304,0.487705,746009600</t>
  </si>
  <si>
    <t>1986-11-01,0.620536,0.736607,0.604911,0.714286,0.563413,1301540800</t>
  </si>
  <si>
    <t>1986-12-01,0.714286,0.783482,0.698661,0.723214,0.570456,1190644000</t>
  </si>
  <si>
    <t>1987-01-01,0.720982,1.022321,0.716518,0.991071,0.781736,2067228800</t>
  </si>
  <si>
    <t>1987-02-01,0.991071,1.274554,0.921875,1.250000,0.985973,1654044000</t>
  </si>
  <si>
    <t>1987-03-01,1.254464,1.258929,1.111607,1.151786,0.908504,1489829600</t>
  </si>
  <si>
    <t>1987-04-01,1.125000,1.428571,1.113839,1.415179,1.116262,1703290400</t>
  </si>
  <si>
    <t>1987-05-01,1.419643,1.468750,1.294643,1.410714,1.112741,959739200</t>
  </si>
  <si>
    <t>1987-06-01,1.419643,1.544643,1.357143,1.446429,1.142645,874384000</t>
  </si>
  <si>
    <t>1987-07-01,1.455357,1.598214,1.303571,1.473214,1.163805,767564000</t>
  </si>
  <si>
    <t>1987-08-01,1.464286,1.937500,1.428571,1.928571,1.523527,779825200</t>
  </si>
  <si>
    <t>1987-09-01,1.955357,2.098214,1.732143,2.017857,1.596117,768871600</t>
  </si>
  <si>
    <t>1987-10-01,2.026786,2.133929,0.986607,1.379464,1.091151,1643924800</t>
  </si>
  <si>
    <t>1987-11-01,1.383929,1.428571,1.089286,1.178571,0.932246,1058559600</t>
  </si>
  <si>
    <t>1987-12-01,1.196429,1.562500,1.062500,1.500000,1.189085,1175566000</t>
  </si>
  <si>
    <t>1988-01-01,1.526786,1.651786,1.366071,1.482143,1.174929,1555400000</t>
  </si>
  <si>
    <t>1988-02-01,1.491071,1.562500,1.348214,1.535714,1.217397,842116800</t>
  </si>
  <si>
    <t>1988-03-01,1.544643,1.705357,1.383929,1.428571,1.134699,1220525600</t>
  </si>
  <si>
    <t>1988-04-01,1.419643,1.513393,1.375000,1.464286,1.163067,824482400</t>
  </si>
  <si>
    <t>1988-05-01,1.455357,1.540179,1.334821,1.482143,1.177249,659626800</t>
  </si>
  <si>
    <t>1988-06-01,1.482143,1.669643,1.473214,1.651786,1.314594,883682800</t>
  </si>
  <si>
    <t>1988-07-01,1.660714,1.696429,1.508929,1.584821,1.261300,546604800</t>
  </si>
  <si>
    <t>1988-08-01,1.589286,1.633929,1.401786,1.424107,1.133394,663328400</t>
  </si>
  <si>
    <t>1988-09-01,1.419643,1.580357,1.348214,1.544643,1.231644,765080400</t>
  </si>
  <si>
    <t>1988-10-01,1.535714,1.544643,1.339286,1.379464,1.099937,890912400</t>
  </si>
  <si>
    <t>1988-11-01,1.375000,1.419643,1.267857,1.343750,1.071459,734966400</t>
  </si>
  <si>
    <t>1988-12-01,1.348214,1.500000,1.339286,1.437500,1.149236,736517600</t>
  </si>
  <si>
    <t>1989-01-01,1.437500,1.571429,1.294643,1.348214,1.077855,1836458400</t>
  </si>
  <si>
    <t>1989-02-01,1.348214,1.437500,1.258929,1.294643,1.035026,1221567200</t>
  </si>
  <si>
    <t>1989-03-01,1.294643,1.303571,1.196429,1.272321,1.019984,964919200</t>
  </si>
  <si>
    <t>1989-04-01,1.267857,1.486607,1.209821,1.392857,1.116613,991606000</t>
  </si>
  <si>
    <t>1989-05-01,1.375000,1.750000,1.375000,1.705357,1.367136,1313345600</t>
  </si>
  <si>
    <t>1989-06-01,1.705357,1.794643,1.410714,1.473214,1.183620,985320000</t>
  </si>
  <si>
    <t>1989-07-01,1.491071,1.500000,1.348214,1.419643,1.140579,922157600</t>
  </si>
  <si>
    <t>1989-08-01,1.419643,1.633929,1.401786,1.589286,1.276875,838076400</t>
  </si>
  <si>
    <t>1989-09-01,1.589286,1.669643,1.535714,1.589286,1.279902,505212400</t>
  </si>
  <si>
    <t>1989-10-01,1.589286,1.799107,1.517857,1.660714,1.337426,1031262400</t>
  </si>
  <si>
    <t>1989-11-01,1.651786,1.687500,1.517857,1.580357,1.272712,631234800</t>
  </si>
  <si>
    <t>1989-12-01,1.589286,1.633929,1.160714,1.258929,1.016355,1485296400</t>
  </si>
  <si>
    <t>1990-01-01,1.258929,1.383929,1.147321,1.214286,0.980314,936874400</t>
  </si>
  <si>
    <t>1990-02-01,1.232143,1.258929,1.151786,1.214286,0.980314,620972800</t>
  </si>
  <si>
    <t>1990-03-01,1.196429,1.549107,1.187500,1.437500,1.164259,1139118400</t>
  </si>
  <si>
    <t>1990-04-01,1.428571,1.580357,1.361607,1.406250,1.138949,910618800</t>
  </si>
  <si>
    <t>1990-05-01,1.419643,1.526786,1.383929,1.473214,1.193185,1028907600</t>
  </si>
  <si>
    <t>1990-06-01,1.477679,1.602679,1.339286,1.598214,1.298018,988013600</t>
  </si>
  <si>
    <t>1990-07-01,1.589286,1.705357,1.428571,1.500000,1.218252,1040953200</t>
  </si>
  <si>
    <t>1990-08-01,1.500000,1.562500,1.196429,1.321429,1.073222,782084800</t>
  </si>
  <si>
    <t>1990-09-01,1.303571,1.339286,0.973214,1.035714,0.843717,551737200</t>
  </si>
  <si>
    <t>1990-10-01,1.053571,1.142857,0.866071,1.098214,0.894632,1264029200</t>
  </si>
  <si>
    <t>1990-11-01,1.089286,1.375000,1.062500,1.312500,1.069193,813652000</t>
  </si>
  <si>
    <t>1990-12-01,1.330357,1.616071,1.321429,1.535714,1.255218,1023523200</t>
  </si>
  <si>
    <t>1991-01-01,1.526786,2.000000,1.500000,1.982143,1.620106,1759326800</t>
  </si>
  <si>
    <t>1991-02-01,1.982143,2.223214,1.955357,2.044643,1.671191,1386445200</t>
  </si>
  <si>
    <t>1991-03-01,2.035714,2.508929,2.035714,2.428571,1.989178,1302649600</t>
  </si>
  <si>
    <t>1991-04-01,2.428571,2.616071,1.946429,1.964286,1.608894,1810762800</t>
  </si>
  <si>
    <t>1991-05-01,1.714286,1.919643,1.571429,1.678571,1.374873,1993210800</t>
  </si>
  <si>
    <t>1991-06-01,1.678571,1.767857,1.437500,1.482143,1.217094,1022915600</t>
  </si>
  <si>
    <t>1991-07-01,1.508929,1.723214,1.491071,1.651786,1.356400,945873600</t>
  </si>
  <si>
    <t>1991-08-01,1.642857,1.982143,1.633929,1.892857,1.554361,1043162400</t>
  </si>
  <si>
    <t>1991-09-01,1.883929,1.910714,1.660714,1.767857,1.454997,598267600</t>
  </si>
  <si>
    <t>1991-10-01,1.758929,2.008929,1.660714,1.839286,1.513784,898497600</t>
  </si>
  <si>
    <t>1991-11-01,1.830357,1.973214,1.696429,1.812500,1.491739,924008400</t>
  </si>
  <si>
    <t>1991-12-01,1.812500,2.071429,1.732143,2.013393,1.661070,651792400</t>
  </si>
  <si>
    <t>1992-01-01,1.991071,2.464286,1.982143,2.312500,1.907837,1175790000</t>
  </si>
  <si>
    <t>1992-02-01,2.312500,2.500000,2.205357,2.410714,1.988865,633749200</t>
  </si>
  <si>
    <t>1992-03-01,2.419643,2.446429,2.062500,2.080357,1.719531,746415600</t>
  </si>
  <si>
    <t>1992-04-01,2.044643,2.187500,1.892857,2.147321,1.774881,982847600</t>
  </si>
  <si>
    <t>1992-05-01,2.142857,2.258929,2.080357,2.133929,1.763811,675931200</t>
  </si>
  <si>
    <t>1992-06-01,2.044643,2.125000,1.526786,1.714286,1.416952,1212920800</t>
  </si>
  <si>
    <t>1992-07-01,1.714286,1.767857,1.553571,1.669643,1.382832,908202400</t>
  </si>
  <si>
    <t>1992-08-01,1.669643,1.687500,1.482143,1.642857,1.360649,686632800</t>
  </si>
  <si>
    <t>1992-09-01,1.651786,1.785714,1.562500,1.611607,1.338359,763915600</t>
  </si>
  <si>
    <t>1992-10-01,1.598214,1.928571,1.482143,1.875000,1.557093,882856800</t>
  </si>
  <si>
    <t>1992-11-01,1.875000,2.125000,1.839286,2.053571,1.705388,781636800</t>
  </si>
  <si>
    <t>1992-12-01,2.044643,2.187500,1.946429,2.133929,1.775897,833579600</t>
  </si>
  <si>
    <t>1993-01-01,2.125000,2.330357,2.044643,2.125000,1.768466,1385566000</t>
  </si>
  <si>
    <t>1993-02-01,2.116071,2.196429,1.839286,1.892857,1.575272,1162820400</t>
  </si>
  <si>
    <t>1993-03-01,1.892857,2.062500,1.794643,1.839286,1.534032,915381600</t>
  </si>
  <si>
    <t>1993-04-01,1.830357,1.875000,1.669643,1.830357,1.526585,978602800</t>
  </si>
  <si>
    <t>1993-05-01,1.830357,2.111607,1.821429,2.022321,1.686690,800136400</t>
  </si>
  <si>
    <t>1993-06-01,2.017857,2.080357,1.375000,1.410714,1.179050,1918599200</t>
  </si>
  <si>
    <t>1993-07-01,1.392857,1.419643,0.910714,0.991071,0.828320,1785728000</t>
  </si>
  <si>
    <t>1993-08-01,1.008929,1.098214,0.924107,0.946429,0.791009,920791200</t>
  </si>
  <si>
    <t>1993-09-01,0.946429,0.964286,0.821429,0.834821,0.700804,917005600</t>
  </si>
  <si>
    <t>1993-10-01,0.812500,1.151786,0.785714,1.098214,0.921914,1476330800</t>
  </si>
  <si>
    <t>1993-11-01,1.098214,1.250000,1.062500,1.125000,0.944400,863027200</t>
  </si>
  <si>
    <t>1993-12-01,1.142857,1.160714,0.946429,1.044643,0.880098,989242800</t>
  </si>
  <si>
    <t>1994-01-01,1.053571,1.258929,1.026786,1.169643,0.985409,1833008800</t>
  </si>
  <si>
    <t>1994-02-01,1.178571,1.366071,1.151786,1.303571,1.098242,1071114800</t>
  </si>
  <si>
    <t>1994-03-01,1.312500,1.375000,1.125000,1.187500,1.004053,1314496400</t>
  </si>
  <si>
    <t>1994-04-01,1.151786,1.223214,0.964286,1.071429,0.905913,1010534000</t>
  </si>
  <si>
    <t>1994-05-01,1.071429,1.205357,1.017857,1.044643,0.883265,840414400</t>
  </si>
  <si>
    <t>1994-06-01,1.017857,1.022321,0.879464,0.946429,0.803387,1167947200</t>
  </si>
  <si>
    <t>1994-07-01,0.941964,1.214286,0.906250,1.203125,1.021287,1212016400</t>
  </si>
  <si>
    <t>1994-08-01,1.200893,1.334821,1.147321,1.292411,1.097078,1143724400</t>
  </si>
  <si>
    <t>1994-09-01,1.263393,1.330357,1.191964,1.203125,1.024829,808161200</t>
  </si>
  <si>
    <t>1994-10-01,1.200893,1.562500,1.160714,1.542411,1.313835,1928371200</t>
  </si>
  <si>
    <t>1994-11-01,1.531250,1.553013,1.299107,1.330357,1.133207,1012236400</t>
  </si>
  <si>
    <t>1994-12-01,1.321429,1.424107,1.241071,1.392857,1.190018,946948800</t>
  </si>
  <si>
    <t>1995-01-01,1.388393,1.716518,1.352679,1.441964,1.231974,2040525200</t>
  </si>
  <si>
    <t>1995-02-01,1.455357,1.589286,1.357143,1.410714,1.205275,1324836800</t>
  </si>
  <si>
    <t>1995-03-01,1.419643,1.455357,1.209821,1.258929,1.078555,1749286000</t>
  </si>
  <si>
    <t>1995-04-01,1.267857,1.415179,1.200893,1.366071,1.170347,1418575200</t>
  </si>
  <si>
    <t>1995-05-01,1.366071,1.584821,1.339286,1.484375,1.271700,1596168000</t>
  </si>
  <si>
    <t>1995-06-01,1.495536,1.790179,1.482143,1.658482,1.424808,1380486800</t>
  </si>
  <si>
    <t>1995-07-01,1.660714,1.781250,1.535714,1.607143,1.380702,1424894800</t>
  </si>
  <si>
    <t>1995-08-01,1.602679,1.651786,1.495536,1.535714,1.319337,1323229600</t>
  </si>
  <si>
    <t>1995-09-01,1.535714,1.625000,1.241071,1.330357,1.146039,1827870800</t>
  </si>
  <si>
    <t>1995-10-01,1.348214,1.412946,1.200893,1.296875,1.117195,1624627200</t>
  </si>
  <si>
    <t>1995-11-01,1.308036,1.517857,1.267857,1.361607,1.172959,1216073600</t>
  </si>
  <si>
    <t>1995-12-01,1.357143,1.433036,1.129464,1.138393,0.983730,1640060800</t>
  </si>
  <si>
    <t>1996-01-01,1.151786,1.267857,0.959263,0.986607,0.852566,2575053600</t>
  </si>
  <si>
    <t>1996-02-01,0.982143,1.080357,0.973214,0.982143,0.848708,1163024800</t>
  </si>
  <si>
    <t>1996-03-01,0.986607,0.986607,0.821429,0.877232,0.758051,836687600</t>
  </si>
  <si>
    <t>1996-04-01,0.897321,0.946429,0.848214,0.870536,0.752264,716769200</t>
  </si>
  <si>
    <t>1996-05-01,0.870536,1.031250,0.839286,0.933036,0.806273,900975600</t>
  </si>
  <si>
    <t>1996-06-01,0.924107,0.928571,0.700893,0.750000,0.648105,1168484800</t>
  </si>
  <si>
    <t>1996-07-01,0.754464,0.812500,0.571429,0.785714,0.678967,1200872400</t>
  </si>
  <si>
    <t>1996-08-01,0.785714,0.892857,0.741071,0.866071,0.748406,796843600</t>
  </si>
  <si>
    <t>1996-09-01,0.861607,0.879464,0.723214,0.792411,0.684753,803387200</t>
  </si>
  <si>
    <t>1996-10-01,0.785714,0.991071,0.785714,0.821429,0.709829,1454244400</t>
  </si>
  <si>
    <t>1996-11-01,0.834821,0.941964,0.825893,0.861607,0.744549,645341200</t>
  </si>
  <si>
    <t>1996-12-01,0.861607,0.910714,0.741071,0.745536,0.644247,1036870800</t>
  </si>
  <si>
    <t>1997-01-01,0.754464,0.794643,0.589286,0.593750,0.513083,2268184800</t>
  </si>
  <si>
    <t>1997-02-01,0.602679,0.638393,0.540179,0.580357,0.501509,1143542400</t>
  </si>
  <si>
    <t>1997-03-01,0.589286,0.691964,0.566964,0.651786,0.563234,1125560800</t>
  </si>
  <si>
    <t>1997-04-01,0.629464,0.709821,0.598214,0.607143,0.524656,952431200</t>
  </si>
  <si>
    <t>1997-05-01,0.602679,0.642857,0.584821,0.593750,0.513083,573176800</t>
  </si>
  <si>
    <t>1997-06-01,0.607143,0.611607,0.500000,0.508929,0.439785,643076000</t>
  </si>
  <si>
    <t>1997-07-01,0.497768,0.647321,0.455357,0.625000,0.540087,1695593200</t>
  </si>
  <si>
    <t>1997-08-01,0.629464,1.055804,0.627232,0.776786,0.671251,4418926400</t>
  </si>
  <si>
    <t>1997-09-01,0.785714,0.830357,0.750000,0.774554,0.669322,901518800</t>
  </si>
  <si>
    <t>1997-10-01,0.774554,0.883929,0.566964,0.608259,0.525621,1607510800</t>
  </si>
  <si>
    <t>1997-11-01,0.627232,0.767857,0.602679,0.633929,0.547803,1386870800</t>
  </si>
  <si>
    <t>1997-12-01,0.631696,0.640625,0.455357,0.468750,0.405065,1274448000</t>
  </si>
  <si>
    <t>1998-01-01,0.486607,0.714286,0.482143,0.654018,0.565163,2552894400</t>
  </si>
  <si>
    <t>1998-02-01,0.660714,0.852679,0.620536,0.843750,0.729118,1838541600</t>
  </si>
  <si>
    <t>1998-03-01,0.841518,1.000000,0.772321,0.982143,0.848708,2656494400</t>
  </si>
  <si>
    <t>1998-04-01,0.979911,1.058036,0.881696,0.977679,0.844850,2020471600</t>
  </si>
  <si>
    <t>1998-05-01,0.982143,1.129464,0.915179,0.950893,0.821704,1700834800</t>
  </si>
  <si>
    <t>1998-06-01,0.946429,1.035714,0.915179,1.024554,0.885357,977460400</t>
  </si>
  <si>
    <t>1998-07-01,1.031250,1.361607,1.017857,1.236607,1.068601,2731915200</t>
  </si>
  <si>
    <t>1998-08-01,1.223214,1.562500,1.107143,1.113839,0.962512,3305218000</t>
  </si>
  <si>
    <t>1998-09-01,1.120536,1.435268,1.093750,1.361607,1.176618,2020079600</t>
  </si>
  <si>
    <t>1998-10-01,1.312500,1.475446,1.017857,1.325893,1.145756,3232731600</t>
  </si>
  <si>
    <t>1998-11-01,1.339286,1.406250,1.133929,1.140625,0.985659,2530880800</t>
  </si>
  <si>
    <t>1998-12-01,1.142857,1.482143,1.129464,1.462054,1.263418,3231026400</t>
  </si>
  <si>
    <t>1999-01-01,1.504464,1.689732,1.323661,1.470982,1.271134,3781850800</t>
  </si>
  <si>
    <t>1999-02-01,1.488839,1.497768,1.232143,1.243304,1.074387,2029129200</t>
  </si>
  <si>
    <t>1999-03-01,1.243304,1.325893,1.142857,1.283482,1.109107,2487998800</t>
  </si>
  <si>
    <t>1999-04-01,1.287946,1.683036,1.196429,1.642857,1.419657,3972242400</t>
  </si>
  <si>
    <t>1999-05-01,1.645089,1.785714,1.462054,1.573661,1.359862,2227226400</t>
  </si>
  <si>
    <t>1999-06-01,1.607143,1.750000,1.502232,1.654018,1.429302,1729655200</t>
  </si>
  <si>
    <t>1999-07-01,1.654018,2.022321,1.613839,1.988839,1.718634,2866645600</t>
  </si>
  <si>
    <t>1999-08-01,1.986607,2.352679,1.861607,2.330357,2.013753,2311150800</t>
  </si>
  <si>
    <t>1999-09-01,2.392857,2.861607,2.051339,2.261161,1.953958,4741867200</t>
  </si>
  <si>
    <t>1999-10-01,2.218750,2.895089,2.125000,2.861607,2.472827,3617124000</t>
  </si>
  <si>
    <t>1999-11-01,2.857143,3.705357,2.761161,3.495536,3.020630,2156232400</t>
  </si>
  <si>
    <t>1999-12-01,3.607143,4.214286,3.252232,3.671875,3.173011,2354553600</t>
  </si>
  <si>
    <t>2000-01-01,3.745536,4.339286,3.089286,3.705357,3.201945,3138794400</t>
  </si>
  <si>
    <t>2000-02-01,3.714286,4.283482,3.464286,4.093750,3.537570,1829945600</t>
  </si>
  <si>
    <t>2000-03-01,4.234375,5.370536,4.071429,4.850446,4.191461,2174589200</t>
  </si>
  <si>
    <t>2000-04-01,4.839286,4.982143,3.745536,4.430804,3.828833,2165601200</t>
  </si>
  <si>
    <t>2000-05-01,4.459821,4.508929,2.919643,3.000000,2.592418,2451937600</t>
  </si>
  <si>
    <t>2000-06-01,2.919643,4.116071,2.870536,3.741071,3.232807,2026301200</t>
  </si>
  <si>
    <t>2000-07-01,3.723214,4.330357,3.348214,3.629464,3.136363,1436692600</t>
  </si>
  <si>
    <t>2000-08-01,3.593750,4.392857,3.160714,4.352679,3.761322,1409021600</t>
  </si>
  <si>
    <t>2000-09-01,4.379464,4.580357,1.812500,1.839286,1.589399,3629232600</t>
  </si>
  <si>
    <t>2000-10-01,1.906250,1.910714,1.250000,1.397321,1.207480,5476447200</t>
  </si>
  <si>
    <t>2000-11-01,1.388393,1.642857,1.151786,1.178571,1.018450,2122093400</t>
  </si>
  <si>
    <t>2000-12-01,1.214286,1.250000,0.973214,1.062500,0.918148,2214742600</t>
  </si>
  <si>
    <t>2001-01-01,1.062500,1.607143,1.031250,1.544643,1.334787,3427365200</t>
  </si>
  <si>
    <t>2001-02-01,1.477679,1.566964,1.285714,1.303571,1.126467,1755941600</t>
  </si>
  <si>
    <t>2001-03-01,1.272321,1.696429,1.227679,1.576429,1.362254,2699765600</t>
  </si>
  <si>
    <t>2001-04-01,1.577857,1.937143,1.339286,1.820714,1.573351,2789747800</t>
  </si>
  <si>
    <t>2001-05-01,1.815000,1.907143,1.378571,1.425000,1.231398,1867108600</t>
  </si>
  <si>
    <t>2001-06-01,1.437857,1.792857,1.382143,1.660714,1.435089,1909566400</t>
  </si>
  <si>
    <t>2001-07-01,1.688571,1.801429,1.275000,1.342143,1.159799,2163775600</t>
  </si>
  <si>
    <t>2001-08-01,1.357857,1.421429,1.234286,1.325000,1.144985,1282339800</t>
  </si>
  <si>
    <t>2001-09-01,1.321429,1.362857,1.048571,1.107857,0.957343,1382880800</t>
  </si>
  <si>
    <t>2001-10-01,1.106429,1.387143,1.059286,1.254286,1.083877,1886061800</t>
  </si>
  <si>
    <t>2001-11-01,1.260714,1.539286,1.232143,1.521429,1.314727,1342436200</t>
  </si>
  <si>
    <t>2001-12-01,1.504286,1.716429,1.435000,1.564286,1.351761,1157459800</t>
  </si>
  <si>
    <t>2002-01-01,1.575000,1.766429,1.446429,1.765714,1.525823,2128844200</t>
  </si>
  <si>
    <t>2002-02-01,1.738571,1.855714,1.495714,1.550000,1.339416,1959356000</t>
  </si>
  <si>
    <t>2002-03-01,1.566429,1.807143,1.558571,1.690714,1.461013,1329645800</t>
  </si>
  <si>
    <t>2002-04-01,1.670000,1.869286,1.642857,1.733571,1.498047,1605709000</t>
  </si>
  <si>
    <t>2002-05-01,1.735000,1.855714,1.581429,1.664286,1.438175,1494039400</t>
  </si>
  <si>
    <t>2002-06-01,1.670714,1.675000,1.141429,1.265714,1.093754,2177004200</t>
  </si>
  <si>
    <t>2002-07-01,1.265000,1.342143,0.985714,1.090000,0.941912,2029603800</t>
  </si>
  <si>
    <t>2002-08-01,1.079286,1.160714,0.997857,1.053571,0.910433,1287921600</t>
  </si>
  <si>
    <t>2002-09-01,1.035000,1.085000,1.003571,1.035714,0.895001,1322959400</t>
  </si>
  <si>
    <t>2002-10-01,1.042143,1.174286,0.954286,1.147857,0.991909,1652858200</t>
  </si>
  <si>
    <t>2002-11-01,1.138571,1.241429,1.072143,1.107143,0.956725,1132930400</t>
  </si>
  <si>
    <t>2002-12-01,1.135714,1.150000,0.984286,1.023571,0.884508,1132609800</t>
  </si>
  <si>
    <t>2003-01-01,1.025714,1.098571,0.968571,1.025714,0.886360,1511458200</t>
  </si>
  <si>
    <t>2003-02-01,1.029286,1.092857,0.985714,1.072143,0.926481,1028575800</t>
  </si>
  <si>
    <t>2003-03-01,1.072143,1.082857,1.002857,1.010000,0.872781,1007101200</t>
  </si>
  <si>
    <t>2003-04-01,1.014286,1.067857,0.908571,1.015714,0.877719,1943835600</t>
  </si>
  <si>
    <t>2003-05-01,1.017857,1.357857,1.000000,1.282143,1.107950,2702886200</t>
  </si>
  <si>
    <t>2003-06-01,1.292857,1.406429,1.187857,1.361429,1.176464,1528333800</t>
  </si>
  <si>
    <t>2003-07-01,1.347857,1.540714,1.322143,1.505714,1.301147,1304567600</t>
  </si>
  <si>
    <t>2003-08-01,1.500000,1.632143,1.387143,1.615000,1.395585,1076891200</t>
  </si>
  <si>
    <t>2003-09-01,1.618571,1.665714,1.439286,1.480000,1.278926,1336871200</t>
  </si>
  <si>
    <t>2003-10-01,1.479286,1.786429,1.442143,1.635000,1.412868,1760047800</t>
  </si>
  <si>
    <t>2003-11-01,1.630714,1.664286,1.417857,1.493571,1.290654,1243526200</t>
  </si>
  <si>
    <t>2003-12-01,1.502857,1.564286,1.375000,1.526429,1.319047,1363468400</t>
  </si>
  <si>
    <t>2004-01-01,1.539286,1.774286,1.512857,1.611429,1.392499,1981950600</t>
  </si>
  <si>
    <t>2004-02-01,1.604286,1.721429,1.550000,1.708571,1.476444,1230507600</t>
  </si>
  <si>
    <t>2004-03-01,1.721429,2.010000,1.685714,1.931429,1.669023,2906528800</t>
  </si>
  <si>
    <t>2004-04-01,1.920714,2.112857,1.820714,1.841429,1.591251,2232543600</t>
  </si>
  <si>
    <t>2004-05-01,1.857143,2.055714,1.821429,2.004286,1.731982,1326068800</t>
  </si>
  <si>
    <t>2004-06-01,1.985000,2.442143,1.972143,2.324286,2.008507,2056808600</t>
  </si>
  <si>
    <t>2004-07-01,2.292857,2.402143,2.052857,2.310000,1.996161,2424144800</t>
  </si>
  <si>
    <t>2004-08-01,2.227143,2.512857,2.121428,2.463571,2.128870,2002841400</t>
  </si>
  <si>
    <t>2004-09-01,2.450000,2.805000,2.442143,2.767857,2.391814,1918376600</t>
  </si>
  <si>
    <t>2004-10-01,2.794286,3.800000,2.689286,3.742857,3.234350,4023591600</t>
  </si>
  <si>
    <t>2004-11-01,3.750000,4.969285,3.717143,4.789286,4.138610,4359901000</t>
  </si>
  <si>
    <t>2004-12-01,4.842143,4.853571,4.400000,4.600000,3.975041,3987153800</t>
  </si>
  <si>
    <t>2005-01-01,4.627143,5.563571,4.471428,5.492857,4.746594,6427061200</t>
  </si>
  <si>
    <t>2005-02-01,5.503572,6.491428,5.470000,6.408571,5.537899,5362236600</t>
  </si>
  <si>
    <t>2005-03-01,6.427143,6.444286,5.547143,5.952857,5.144097,3668980000</t>
  </si>
  <si>
    <t>2005-04-01,6.012857,6.350000,4.857143,5.151429,4.451554,4843879600</t>
  </si>
  <si>
    <t>2005-05-01,5.172857,5.848571,4.730000,5.680000,4.908310,3214573600</t>
  </si>
  <si>
    <t>2005-06-01,5.698571,5.822857,5.074286,5.258572,4.544139,2831798900</t>
  </si>
  <si>
    <t>2005-07-01,5.261428,6.340000,5.184286,6.092857,5.265078,2523561600</t>
  </si>
  <si>
    <t>2005-08-01,6.081429,6.904286,6.002857,6.698571,5.788498,2350201700</t>
  </si>
  <si>
    <t>2005-09-01,6.714286,7.794286,6.584286,7.658571,6.618073,3086942600</t>
  </si>
  <si>
    <t>2005-10-01,7.737143,8.282857,6.838572,8.227143,7.109398,4660861800</t>
  </si>
  <si>
    <t>2005-11-01,8.177143,10.152857,8.124286,9.688571,8.372276,3364106900</t>
  </si>
  <si>
    <t>2005-12-01,9.850000,10.780000,9.830000,10.270000,8.874711,3266041100</t>
  </si>
  <si>
    <t>2006-01-01,10.340000,12.342857,10.124286,10.787143,9.321595,5469592800</t>
  </si>
  <si>
    <t>2006-02-01,10.707143,10.922857,8.985714,9.784286,8.454987,4690174300</t>
  </si>
  <si>
    <t>2006-03-01,9.834286,9.998571,8.238571,8.960000,7.742688,5798158100</t>
  </si>
  <si>
    <t>2006-04-01,9.095715,10.292857,8.721429,10.055715,8.689540,5029820600</t>
  </si>
  <si>
    <t>2006-05-01,10.110000,10.542857,8.384286,8.538571,7.378515,3902194800</t>
  </si>
  <si>
    <t>2006-06-01,8.550000,9.014286,7.915714,8.181429,7.069896,4484155900</t>
  </si>
  <si>
    <t>2006-07-01,8.217143,9.804286,7.165714,9.708571,8.389559,4369935500</t>
  </si>
  <si>
    <t>2006-08-01,9.602858,10.000000,8.940000,9.692857,8.375978,4471911500</t>
  </si>
  <si>
    <t>2006-09-01,9.782857,11.111428,9.688571,10.997143,9.503066,4430389600</t>
  </si>
  <si>
    <t>2006-10-01,10.728572,11.800000,10.371428,11.582857,10.009202,3596989200</t>
  </si>
  <si>
    <t>2006-11-01,11.585714,13.308572,11.112857,13.094286,11.315289,3458721000</t>
  </si>
  <si>
    <t>2006-12-01,13.114285,13.190000,10.967143,12.120000,10.473372,4222698200</t>
  </si>
  <si>
    <t>2007-01-01,12.327143,13.971429,11.700000,12.247143,10.583235,6802445300</t>
  </si>
  <si>
    <t>2007-02-01,12.318571,12.972857,11.837143,12.087143,10.444975,3430588700</t>
  </si>
  <si>
    <t>2007-03-01,12.004286,13.832857,11.964286,13.272857,11.469598,3979661000</t>
  </si>
  <si>
    <t>2007-04-01,13.448571,14.642858,12.800000,14.257143,12.320158,3364935000</t>
  </si>
  <si>
    <t>2007-05-01,14.227143,17.452858,14.078571,17.312857,14.960720,4341267000</t>
  </si>
  <si>
    <t>2007-06-01,17.299999,18.230000,16.485714,17.434286,15.065653,5819885400</t>
  </si>
  <si>
    <t>2007-07-01,17.292856,21.274286,17.042856,18.822857,16.265579,6004643400</t>
  </si>
  <si>
    <t>2007-08-01,19.091429,19.950001,15.945714,19.782858,17.095144,6090199500</t>
  </si>
  <si>
    <t>2007-09-01,19.991428,22.142857,18.571428,21.924286,18.945639,5232805900</t>
  </si>
  <si>
    <t>2007-10-01,22.090000,27.160000,21.847143,27.135714,23.449039,5819447900</t>
  </si>
  <si>
    <t>2007-11-01,26.942858,27.525715,21.518572,26.031429,22.494781,6549947600</t>
  </si>
  <si>
    <t>2007-12-01,25.980000,28.994286,25.284286,28.297142,24.452677,4313169700</t>
  </si>
  <si>
    <t>2008-01-01,28.467142,28.608572,18.020000,19.337143,16.709982,8793472100</t>
  </si>
  <si>
    <t>2008-02-01,19.462856,19.512857,16.491428,17.860001,15.433529,6216488600</t>
  </si>
  <si>
    <t>2008-03-01,17.777143,20.820000,16.857143,20.500000,17.714857,5731818400</t>
  </si>
  <si>
    <t>2008-04-01,20.900000,25.714285,20.515715,24.850000,21.473862,5696745600</t>
  </si>
  <si>
    <t>2008-05-01,24.994286,27.462856,24.571428,26.964285,23.300901,4647053600</t>
  </si>
  <si>
    <t>2008-06-01,26.942858,27.135714,23.450001,23.920000,20.670216,4868948700</t>
  </si>
  <si>
    <t>2008-07-01,23.461428,25.844286,20.932858,22.707144,19.622137,4937440200</t>
  </si>
  <si>
    <t>2008-08-01,22.842857,25.778572,21.844286,24.218571,20.928223,3271438800</t>
  </si>
  <si>
    <t>2008-09-01,24.628571,24.785715,14.370000,16.237143,14.031152,6016890600</t>
  </si>
  <si>
    <t>2008-10-01,15.988571,16.628571,12.142858,15.370000,13.281820,10356677800</t>
  </si>
  <si>
    <t>2008-11-01,15.132857,15.970000,11.305715,13.238571,11.439973,5904865400</t>
  </si>
  <si>
    <t>2008-12-01,13.042857,14.800000,12.078571,12.192857,10.536327,5053461700</t>
  </si>
  <si>
    <t>2009-01-01,12.268572,13.881429,11.171429,12.875714,11.126412,4526435200</t>
  </si>
  <si>
    <t>2009-02-01,12.728572,14.714286,12.358571,12.758572,11.025180,3466862700</t>
  </si>
  <si>
    <t>2009-03-01,12.588572,15.711429,11.761429,15.017143,12.976907,3856149500</t>
  </si>
  <si>
    <t>2009-04-01,14.870000,18.171429,14.841429,17.975714,15.533519,2955420300</t>
  </si>
  <si>
    <t>2009-05-01,17.971428,19.414286,17.054285,19.401428,16.765533,2364285700</t>
  </si>
  <si>
    <t>2009-06-01,19.495714,20.914286,18.982857,20.347143,17.582764,3168893000</t>
  </si>
  <si>
    <t>2009-07-01,20.500000,23.571428,19.202858,23.341429,20.170246,2735534200</t>
  </si>
  <si>
    <t>2009-08-01,23.601429,24.641428,22.774286,24.030001,20.765276,2041281200</t>
  </si>
  <si>
    <t>2009-09-01,23.998571,26.985714,23.444286,26.478571,22.881178,2497329800</t>
  </si>
  <si>
    <t>2009-10-01,26.478571,29.815714,25.814285,26.928572,23.270041,3239044200</t>
  </si>
  <si>
    <t>2009-11-01,27.114286,29.714285,26.510000,28.558571,24.678583,2113696200</t>
  </si>
  <si>
    <t>2009-12-01,28.891428,30.564285,26.954287,30.104286,26.014299,2848489700</t>
  </si>
  <si>
    <t>2010-01-01,30.490000,30.798571,27.178572,27.437143,23.709522,3792248600</t>
  </si>
  <si>
    <t>2010-02-01,27.481428,29.309999,27.264286,29.231428,25.260027,2694020000</t>
  </si>
  <si>
    <t>2010-03-01,29.392857,33.925713,29.350000,33.571430,29.010393,3038543200</t>
  </si>
  <si>
    <t>2010-04-01,33.915714,38.922855,33.250000,37.298573,32.231163,3091782400</t>
  </si>
  <si>
    <t>2010-05-01,37.691429,38.268570,28.464285,36.697144,31.711449,4520663700</t>
  </si>
  <si>
    <t>2010-06-01,37.098572,39.858570,34.599998,35.932858,31.051003,4162813200</t>
  </si>
  <si>
    <t>2010-07-01,36.328571,37.998573,34.228573,36.750000,31.757126,3917426100</t>
  </si>
  <si>
    <t>2010-08-01,37.205715,37.754284,33.651428,34.728573,30.010326,2397280200</t>
  </si>
  <si>
    <t>2010-09-01,35.352856,42.104286,35.182858,40.535713,35.028503,2962479800</t>
  </si>
  <si>
    <t>2010-10-01,40.878571,45.571430,39.681427,42.997143,37.155525,3058644400</t>
  </si>
  <si>
    <t>2010-11-01,43.174286,45.900002,42.537144,44.450001,38.411003,2377021500</t>
  </si>
  <si>
    <t>2010-12-01,45.038570,46.665714,44.984287,46.080002,39.819546,1743308700</t>
  </si>
  <si>
    <t>2011-01-01,46.520000,49.799999,46.405716,48.474285,41.888546,2710383900</t>
  </si>
  <si>
    <t>2011-02-01,48.757141,52.128571,48.245716,50.458572,43.603241,2323987400</t>
  </si>
  <si>
    <t>2011-03-01,50.781429,51.667141,46.608570,49.787144,43.023033,2826614700</t>
  </si>
  <si>
    <t>2011-04-01,50.158573,50.732857,45.737144,50.018570,43.223015,2313457300</t>
  </si>
  <si>
    <t>2011-05-01,49.962856,50.261429,47.060001,49.689999,42.939083,1728015100</t>
  </si>
  <si>
    <t>2011-06-01,49.838570,50.304287,44.357143,47.952858,41.437946,2315962600</t>
  </si>
  <si>
    <t>2011-07-01,47.992859,57.785713,47.742859,55.782856,48.204159,2663486700</t>
  </si>
  <si>
    <t>2011-08-01,56.825714,57.071430,50.431427,54.975716,47.506680,4035649800</t>
  </si>
  <si>
    <t>2011-09-01,55.117142,60.408573,52.354286,54.474285,47.073372,2994362000</t>
  </si>
  <si>
    <t>2011-10-01,54.338570,60.957142,50.605713,57.825714,49.969471,3285356900</t>
  </si>
  <si>
    <t>2011-11-01,56.772858,58.285713,51.902859,54.599998,47.181999,2240925400</t>
  </si>
  <si>
    <t>2011-12-01,54.648571,58.441429,53.954285,57.857143,49.996635,1576633100</t>
  </si>
  <si>
    <t>2012-01-01,58.485714,65.462860,58.428570,65.211426,56.351761,1714963600</t>
  </si>
  <si>
    <t>2012-02-01,65.487144,78.230003,64.854286,77.491432,66.963387,2842138600</t>
  </si>
  <si>
    <t>2012-03-01,78.309998,88.778572,73.745712,85.650002,74.013542,3896084500</t>
  </si>
  <si>
    <t>2012-04-01,85.975716,92.000000,79.285713,83.425713,72.091446,3899747600</t>
  </si>
  <si>
    <t>2012-05-01,83.557144,85.251427,74.597145,82.532860,71.319878,2776586400</t>
  </si>
  <si>
    <t>2012-06-01,81.308571,84.285713,78.357140,83.428574,72.093903,1963956400</t>
  </si>
  <si>
    <t>2012-07-01,83.532860,88.552856,81.428574,87.251427,75.397385,2227412600</t>
  </si>
  <si>
    <t>2012-08-01,87.987144,97.267143,85.750000,95.034286,82.122856,2069051600</t>
  </si>
  <si>
    <t>2012-09-01,95.108574,100.724289,93.714287,95.300003,82.706062,2299751300</t>
  </si>
  <si>
    <t>2012-10-01,95.879997,96.678574,83.957146,85.045715,73.806885,3035707500</t>
  </si>
  <si>
    <t>2012-11-01,85.459999,86.142860,72.250000,83.611427,72.562134,3232462800</t>
  </si>
  <si>
    <t>2012-12-01,84.807144,84.941429,71.604286,76.024284,66.278984,3033188200</t>
  </si>
  <si>
    <t>2013-01-01,79.117142,79.285713,62.142857,65.070000,56.728886,3280855900</t>
  </si>
  <si>
    <t>2013-02-01,65.587143,69.277145,62.522858,63.057144,54.974052,2336008500</t>
  </si>
  <si>
    <t>2013-03-01,62.571430,67.135712,59.857143,63.237144,55.452278,2294219200</t>
  </si>
  <si>
    <t>2013-04-01,63.128571,63.607143,55.014286,63.254284,55.467304,2740872400</t>
  </si>
  <si>
    <t>2013-05-01,63.494286,66.535713,59.842857,64.247147,56.337948,2361882600</t>
  </si>
  <si>
    <t>2013-06-01,64.389999,64.918571,55.552856,56.647144,50.002346,1754634000</t>
  </si>
  <si>
    <t>2013-07-01,57.527142,65.334282,57.317142,64.647141,57.063919,1634528700</t>
  </si>
  <si>
    <t>2013-08-01,65.107140,73.391426,64.751427,69.602859,61.438335,2014584600</t>
  </si>
  <si>
    <t>2013-09-01,70.442856,72.559998,63.888573,68.107140,60.514988,2157735300</t>
  </si>
  <si>
    <t>2013-10-01,68.349998,77.035713,68.325714,74.671425,66.347549,1959433000</t>
  </si>
  <si>
    <t>2013-11-01,74.860001,79.761429,73.197144,79.438568,70.583275,1306288900</t>
  </si>
  <si>
    <t>2013-12-01,79.714287,82.162857,76.971428,80.145714,71.627357,1764349300</t>
  </si>
  <si>
    <t>2014-01-01,79.382858,80.028572,70.507141,71.514282,63.913330,2191488600</t>
  </si>
  <si>
    <t>2014-02-01,71.801430,78.741432,71.328575,75.177139,67.186867,1470091700</t>
  </si>
  <si>
    <t>2014-03-01,74.774284,78.428574,74.687141,76.677139,68.937645,1250424700</t>
  </si>
  <si>
    <t>2014-04-01,76.822861,85.632858,73.047142,84.298569,75.789780,1608765200</t>
  </si>
  <si>
    <t>2014-05-01,84.571426,92.024284,82.904289,90.428574,81.301048,1433917100</t>
  </si>
  <si>
    <t>2014-06-01,90.565712,95.050003,88.928574,92.930000,84.016647,1206934800</t>
  </si>
  <si>
    <t>2014-07-01,93.519997,99.440002,92.570000,95.599998,86.430550,1035086000</t>
  </si>
  <si>
    <t>2014-08-01,94.900002,102.900002,93.279999,102.500000,92.668724,937077000</t>
  </si>
  <si>
    <t>2014-09-01,103.059998,103.739998,96.139999,100.750000,91.539680,1526420000</t>
  </si>
  <si>
    <t>2014-10-01,100.589996,108.040001,95.180000,108.000000,98.126854,1360280200</t>
  </si>
  <si>
    <t>2014-11-01,108.220001,119.750000,107.720001,118.930000,108.057663,820408200</t>
  </si>
  <si>
    <t>2014-12-01,118.809998,119.250000,106.260002,110.379997,100.724174,1073594600</t>
  </si>
  <si>
    <t>2015-01-01,111.389999,120.000000,104.629997,117.160004,106.911079,1305263400</t>
  </si>
  <si>
    <t>2015-02-01,118.050003,133.600006,116.080002,128.460007,117.222572,1136535200</t>
  </si>
  <si>
    <t>2015-03-01,129.250000,130.279999,121.629997,124.430000,113.993217,1138642100</t>
  </si>
  <si>
    <t>2015-04-01,124.820000,134.539993,123.099998,125.150002,114.652840,996135500</t>
  </si>
  <si>
    <t>2015-05-01,126.099998,132.970001,123.360001,130.279999,119.352554,954152100</t>
  </si>
  <si>
    <t>2015-06-01,130.279999,131.389999,124.480003,125.430000,115.389328,878606700</t>
  </si>
  <si>
    <t>2015-07-01,126.900002,132.970001,119.220001,121.300003,111.589928,1058280600</t>
  </si>
  <si>
    <t>2015-08-01,121.500000,122.570000,92.000000,112.919998,103.880768,1786858800</t>
  </si>
  <si>
    <t>2015-09-01,110.150002,116.889999,107.360001,110.300003,101.929794,1206547300</t>
  </si>
  <si>
    <t>2015-10-01,109.070000,121.220001,107.309998,119.500000,110.431648,1112512100</t>
  </si>
  <si>
    <t>2015-11-01,120.800003,123.820000,111.000000,118.300003,109.322701,750640600</t>
  </si>
  <si>
    <t>2015-12-01,118.750000,119.860001,104.820000,105.260002,97.688629,921915200</t>
  </si>
  <si>
    <t>2016-01-01,102.610001,105.849998,92.389999,97.339996,90.338310,1271848000</t>
  </si>
  <si>
    <t>2016-02-01,96.470001,98.889999,92.589996,96.690002,89.735092,810862600</t>
  </si>
  <si>
    <t>2016-03-01,97.650002,110.419998,97.419998,108.989998,101.699196,746049600</t>
  </si>
  <si>
    <t>2016-04-01,108.779999,112.389999,92.510002,93.739998,87.469337,872383700</t>
  </si>
  <si>
    <t>2016-05-01,93.970001,100.730003,89.470001,99.860001,93.179947,900671500</t>
  </si>
  <si>
    <t>2016-06-01,99.019997,101.889999,91.500000,95.599998,89.748039,779497700</t>
  </si>
  <si>
    <t>2016-07-01,95.489998,104.550003,94.370003,104.209999,97.830978,685779600</t>
  </si>
  <si>
    <t>2016-08-01,104.410004,110.230003,104.000000,106.099998,99.605293,630128500</t>
  </si>
  <si>
    <t>2016-09-01,106.139999,116.180000,102.529999,113.050003,106.704796,968015600</t>
  </si>
  <si>
    <t>2016-10-01,112.709999,118.690002,112.279999,113.540001,107.167274,686914300</t>
  </si>
  <si>
    <t>2016-11-01,113.459999,113.769997,104.080002,110.519997,104.316780,721555000</t>
  </si>
  <si>
    <t>2016-12-01,110.370003,118.019997,108.250000,115.820000,109.880577,608771700</t>
  </si>
  <si>
    <t>2017-01-01,115.800003,122.440002,114.760002,121.349998,115.126999,563122000</t>
  </si>
  <si>
    <t>2017-02-01,127.029999,137.479996,127.010002,136.990005,129.964966,574968600</t>
  </si>
  <si>
    <t>2017-03-01,137.889999,144.500000,137.050003,143.660004,136.883835,561628400</t>
  </si>
  <si>
    <t>2017-04-01,143.710007,145.460007,140.059998,143.649994,136.874298,373304100</t>
  </si>
  <si>
    <t>2017-05-01,145.100006,156.649994,144.270004,152.759995,145.554581,653981800</t>
  </si>
  <si>
    <t>2017-06-01,153.169998,155.979996,142.199997,144.020004,137.793259,684178100</t>
  </si>
  <si>
    <t>2017-07-01,144.880005,153.990005,142.410004,148.729996,142.299622,422011900</t>
  </si>
  <si>
    <t>2017-08-01,149.100006,164.520004,148.410004,164.000000,156.909409,661069000</t>
  </si>
  <si>
    <t>2017-09-01,164.800003,164.940002,149.160004,154.119995,148.035614,680374100</t>
  </si>
  <si>
    <t>2017-10-01,154.259995,169.649994,152.460007,169.039993,162.366608,504291300</t>
  </si>
  <si>
    <t>2017-11-01,169.869995,176.240005,165.279999,171.850006,165.065704,600663400</t>
  </si>
  <si>
    <t>2017-12-01,169.949997,177.199997,166.460007,169.229996,163.133469,531183800</t>
  </si>
  <si>
    <t>2018-01-01,170.160004,180.100006,164.699997,167.429993,161.398315,659679400</t>
  </si>
  <si>
    <t>2018-02-01,167.169998,180.619995,150.240005,178.119995,171.703217,927894300</t>
  </si>
  <si>
    <t>2018-03-01,178.539993,183.500000,164.940002,167.779999,162.395126,713727700</t>
  </si>
  <si>
    <t>2018-04-01,166.639999,178.940002,160.630005,165.259995,159.955994,666154300</t>
  </si>
  <si>
    <t>2018-05-01,166.410004,190.369995,165.270004,186.869995,180.872437,620976300</t>
  </si>
  <si>
    <t>2018-06-01,187.990005,194.199997,180.729996,185.110001,179.859787,527624500</t>
  </si>
  <si>
    <t>2018-07-01,183.820007,195.960007,183.419998,190.289993,184.892883,393691400</t>
  </si>
  <si>
    <t>2018-08-01,199.130005,228.869995,197.309998,227.630005,221.173828,700318900</t>
  </si>
  <si>
    <t>2018-09-01,228.410004,229.669998,215.300003,225.740005,220.106689,678972000</t>
  </si>
  <si>
    <t>2018-10-01,227.949997,233.470001,206.089996,218.860001,213.398376,789748500</t>
  </si>
  <si>
    <t>2018-11-01,219.050003,222.360001,170.259995,178.580002,174.123566,961326400</t>
  </si>
  <si>
    <t>2018-12-01,184.460007,184.940002,146.589996,157.740005,154.340271,898922500</t>
  </si>
  <si>
    <t>2019-01-01,154.889999,169.000000,142.000000,166.440002,162.852737,828087400</t>
  </si>
  <si>
    <t>2019-02-01,166.960007,175.869995,165.929993,173.149994,169.418137,472540600</t>
  </si>
  <si>
    <t>2019-03-01,174.279999,197.690002,169.500000,189.949997,186.653152,650981400</t>
  </si>
  <si>
    <t>2019-04-01,191.639999,208.479996,188.380005,200.669998,197.187088,506117700</t>
  </si>
  <si>
    <t>2019-05-01,209.880005,215.309998,174.990005,175.070007,172.031403,739456600</t>
  </si>
  <si>
    <t>2019-06-01,175.600006,201.570007,170.270004,197.919998,195.233765,515187300</t>
  </si>
  <si>
    <t>2019-07-01,203.169998,221.369995,198.410004,213.039993,210.148560,473957000</t>
  </si>
  <si>
    <t>2019-08-01,213.899994,218.029999,192.580002,208.740005,205.906921,681074600</t>
  </si>
  <si>
    <t>2019-09-01,206.429993,226.419998,204.220001,223.970001,221.769623,542567100</t>
  </si>
  <si>
    <t>2019-10-01,225.070007,249.750000,215.130005,248.759995,246.316086,608302700</t>
  </si>
  <si>
    <t>2019-11-01,249.539993,268.000000,249.160004,267.250000,264.624451,448331500</t>
  </si>
  <si>
    <t>2019-12-01,267.269989,293.970001,256.290009,293.649994,291.638000,597198700</t>
  </si>
  <si>
    <t>2020-01-01,296.239990,327.850006,292.750000,309.510010,307.389374,733592600</t>
  </si>
  <si>
    <t>2020-02-01,304.299988,327.220001,256.369995,273.359985,271.487030,754582700</t>
  </si>
  <si>
    <t>2020-03-01,282.279999,304.000000,212.610001,254.289993,253.147079,1570018100</t>
  </si>
  <si>
    <t>2020-04-01,246.500000,294.529999,236.899994,293.799988,292.479492,816222400</t>
  </si>
  <si>
    <t>2020-06-01,317.750000,372.380005,317.209991,364.799988,364.143433,810739300</t>
  </si>
  <si>
    <t>2020-07-01,365.119995,425.660004,356.579987,425.040009,424.275024,755124000</t>
  </si>
  <si>
    <t>2020-02-01,170.429993,190.699997,152.000000,162.009995,161.119965,887470500</t>
  </si>
  <si>
    <r>
      <t xml:space="preserve">Manual:
</t>
    </r>
    <r>
      <rPr>
        <b/>
        <sz val="11"/>
        <color rgb="FFFF0000"/>
        <rFont val="Calibri"/>
        <family val="2"/>
        <scheme val="minor"/>
      </rPr>
      <t>1. Download the actual financial data by clicking on the button "Download Actual Data"</t>
    </r>
    <r>
      <rPr>
        <sz val="11"/>
        <color theme="1"/>
        <rFont val="Calibri"/>
        <family val="2"/>
        <scheme val="minor"/>
      </rPr>
      <t xml:space="preserve">
2. Click on "Start Estimation" to bring out the calculator
3. Fill in  Retirement Income Calculator. Fill in Only 3 out of 4 information.
4. Click on "Estimate" to calculate the the last information. 
5. Click "Done" when it is done
6. Click "Delete" if you want to fill in the information again. 
7. Click "Reset" If you want to reset the process
Extra Add aditional stock:
1. Add aditional stock/index/asset to invest. You must specify Name and Ticker
2. Ticker must be from Yahoo, change symbol "^" to %5</t>
    </r>
  </si>
  <si>
    <t>2020-05-01,286.250000,324.239990,285.850006,317.940002,316.510986,701601300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</si>
</sst>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0.00\ &quot;Kč&quot;;[Red]\-#,##0.00\ &quot;Kč&quot;"/>
    <numFmt numFmtId="43" formatCode="_-* #,##0.00_-;\-* #,##0.00_-;_-* &quot;-&quot;??_-;_-@_-"/>
    <numFmt numFmtId="164" formatCode="#,###.00"/>
    <numFmt numFmtId="165" formatCode="#\ ###.00"/>
  </numFmts>
  <fonts count="14"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b/>
      <sz val="11"/>
      <color theme="1"/>
      <name val="Calibri"/>
      <family val="2"/>
      <charset val="238"/>
      <scheme val="minor"/>
    </font>
    <font>
      <b/>
      <sz val="14"/>
      <color theme="1"/>
      <name val="Calibri"/>
      <family val="2"/>
      <scheme val="minor"/>
    </font>
    <font>
      <b/>
      <sz val="18"/>
      <color theme="1"/>
      <name val="Calibri"/>
      <family val="2"/>
      <scheme val="minor"/>
    </font>
    <font>
      <b/>
      <sz val="11"/>
      <color theme="0"/>
      <name val="Calibri"/>
      <family val="2"/>
      <charset val="238"/>
      <scheme val="minor"/>
    </font>
    <font>
      <sz val="11"/>
      <color theme="0" tint="-4.9989318521683403E-2"/>
      <name val="Calibri"/>
      <family val="2"/>
      <scheme val="minor"/>
    </font>
    <font>
      <b/>
      <sz val="11"/>
      <color theme="0" tint="-4.9989318521683403E-2"/>
      <name val="Calibri"/>
      <family val="2"/>
      <charset val="238"/>
      <scheme val="minor"/>
    </font>
    <font>
      <sz val="11"/>
      <color rgb="FF000000"/>
      <name val="Calibri"/>
      <family val="2"/>
    </font>
    <font>
      <sz val="11"/>
      <color theme="4"/>
      <name val="Calibri"/>
      <family val="2"/>
      <scheme val="minor"/>
    </font>
    <font>
      <b/>
      <sz val="11"/>
      <color rgb="FFFF0000"/>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8" tint="0.39997558519241921"/>
        <bgColor indexed="64"/>
      </patternFill>
    </fill>
    <fill>
      <patternFill patternType="solid">
        <fgColor theme="1"/>
        <bgColor indexed="64"/>
      </patternFill>
    </fill>
    <fill>
      <patternFill patternType="solid">
        <fgColor theme="4"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69">
    <xf numFmtId="0" fontId="0" fillId="0" borderId="0" xfId="0"/>
    <xf numFmtId="14" fontId="0" fillId="0" borderId="0" xfId="0" applyNumberFormat="1"/>
    <xf numFmtId="10" fontId="0" fillId="0" borderId="0" xfId="1" applyNumberFormat="1" applyFont="1"/>
    <xf numFmtId="0" fontId="0" fillId="2" borderId="0" xfId="0" applyFill="1"/>
    <xf numFmtId="0" fontId="2" fillId="2" borderId="0" xfId="0" applyFont="1" applyFill="1" applyBorder="1"/>
    <xf numFmtId="0" fontId="0" fillId="2" borderId="0" xfId="0" applyFill="1" applyBorder="1"/>
    <xf numFmtId="0" fontId="4" fillId="2" borderId="0" xfId="0" applyFont="1" applyFill="1" applyBorder="1" applyAlignment="1">
      <alignment vertical="center" wrapText="1"/>
    </xf>
    <xf numFmtId="0" fontId="2" fillId="2" borderId="5" xfId="0" applyFont="1" applyFill="1" applyBorder="1"/>
    <xf numFmtId="0" fontId="4" fillId="2" borderId="5" xfId="0" applyFont="1" applyFill="1" applyBorder="1" applyAlignment="1">
      <alignment vertical="center" wrapText="1"/>
    </xf>
    <xf numFmtId="0" fontId="4" fillId="2" borderId="6" xfId="0" applyFont="1" applyFill="1" applyBorder="1" applyAlignment="1">
      <alignment vertical="center" wrapText="1"/>
    </xf>
    <xf numFmtId="0" fontId="5" fillId="2" borderId="1" xfId="0" applyFont="1" applyFill="1" applyBorder="1" applyAlignment="1">
      <alignment horizontal="left" vertical="center"/>
    </xf>
    <xf numFmtId="0" fontId="0" fillId="2" borderId="1" xfId="0" applyFill="1" applyBorder="1" applyAlignment="1">
      <alignment horizontal="left" wrapText="1"/>
    </xf>
    <xf numFmtId="0" fontId="0" fillId="2" borderId="1" xfId="0" applyFill="1" applyBorder="1" applyAlignment="1">
      <alignment horizontal="left" vertical="top" wrapText="1"/>
    </xf>
    <xf numFmtId="0" fontId="0" fillId="2" borderId="0" xfId="0" applyFill="1" applyAlignment="1">
      <alignment vertical="center"/>
    </xf>
    <xf numFmtId="0" fontId="0" fillId="2" borderId="0" xfId="0" applyFill="1" applyAlignment="1">
      <alignment horizontal="left" wrapText="1"/>
    </xf>
    <xf numFmtId="0" fontId="0" fillId="2" borderId="0" xfId="0" applyFill="1" applyAlignment="1">
      <alignment horizontal="left" vertical="top" wrapText="1"/>
    </xf>
    <xf numFmtId="0" fontId="6" fillId="3" borderId="1" xfId="0" applyFont="1" applyFill="1" applyBorder="1" applyAlignment="1">
      <alignment horizontal="center" vertical="center"/>
    </xf>
    <xf numFmtId="0" fontId="6" fillId="3" borderId="1" xfId="0" applyFont="1" applyFill="1" applyBorder="1" applyAlignment="1">
      <alignment horizontal="center" wrapText="1"/>
    </xf>
    <xf numFmtId="0" fontId="6" fillId="3" borderId="1" xfId="0" applyFont="1" applyFill="1" applyBorder="1" applyAlignment="1">
      <alignment horizontal="center" vertical="top" wrapText="1"/>
    </xf>
    <xf numFmtId="0" fontId="0" fillId="3" borderId="0" xfId="0" applyFill="1"/>
    <xf numFmtId="0" fontId="2" fillId="3" borderId="0" xfId="0" applyFont="1" applyFill="1"/>
    <xf numFmtId="0" fontId="0" fillId="3" borderId="0" xfId="0" applyFill="1" applyBorder="1"/>
    <xf numFmtId="0" fontId="0" fillId="3" borderId="6" xfId="0" applyFill="1" applyBorder="1"/>
    <xf numFmtId="0" fontId="0" fillId="2" borderId="0" xfId="0" applyFont="1" applyFill="1" applyBorder="1"/>
    <xf numFmtId="0" fontId="0" fillId="2" borderId="6" xfId="0" applyFont="1" applyFill="1" applyBorder="1"/>
    <xf numFmtId="14" fontId="0" fillId="2" borderId="0" xfId="0" applyNumberFormat="1" applyFill="1"/>
    <xf numFmtId="0" fontId="3" fillId="2" borderId="0" xfId="2" applyFill="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2" borderId="0" xfId="0" applyFill="1" applyAlignment="1">
      <alignment wrapText="1"/>
    </xf>
    <xf numFmtId="10" fontId="0" fillId="2" borderId="0" xfId="1" applyNumberFormat="1" applyFont="1" applyFill="1"/>
    <xf numFmtId="8" fontId="0" fillId="2" borderId="0" xfId="0" applyNumberFormat="1" applyFill="1"/>
    <xf numFmtId="10" fontId="0" fillId="2" borderId="0" xfId="0" applyNumberFormat="1" applyFill="1"/>
    <xf numFmtId="164" fontId="0" fillId="3" borderId="6" xfId="3" applyNumberFormat="1" applyFont="1" applyFill="1" applyBorder="1"/>
    <xf numFmtId="164" fontId="0" fillId="3" borderId="6" xfId="0" applyNumberFormat="1" applyFill="1" applyBorder="1"/>
    <xf numFmtId="164" fontId="8" fillId="4" borderId="6" xfId="3" applyNumberFormat="1" applyFont="1" applyFill="1" applyBorder="1"/>
    <xf numFmtId="8" fontId="0" fillId="3" borderId="6" xfId="0" applyNumberFormat="1" applyFill="1" applyBorder="1"/>
    <xf numFmtId="10" fontId="0" fillId="3" borderId="9" xfId="0" applyNumberFormat="1" applyFill="1" applyBorder="1"/>
    <xf numFmtId="0" fontId="9" fillId="2" borderId="0" xfId="0" applyFont="1" applyFill="1"/>
    <xf numFmtId="165" fontId="0" fillId="3" borderId="5" xfId="0" applyNumberFormat="1" applyFill="1" applyBorder="1"/>
    <xf numFmtId="164" fontId="10" fillId="4" borderId="6" xfId="3" applyNumberFormat="1" applyFont="1" applyFill="1" applyBorder="1"/>
    <xf numFmtId="8" fontId="0" fillId="3" borderId="6" xfId="0" applyNumberFormat="1" applyFill="1" applyBorder="1" applyAlignment="1">
      <alignment horizontal="left"/>
    </xf>
    <xf numFmtId="164" fontId="8" fillId="4" borderId="6" xfId="0" applyNumberFormat="1" applyFont="1" applyFill="1" applyBorder="1"/>
    <xf numFmtId="0" fontId="12" fillId="5" borderId="0" xfId="0" applyFont="1" applyFill="1"/>
    <xf numFmtId="0" fontId="7" fillId="2" borderId="2"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6" xfId="0" applyFont="1" applyFill="1" applyBorder="1" applyAlignment="1">
      <alignment horizontal="center" vertical="center"/>
    </xf>
    <xf numFmtId="0" fontId="0" fillId="2" borderId="5" xfId="0" applyFont="1" applyFill="1" applyBorder="1" applyAlignment="1">
      <alignment horizontal="center"/>
    </xf>
    <xf numFmtId="0" fontId="0" fillId="2" borderId="0" xfId="0" applyFont="1" applyFill="1" applyBorder="1" applyAlignment="1">
      <alignment horizontal="center"/>
    </xf>
    <xf numFmtId="0" fontId="0" fillId="2" borderId="6" xfId="0" applyFont="1" applyFill="1" applyBorder="1" applyAlignment="1">
      <alignment horizontal="center"/>
    </xf>
    <xf numFmtId="0" fontId="4" fillId="2" borderId="5"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0" fillId="2" borderId="3" xfId="0" applyFill="1" applyBorder="1" applyAlignment="1">
      <alignment horizontal="left" vertical="top" wrapText="1"/>
    </xf>
    <xf numFmtId="0" fontId="0" fillId="2" borderId="0" xfId="0" applyFill="1" applyBorder="1" applyAlignment="1">
      <alignment horizontal="left" vertical="top" wrapText="1"/>
    </xf>
    <xf numFmtId="0" fontId="5" fillId="3" borderId="2" xfId="0" applyFont="1" applyFill="1" applyBorder="1" applyAlignment="1">
      <alignment horizontal="center"/>
    </xf>
    <xf numFmtId="0" fontId="5" fillId="3" borderId="3" xfId="0" applyFont="1" applyFill="1" applyBorder="1" applyAlignment="1">
      <alignment horizontal="center"/>
    </xf>
    <xf numFmtId="0" fontId="5" fillId="3" borderId="4" xfId="0" applyFont="1" applyFill="1" applyBorder="1" applyAlignment="1">
      <alignment horizontal="center"/>
    </xf>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4</xdr:row>
          <xdr:rowOff>57150</xdr:rowOff>
        </xdr:from>
        <xdr:to>
          <xdr:col>10</xdr:col>
          <xdr:colOff>9525</xdr:colOff>
          <xdr:row>9</xdr:row>
          <xdr:rowOff>171450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9525</xdr:rowOff>
        </xdr:from>
        <xdr:to>
          <xdr:col>5</xdr:col>
          <xdr:colOff>609600</xdr:colOff>
          <xdr:row>13</xdr:row>
          <xdr:rowOff>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171450</xdr:rowOff>
        </xdr:from>
        <xdr:to>
          <xdr:col>10</xdr:col>
          <xdr:colOff>9525</xdr:colOff>
          <xdr:row>12</xdr:row>
          <xdr:rowOff>171450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7620</xdr:colOff>
      <xdr:row>1</xdr:row>
      <xdr:rowOff>7620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900-000002000000}"/>
            </a:ext>
          </a:extLst>
        </xdr:cNvPr>
        <xdr:cNvSpPr txBox="1"/>
      </xdr:nvSpPr>
      <xdr:spPr>
        <a:xfrm>
          <a:off x="6339840" y="198120"/>
          <a:ext cx="326898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0DDD9D-A419-4F10-B4A3-CFB4E4ED4337}" type="TxLink">
            <a:rPr lang="en-US" sz="1100" b="0" i="0" u="none" strike="noStrike">
              <a:solidFill>
                <a:srgbClr val="000000"/>
              </a:solidFill>
              <a:latin typeface="Calibri"/>
              <a:cs typeface="Calibri"/>
            </a:rPr>
            <a:pPr algn="ctr"/>
            <a:t>If you invest 392 USD for 34 years on the Nasdaq index. By the time of expected retirement, you accumulate 36806 USD. This fortune enable you to withdraw 1295 USD every month for 25 months, i.e. 2,1 years.</a:t>
          </a:fld>
          <a:endParaRPr lang="en-GB" sz="1100"/>
        </a:p>
      </xdr:txBody>
    </xdr:sp>
    <xdr:clientData/>
  </xdr:twoCellAnchor>
  <xdr:twoCellAnchor editAs="oneCell">
    <xdr:from>
      <xdr:col>5</xdr:col>
      <xdr:colOff>106680</xdr:colOff>
      <xdr:row>3</xdr:row>
      <xdr:rowOff>167640</xdr:rowOff>
    </xdr:from>
    <xdr:to>
      <xdr:col>6</xdr:col>
      <xdr:colOff>411480</xdr:colOff>
      <xdr:row>8</xdr:row>
      <xdr:rowOff>167640</xdr:rowOff>
    </xdr:to>
    <xdr:pic>
      <xdr:nvPicPr>
        <xdr:cNvPr id="3" name="Graphic 2" descr="Arrow Right">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10100" y="7239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22860</xdr:colOff>
      <xdr:row>1</xdr:row>
      <xdr:rowOff>7620</xdr:rowOff>
    </xdr:from>
    <xdr:to>
      <xdr:col>13</xdr:col>
      <xdr:colOff>182880</xdr:colOff>
      <xdr:row>12</xdr:row>
      <xdr:rowOff>22860</xdr:rowOff>
    </xdr:to>
    <xdr:sp macro="" textlink="$A$1">
      <xdr:nvSpPr>
        <xdr:cNvPr id="2" name="TextBox 1">
          <a:extLst>
            <a:ext uri="{FF2B5EF4-FFF2-40B4-BE49-F238E27FC236}">
              <a16:creationId xmlns:a16="http://schemas.microsoft.com/office/drawing/2014/main" id="{00000000-0008-0000-0A00-000002000000}"/>
            </a:ext>
          </a:extLst>
        </xdr:cNvPr>
        <xdr:cNvSpPr txBox="1"/>
      </xdr:nvSpPr>
      <xdr:spPr>
        <a:xfrm>
          <a:off x="6294120" y="198120"/>
          <a:ext cx="320802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5A9049-516C-445B-A383-D5D886ACB517}" type="TxLink">
            <a:rPr lang="en-US" sz="1100" b="0" i="0" u="none" strike="noStrike">
              <a:solidFill>
                <a:sysClr val="windowText" lastClr="000000"/>
              </a:solidFill>
              <a:latin typeface="Calibri"/>
              <a:cs typeface="Calibri"/>
            </a:rPr>
            <a:pPr algn="ctr"/>
            <a:t>If you invest 494 EUR for 30 years on the DJI index. By the time of expected retirement, you accumulate 1054003 EUR. This fortune enable you to withdraw 1122 EUR every month for 267 months, i.e. 22,3 years.</a:t>
          </a:fld>
          <a:endParaRPr lang="en-GB" sz="1100">
            <a:solidFill>
              <a:sysClr val="windowText" lastClr="000000"/>
            </a:solidFill>
          </a:endParaRPr>
        </a:p>
      </xdr:txBody>
    </xdr:sp>
    <xdr:clientData/>
  </xdr:twoCellAnchor>
  <xdr:twoCellAnchor editAs="oneCell">
    <xdr:from>
      <xdr:col>5</xdr:col>
      <xdr:colOff>106680</xdr:colOff>
      <xdr:row>3</xdr:row>
      <xdr:rowOff>137160</xdr:rowOff>
    </xdr:from>
    <xdr:to>
      <xdr:col>6</xdr:col>
      <xdr:colOff>411480</xdr:colOff>
      <xdr:row>8</xdr:row>
      <xdr:rowOff>137160</xdr:rowOff>
    </xdr:to>
    <xdr:pic>
      <xdr:nvPicPr>
        <xdr:cNvPr id="4" name="Graphic 3" descr="Arrow Right">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49140" y="69342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15240</xdr:colOff>
      <xdr:row>1</xdr:row>
      <xdr:rowOff>0</xdr:rowOff>
    </xdr:from>
    <xdr:to>
      <xdr:col>13</xdr:col>
      <xdr:colOff>175260</xdr:colOff>
      <xdr:row>12</xdr:row>
      <xdr:rowOff>7620</xdr:rowOff>
    </xdr:to>
    <xdr:sp macro="" textlink="$A$1">
      <xdr:nvSpPr>
        <xdr:cNvPr id="2" name="TextBox 1">
          <a:extLst>
            <a:ext uri="{FF2B5EF4-FFF2-40B4-BE49-F238E27FC236}">
              <a16:creationId xmlns:a16="http://schemas.microsoft.com/office/drawing/2014/main" id="{00000000-0008-0000-0B00-000002000000}"/>
            </a:ext>
          </a:extLst>
        </xdr:cNvPr>
        <xdr:cNvSpPr txBox="1"/>
      </xdr:nvSpPr>
      <xdr:spPr>
        <a:xfrm>
          <a:off x="6278880" y="190500"/>
          <a:ext cx="320802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FB11D4-14B1-40B3-ABEB-9FEAF5A452FA}" type="TxLink">
            <a:rPr lang="en-US" sz="1100" b="0" i="0" u="none" strike="noStrike">
              <a:solidFill>
                <a:srgbClr val="000000"/>
              </a:solidFill>
              <a:latin typeface="Calibri"/>
              <a:cs typeface="Calibri"/>
            </a:rPr>
            <a:pPr algn="ctr"/>
            <a:t>#DIV/0!</a:t>
          </a:fld>
          <a:endParaRPr lang="en-GB" sz="1100"/>
        </a:p>
      </xdr:txBody>
    </xdr:sp>
    <xdr:clientData/>
  </xdr:twoCellAnchor>
  <xdr:twoCellAnchor editAs="oneCell">
    <xdr:from>
      <xdr:col>5</xdr:col>
      <xdr:colOff>68580</xdr:colOff>
      <xdr:row>3</xdr:row>
      <xdr:rowOff>144780</xdr:rowOff>
    </xdr:from>
    <xdr:to>
      <xdr:col>6</xdr:col>
      <xdr:colOff>373380</xdr:colOff>
      <xdr:row>8</xdr:row>
      <xdr:rowOff>144780</xdr:rowOff>
    </xdr:to>
    <xdr:pic>
      <xdr:nvPicPr>
        <xdr:cNvPr id="4" name="Graphic 3" descr="Arrow Right">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03420" y="701040"/>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15240</xdr:colOff>
      <xdr:row>1</xdr:row>
      <xdr:rowOff>15240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C00-000002000000}"/>
            </a:ext>
          </a:extLst>
        </xdr:cNvPr>
        <xdr:cNvSpPr txBox="1"/>
      </xdr:nvSpPr>
      <xdr:spPr>
        <a:xfrm>
          <a:off x="6332220" y="205740"/>
          <a:ext cx="326136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EA157B-F3D3-4100-8E31-9250CF91BC52}" type="TxLink">
            <a:rPr lang="en-US" sz="1100" b="0" i="0" u="none" strike="noStrike">
              <a:solidFill>
                <a:schemeClr val="tx1"/>
              </a:solidFill>
              <a:latin typeface="Calibri"/>
              <a:cs typeface="Calibri"/>
            </a:rPr>
            <a:pPr algn="ctr"/>
            <a:t>If you invest 309 EUR for 39 years on the Gold Dec 20 index. By the time of expected retirement, you accumulate 2277815 EUR. This fortune enable you to withdraw 94066 EUR every month for 22 months, i.e. 1,8 years.</a:t>
          </a:fld>
          <a:endParaRPr lang="en-GB" sz="1100">
            <a:solidFill>
              <a:schemeClr val="tx1"/>
            </a:solidFill>
          </a:endParaRPr>
        </a:p>
      </xdr:txBody>
    </xdr:sp>
    <xdr:clientData/>
  </xdr:twoCellAnchor>
  <xdr:twoCellAnchor editAs="oneCell">
    <xdr:from>
      <xdr:col>5</xdr:col>
      <xdr:colOff>83820</xdr:colOff>
      <xdr:row>3</xdr:row>
      <xdr:rowOff>91440</xdr:rowOff>
    </xdr:from>
    <xdr:to>
      <xdr:col>6</xdr:col>
      <xdr:colOff>388620</xdr:colOff>
      <xdr:row>8</xdr:row>
      <xdr:rowOff>91440</xdr:rowOff>
    </xdr:to>
    <xdr:pic>
      <xdr:nvPicPr>
        <xdr:cNvPr id="3" name="Graphic 2" descr="Arrow Right">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72000" y="647700"/>
          <a:ext cx="914400" cy="914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1.xml"/><Relationship Id="rId3" Type="http://schemas.openxmlformats.org/officeDocument/2006/relationships/hyperlink" Target="https://query1.finance.yahoo.com/v7/finance/download/%5EIXIC?period1=489024000&amp;period2=1596153600&amp;interval=1mo&amp;events=history" TargetMode="External"/><Relationship Id="rId7" Type="http://schemas.openxmlformats.org/officeDocument/2006/relationships/drawing" Target="../drawings/drawing1.xml"/><Relationship Id="rId12" Type="http://schemas.openxmlformats.org/officeDocument/2006/relationships/image" Target="../media/image2.emf"/><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 Id="rId6" Type="http://schemas.openxmlformats.org/officeDocument/2006/relationships/printerSettings" Target="../printerSettings/printerSettings2.bin"/><Relationship Id="rId11" Type="http://schemas.openxmlformats.org/officeDocument/2006/relationships/control" Target="../activeX/activeX2.xml"/><Relationship Id="rId5" Type="http://schemas.openxmlformats.org/officeDocument/2006/relationships/hyperlink" Target="https://query1.finance.yahoo.com/v7/finance/download/AAPL?period1=489024000&amp;period2=1596153600&amp;interval=1mo&amp;events=history" TargetMode="External"/><Relationship Id="rId10" Type="http://schemas.openxmlformats.org/officeDocument/2006/relationships/image" Target="../media/image1.emf"/><Relationship Id="rId4" Type="http://schemas.openxmlformats.org/officeDocument/2006/relationships/hyperlink" Target="https://query1.finance.yahoo.com/v7/finance/download/GC=F?period1=489024000&amp;period2=1596153600&amp;interval=1mo&amp;events=history" TargetMode="External"/><Relationship Id="rId9"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D2:T29"/>
  <sheetViews>
    <sheetView topLeftCell="A16" workbookViewId="0">
      <selection activeCell="D25" sqref="D25:N29"/>
    </sheetView>
  </sheetViews>
  <sheetFormatPr defaultColWidth="8.85546875" defaultRowHeight="15" x14ac:dyDescent="0.25"/>
  <cols>
    <col min="1" max="16384" width="8.85546875" style="19"/>
  </cols>
  <sheetData>
    <row r="2" spans="4:20" ht="15.75" thickBot="1" x14ac:dyDescent="0.3"/>
    <row r="3" spans="4:20" ht="15" customHeight="1" x14ac:dyDescent="0.35">
      <c r="D3" s="49" t="s">
        <v>5</v>
      </c>
      <c r="E3" s="50"/>
      <c r="F3" s="50"/>
      <c r="G3" s="50"/>
      <c r="H3" s="50"/>
      <c r="I3" s="50"/>
      <c r="J3" s="50"/>
      <c r="K3" s="50"/>
      <c r="L3" s="50"/>
      <c r="M3" s="50"/>
      <c r="N3" s="51"/>
      <c r="O3" s="20"/>
      <c r="P3" s="20"/>
      <c r="Q3" s="20"/>
      <c r="R3" s="20"/>
      <c r="S3" s="20"/>
      <c r="T3" s="20"/>
    </row>
    <row r="4" spans="4:20" ht="15" customHeight="1" x14ac:dyDescent="0.35">
      <c r="D4" s="52"/>
      <c r="E4" s="53"/>
      <c r="F4" s="53"/>
      <c r="G4" s="53"/>
      <c r="H4" s="53"/>
      <c r="I4" s="53"/>
      <c r="J4" s="53"/>
      <c r="K4" s="53"/>
      <c r="L4" s="53"/>
      <c r="M4" s="53"/>
      <c r="N4" s="54"/>
      <c r="O4" s="20"/>
      <c r="P4" s="20"/>
      <c r="Q4" s="20"/>
      <c r="R4" s="20"/>
      <c r="S4" s="20"/>
      <c r="T4" s="20"/>
    </row>
    <row r="5" spans="4:20" ht="15" customHeight="1" x14ac:dyDescent="0.25">
      <c r="D5" s="52"/>
      <c r="E5" s="53"/>
      <c r="F5" s="53"/>
      <c r="G5" s="53"/>
      <c r="H5" s="53"/>
      <c r="I5" s="53"/>
      <c r="J5" s="53"/>
      <c r="K5" s="53"/>
      <c r="L5" s="53"/>
      <c r="M5" s="53"/>
      <c r="N5" s="54"/>
    </row>
    <row r="6" spans="4:20" ht="15" customHeight="1" x14ac:dyDescent="0.35">
      <c r="D6" s="7"/>
      <c r="E6" s="4"/>
      <c r="F6" s="4"/>
      <c r="G6" s="4"/>
      <c r="H6" s="4"/>
      <c r="I6" s="4"/>
      <c r="J6" s="4"/>
      <c r="K6" s="4"/>
      <c r="L6" s="23"/>
      <c r="M6" s="23"/>
      <c r="N6" s="24"/>
    </row>
    <row r="7" spans="4:20" ht="15" customHeight="1" x14ac:dyDescent="0.25">
      <c r="D7" s="55" t="s">
        <v>878</v>
      </c>
      <c r="E7" s="56"/>
      <c r="F7" s="56"/>
      <c r="G7" s="56"/>
      <c r="H7" s="56"/>
      <c r="I7" s="56"/>
      <c r="J7" s="56"/>
      <c r="K7" s="56"/>
      <c r="L7" s="56"/>
      <c r="M7" s="56"/>
      <c r="N7" s="57"/>
    </row>
    <row r="8" spans="4:20" ht="15" customHeight="1" x14ac:dyDescent="0.25">
      <c r="D8" s="8"/>
      <c r="E8" s="6"/>
      <c r="F8" s="6"/>
      <c r="G8" s="6"/>
      <c r="H8" s="6"/>
      <c r="I8" s="6"/>
      <c r="J8" s="6"/>
      <c r="K8" s="6"/>
      <c r="L8" s="6"/>
      <c r="M8" s="6"/>
      <c r="N8" s="9"/>
    </row>
    <row r="9" spans="4:20" ht="15" customHeight="1" x14ac:dyDescent="0.25">
      <c r="D9" s="58" t="s">
        <v>879</v>
      </c>
      <c r="E9" s="59"/>
      <c r="F9" s="59"/>
      <c r="G9" s="59"/>
      <c r="H9" s="59"/>
      <c r="I9" s="59"/>
      <c r="J9" s="59"/>
      <c r="K9" s="59"/>
      <c r="L9" s="59"/>
      <c r="M9" s="59"/>
      <c r="N9" s="60"/>
    </row>
    <row r="10" spans="4:20" ht="15" customHeight="1" x14ac:dyDescent="0.25">
      <c r="D10" s="58"/>
      <c r="E10" s="59"/>
      <c r="F10" s="59"/>
      <c r="G10" s="59"/>
      <c r="H10" s="59"/>
      <c r="I10" s="59"/>
      <c r="J10" s="59"/>
      <c r="K10" s="59"/>
      <c r="L10" s="59"/>
      <c r="M10" s="59"/>
      <c r="N10" s="60"/>
    </row>
    <row r="11" spans="4:20" ht="15" customHeight="1" x14ac:dyDescent="0.25">
      <c r="D11" s="58"/>
      <c r="E11" s="59"/>
      <c r="F11" s="59"/>
      <c r="G11" s="59"/>
      <c r="H11" s="59"/>
      <c r="I11" s="59"/>
      <c r="J11" s="59"/>
      <c r="K11" s="59"/>
      <c r="L11" s="59"/>
      <c r="M11" s="59"/>
      <c r="N11" s="60"/>
    </row>
    <row r="12" spans="4:20" ht="15" customHeight="1" x14ac:dyDescent="0.25">
      <c r="D12" s="58"/>
      <c r="E12" s="59"/>
      <c r="F12" s="59"/>
      <c r="G12" s="59"/>
      <c r="H12" s="59"/>
      <c r="I12" s="59"/>
      <c r="J12" s="59"/>
      <c r="K12" s="59"/>
      <c r="L12" s="59"/>
      <c r="M12" s="59"/>
      <c r="N12" s="60"/>
    </row>
    <row r="13" spans="4:20" ht="15" customHeight="1" x14ac:dyDescent="0.25">
      <c r="D13" s="58"/>
      <c r="E13" s="59"/>
      <c r="F13" s="59"/>
      <c r="G13" s="59"/>
      <c r="H13" s="59"/>
      <c r="I13" s="59"/>
      <c r="J13" s="59"/>
      <c r="K13" s="59"/>
      <c r="L13" s="59"/>
      <c r="M13" s="59"/>
      <c r="N13" s="60"/>
    </row>
    <row r="14" spans="4:20" ht="15" customHeight="1" x14ac:dyDescent="0.25">
      <c r="D14" s="58"/>
      <c r="E14" s="59"/>
      <c r="F14" s="59"/>
      <c r="G14" s="59"/>
      <c r="H14" s="59"/>
      <c r="I14" s="59"/>
      <c r="J14" s="59"/>
      <c r="K14" s="59"/>
      <c r="L14" s="59"/>
      <c r="M14" s="59"/>
      <c r="N14" s="60"/>
    </row>
    <row r="15" spans="4:20" ht="15" customHeight="1" x14ac:dyDescent="0.25">
      <c r="D15" s="58"/>
      <c r="E15" s="59"/>
      <c r="F15" s="59"/>
      <c r="G15" s="59"/>
      <c r="H15" s="59"/>
      <c r="I15" s="59"/>
      <c r="J15" s="59"/>
      <c r="K15" s="59"/>
      <c r="L15" s="59"/>
      <c r="M15" s="59"/>
      <c r="N15" s="60"/>
    </row>
    <row r="16" spans="4:20" ht="15" customHeight="1" x14ac:dyDescent="0.25">
      <c r="D16" s="58"/>
      <c r="E16" s="59"/>
      <c r="F16" s="59"/>
      <c r="G16" s="59"/>
      <c r="H16" s="59"/>
      <c r="I16" s="59"/>
      <c r="J16" s="59"/>
      <c r="K16" s="59"/>
      <c r="L16" s="59"/>
      <c r="M16" s="59"/>
      <c r="N16" s="60"/>
    </row>
    <row r="17" spans="4:14" ht="15" customHeight="1" x14ac:dyDescent="0.25">
      <c r="D17" s="58"/>
      <c r="E17" s="59"/>
      <c r="F17" s="59"/>
      <c r="G17" s="59"/>
      <c r="H17" s="59"/>
      <c r="I17" s="59"/>
      <c r="J17" s="59"/>
      <c r="K17" s="59"/>
      <c r="L17" s="59"/>
      <c r="M17" s="59"/>
      <c r="N17" s="60"/>
    </row>
    <row r="18" spans="4:14" ht="15" customHeight="1" x14ac:dyDescent="0.25">
      <c r="D18" s="58"/>
      <c r="E18" s="59"/>
      <c r="F18" s="59"/>
      <c r="G18" s="59"/>
      <c r="H18" s="59"/>
      <c r="I18" s="59"/>
      <c r="J18" s="59"/>
      <c r="K18" s="59"/>
      <c r="L18" s="59"/>
      <c r="M18" s="59"/>
      <c r="N18" s="60"/>
    </row>
    <row r="19" spans="4:14" ht="15" customHeight="1" x14ac:dyDescent="0.25">
      <c r="D19" s="58"/>
      <c r="E19" s="59"/>
      <c r="F19" s="59"/>
      <c r="G19" s="59"/>
      <c r="H19" s="59"/>
      <c r="I19" s="59"/>
      <c r="J19" s="59"/>
      <c r="K19" s="59"/>
      <c r="L19" s="59"/>
      <c r="M19" s="59"/>
      <c r="N19" s="60"/>
    </row>
    <row r="20" spans="4:14" ht="15" customHeight="1" x14ac:dyDescent="0.25">
      <c r="D20" s="58"/>
      <c r="E20" s="59"/>
      <c r="F20" s="59"/>
      <c r="G20" s="59"/>
      <c r="H20" s="59"/>
      <c r="I20" s="59"/>
      <c r="J20" s="59"/>
      <c r="K20" s="59"/>
      <c r="L20" s="59"/>
      <c r="M20" s="59"/>
      <c r="N20" s="60"/>
    </row>
    <row r="21" spans="4:14" ht="15" customHeight="1" x14ac:dyDescent="0.25">
      <c r="D21" s="58"/>
      <c r="E21" s="59"/>
      <c r="F21" s="59"/>
      <c r="G21" s="59"/>
      <c r="H21" s="59"/>
      <c r="I21" s="59"/>
      <c r="J21" s="59"/>
      <c r="K21" s="59"/>
      <c r="L21" s="59"/>
      <c r="M21" s="59"/>
      <c r="N21" s="60"/>
    </row>
    <row r="22" spans="4:14" ht="15" customHeight="1" x14ac:dyDescent="0.25">
      <c r="D22" s="58"/>
      <c r="E22" s="59"/>
      <c r="F22" s="59"/>
      <c r="G22" s="59"/>
      <c r="H22" s="59"/>
      <c r="I22" s="59"/>
      <c r="J22" s="59"/>
      <c r="K22" s="59"/>
      <c r="L22" s="59"/>
      <c r="M22" s="59"/>
      <c r="N22" s="60"/>
    </row>
    <row r="23" spans="4:14" ht="15" customHeight="1" x14ac:dyDescent="0.25">
      <c r="D23" s="58"/>
      <c r="E23" s="59"/>
      <c r="F23" s="59"/>
      <c r="G23" s="59"/>
      <c r="H23" s="59"/>
      <c r="I23" s="59"/>
      <c r="J23" s="59"/>
      <c r="K23" s="59"/>
      <c r="L23" s="59"/>
      <c r="M23" s="59"/>
      <c r="N23" s="60"/>
    </row>
    <row r="24" spans="4:14" ht="15" customHeight="1" x14ac:dyDescent="0.25">
      <c r="D24" s="58"/>
      <c r="E24" s="59"/>
      <c r="F24" s="59"/>
      <c r="G24" s="59"/>
      <c r="H24" s="59"/>
      <c r="I24" s="59"/>
      <c r="J24" s="59"/>
      <c r="K24" s="59"/>
      <c r="L24" s="59"/>
      <c r="M24" s="59"/>
      <c r="N24" s="60"/>
    </row>
    <row r="25" spans="4:14" ht="15" customHeight="1" x14ac:dyDescent="0.25">
      <c r="D25" s="58" t="s">
        <v>1971</v>
      </c>
      <c r="E25" s="59"/>
      <c r="F25" s="59"/>
      <c r="G25" s="59"/>
      <c r="H25" s="59"/>
      <c r="I25" s="59"/>
      <c r="J25" s="59"/>
      <c r="K25" s="59"/>
      <c r="L25" s="59"/>
      <c r="M25" s="59"/>
      <c r="N25" s="60"/>
    </row>
    <row r="26" spans="4:14" ht="15" customHeight="1" x14ac:dyDescent="0.25">
      <c r="D26" s="58"/>
      <c r="E26" s="59"/>
      <c r="F26" s="59"/>
      <c r="G26" s="59"/>
      <c r="H26" s="59"/>
      <c r="I26" s="59"/>
      <c r="J26" s="59"/>
      <c r="K26" s="59"/>
      <c r="L26" s="59"/>
      <c r="M26" s="59"/>
      <c r="N26" s="60"/>
    </row>
    <row r="27" spans="4:14" ht="15" customHeight="1" x14ac:dyDescent="0.25">
      <c r="D27" s="58"/>
      <c r="E27" s="59"/>
      <c r="F27" s="59"/>
      <c r="G27" s="59"/>
      <c r="H27" s="59"/>
      <c r="I27" s="59"/>
      <c r="J27" s="59"/>
      <c r="K27" s="59"/>
      <c r="L27" s="59"/>
      <c r="M27" s="59"/>
      <c r="N27" s="60"/>
    </row>
    <row r="28" spans="4:14" ht="15" customHeight="1" x14ac:dyDescent="0.25">
      <c r="D28" s="58"/>
      <c r="E28" s="59"/>
      <c r="F28" s="59"/>
      <c r="G28" s="59"/>
      <c r="H28" s="59"/>
      <c r="I28" s="59"/>
      <c r="J28" s="59"/>
      <c r="K28" s="59"/>
      <c r="L28" s="59"/>
      <c r="M28" s="59"/>
      <c r="N28" s="60"/>
    </row>
    <row r="29" spans="4:14" ht="15.75" customHeight="1" thickBot="1" x14ac:dyDescent="0.3">
      <c r="D29" s="61"/>
      <c r="E29" s="62"/>
      <c r="F29" s="62"/>
      <c r="G29" s="62"/>
      <c r="H29" s="62"/>
      <c r="I29" s="62"/>
      <c r="J29" s="62"/>
      <c r="K29" s="62"/>
      <c r="L29" s="62"/>
      <c r="M29" s="62"/>
      <c r="N29" s="63"/>
    </row>
  </sheetData>
  <mergeCells count="4">
    <mergeCell ref="D3:N5"/>
    <mergeCell ref="D7:N7"/>
    <mergeCell ref="D9:N24"/>
    <mergeCell ref="D25:N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B1:D6"/>
  <sheetViews>
    <sheetView showGridLines="0" zoomScaleNormal="100" workbookViewId="0">
      <selection activeCell="H6" sqref="H6"/>
    </sheetView>
  </sheetViews>
  <sheetFormatPr defaultColWidth="8.85546875" defaultRowHeight="15" x14ac:dyDescent="0.25"/>
  <cols>
    <col min="1" max="1" width="2.7109375" style="5" customWidth="1"/>
    <col min="2" max="2" width="36.42578125" style="13" customWidth="1"/>
    <col min="3" max="3" width="48.7109375" style="14" bestFit="1" customWidth="1"/>
    <col min="4" max="4" width="40.42578125" style="15" customWidth="1"/>
    <col min="5" max="16384" width="8.85546875" style="5"/>
  </cols>
  <sheetData>
    <row r="1" spans="2:4" ht="18.75" x14ac:dyDescent="0.3">
      <c r="B1" s="16" t="s">
        <v>863</v>
      </c>
      <c r="C1" s="17" t="s">
        <v>864</v>
      </c>
      <c r="D1" s="18" t="s">
        <v>865</v>
      </c>
    </row>
    <row r="2" spans="2:4" ht="30" x14ac:dyDescent="0.25">
      <c r="B2" s="10" t="s">
        <v>866</v>
      </c>
      <c r="C2" s="11" t="s">
        <v>867</v>
      </c>
      <c r="D2" s="12" t="s">
        <v>868</v>
      </c>
    </row>
    <row r="3" spans="2:4" x14ac:dyDescent="0.25">
      <c r="B3" s="10" t="s">
        <v>869</v>
      </c>
      <c r="C3" s="11" t="s">
        <v>870</v>
      </c>
      <c r="D3" s="12"/>
    </row>
    <row r="4" spans="2:4" ht="30" x14ac:dyDescent="0.25">
      <c r="B4" s="10" t="s">
        <v>871</v>
      </c>
      <c r="C4" s="11" t="s">
        <v>872</v>
      </c>
      <c r="D4" s="12"/>
    </row>
    <row r="5" spans="2:4" ht="30" x14ac:dyDescent="0.25">
      <c r="B5" s="10" t="s">
        <v>873</v>
      </c>
      <c r="C5" s="11" t="s">
        <v>874</v>
      </c>
      <c r="D5" s="12"/>
    </row>
    <row r="6" spans="2:4" ht="30" x14ac:dyDescent="0.25">
      <c r="B6" s="10" t="s">
        <v>875</v>
      </c>
      <c r="C6" s="11" t="s">
        <v>876</v>
      </c>
      <c r="D6"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C1:AB30"/>
  <sheetViews>
    <sheetView showGridLines="0" tabSelected="1" topLeftCell="B1" workbookViewId="0">
      <selection activeCell="C18" sqref="C18:K30"/>
    </sheetView>
  </sheetViews>
  <sheetFormatPr defaultColWidth="8.85546875" defaultRowHeight="15" x14ac:dyDescent="0.25"/>
  <cols>
    <col min="1" max="26" width="8.85546875" style="3"/>
    <col min="27" max="27" width="12.140625" style="3" customWidth="1"/>
    <col min="28" max="28" width="129.42578125" style="3" bestFit="1" customWidth="1"/>
    <col min="29" max="30" width="8.85546875" style="3" customWidth="1"/>
    <col min="31" max="16384" width="8.85546875" style="3"/>
  </cols>
  <sheetData>
    <row r="1" spans="3:28" x14ac:dyDescent="0.25">
      <c r="Z1" s="48" t="s">
        <v>1311</v>
      </c>
      <c r="AA1" s="48" t="s">
        <v>1319</v>
      </c>
      <c r="AB1" s="48" t="s">
        <v>0</v>
      </c>
    </row>
    <row r="2" spans="3:28" ht="15.75" thickBot="1" x14ac:dyDescent="0.3">
      <c r="Z2" s="3" t="s">
        <v>1312</v>
      </c>
      <c r="AA2" s="25" t="s">
        <v>849</v>
      </c>
      <c r="AB2" s="26" t="s">
        <v>852</v>
      </c>
    </row>
    <row r="3" spans="3:28" x14ac:dyDescent="0.25">
      <c r="C3" s="27"/>
      <c r="D3" s="28"/>
      <c r="E3" s="28"/>
      <c r="F3" s="28"/>
      <c r="G3" s="28"/>
      <c r="H3" s="28"/>
      <c r="I3" s="28"/>
      <c r="J3" s="28"/>
      <c r="K3" s="29"/>
      <c r="Z3" s="3" t="s">
        <v>1313</v>
      </c>
      <c r="AA3" s="25" t="s">
        <v>850</v>
      </c>
      <c r="AB3" s="26" t="s">
        <v>6</v>
      </c>
    </row>
    <row r="4" spans="3:28" x14ac:dyDescent="0.25">
      <c r="C4" s="30"/>
      <c r="D4" s="21"/>
      <c r="E4" s="21"/>
      <c r="F4" s="21"/>
      <c r="G4" s="21"/>
      <c r="H4" s="21"/>
      <c r="I4" s="21"/>
      <c r="J4" s="21"/>
      <c r="K4" s="22"/>
      <c r="Z4" s="3" t="s">
        <v>1314</v>
      </c>
      <c r="AA4" s="3" t="s">
        <v>881</v>
      </c>
      <c r="AB4" s="26" t="s">
        <v>882</v>
      </c>
    </row>
    <row r="5" spans="3:28" x14ac:dyDescent="0.25">
      <c r="C5" s="30"/>
      <c r="D5" s="21"/>
      <c r="E5" s="21"/>
      <c r="F5" s="21"/>
      <c r="G5" s="21"/>
      <c r="H5" s="21"/>
      <c r="I5" s="21"/>
      <c r="J5" s="21"/>
      <c r="K5" s="22"/>
      <c r="Z5" s="3" t="s">
        <v>1315</v>
      </c>
      <c r="AA5" s="3" t="s">
        <v>1307</v>
      </c>
      <c r="AB5" s="26" t="s">
        <v>1308</v>
      </c>
    </row>
    <row r="6" spans="3:28" x14ac:dyDescent="0.25">
      <c r="C6" s="30"/>
      <c r="D6" s="21"/>
      <c r="E6" s="21"/>
      <c r="F6" s="21"/>
      <c r="G6" s="21"/>
      <c r="H6" s="21"/>
      <c r="I6" s="21"/>
      <c r="J6" s="21"/>
      <c r="K6" s="22"/>
      <c r="Z6" s="3" t="s">
        <v>1316</v>
      </c>
      <c r="AA6" s="3" t="s">
        <v>1309</v>
      </c>
      <c r="AB6" s="26" t="s">
        <v>1310</v>
      </c>
    </row>
    <row r="7" spans="3:28" x14ac:dyDescent="0.25">
      <c r="C7" s="30"/>
      <c r="D7" s="21"/>
      <c r="E7" s="21"/>
      <c r="F7" s="21"/>
      <c r="G7" s="21"/>
      <c r="H7" s="21"/>
      <c r="I7" s="21"/>
      <c r="J7" s="21"/>
      <c r="K7" s="22"/>
      <c r="Z7" s="3" t="s">
        <v>1317</v>
      </c>
      <c r="AA7" s="3" t="s">
        <v>1318</v>
      </c>
      <c r="AB7" s="3" t="str">
        <f>IF(ISBLANK(Z7),"",_xlfn.CONCAT("https://query1.finance.yahoo.com/v7/finance/download/",Z7,"?period1=489024000&amp;period2=1596153600&amp;interval=1mo&amp;events=history"))</f>
        <v>https://query1.finance.yahoo.com/v7/finance/download/MSFT?period1=489024000&amp;period2=1596153600&amp;interval=1mo&amp;events=history</v>
      </c>
    </row>
    <row r="8" spans="3:28" x14ac:dyDescent="0.25">
      <c r="C8" s="30"/>
      <c r="D8" s="21"/>
      <c r="E8" s="21"/>
      <c r="F8" s="21"/>
      <c r="G8" s="21"/>
      <c r="H8" s="21"/>
      <c r="I8" s="21"/>
      <c r="J8" s="21"/>
      <c r="K8" s="22"/>
    </row>
    <row r="9" spans="3:28" x14ac:dyDescent="0.25">
      <c r="C9" s="30"/>
      <c r="D9" s="21"/>
      <c r="E9" s="21"/>
      <c r="F9" s="21"/>
      <c r="G9" s="21"/>
      <c r="H9" s="21"/>
      <c r="I9" s="21"/>
      <c r="J9" s="21"/>
      <c r="K9" s="22"/>
    </row>
    <row r="10" spans="3:28" x14ac:dyDescent="0.25">
      <c r="C10" s="30"/>
      <c r="D10" s="21"/>
      <c r="E10" s="21"/>
      <c r="F10" s="21"/>
      <c r="G10" s="21"/>
      <c r="H10" s="21"/>
      <c r="I10" s="21"/>
      <c r="J10" s="21"/>
      <c r="K10" s="22"/>
    </row>
    <row r="11" spans="3:28" x14ac:dyDescent="0.25">
      <c r="C11" s="30"/>
      <c r="D11" s="21"/>
      <c r="E11" s="21"/>
      <c r="F11" s="21"/>
      <c r="G11" s="21"/>
      <c r="H11" s="21"/>
      <c r="I11" s="21"/>
      <c r="J11" s="21"/>
      <c r="K11" s="22"/>
    </row>
    <row r="12" spans="3:28" x14ac:dyDescent="0.25">
      <c r="C12" s="30"/>
      <c r="D12" s="21"/>
      <c r="E12" s="21"/>
      <c r="F12" s="21"/>
      <c r="G12" s="21"/>
      <c r="H12" s="21"/>
      <c r="I12" s="21"/>
      <c r="J12" s="21"/>
      <c r="K12" s="22"/>
    </row>
    <row r="13" spans="3:28" x14ac:dyDescent="0.25">
      <c r="C13" s="30"/>
      <c r="D13" s="21"/>
      <c r="E13" s="21"/>
      <c r="F13" s="21"/>
      <c r="G13" s="21"/>
      <c r="H13" s="21"/>
      <c r="I13" s="21"/>
      <c r="J13" s="21"/>
      <c r="K13" s="22"/>
    </row>
    <row r="14" spans="3:28" x14ac:dyDescent="0.25">
      <c r="C14" s="30"/>
      <c r="D14" s="21"/>
      <c r="E14" s="21"/>
      <c r="F14" s="21"/>
      <c r="G14" s="21"/>
      <c r="H14" s="21"/>
      <c r="I14" s="21"/>
      <c r="J14" s="21"/>
      <c r="K14" s="22"/>
    </row>
    <row r="15" spans="3:28" x14ac:dyDescent="0.25">
      <c r="C15" s="30"/>
      <c r="D15" s="21"/>
      <c r="E15" s="21"/>
      <c r="F15" s="21"/>
      <c r="G15" s="21"/>
      <c r="H15" s="21"/>
      <c r="I15" s="21"/>
      <c r="J15" s="21"/>
      <c r="K15" s="22"/>
    </row>
    <row r="16" spans="3:28" x14ac:dyDescent="0.25">
      <c r="C16" s="30"/>
      <c r="D16" s="21"/>
      <c r="E16" s="21"/>
      <c r="F16" s="21"/>
      <c r="G16" s="21"/>
      <c r="H16" s="21"/>
      <c r="I16" s="21"/>
      <c r="J16" s="21"/>
      <c r="K16" s="22"/>
    </row>
    <row r="17" spans="3:12" ht="15.75" thickBot="1" x14ac:dyDescent="0.3">
      <c r="C17" s="31"/>
      <c r="D17" s="32"/>
      <c r="E17" s="32"/>
      <c r="F17" s="32"/>
      <c r="G17" s="32"/>
      <c r="H17" s="32"/>
      <c r="I17" s="32"/>
      <c r="J17" s="32"/>
      <c r="K17" s="33"/>
    </row>
    <row r="18" spans="3:12" ht="15" customHeight="1" x14ac:dyDescent="0.25">
      <c r="C18" s="64" t="s">
        <v>2393</v>
      </c>
      <c r="D18" s="64"/>
      <c r="E18" s="64"/>
      <c r="F18" s="64"/>
      <c r="G18" s="64"/>
      <c r="H18" s="64"/>
      <c r="I18" s="64"/>
      <c r="J18" s="64"/>
      <c r="K18" s="64"/>
      <c r="L18" s="34"/>
    </row>
    <row r="19" spans="3:12" x14ac:dyDescent="0.25">
      <c r="C19" s="65"/>
      <c r="D19" s="65"/>
      <c r="E19" s="65"/>
      <c r="F19" s="65"/>
      <c r="G19" s="65"/>
      <c r="H19" s="65"/>
      <c r="I19" s="65"/>
      <c r="J19" s="65"/>
      <c r="K19" s="65"/>
      <c r="L19" s="34"/>
    </row>
    <row r="20" spans="3:12" x14ac:dyDescent="0.25">
      <c r="C20" s="65"/>
      <c r="D20" s="65"/>
      <c r="E20" s="65"/>
      <c r="F20" s="65"/>
      <c r="G20" s="65"/>
      <c r="H20" s="65"/>
      <c r="I20" s="65"/>
      <c r="J20" s="65"/>
      <c r="K20" s="65"/>
      <c r="L20" s="34"/>
    </row>
    <row r="21" spans="3:12" x14ac:dyDescent="0.25">
      <c r="C21" s="65"/>
      <c r="D21" s="65"/>
      <c r="E21" s="65"/>
      <c r="F21" s="65"/>
      <c r="G21" s="65"/>
      <c r="H21" s="65"/>
      <c r="I21" s="65"/>
      <c r="J21" s="65"/>
      <c r="K21" s="65"/>
      <c r="L21" s="34"/>
    </row>
    <row r="22" spans="3:12" x14ac:dyDescent="0.25">
      <c r="C22" s="65"/>
      <c r="D22" s="65"/>
      <c r="E22" s="65"/>
      <c r="F22" s="65"/>
      <c r="G22" s="65"/>
      <c r="H22" s="65"/>
      <c r="I22" s="65"/>
      <c r="J22" s="65"/>
      <c r="K22" s="65"/>
      <c r="L22" s="34"/>
    </row>
    <row r="23" spans="3:12" x14ac:dyDescent="0.25">
      <c r="C23" s="65"/>
      <c r="D23" s="65"/>
      <c r="E23" s="65"/>
      <c r="F23" s="65"/>
      <c r="G23" s="65"/>
      <c r="H23" s="65"/>
      <c r="I23" s="65"/>
      <c r="J23" s="65"/>
      <c r="K23" s="65"/>
      <c r="L23" s="34"/>
    </row>
    <row r="24" spans="3:12" x14ac:dyDescent="0.25">
      <c r="C24" s="65"/>
      <c r="D24" s="65"/>
      <c r="E24" s="65"/>
      <c r="F24" s="65"/>
      <c r="G24" s="65"/>
      <c r="H24" s="65"/>
      <c r="I24" s="65"/>
      <c r="J24" s="65"/>
      <c r="K24" s="65"/>
      <c r="L24" s="34"/>
    </row>
    <row r="25" spans="3:12" x14ac:dyDescent="0.25">
      <c r="C25" s="65"/>
      <c r="D25" s="65"/>
      <c r="E25" s="65"/>
      <c r="F25" s="65"/>
      <c r="G25" s="65"/>
      <c r="H25" s="65"/>
      <c r="I25" s="65"/>
      <c r="J25" s="65"/>
      <c r="K25" s="65"/>
      <c r="L25" s="34"/>
    </row>
    <row r="26" spans="3:12" x14ac:dyDescent="0.25">
      <c r="C26" s="65"/>
      <c r="D26" s="65"/>
      <c r="E26" s="65"/>
      <c r="F26" s="65"/>
      <c r="G26" s="65"/>
      <c r="H26" s="65"/>
      <c r="I26" s="65"/>
      <c r="J26" s="65"/>
      <c r="K26" s="65"/>
      <c r="L26" s="34"/>
    </row>
    <row r="27" spans="3:12" x14ac:dyDescent="0.25">
      <c r="C27" s="65"/>
      <c r="D27" s="65"/>
      <c r="E27" s="65"/>
      <c r="F27" s="65"/>
      <c r="G27" s="65"/>
      <c r="H27" s="65"/>
      <c r="I27" s="65"/>
      <c r="J27" s="65"/>
      <c r="K27" s="65"/>
      <c r="L27" s="34"/>
    </row>
    <row r="28" spans="3:12" x14ac:dyDescent="0.25">
      <c r="C28" s="65"/>
      <c r="D28" s="65"/>
      <c r="E28" s="65"/>
      <c r="F28" s="65"/>
      <c r="G28" s="65"/>
      <c r="H28" s="65"/>
      <c r="I28" s="65"/>
      <c r="J28" s="65"/>
      <c r="K28" s="65"/>
      <c r="L28" s="34"/>
    </row>
    <row r="29" spans="3:12" x14ac:dyDescent="0.25">
      <c r="C29" s="65"/>
      <c r="D29" s="65"/>
      <c r="E29" s="65"/>
      <c r="F29" s="65"/>
      <c r="G29" s="65"/>
      <c r="H29" s="65"/>
      <c r="I29" s="65"/>
      <c r="J29" s="65"/>
      <c r="K29" s="65"/>
      <c r="L29" s="34"/>
    </row>
    <row r="30" spans="3:12" x14ac:dyDescent="0.25">
      <c r="C30" s="65"/>
      <c r="D30" s="65"/>
      <c r="E30" s="65"/>
      <c r="F30" s="65"/>
      <c r="G30" s="65"/>
      <c r="H30" s="65"/>
      <c r="I30" s="65"/>
      <c r="J30" s="65"/>
      <c r="K30" s="65"/>
    </row>
  </sheetData>
  <mergeCells count="1">
    <mergeCell ref="C18:K30"/>
  </mergeCells>
  <hyperlinks>
    <hyperlink ref="AB3" r:id="rId1" xr:uid="{1FBFD298-08D7-48E6-AB20-54A1692CC07E}"/>
    <hyperlink ref="AB2" r:id="rId2" xr:uid="{B2D4A8A8-81A2-4AE4-A67E-B20FBDE168A6}"/>
    <hyperlink ref="AB4" r:id="rId3" xr:uid="{50145937-AD9F-4A12-AF41-913D00C467AA}"/>
    <hyperlink ref="AB5" r:id="rId4" xr:uid="{F4E41E4D-72D7-4AA9-AD84-616D89E7A1AC}"/>
    <hyperlink ref="AB6" r:id="rId5" xr:uid="{F14C3E50-4FC5-4FDD-8BEF-C6571F3396B9}"/>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3074" r:id="rId9" name="CommandButton2">
          <controlPr defaultSize="0" autoLine="0" autoPict="0" r:id="rId10">
            <anchor moveWithCells="1">
              <from>
                <xdr:col>3</xdr:col>
                <xdr:colOff>9525</xdr:colOff>
                <xdr:row>11</xdr:row>
                <xdr:rowOff>9525</xdr:rowOff>
              </from>
              <to>
                <xdr:col>5</xdr:col>
                <xdr:colOff>609600</xdr:colOff>
                <xdr:row>13</xdr:row>
                <xdr:rowOff>0</xdr:rowOff>
              </to>
            </anchor>
          </controlPr>
        </control>
      </mc:Choice>
      <mc:Fallback>
        <control shapeId="3074" r:id="rId9" name="CommandButton2"/>
      </mc:Fallback>
    </mc:AlternateContent>
    <mc:AlternateContent xmlns:mc="http://schemas.openxmlformats.org/markup-compatibility/2006">
      <mc:Choice Requires="x14">
        <control shapeId="3073" r:id="rId11" name="CommandButton1">
          <controlPr defaultSize="0" autoFill="0" autoLine="0" autoPict="0" r:id="rId12">
            <anchor moveWithCells="1">
              <from>
                <xdr:col>3</xdr:col>
                <xdr:colOff>57150</xdr:colOff>
                <xdr:row>4</xdr:row>
                <xdr:rowOff>57150</xdr:rowOff>
              </from>
              <to>
                <xdr:col>10</xdr:col>
                <xdr:colOff>9525</xdr:colOff>
                <xdr:row>9</xdr:row>
                <xdr:rowOff>171450</xdr:rowOff>
              </to>
            </anchor>
          </controlPr>
        </control>
      </mc:Choice>
      <mc:Fallback>
        <control shapeId="3073" r:id="rId11" name="CommandButton1"/>
      </mc:Fallback>
    </mc:AlternateContent>
    <mc:AlternateContent xmlns:mc="http://schemas.openxmlformats.org/markup-compatibility/2006">
      <mc:Choice Requires="x14">
        <control shapeId="3075" r:id="rId13" name="Button 3">
          <controlPr defaultSize="0" print="0" autoFill="0" autoPict="0" macro="[0]!Sheet2.Reset">
            <anchor moveWithCells="1" sizeWithCells="1">
              <from>
                <xdr:col>7</xdr:col>
                <xdr:colOff>9525</xdr:colOff>
                <xdr:row>10</xdr:row>
                <xdr:rowOff>171450</xdr:rowOff>
              </from>
              <to>
                <xdr:col>10</xdr:col>
                <xdr:colOff>9525</xdr:colOff>
                <xdr:row>12</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C1023-BF07-4CBE-B146-ECD95E263CD9}">
  <sheetPr codeName="Sheet25"/>
  <dimension ref="A1:O414"/>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1320</v>
      </c>
      <c r="K2" s="1" t="str">
        <f>LEFT(A2,10)</f>
        <v>1986-03-01</v>
      </c>
      <c r="L2">
        <v>9.5486000000000001E-2</v>
      </c>
      <c r="O2" s="2">
        <v>2.3323177590147261E-2</v>
      </c>
    </row>
    <row r="3" spans="1:15" x14ac:dyDescent="0.25">
      <c r="A3" t="s">
        <v>1321</v>
      </c>
      <c r="K3" s="1" t="str">
        <f t="shared" ref="K3:K66" si="0">LEFT(A3,10)</f>
        <v>1986-04-01</v>
      </c>
      <c r="L3">
        <v>0.111979</v>
      </c>
      <c r="M3" s="2">
        <f>(L3/L2)-1</f>
        <v>0.17272689190038326</v>
      </c>
    </row>
    <row r="4" spans="1:15" x14ac:dyDescent="0.25">
      <c r="A4" t="s">
        <v>1322</v>
      </c>
      <c r="K4" s="1" t="str">
        <f t="shared" si="0"/>
        <v>1986-05-01</v>
      </c>
      <c r="L4">
        <v>0.121528</v>
      </c>
      <c r="M4" s="2">
        <f t="shared" ref="M4:M67" si="1">(L4/L3)-1</f>
        <v>8.527491761848216E-2</v>
      </c>
    </row>
    <row r="5" spans="1:15" x14ac:dyDescent="0.25">
      <c r="A5" t="s">
        <v>1323</v>
      </c>
      <c r="K5" s="1" t="str">
        <f t="shared" si="0"/>
        <v>1986-06-01</v>
      </c>
      <c r="L5">
        <v>0.106771</v>
      </c>
      <c r="M5" s="2">
        <f t="shared" si="1"/>
        <v>-0.12142880653018229</v>
      </c>
    </row>
    <row r="6" spans="1:15" x14ac:dyDescent="0.25">
      <c r="A6" t="s">
        <v>1324</v>
      </c>
      <c r="K6" s="1" t="str">
        <f t="shared" si="0"/>
        <v>1986-07-01</v>
      </c>
      <c r="L6">
        <v>9.8958000000000004E-2</v>
      </c>
      <c r="M6" s="2">
        <f t="shared" si="1"/>
        <v>-7.3175300409287214E-2</v>
      </c>
    </row>
    <row r="7" spans="1:15" x14ac:dyDescent="0.25">
      <c r="A7" t="s">
        <v>1325</v>
      </c>
      <c r="K7" s="1" t="str">
        <f t="shared" si="0"/>
        <v>1986-08-01</v>
      </c>
      <c r="L7">
        <v>9.8958000000000004E-2</v>
      </c>
      <c r="M7" s="2">
        <f t="shared" si="1"/>
        <v>0</v>
      </c>
    </row>
    <row r="8" spans="1:15" x14ac:dyDescent="0.25">
      <c r="A8" t="s">
        <v>1326</v>
      </c>
      <c r="K8" s="1" t="str">
        <f t="shared" si="0"/>
        <v>1986-09-01</v>
      </c>
      <c r="L8">
        <v>9.8089999999999997E-2</v>
      </c>
      <c r="M8" s="2">
        <f t="shared" si="1"/>
        <v>-8.7713979668142539E-3</v>
      </c>
    </row>
    <row r="9" spans="1:15" x14ac:dyDescent="0.25">
      <c r="A9" t="s">
        <v>1327</v>
      </c>
      <c r="K9" s="1" t="str">
        <f t="shared" si="0"/>
        <v>1986-10-01</v>
      </c>
      <c r="L9">
        <v>0.134549</v>
      </c>
      <c r="M9" s="2">
        <f t="shared" si="1"/>
        <v>0.37168926496075039</v>
      </c>
    </row>
    <row r="10" spans="1:15" x14ac:dyDescent="0.25">
      <c r="A10" t="s">
        <v>1328</v>
      </c>
      <c r="K10" s="1" t="str">
        <f t="shared" si="0"/>
        <v>1986-11-01</v>
      </c>
      <c r="L10">
        <v>0.17274300000000001</v>
      </c>
      <c r="M10" s="2">
        <f t="shared" si="1"/>
        <v>0.2838668440493799</v>
      </c>
    </row>
    <row r="11" spans="1:15" x14ac:dyDescent="0.25">
      <c r="A11" t="s">
        <v>1329</v>
      </c>
      <c r="K11" s="1" t="str">
        <f t="shared" si="0"/>
        <v>1986-12-01</v>
      </c>
      <c r="L11">
        <v>0.16753499999999999</v>
      </c>
      <c r="M11" s="2">
        <f t="shared" si="1"/>
        <v>-3.0148833816710519E-2</v>
      </c>
    </row>
    <row r="12" spans="1:15" x14ac:dyDescent="0.25">
      <c r="A12" t="s">
        <v>1330</v>
      </c>
      <c r="K12" s="1" t="str">
        <f t="shared" si="0"/>
        <v>1987-01-01</v>
      </c>
      <c r="L12">
        <v>0.25390600000000002</v>
      </c>
      <c r="M12" s="2">
        <f t="shared" si="1"/>
        <v>0.51554003641030244</v>
      </c>
    </row>
    <row r="13" spans="1:15" x14ac:dyDescent="0.25">
      <c r="A13" t="s">
        <v>1331</v>
      </c>
      <c r="K13" s="1" t="str">
        <f t="shared" si="0"/>
        <v>1987-02-01</v>
      </c>
      <c r="L13">
        <v>0.26649299999999998</v>
      </c>
      <c r="M13" s="2">
        <f t="shared" si="1"/>
        <v>4.9573464195410644E-2</v>
      </c>
    </row>
    <row r="14" spans="1:15" x14ac:dyDescent="0.25">
      <c r="A14" t="s">
        <v>1332</v>
      </c>
      <c r="K14" s="1" t="str">
        <f t="shared" si="0"/>
        <v>1987-03-01</v>
      </c>
      <c r="L14">
        <v>0.33593800000000001</v>
      </c>
      <c r="M14" s="2">
        <f t="shared" si="1"/>
        <v>0.26058845823342458</v>
      </c>
    </row>
    <row r="15" spans="1:15" x14ac:dyDescent="0.25">
      <c r="A15" t="s">
        <v>1333</v>
      </c>
      <c r="K15" s="1" t="str">
        <f t="shared" si="0"/>
        <v>1987-04-01</v>
      </c>
      <c r="L15">
        <v>0.36111100000000002</v>
      </c>
      <c r="M15" s="2">
        <f t="shared" si="1"/>
        <v>7.4933469866463431E-2</v>
      </c>
    </row>
    <row r="16" spans="1:15" x14ac:dyDescent="0.25">
      <c r="A16" t="s">
        <v>1334</v>
      </c>
      <c r="K16" s="1" t="str">
        <f t="shared" si="0"/>
        <v>1987-05-01</v>
      </c>
      <c r="L16">
        <v>0.40017399999999997</v>
      </c>
      <c r="M16" s="2">
        <f t="shared" si="1"/>
        <v>0.1081744948229213</v>
      </c>
    </row>
    <row r="17" spans="1:13" x14ac:dyDescent="0.25">
      <c r="A17" t="s">
        <v>1335</v>
      </c>
      <c r="K17" s="1" t="str">
        <f t="shared" si="0"/>
        <v>1987-06-01</v>
      </c>
      <c r="L17">
        <v>0.35416700000000001</v>
      </c>
      <c r="M17" s="2">
        <f t="shared" si="1"/>
        <v>-0.1149674891422231</v>
      </c>
    </row>
    <row r="18" spans="1:13" x14ac:dyDescent="0.25">
      <c r="A18" t="s">
        <v>1336</v>
      </c>
      <c r="K18" s="1" t="str">
        <f t="shared" si="0"/>
        <v>1987-07-01</v>
      </c>
      <c r="L18">
        <v>0.32638899999999998</v>
      </c>
      <c r="M18" s="2">
        <f t="shared" si="1"/>
        <v>-7.8431926181716571E-2</v>
      </c>
    </row>
    <row r="19" spans="1:13" x14ac:dyDescent="0.25">
      <c r="A19" t="s">
        <v>1337</v>
      </c>
      <c r="K19" s="1" t="str">
        <f t="shared" si="0"/>
        <v>1987-08-01</v>
      </c>
      <c r="L19">
        <v>0.41232600000000003</v>
      </c>
      <c r="M19" s="2">
        <f t="shared" si="1"/>
        <v>0.26329625079276586</v>
      </c>
    </row>
    <row r="20" spans="1:13" x14ac:dyDescent="0.25">
      <c r="A20" t="s">
        <v>1338</v>
      </c>
      <c r="K20" s="1" t="str">
        <f t="shared" si="0"/>
        <v>1987-09-01</v>
      </c>
      <c r="L20">
        <v>0.46006900000000001</v>
      </c>
      <c r="M20" s="2">
        <f t="shared" si="1"/>
        <v>0.11578944815510051</v>
      </c>
    </row>
    <row r="21" spans="1:13" x14ac:dyDescent="0.25">
      <c r="A21" t="s">
        <v>1339</v>
      </c>
      <c r="K21" s="1" t="str">
        <f t="shared" si="0"/>
        <v>1987-10-01</v>
      </c>
      <c r="L21">
        <v>0.34548600000000002</v>
      </c>
      <c r="M21" s="2">
        <f t="shared" si="1"/>
        <v>-0.24905611984289311</v>
      </c>
    </row>
    <row r="22" spans="1:13" x14ac:dyDescent="0.25">
      <c r="A22" t="s">
        <v>1340</v>
      </c>
      <c r="K22" s="1" t="str">
        <f t="shared" si="0"/>
        <v>1987-11-01</v>
      </c>
      <c r="L22">
        <v>0.31076399999999998</v>
      </c>
      <c r="M22" s="2">
        <f t="shared" si="1"/>
        <v>-0.10050190166895334</v>
      </c>
    </row>
    <row r="23" spans="1:13" x14ac:dyDescent="0.25">
      <c r="A23" t="s">
        <v>1341</v>
      </c>
      <c r="K23" s="1" t="str">
        <f t="shared" si="0"/>
        <v>1987-12-01</v>
      </c>
      <c r="L23">
        <v>0.37673600000000002</v>
      </c>
      <c r="M23" s="2">
        <f t="shared" si="1"/>
        <v>0.2122897118070306</v>
      </c>
    </row>
    <row r="24" spans="1:13" x14ac:dyDescent="0.25">
      <c r="A24" t="s">
        <v>1342</v>
      </c>
      <c r="K24" s="1" t="str">
        <f t="shared" si="0"/>
        <v>1988-01-01</v>
      </c>
      <c r="L24">
        <v>0.38715300000000002</v>
      </c>
      <c r="M24" s="2">
        <f t="shared" si="1"/>
        <v>2.7650662532914261E-2</v>
      </c>
    </row>
    <row r="25" spans="1:13" x14ac:dyDescent="0.25">
      <c r="A25" t="s">
        <v>1343</v>
      </c>
      <c r="K25" s="1" t="str">
        <f t="shared" si="0"/>
        <v>1988-02-01</v>
      </c>
      <c r="L25">
        <v>0.41232600000000003</v>
      </c>
      <c r="M25" s="2">
        <f t="shared" si="1"/>
        <v>6.5020805727967979E-2</v>
      </c>
    </row>
    <row r="26" spans="1:13" x14ac:dyDescent="0.25">
      <c r="A26" t="s">
        <v>1344</v>
      </c>
      <c r="K26" s="1" t="str">
        <f t="shared" si="0"/>
        <v>1988-03-01</v>
      </c>
      <c r="L26">
        <v>0.39236100000000002</v>
      </c>
      <c r="M26" s="2">
        <f t="shared" si="1"/>
        <v>-4.8420424615474134E-2</v>
      </c>
    </row>
    <row r="27" spans="1:13" x14ac:dyDescent="0.25">
      <c r="A27" t="s">
        <v>1345</v>
      </c>
      <c r="K27" s="1" t="str">
        <f t="shared" si="0"/>
        <v>1988-04-01</v>
      </c>
      <c r="L27">
        <v>0.37847199999999998</v>
      </c>
      <c r="M27" s="2">
        <f t="shared" si="1"/>
        <v>-3.5398523298696971E-2</v>
      </c>
    </row>
    <row r="28" spans="1:13" x14ac:dyDescent="0.25">
      <c r="A28" t="s">
        <v>1346</v>
      </c>
      <c r="K28" s="1" t="str">
        <f t="shared" si="0"/>
        <v>1988-05-01</v>
      </c>
      <c r="L28">
        <v>0.40277800000000002</v>
      </c>
      <c r="M28" s="2">
        <f t="shared" si="1"/>
        <v>6.4221395506140588E-2</v>
      </c>
    </row>
    <row r="29" spans="1:13" x14ac:dyDescent="0.25">
      <c r="A29" t="s">
        <v>1347</v>
      </c>
      <c r="K29" s="1" t="str">
        <f t="shared" si="0"/>
        <v>1988-06-01</v>
      </c>
      <c r="L29">
        <v>0.46527800000000002</v>
      </c>
      <c r="M29" s="2">
        <f t="shared" si="1"/>
        <v>0.15517232818078441</v>
      </c>
    </row>
    <row r="30" spans="1:13" x14ac:dyDescent="0.25">
      <c r="A30" t="s">
        <v>1348</v>
      </c>
      <c r="K30" s="1" t="str">
        <f t="shared" si="0"/>
        <v>1988-07-01</v>
      </c>
      <c r="L30">
        <v>0.41319400000000001</v>
      </c>
      <c r="M30" s="2">
        <f t="shared" si="1"/>
        <v>-0.11194167787860165</v>
      </c>
    </row>
    <row r="31" spans="1:13" x14ac:dyDescent="0.25">
      <c r="A31" t="s">
        <v>1349</v>
      </c>
      <c r="K31" s="1" t="str">
        <f t="shared" si="0"/>
        <v>1988-08-01</v>
      </c>
      <c r="L31">
        <v>0.34722199999999998</v>
      </c>
      <c r="M31" s="2">
        <f t="shared" si="1"/>
        <v>-0.15966349946998271</v>
      </c>
    </row>
    <row r="32" spans="1:13" x14ac:dyDescent="0.25">
      <c r="A32" t="s">
        <v>1350</v>
      </c>
      <c r="K32" s="1" t="str">
        <f t="shared" si="0"/>
        <v>1988-09-01</v>
      </c>
      <c r="L32">
        <v>0.36284699999999998</v>
      </c>
      <c r="M32" s="2">
        <f t="shared" si="1"/>
        <v>4.5000028800018521E-2</v>
      </c>
    </row>
    <row r="33" spans="1:13" x14ac:dyDescent="0.25">
      <c r="A33" t="s">
        <v>1351</v>
      </c>
      <c r="K33" s="1" t="str">
        <f t="shared" si="0"/>
        <v>1988-10-01</v>
      </c>
      <c r="L33">
        <v>0.34027800000000002</v>
      </c>
      <c r="M33" s="2">
        <f t="shared" si="1"/>
        <v>-6.2199770151055267E-2</v>
      </c>
    </row>
    <row r="34" spans="1:13" x14ac:dyDescent="0.25">
      <c r="A34" t="s">
        <v>1352</v>
      </c>
      <c r="K34" s="1" t="str">
        <f t="shared" si="0"/>
        <v>1988-11-01</v>
      </c>
      <c r="L34">
        <v>0.328125</v>
      </c>
      <c r="M34" s="2">
        <f t="shared" si="1"/>
        <v>-3.5714915451483864E-2</v>
      </c>
    </row>
    <row r="35" spans="1:13" x14ac:dyDescent="0.25">
      <c r="A35" t="s">
        <v>1353</v>
      </c>
      <c r="K35" s="1" t="str">
        <f t="shared" si="0"/>
        <v>1988-12-01</v>
      </c>
      <c r="L35">
        <v>0.36979200000000001</v>
      </c>
      <c r="M35" s="2">
        <f t="shared" si="1"/>
        <v>0.12698514285714291</v>
      </c>
    </row>
    <row r="36" spans="1:13" x14ac:dyDescent="0.25">
      <c r="A36" t="s">
        <v>1354</v>
      </c>
      <c r="K36" s="1" t="str">
        <f t="shared" si="0"/>
        <v>1989-01-01</v>
      </c>
      <c r="L36">
        <v>0.41406300000000001</v>
      </c>
      <c r="M36" s="2">
        <f t="shared" si="1"/>
        <v>0.11971865264797499</v>
      </c>
    </row>
    <row r="37" spans="1:13" x14ac:dyDescent="0.25">
      <c r="A37" t="s">
        <v>1355</v>
      </c>
      <c r="K37" s="1" t="str">
        <f t="shared" si="0"/>
        <v>1989-02-01</v>
      </c>
      <c r="L37">
        <v>0.41319400000000001</v>
      </c>
      <c r="M37" s="2">
        <f t="shared" si="1"/>
        <v>-2.0987144468354035E-3</v>
      </c>
    </row>
    <row r="38" spans="1:13" x14ac:dyDescent="0.25">
      <c r="A38" t="s">
        <v>1356</v>
      </c>
      <c r="K38" s="1" t="str">
        <f t="shared" si="0"/>
        <v>1989-03-01</v>
      </c>
      <c r="L38">
        <v>0.346354</v>
      </c>
      <c r="M38" s="2">
        <f t="shared" si="1"/>
        <v>-0.16176420761192079</v>
      </c>
    </row>
    <row r="39" spans="1:13" x14ac:dyDescent="0.25">
      <c r="A39" t="s">
        <v>1357</v>
      </c>
      <c r="K39" s="1" t="str">
        <f t="shared" si="0"/>
        <v>1989-04-01</v>
      </c>
      <c r="L39">
        <v>0.388021</v>
      </c>
      <c r="M39" s="2">
        <f t="shared" si="1"/>
        <v>0.12030177217528881</v>
      </c>
    </row>
    <row r="40" spans="1:13" x14ac:dyDescent="0.25">
      <c r="A40" t="s">
        <v>1358</v>
      </c>
      <c r="K40" s="1" t="str">
        <f t="shared" si="0"/>
        <v>1989-05-01</v>
      </c>
      <c r="L40">
        <v>0.42013899999999998</v>
      </c>
      <c r="M40" s="2">
        <f t="shared" si="1"/>
        <v>8.2773870486391177E-2</v>
      </c>
    </row>
    <row r="41" spans="1:13" x14ac:dyDescent="0.25">
      <c r="A41" t="s">
        <v>1359</v>
      </c>
      <c r="K41" s="1" t="str">
        <f t="shared" si="0"/>
        <v>1989-06-01</v>
      </c>
      <c r="L41">
        <v>0.36805599999999999</v>
      </c>
      <c r="M41" s="2">
        <f t="shared" si="1"/>
        <v>-0.12396611597590323</v>
      </c>
    </row>
    <row r="42" spans="1:13" x14ac:dyDescent="0.25">
      <c r="A42" t="s">
        <v>1360</v>
      </c>
      <c r="K42" s="1" t="str">
        <f t="shared" si="0"/>
        <v>1989-07-01</v>
      </c>
      <c r="L42">
        <v>0.38020799999999999</v>
      </c>
      <c r="M42" s="2">
        <f t="shared" si="1"/>
        <v>3.3016714847740491E-2</v>
      </c>
    </row>
    <row r="43" spans="1:13" x14ac:dyDescent="0.25">
      <c r="A43" t="s">
        <v>1361</v>
      </c>
      <c r="K43" s="1" t="str">
        <f t="shared" si="0"/>
        <v>1989-08-01</v>
      </c>
      <c r="L43">
        <v>0.40798600000000002</v>
      </c>
      <c r="M43" s="2">
        <f t="shared" si="1"/>
        <v>7.3060009258090419E-2</v>
      </c>
    </row>
    <row r="44" spans="1:13" x14ac:dyDescent="0.25">
      <c r="A44" t="s">
        <v>1362</v>
      </c>
      <c r="K44" s="1" t="str">
        <f t="shared" si="0"/>
        <v>1989-09-01</v>
      </c>
      <c r="L44">
        <v>0.47569400000000001</v>
      </c>
      <c r="M44" s="2">
        <f t="shared" si="1"/>
        <v>0.1659566749839454</v>
      </c>
    </row>
    <row r="45" spans="1:13" x14ac:dyDescent="0.25">
      <c r="A45" t="s">
        <v>1363</v>
      </c>
      <c r="K45" s="1" t="str">
        <f t="shared" si="0"/>
        <v>1989-10-01</v>
      </c>
      <c r="L45">
        <v>0.56770799999999999</v>
      </c>
      <c r="M45" s="2">
        <f t="shared" si="1"/>
        <v>0.19343107123486947</v>
      </c>
    </row>
    <row r="46" spans="1:13" x14ac:dyDescent="0.25">
      <c r="A46" t="s">
        <v>1364</v>
      </c>
      <c r="K46" s="1" t="str">
        <f t="shared" si="0"/>
        <v>1989-11-01</v>
      </c>
      <c r="L46">
        <v>0.60416700000000001</v>
      </c>
      <c r="M46" s="2">
        <f t="shared" si="1"/>
        <v>6.4221395506140588E-2</v>
      </c>
    </row>
    <row r="47" spans="1:13" x14ac:dyDescent="0.25">
      <c r="A47" t="s">
        <v>1365</v>
      </c>
      <c r="K47" s="1" t="str">
        <f t="shared" si="0"/>
        <v>1989-12-01</v>
      </c>
      <c r="L47">
        <v>0.60416700000000001</v>
      </c>
      <c r="M47" s="2">
        <f t="shared" si="1"/>
        <v>0</v>
      </c>
    </row>
    <row r="48" spans="1:13" x14ac:dyDescent="0.25">
      <c r="A48" t="s">
        <v>1366</v>
      </c>
      <c r="K48" s="1" t="str">
        <f t="shared" si="0"/>
        <v>1990-01-01</v>
      </c>
      <c r="L48">
        <v>0.64236099999999996</v>
      </c>
      <c r="M48" s="2">
        <f t="shared" si="1"/>
        <v>6.3217620293726684E-2</v>
      </c>
    </row>
    <row r="49" spans="1:13" x14ac:dyDescent="0.25">
      <c r="A49" t="s">
        <v>1367</v>
      </c>
      <c r="K49" s="1" t="str">
        <f t="shared" si="0"/>
        <v>1990-02-01</v>
      </c>
      <c r="L49">
        <v>0.68576400000000004</v>
      </c>
      <c r="M49" s="2">
        <f t="shared" si="1"/>
        <v>6.7567925200938461E-2</v>
      </c>
    </row>
    <row r="50" spans="1:13" x14ac:dyDescent="0.25">
      <c r="A50" t="s">
        <v>1368</v>
      </c>
      <c r="K50" s="1" t="str">
        <f t="shared" si="0"/>
        <v>1990-03-01</v>
      </c>
      <c r="L50">
        <v>0.76909700000000003</v>
      </c>
      <c r="M50" s="2">
        <f t="shared" si="1"/>
        <v>0.12151848157675227</v>
      </c>
    </row>
    <row r="51" spans="1:13" x14ac:dyDescent="0.25">
      <c r="A51" t="s">
        <v>1369</v>
      </c>
      <c r="K51" s="1" t="str">
        <f t="shared" si="0"/>
        <v>1990-04-01</v>
      </c>
      <c r="L51">
        <v>0.80555600000000005</v>
      </c>
      <c r="M51" s="2">
        <f t="shared" si="1"/>
        <v>4.7404943719712822E-2</v>
      </c>
    </row>
    <row r="52" spans="1:13" x14ac:dyDescent="0.25">
      <c r="A52" t="s">
        <v>1370</v>
      </c>
      <c r="K52" s="1" t="str">
        <f t="shared" si="0"/>
        <v>1990-05-01</v>
      </c>
      <c r="L52">
        <v>1.013889</v>
      </c>
      <c r="M52" s="2">
        <f t="shared" si="1"/>
        <v>0.25862013317509902</v>
      </c>
    </row>
    <row r="53" spans="1:13" x14ac:dyDescent="0.25">
      <c r="A53" t="s">
        <v>1371</v>
      </c>
      <c r="K53" s="1" t="str">
        <f t="shared" si="0"/>
        <v>1990-06-01</v>
      </c>
      <c r="L53">
        <v>1.0555559999999999</v>
      </c>
      <c r="M53" s="2">
        <f t="shared" si="1"/>
        <v>4.1096214674387399E-2</v>
      </c>
    </row>
    <row r="54" spans="1:13" x14ac:dyDescent="0.25">
      <c r="A54" t="s">
        <v>1372</v>
      </c>
      <c r="K54" s="1" t="str">
        <f t="shared" si="0"/>
        <v>1990-07-01</v>
      </c>
      <c r="L54">
        <v>0.92361099999999996</v>
      </c>
      <c r="M54" s="2">
        <f t="shared" si="1"/>
        <v>-0.12500047368401102</v>
      </c>
    </row>
    <row r="55" spans="1:13" x14ac:dyDescent="0.25">
      <c r="A55" t="s">
        <v>1373</v>
      </c>
      <c r="K55" s="1" t="str">
        <f t="shared" si="0"/>
        <v>1990-08-01</v>
      </c>
      <c r="L55">
        <v>0.85416700000000001</v>
      </c>
      <c r="M55" s="2">
        <f t="shared" si="1"/>
        <v>-7.5187497766917022E-2</v>
      </c>
    </row>
    <row r="56" spans="1:13" x14ac:dyDescent="0.25">
      <c r="A56" t="s">
        <v>1374</v>
      </c>
      <c r="K56" s="1" t="str">
        <f t="shared" si="0"/>
        <v>1990-09-01</v>
      </c>
      <c r="L56">
        <v>0.875</v>
      </c>
      <c r="M56" s="2">
        <f t="shared" si="1"/>
        <v>2.4389844140548567E-2</v>
      </c>
    </row>
    <row r="57" spans="1:13" x14ac:dyDescent="0.25">
      <c r="A57" t="s">
        <v>1375</v>
      </c>
      <c r="K57" s="1" t="str">
        <f t="shared" si="0"/>
        <v>1990-10-01</v>
      </c>
      <c r="L57">
        <v>0.88541700000000001</v>
      </c>
      <c r="M57" s="2">
        <f t="shared" si="1"/>
        <v>1.1905142857142836E-2</v>
      </c>
    </row>
    <row r="58" spans="1:13" x14ac:dyDescent="0.25">
      <c r="A58" t="s">
        <v>1376</v>
      </c>
      <c r="K58" s="1" t="str">
        <f t="shared" si="0"/>
        <v>1990-11-01</v>
      </c>
      <c r="L58">
        <v>1.0034719999999999</v>
      </c>
      <c r="M58" s="2">
        <f t="shared" si="1"/>
        <v>0.13333265568652952</v>
      </c>
    </row>
    <row r="59" spans="1:13" x14ac:dyDescent="0.25">
      <c r="A59" t="s">
        <v>1377</v>
      </c>
      <c r="K59" s="1" t="str">
        <f t="shared" si="0"/>
        <v>1990-12-01</v>
      </c>
      <c r="L59">
        <v>1.045139</v>
      </c>
      <c r="M59" s="2">
        <f t="shared" si="1"/>
        <v>4.1522832724779635E-2</v>
      </c>
    </row>
    <row r="60" spans="1:13" x14ac:dyDescent="0.25">
      <c r="A60" t="s">
        <v>1378</v>
      </c>
      <c r="K60" s="1" t="str">
        <f t="shared" si="0"/>
        <v>1991-01-01</v>
      </c>
      <c r="L60">
        <v>1.3628469999999999</v>
      </c>
      <c r="M60" s="2">
        <f t="shared" si="1"/>
        <v>0.30398635970909127</v>
      </c>
    </row>
    <row r="61" spans="1:13" x14ac:dyDescent="0.25">
      <c r="A61" t="s">
        <v>1379</v>
      </c>
      <c r="K61" s="1" t="str">
        <f t="shared" si="0"/>
        <v>1991-02-01</v>
      </c>
      <c r="L61">
        <v>1.4409719999999999</v>
      </c>
      <c r="M61" s="2">
        <f t="shared" si="1"/>
        <v>5.732485011156796E-2</v>
      </c>
    </row>
    <row r="62" spans="1:13" x14ac:dyDescent="0.25">
      <c r="A62" t="s">
        <v>1380</v>
      </c>
      <c r="K62" s="1" t="str">
        <f t="shared" si="0"/>
        <v>1991-03-01</v>
      </c>
      <c r="L62">
        <v>1.4739580000000001</v>
      </c>
      <c r="M62" s="2">
        <f t="shared" si="1"/>
        <v>2.2891492686880843E-2</v>
      </c>
    </row>
    <row r="63" spans="1:13" x14ac:dyDescent="0.25">
      <c r="A63" t="s">
        <v>1381</v>
      </c>
      <c r="K63" s="1" t="str">
        <f t="shared" si="0"/>
        <v>1991-04-01</v>
      </c>
      <c r="L63">
        <v>1.375</v>
      </c>
      <c r="M63" s="2">
        <f t="shared" si="1"/>
        <v>-6.7137598221930439E-2</v>
      </c>
    </row>
    <row r="64" spans="1:13" x14ac:dyDescent="0.25">
      <c r="A64" t="s">
        <v>1382</v>
      </c>
      <c r="K64" s="1" t="str">
        <f t="shared" si="0"/>
        <v>1991-05-01</v>
      </c>
      <c r="L64">
        <v>1.5243059999999999</v>
      </c>
      <c r="M64" s="2">
        <f t="shared" si="1"/>
        <v>0.10858618181818169</v>
      </c>
    </row>
    <row r="65" spans="1:13" x14ac:dyDescent="0.25">
      <c r="A65" t="s">
        <v>1383</v>
      </c>
      <c r="K65" s="1" t="str">
        <f t="shared" si="0"/>
        <v>1991-06-01</v>
      </c>
      <c r="L65">
        <v>1.4192709999999999</v>
      </c>
      <c r="M65" s="2">
        <f t="shared" si="1"/>
        <v>-6.8906768063630275E-2</v>
      </c>
    </row>
    <row r="66" spans="1:13" x14ac:dyDescent="0.25">
      <c r="A66" t="s">
        <v>1384</v>
      </c>
      <c r="K66" s="1" t="str">
        <f t="shared" si="0"/>
        <v>1991-07-01</v>
      </c>
      <c r="L66">
        <v>1.53125</v>
      </c>
      <c r="M66" s="2">
        <f t="shared" si="1"/>
        <v>7.8898955872416243E-2</v>
      </c>
    </row>
    <row r="67" spans="1:13" x14ac:dyDescent="0.25">
      <c r="A67" t="s">
        <v>1385</v>
      </c>
      <c r="K67" s="1" t="str">
        <f t="shared" ref="K67:K130" si="2">LEFT(A67,10)</f>
        <v>1991-08-01</v>
      </c>
      <c r="L67">
        <v>1.7760419999999999</v>
      </c>
      <c r="M67" s="2">
        <f t="shared" si="1"/>
        <v>0.15986416326530595</v>
      </c>
    </row>
    <row r="68" spans="1:13" x14ac:dyDescent="0.25">
      <c r="A68" t="s">
        <v>1386</v>
      </c>
      <c r="K68" s="1" t="str">
        <f t="shared" si="2"/>
        <v>1991-09-01</v>
      </c>
      <c r="L68">
        <v>1.8541669999999999</v>
      </c>
      <c r="M68" s="2">
        <f t="shared" ref="M68:M131" si="3">(L68/L67)-1</f>
        <v>4.3988261538860041E-2</v>
      </c>
    </row>
    <row r="69" spans="1:13" x14ac:dyDescent="0.25">
      <c r="A69" t="s">
        <v>1387</v>
      </c>
      <c r="K69" s="1" t="str">
        <f t="shared" si="2"/>
        <v>1991-10-01</v>
      </c>
      <c r="L69">
        <v>1.9557290000000001</v>
      </c>
      <c r="M69" s="2">
        <f t="shared" si="3"/>
        <v>5.4775001388763789E-2</v>
      </c>
    </row>
    <row r="70" spans="1:13" x14ac:dyDescent="0.25">
      <c r="A70" t="s">
        <v>1388</v>
      </c>
      <c r="K70" s="1" t="str">
        <f t="shared" si="2"/>
        <v>1991-11-01</v>
      </c>
      <c r="L70">
        <v>2.0260419999999999</v>
      </c>
      <c r="M70" s="2">
        <f t="shared" si="3"/>
        <v>3.5952322637747836E-2</v>
      </c>
    </row>
    <row r="71" spans="1:13" x14ac:dyDescent="0.25">
      <c r="A71" t="s">
        <v>1389</v>
      </c>
      <c r="K71" s="1" t="str">
        <f t="shared" si="2"/>
        <v>1991-12-01</v>
      </c>
      <c r="L71">
        <v>2.3177080000000001</v>
      </c>
      <c r="M71" s="2">
        <f t="shared" si="3"/>
        <v>0.14395851616106681</v>
      </c>
    </row>
    <row r="72" spans="1:13" x14ac:dyDescent="0.25">
      <c r="A72" t="s">
        <v>1390</v>
      </c>
      <c r="K72" s="1" t="str">
        <f t="shared" si="2"/>
        <v>1992-01-01</v>
      </c>
      <c r="L72">
        <v>2.5052080000000001</v>
      </c>
      <c r="M72" s="2">
        <f t="shared" si="3"/>
        <v>8.0898888039390604E-2</v>
      </c>
    </row>
    <row r="73" spans="1:13" x14ac:dyDescent="0.25">
      <c r="A73" t="s">
        <v>1391</v>
      </c>
      <c r="K73" s="1" t="str">
        <f t="shared" si="2"/>
        <v>1992-02-01</v>
      </c>
      <c r="L73">
        <v>2.5729169999999999</v>
      </c>
      <c r="M73" s="2">
        <f t="shared" si="3"/>
        <v>2.7027296735440576E-2</v>
      </c>
    </row>
    <row r="74" spans="1:13" x14ac:dyDescent="0.25">
      <c r="A74" t="s">
        <v>1392</v>
      </c>
      <c r="K74" s="1" t="str">
        <f t="shared" si="2"/>
        <v>1992-03-01</v>
      </c>
      <c r="L74">
        <v>2.46875</v>
      </c>
      <c r="M74" s="2">
        <f t="shared" si="3"/>
        <v>-4.0485954269026125E-2</v>
      </c>
    </row>
    <row r="75" spans="1:13" x14ac:dyDescent="0.25">
      <c r="A75" t="s">
        <v>1393</v>
      </c>
      <c r="K75" s="1" t="str">
        <f t="shared" si="2"/>
        <v>1992-04-01</v>
      </c>
      <c r="L75">
        <v>2.296875</v>
      </c>
      <c r="M75" s="2">
        <f t="shared" si="3"/>
        <v>-6.9620253164557E-2</v>
      </c>
    </row>
    <row r="76" spans="1:13" x14ac:dyDescent="0.25">
      <c r="A76" t="s">
        <v>1394</v>
      </c>
      <c r="K76" s="1" t="str">
        <f t="shared" si="2"/>
        <v>1992-05-01</v>
      </c>
      <c r="L76">
        <v>2.5208330000000001</v>
      </c>
      <c r="M76" s="2">
        <f t="shared" si="3"/>
        <v>9.7505523809523931E-2</v>
      </c>
    </row>
    <row r="77" spans="1:13" x14ac:dyDescent="0.25">
      <c r="A77" t="s">
        <v>1395</v>
      </c>
      <c r="K77" s="1" t="str">
        <f t="shared" si="2"/>
        <v>1992-06-01</v>
      </c>
      <c r="L77">
        <v>2.1875</v>
      </c>
      <c r="M77" s="2">
        <f t="shared" si="3"/>
        <v>-0.1322312902124021</v>
      </c>
    </row>
    <row r="78" spans="1:13" x14ac:dyDescent="0.25">
      <c r="A78" t="s">
        <v>1396</v>
      </c>
      <c r="K78" s="1" t="str">
        <f t="shared" si="2"/>
        <v>1992-07-01</v>
      </c>
      <c r="L78">
        <v>2.2734380000000001</v>
      </c>
      <c r="M78" s="2">
        <f t="shared" si="3"/>
        <v>3.9285942857142819E-2</v>
      </c>
    </row>
    <row r="79" spans="1:13" x14ac:dyDescent="0.25">
      <c r="A79" t="s">
        <v>1397</v>
      </c>
      <c r="K79" s="1" t="str">
        <f t="shared" si="2"/>
        <v>1992-08-01</v>
      </c>
      <c r="L79">
        <v>2.328125</v>
      </c>
      <c r="M79" s="2">
        <f t="shared" si="3"/>
        <v>2.4054757596204457E-2</v>
      </c>
    </row>
    <row r="80" spans="1:13" x14ac:dyDescent="0.25">
      <c r="A80" t="s">
        <v>1398</v>
      </c>
      <c r="K80" s="1" t="str">
        <f t="shared" si="2"/>
        <v>1992-09-01</v>
      </c>
      <c r="L80">
        <v>2.515625</v>
      </c>
      <c r="M80" s="2">
        <f t="shared" si="3"/>
        <v>8.0536912751677958E-2</v>
      </c>
    </row>
    <row r="81" spans="1:13" x14ac:dyDescent="0.25">
      <c r="A81" t="s">
        <v>1399</v>
      </c>
      <c r="K81" s="1" t="str">
        <f t="shared" si="2"/>
        <v>1992-10-01</v>
      </c>
      <c r="L81">
        <v>2.7734380000000001</v>
      </c>
      <c r="M81" s="2">
        <f t="shared" si="3"/>
        <v>0.10248467080745338</v>
      </c>
    </row>
    <row r="82" spans="1:13" x14ac:dyDescent="0.25">
      <c r="A82" t="s">
        <v>1400</v>
      </c>
      <c r="K82" s="1" t="str">
        <f t="shared" si="2"/>
        <v>1992-11-01</v>
      </c>
      <c r="L82">
        <v>2.9101560000000002</v>
      </c>
      <c r="M82" s="2">
        <f t="shared" si="3"/>
        <v>4.9295495338276929E-2</v>
      </c>
    </row>
    <row r="83" spans="1:13" x14ac:dyDescent="0.25">
      <c r="A83" t="s">
        <v>1401</v>
      </c>
      <c r="K83" s="1" t="str">
        <f t="shared" si="2"/>
        <v>1992-12-01</v>
      </c>
      <c r="L83">
        <v>2.6679689999999998</v>
      </c>
      <c r="M83" s="2">
        <f t="shared" si="3"/>
        <v>-8.3221311847200052E-2</v>
      </c>
    </row>
    <row r="84" spans="1:13" x14ac:dyDescent="0.25">
      <c r="A84" t="s">
        <v>1402</v>
      </c>
      <c r="K84" s="1" t="str">
        <f t="shared" si="2"/>
        <v>1993-01-01</v>
      </c>
      <c r="L84">
        <v>2.703125</v>
      </c>
      <c r="M84" s="2">
        <f t="shared" si="3"/>
        <v>1.3177064651051174E-2</v>
      </c>
    </row>
    <row r="85" spans="1:13" x14ac:dyDescent="0.25">
      <c r="A85" t="s">
        <v>1403</v>
      </c>
      <c r="K85" s="1" t="str">
        <f t="shared" si="2"/>
        <v>1993-02-01</v>
      </c>
      <c r="L85">
        <v>2.6054689999999998</v>
      </c>
      <c r="M85" s="2">
        <f t="shared" si="3"/>
        <v>-3.6127075144508747E-2</v>
      </c>
    </row>
    <row r="86" spans="1:13" x14ac:dyDescent="0.25">
      <c r="A86" t="s">
        <v>1404</v>
      </c>
      <c r="K86" s="1" t="str">
        <f t="shared" si="2"/>
        <v>1993-03-01</v>
      </c>
      <c r="L86">
        <v>2.890625</v>
      </c>
      <c r="M86" s="2">
        <f t="shared" si="3"/>
        <v>0.1094451709078097</v>
      </c>
    </row>
    <row r="87" spans="1:13" x14ac:dyDescent="0.25">
      <c r="A87" t="s">
        <v>1405</v>
      </c>
      <c r="K87" s="1" t="str">
        <f t="shared" si="2"/>
        <v>1993-04-01</v>
      </c>
      <c r="L87">
        <v>2.671875</v>
      </c>
      <c r="M87" s="2">
        <f t="shared" si="3"/>
        <v>-7.567567567567568E-2</v>
      </c>
    </row>
    <row r="88" spans="1:13" x14ac:dyDescent="0.25">
      <c r="A88" t="s">
        <v>1406</v>
      </c>
      <c r="K88" s="1" t="str">
        <f t="shared" si="2"/>
        <v>1993-05-01</v>
      </c>
      <c r="L88">
        <v>2.8945310000000002</v>
      </c>
      <c r="M88" s="2">
        <f t="shared" si="3"/>
        <v>8.3333239766081979E-2</v>
      </c>
    </row>
    <row r="89" spans="1:13" x14ac:dyDescent="0.25">
      <c r="A89" t="s">
        <v>1407</v>
      </c>
      <c r="K89" s="1" t="str">
        <f t="shared" si="2"/>
        <v>1993-06-01</v>
      </c>
      <c r="L89">
        <v>2.75</v>
      </c>
      <c r="M89" s="2">
        <f t="shared" si="3"/>
        <v>-4.993244155961718E-2</v>
      </c>
    </row>
    <row r="90" spans="1:13" x14ac:dyDescent="0.25">
      <c r="A90" t="s">
        <v>1408</v>
      </c>
      <c r="K90" s="1" t="str">
        <f t="shared" si="2"/>
        <v>1993-07-01</v>
      </c>
      <c r="L90">
        <v>2.3125</v>
      </c>
      <c r="M90" s="2">
        <f t="shared" si="3"/>
        <v>-0.15909090909090906</v>
      </c>
    </row>
    <row r="91" spans="1:13" x14ac:dyDescent="0.25">
      <c r="A91" t="s">
        <v>1409</v>
      </c>
      <c r="K91" s="1" t="str">
        <f t="shared" si="2"/>
        <v>1993-08-01</v>
      </c>
      <c r="L91">
        <v>2.3476560000000002</v>
      </c>
      <c r="M91" s="2">
        <f t="shared" si="3"/>
        <v>1.5202594594594609E-2</v>
      </c>
    </row>
    <row r="92" spans="1:13" x14ac:dyDescent="0.25">
      <c r="A92" t="s">
        <v>1410</v>
      </c>
      <c r="K92" s="1" t="str">
        <f t="shared" si="2"/>
        <v>1993-09-01</v>
      </c>
      <c r="L92">
        <v>2.578125</v>
      </c>
      <c r="M92" s="2">
        <f t="shared" si="3"/>
        <v>9.8169834081313301E-2</v>
      </c>
    </row>
    <row r="93" spans="1:13" x14ac:dyDescent="0.25">
      <c r="A93" t="s">
        <v>1411</v>
      </c>
      <c r="K93" s="1" t="str">
        <f t="shared" si="2"/>
        <v>1993-10-01</v>
      </c>
      <c r="L93">
        <v>2.5039060000000002</v>
      </c>
      <c r="M93" s="2">
        <f t="shared" si="3"/>
        <v>-2.8787975757575635E-2</v>
      </c>
    </row>
    <row r="94" spans="1:13" x14ac:dyDescent="0.25">
      <c r="A94" t="s">
        <v>1412</v>
      </c>
      <c r="K94" s="1" t="str">
        <f t="shared" si="2"/>
        <v>1993-11-01</v>
      </c>
      <c r="L94">
        <v>2.5</v>
      </c>
      <c r="M94" s="2">
        <f t="shared" si="3"/>
        <v>-1.5599627142552919E-3</v>
      </c>
    </row>
    <row r="95" spans="1:13" x14ac:dyDescent="0.25">
      <c r="A95" t="s">
        <v>1413</v>
      </c>
      <c r="K95" s="1" t="str">
        <f t="shared" si="2"/>
        <v>1993-12-01</v>
      </c>
      <c r="L95">
        <v>2.5195310000000002</v>
      </c>
      <c r="M95" s="2">
        <f t="shared" si="3"/>
        <v>7.8124000000001637E-3</v>
      </c>
    </row>
    <row r="96" spans="1:13" x14ac:dyDescent="0.25">
      <c r="A96" t="s">
        <v>1414</v>
      </c>
      <c r="K96" s="1" t="str">
        <f t="shared" si="2"/>
        <v>1994-01-01</v>
      </c>
      <c r="L96">
        <v>2.6601560000000002</v>
      </c>
      <c r="M96" s="2">
        <f t="shared" si="3"/>
        <v>5.5813959026501436E-2</v>
      </c>
    </row>
    <row r="97" spans="1:13" x14ac:dyDescent="0.25">
      <c r="A97" t="s">
        <v>1415</v>
      </c>
      <c r="K97" s="1" t="str">
        <f t="shared" si="2"/>
        <v>1994-02-01</v>
      </c>
      <c r="L97">
        <v>2.578125</v>
      </c>
      <c r="M97" s="2">
        <f t="shared" si="3"/>
        <v>-3.0836913323880277E-2</v>
      </c>
    </row>
    <row r="98" spans="1:13" x14ac:dyDescent="0.25">
      <c r="A98" t="s">
        <v>1416</v>
      </c>
      <c r="K98" s="1" t="str">
        <f t="shared" si="2"/>
        <v>1994-03-01</v>
      </c>
      <c r="L98">
        <v>2.6484380000000001</v>
      </c>
      <c r="M98" s="2">
        <f t="shared" si="3"/>
        <v>2.7272921212121215E-2</v>
      </c>
    </row>
    <row r="99" spans="1:13" x14ac:dyDescent="0.25">
      <c r="A99" t="s">
        <v>1417</v>
      </c>
      <c r="K99" s="1" t="str">
        <f t="shared" si="2"/>
        <v>1994-04-01</v>
      </c>
      <c r="L99">
        <v>2.890625</v>
      </c>
      <c r="M99" s="2">
        <f t="shared" si="3"/>
        <v>9.1445221674058441E-2</v>
      </c>
    </row>
    <row r="100" spans="1:13" x14ac:dyDescent="0.25">
      <c r="A100" t="s">
        <v>1418</v>
      </c>
      <c r="K100" s="1" t="str">
        <f t="shared" si="2"/>
        <v>1994-05-01</v>
      </c>
      <c r="L100">
        <v>3.359375</v>
      </c>
      <c r="M100" s="2">
        <f t="shared" si="3"/>
        <v>0.16216216216216206</v>
      </c>
    </row>
    <row r="101" spans="1:13" x14ac:dyDescent="0.25">
      <c r="A101" t="s">
        <v>1419</v>
      </c>
      <c r="K101" s="1" t="str">
        <f t="shared" si="2"/>
        <v>1994-06-01</v>
      </c>
      <c r="L101">
        <v>3.2265630000000001</v>
      </c>
      <c r="M101" s="2">
        <f t="shared" si="3"/>
        <v>-3.9534734883720946E-2</v>
      </c>
    </row>
    <row r="102" spans="1:13" x14ac:dyDescent="0.25">
      <c r="A102" t="s">
        <v>1420</v>
      </c>
      <c r="K102" s="1" t="str">
        <f t="shared" si="2"/>
        <v>1994-07-01</v>
      </c>
      <c r="L102">
        <v>3.21875</v>
      </c>
      <c r="M102" s="2">
        <f t="shared" si="3"/>
        <v>-2.4214620944950083E-3</v>
      </c>
    </row>
    <row r="103" spans="1:13" x14ac:dyDescent="0.25">
      <c r="A103" t="s">
        <v>1421</v>
      </c>
      <c r="K103" s="1" t="str">
        <f t="shared" si="2"/>
        <v>1994-08-01</v>
      </c>
      <c r="L103">
        <v>3.6328130000000001</v>
      </c>
      <c r="M103" s="2">
        <f t="shared" si="3"/>
        <v>0.12864093203883487</v>
      </c>
    </row>
    <row r="104" spans="1:13" x14ac:dyDescent="0.25">
      <c r="A104" t="s">
        <v>1422</v>
      </c>
      <c r="K104" s="1" t="str">
        <f t="shared" si="2"/>
        <v>1994-09-01</v>
      </c>
      <c r="L104">
        <v>3.5078130000000001</v>
      </c>
      <c r="M104" s="2">
        <f t="shared" si="3"/>
        <v>-3.4408597414730679E-2</v>
      </c>
    </row>
    <row r="105" spans="1:13" x14ac:dyDescent="0.25">
      <c r="A105" t="s">
        <v>1423</v>
      </c>
      <c r="K105" s="1" t="str">
        <f t="shared" si="2"/>
        <v>1994-10-01</v>
      </c>
      <c r="L105">
        <v>3.9375</v>
      </c>
      <c r="M105" s="2">
        <f t="shared" si="3"/>
        <v>0.12249427207208585</v>
      </c>
    </row>
    <row r="106" spans="1:13" x14ac:dyDescent="0.25">
      <c r="A106" t="s">
        <v>1424</v>
      </c>
      <c r="K106" s="1" t="str">
        <f t="shared" si="2"/>
        <v>1994-11-01</v>
      </c>
      <c r="L106">
        <v>3.9296880000000001</v>
      </c>
      <c r="M106" s="2">
        <f t="shared" si="3"/>
        <v>-1.9839999999999858E-3</v>
      </c>
    </row>
    <row r="107" spans="1:13" x14ac:dyDescent="0.25">
      <c r="A107" t="s">
        <v>1425</v>
      </c>
      <c r="K107" s="1" t="str">
        <f t="shared" si="2"/>
        <v>1994-12-01</v>
      </c>
      <c r="L107">
        <v>3.8203130000000001</v>
      </c>
      <c r="M107" s="2">
        <f t="shared" si="3"/>
        <v>-2.7832998446696067E-2</v>
      </c>
    </row>
    <row r="108" spans="1:13" x14ac:dyDescent="0.25">
      <c r="A108" t="s">
        <v>1426</v>
      </c>
      <c r="K108" s="1" t="str">
        <f t="shared" si="2"/>
        <v>1995-01-01</v>
      </c>
      <c r="L108">
        <v>3.7109380000000001</v>
      </c>
      <c r="M108" s="2">
        <f t="shared" si="3"/>
        <v>-2.8629853103659286E-2</v>
      </c>
    </row>
    <row r="109" spans="1:13" x14ac:dyDescent="0.25">
      <c r="A109" t="s">
        <v>1427</v>
      </c>
      <c r="K109" s="1" t="str">
        <f t="shared" si="2"/>
        <v>1995-02-01</v>
      </c>
      <c r="L109">
        <v>3.9375</v>
      </c>
      <c r="M109" s="2">
        <f t="shared" si="3"/>
        <v>6.1052488616085698E-2</v>
      </c>
    </row>
    <row r="110" spans="1:13" x14ac:dyDescent="0.25">
      <c r="A110" t="s">
        <v>1428</v>
      </c>
      <c r="K110" s="1" t="str">
        <f t="shared" si="2"/>
        <v>1995-03-01</v>
      </c>
      <c r="L110">
        <v>4.4453129999999996</v>
      </c>
      <c r="M110" s="2">
        <f t="shared" si="3"/>
        <v>0.12896838095238095</v>
      </c>
    </row>
    <row r="111" spans="1:13" x14ac:dyDescent="0.25">
      <c r="A111" t="s">
        <v>1429</v>
      </c>
      <c r="K111" s="1" t="str">
        <f t="shared" si="2"/>
        <v>1995-04-01</v>
      </c>
      <c r="L111">
        <v>5.109375</v>
      </c>
      <c r="M111" s="2">
        <f t="shared" si="3"/>
        <v>0.14938475648396432</v>
      </c>
    </row>
    <row r="112" spans="1:13" x14ac:dyDescent="0.25">
      <c r="A112" t="s">
        <v>1430</v>
      </c>
      <c r="K112" s="1" t="str">
        <f t="shared" si="2"/>
        <v>1995-05-01</v>
      </c>
      <c r="L112">
        <v>5.2929690000000003</v>
      </c>
      <c r="M112" s="2">
        <f t="shared" si="3"/>
        <v>3.5932770642201906E-2</v>
      </c>
    </row>
    <row r="113" spans="1:13" x14ac:dyDescent="0.25">
      <c r="A113" t="s">
        <v>1431</v>
      </c>
      <c r="K113" s="1" t="str">
        <f t="shared" si="2"/>
        <v>1995-06-01</v>
      </c>
      <c r="L113">
        <v>5.6484379999999996</v>
      </c>
      <c r="M113" s="2">
        <f t="shared" si="3"/>
        <v>6.7158715647115841E-2</v>
      </c>
    </row>
    <row r="114" spans="1:13" x14ac:dyDescent="0.25">
      <c r="A114" t="s">
        <v>1432</v>
      </c>
      <c r="K114" s="1" t="str">
        <f t="shared" si="2"/>
        <v>1995-07-01</v>
      </c>
      <c r="L114">
        <v>5.65625</v>
      </c>
      <c r="M114" s="2">
        <f t="shared" si="3"/>
        <v>1.3830372219718612E-3</v>
      </c>
    </row>
    <row r="115" spans="1:13" x14ac:dyDescent="0.25">
      <c r="A115" t="s">
        <v>1433</v>
      </c>
      <c r="K115" s="1" t="str">
        <f t="shared" si="2"/>
        <v>1995-08-01</v>
      </c>
      <c r="L115">
        <v>5.78125</v>
      </c>
      <c r="M115" s="2">
        <f t="shared" si="3"/>
        <v>2.2099447513812098E-2</v>
      </c>
    </row>
    <row r="116" spans="1:13" x14ac:dyDescent="0.25">
      <c r="A116" t="s">
        <v>1434</v>
      </c>
      <c r="K116" s="1" t="str">
        <f t="shared" si="2"/>
        <v>1995-09-01</v>
      </c>
      <c r="L116">
        <v>5.65625</v>
      </c>
      <c r="M116" s="2">
        <f t="shared" si="3"/>
        <v>-2.1621621621621623E-2</v>
      </c>
    </row>
    <row r="117" spans="1:13" x14ac:dyDescent="0.25">
      <c r="A117" t="s">
        <v>1435</v>
      </c>
      <c r="K117" s="1" t="str">
        <f t="shared" si="2"/>
        <v>1995-10-01</v>
      </c>
      <c r="L117">
        <v>6.25</v>
      </c>
      <c r="M117" s="2">
        <f t="shared" si="3"/>
        <v>0.1049723756906078</v>
      </c>
    </row>
    <row r="118" spans="1:13" x14ac:dyDescent="0.25">
      <c r="A118" t="s">
        <v>1436</v>
      </c>
      <c r="K118" s="1" t="str">
        <f t="shared" si="2"/>
        <v>1995-11-01</v>
      </c>
      <c r="L118">
        <v>5.4453129999999996</v>
      </c>
      <c r="M118" s="2">
        <f t="shared" si="3"/>
        <v>-0.12874992000000007</v>
      </c>
    </row>
    <row r="119" spans="1:13" x14ac:dyDescent="0.25">
      <c r="A119" t="s">
        <v>1437</v>
      </c>
      <c r="K119" s="1" t="str">
        <f t="shared" si="2"/>
        <v>1995-12-01</v>
      </c>
      <c r="L119">
        <v>5.484375</v>
      </c>
      <c r="M119" s="2">
        <f t="shared" si="3"/>
        <v>7.1735086669950654E-3</v>
      </c>
    </row>
    <row r="120" spans="1:13" x14ac:dyDescent="0.25">
      <c r="A120" t="s">
        <v>1438</v>
      </c>
      <c r="K120" s="1" t="str">
        <f t="shared" si="2"/>
        <v>1996-01-01</v>
      </c>
      <c r="L120">
        <v>5.78125</v>
      </c>
      <c r="M120" s="2">
        <f t="shared" si="3"/>
        <v>5.4131054131054235E-2</v>
      </c>
    </row>
    <row r="121" spans="1:13" x14ac:dyDescent="0.25">
      <c r="A121" t="s">
        <v>1439</v>
      </c>
      <c r="K121" s="1" t="str">
        <f t="shared" si="2"/>
        <v>1996-02-01</v>
      </c>
      <c r="L121">
        <v>6.1679690000000003</v>
      </c>
      <c r="M121" s="2">
        <f t="shared" si="3"/>
        <v>6.6891935135135139E-2</v>
      </c>
    </row>
    <row r="122" spans="1:13" x14ac:dyDescent="0.25">
      <c r="A122" t="s">
        <v>1440</v>
      </c>
      <c r="K122" s="1" t="str">
        <f t="shared" si="2"/>
        <v>1996-03-01</v>
      </c>
      <c r="L122">
        <v>6.4453129999999996</v>
      </c>
      <c r="M122" s="2">
        <f t="shared" si="3"/>
        <v>4.4965206537192381E-2</v>
      </c>
    </row>
    <row r="123" spans="1:13" x14ac:dyDescent="0.25">
      <c r="A123" t="s">
        <v>1441</v>
      </c>
      <c r="K123" s="1" t="str">
        <f t="shared" si="2"/>
        <v>1996-04-01</v>
      </c>
      <c r="L123">
        <v>7.078125</v>
      </c>
      <c r="M123" s="2">
        <f t="shared" si="3"/>
        <v>9.8181732989538251E-2</v>
      </c>
    </row>
    <row r="124" spans="1:13" x14ac:dyDescent="0.25">
      <c r="A124" t="s">
        <v>1442</v>
      </c>
      <c r="K124" s="1" t="str">
        <f t="shared" si="2"/>
        <v>1996-05-01</v>
      </c>
      <c r="L124">
        <v>7.421875</v>
      </c>
      <c r="M124" s="2">
        <f t="shared" si="3"/>
        <v>4.8565121412803558E-2</v>
      </c>
    </row>
    <row r="125" spans="1:13" x14ac:dyDescent="0.25">
      <c r="A125" t="s">
        <v>1443</v>
      </c>
      <c r="K125" s="1" t="str">
        <f t="shared" si="2"/>
        <v>1996-06-01</v>
      </c>
      <c r="L125">
        <v>7.5078129999999996</v>
      </c>
      <c r="M125" s="2">
        <f t="shared" si="3"/>
        <v>1.1579014736841975E-2</v>
      </c>
    </row>
    <row r="126" spans="1:13" x14ac:dyDescent="0.25">
      <c r="A126" t="s">
        <v>1444</v>
      </c>
      <c r="K126" s="1" t="str">
        <f t="shared" si="2"/>
        <v>1996-07-01</v>
      </c>
      <c r="L126">
        <v>7.3671879999999996</v>
      </c>
      <c r="M126" s="2">
        <f t="shared" si="3"/>
        <v>-1.8730487826481568E-2</v>
      </c>
    </row>
    <row r="127" spans="1:13" x14ac:dyDescent="0.25">
      <c r="A127" t="s">
        <v>1445</v>
      </c>
      <c r="K127" s="1" t="str">
        <f t="shared" si="2"/>
        <v>1996-08-01</v>
      </c>
      <c r="L127">
        <v>7.65625</v>
      </c>
      <c r="M127" s="2">
        <f t="shared" si="3"/>
        <v>3.9236408789893762E-2</v>
      </c>
    </row>
    <row r="128" spans="1:13" x14ac:dyDescent="0.25">
      <c r="A128" t="s">
        <v>1446</v>
      </c>
      <c r="K128" s="1" t="str">
        <f t="shared" si="2"/>
        <v>1996-09-01</v>
      </c>
      <c r="L128">
        <v>8.2421880000000005</v>
      </c>
      <c r="M128" s="2">
        <f t="shared" si="3"/>
        <v>7.6530677551020387E-2</v>
      </c>
    </row>
    <row r="129" spans="1:13" x14ac:dyDescent="0.25">
      <c r="A129" t="s">
        <v>1447</v>
      </c>
      <c r="K129" s="1" t="str">
        <f t="shared" si="2"/>
        <v>1996-10-01</v>
      </c>
      <c r="L129">
        <v>8.578125</v>
      </c>
      <c r="M129" s="2">
        <f t="shared" si="3"/>
        <v>4.0758230702818254E-2</v>
      </c>
    </row>
    <row r="130" spans="1:13" x14ac:dyDescent="0.25">
      <c r="A130" t="s">
        <v>1448</v>
      </c>
      <c r="K130" s="1" t="str">
        <f t="shared" si="2"/>
        <v>1996-11-01</v>
      </c>
      <c r="L130">
        <v>9.8046880000000005</v>
      </c>
      <c r="M130" s="2">
        <f t="shared" si="3"/>
        <v>0.14298730783242264</v>
      </c>
    </row>
    <row r="131" spans="1:13" x14ac:dyDescent="0.25">
      <c r="A131" t="s">
        <v>1449</v>
      </c>
      <c r="K131" s="1" t="str">
        <f t="shared" ref="K131:K194" si="4">LEFT(A131,10)</f>
        <v>1996-12-01</v>
      </c>
      <c r="L131">
        <v>10.328125</v>
      </c>
      <c r="M131" s="2">
        <f t="shared" si="3"/>
        <v>5.3386400464757289E-2</v>
      </c>
    </row>
    <row r="132" spans="1:13" x14ac:dyDescent="0.25">
      <c r="A132" t="s">
        <v>1450</v>
      </c>
      <c r="K132" s="1" t="str">
        <f t="shared" si="4"/>
        <v>1997-01-01</v>
      </c>
      <c r="L132">
        <v>12.75</v>
      </c>
      <c r="M132" s="2">
        <f t="shared" ref="M132:M195" si="5">(L132/L131)-1</f>
        <v>0.23449319213313169</v>
      </c>
    </row>
    <row r="133" spans="1:13" x14ac:dyDescent="0.25">
      <c r="A133" t="s">
        <v>1451</v>
      </c>
      <c r="K133" s="1" t="str">
        <f t="shared" si="4"/>
        <v>1997-02-01</v>
      </c>
      <c r="L133">
        <v>12.1875</v>
      </c>
      <c r="M133" s="2">
        <f t="shared" si="5"/>
        <v>-4.4117647058823484E-2</v>
      </c>
    </row>
    <row r="134" spans="1:13" x14ac:dyDescent="0.25">
      <c r="A134" t="s">
        <v>1452</v>
      </c>
      <c r="K134" s="1" t="str">
        <f t="shared" si="4"/>
        <v>1997-03-01</v>
      </c>
      <c r="L134">
        <v>11.460938000000001</v>
      </c>
      <c r="M134" s="2">
        <f t="shared" si="5"/>
        <v>-5.9615343589743519E-2</v>
      </c>
    </row>
    <row r="135" spans="1:13" x14ac:dyDescent="0.25">
      <c r="A135" t="s">
        <v>1453</v>
      </c>
      <c r="K135" s="1" t="str">
        <f t="shared" si="4"/>
        <v>1997-04-01</v>
      </c>
      <c r="L135">
        <v>15.1875</v>
      </c>
      <c r="M135" s="2">
        <f t="shared" si="5"/>
        <v>0.32515331642139578</v>
      </c>
    </row>
    <row r="136" spans="1:13" x14ac:dyDescent="0.25">
      <c r="A136" t="s">
        <v>1454</v>
      </c>
      <c r="K136" s="1" t="str">
        <f t="shared" si="4"/>
        <v>1997-05-01</v>
      </c>
      <c r="L136">
        <v>15.5</v>
      </c>
      <c r="M136" s="2">
        <f t="shared" si="5"/>
        <v>2.0576131687242816E-2</v>
      </c>
    </row>
    <row r="137" spans="1:13" x14ac:dyDescent="0.25">
      <c r="A137" t="s">
        <v>1455</v>
      </c>
      <c r="K137" s="1" t="str">
        <f t="shared" si="4"/>
        <v>1997-06-01</v>
      </c>
      <c r="L137">
        <v>15.796875</v>
      </c>
      <c r="M137" s="2">
        <f t="shared" si="5"/>
        <v>1.9153225806451513E-2</v>
      </c>
    </row>
    <row r="138" spans="1:13" x14ac:dyDescent="0.25">
      <c r="A138" t="s">
        <v>1456</v>
      </c>
      <c r="K138" s="1" t="str">
        <f t="shared" si="4"/>
        <v>1997-07-01</v>
      </c>
      <c r="L138">
        <v>17.671875</v>
      </c>
      <c r="M138" s="2">
        <f t="shared" si="5"/>
        <v>0.11869436201780426</v>
      </c>
    </row>
    <row r="139" spans="1:13" x14ac:dyDescent="0.25">
      <c r="A139" t="s">
        <v>1457</v>
      </c>
      <c r="K139" s="1" t="str">
        <f t="shared" si="4"/>
        <v>1997-08-01</v>
      </c>
      <c r="L139">
        <v>16.523437999999999</v>
      </c>
      <c r="M139" s="2">
        <f t="shared" si="5"/>
        <v>-6.4986709106985008E-2</v>
      </c>
    </row>
    <row r="140" spans="1:13" x14ac:dyDescent="0.25">
      <c r="A140" t="s">
        <v>1458</v>
      </c>
      <c r="K140" s="1" t="str">
        <f t="shared" si="4"/>
        <v>1997-09-01</v>
      </c>
      <c r="L140">
        <v>16.539062999999999</v>
      </c>
      <c r="M140" s="2">
        <f t="shared" si="5"/>
        <v>9.4562644892670633E-4</v>
      </c>
    </row>
    <row r="141" spans="1:13" x14ac:dyDescent="0.25">
      <c r="A141" t="s">
        <v>1459</v>
      </c>
      <c r="K141" s="1" t="str">
        <f t="shared" si="4"/>
        <v>1997-10-01</v>
      </c>
      <c r="L141">
        <v>16.25</v>
      </c>
      <c r="M141" s="2">
        <f t="shared" si="5"/>
        <v>-1.7477592291655131E-2</v>
      </c>
    </row>
    <row r="142" spans="1:13" x14ac:dyDescent="0.25">
      <c r="A142" t="s">
        <v>1460</v>
      </c>
      <c r="K142" s="1" t="str">
        <f t="shared" si="4"/>
        <v>1997-11-01</v>
      </c>
      <c r="L142">
        <v>17.6875</v>
      </c>
      <c r="M142" s="2">
        <f t="shared" si="5"/>
        <v>8.8461538461538369E-2</v>
      </c>
    </row>
    <row r="143" spans="1:13" x14ac:dyDescent="0.25">
      <c r="A143" t="s">
        <v>1461</v>
      </c>
      <c r="K143" s="1" t="str">
        <f t="shared" si="4"/>
        <v>1997-12-01</v>
      </c>
      <c r="L143">
        <v>16.15625</v>
      </c>
      <c r="M143" s="2">
        <f t="shared" si="5"/>
        <v>-8.6572438162544119E-2</v>
      </c>
    </row>
    <row r="144" spans="1:13" x14ac:dyDescent="0.25">
      <c r="A144" t="s">
        <v>1462</v>
      </c>
      <c r="K144" s="1" t="str">
        <f t="shared" si="4"/>
        <v>1998-01-01</v>
      </c>
      <c r="L144">
        <v>18.648437999999999</v>
      </c>
      <c r="M144" s="2">
        <f t="shared" si="5"/>
        <v>0.15425535009671165</v>
      </c>
    </row>
    <row r="145" spans="1:13" x14ac:dyDescent="0.25">
      <c r="A145" t="s">
        <v>1463</v>
      </c>
      <c r="K145" s="1" t="str">
        <f t="shared" si="4"/>
        <v>1998-02-01</v>
      </c>
      <c r="L145">
        <v>21.1875</v>
      </c>
      <c r="M145" s="2">
        <f t="shared" si="5"/>
        <v>0.13615413794978437</v>
      </c>
    </row>
    <row r="146" spans="1:13" x14ac:dyDescent="0.25">
      <c r="A146" t="s">
        <v>1464</v>
      </c>
      <c r="K146" s="1" t="str">
        <f t="shared" si="4"/>
        <v>1998-03-01</v>
      </c>
      <c r="L146">
        <v>22.375</v>
      </c>
      <c r="M146" s="2">
        <f t="shared" si="5"/>
        <v>5.6047197640118007E-2</v>
      </c>
    </row>
    <row r="147" spans="1:13" x14ac:dyDescent="0.25">
      <c r="A147" t="s">
        <v>1465</v>
      </c>
      <c r="K147" s="1" t="str">
        <f t="shared" si="4"/>
        <v>1998-04-01</v>
      </c>
      <c r="L147">
        <v>22.53125</v>
      </c>
      <c r="M147" s="2">
        <f t="shared" si="5"/>
        <v>6.9832402234637492E-3</v>
      </c>
    </row>
    <row r="148" spans="1:13" x14ac:dyDescent="0.25">
      <c r="A148" t="s">
        <v>1466</v>
      </c>
      <c r="K148" s="1" t="str">
        <f t="shared" si="4"/>
        <v>1998-05-01</v>
      </c>
      <c r="L148">
        <v>21.203125</v>
      </c>
      <c r="M148" s="2">
        <f t="shared" si="5"/>
        <v>-5.8945908460471541E-2</v>
      </c>
    </row>
    <row r="149" spans="1:13" x14ac:dyDescent="0.25">
      <c r="A149" t="s">
        <v>1467</v>
      </c>
      <c r="K149" s="1" t="str">
        <f t="shared" si="4"/>
        <v>1998-06-01</v>
      </c>
      <c r="L149">
        <v>27.09375</v>
      </c>
      <c r="M149" s="2">
        <f t="shared" si="5"/>
        <v>0.27781871775976419</v>
      </c>
    </row>
    <row r="150" spans="1:13" x14ac:dyDescent="0.25">
      <c r="A150" t="s">
        <v>1468</v>
      </c>
      <c r="K150" s="1" t="str">
        <f t="shared" si="4"/>
        <v>1998-07-01</v>
      </c>
      <c r="L150">
        <v>27.484375</v>
      </c>
      <c r="M150" s="2">
        <f t="shared" si="5"/>
        <v>1.4417531718569743E-2</v>
      </c>
    </row>
    <row r="151" spans="1:13" x14ac:dyDescent="0.25">
      <c r="A151" t="s">
        <v>1469</v>
      </c>
      <c r="K151" s="1" t="str">
        <f t="shared" si="4"/>
        <v>1998-08-01</v>
      </c>
      <c r="L151">
        <v>23.984375</v>
      </c>
      <c r="M151" s="2">
        <f t="shared" si="5"/>
        <v>-0.12734508243320064</v>
      </c>
    </row>
    <row r="152" spans="1:13" x14ac:dyDescent="0.25">
      <c r="A152" t="s">
        <v>1470</v>
      </c>
      <c r="K152" s="1" t="str">
        <f t="shared" si="4"/>
        <v>1998-09-01</v>
      </c>
      <c r="L152">
        <v>27.515625</v>
      </c>
      <c r="M152" s="2">
        <f t="shared" si="5"/>
        <v>0.1472312703583063</v>
      </c>
    </row>
    <row r="153" spans="1:13" x14ac:dyDescent="0.25">
      <c r="A153" t="s">
        <v>1471</v>
      </c>
      <c r="K153" s="1" t="str">
        <f t="shared" si="4"/>
        <v>1998-10-01</v>
      </c>
      <c r="L153">
        <v>26.46875</v>
      </c>
      <c r="M153" s="2">
        <f t="shared" si="5"/>
        <v>-3.804656445201593E-2</v>
      </c>
    </row>
    <row r="154" spans="1:13" x14ac:dyDescent="0.25">
      <c r="A154" t="s">
        <v>1472</v>
      </c>
      <c r="K154" s="1" t="str">
        <f t="shared" si="4"/>
        <v>1998-11-01</v>
      </c>
      <c r="L154">
        <v>30.5</v>
      </c>
      <c r="M154" s="2">
        <f t="shared" si="5"/>
        <v>0.15230224321133412</v>
      </c>
    </row>
    <row r="155" spans="1:13" x14ac:dyDescent="0.25">
      <c r="A155" t="s">
        <v>1473</v>
      </c>
      <c r="K155" s="1" t="str">
        <f t="shared" si="4"/>
        <v>1998-12-01</v>
      </c>
      <c r="L155">
        <v>34.671875</v>
      </c>
      <c r="M155" s="2">
        <f t="shared" si="5"/>
        <v>0.13678278688524581</v>
      </c>
    </row>
    <row r="156" spans="1:13" x14ac:dyDescent="0.25">
      <c r="A156" t="s">
        <v>1474</v>
      </c>
      <c r="K156" s="1" t="str">
        <f t="shared" si="4"/>
        <v>1999-01-01</v>
      </c>
      <c r="L156">
        <v>43.75</v>
      </c>
      <c r="M156" s="2">
        <f t="shared" si="5"/>
        <v>0.26182965299684535</v>
      </c>
    </row>
    <row r="157" spans="1:13" x14ac:dyDescent="0.25">
      <c r="A157" t="s">
        <v>1475</v>
      </c>
      <c r="K157" s="1" t="str">
        <f t="shared" si="4"/>
        <v>1999-02-01</v>
      </c>
      <c r="L157">
        <v>37.53125</v>
      </c>
      <c r="M157" s="2">
        <f t="shared" si="5"/>
        <v>-0.14214285714285713</v>
      </c>
    </row>
    <row r="158" spans="1:13" x14ac:dyDescent="0.25">
      <c r="A158" t="s">
        <v>1476</v>
      </c>
      <c r="K158" s="1" t="str">
        <f t="shared" si="4"/>
        <v>1999-03-01</v>
      </c>
      <c r="L158">
        <v>44.8125</v>
      </c>
      <c r="M158" s="2">
        <f t="shared" si="5"/>
        <v>0.19400499583680264</v>
      </c>
    </row>
    <row r="159" spans="1:13" x14ac:dyDescent="0.25">
      <c r="A159" t="s">
        <v>1477</v>
      </c>
      <c r="K159" s="1" t="str">
        <f t="shared" si="4"/>
        <v>1999-04-01</v>
      </c>
      <c r="L159">
        <v>40.65625</v>
      </c>
      <c r="M159" s="2">
        <f t="shared" si="5"/>
        <v>-9.2747559274755975E-2</v>
      </c>
    </row>
    <row r="160" spans="1:13" x14ac:dyDescent="0.25">
      <c r="A160" t="s">
        <v>1478</v>
      </c>
      <c r="K160" s="1" t="str">
        <f t="shared" si="4"/>
        <v>1999-05-01</v>
      </c>
      <c r="L160">
        <v>40.34375</v>
      </c>
      <c r="M160" s="2">
        <f t="shared" si="5"/>
        <v>-7.6863950807071202E-3</v>
      </c>
    </row>
    <row r="161" spans="1:13" x14ac:dyDescent="0.25">
      <c r="A161" t="s">
        <v>1479</v>
      </c>
      <c r="K161" s="1" t="str">
        <f t="shared" si="4"/>
        <v>1999-06-01</v>
      </c>
      <c r="L161">
        <v>45.09375</v>
      </c>
      <c r="M161" s="2">
        <f t="shared" si="5"/>
        <v>0.11773818745158793</v>
      </c>
    </row>
    <row r="162" spans="1:13" x14ac:dyDescent="0.25">
      <c r="A162" t="s">
        <v>1480</v>
      </c>
      <c r="K162" s="1" t="str">
        <f t="shared" si="4"/>
        <v>1999-07-01</v>
      </c>
      <c r="L162">
        <v>42.90625</v>
      </c>
      <c r="M162" s="2">
        <f t="shared" si="5"/>
        <v>-4.8510048510048476E-2</v>
      </c>
    </row>
    <row r="163" spans="1:13" x14ac:dyDescent="0.25">
      <c r="A163" t="s">
        <v>1481</v>
      </c>
      <c r="K163" s="1" t="str">
        <f t="shared" si="4"/>
        <v>1999-08-01</v>
      </c>
      <c r="L163">
        <v>46.28125</v>
      </c>
      <c r="M163" s="2">
        <f t="shared" si="5"/>
        <v>7.8659868900218477E-2</v>
      </c>
    </row>
    <row r="164" spans="1:13" x14ac:dyDescent="0.25">
      <c r="A164" t="s">
        <v>1482</v>
      </c>
      <c r="K164" s="1" t="str">
        <f t="shared" si="4"/>
        <v>1999-09-01</v>
      </c>
      <c r="L164">
        <v>45.28125</v>
      </c>
      <c r="M164" s="2">
        <f t="shared" si="5"/>
        <v>-2.1607022282241761E-2</v>
      </c>
    </row>
    <row r="165" spans="1:13" x14ac:dyDescent="0.25">
      <c r="A165" t="s">
        <v>1483</v>
      </c>
      <c r="K165" s="1" t="str">
        <f t="shared" si="4"/>
        <v>1999-10-01</v>
      </c>
      <c r="L165">
        <v>46.28125</v>
      </c>
      <c r="M165" s="2">
        <f t="shared" si="5"/>
        <v>2.2084195997239542E-2</v>
      </c>
    </row>
    <row r="166" spans="1:13" x14ac:dyDescent="0.25">
      <c r="A166" t="s">
        <v>1484</v>
      </c>
      <c r="K166" s="1" t="str">
        <f t="shared" si="4"/>
        <v>1999-11-01</v>
      </c>
      <c r="L166">
        <v>45.523437999999999</v>
      </c>
      <c r="M166" s="2">
        <f t="shared" si="5"/>
        <v>-1.6374060769750232E-2</v>
      </c>
    </row>
    <row r="167" spans="1:13" x14ac:dyDescent="0.25">
      <c r="A167" t="s">
        <v>1485</v>
      </c>
      <c r="K167" s="1" t="str">
        <f t="shared" si="4"/>
        <v>1999-12-01</v>
      </c>
      <c r="L167">
        <v>58.375</v>
      </c>
      <c r="M167" s="2">
        <f t="shared" si="5"/>
        <v>0.28230649012053965</v>
      </c>
    </row>
    <row r="168" spans="1:13" x14ac:dyDescent="0.25">
      <c r="A168" t="s">
        <v>1486</v>
      </c>
      <c r="K168" s="1" t="str">
        <f t="shared" si="4"/>
        <v>2000-01-01</v>
      </c>
      <c r="L168">
        <v>48.9375</v>
      </c>
      <c r="M168" s="2">
        <f t="shared" si="5"/>
        <v>-0.16167023554603854</v>
      </c>
    </row>
    <row r="169" spans="1:13" x14ac:dyDescent="0.25">
      <c r="A169" t="s">
        <v>1487</v>
      </c>
      <c r="K169" s="1" t="str">
        <f t="shared" si="4"/>
        <v>2000-02-01</v>
      </c>
      <c r="L169">
        <v>44.6875</v>
      </c>
      <c r="M169" s="2">
        <f t="shared" si="5"/>
        <v>-8.6845466155811013E-2</v>
      </c>
    </row>
    <row r="170" spans="1:13" x14ac:dyDescent="0.25">
      <c r="A170" t="s">
        <v>1488</v>
      </c>
      <c r="K170" s="1" t="str">
        <f t="shared" si="4"/>
        <v>2000-03-01</v>
      </c>
      <c r="L170">
        <v>53.125</v>
      </c>
      <c r="M170" s="2">
        <f t="shared" si="5"/>
        <v>0.18881118881118875</v>
      </c>
    </row>
    <row r="171" spans="1:13" x14ac:dyDescent="0.25">
      <c r="A171" t="s">
        <v>1489</v>
      </c>
      <c r="K171" s="1" t="str">
        <f t="shared" si="4"/>
        <v>2000-04-01</v>
      </c>
      <c r="L171">
        <v>34.875</v>
      </c>
      <c r="M171" s="2">
        <f t="shared" si="5"/>
        <v>-0.34352941176470586</v>
      </c>
    </row>
    <row r="172" spans="1:13" x14ac:dyDescent="0.25">
      <c r="A172" t="s">
        <v>1490</v>
      </c>
      <c r="K172" s="1" t="str">
        <f t="shared" si="4"/>
        <v>2000-05-01</v>
      </c>
      <c r="L172">
        <v>31.28125</v>
      </c>
      <c r="M172" s="2">
        <f t="shared" si="5"/>
        <v>-0.1030465949820788</v>
      </c>
    </row>
    <row r="173" spans="1:13" x14ac:dyDescent="0.25">
      <c r="A173" t="s">
        <v>1491</v>
      </c>
      <c r="K173" s="1" t="str">
        <f t="shared" si="4"/>
        <v>2000-06-01</v>
      </c>
      <c r="L173">
        <v>40</v>
      </c>
      <c r="M173" s="2">
        <f t="shared" si="5"/>
        <v>0.27872127872127872</v>
      </c>
    </row>
    <row r="174" spans="1:13" x14ac:dyDescent="0.25">
      <c r="A174" t="s">
        <v>1492</v>
      </c>
      <c r="K174" s="1" t="str">
        <f t="shared" si="4"/>
        <v>2000-07-01</v>
      </c>
      <c r="L174">
        <v>34.90625</v>
      </c>
      <c r="M174" s="2">
        <f t="shared" si="5"/>
        <v>-0.12734374999999998</v>
      </c>
    </row>
    <row r="175" spans="1:13" x14ac:dyDescent="0.25">
      <c r="A175" t="s">
        <v>1493</v>
      </c>
      <c r="K175" s="1" t="str">
        <f t="shared" si="4"/>
        <v>2000-08-01</v>
      </c>
      <c r="L175">
        <v>34.90625</v>
      </c>
      <c r="M175" s="2">
        <f t="shared" si="5"/>
        <v>0</v>
      </c>
    </row>
    <row r="176" spans="1:13" x14ac:dyDescent="0.25">
      <c r="A176" t="s">
        <v>1494</v>
      </c>
      <c r="K176" s="1" t="str">
        <f t="shared" si="4"/>
        <v>2000-09-01</v>
      </c>
      <c r="L176">
        <v>30.15625</v>
      </c>
      <c r="M176" s="2">
        <f t="shared" si="5"/>
        <v>-0.13607878245299909</v>
      </c>
    </row>
    <row r="177" spans="1:13" x14ac:dyDescent="0.25">
      <c r="A177" t="s">
        <v>1495</v>
      </c>
      <c r="K177" s="1" t="str">
        <f t="shared" si="4"/>
        <v>2000-10-01</v>
      </c>
      <c r="L177">
        <v>34.4375</v>
      </c>
      <c r="M177" s="2">
        <f t="shared" si="5"/>
        <v>0.14196891191709837</v>
      </c>
    </row>
    <row r="178" spans="1:13" x14ac:dyDescent="0.25">
      <c r="A178" t="s">
        <v>1496</v>
      </c>
      <c r="K178" s="1" t="str">
        <f t="shared" si="4"/>
        <v>2000-11-01</v>
      </c>
      <c r="L178">
        <v>28.6875</v>
      </c>
      <c r="M178" s="2">
        <f t="shared" si="5"/>
        <v>-0.16696914700544463</v>
      </c>
    </row>
    <row r="179" spans="1:13" x14ac:dyDescent="0.25">
      <c r="A179" t="s">
        <v>1497</v>
      </c>
      <c r="K179" s="1" t="str">
        <f t="shared" si="4"/>
        <v>2000-12-01</v>
      </c>
      <c r="L179">
        <v>21.6875</v>
      </c>
      <c r="M179" s="2">
        <f t="shared" si="5"/>
        <v>-0.24400871459694984</v>
      </c>
    </row>
    <row r="180" spans="1:13" x14ac:dyDescent="0.25">
      <c r="A180" t="s">
        <v>1498</v>
      </c>
      <c r="K180" s="1" t="str">
        <f t="shared" si="4"/>
        <v>2001-01-01</v>
      </c>
      <c r="L180">
        <v>30.53125</v>
      </c>
      <c r="M180" s="2">
        <f t="shared" si="5"/>
        <v>0.40778097982708927</v>
      </c>
    </row>
    <row r="181" spans="1:13" x14ac:dyDescent="0.25">
      <c r="A181" t="s">
        <v>1499</v>
      </c>
      <c r="K181" s="1" t="str">
        <f t="shared" si="4"/>
        <v>2001-02-01</v>
      </c>
      <c r="L181">
        <v>29.5</v>
      </c>
      <c r="M181" s="2">
        <f t="shared" si="5"/>
        <v>-3.377686796315249E-2</v>
      </c>
    </row>
    <row r="182" spans="1:13" x14ac:dyDescent="0.25">
      <c r="A182" t="s">
        <v>1500</v>
      </c>
      <c r="K182" s="1" t="str">
        <f t="shared" si="4"/>
        <v>2001-03-01</v>
      </c>
      <c r="L182">
        <v>27.34375</v>
      </c>
      <c r="M182" s="2">
        <f t="shared" si="5"/>
        <v>-7.3093220338983023E-2</v>
      </c>
    </row>
    <row r="183" spans="1:13" x14ac:dyDescent="0.25">
      <c r="A183" t="s">
        <v>1501</v>
      </c>
      <c r="K183" s="1" t="str">
        <f t="shared" si="4"/>
        <v>2001-04-01</v>
      </c>
      <c r="L183">
        <v>33.875</v>
      </c>
      <c r="M183" s="2">
        <f t="shared" si="5"/>
        <v>0.23885714285714288</v>
      </c>
    </row>
    <row r="184" spans="1:13" x14ac:dyDescent="0.25">
      <c r="A184" t="s">
        <v>1502</v>
      </c>
      <c r="K184" s="1" t="str">
        <f t="shared" si="4"/>
        <v>2001-05-01</v>
      </c>
      <c r="L184">
        <v>34.590000000000003</v>
      </c>
      <c r="M184" s="2">
        <f t="shared" si="5"/>
        <v>2.1107011070110815E-2</v>
      </c>
    </row>
    <row r="185" spans="1:13" x14ac:dyDescent="0.25">
      <c r="A185" t="s">
        <v>1503</v>
      </c>
      <c r="K185" s="1" t="str">
        <f t="shared" si="4"/>
        <v>2001-06-01</v>
      </c>
      <c r="L185">
        <v>36.5</v>
      </c>
      <c r="M185" s="2">
        <f t="shared" si="5"/>
        <v>5.5218271176640465E-2</v>
      </c>
    </row>
    <row r="186" spans="1:13" x14ac:dyDescent="0.25">
      <c r="A186" t="s">
        <v>1504</v>
      </c>
      <c r="K186" s="1" t="str">
        <f t="shared" si="4"/>
        <v>2001-07-01</v>
      </c>
      <c r="L186">
        <v>33.095001000000003</v>
      </c>
      <c r="M186" s="2">
        <f t="shared" si="5"/>
        <v>-9.3287643835616385E-2</v>
      </c>
    </row>
    <row r="187" spans="1:13" x14ac:dyDescent="0.25">
      <c r="A187" t="s">
        <v>1505</v>
      </c>
      <c r="K187" s="1" t="str">
        <f t="shared" si="4"/>
        <v>2001-08-01</v>
      </c>
      <c r="L187">
        <v>28.524999999999999</v>
      </c>
      <c r="M187" s="2">
        <f t="shared" si="5"/>
        <v>-0.13808735041283138</v>
      </c>
    </row>
    <row r="188" spans="1:13" x14ac:dyDescent="0.25">
      <c r="A188" t="s">
        <v>1506</v>
      </c>
      <c r="K188" s="1" t="str">
        <f t="shared" si="4"/>
        <v>2001-09-01</v>
      </c>
      <c r="L188">
        <v>25.584999</v>
      </c>
      <c r="M188" s="2">
        <f t="shared" si="5"/>
        <v>-0.1030675197195442</v>
      </c>
    </row>
    <row r="189" spans="1:13" x14ac:dyDescent="0.25">
      <c r="A189" t="s">
        <v>1507</v>
      </c>
      <c r="K189" s="1" t="str">
        <f t="shared" si="4"/>
        <v>2001-10-01</v>
      </c>
      <c r="L189">
        <v>29.075001</v>
      </c>
      <c r="M189" s="2">
        <f t="shared" si="5"/>
        <v>0.13640813509510008</v>
      </c>
    </row>
    <row r="190" spans="1:13" x14ac:dyDescent="0.25">
      <c r="A190" t="s">
        <v>1508</v>
      </c>
      <c r="K190" s="1" t="str">
        <f t="shared" si="4"/>
        <v>2001-11-01</v>
      </c>
      <c r="L190">
        <v>32.104999999999997</v>
      </c>
      <c r="M190" s="2">
        <f t="shared" si="5"/>
        <v>0.10421320363841069</v>
      </c>
    </row>
    <row r="191" spans="1:13" x14ac:dyDescent="0.25">
      <c r="A191" t="s">
        <v>1509</v>
      </c>
      <c r="K191" s="1" t="str">
        <f t="shared" si="4"/>
        <v>2001-12-01</v>
      </c>
      <c r="L191">
        <v>33.125</v>
      </c>
      <c r="M191" s="2">
        <f t="shared" si="5"/>
        <v>3.1770752219280496E-2</v>
      </c>
    </row>
    <row r="192" spans="1:13" x14ac:dyDescent="0.25">
      <c r="A192" t="s">
        <v>1510</v>
      </c>
      <c r="K192" s="1" t="str">
        <f t="shared" si="4"/>
        <v>2002-01-01</v>
      </c>
      <c r="L192">
        <v>31.855</v>
      </c>
      <c r="M192" s="2">
        <f t="shared" si="5"/>
        <v>-3.8339622641509474E-2</v>
      </c>
    </row>
    <row r="193" spans="1:13" x14ac:dyDescent="0.25">
      <c r="A193" t="s">
        <v>1511</v>
      </c>
      <c r="K193" s="1" t="str">
        <f t="shared" si="4"/>
        <v>2002-02-01</v>
      </c>
      <c r="L193">
        <v>29.17</v>
      </c>
      <c r="M193" s="2">
        <f t="shared" si="5"/>
        <v>-8.4288180819337533E-2</v>
      </c>
    </row>
    <row r="194" spans="1:13" x14ac:dyDescent="0.25">
      <c r="A194" t="s">
        <v>1512</v>
      </c>
      <c r="K194" s="1" t="str">
        <f t="shared" si="4"/>
        <v>2002-03-01</v>
      </c>
      <c r="L194">
        <v>30.155000999999999</v>
      </c>
      <c r="M194" s="2">
        <f t="shared" si="5"/>
        <v>3.3767603702433924E-2</v>
      </c>
    </row>
    <row r="195" spans="1:13" x14ac:dyDescent="0.25">
      <c r="A195" t="s">
        <v>1513</v>
      </c>
      <c r="K195" s="1" t="str">
        <f t="shared" ref="K195:K258" si="6">LEFT(A195,10)</f>
        <v>2002-04-01</v>
      </c>
      <c r="L195">
        <v>26.129999000000002</v>
      </c>
      <c r="M195" s="2">
        <f t="shared" si="5"/>
        <v>-0.13347709721515166</v>
      </c>
    </row>
    <row r="196" spans="1:13" x14ac:dyDescent="0.25">
      <c r="A196" t="s">
        <v>1514</v>
      </c>
      <c r="K196" s="1" t="str">
        <f t="shared" si="6"/>
        <v>2002-05-01</v>
      </c>
      <c r="L196">
        <v>25.454999999999998</v>
      </c>
      <c r="M196" s="2">
        <f t="shared" ref="M196:M259" si="7">(L196/L195)-1</f>
        <v>-2.5832339297066298E-2</v>
      </c>
    </row>
    <row r="197" spans="1:13" x14ac:dyDescent="0.25">
      <c r="A197" t="s">
        <v>1515</v>
      </c>
      <c r="K197" s="1" t="str">
        <f t="shared" si="6"/>
        <v>2002-06-01</v>
      </c>
      <c r="L197">
        <v>27.35</v>
      </c>
      <c r="M197" s="2">
        <f t="shared" si="7"/>
        <v>7.4445099194657471E-2</v>
      </c>
    </row>
    <row r="198" spans="1:13" x14ac:dyDescent="0.25">
      <c r="A198" t="s">
        <v>1516</v>
      </c>
      <c r="K198" s="1" t="str">
        <f t="shared" si="6"/>
        <v>2002-07-01</v>
      </c>
      <c r="L198">
        <v>23.99</v>
      </c>
      <c r="M198" s="2">
        <f t="shared" si="7"/>
        <v>-0.12285191956124319</v>
      </c>
    </row>
    <row r="199" spans="1:13" x14ac:dyDescent="0.25">
      <c r="A199" t="s">
        <v>1517</v>
      </c>
      <c r="K199" s="1" t="str">
        <f t="shared" si="6"/>
        <v>2002-08-01</v>
      </c>
      <c r="L199">
        <v>24.540001</v>
      </c>
      <c r="M199" s="2">
        <f t="shared" si="7"/>
        <v>2.2926260942059296E-2</v>
      </c>
    </row>
    <row r="200" spans="1:13" x14ac:dyDescent="0.25">
      <c r="A200" t="s">
        <v>1518</v>
      </c>
      <c r="K200" s="1" t="str">
        <f t="shared" si="6"/>
        <v>2002-09-01</v>
      </c>
      <c r="L200">
        <v>21.870000999999998</v>
      </c>
      <c r="M200" s="2">
        <f t="shared" si="7"/>
        <v>-0.1088019515565628</v>
      </c>
    </row>
    <row r="201" spans="1:13" x14ac:dyDescent="0.25">
      <c r="A201" t="s">
        <v>1519</v>
      </c>
      <c r="K201" s="1" t="str">
        <f t="shared" si="6"/>
        <v>2002-10-01</v>
      </c>
      <c r="L201">
        <v>26.735001</v>
      </c>
      <c r="M201" s="2">
        <f t="shared" si="7"/>
        <v>0.22245083573613011</v>
      </c>
    </row>
    <row r="202" spans="1:13" x14ac:dyDescent="0.25">
      <c r="A202" t="s">
        <v>1520</v>
      </c>
      <c r="K202" s="1" t="str">
        <f t="shared" si="6"/>
        <v>2002-11-01</v>
      </c>
      <c r="L202">
        <v>28.84</v>
      </c>
      <c r="M202" s="2">
        <f t="shared" si="7"/>
        <v>7.8735699317909136E-2</v>
      </c>
    </row>
    <row r="203" spans="1:13" x14ac:dyDescent="0.25">
      <c r="A203" t="s">
        <v>1521</v>
      </c>
      <c r="K203" s="1" t="str">
        <f t="shared" si="6"/>
        <v>2002-12-01</v>
      </c>
      <c r="L203">
        <v>25.85</v>
      </c>
      <c r="M203" s="2">
        <f t="shared" si="7"/>
        <v>-0.10367545076282936</v>
      </c>
    </row>
    <row r="204" spans="1:13" x14ac:dyDescent="0.25">
      <c r="A204" t="s">
        <v>1522</v>
      </c>
      <c r="K204" s="1" t="str">
        <f t="shared" si="6"/>
        <v>2003-01-01</v>
      </c>
      <c r="L204">
        <v>23.73</v>
      </c>
      <c r="M204" s="2">
        <f t="shared" si="7"/>
        <v>-8.2011605415860722E-2</v>
      </c>
    </row>
    <row r="205" spans="1:13" x14ac:dyDescent="0.25">
      <c r="A205" t="s">
        <v>1523</v>
      </c>
      <c r="K205" s="1" t="str">
        <f t="shared" si="6"/>
        <v>2003-02-01</v>
      </c>
      <c r="L205">
        <v>23.700001</v>
      </c>
      <c r="M205" s="2">
        <f t="shared" si="7"/>
        <v>-1.2641803624104941E-3</v>
      </c>
    </row>
    <row r="206" spans="1:13" x14ac:dyDescent="0.25">
      <c r="A206" t="s">
        <v>1524</v>
      </c>
      <c r="K206" s="1" t="str">
        <f t="shared" si="6"/>
        <v>2003-03-01</v>
      </c>
      <c r="L206">
        <v>24.209999</v>
      </c>
      <c r="M206" s="2">
        <f t="shared" si="7"/>
        <v>2.1518902045615906E-2</v>
      </c>
    </row>
    <row r="207" spans="1:13" x14ac:dyDescent="0.25">
      <c r="A207" t="s">
        <v>1525</v>
      </c>
      <c r="K207" s="1" t="str">
        <f t="shared" si="6"/>
        <v>2003-04-01</v>
      </c>
      <c r="L207">
        <v>25.57</v>
      </c>
      <c r="M207" s="2">
        <f t="shared" si="7"/>
        <v>5.6175177867624049E-2</v>
      </c>
    </row>
    <row r="208" spans="1:13" x14ac:dyDescent="0.25">
      <c r="A208" t="s">
        <v>1526</v>
      </c>
      <c r="K208" s="1" t="str">
        <f t="shared" si="6"/>
        <v>2003-05-01</v>
      </c>
      <c r="L208">
        <v>24.610001</v>
      </c>
      <c r="M208" s="2">
        <f t="shared" si="7"/>
        <v>-3.7543957763003566E-2</v>
      </c>
    </row>
    <row r="209" spans="1:13" x14ac:dyDescent="0.25">
      <c r="A209" t="s">
        <v>1527</v>
      </c>
      <c r="K209" s="1" t="str">
        <f t="shared" si="6"/>
        <v>2003-06-01</v>
      </c>
      <c r="L209">
        <v>25.639999</v>
      </c>
      <c r="M209" s="2">
        <f t="shared" si="7"/>
        <v>4.1852822354619068E-2</v>
      </c>
    </row>
    <row r="210" spans="1:13" x14ac:dyDescent="0.25">
      <c r="A210" t="s">
        <v>1528</v>
      </c>
      <c r="K210" s="1" t="str">
        <f t="shared" si="6"/>
        <v>2003-07-01</v>
      </c>
      <c r="L210">
        <v>26.41</v>
      </c>
      <c r="M210" s="2">
        <f t="shared" si="7"/>
        <v>3.003124142087521E-2</v>
      </c>
    </row>
    <row r="211" spans="1:13" x14ac:dyDescent="0.25">
      <c r="A211" t="s">
        <v>1529</v>
      </c>
      <c r="K211" s="1" t="str">
        <f t="shared" si="6"/>
        <v>2003-08-01</v>
      </c>
      <c r="L211">
        <v>26.52</v>
      </c>
      <c r="M211" s="2">
        <f t="shared" si="7"/>
        <v>4.1650889814464076E-3</v>
      </c>
    </row>
    <row r="212" spans="1:13" x14ac:dyDescent="0.25">
      <c r="A212" t="s">
        <v>1530</v>
      </c>
      <c r="K212" s="1" t="str">
        <f t="shared" si="6"/>
        <v>2003-09-01</v>
      </c>
      <c r="L212">
        <v>27.799999</v>
      </c>
      <c r="M212" s="2">
        <f t="shared" si="7"/>
        <v>4.8265422322775198E-2</v>
      </c>
    </row>
    <row r="213" spans="1:13" x14ac:dyDescent="0.25">
      <c r="A213" t="s">
        <v>1531</v>
      </c>
      <c r="K213" s="1" t="str">
        <f t="shared" si="6"/>
        <v>2003-10-01</v>
      </c>
      <c r="L213">
        <v>26.139999</v>
      </c>
      <c r="M213" s="2">
        <f t="shared" si="7"/>
        <v>-5.971223236374934E-2</v>
      </c>
    </row>
    <row r="214" spans="1:13" x14ac:dyDescent="0.25">
      <c r="A214" t="s">
        <v>1532</v>
      </c>
      <c r="K214" s="1" t="str">
        <f t="shared" si="6"/>
        <v>2003-11-01</v>
      </c>
      <c r="L214">
        <v>25.709999</v>
      </c>
      <c r="M214" s="2">
        <f t="shared" si="7"/>
        <v>-1.6449885862658165E-2</v>
      </c>
    </row>
    <row r="215" spans="1:13" x14ac:dyDescent="0.25">
      <c r="A215" t="s">
        <v>1533</v>
      </c>
      <c r="K215" s="1" t="str">
        <f t="shared" si="6"/>
        <v>2003-12-01</v>
      </c>
      <c r="L215">
        <v>27.370000999999998</v>
      </c>
      <c r="M215" s="2">
        <f t="shared" si="7"/>
        <v>6.4566396910400448E-2</v>
      </c>
    </row>
    <row r="216" spans="1:13" x14ac:dyDescent="0.25">
      <c r="A216" t="s">
        <v>1534</v>
      </c>
      <c r="K216" s="1" t="str">
        <f t="shared" si="6"/>
        <v>2004-01-01</v>
      </c>
      <c r="L216">
        <v>27.65</v>
      </c>
      <c r="M216" s="2">
        <f t="shared" si="7"/>
        <v>1.0230142118007324E-2</v>
      </c>
    </row>
    <row r="217" spans="1:13" x14ac:dyDescent="0.25">
      <c r="A217" t="s">
        <v>1535</v>
      </c>
      <c r="K217" s="1" t="str">
        <f t="shared" si="6"/>
        <v>2004-02-01</v>
      </c>
      <c r="L217">
        <v>26.530000999999999</v>
      </c>
      <c r="M217" s="2">
        <f t="shared" si="7"/>
        <v>-4.0506292947558808E-2</v>
      </c>
    </row>
    <row r="218" spans="1:13" x14ac:dyDescent="0.25">
      <c r="A218" t="s">
        <v>1536</v>
      </c>
      <c r="K218" s="1" t="str">
        <f t="shared" si="6"/>
        <v>2004-03-01</v>
      </c>
      <c r="L218">
        <v>24.93</v>
      </c>
      <c r="M218" s="2">
        <f t="shared" si="7"/>
        <v>-6.030911947572104E-2</v>
      </c>
    </row>
    <row r="219" spans="1:13" x14ac:dyDescent="0.25">
      <c r="A219" t="s">
        <v>1537</v>
      </c>
      <c r="K219" s="1" t="str">
        <f t="shared" si="6"/>
        <v>2004-04-01</v>
      </c>
      <c r="L219">
        <v>26.129999000000002</v>
      </c>
      <c r="M219" s="2">
        <f t="shared" si="7"/>
        <v>4.8134737264340144E-2</v>
      </c>
    </row>
    <row r="220" spans="1:13" x14ac:dyDescent="0.25">
      <c r="A220" t="s">
        <v>1538</v>
      </c>
      <c r="K220" s="1" t="str">
        <f t="shared" si="6"/>
        <v>2004-05-01</v>
      </c>
      <c r="L220">
        <v>26.23</v>
      </c>
      <c r="M220" s="2">
        <f t="shared" si="7"/>
        <v>3.8270571690415256E-3</v>
      </c>
    </row>
    <row r="221" spans="1:13" x14ac:dyDescent="0.25">
      <c r="A221" t="s">
        <v>1539</v>
      </c>
      <c r="K221" s="1" t="str">
        <f t="shared" si="6"/>
        <v>2004-06-01</v>
      </c>
      <c r="L221">
        <v>28.559999000000001</v>
      </c>
      <c r="M221" s="2">
        <f t="shared" si="7"/>
        <v>8.8829546321006481E-2</v>
      </c>
    </row>
    <row r="222" spans="1:13" x14ac:dyDescent="0.25">
      <c r="A222" t="s">
        <v>1540</v>
      </c>
      <c r="K222" s="1" t="str">
        <f t="shared" si="6"/>
        <v>2004-07-01</v>
      </c>
      <c r="L222">
        <v>28.49</v>
      </c>
      <c r="M222" s="2">
        <f t="shared" si="7"/>
        <v>-2.4509454639687345E-3</v>
      </c>
    </row>
    <row r="223" spans="1:13" x14ac:dyDescent="0.25">
      <c r="A223" t="s">
        <v>1541</v>
      </c>
      <c r="K223" s="1" t="str">
        <f t="shared" si="6"/>
        <v>2004-08-01</v>
      </c>
      <c r="L223">
        <v>27.299999</v>
      </c>
      <c r="M223" s="2">
        <f t="shared" si="7"/>
        <v>-4.1769076869076827E-2</v>
      </c>
    </row>
    <row r="224" spans="1:13" x14ac:dyDescent="0.25">
      <c r="A224" t="s">
        <v>1542</v>
      </c>
      <c r="K224" s="1" t="str">
        <f t="shared" si="6"/>
        <v>2004-09-01</v>
      </c>
      <c r="L224">
        <v>27.65</v>
      </c>
      <c r="M224" s="2">
        <f t="shared" si="7"/>
        <v>1.2820549920166568E-2</v>
      </c>
    </row>
    <row r="225" spans="1:13" x14ac:dyDescent="0.25">
      <c r="A225" t="s">
        <v>1543</v>
      </c>
      <c r="K225" s="1" t="str">
        <f t="shared" si="6"/>
        <v>2004-10-01</v>
      </c>
      <c r="L225">
        <v>27.969999000000001</v>
      </c>
      <c r="M225" s="2">
        <f t="shared" si="7"/>
        <v>1.1573200723327348E-2</v>
      </c>
    </row>
    <row r="226" spans="1:13" x14ac:dyDescent="0.25">
      <c r="A226" t="s">
        <v>1544</v>
      </c>
      <c r="K226" s="1" t="str">
        <f t="shared" si="6"/>
        <v>2004-11-01</v>
      </c>
      <c r="L226">
        <v>26.809999000000001</v>
      </c>
      <c r="M226" s="2">
        <f t="shared" si="7"/>
        <v>-4.1473008275760059E-2</v>
      </c>
    </row>
    <row r="227" spans="1:13" x14ac:dyDescent="0.25">
      <c r="A227" t="s">
        <v>1545</v>
      </c>
      <c r="K227" s="1" t="str">
        <f t="shared" si="6"/>
        <v>2004-12-01</v>
      </c>
      <c r="L227">
        <v>26.719999000000001</v>
      </c>
      <c r="M227" s="2">
        <f t="shared" si="7"/>
        <v>-3.3569564847801825E-3</v>
      </c>
    </row>
    <row r="228" spans="1:13" x14ac:dyDescent="0.25">
      <c r="A228" t="s">
        <v>1546</v>
      </c>
      <c r="K228" s="1" t="str">
        <f t="shared" si="6"/>
        <v>2005-01-01</v>
      </c>
      <c r="L228">
        <v>26.280000999999999</v>
      </c>
      <c r="M228" s="2">
        <f t="shared" si="7"/>
        <v>-1.6466991634243811E-2</v>
      </c>
    </row>
    <row r="229" spans="1:13" x14ac:dyDescent="0.25">
      <c r="A229" t="s">
        <v>1547</v>
      </c>
      <c r="K229" s="1" t="str">
        <f t="shared" si="6"/>
        <v>2005-02-01</v>
      </c>
      <c r="L229">
        <v>25.16</v>
      </c>
      <c r="M229" s="2">
        <f t="shared" si="7"/>
        <v>-4.261799685624057E-2</v>
      </c>
    </row>
    <row r="230" spans="1:13" x14ac:dyDescent="0.25">
      <c r="A230" t="s">
        <v>1548</v>
      </c>
      <c r="K230" s="1" t="str">
        <f t="shared" si="6"/>
        <v>2005-03-01</v>
      </c>
      <c r="L230">
        <v>24.17</v>
      </c>
      <c r="M230" s="2">
        <f t="shared" si="7"/>
        <v>-3.9348171701112822E-2</v>
      </c>
    </row>
    <row r="231" spans="1:13" x14ac:dyDescent="0.25">
      <c r="A231" t="s">
        <v>1549</v>
      </c>
      <c r="K231" s="1" t="str">
        <f t="shared" si="6"/>
        <v>2005-04-01</v>
      </c>
      <c r="L231">
        <v>25.299999</v>
      </c>
      <c r="M231" s="2">
        <f t="shared" si="7"/>
        <v>4.6752130740587372E-2</v>
      </c>
    </row>
    <row r="232" spans="1:13" x14ac:dyDescent="0.25">
      <c r="A232" t="s">
        <v>1550</v>
      </c>
      <c r="K232" s="1" t="str">
        <f t="shared" si="6"/>
        <v>2005-05-01</v>
      </c>
      <c r="L232">
        <v>25.799999</v>
      </c>
      <c r="M232" s="2">
        <f t="shared" si="7"/>
        <v>1.9762846630942521E-2</v>
      </c>
    </row>
    <row r="233" spans="1:13" x14ac:dyDescent="0.25">
      <c r="A233" t="s">
        <v>1551</v>
      </c>
      <c r="K233" s="1" t="str">
        <f t="shared" si="6"/>
        <v>2005-06-01</v>
      </c>
      <c r="L233">
        <v>24.84</v>
      </c>
      <c r="M233" s="2">
        <f t="shared" si="7"/>
        <v>-3.7209265008111059E-2</v>
      </c>
    </row>
    <row r="234" spans="1:13" x14ac:dyDescent="0.25">
      <c r="A234" t="s">
        <v>1552</v>
      </c>
      <c r="K234" s="1" t="str">
        <f t="shared" si="6"/>
        <v>2005-07-01</v>
      </c>
      <c r="L234">
        <v>25.610001</v>
      </c>
      <c r="M234" s="2">
        <f t="shared" si="7"/>
        <v>3.0998429951690776E-2</v>
      </c>
    </row>
    <row r="235" spans="1:13" x14ac:dyDescent="0.25">
      <c r="A235" t="s">
        <v>1553</v>
      </c>
      <c r="K235" s="1" t="str">
        <f t="shared" si="6"/>
        <v>2005-08-01</v>
      </c>
      <c r="L235">
        <v>27.379999000000002</v>
      </c>
      <c r="M235" s="2">
        <f t="shared" si="7"/>
        <v>6.9113546696073946E-2</v>
      </c>
    </row>
    <row r="236" spans="1:13" x14ac:dyDescent="0.25">
      <c r="A236" t="s">
        <v>1554</v>
      </c>
      <c r="K236" s="1" t="str">
        <f t="shared" si="6"/>
        <v>2005-09-01</v>
      </c>
      <c r="L236">
        <v>25.73</v>
      </c>
      <c r="M236" s="2">
        <f t="shared" si="7"/>
        <v>-6.0262931346345194E-2</v>
      </c>
    </row>
    <row r="237" spans="1:13" x14ac:dyDescent="0.25">
      <c r="A237" t="s">
        <v>1555</v>
      </c>
      <c r="K237" s="1" t="str">
        <f t="shared" si="6"/>
        <v>2005-10-01</v>
      </c>
      <c r="L237">
        <v>25.700001</v>
      </c>
      <c r="M237" s="2">
        <f t="shared" si="7"/>
        <v>-1.1659152739992296E-3</v>
      </c>
    </row>
    <row r="238" spans="1:13" x14ac:dyDescent="0.25">
      <c r="A238" t="s">
        <v>1556</v>
      </c>
      <c r="K238" s="1" t="str">
        <f t="shared" si="6"/>
        <v>2005-11-01</v>
      </c>
      <c r="L238">
        <v>27.68</v>
      </c>
      <c r="M238" s="2">
        <f t="shared" si="7"/>
        <v>7.7042759648141557E-2</v>
      </c>
    </row>
    <row r="239" spans="1:13" x14ac:dyDescent="0.25">
      <c r="A239" t="s">
        <v>1557</v>
      </c>
      <c r="K239" s="1" t="str">
        <f t="shared" si="6"/>
        <v>2005-12-01</v>
      </c>
      <c r="L239">
        <v>26.15</v>
      </c>
      <c r="M239" s="2">
        <f t="shared" si="7"/>
        <v>-5.5274566473988429E-2</v>
      </c>
    </row>
    <row r="240" spans="1:13" x14ac:dyDescent="0.25">
      <c r="A240" t="s">
        <v>1558</v>
      </c>
      <c r="K240" s="1" t="str">
        <f t="shared" si="6"/>
        <v>2006-01-01</v>
      </c>
      <c r="L240">
        <v>28.15</v>
      </c>
      <c r="M240" s="2">
        <f t="shared" si="7"/>
        <v>7.6481835564053524E-2</v>
      </c>
    </row>
    <row r="241" spans="1:13" x14ac:dyDescent="0.25">
      <c r="A241" t="s">
        <v>1559</v>
      </c>
      <c r="K241" s="1" t="str">
        <f t="shared" si="6"/>
        <v>2006-02-01</v>
      </c>
      <c r="L241">
        <v>26.870000999999998</v>
      </c>
      <c r="M241" s="2">
        <f t="shared" si="7"/>
        <v>-4.5470657193605657E-2</v>
      </c>
    </row>
    <row r="242" spans="1:13" x14ac:dyDescent="0.25">
      <c r="A242" t="s">
        <v>1560</v>
      </c>
      <c r="K242" s="1" t="str">
        <f t="shared" si="6"/>
        <v>2006-03-01</v>
      </c>
      <c r="L242">
        <v>27.209999</v>
      </c>
      <c r="M242" s="2">
        <f t="shared" si="7"/>
        <v>1.2653442030017059E-2</v>
      </c>
    </row>
    <row r="243" spans="1:13" x14ac:dyDescent="0.25">
      <c r="A243" t="s">
        <v>1561</v>
      </c>
      <c r="K243" s="1" t="str">
        <f t="shared" si="6"/>
        <v>2006-04-01</v>
      </c>
      <c r="L243">
        <v>24.15</v>
      </c>
      <c r="M243" s="2">
        <f t="shared" si="7"/>
        <v>-0.11245862228807879</v>
      </c>
    </row>
    <row r="244" spans="1:13" x14ac:dyDescent="0.25">
      <c r="A244" t="s">
        <v>1562</v>
      </c>
      <c r="K244" s="1" t="str">
        <f t="shared" si="6"/>
        <v>2006-05-01</v>
      </c>
      <c r="L244">
        <v>22.65</v>
      </c>
      <c r="M244" s="2">
        <f t="shared" si="7"/>
        <v>-6.2111801242236031E-2</v>
      </c>
    </row>
    <row r="245" spans="1:13" x14ac:dyDescent="0.25">
      <c r="A245" t="s">
        <v>1563</v>
      </c>
      <c r="K245" s="1" t="str">
        <f t="shared" si="6"/>
        <v>2006-06-01</v>
      </c>
      <c r="L245">
        <v>23.299999</v>
      </c>
      <c r="M245" s="2">
        <f t="shared" si="7"/>
        <v>2.869752759381905E-2</v>
      </c>
    </row>
    <row r="246" spans="1:13" x14ac:dyDescent="0.25">
      <c r="A246" t="s">
        <v>1564</v>
      </c>
      <c r="K246" s="1" t="str">
        <f t="shared" si="6"/>
        <v>2006-07-01</v>
      </c>
      <c r="L246">
        <v>24.059999000000001</v>
      </c>
      <c r="M246" s="2">
        <f t="shared" si="7"/>
        <v>3.2618027150988382E-2</v>
      </c>
    </row>
    <row r="247" spans="1:13" x14ac:dyDescent="0.25">
      <c r="A247" t="s">
        <v>1565</v>
      </c>
      <c r="K247" s="1" t="str">
        <f t="shared" si="6"/>
        <v>2006-08-01</v>
      </c>
      <c r="L247">
        <v>25.700001</v>
      </c>
      <c r="M247" s="2">
        <f t="shared" si="7"/>
        <v>6.816301197684993E-2</v>
      </c>
    </row>
    <row r="248" spans="1:13" x14ac:dyDescent="0.25">
      <c r="A248" t="s">
        <v>1566</v>
      </c>
      <c r="K248" s="1" t="str">
        <f t="shared" si="6"/>
        <v>2006-09-01</v>
      </c>
      <c r="L248">
        <v>27.35</v>
      </c>
      <c r="M248" s="2">
        <f t="shared" si="7"/>
        <v>6.420229322170079E-2</v>
      </c>
    </row>
    <row r="249" spans="1:13" x14ac:dyDescent="0.25">
      <c r="A249" t="s">
        <v>1567</v>
      </c>
      <c r="K249" s="1" t="str">
        <f t="shared" si="6"/>
        <v>2006-10-01</v>
      </c>
      <c r="L249">
        <v>28.709999</v>
      </c>
      <c r="M249" s="2">
        <f t="shared" si="7"/>
        <v>4.9725740402193797E-2</v>
      </c>
    </row>
    <row r="250" spans="1:13" x14ac:dyDescent="0.25">
      <c r="A250" t="s">
        <v>1568</v>
      </c>
      <c r="K250" s="1" t="str">
        <f t="shared" si="6"/>
        <v>2006-11-01</v>
      </c>
      <c r="L250">
        <v>29.360001</v>
      </c>
      <c r="M250" s="2">
        <f t="shared" si="7"/>
        <v>2.2640265504711543E-2</v>
      </c>
    </row>
    <row r="251" spans="1:13" x14ac:dyDescent="0.25">
      <c r="A251" t="s">
        <v>1569</v>
      </c>
      <c r="K251" s="1" t="str">
        <f t="shared" si="6"/>
        <v>2006-12-01</v>
      </c>
      <c r="L251">
        <v>29.860001</v>
      </c>
      <c r="M251" s="2">
        <f t="shared" si="7"/>
        <v>1.7029972172003749E-2</v>
      </c>
    </row>
    <row r="252" spans="1:13" x14ac:dyDescent="0.25">
      <c r="A252" t="s">
        <v>1570</v>
      </c>
      <c r="K252" s="1" t="str">
        <f t="shared" si="6"/>
        <v>2007-01-01</v>
      </c>
      <c r="L252">
        <v>30.860001</v>
      </c>
      <c r="M252" s="2">
        <f t="shared" si="7"/>
        <v>3.3489617096797764E-2</v>
      </c>
    </row>
    <row r="253" spans="1:13" x14ac:dyDescent="0.25">
      <c r="A253" t="s">
        <v>1571</v>
      </c>
      <c r="K253" s="1" t="str">
        <f t="shared" si="6"/>
        <v>2007-02-01</v>
      </c>
      <c r="L253">
        <v>28.17</v>
      </c>
      <c r="M253" s="2">
        <f t="shared" si="7"/>
        <v>-8.7167884408040019E-2</v>
      </c>
    </row>
    <row r="254" spans="1:13" x14ac:dyDescent="0.25">
      <c r="A254" t="s">
        <v>1572</v>
      </c>
      <c r="K254" s="1" t="str">
        <f t="shared" si="6"/>
        <v>2007-03-01</v>
      </c>
      <c r="L254">
        <v>27.870000999999998</v>
      </c>
      <c r="M254" s="2">
        <f t="shared" si="7"/>
        <v>-1.0649591764288369E-2</v>
      </c>
    </row>
    <row r="255" spans="1:13" x14ac:dyDescent="0.25">
      <c r="A255" t="s">
        <v>1573</v>
      </c>
      <c r="K255" s="1" t="str">
        <f t="shared" si="6"/>
        <v>2007-04-01</v>
      </c>
      <c r="L255">
        <v>29.940000999999999</v>
      </c>
      <c r="M255" s="2">
        <f t="shared" si="7"/>
        <v>7.4273409606264496E-2</v>
      </c>
    </row>
    <row r="256" spans="1:13" x14ac:dyDescent="0.25">
      <c r="A256" t="s">
        <v>1574</v>
      </c>
      <c r="K256" s="1" t="str">
        <f t="shared" si="6"/>
        <v>2007-05-01</v>
      </c>
      <c r="L256">
        <v>30.690000999999999</v>
      </c>
      <c r="M256" s="2">
        <f t="shared" si="7"/>
        <v>2.5050099363724154E-2</v>
      </c>
    </row>
    <row r="257" spans="1:13" x14ac:dyDescent="0.25">
      <c r="A257" t="s">
        <v>1575</v>
      </c>
      <c r="K257" s="1" t="str">
        <f t="shared" si="6"/>
        <v>2007-06-01</v>
      </c>
      <c r="L257">
        <v>29.469999000000001</v>
      </c>
      <c r="M257" s="2">
        <f t="shared" si="7"/>
        <v>-3.9752426205525326E-2</v>
      </c>
    </row>
    <row r="258" spans="1:13" x14ac:dyDescent="0.25">
      <c r="A258" t="s">
        <v>1576</v>
      </c>
      <c r="K258" s="1" t="str">
        <f t="shared" si="6"/>
        <v>2007-07-01</v>
      </c>
      <c r="L258">
        <v>28.99</v>
      </c>
      <c r="M258" s="2">
        <f t="shared" si="7"/>
        <v>-1.628771687437125E-2</v>
      </c>
    </row>
    <row r="259" spans="1:13" x14ac:dyDescent="0.25">
      <c r="A259" t="s">
        <v>1577</v>
      </c>
      <c r="K259" s="1" t="str">
        <f t="shared" ref="K259:K322" si="8">LEFT(A259,10)</f>
        <v>2007-08-01</v>
      </c>
      <c r="L259">
        <v>28.73</v>
      </c>
      <c r="M259" s="2">
        <f t="shared" si="7"/>
        <v>-8.9686098654707669E-3</v>
      </c>
    </row>
    <row r="260" spans="1:13" x14ac:dyDescent="0.25">
      <c r="A260" t="s">
        <v>1578</v>
      </c>
      <c r="K260" s="1" t="str">
        <f t="shared" si="8"/>
        <v>2007-09-01</v>
      </c>
      <c r="L260">
        <v>29.459999</v>
      </c>
      <c r="M260" s="2">
        <f t="shared" ref="M260:M323" si="9">(L260/L259)-1</f>
        <v>2.5408945353289303E-2</v>
      </c>
    </row>
    <row r="261" spans="1:13" x14ac:dyDescent="0.25">
      <c r="A261" t="s">
        <v>1579</v>
      </c>
      <c r="K261" s="1" t="str">
        <f t="shared" si="8"/>
        <v>2007-10-01</v>
      </c>
      <c r="L261">
        <v>36.810001</v>
      </c>
      <c r="M261" s="2">
        <f t="shared" si="9"/>
        <v>0.2494909113880146</v>
      </c>
    </row>
    <row r="262" spans="1:13" x14ac:dyDescent="0.25">
      <c r="A262" t="s">
        <v>1580</v>
      </c>
      <c r="K262" s="1" t="str">
        <f t="shared" si="8"/>
        <v>2007-11-01</v>
      </c>
      <c r="L262">
        <v>33.599997999999999</v>
      </c>
      <c r="M262" s="2">
        <f t="shared" si="9"/>
        <v>-8.7204643107725022E-2</v>
      </c>
    </row>
    <row r="263" spans="1:13" x14ac:dyDescent="0.25">
      <c r="A263" t="s">
        <v>1581</v>
      </c>
      <c r="K263" s="1" t="str">
        <f t="shared" si="8"/>
        <v>2007-12-01</v>
      </c>
      <c r="L263">
        <v>35.599997999999999</v>
      </c>
      <c r="M263" s="2">
        <f t="shared" si="9"/>
        <v>5.9523813066893583E-2</v>
      </c>
    </row>
    <row r="264" spans="1:13" x14ac:dyDescent="0.25">
      <c r="A264" t="s">
        <v>1582</v>
      </c>
      <c r="K264" s="1" t="str">
        <f t="shared" si="8"/>
        <v>2008-01-01</v>
      </c>
      <c r="L264">
        <v>32.599997999999999</v>
      </c>
      <c r="M264" s="2">
        <f t="shared" si="9"/>
        <v>-8.426966765559929E-2</v>
      </c>
    </row>
    <row r="265" spans="1:13" x14ac:dyDescent="0.25">
      <c r="A265" t="s">
        <v>1583</v>
      </c>
      <c r="K265" s="1" t="str">
        <f t="shared" si="8"/>
        <v>2008-02-01</v>
      </c>
      <c r="L265">
        <v>27.200001</v>
      </c>
      <c r="M265" s="2">
        <f t="shared" si="9"/>
        <v>-0.16564408991681534</v>
      </c>
    </row>
    <row r="266" spans="1:13" x14ac:dyDescent="0.25">
      <c r="A266" t="s">
        <v>1584</v>
      </c>
      <c r="K266" s="1" t="str">
        <f t="shared" si="8"/>
        <v>2008-03-01</v>
      </c>
      <c r="L266">
        <v>28.379999000000002</v>
      </c>
      <c r="M266" s="2">
        <f t="shared" si="9"/>
        <v>4.3382277816828019E-2</v>
      </c>
    </row>
    <row r="267" spans="1:13" x14ac:dyDescent="0.25">
      <c r="A267" t="s">
        <v>1585</v>
      </c>
      <c r="K267" s="1" t="str">
        <f t="shared" si="8"/>
        <v>2008-04-01</v>
      </c>
      <c r="L267">
        <v>28.52</v>
      </c>
      <c r="M267" s="2">
        <f t="shared" si="9"/>
        <v>4.9330868545836015E-3</v>
      </c>
    </row>
    <row r="268" spans="1:13" x14ac:dyDescent="0.25">
      <c r="A268" t="s">
        <v>1586</v>
      </c>
      <c r="K268" s="1" t="str">
        <f t="shared" si="8"/>
        <v>2008-05-01</v>
      </c>
      <c r="L268">
        <v>28.32</v>
      </c>
      <c r="M268" s="2">
        <f t="shared" si="9"/>
        <v>-7.0126227208976433E-3</v>
      </c>
    </row>
    <row r="269" spans="1:13" x14ac:dyDescent="0.25">
      <c r="A269" t="s">
        <v>1587</v>
      </c>
      <c r="K269" s="1" t="str">
        <f t="shared" si="8"/>
        <v>2008-06-01</v>
      </c>
      <c r="L269">
        <v>27.51</v>
      </c>
      <c r="M269" s="2">
        <f t="shared" si="9"/>
        <v>-2.8601694915254217E-2</v>
      </c>
    </row>
    <row r="270" spans="1:13" x14ac:dyDescent="0.25">
      <c r="A270" t="s">
        <v>1588</v>
      </c>
      <c r="K270" s="1" t="str">
        <f t="shared" si="8"/>
        <v>2008-07-01</v>
      </c>
      <c r="L270">
        <v>25.719999000000001</v>
      </c>
      <c r="M270" s="2">
        <f t="shared" si="9"/>
        <v>-6.5067284623773203E-2</v>
      </c>
    </row>
    <row r="271" spans="1:13" x14ac:dyDescent="0.25">
      <c r="A271" t="s">
        <v>1589</v>
      </c>
      <c r="K271" s="1" t="str">
        <f t="shared" si="8"/>
        <v>2008-08-01</v>
      </c>
      <c r="L271">
        <v>27.290001</v>
      </c>
      <c r="M271" s="2">
        <f t="shared" si="9"/>
        <v>6.1042070802568738E-2</v>
      </c>
    </row>
    <row r="272" spans="1:13" x14ac:dyDescent="0.25">
      <c r="A272" t="s">
        <v>1590</v>
      </c>
      <c r="K272" s="1" t="str">
        <f t="shared" si="8"/>
        <v>2008-09-01</v>
      </c>
      <c r="L272">
        <v>26.690000999999999</v>
      </c>
      <c r="M272" s="2">
        <f t="shared" si="9"/>
        <v>-2.1986074679880008E-2</v>
      </c>
    </row>
    <row r="273" spans="1:13" x14ac:dyDescent="0.25">
      <c r="A273" t="s">
        <v>1591</v>
      </c>
      <c r="K273" s="1" t="str">
        <f t="shared" si="8"/>
        <v>2008-10-01</v>
      </c>
      <c r="L273">
        <v>22.33</v>
      </c>
      <c r="M273" s="2">
        <f t="shared" si="9"/>
        <v>-0.16335709391693165</v>
      </c>
    </row>
    <row r="274" spans="1:13" x14ac:dyDescent="0.25">
      <c r="A274" t="s">
        <v>1592</v>
      </c>
      <c r="K274" s="1" t="str">
        <f t="shared" si="8"/>
        <v>2008-11-01</v>
      </c>
      <c r="L274">
        <v>20.219999000000001</v>
      </c>
      <c r="M274" s="2">
        <f t="shared" si="9"/>
        <v>-9.4491759964173583E-2</v>
      </c>
    </row>
    <row r="275" spans="1:13" x14ac:dyDescent="0.25">
      <c r="A275" t="s">
        <v>1593</v>
      </c>
      <c r="K275" s="1" t="str">
        <f t="shared" si="8"/>
        <v>2008-12-01</v>
      </c>
      <c r="L275">
        <v>19.440000999999999</v>
      </c>
      <c r="M275" s="2">
        <f t="shared" si="9"/>
        <v>-3.8575570651610991E-2</v>
      </c>
    </row>
    <row r="276" spans="1:13" x14ac:dyDescent="0.25">
      <c r="A276" t="s">
        <v>1594</v>
      </c>
      <c r="K276" s="1" t="str">
        <f t="shared" si="8"/>
        <v>2009-01-01</v>
      </c>
      <c r="L276">
        <v>17.100000000000001</v>
      </c>
      <c r="M276" s="2">
        <f t="shared" si="9"/>
        <v>-0.12037041561880568</v>
      </c>
    </row>
    <row r="277" spans="1:13" x14ac:dyDescent="0.25">
      <c r="A277" t="s">
        <v>1595</v>
      </c>
      <c r="K277" s="1" t="str">
        <f t="shared" si="8"/>
        <v>2009-02-01</v>
      </c>
      <c r="L277">
        <v>16.149999999999999</v>
      </c>
      <c r="M277" s="2">
        <f t="shared" si="9"/>
        <v>-5.5555555555555691E-2</v>
      </c>
    </row>
    <row r="278" spans="1:13" x14ac:dyDescent="0.25">
      <c r="A278" t="s">
        <v>1596</v>
      </c>
      <c r="K278" s="1" t="str">
        <f t="shared" si="8"/>
        <v>2009-03-01</v>
      </c>
      <c r="L278">
        <v>18.370000999999998</v>
      </c>
      <c r="M278" s="2">
        <f t="shared" si="9"/>
        <v>0.1374613622291021</v>
      </c>
    </row>
    <row r="279" spans="1:13" x14ac:dyDescent="0.25">
      <c r="A279" t="s">
        <v>1597</v>
      </c>
      <c r="K279" s="1" t="str">
        <f t="shared" si="8"/>
        <v>2009-04-01</v>
      </c>
      <c r="L279">
        <v>20.260000000000002</v>
      </c>
      <c r="M279" s="2">
        <f t="shared" si="9"/>
        <v>0.1028850787759894</v>
      </c>
    </row>
    <row r="280" spans="1:13" x14ac:dyDescent="0.25">
      <c r="A280" t="s">
        <v>1598</v>
      </c>
      <c r="K280" s="1" t="str">
        <f t="shared" si="8"/>
        <v>2009-05-01</v>
      </c>
      <c r="L280">
        <v>20.889999</v>
      </c>
      <c r="M280" s="2">
        <f t="shared" si="9"/>
        <v>3.1095705824284225E-2</v>
      </c>
    </row>
    <row r="281" spans="1:13" x14ac:dyDescent="0.25">
      <c r="A281" t="s">
        <v>1599</v>
      </c>
      <c r="K281" s="1" t="str">
        <f t="shared" si="8"/>
        <v>2009-06-01</v>
      </c>
      <c r="L281">
        <v>23.77</v>
      </c>
      <c r="M281" s="2">
        <f t="shared" si="9"/>
        <v>0.13786506164983536</v>
      </c>
    </row>
    <row r="282" spans="1:13" x14ac:dyDescent="0.25">
      <c r="A282" t="s">
        <v>1600</v>
      </c>
      <c r="K282" s="1" t="str">
        <f t="shared" si="8"/>
        <v>2009-07-01</v>
      </c>
      <c r="L282">
        <v>23.52</v>
      </c>
      <c r="M282" s="2">
        <f t="shared" si="9"/>
        <v>-1.0517458981909922E-2</v>
      </c>
    </row>
    <row r="283" spans="1:13" x14ac:dyDescent="0.25">
      <c r="A283" t="s">
        <v>1601</v>
      </c>
      <c r="K283" s="1" t="str">
        <f t="shared" si="8"/>
        <v>2009-08-01</v>
      </c>
      <c r="L283">
        <v>24.65</v>
      </c>
      <c r="M283" s="2">
        <f t="shared" si="9"/>
        <v>4.8044217687074786E-2</v>
      </c>
    </row>
    <row r="284" spans="1:13" x14ac:dyDescent="0.25">
      <c r="A284" t="s">
        <v>1602</v>
      </c>
      <c r="K284" s="1" t="str">
        <f t="shared" si="8"/>
        <v>2009-09-01</v>
      </c>
      <c r="L284">
        <v>25.719999000000001</v>
      </c>
      <c r="M284" s="2">
        <f t="shared" si="9"/>
        <v>4.3407667342799217E-2</v>
      </c>
    </row>
    <row r="285" spans="1:13" x14ac:dyDescent="0.25">
      <c r="A285" t="s">
        <v>1603</v>
      </c>
      <c r="K285" s="1" t="str">
        <f t="shared" si="8"/>
        <v>2009-10-01</v>
      </c>
      <c r="L285">
        <v>27.73</v>
      </c>
      <c r="M285" s="2">
        <f t="shared" si="9"/>
        <v>7.8149342074235628E-2</v>
      </c>
    </row>
    <row r="286" spans="1:13" x14ac:dyDescent="0.25">
      <c r="A286" t="s">
        <v>1604</v>
      </c>
      <c r="K286" s="1" t="str">
        <f t="shared" si="8"/>
        <v>2009-11-01</v>
      </c>
      <c r="L286">
        <v>29.41</v>
      </c>
      <c r="M286" s="2">
        <f t="shared" si="9"/>
        <v>6.0584204832311528E-2</v>
      </c>
    </row>
    <row r="287" spans="1:13" x14ac:dyDescent="0.25">
      <c r="A287" t="s">
        <v>1605</v>
      </c>
      <c r="K287" s="1" t="str">
        <f t="shared" si="8"/>
        <v>2009-12-01</v>
      </c>
      <c r="L287">
        <v>30.48</v>
      </c>
      <c r="M287" s="2">
        <f t="shared" si="9"/>
        <v>3.6382182930975837E-2</v>
      </c>
    </row>
    <row r="288" spans="1:13" x14ac:dyDescent="0.25">
      <c r="A288" t="s">
        <v>1606</v>
      </c>
      <c r="K288" s="1" t="str">
        <f t="shared" si="8"/>
        <v>2010-01-01</v>
      </c>
      <c r="L288">
        <v>28.18</v>
      </c>
      <c r="M288" s="2">
        <f t="shared" si="9"/>
        <v>-7.5459317585301888E-2</v>
      </c>
    </row>
    <row r="289" spans="1:13" x14ac:dyDescent="0.25">
      <c r="A289" t="s">
        <v>1607</v>
      </c>
      <c r="K289" s="1" t="str">
        <f t="shared" si="8"/>
        <v>2010-02-01</v>
      </c>
      <c r="L289">
        <v>28.67</v>
      </c>
      <c r="M289" s="2">
        <f t="shared" si="9"/>
        <v>1.7388218594748039E-2</v>
      </c>
    </row>
    <row r="290" spans="1:13" x14ac:dyDescent="0.25">
      <c r="A290" t="s">
        <v>1608</v>
      </c>
      <c r="K290" s="1" t="str">
        <f t="shared" si="8"/>
        <v>2010-03-01</v>
      </c>
      <c r="L290">
        <v>29.290001</v>
      </c>
      <c r="M290" s="2">
        <f t="shared" si="9"/>
        <v>2.1625427275898002E-2</v>
      </c>
    </row>
    <row r="291" spans="1:13" x14ac:dyDescent="0.25">
      <c r="A291" t="s">
        <v>1609</v>
      </c>
      <c r="K291" s="1" t="str">
        <f t="shared" si="8"/>
        <v>2010-04-01</v>
      </c>
      <c r="L291">
        <v>30.540001</v>
      </c>
      <c r="M291" s="2">
        <f t="shared" si="9"/>
        <v>4.267668000421021E-2</v>
      </c>
    </row>
    <row r="292" spans="1:13" x14ac:dyDescent="0.25">
      <c r="A292" t="s">
        <v>1610</v>
      </c>
      <c r="K292" s="1" t="str">
        <f t="shared" si="8"/>
        <v>2010-05-01</v>
      </c>
      <c r="L292">
        <v>25.799999</v>
      </c>
      <c r="M292" s="2">
        <f t="shared" si="9"/>
        <v>-0.15520634724275228</v>
      </c>
    </row>
    <row r="293" spans="1:13" x14ac:dyDescent="0.25">
      <c r="A293" t="s">
        <v>1611</v>
      </c>
      <c r="K293" s="1" t="str">
        <f t="shared" si="8"/>
        <v>2010-06-01</v>
      </c>
      <c r="L293">
        <v>23.01</v>
      </c>
      <c r="M293" s="2">
        <f t="shared" si="9"/>
        <v>-0.10813950031548447</v>
      </c>
    </row>
    <row r="294" spans="1:13" x14ac:dyDescent="0.25">
      <c r="A294" t="s">
        <v>1612</v>
      </c>
      <c r="K294" s="1" t="str">
        <f t="shared" si="8"/>
        <v>2010-07-01</v>
      </c>
      <c r="L294">
        <v>25.809999000000001</v>
      </c>
      <c r="M294" s="2">
        <f t="shared" si="9"/>
        <v>0.12168617992177322</v>
      </c>
    </row>
    <row r="295" spans="1:13" x14ac:dyDescent="0.25">
      <c r="A295" t="s">
        <v>1613</v>
      </c>
      <c r="K295" s="1" t="str">
        <f t="shared" si="8"/>
        <v>2010-08-01</v>
      </c>
      <c r="L295">
        <v>23.469999000000001</v>
      </c>
      <c r="M295" s="2">
        <f t="shared" si="9"/>
        <v>-9.0662537414278876E-2</v>
      </c>
    </row>
    <row r="296" spans="1:13" x14ac:dyDescent="0.25">
      <c r="A296" t="s">
        <v>1614</v>
      </c>
      <c r="K296" s="1" t="str">
        <f t="shared" si="8"/>
        <v>2010-09-01</v>
      </c>
      <c r="L296">
        <v>24.49</v>
      </c>
      <c r="M296" s="2">
        <f t="shared" si="9"/>
        <v>4.3459780292278483E-2</v>
      </c>
    </row>
    <row r="297" spans="1:13" x14ac:dyDescent="0.25">
      <c r="A297" t="s">
        <v>1615</v>
      </c>
      <c r="K297" s="1" t="str">
        <f t="shared" si="8"/>
        <v>2010-10-01</v>
      </c>
      <c r="L297">
        <v>26.67</v>
      </c>
      <c r="M297" s="2">
        <f t="shared" si="9"/>
        <v>8.9015924867292817E-2</v>
      </c>
    </row>
    <row r="298" spans="1:13" x14ac:dyDescent="0.25">
      <c r="A298" t="s">
        <v>1616</v>
      </c>
      <c r="K298" s="1" t="str">
        <f t="shared" si="8"/>
        <v>2010-11-01</v>
      </c>
      <c r="L298">
        <v>25.26</v>
      </c>
      <c r="M298" s="2">
        <f t="shared" si="9"/>
        <v>-5.2868391451068586E-2</v>
      </c>
    </row>
    <row r="299" spans="1:13" x14ac:dyDescent="0.25">
      <c r="A299" t="s">
        <v>1617</v>
      </c>
      <c r="K299" s="1" t="str">
        <f t="shared" si="8"/>
        <v>2010-12-01</v>
      </c>
      <c r="L299">
        <v>27.91</v>
      </c>
      <c r="M299" s="2">
        <f t="shared" si="9"/>
        <v>0.10490894695170216</v>
      </c>
    </row>
    <row r="300" spans="1:13" x14ac:dyDescent="0.25">
      <c r="A300" t="s">
        <v>1618</v>
      </c>
      <c r="K300" s="1" t="str">
        <f t="shared" si="8"/>
        <v>2011-01-01</v>
      </c>
      <c r="L300">
        <v>27.73</v>
      </c>
      <c r="M300" s="2">
        <f t="shared" si="9"/>
        <v>-6.4493013256896603E-3</v>
      </c>
    </row>
    <row r="301" spans="1:13" x14ac:dyDescent="0.25">
      <c r="A301" t="s">
        <v>1619</v>
      </c>
      <c r="K301" s="1" t="str">
        <f t="shared" si="8"/>
        <v>2011-02-01</v>
      </c>
      <c r="L301">
        <v>26.58</v>
      </c>
      <c r="M301" s="2">
        <f t="shared" si="9"/>
        <v>-4.1471330688784835E-2</v>
      </c>
    </row>
    <row r="302" spans="1:13" x14ac:dyDescent="0.25">
      <c r="A302" t="s">
        <v>1620</v>
      </c>
      <c r="K302" s="1" t="str">
        <f t="shared" si="8"/>
        <v>2011-03-01</v>
      </c>
      <c r="L302">
        <v>25.389999</v>
      </c>
      <c r="M302" s="2">
        <f t="shared" si="9"/>
        <v>-4.477054176072226E-2</v>
      </c>
    </row>
    <row r="303" spans="1:13" x14ac:dyDescent="0.25">
      <c r="A303" t="s">
        <v>1621</v>
      </c>
      <c r="K303" s="1" t="str">
        <f t="shared" si="8"/>
        <v>2011-04-01</v>
      </c>
      <c r="L303">
        <v>25.92</v>
      </c>
      <c r="M303" s="2">
        <f t="shared" si="9"/>
        <v>2.0874400191981168E-2</v>
      </c>
    </row>
    <row r="304" spans="1:13" x14ac:dyDescent="0.25">
      <c r="A304" t="s">
        <v>1622</v>
      </c>
      <c r="K304" s="1" t="str">
        <f t="shared" si="8"/>
        <v>2011-05-01</v>
      </c>
      <c r="L304">
        <v>25.01</v>
      </c>
      <c r="M304" s="2">
        <f t="shared" si="9"/>
        <v>-3.5108024691357986E-2</v>
      </c>
    </row>
    <row r="305" spans="1:13" x14ac:dyDescent="0.25">
      <c r="A305" t="s">
        <v>1623</v>
      </c>
      <c r="K305" s="1" t="str">
        <f t="shared" si="8"/>
        <v>2011-06-01</v>
      </c>
      <c r="L305">
        <v>26</v>
      </c>
      <c r="M305" s="2">
        <f t="shared" si="9"/>
        <v>3.9584166333466619E-2</v>
      </c>
    </row>
    <row r="306" spans="1:13" x14ac:dyDescent="0.25">
      <c r="A306" t="s">
        <v>1624</v>
      </c>
      <c r="K306" s="1" t="str">
        <f t="shared" si="8"/>
        <v>2011-07-01</v>
      </c>
      <c r="L306">
        <v>27.4</v>
      </c>
      <c r="M306" s="2">
        <f t="shared" si="9"/>
        <v>5.3846153846153877E-2</v>
      </c>
    </row>
    <row r="307" spans="1:13" x14ac:dyDescent="0.25">
      <c r="A307" t="s">
        <v>1625</v>
      </c>
      <c r="K307" s="1" t="str">
        <f t="shared" si="8"/>
        <v>2011-08-01</v>
      </c>
      <c r="L307">
        <v>26.6</v>
      </c>
      <c r="M307" s="2">
        <f t="shared" si="9"/>
        <v>-2.9197080291970656E-2</v>
      </c>
    </row>
    <row r="308" spans="1:13" x14ac:dyDescent="0.25">
      <c r="A308" t="s">
        <v>1626</v>
      </c>
      <c r="K308" s="1" t="str">
        <f t="shared" si="8"/>
        <v>2011-09-01</v>
      </c>
      <c r="L308">
        <v>24.889999</v>
      </c>
      <c r="M308" s="2">
        <f t="shared" si="9"/>
        <v>-6.4285751879699315E-2</v>
      </c>
    </row>
    <row r="309" spans="1:13" x14ac:dyDescent="0.25">
      <c r="A309" t="s">
        <v>1627</v>
      </c>
      <c r="K309" s="1" t="str">
        <f t="shared" si="8"/>
        <v>2011-10-01</v>
      </c>
      <c r="L309">
        <v>26.629999000000002</v>
      </c>
      <c r="M309" s="2">
        <f t="shared" si="9"/>
        <v>6.9907596219670465E-2</v>
      </c>
    </row>
    <row r="310" spans="1:13" x14ac:dyDescent="0.25">
      <c r="A310" t="s">
        <v>1628</v>
      </c>
      <c r="K310" s="1" t="str">
        <f t="shared" si="8"/>
        <v>2011-11-01</v>
      </c>
      <c r="L310">
        <v>25.58</v>
      </c>
      <c r="M310" s="2">
        <f t="shared" si="9"/>
        <v>-3.9429179099856659E-2</v>
      </c>
    </row>
    <row r="311" spans="1:13" x14ac:dyDescent="0.25">
      <c r="A311" t="s">
        <v>1629</v>
      </c>
      <c r="K311" s="1" t="str">
        <f t="shared" si="8"/>
        <v>2011-12-01</v>
      </c>
      <c r="L311">
        <v>25.959999</v>
      </c>
      <c r="M311" s="2">
        <f t="shared" si="9"/>
        <v>1.4855316653635819E-2</v>
      </c>
    </row>
    <row r="312" spans="1:13" x14ac:dyDescent="0.25">
      <c r="A312" t="s">
        <v>1630</v>
      </c>
      <c r="K312" s="1" t="str">
        <f t="shared" si="8"/>
        <v>2012-01-01</v>
      </c>
      <c r="L312">
        <v>29.530000999999999</v>
      </c>
      <c r="M312" s="2">
        <f t="shared" si="9"/>
        <v>0.137519342739574</v>
      </c>
    </row>
    <row r="313" spans="1:13" x14ac:dyDescent="0.25">
      <c r="A313" t="s">
        <v>1631</v>
      </c>
      <c r="K313" s="1" t="str">
        <f t="shared" si="8"/>
        <v>2012-02-01</v>
      </c>
      <c r="L313">
        <v>31.74</v>
      </c>
      <c r="M313" s="2">
        <f t="shared" si="9"/>
        <v>7.4839110232336248E-2</v>
      </c>
    </row>
    <row r="314" spans="1:13" x14ac:dyDescent="0.25">
      <c r="A314" t="s">
        <v>1632</v>
      </c>
      <c r="K314" s="1" t="str">
        <f t="shared" si="8"/>
        <v>2012-03-01</v>
      </c>
      <c r="L314">
        <v>32.259998000000003</v>
      </c>
      <c r="M314" s="2">
        <f t="shared" si="9"/>
        <v>1.6383049779458148E-2</v>
      </c>
    </row>
    <row r="315" spans="1:13" x14ac:dyDescent="0.25">
      <c r="A315" t="s">
        <v>1633</v>
      </c>
      <c r="K315" s="1" t="str">
        <f t="shared" si="8"/>
        <v>2012-04-01</v>
      </c>
      <c r="L315">
        <v>32.020000000000003</v>
      </c>
      <c r="M315" s="2">
        <f t="shared" si="9"/>
        <v>-7.4394920917230101E-3</v>
      </c>
    </row>
    <row r="316" spans="1:13" x14ac:dyDescent="0.25">
      <c r="A316" t="s">
        <v>1634</v>
      </c>
      <c r="K316" s="1" t="str">
        <f t="shared" si="8"/>
        <v>2012-05-01</v>
      </c>
      <c r="L316">
        <v>29.190000999999999</v>
      </c>
      <c r="M316" s="2">
        <f t="shared" si="9"/>
        <v>-8.8382229856339922E-2</v>
      </c>
    </row>
    <row r="317" spans="1:13" x14ac:dyDescent="0.25">
      <c r="A317" t="s">
        <v>1635</v>
      </c>
      <c r="K317" s="1" t="str">
        <f t="shared" si="8"/>
        <v>2012-06-01</v>
      </c>
      <c r="L317">
        <v>30.59</v>
      </c>
      <c r="M317" s="2">
        <f t="shared" si="9"/>
        <v>4.7961594794053042E-2</v>
      </c>
    </row>
    <row r="318" spans="1:13" x14ac:dyDescent="0.25">
      <c r="A318" t="s">
        <v>1636</v>
      </c>
      <c r="K318" s="1" t="str">
        <f t="shared" si="8"/>
        <v>2012-07-01</v>
      </c>
      <c r="L318">
        <v>29.469999000000001</v>
      </c>
      <c r="M318" s="2">
        <f t="shared" si="9"/>
        <v>-3.6613305001634511E-2</v>
      </c>
    </row>
    <row r="319" spans="1:13" x14ac:dyDescent="0.25">
      <c r="A319" t="s">
        <v>1637</v>
      </c>
      <c r="K319" s="1" t="str">
        <f t="shared" si="8"/>
        <v>2012-08-01</v>
      </c>
      <c r="L319">
        <v>30.82</v>
      </c>
      <c r="M319" s="2">
        <f t="shared" si="9"/>
        <v>4.5809333078022707E-2</v>
      </c>
    </row>
    <row r="320" spans="1:13" x14ac:dyDescent="0.25">
      <c r="A320" t="s">
        <v>1638</v>
      </c>
      <c r="K320" s="1" t="str">
        <f t="shared" si="8"/>
        <v>2012-09-01</v>
      </c>
      <c r="L320">
        <v>29.76</v>
      </c>
      <c r="M320" s="2">
        <f t="shared" si="9"/>
        <v>-3.4393251135626191E-2</v>
      </c>
    </row>
    <row r="321" spans="1:13" x14ac:dyDescent="0.25">
      <c r="A321" t="s">
        <v>1639</v>
      </c>
      <c r="K321" s="1" t="str">
        <f t="shared" si="8"/>
        <v>2012-10-01</v>
      </c>
      <c r="L321">
        <v>28.540001</v>
      </c>
      <c r="M321" s="2">
        <f t="shared" si="9"/>
        <v>-4.0994590053763491E-2</v>
      </c>
    </row>
    <row r="322" spans="1:13" x14ac:dyDescent="0.25">
      <c r="A322" t="s">
        <v>1640</v>
      </c>
      <c r="K322" s="1" t="str">
        <f t="shared" si="8"/>
        <v>2012-11-01</v>
      </c>
      <c r="L322">
        <v>26.620000999999998</v>
      </c>
      <c r="M322" s="2">
        <f t="shared" si="9"/>
        <v>-6.7273999044358934E-2</v>
      </c>
    </row>
    <row r="323" spans="1:13" x14ac:dyDescent="0.25">
      <c r="A323" t="s">
        <v>1641</v>
      </c>
      <c r="K323" s="1" t="str">
        <f t="shared" ref="K323:K386" si="10">LEFT(A323,10)</f>
        <v>2012-12-01</v>
      </c>
      <c r="L323">
        <v>26.709999</v>
      </c>
      <c r="M323" s="2">
        <f t="shared" si="9"/>
        <v>3.380841345573149E-3</v>
      </c>
    </row>
    <row r="324" spans="1:13" x14ac:dyDescent="0.25">
      <c r="A324" t="s">
        <v>1642</v>
      </c>
      <c r="K324" s="1" t="str">
        <f t="shared" si="10"/>
        <v>2013-01-01</v>
      </c>
      <c r="L324">
        <v>27.450001</v>
      </c>
      <c r="M324" s="2">
        <f t="shared" ref="M324:M387" si="11">(L324/L323)-1</f>
        <v>2.7705055324038108E-2</v>
      </c>
    </row>
    <row r="325" spans="1:13" x14ac:dyDescent="0.25">
      <c r="A325" t="s">
        <v>1643</v>
      </c>
      <c r="K325" s="1" t="str">
        <f t="shared" si="10"/>
        <v>2013-02-01</v>
      </c>
      <c r="L325">
        <v>27.799999</v>
      </c>
      <c r="M325" s="2">
        <f t="shared" si="11"/>
        <v>1.2750382049166342E-2</v>
      </c>
    </row>
    <row r="326" spans="1:13" x14ac:dyDescent="0.25">
      <c r="A326" t="s">
        <v>1644</v>
      </c>
      <c r="K326" s="1" t="str">
        <f t="shared" si="10"/>
        <v>2013-03-01</v>
      </c>
      <c r="L326">
        <v>28.610001</v>
      </c>
      <c r="M326" s="2">
        <f t="shared" si="11"/>
        <v>2.9136763638013097E-2</v>
      </c>
    </row>
    <row r="327" spans="1:13" x14ac:dyDescent="0.25">
      <c r="A327" t="s">
        <v>1645</v>
      </c>
      <c r="K327" s="1" t="str">
        <f t="shared" si="10"/>
        <v>2013-04-01</v>
      </c>
      <c r="L327">
        <v>33.099997999999999</v>
      </c>
      <c r="M327" s="2">
        <f t="shared" si="11"/>
        <v>0.15693802317588168</v>
      </c>
    </row>
    <row r="328" spans="1:13" x14ac:dyDescent="0.25">
      <c r="A328" t="s">
        <v>1646</v>
      </c>
      <c r="K328" s="1" t="str">
        <f t="shared" si="10"/>
        <v>2013-05-01</v>
      </c>
      <c r="L328">
        <v>34.900002000000001</v>
      </c>
      <c r="M328" s="2">
        <f t="shared" si="11"/>
        <v>5.4380788784337719E-2</v>
      </c>
    </row>
    <row r="329" spans="1:13" x14ac:dyDescent="0.25">
      <c r="A329" t="s">
        <v>1647</v>
      </c>
      <c r="K329" s="1" t="str">
        <f t="shared" si="10"/>
        <v>2013-06-01</v>
      </c>
      <c r="L329">
        <v>34.540000999999997</v>
      </c>
      <c r="M329" s="2">
        <f t="shared" si="11"/>
        <v>-1.0315214308583842E-2</v>
      </c>
    </row>
    <row r="330" spans="1:13" x14ac:dyDescent="0.25">
      <c r="A330" t="s">
        <v>1648</v>
      </c>
      <c r="K330" s="1" t="str">
        <f t="shared" si="10"/>
        <v>2013-07-01</v>
      </c>
      <c r="L330">
        <v>31.84</v>
      </c>
      <c r="M330" s="2">
        <f t="shared" si="11"/>
        <v>-7.8170264094665098E-2</v>
      </c>
    </row>
    <row r="331" spans="1:13" x14ac:dyDescent="0.25">
      <c r="A331" t="s">
        <v>1649</v>
      </c>
      <c r="K331" s="1" t="str">
        <f t="shared" si="10"/>
        <v>2013-08-01</v>
      </c>
      <c r="L331">
        <v>33.400002000000001</v>
      </c>
      <c r="M331" s="2">
        <f t="shared" si="11"/>
        <v>4.8995037688442267E-2</v>
      </c>
    </row>
    <row r="332" spans="1:13" x14ac:dyDescent="0.25">
      <c r="A332" t="s">
        <v>1650</v>
      </c>
      <c r="K332" s="1" t="str">
        <f t="shared" si="10"/>
        <v>2013-09-01</v>
      </c>
      <c r="L332">
        <v>33.279998999999997</v>
      </c>
      <c r="M332" s="2">
        <f t="shared" si="11"/>
        <v>-3.5929039764729387E-3</v>
      </c>
    </row>
    <row r="333" spans="1:13" x14ac:dyDescent="0.25">
      <c r="A333" t="s">
        <v>1651</v>
      </c>
      <c r="K333" s="1" t="str">
        <f t="shared" si="10"/>
        <v>2013-10-01</v>
      </c>
      <c r="L333">
        <v>35.409999999999997</v>
      </c>
      <c r="M333" s="2">
        <f t="shared" si="11"/>
        <v>6.4002435817380965E-2</v>
      </c>
    </row>
    <row r="334" spans="1:13" x14ac:dyDescent="0.25">
      <c r="A334" t="s">
        <v>1652</v>
      </c>
      <c r="K334" s="1" t="str">
        <f t="shared" si="10"/>
        <v>2013-11-01</v>
      </c>
      <c r="L334">
        <v>38.130001</v>
      </c>
      <c r="M334" s="2">
        <f t="shared" si="11"/>
        <v>7.6814487432928624E-2</v>
      </c>
    </row>
    <row r="335" spans="1:13" x14ac:dyDescent="0.25">
      <c r="A335" t="s">
        <v>1653</v>
      </c>
      <c r="K335" s="1" t="str">
        <f t="shared" si="10"/>
        <v>2013-12-01</v>
      </c>
      <c r="L335">
        <v>37.409999999999997</v>
      </c>
      <c r="M335" s="2">
        <f t="shared" si="11"/>
        <v>-1.8882795203703284E-2</v>
      </c>
    </row>
    <row r="336" spans="1:13" x14ac:dyDescent="0.25">
      <c r="A336" t="s">
        <v>1654</v>
      </c>
      <c r="K336" s="1" t="str">
        <f t="shared" si="10"/>
        <v>2014-01-01</v>
      </c>
      <c r="L336">
        <v>37.840000000000003</v>
      </c>
      <c r="M336" s="2">
        <f t="shared" si="11"/>
        <v>1.1494252873563315E-2</v>
      </c>
    </row>
    <row r="337" spans="1:13" x14ac:dyDescent="0.25">
      <c r="A337" t="s">
        <v>1655</v>
      </c>
      <c r="K337" s="1" t="str">
        <f t="shared" si="10"/>
        <v>2014-02-01</v>
      </c>
      <c r="L337">
        <v>38.310001</v>
      </c>
      <c r="M337" s="2">
        <f t="shared" si="11"/>
        <v>1.2420745243128861E-2</v>
      </c>
    </row>
    <row r="338" spans="1:13" x14ac:dyDescent="0.25">
      <c r="A338" t="s">
        <v>1656</v>
      </c>
      <c r="K338" s="1" t="str">
        <f t="shared" si="10"/>
        <v>2014-03-01</v>
      </c>
      <c r="L338">
        <v>40.990001999999997</v>
      </c>
      <c r="M338" s="2">
        <f t="shared" si="11"/>
        <v>6.9955649439946477E-2</v>
      </c>
    </row>
    <row r="339" spans="1:13" x14ac:dyDescent="0.25">
      <c r="A339" t="s">
        <v>1657</v>
      </c>
      <c r="K339" s="1" t="str">
        <f t="shared" si="10"/>
        <v>2014-04-01</v>
      </c>
      <c r="L339">
        <v>40.400002000000001</v>
      </c>
      <c r="M339" s="2">
        <f t="shared" si="11"/>
        <v>-1.4393753871980719E-2</v>
      </c>
    </row>
    <row r="340" spans="1:13" x14ac:dyDescent="0.25">
      <c r="A340" t="s">
        <v>1658</v>
      </c>
      <c r="K340" s="1" t="str">
        <f t="shared" si="10"/>
        <v>2014-05-01</v>
      </c>
      <c r="L340">
        <v>40.939999</v>
      </c>
      <c r="M340" s="2">
        <f t="shared" si="11"/>
        <v>1.3366261714541583E-2</v>
      </c>
    </row>
    <row r="341" spans="1:13" x14ac:dyDescent="0.25">
      <c r="A341" t="s">
        <v>1659</v>
      </c>
      <c r="K341" s="1" t="str">
        <f t="shared" si="10"/>
        <v>2014-06-01</v>
      </c>
      <c r="L341">
        <v>41.700001</v>
      </c>
      <c r="M341" s="2">
        <f t="shared" si="11"/>
        <v>1.8563801137366998E-2</v>
      </c>
    </row>
    <row r="342" spans="1:13" x14ac:dyDescent="0.25">
      <c r="A342" t="s">
        <v>1660</v>
      </c>
      <c r="K342" s="1" t="str">
        <f t="shared" si="10"/>
        <v>2014-07-01</v>
      </c>
      <c r="L342">
        <v>43.16</v>
      </c>
      <c r="M342" s="2">
        <f t="shared" si="11"/>
        <v>3.5011965587242955E-2</v>
      </c>
    </row>
    <row r="343" spans="1:13" x14ac:dyDescent="0.25">
      <c r="A343" t="s">
        <v>1661</v>
      </c>
      <c r="K343" s="1" t="str">
        <f t="shared" si="10"/>
        <v>2014-08-01</v>
      </c>
      <c r="L343">
        <v>45.43</v>
      </c>
      <c r="M343" s="2">
        <f t="shared" si="11"/>
        <v>5.2594995366079811E-2</v>
      </c>
    </row>
    <row r="344" spans="1:13" x14ac:dyDescent="0.25">
      <c r="A344" t="s">
        <v>1662</v>
      </c>
      <c r="K344" s="1" t="str">
        <f t="shared" si="10"/>
        <v>2014-09-01</v>
      </c>
      <c r="L344">
        <v>46.360000999999997</v>
      </c>
      <c r="M344" s="2">
        <f t="shared" si="11"/>
        <v>2.0471076381245901E-2</v>
      </c>
    </row>
    <row r="345" spans="1:13" x14ac:dyDescent="0.25">
      <c r="A345" t="s">
        <v>1663</v>
      </c>
      <c r="K345" s="1" t="str">
        <f t="shared" si="10"/>
        <v>2014-10-01</v>
      </c>
      <c r="L345">
        <v>46.950001</v>
      </c>
      <c r="M345" s="2">
        <f t="shared" si="11"/>
        <v>1.2726488077513309E-2</v>
      </c>
    </row>
    <row r="346" spans="1:13" x14ac:dyDescent="0.25">
      <c r="A346" t="s">
        <v>1664</v>
      </c>
      <c r="K346" s="1" t="str">
        <f t="shared" si="10"/>
        <v>2014-11-01</v>
      </c>
      <c r="L346">
        <v>47.810001</v>
      </c>
      <c r="M346" s="2">
        <f t="shared" si="11"/>
        <v>1.8317358502292658E-2</v>
      </c>
    </row>
    <row r="347" spans="1:13" x14ac:dyDescent="0.25">
      <c r="A347" t="s">
        <v>1665</v>
      </c>
      <c r="K347" s="1" t="str">
        <f t="shared" si="10"/>
        <v>2014-12-01</v>
      </c>
      <c r="L347">
        <v>46.450001</v>
      </c>
      <c r="M347" s="2">
        <f t="shared" si="11"/>
        <v>-2.8445931218449405E-2</v>
      </c>
    </row>
    <row r="348" spans="1:13" x14ac:dyDescent="0.25">
      <c r="A348" t="s">
        <v>1666</v>
      </c>
      <c r="K348" s="1" t="str">
        <f t="shared" si="10"/>
        <v>2015-01-01</v>
      </c>
      <c r="L348">
        <v>40.400002000000001</v>
      </c>
      <c r="M348" s="2">
        <f t="shared" si="11"/>
        <v>-0.13024755370834118</v>
      </c>
    </row>
    <row r="349" spans="1:13" x14ac:dyDescent="0.25">
      <c r="A349" t="s">
        <v>1667</v>
      </c>
      <c r="K349" s="1" t="str">
        <f t="shared" si="10"/>
        <v>2015-02-01</v>
      </c>
      <c r="L349">
        <v>43.849997999999999</v>
      </c>
      <c r="M349" s="2">
        <f t="shared" si="11"/>
        <v>8.539593636653775E-2</v>
      </c>
    </row>
    <row r="350" spans="1:13" x14ac:dyDescent="0.25">
      <c r="A350" t="s">
        <v>1668</v>
      </c>
      <c r="K350" s="1" t="str">
        <f t="shared" si="10"/>
        <v>2015-03-01</v>
      </c>
      <c r="L350">
        <v>40.659999999999997</v>
      </c>
      <c r="M350" s="2">
        <f t="shared" si="11"/>
        <v>-7.2747962269006372E-2</v>
      </c>
    </row>
    <row r="351" spans="1:13" x14ac:dyDescent="0.25">
      <c r="A351" t="s">
        <v>1669</v>
      </c>
      <c r="K351" s="1" t="str">
        <f t="shared" si="10"/>
        <v>2015-04-01</v>
      </c>
      <c r="L351">
        <v>48.639999000000003</v>
      </c>
      <c r="M351" s="2">
        <f t="shared" si="11"/>
        <v>0.196261657648795</v>
      </c>
    </row>
    <row r="352" spans="1:13" x14ac:dyDescent="0.25">
      <c r="A352" t="s">
        <v>1670</v>
      </c>
      <c r="K352" s="1" t="str">
        <f t="shared" si="10"/>
        <v>2015-05-01</v>
      </c>
      <c r="L352">
        <v>46.860000999999997</v>
      </c>
      <c r="M352" s="2">
        <f t="shared" si="11"/>
        <v>-3.6595354370792754E-2</v>
      </c>
    </row>
    <row r="353" spans="1:13" x14ac:dyDescent="0.25">
      <c r="A353" t="s">
        <v>1671</v>
      </c>
      <c r="K353" s="1" t="str">
        <f t="shared" si="10"/>
        <v>2015-06-01</v>
      </c>
      <c r="L353">
        <v>44.150002000000001</v>
      </c>
      <c r="M353" s="2">
        <f t="shared" si="11"/>
        <v>-5.7831816947677805E-2</v>
      </c>
    </row>
    <row r="354" spans="1:13" x14ac:dyDescent="0.25">
      <c r="A354" t="s">
        <v>1672</v>
      </c>
      <c r="K354" s="1" t="str">
        <f t="shared" si="10"/>
        <v>2015-07-01</v>
      </c>
      <c r="L354">
        <v>46.700001</v>
      </c>
      <c r="M354" s="2">
        <f t="shared" si="11"/>
        <v>5.7757619127627668E-2</v>
      </c>
    </row>
    <row r="355" spans="1:13" x14ac:dyDescent="0.25">
      <c r="A355" t="s">
        <v>1673</v>
      </c>
      <c r="K355" s="1" t="str">
        <f t="shared" si="10"/>
        <v>2015-08-01</v>
      </c>
      <c r="L355">
        <v>43.52</v>
      </c>
      <c r="M355" s="2">
        <f t="shared" si="11"/>
        <v>-6.8094238370573046E-2</v>
      </c>
    </row>
    <row r="356" spans="1:13" x14ac:dyDescent="0.25">
      <c r="A356" t="s">
        <v>1674</v>
      </c>
      <c r="K356" s="1" t="str">
        <f t="shared" si="10"/>
        <v>2015-09-01</v>
      </c>
      <c r="L356">
        <v>44.259998000000003</v>
      </c>
      <c r="M356" s="2">
        <f t="shared" si="11"/>
        <v>1.7003630514705881E-2</v>
      </c>
    </row>
    <row r="357" spans="1:13" x14ac:dyDescent="0.25">
      <c r="A357" t="s">
        <v>1675</v>
      </c>
      <c r="K357" s="1" t="str">
        <f t="shared" si="10"/>
        <v>2015-10-01</v>
      </c>
      <c r="L357">
        <v>52.639999000000003</v>
      </c>
      <c r="M357" s="2">
        <f t="shared" si="11"/>
        <v>0.18933577448421945</v>
      </c>
    </row>
    <row r="358" spans="1:13" x14ac:dyDescent="0.25">
      <c r="A358" t="s">
        <v>1676</v>
      </c>
      <c r="K358" s="1" t="str">
        <f t="shared" si="10"/>
        <v>2015-11-01</v>
      </c>
      <c r="L358">
        <v>54.349997999999999</v>
      </c>
      <c r="M358" s="2">
        <f t="shared" si="11"/>
        <v>3.2484784051762583E-2</v>
      </c>
    </row>
    <row r="359" spans="1:13" x14ac:dyDescent="0.25">
      <c r="A359" t="s">
        <v>1677</v>
      </c>
      <c r="K359" s="1" t="str">
        <f t="shared" si="10"/>
        <v>2015-12-01</v>
      </c>
      <c r="L359">
        <v>55.48</v>
      </c>
      <c r="M359" s="2">
        <f t="shared" si="11"/>
        <v>2.0791205916879552E-2</v>
      </c>
    </row>
    <row r="360" spans="1:13" x14ac:dyDescent="0.25">
      <c r="A360" t="s">
        <v>1678</v>
      </c>
      <c r="K360" s="1" t="str">
        <f t="shared" si="10"/>
        <v>2016-01-01</v>
      </c>
      <c r="L360">
        <v>55.09</v>
      </c>
      <c r="M360" s="2">
        <f t="shared" si="11"/>
        <v>-7.0295602018743963E-3</v>
      </c>
    </row>
    <row r="361" spans="1:13" x14ac:dyDescent="0.25">
      <c r="A361" t="s">
        <v>1679</v>
      </c>
      <c r="K361" s="1" t="str">
        <f t="shared" si="10"/>
        <v>2016-02-01</v>
      </c>
      <c r="L361">
        <v>50.880001</v>
      </c>
      <c r="M361" s="2">
        <f t="shared" si="11"/>
        <v>-7.6420384824832155E-2</v>
      </c>
    </row>
    <row r="362" spans="1:13" x14ac:dyDescent="0.25">
      <c r="A362" t="s">
        <v>1680</v>
      </c>
      <c r="K362" s="1" t="str">
        <f t="shared" si="10"/>
        <v>2016-03-01</v>
      </c>
      <c r="L362">
        <v>55.23</v>
      </c>
      <c r="M362" s="2">
        <f t="shared" si="11"/>
        <v>8.5495261684448431E-2</v>
      </c>
    </row>
    <row r="363" spans="1:13" x14ac:dyDescent="0.25">
      <c r="A363" t="s">
        <v>1681</v>
      </c>
      <c r="K363" s="1" t="str">
        <f t="shared" si="10"/>
        <v>2016-04-01</v>
      </c>
      <c r="L363">
        <v>49.869999</v>
      </c>
      <c r="M363" s="2">
        <f t="shared" si="11"/>
        <v>-9.7048723519826186E-2</v>
      </c>
    </row>
    <row r="364" spans="1:13" x14ac:dyDescent="0.25">
      <c r="A364" t="s">
        <v>1682</v>
      </c>
      <c r="K364" s="1" t="str">
        <f t="shared" si="10"/>
        <v>2016-05-01</v>
      </c>
      <c r="L364">
        <v>53</v>
      </c>
      <c r="M364" s="2">
        <f t="shared" si="11"/>
        <v>6.2763205589797533E-2</v>
      </c>
    </row>
    <row r="365" spans="1:13" x14ac:dyDescent="0.25">
      <c r="A365" t="s">
        <v>1683</v>
      </c>
      <c r="K365" s="1" t="str">
        <f t="shared" si="10"/>
        <v>2016-06-01</v>
      </c>
      <c r="L365">
        <v>51.169998</v>
      </c>
      <c r="M365" s="2">
        <f t="shared" si="11"/>
        <v>-3.4528339622641568E-2</v>
      </c>
    </row>
    <row r="366" spans="1:13" x14ac:dyDescent="0.25">
      <c r="A366" t="s">
        <v>1684</v>
      </c>
      <c r="K366" s="1" t="str">
        <f t="shared" si="10"/>
        <v>2016-07-01</v>
      </c>
      <c r="L366">
        <v>56.68</v>
      </c>
      <c r="M366" s="2">
        <f t="shared" si="11"/>
        <v>0.10768032470902189</v>
      </c>
    </row>
    <row r="367" spans="1:13" x14ac:dyDescent="0.25">
      <c r="A367" t="s">
        <v>1685</v>
      </c>
      <c r="K367" s="1" t="str">
        <f t="shared" si="10"/>
        <v>2016-08-01</v>
      </c>
      <c r="L367">
        <v>57.459999000000003</v>
      </c>
      <c r="M367" s="2">
        <f t="shared" si="11"/>
        <v>1.3761450247000706E-2</v>
      </c>
    </row>
    <row r="368" spans="1:13" x14ac:dyDescent="0.25">
      <c r="A368" t="s">
        <v>1686</v>
      </c>
      <c r="K368" s="1" t="str">
        <f t="shared" si="10"/>
        <v>2016-09-01</v>
      </c>
      <c r="L368">
        <v>57.599997999999999</v>
      </c>
      <c r="M368" s="2">
        <f t="shared" si="11"/>
        <v>2.4364601885913384E-3</v>
      </c>
    </row>
    <row r="369" spans="1:13" x14ac:dyDescent="0.25">
      <c r="A369" t="s">
        <v>1687</v>
      </c>
      <c r="K369" s="1" t="str">
        <f t="shared" si="10"/>
        <v>2016-10-01</v>
      </c>
      <c r="L369">
        <v>59.919998</v>
      </c>
      <c r="M369" s="2">
        <f t="shared" si="11"/>
        <v>4.0277779176311812E-2</v>
      </c>
    </row>
    <row r="370" spans="1:13" x14ac:dyDescent="0.25">
      <c r="A370" t="s">
        <v>1688</v>
      </c>
      <c r="K370" s="1" t="str">
        <f t="shared" si="10"/>
        <v>2016-11-01</v>
      </c>
      <c r="L370">
        <v>60.259998000000003</v>
      </c>
      <c r="M370" s="2">
        <f t="shared" si="11"/>
        <v>5.6742324991398974E-3</v>
      </c>
    </row>
    <row r="371" spans="1:13" x14ac:dyDescent="0.25">
      <c r="A371" t="s">
        <v>1689</v>
      </c>
      <c r="K371" s="1" t="str">
        <f t="shared" si="10"/>
        <v>2016-12-01</v>
      </c>
      <c r="L371">
        <v>62.139999000000003</v>
      </c>
      <c r="M371" s="2">
        <f t="shared" si="11"/>
        <v>3.1198159017529425E-2</v>
      </c>
    </row>
    <row r="372" spans="1:13" x14ac:dyDescent="0.25">
      <c r="A372" t="s">
        <v>1690</v>
      </c>
      <c r="K372" s="1" t="str">
        <f t="shared" si="10"/>
        <v>2017-01-01</v>
      </c>
      <c r="L372">
        <v>64.650002000000001</v>
      </c>
      <c r="M372" s="2">
        <f t="shared" si="11"/>
        <v>4.0392710659683084E-2</v>
      </c>
    </row>
    <row r="373" spans="1:13" x14ac:dyDescent="0.25">
      <c r="A373" t="s">
        <v>1691</v>
      </c>
      <c r="K373" s="1" t="str">
        <f t="shared" si="10"/>
        <v>2017-02-01</v>
      </c>
      <c r="L373">
        <v>63.98</v>
      </c>
      <c r="M373" s="2">
        <f t="shared" si="11"/>
        <v>-1.0363526361530595E-2</v>
      </c>
    </row>
    <row r="374" spans="1:13" x14ac:dyDescent="0.25">
      <c r="A374" t="s">
        <v>1692</v>
      </c>
      <c r="K374" s="1" t="str">
        <f t="shared" si="10"/>
        <v>2017-03-01</v>
      </c>
      <c r="L374">
        <v>65.860000999999997</v>
      </c>
      <c r="M374" s="2">
        <f t="shared" si="11"/>
        <v>2.9384198186933386E-2</v>
      </c>
    </row>
    <row r="375" spans="1:13" x14ac:dyDescent="0.25">
      <c r="A375" t="s">
        <v>1693</v>
      </c>
      <c r="K375" s="1" t="str">
        <f t="shared" si="10"/>
        <v>2017-04-01</v>
      </c>
      <c r="L375">
        <v>68.459998999999996</v>
      </c>
      <c r="M375" s="2">
        <f t="shared" si="11"/>
        <v>3.9477648960254408E-2</v>
      </c>
    </row>
    <row r="376" spans="1:13" x14ac:dyDescent="0.25">
      <c r="A376" t="s">
        <v>1694</v>
      </c>
      <c r="K376" s="1" t="str">
        <f t="shared" si="10"/>
        <v>2017-05-01</v>
      </c>
      <c r="L376">
        <v>69.839995999999999</v>
      </c>
      <c r="M376" s="2">
        <f t="shared" si="11"/>
        <v>2.0157712827311158E-2</v>
      </c>
    </row>
    <row r="377" spans="1:13" x14ac:dyDescent="0.25">
      <c r="A377" t="s">
        <v>1695</v>
      </c>
      <c r="K377" s="1" t="str">
        <f t="shared" si="10"/>
        <v>2017-06-01</v>
      </c>
      <c r="L377">
        <v>68.930000000000007</v>
      </c>
      <c r="M377" s="2">
        <f t="shared" si="11"/>
        <v>-1.3029725832172101E-2</v>
      </c>
    </row>
    <row r="378" spans="1:13" x14ac:dyDescent="0.25">
      <c r="A378" t="s">
        <v>1696</v>
      </c>
      <c r="K378" s="1" t="str">
        <f t="shared" si="10"/>
        <v>2017-07-01</v>
      </c>
      <c r="L378">
        <v>72.699996999999996</v>
      </c>
      <c r="M378" s="2">
        <f t="shared" si="11"/>
        <v>5.4693123458581017E-2</v>
      </c>
    </row>
    <row r="379" spans="1:13" x14ac:dyDescent="0.25">
      <c r="A379" t="s">
        <v>1697</v>
      </c>
      <c r="K379" s="1" t="str">
        <f t="shared" si="10"/>
        <v>2017-08-01</v>
      </c>
      <c r="L379">
        <v>74.769997000000004</v>
      </c>
      <c r="M379" s="2">
        <f t="shared" si="11"/>
        <v>2.8473178616500006E-2</v>
      </c>
    </row>
    <row r="380" spans="1:13" x14ac:dyDescent="0.25">
      <c r="A380" t="s">
        <v>1698</v>
      </c>
      <c r="K380" s="1" t="str">
        <f t="shared" si="10"/>
        <v>2017-09-01</v>
      </c>
      <c r="L380">
        <v>74.489998</v>
      </c>
      <c r="M380" s="2">
        <f t="shared" si="11"/>
        <v>-3.7448042160548312E-3</v>
      </c>
    </row>
    <row r="381" spans="1:13" x14ac:dyDescent="0.25">
      <c r="A381" t="s">
        <v>1699</v>
      </c>
      <c r="K381" s="1" t="str">
        <f t="shared" si="10"/>
        <v>2017-10-01</v>
      </c>
      <c r="L381">
        <v>83.18</v>
      </c>
      <c r="M381" s="2">
        <f t="shared" si="11"/>
        <v>0.11665998433776315</v>
      </c>
    </row>
    <row r="382" spans="1:13" x14ac:dyDescent="0.25">
      <c r="A382" t="s">
        <v>1700</v>
      </c>
      <c r="K382" s="1" t="str">
        <f t="shared" si="10"/>
        <v>2017-11-01</v>
      </c>
      <c r="L382">
        <v>84.169998000000007</v>
      </c>
      <c r="M382" s="2">
        <f t="shared" si="11"/>
        <v>1.1901875450829547E-2</v>
      </c>
    </row>
    <row r="383" spans="1:13" x14ac:dyDescent="0.25">
      <c r="A383" t="s">
        <v>1701</v>
      </c>
      <c r="K383" s="1" t="str">
        <f t="shared" si="10"/>
        <v>2017-12-01</v>
      </c>
      <c r="L383">
        <v>85.540001000000004</v>
      </c>
      <c r="M383" s="2">
        <f t="shared" si="11"/>
        <v>1.627661913452827E-2</v>
      </c>
    </row>
    <row r="384" spans="1:13" x14ac:dyDescent="0.25">
      <c r="A384" t="s">
        <v>1702</v>
      </c>
      <c r="K384" s="1" t="str">
        <f t="shared" si="10"/>
        <v>2018-01-01</v>
      </c>
      <c r="L384">
        <v>95.010002</v>
      </c>
      <c r="M384" s="2">
        <f t="shared" si="11"/>
        <v>0.11070845089188142</v>
      </c>
    </row>
    <row r="385" spans="1:13" x14ac:dyDescent="0.25">
      <c r="A385" t="s">
        <v>1703</v>
      </c>
      <c r="K385" s="1" t="str">
        <f t="shared" si="10"/>
        <v>2018-02-01</v>
      </c>
      <c r="L385">
        <v>93.769997000000004</v>
      </c>
      <c r="M385" s="2">
        <f t="shared" si="11"/>
        <v>-1.3051310113644576E-2</v>
      </c>
    </row>
    <row r="386" spans="1:13" x14ac:dyDescent="0.25">
      <c r="A386" t="s">
        <v>1704</v>
      </c>
      <c r="K386" s="1" t="str">
        <f t="shared" si="10"/>
        <v>2018-03-01</v>
      </c>
      <c r="L386">
        <v>91.269997000000004</v>
      </c>
      <c r="M386" s="2">
        <f t="shared" si="11"/>
        <v>-2.6660979844117971E-2</v>
      </c>
    </row>
    <row r="387" spans="1:13" x14ac:dyDescent="0.25">
      <c r="A387" t="s">
        <v>1705</v>
      </c>
      <c r="K387" s="1" t="str">
        <f t="shared" ref="K387:K414" si="12">LEFT(A387,10)</f>
        <v>2018-04-01</v>
      </c>
      <c r="L387">
        <v>93.519997000000004</v>
      </c>
      <c r="M387" s="2">
        <f t="shared" si="11"/>
        <v>2.4652131850075643E-2</v>
      </c>
    </row>
    <row r="388" spans="1:13" x14ac:dyDescent="0.25">
      <c r="A388" t="s">
        <v>1706</v>
      </c>
      <c r="K388" s="1" t="str">
        <f t="shared" si="12"/>
        <v>2018-05-01</v>
      </c>
      <c r="L388">
        <v>98.839995999999999</v>
      </c>
      <c r="M388" s="2">
        <f t="shared" ref="M388:M414" si="13">(L388/L387)-1</f>
        <v>5.6886218676846179E-2</v>
      </c>
    </row>
    <row r="389" spans="1:13" x14ac:dyDescent="0.25">
      <c r="A389" t="s">
        <v>1707</v>
      </c>
      <c r="K389" s="1" t="str">
        <f t="shared" si="12"/>
        <v>2018-06-01</v>
      </c>
      <c r="L389">
        <v>98.610000999999997</v>
      </c>
      <c r="M389" s="2">
        <f t="shared" si="13"/>
        <v>-2.3269426275573935E-3</v>
      </c>
    </row>
    <row r="390" spans="1:13" x14ac:dyDescent="0.25">
      <c r="A390" t="s">
        <v>1708</v>
      </c>
      <c r="K390" s="1" t="str">
        <f t="shared" si="12"/>
        <v>2018-07-01</v>
      </c>
      <c r="L390">
        <v>106.08000199999999</v>
      </c>
      <c r="M390" s="2">
        <f t="shared" si="13"/>
        <v>7.5752975603356809E-2</v>
      </c>
    </row>
    <row r="391" spans="1:13" x14ac:dyDescent="0.25">
      <c r="A391" t="s">
        <v>1709</v>
      </c>
      <c r="K391" s="1" t="str">
        <f t="shared" si="12"/>
        <v>2018-08-01</v>
      </c>
      <c r="L391">
        <v>112.33000199999999</v>
      </c>
      <c r="M391" s="2">
        <f t="shared" si="13"/>
        <v>5.8917796777568032E-2</v>
      </c>
    </row>
    <row r="392" spans="1:13" x14ac:dyDescent="0.25">
      <c r="A392" t="s">
        <v>1710</v>
      </c>
      <c r="K392" s="1" t="str">
        <f t="shared" si="12"/>
        <v>2018-09-01</v>
      </c>
      <c r="L392">
        <v>114.370003</v>
      </c>
      <c r="M392" s="2">
        <f t="shared" si="13"/>
        <v>1.8160784863157087E-2</v>
      </c>
    </row>
    <row r="393" spans="1:13" x14ac:dyDescent="0.25">
      <c r="A393" t="s">
        <v>1711</v>
      </c>
      <c r="K393" s="1" t="str">
        <f t="shared" si="12"/>
        <v>2018-10-01</v>
      </c>
      <c r="L393">
        <v>106.80999799999999</v>
      </c>
      <c r="M393" s="2">
        <f t="shared" si="13"/>
        <v>-6.6101292311761206E-2</v>
      </c>
    </row>
    <row r="394" spans="1:13" x14ac:dyDescent="0.25">
      <c r="A394" t="s">
        <v>1712</v>
      </c>
      <c r="K394" s="1" t="str">
        <f t="shared" si="12"/>
        <v>2018-11-01</v>
      </c>
      <c r="L394">
        <v>110.889999</v>
      </c>
      <c r="M394" s="2">
        <f t="shared" si="13"/>
        <v>3.8198680614150105E-2</v>
      </c>
    </row>
    <row r="395" spans="1:13" x14ac:dyDescent="0.25">
      <c r="A395" t="s">
        <v>1713</v>
      </c>
      <c r="K395" s="1" t="str">
        <f t="shared" si="12"/>
        <v>2018-12-01</v>
      </c>
      <c r="L395">
        <v>101.57</v>
      </c>
      <c r="M395" s="2">
        <f t="shared" si="13"/>
        <v>-8.4047245775518586E-2</v>
      </c>
    </row>
    <row r="396" spans="1:13" x14ac:dyDescent="0.25">
      <c r="A396" t="s">
        <v>1714</v>
      </c>
      <c r="K396" s="1" t="str">
        <f t="shared" si="12"/>
        <v>2019-01-01</v>
      </c>
      <c r="L396">
        <v>104.43</v>
      </c>
      <c r="M396" s="2">
        <f t="shared" si="13"/>
        <v>2.8157920645860202E-2</v>
      </c>
    </row>
    <row r="397" spans="1:13" x14ac:dyDescent="0.25">
      <c r="A397" t="s">
        <v>1715</v>
      </c>
      <c r="K397" s="1" t="str">
        <f t="shared" si="12"/>
        <v>2019-02-01</v>
      </c>
      <c r="L397">
        <v>112.029999</v>
      </c>
      <c r="M397" s="2">
        <f t="shared" si="13"/>
        <v>7.2776012640045851E-2</v>
      </c>
    </row>
    <row r="398" spans="1:13" x14ac:dyDescent="0.25">
      <c r="A398" t="s">
        <v>1716</v>
      </c>
      <c r="K398" s="1" t="str">
        <f t="shared" si="12"/>
        <v>2019-03-01</v>
      </c>
      <c r="L398">
        <v>117.94000200000001</v>
      </c>
      <c r="M398" s="2">
        <f t="shared" si="13"/>
        <v>5.275375392978443E-2</v>
      </c>
    </row>
    <row r="399" spans="1:13" x14ac:dyDescent="0.25">
      <c r="A399" t="s">
        <v>1717</v>
      </c>
      <c r="K399" s="1" t="str">
        <f t="shared" si="12"/>
        <v>2019-04-01</v>
      </c>
      <c r="L399">
        <v>130.60000600000001</v>
      </c>
      <c r="M399" s="2">
        <f t="shared" si="13"/>
        <v>0.1073427487308336</v>
      </c>
    </row>
    <row r="400" spans="1:13" x14ac:dyDescent="0.25">
      <c r="A400" t="s">
        <v>1718</v>
      </c>
      <c r="K400" s="1" t="str">
        <f t="shared" si="12"/>
        <v>2019-05-01</v>
      </c>
      <c r="L400">
        <v>123.68</v>
      </c>
      <c r="M400" s="2">
        <f t="shared" si="13"/>
        <v>-5.2986260965409149E-2</v>
      </c>
    </row>
    <row r="401" spans="1:13" x14ac:dyDescent="0.25">
      <c r="A401" t="s">
        <v>1719</v>
      </c>
      <c r="K401" s="1" t="str">
        <f t="shared" si="12"/>
        <v>2019-06-01</v>
      </c>
      <c r="L401">
        <v>133.96000699999999</v>
      </c>
      <c r="M401" s="2">
        <f t="shared" si="13"/>
        <v>8.3117779754204202E-2</v>
      </c>
    </row>
    <row r="402" spans="1:13" x14ac:dyDescent="0.25">
      <c r="A402" t="s">
        <v>1720</v>
      </c>
      <c r="K402" s="1" t="str">
        <f t="shared" si="12"/>
        <v>2019-07-01</v>
      </c>
      <c r="L402">
        <v>136.270004</v>
      </c>
      <c r="M402" s="2">
        <f t="shared" si="13"/>
        <v>1.7243930123115092E-2</v>
      </c>
    </row>
    <row r="403" spans="1:13" x14ac:dyDescent="0.25">
      <c r="A403" t="s">
        <v>1721</v>
      </c>
      <c r="K403" s="1" t="str">
        <f t="shared" si="12"/>
        <v>2019-08-01</v>
      </c>
      <c r="L403">
        <v>137.86000100000001</v>
      </c>
      <c r="M403" s="2">
        <f t="shared" si="13"/>
        <v>1.1667989677317525E-2</v>
      </c>
    </row>
    <row r="404" spans="1:13" x14ac:dyDescent="0.25">
      <c r="A404" t="s">
        <v>1722</v>
      </c>
      <c r="K404" s="1" t="str">
        <f t="shared" si="12"/>
        <v>2019-09-01</v>
      </c>
      <c r="L404">
        <v>139.029999</v>
      </c>
      <c r="M404" s="2">
        <f t="shared" si="13"/>
        <v>8.4868561693973721E-3</v>
      </c>
    </row>
    <row r="405" spans="1:13" x14ac:dyDescent="0.25">
      <c r="A405" t="s">
        <v>1723</v>
      </c>
      <c r="K405" s="1" t="str">
        <f t="shared" si="12"/>
        <v>2019-10-01</v>
      </c>
      <c r="L405">
        <v>143.36999499999999</v>
      </c>
      <c r="M405" s="2">
        <f t="shared" si="13"/>
        <v>3.1216255708956586E-2</v>
      </c>
    </row>
    <row r="406" spans="1:13" x14ac:dyDescent="0.25">
      <c r="A406" t="s">
        <v>1724</v>
      </c>
      <c r="K406" s="1" t="str">
        <f t="shared" si="12"/>
        <v>2019-11-01</v>
      </c>
      <c r="L406">
        <v>151.38000500000001</v>
      </c>
      <c r="M406" s="2">
        <f t="shared" si="13"/>
        <v>5.5869500448821441E-2</v>
      </c>
    </row>
    <row r="407" spans="1:13" x14ac:dyDescent="0.25">
      <c r="A407" t="s">
        <v>1725</v>
      </c>
      <c r="K407" s="1" t="str">
        <f t="shared" si="12"/>
        <v>2019-12-01</v>
      </c>
      <c r="L407">
        <v>157.699997</v>
      </c>
      <c r="M407" s="2">
        <f t="shared" si="13"/>
        <v>4.1749186096274649E-2</v>
      </c>
    </row>
    <row r="408" spans="1:13" x14ac:dyDescent="0.25">
      <c r="A408" t="s">
        <v>1729</v>
      </c>
      <c r="K408" s="1" t="str">
        <f t="shared" si="12"/>
        <v>2020-01-01</v>
      </c>
      <c r="L408">
        <v>170.229996</v>
      </c>
      <c r="M408" s="2">
        <f t="shared" si="13"/>
        <v>7.9454655918604677E-2</v>
      </c>
    </row>
    <row r="409" spans="1:13" x14ac:dyDescent="0.25">
      <c r="A409" t="s">
        <v>2392</v>
      </c>
      <c r="K409" s="1" t="str">
        <f t="shared" si="12"/>
        <v>2020-02-01</v>
      </c>
      <c r="L409">
        <v>162.009995</v>
      </c>
      <c r="M409" s="2">
        <f t="shared" si="13"/>
        <v>-4.828761788844782E-2</v>
      </c>
    </row>
    <row r="410" spans="1:13" x14ac:dyDescent="0.25">
      <c r="A410" t="s">
        <v>1726</v>
      </c>
      <c r="K410" s="1" t="str">
        <f t="shared" si="12"/>
        <v>2020-03-01</v>
      </c>
      <c r="L410">
        <v>157.71000699999999</v>
      </c>
      <c r="M410" s="2">
        <f t="shared" si="13"/>
        <v>-2.6541498257561247E-2</v>
      </c>
    </row>
    <row r="411" spans="1:13" x14ac:dyDescent="0.25">
      <c r="A411" t="s">
        <v>1727</v>
      </c>
      <c r="K411" s="1" t="str">
        <f t="shared" si="12"/>
        <v>2020-04-01</v>
      </c>
      <c r="L411">
        <v>179.21000699999999</v>
      </c>
      <c r="M411" s="2">
        <f t="shared" si="13"/>
        <v>0.13632616223268568</v>
      </c>
    </row>
    <row r="412" spans="1:13" x14ac:dyDescent="0.25">
      <c r="A412" t="s">
        <v>1970</v>
      </c>
      <c r="K412" s="1" t="str">
        <f t="shared" si="12"/>
        <v>2020-05-01</v>
      </c>
      <c r="L412">
        <v>183.25</v>
      </c>
      <c r="M412" s="2">
        <f t="shared" si="13"/>
        <v>2.2543344914885299E-2</v>
      </c>
    </row>
    <row r="413" spans="1:13" x14ac:dyDescent="0.25">
      <c r="A413" t="s">
        <v>1728</v>
      </c>
      <c r="K413" s="1" t="str">
        <f t="shared" si="12"/>
        <v>2020-06-01</v>
      </c>
      <c r="L413">
        <v>203.509995</v>
      </c>
      <c r="M413" s="2">
        <f t="shared" si="13"/>
        <v>0.11055931787175988</v>
      </c>
    </row>
    <row r="414" spans="1:13" x14ac:dyDescent="0.25">
      <c r="A414" t="s">
        <v>1730</v>
      </c>
      <c r="K414" s="1" t="str">
        <f t="shared" si="12"/>
        <v>2020-07-01</v>
      </c>
      <c r="L414">
        <v>205.009995</v>
      </c>
      <c r="M414" s="2">
        <f t="shared" si="13"/>
        <v>7.3706453582291775E-3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49A6A-8A3B-49B7-8554-547278D1A7FB}">
  <sheetPr codeName="Sheet24"/>
  <dimension ref="A1:O422"/>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1972</v>
      </c>
      <c r="K2" s="1" t="str">
        <f>LEFT(A2,10)</f>
        <v>1985-07-01</v>
      </c>
      <c r="L2">
        <v>0.28348200000000001</v>
      </c>
      <c r="O2" s="2">
        <v>2.5635136582126489E-2</v>
      </c>
    </row>
    <row r="3" spans="1:15" x14ac:dyDescent="0.25">
      <c r="A3" t="s">
        <v>1973</v>
      </c>
      <c r="K3" s="1" t="str">
        <f t="shared" ref="K3:K66" si="0">LEFT(A3,10)</f>
        <v>1985-08-01</v>
      </c>
      <c r="L3">
        <v>0.26785700000000001</v>
      </c>
      <c r="M3" s="2">
        <f>(L3/L2)-1</f>
        <v>-5.5118138012290041E-2</v>
      </c>
    </row>
    <row r="4" spans="1:15" x14ac:dyDescent="0.25">
      <c r="A4" t="s">
        <v>1974</v>
      </c>
      <c r="K4" s="1" t="str">
        <f t="shared" si="0"/>
        <v>1985-09-01</v>
      </c>
      <c r="L4">
        <v>0.28125</v>
      </c>
      <c r="M4" s="2">
        <f t="shared" ref="M4:M67" si="1">(L4/L3)-1</f>
        <v>5.0000560000298622E-2</v>
      </c>
    </row>
    <row r="5" spans="1:15" x14ac:dyDescent="0.25">
      <c r="A5" t="s">
        <v>1975</v>
      </c>
      <c r="K5" s="1" t="str">
        <f t="shared" si="0"/>
        <v>1985-10-01</v>
      </c>
      <c r="L5">
        <v>0.33258900000000002</v>
      </c>
      <c r="M5" s="2">
        <f t="shared" si="1"/>
        <v>0.18253866666666685</v>
      </c>
    </row>
    <row r="6" spans="1:15" x14ac:dyDescent="0.25">
      <c r="A6" t="s">
        <v>1976</v>
      </c>
      <c r="K6" s="1" t="str">
        <f t="shared" si="0"/>
        <v>1985-11-01</v>
      </c>
      <c r="L6">
        <v>0.359375</v>
      </c>
      <c r="M6" s="2">
        <f t="shared" si="1"/>
        <v>8.0537840998950561E-2</v>
      </c>
    </row>
    <row r="7" spans="1:15" x14ac:dyDescent="0.25">
      <c r="A7" t="s">
        <v>1977</v>
      </c>
      <c r="K7" s="1" t="str">
        <f t="shared" si="0"/>
        <v>1985-12-01</v>
      </c>
      <c r="L7">
        <v>0.39285700000000001</v>
      </c>
      <c r="M7" s="2">
        <f t="shared" si="1"/>
        <v>9.3167304347826052E-2</v>
      </c>
    </row>
    <row r="8" spans="1:15" x14ac:dyDescent="0.25">
      <c r="A8" t="s">
        <v>1978</v>
      </c>
      <c r="K8" s="1" t="str">
        <f t="shared" si="0"/>
        <v>1986-01-01</v>
      </c>
      <c r="L8">
        <v>0.41294599999999998</v>
      </c>
      <c r="M8" s="2">
        <f t="shared" si="1"/>
        <v>5.1135654958419874E-2</v>
      </c>
    </row>
    <row r="9" spans="1:15" x14ac:dyDescent="0.25">
      <c r="A9" t="s">
        <v>1979</v>
      </c>
      <c r="K9" s="1" t="str">
        <f t="shared" si="0"/>
        <v>1986-02-01</v>
      </c>
      <c r="L9">
        <v>0.44642900000000002</v>
      </c>
      <c r="M9" s="2">
        <f t="shared" si="1"/>
        <v>8.1083240908012222E-2</v>
      </c>
    </row>
    <row r="10" spans="1:15" x14ac:dyDescent="0.25">
      <c r="A10" t="s">
        <v>1980</v>
      </c>
      <c r="K10" s="1" t="str">
        <f t="shared" si="0"/>
        <v>1986-03-01</v>
      </c>
      <c r="L10">
        <v>0.50446400000000002</v>
      </c>
      <c r="M10" s="2">
        <f t="shared" si="1"/>
        <v>0.12999827520165574</v>
      </c>
    </row>
    <row r="11" spans="1:15" x14ac:dyDescent="0.25">
      <c r="A11" t="s">
        <v>1981</v>
      </c>
      <c r="K11" s="1" t="str">
        <f t="shared" si="0"/>
        <v>1986-04-01</v>
      </c>
      <c r="L11">
        <v>0.54017899999999996</v>
      </c>
      <c r="M11" s="2">
        <f t="shared" si="1"/>
        <v>7.0797916204129452E-2</v>
      </c>
    </row>
    <row r="12" spans="1:15" x14ac:dyDescent="0.25">
      <c r="A12" t="s">
        <v>1982</v>
      </c>
      <c r="K12" s="1" t="str">
        <f t="shared" si="0"/>
        <v>1986-05-01</v>
      </c>
      <c r="L12">
        <v>0.66071400000000002</v>
      </c>
      <c r="M12" s="2">
        <f t="shared" si="1"/>
        <v>0.22313899651782099</v>
      </c>
    </row>
    <row r="13" spans="1:15" x14ac:dyDescent="0.25">
      <c r="A13" t="s">
        <v>1983</v>
      </c>
      <c r="K13" s="1" t="str">
        <f t="shared" si="0"/>
        <v>1986-06-01</v>
      </c>
      <c r="L13">
        <v>0.640625</v>
      </c>
      <c r="M13" s="2">
        <f t="shared" si="1"/>
        <v>-3.0404986121075117E-2</v>
      </c>
    </row>
    <row r="14" spans="1:15" x14ac:dyDescent="0.25">
      <c r="A14" t="s">
        <v>1984</v>
      </c>
      <c r="K14" s="1" t="str">
        <f t="shared" si="0"/>
        <v>1986-07-01</v>
      </c>
      <c r="L14">
        <v>0.55803599999999998</v>
      </c>
      <c r="M14" s="2">
        <f t="shared" si="1"/>
        <v>-0.12891941463414636</v>
      </c>
    </row>
    <row r="15" spans="1:15" x14ac:dyDescent="0.25">
      <c r="A15" t="s">
        <v>1985</v>
      </c>
      <c r="K15" s="1" t="str">
        <f t="shared" si="0"/>
        <v>1986-08-01</v>
      </c>
      <c r="L15">
        <v>0.66071400000000002</v>
      </c>
      <c r="M15" s="2">
        <f t="shared" si="1"/>
        <v>0.18399888179257262</v>
      </c>
    </row>
    <row r="16" spans="1:15" x14ac:dyDescent="0.25">
      <c r="A16" t="s">
        <v>1986</v>
      </c>
      <c r="K16" s="1" t="str">
        <f t="shared" si="0"/>
        <v>1986-09-01</v>
      </c>
      <c r="L16">
        <v>0.59821400000000002</v>
      </c>
      <c r="M16" s="2">
        <f t="shared" si="1"/>
        <v>-9.459463550038294E-2</v>
      </c>
    </row>
    <row r="17" spans="1:13" x14ac:dyDescent="0.25">
      <c r="A17" t="s">
        <v>1987</v>
      </c>
      <c r="K17" s="1" t="str">
        <f t="shared" si="0"/>
        <v>1986-10-01</v>
      </c>
      <c r="L17">
        <v>0.61830399999999996</v>
      </c>
      <c r="M17" s="2">
        <f t="shared" si="1"/>
        <v>3.3583299621874341E-2</v>
      </c>
    </row>
    <row r="18" spans="1:13" x14ac:dyDescent="0.25">
      <c r="A18" t="s">
        <v>1988</v>
      </c>
      <c r="K18" s="1" t="str">
        <f t="shared" si="0"/>
        <v>1986-11-01</v>
      </c>
      <c r="L18">
        <v>0.71428599999999998</v>
      </c>
      <c r="M18" s="2">
        <f t="shared" si="1"/>
        <v>0.15523431839354096</v>
      </c>
    </row>
    <row r="19" spans="1:13" x14ac:dyDescent="0.25">
      <c r="A19" t="s">
        <v>1989</v>
      </c>
      <c r="K19" s="1" t="str">
        <f t="shared" si="0"/>
        <v>1986-12-01</v>
      </c>
      <c r="L19">
        <v>0.72321400000000002</v>
      </c>
      <c r="M19" s="2">
        <f t="shared" si="1"/>
        <v>1.249919500032215E-2</v>
      </c>
    </row>
    <row r="20" spans="1:13" x14ac:dyDescent="0.25">
      <c r="A20" t="s">
        <v>1990</v>
      </c>
      <c r="K20" s="1" t="str">
        <f t="shared" si="0"/>
        <v>1987-01-01</v>
      </c>
      <c r="L20">
        <v>0.99107100000000004</v>
      </c>
      <c r="M20" s="2">
        <f t="shared" si="1"/>
        <v>0.37037031915864471</v>
      </c>
    </row>
    <row r="21" spans="1:13" x14ac:dyDescent="0.25">
      <c r="A21" t="s">
        <v>1991</v>
      </c>
      <c r="K21" s="1" t="str">
        <f t="shared" si="0"/>
        <v>1987-02-01</v>
      </c>
      <c r="L21">
        <v>1.25</v>
      </c>
      <c r="M21" s="2">
        <f t="shared" si="1"/>
        <v>0.26126180667177223</v>
      </c>
    </row>
    <row r="22" spans="1:13" x14ac:dyDescent="0.25">
      <c r="A22" t="s">
        <v>1992</v>
      </c>
      <c r="K22" s="1" t="str">
        <f t="shared" si="0"/>
        <v>1987-03-01</v>
      </c>
      <c r="L22">
        <v>1.151786</v>
      </c>
      <c r="M22" s="2">
        <f t="shared" si="1"/>
        <v>-7.8571200000000063E-2</v>
      </c>
    </row>
    <row r="23" spans="1:13" x14ac:dyDescent="0.25">
      <c r="A23" t="s">
        <v>1993</v>
      </c>
      <c r="K23" s="1" t="str">
        <f t="shared" si="0"/>
        <v>1987-04-01</v>
      </c>
      <c r="L23">
        <v>1.415179</v>
      </c>
      <c r="M23" s="2">
        <f t="shared" si="1"/>
        <v>0.22868223784626651</v>
      </c>
    </row>
    <row r="24" spans="1:13" x14ac:dyDescent="0.25">
      <c r="A24" t="s">
        <v>1994</v>
      </c>
      <c r="K24" s="1" t="str">
        <f t="shared" si="0"/>
        <v>1987-05-01</v>
      </c>
      <c r="L24">
        <v>1.410714</v>
      </c>
      <c r="M24" s="2">
        <f t="shared" si="1"/>
        <v>-3.1550779088722614E-3</v>
      </c>
    </row>
    <row r="25" spans="1:13" x14ac:dyDescent="0.25">
      <c r="A25" t="s">
        <v>1995</v>
      </c>
      <c r="K25" s="1" t="str">
        <f t="shared" si="0"/>
        <v>1987-06-01</v>
      </c>
      <c r="L25">
        <v>1.446429</v>
      </c>
      <c r="M25" s="2">
        <f t="shared" si="1"/>
        <v>2.5316967152803516E-2</v>
      </c>
    </row>
    <row r="26" spans="1:13" x14ac:dyDescent="0.25">
      <c r="A26" t="s">
        <v>1996</v>
      </c>
      <c r="K26" s="1" t="str">
        <f t="shared" si="0"/>
        <v>1987-07-01</v>
      </c>
      <c r="L26">
        <v>1.473214</v>
      </c>
      <c r="M26" s="2">
        <f t="shared" si="1"/>
        <v>1.851801920453755E-2</v>
      </c>
    </row>
    <row r="27" spans="1:13" x14ac:dyDescent="0.25">
      <c r="A27" t="s">
        <v>1997</v>
      </c>
      <c r="K27" s="1" t="str">
        <f t="shared" si="0"/>
        <v>1987-08-01</v>
      </c>
      <c r="L27">
        <v>1.928571</v>
      </c>
      <c r="M27" s="2">
        <f t="shared" si="1"/>
        <v>0.30909087206610852</v>
      </c>
    </row>
    <row r="28" spans="1:13" x14ac:dyDescent="0.25">
      <c r="A28" t="s">
        <v>1998</v>
      </c>
      <c r="K28" s="1" t="str">
        <f t="shared" si="0"/>
        <v>1987-09-01</v>
      </c>
      <c r="L28">
        <v>2.0178569999999998</v>
      </c>
      <c r="M28" s="2">
        <f t="shared" si="1"/>
        <v>4.6296454732545289E-2</v>
      </c>
    </row>
    <row r="29" spans="1:13" x14ac:dyDescent="0.25">
      <c r="A29" t="s">
        <v>1999</v>
      </c>
      <c r="K29" s="1" t="str">
        <f t="shared" si="0"/>
        <v>1987-10-01</v>
      </c>
      <c r="L29">
        <v>1.379464</v>
      </c>
      <c r="M29" s="2">
        <f t="shared" si="1"/>
        <v>-0.31637177461039101</v>
      </c>
    </row>
    <row r="30" spans="1:13" x14ac:dyDescent="0.25">
      <c r="A30" t="s">
        <v>2000</v>
      </c>
      <c r="K30" s="1" t="str">
        <f t="shared" si="0"/>
        <v>1987-11-01</v>
      </c>
      <c r="L30">
        <v>1.178571</v>
      </c>
      <c r="M30" s="2">
        <f t="shared" si="1"/>
        <v>-0.14563120168413235</v>
      </c>
    </row>
    <row r="31" spans="1:13" x14ac:dyDescent="0.25">
      <c r="A31" t="s">
        <v>2001</v>
      </c>
      <c r="K31" s="1" t="str">
        <f t="shared" si="0"/>
        <v>1987-12-01</v>
      </c>
      <c r="L31">
        <v>1.5</v>
      </c>
      <c r="M31" s="2">
        <f t="shared" si="1"/>
        <v>0.2727277355373583</v>
      </c>
    </row>
    <row r="32" spans="1:13" x14ac:dyDescent="0.25">
      <c r="A32" t="s">
        <v>2002</v>
      </c>
      <c r="K32" s="1" t="str">
        <f t="shared" si="0"/>
        <v>1988-01-01</v>
      </c>
      <c r="L32">
        <v>1.482143</v>
      </c>
      <c r="M32" s="2">
        <f t="shared" si="1"/>
        <v>-1.1904666666666675E-2</v>
      </c>
    </row>
    <row r="33" spans="1:13" x14ac:dyDescent="0.25">
      <c r="A33" t="s">
        <v>2003</v>
      </c>
      <c r="K33" s="1" t="str">
        <f t="shared" si="0"/>
        <v>1988-02-01</v>
      </c>
      <c r="L33">
        <v>1.535714</v>
      </c>
      <c r="M33" s="2">
        <f t="shared" si="1"/>
        <v>3.6144285672840004E-2</v>
      </c>
    </row>
    <row r="34" spans="1:13" x14ac:dyDescent="0.25">
      <c r="A34" t="s">
        <v>2004</v>
      </c>
      <c r="K34" s="1" t="str">
        <f t="shared" si="0"/>
        <v>1988-03-01</v>
      </c>
      <c r="L34">
        <v>1.428571</v>
      </c>
      <c r="M34" s="2">
        <f t="shared" si="1"/>
        <v>-6.9767547863729851E-2</v>
      </c>
    </row>
    <row r="35" spans="1:13" x14ac:dyDescent="0.25">
      <c r="A35" t="s">
        <v>2005</v>
      </c>
      <c r="K35" s="1" t="str">
        <f t="shared" si="0"/>
        <v>1988-04-01</v>
      </c>
      <c r="L35">
        <v>1.464286</v>
      </c>
      <c r="M35" s="2">
        <f t="shared" si="1"/>
        <v>2.5000507500152258E-2</v>
      </c>
    </row>
    <row r="36" spans="1:13" x14ac:dyDescent="0.25">
      <c r="A36" t="s">
        <v>2006</v>
      </c>
      <c r="K36" s="1" t="str">
        <f t="shared" si="0"/>
        <v>1988-05-01</v>
      </c>
      <c r="L36">
        <v>1.482143</v>
      </c>
      <c r="M36" s="2">
        <f t="shared" si="1"/>
        <v>1.2195022010727419E-2</v>
      </c>
    </row>
    <row r="37" spans="1:13" x14ac:dyDescent="0.25">
      <c r="A37" t="s">
        <v>2007</v>
      </c>
      <c r="K37" s="1" t="str">
        <f t="shared" si="0"/>
        <v>1988-06-01</v>
      </c>
      <c r="L37">
        <v>1.651786</v>
      </c>
      <c r="M37" s="2">
        <f t="shared" si="1"/>
        <v>0.11445791667875493</v>
      </c>
    </row>
    <row r="38" spans="1:13" x14ac:dyDescent="0.25">
      <c r="A38" t="s">
        <v>2008</v>
      </c>
      <c r="K38" s="1" t="str">
        <f t="shared" si="0"/>
        <v>1988-07-01</v>
      </c>
      <c r="L38">
        <v>1.584821</v>
      </c>
      <c r="M38" s="2">
        <f t="shared" si="1"/>
        <v>-4.0540965960481512E-2</v>
      </c>
    </row>
    <row r="39" spans="1:13" x14ac:dyDescent="0.25">
      <c r="A39" t="s">
        <v>2009</v>
      </c>
      <c r="K39" s="1" t="str">
        <f t="shared" si="0"/>
        <v>1988-08-01</v>
      </c>
      <c r="L39">
        <v>1.424107</v>
      </c>
      <c r="M39" s="2">
        <f t="shared" si="1"/>
        <v>-0.10140829784562422</v>
      </c>
    </row>
    <row r="40" spans="1:13" x14ac:dyDescent="0.25">
      <c r="A40" t="s">
        <v>2010</v>
      </c>
      <c r="K40" s="1" t="str">
        <f t="shared" si="0"/>
        <v>1988-09-01</v>
      </c>
      <c r="L40">
        <v>1.544643</v>
      </c>
      <c r="M40" s="2">
        <f t="shared" si="1"/>
        <v>8.4639707550064669E-2</v>
      </c>
    </row>
    <row r="41" spans="1:13" x14ac:dyDescent="0.25">
      <c r="A41" t="s">
        <v>2011</v>
      </c>
      <c r="K41" s="1" t="str">
        <f t="shared" si="0"/>
        <v>1988-10-01</v>
      </c>
      <c r="L41">
        <v>1.379464</v>
      </c>
      <c r="M41" s="2">
        <f t="shared" si="1"/>
        <v>-0.10693668375152054</v>
      </c>
    </row>
    <row r="42" spans="1:13" x14ac:dyDescent="0.25">
      <c r="A42" t="s">
        <v>2012</v>
      </c>
      <c r="K42" s="1" t="str">
        <f t="shared" si="0"/>
        <v>1988-11-01</v>
      </c>
      <c r="L42">
        <v>1.34375</v>
      </c>
      <c r="M42" s="2">
        <f t="shared" si="1"/>
        <v>-2.5889765880080962E-2</v>
      </c>
    </row>
    <row r="43" spans="1:13" x14ac:dyDescent="0.25">
      <c r="A43" t="s">
        <v>2013</v>
      </c>
      <c r="K43" s="1" t="str">
        <f t="shared" si="0"/>
        <v>1988-12-01</v>
      </c>
      <c r="L43">
        <v>1.4375</v>
      </c>
      <c r="M43" s="2">
        <f t="shared" si="1"/>
        <v>6.9767441860465018E-2</v>
      </c>
    </row>
    <row r="44" spans="1:13" x14ac:dyDescent="0.25">
      <c r="A44" t="s">
        <v>2014</v>
      </c>
      <c r="K44" s="1" t="str">
        <f t="shared" si="0"/>
        <v>1989-01-01</v>
      </c>
      <c r="L44">
        <v>1.348214</v>
      </c>
      <c r="M44" s="2">
        <f t="shared" si="1"/>
        <v>-6.2111999999999945E-2</v>
      </c>
    </row>
    <row r="45" spans="1:13" x14ac:dyDescent="0.25">
      <c r="A45" t="s">
        <v>2015</v>
      </c>
      <c r="K45" s="1" t="str">
        <f t="shared" si="0"/>
        <v>1989-02-01</v>
      </c>
      <c r="L45">
        <v>1.294643</v>
      </c>
      <c r="M45" s="2">
        <f t="shared" si="1"/>
        <v>-3.9734789877571397E-2</v>
      </c>
    </row>
    <row r="46" spans="1:13" x14ac:dyDescent="0.25">
      <c r="A46" t="s">
        <v>2016</v>
      </c>
      <c r="K46" s="1" t="str">
        <f t="shared" si="0"/>
        <v>1989-03-01</v>
      </c>
      <c r="L46">
        <v>1.272321</v>
      </c>
      <c r="M46" s="2">
        <f t="shared" si="1"/>
        <v>-1.724181878710962E-2</v>
      </c>
    </row>
    <row r="47" spans="1:13" x14ac:dyDescent="0.25">
      <c r="A47" t="s">
        <v>2017</v>
      </c>
      <c r="K47" s="1" t="str">
        <f t="shared" si="0"/>
        <v>1989-04-01</v>
      </c>
      <c r="L47">
        <v>1.392857</v>
      </c>
      <c r="M47" s="2">
        <f t="shared" si="1"/>
        <v>9.4737098578110412E-2</v>
      </c>
    </row>
    <row r="48" spans="1:13" x14ac:dyDescent="0.25">
      <c r="A48" t="s">
        <v>2018</v>
      </c>
      <c r="K48" s="1" t="str">
        <f t="shared" si="0"/>
        <v>1989-05-01</v>
      </c>
      <c r="L48">
        <v>1.705357</v>
      </c>
      <c r="M48" s="2">
        <f t="shared" si="1"/>
        <v>0.22435899737015363</v>
      </c>
    </row>
    <row r="49" spans="1:13" x14ac:dyDescent="0.25">
      <c r="A49" t="s">
        <v>2019</v>
      </c>
      <c r="K49" s="1" t="str">
        <f t="shared" si="0"/>
        <v>1989-06-01</v>
      </c>
      <c r="L49">
        <v>1.473214</v>
      </c>
      <c r="M49" s="2">
        <f t="shared" si="1"/>
        <v>-0.13612574962309942</v>
      </c>
    </row>
    <row r="50" spans="1:13" x14ac:dyDescent="0.25">
      <c r="A50" t="s">
        <v>2020</v>
      </c>
      <c r="K50" s="1" t="str">
        <f t="shared" si="0"/>
        <v>1989-07-01</v>
      </c>
      <c r="L50">
        <v>1.419643</v>
      </c>
      <c r="M50" s="2">
        <f t="shared" si="1"/>
        <v>-3.6363352506831981E-2</v>
      </c>
    </row>
    <row r="51" spans="1:13" x14ac:dyDescent="0.25">
      <c r="A51" t="s">
        <v>2021</v>
      </c>
      <c r="K51" s="1" t="str">
        <f t="shared" si="0"/>
        <v>1989-08-01</v>
      </c>
      <c r="L51">
        <v>1.589286</v>
      </c>
      <c r="M51" s="2">
        <f t="shared" si="1"/>
        <v>0.11949694394999311</v>
      </c>
    </row>
    <row r="52" spans="1:13" x14ac:dyDescent="0.25">
      <c r="A52" t="s">
        <v>2022</v>
      </c>
      <c r="K52" s="1" t="str">
        <f t="shared" si="0"/>
        <v>1989-09-01</v>
      </c>
      <c r="L52">
        <v>1.589286</v>
      </c>
      <c r="M52" s="2">
        <f t="shared" si="1"/>
        <v>0</v>
      </c>
    </row>
    <row r="53" spans="1:13" x14ac:dyDescent="0.25">
      <c r="A53" t="s">
        <v>2023</v>
      </c>
      <c r="K53" s="1" t="str">
        <f t="shared" si="0"/>
        <v>1989-10-01</v>
      </c>
      <c r="L53">
        <v>1.660714</v>
      </c>
      <c r="M53" s="2">
        <f t="shared" si="1"/>
        <v>4.494345259443544E-2</v>
      </c>
    </row>
    <row r="54" spans="1:13" x14ac:dyDescent="0.25">
      <c r="A54" t="s">
        <v>2024</v>
      </c>
      <c r="K54" s="1" t="str">
        <f t="shared" si="0"/>
        <v>1989-11-01</v>
      </c>
      <c r="L54">
        <v>1.580357</v>
      </c>
      <c r="M54" s="2">
        <f t="shared" si="1"/>
        <v>-4.8387019077336668E-2</v>
      </c>
    </row>
    <row r="55" spans="1:13" x14ac:dyDescent="0.25">
      <c r="A55" t="s">
        <v>2025</v>
      </c>
      <c r="K55" s="1" t="str">
        <f t="shared" si="0"/>
        <v>1989-12-01</v>
      </c>
      <c r="L55">
        <v>1.258929</v>
      </c>
      <c r="M55" s="2">
        <f t="shared" si="1"/>
        <v>-0.20338948731204409</v>
      </c>
    </row>
    <row r="56" spans="1:13" x14ac:dyDescent="0.25">
      <c r="A56" t="s">
        <v>2026</v>
      </c>
      <c r="K56" s="1" t="str">
        <f t="shared" si="0"/>
        <v>1990-01-01</v>
      </c>
      <c r="L56">
        <v>1.214286</v>
      </c>
      <c r="M56" s="2">
        <f t="shared" si="1"/>
        <v>-3.546109431111677E-2</v>
      </c>
    </row>
    <row r="57" spans="1:13" x14ac:dyDescent="0.25">
      <c r="A57" t="s">
        <v>2027</v>
      </c>
      <c r="K57" s="1" t="str">
        <f t="shared" si="0"/>
        <v>1990-02-01</v>
      </c>
      <c r="L57">
        <v>1.214286</v>
      </c>
      <c r="M57" s="2">
        <f t="shared" si="1"/>
        <v>0</v>
      </c>
    </row>
    <row r="58" spans="1:13" x14ac:dyDescent="0.25">
      <c r="A58" t="s">
        <v>2028</v>
      </c>
      <c r="K58" s="1" t="str">
        <f t="shared" si="0"/>
        <v>1990-03-01</v>
      </c>
      <c r="L58">
        <v>1.4375</v>
      </c>
      <c r="M58" s="2">
        <f t="shared" si="1"/>
        <v>0.18382325086511742</v>
      </c>
    </row>
    <row r="59" spans="1:13" x14ac:dyDescent="0.25">
      <c r="A59" t="s">
        <v>2029</v>
      </c>
      <c r="K59" s="1" t="str">
        <f t="shared" si="0"/>
        <v>1990-04-01</v>
      </c>
      <c r="L59">
        <v>1.40625</v>
      </c>
      <c r="M59" s="2">
        <f t="shared" si="1"/>
        <v>-2.1739130434782594E-2</v>
      </c>
    </row>
    <row r="60" spans="1:13" x14ac:dyDescent="0.25">
      <c r="A60" t="s">
        <v>2030</v>
      </c>
      <c r="K60" s="1" t="str">
        <f t="shared" si="0"/>
        <v>1990-05-01</v>
      </c>
      <c r="L60">
        <v>1.473214</v>
      </c>
      <c r="M60" s="2">
        <f t="shared" si="1"/>
        <v>4.761884444444453E-2</v>
      </c>
    </row>
    <row r="61" spans="1:13" x14ac:dyDescent="0.25">
      <c r="A61" t="s">
        <v>2031</v>
      </c>
      <c r="K61" s="1" t="str">
        <f t="shared" si="0"/>
        <v>1990-06-01</v>
      </c>
      <c r="L61">
        <v>1.598214</v>
      </c>
      <c r="M61" s="2">
        <f t="shared" si="1"/>
        <v>8.4848501303951718E-2</v>
      </c>
    </row>
    <row r="62" spans="1:13" x14ac:dyDescent="0.25">
      <c r="A62" t="s">
        <v>2032</v>
      </c>
      <c r="K62" s="1" t="str">
        <f t="shared" si="0"/>
        <v>1990-07-01</v>
      </c>
      <c r="L62">
        <v>1.5</v>
      </c>
      <c r="M62" s="2">
        <f t="shared" si="1"/>
        <v>-6.1452346181425033E-2</v>
      </c>
    </row>
    <row r="63" spans="1:13" x14ac:dyDescent="0.25">
      <c r="A63" t="s">
        <v>2033</v>
      </c>
      <c r="K63" s="1" t="str">
        <f t="shared" si="0"/>
        <v>1990-08-01</v>
      </c>
      <c r="L63">
        <v>1.321429</v>
      </c>
      <c r="M63" s="2">
        <f t="shared" si="1"/>
        <v>-0.11904733333333339</v>
      </c>
    </row>
    <row r="64" spans="1:13" x14ac:dyDescent="0.25">
      <c r="A64" t="s">
        <v>2034</v>
      </c>
      <c r="K64" s="1" t="str">
        <f t="shared" si="0"/>
        <v>1990-09-01</v>
      </c>
      <c r="L64">
        <v>1.035714</v>
      </c>
      <c r="M64" s="2">
        <f t="shared" si="1"/>
        <v>-0.21621668663242588</v>
      </c>
    </row>
    <row r="65" spans="1:13" x14ac:dyDescent="0.25">
      <c r="A65" t="s">
        <v>2035</v>
      </c>
      <c r="K65" s="1" t="str">
        <f t="shared" si="0"/>
        <v>1990-10-01</v>
      </c>
      <c r="L65">
        <v>1.098214</v>
      </c>
      <c r="M65" s="2">
        <f t="shared" si="1"/>
        <v>6.0344844233060524E-2</v>
      </c>
    </row>
    <row r="66" spans="1:13" x14ac:dyDescent="0.25">
      <c r="A66" t="s">
        <v>2036</v>
      </c>
      <c r="K66" s="1" t="str">
        <f t="shared" si="0"/>
        <v>1990-11-01</v>
      </c>
      <c r="L66">
        <v>1.3125</v>
      </c>
      <c r="M66" s="2">
        <f t="shared" si="1"/>
        <v>0.19512226214562922</v>
      </c>
    </row>
    <row r="67" spans="1:13" x14ac:dyDescent="0.25">
      <c r="A67" t="s">
        <v>2037</v>
      </c>
      <c r="K67" s="1" t="str">
        <f t="shared" ref="K67:K130" si="2">LEFT(A67,10)</f>
        <v>1990-12-01</v>
      </c>
      <c r="L67">
        <v>1.535714</v>
      </c>
      <c r="M67" s="2">
        <f t="shared" si="1"/>
        <v>0.17006780952380951</v>
      </c>
    </row>
    <row r="68" spans="1:13" x14ac:dyDescent="0.25">
      <c r="A68" t="s">
        <v>2038</v>
      </c>
      <c r="K68" s="1" t="str">
        <f t="shared" si="2"/>
        <v>1991-01-01</v>
      </c>
      <c r="L68">
        <v>1.982143</v>
      </c>
      <c r="M68" s="2">
        <f t="shared" ref="M68:M131" si="3">(L68/L67)-1</f>
        <v>0.29069800757172226</v>
      </c>
    </row>
    <row r="69" spans="1:13" x14ac:dyDescent="0.25">
      <c r="A69" t="s">
        <v>2039</v>
      </c>
      <c r="K69" s="1" t="str">
        <f t="shared" si="2"/>
        <v>1991-02-01</v>
      </c>
      <c r="L69">
        <v>2.0446430000000002</v>
      </c>
      <c r="M69" s="2">
        <f t="shared" si="3"/>
        <v>3.1531529258989055E-2</v>
      </c>
    </row>
    <row r="70" spans="1:13" x14ac:dyDescent="0.25">
      <c r="A70" t="s">
        <v>2040</v>
      </c>
      <c r="K70" s="1" t="str">
        <f t="shared" si="2"/>
        <v>1991-03-01</v>
      </c>
      <c r="L70">
        <v>2.4285709999999998</v>
      </c>
      <c r="M70" s="2">
        <f t="shared" si="3"/>
        <v>0.18777263316872417</v>
      </c>
    </row>
    <row r="71" spans="1:13" x14ac:dyDescent="0.25">
      <c r="A71" t="s">
        <v>2041</v>
      </c>
      <c r="K71" s="1" t="str">
        <f t="shared" si="2"/>
        <v>1991-04-01</v>
      </c>
      <c r="L71">
        <v>1.964286</v>
      </c>
      <c r="M71" s="2">
        <f t="shared" si="3"/>
        <v>-0.19117621020756648</v>
      </c>
    </row>
    <row r="72" spans="1:13" x14ac:dyDescent="0.25">
      <c r="A72" t="s">
        <v>2042</v>
      </c>
      <c r="K72" s="1" t="str">
        <f t="shared" si="2"/>
        <v>1991-05-01</v>
      </c>
      <c r="L72">
        <v>1.678571</v>
      </c>
      <c r="M72" s="2">
        <f t="shared" si="3"/>
        <v>-0.14545488793383443</v>
      </c>
    </row>
    <row r="73" spans="1:13" x14ac:dyDescent="0.25">
      <c r="A73" t="s">
        <v>2043</v>
      </c>
      <c r="K73" s="1" t="str">
        <f t="shared" si="2"/>
        <v>1991-06-01</v>
      </c>
      <c r="L73">
        <v>1.482143</v>
      </c>
      <c r="M73" s="2">
        <f t="shared" si="3"/>
        <v>-0.11702096604790624</v>
      </c>
    </row>
    <row r="74" spans="1:13" x14ac:dyDescent="0.25">
      <c r="A74" t="s">
        <v>2044</v>
      </c>
      <c r="K74" s="1" t="str">
        <f t="shared" si="2"/>
        <v>1991-07-01</v>
      </c>
      <c r="L74">
        <v>1.651786</v>
      </c>
      <c r="M74" s="2">
        <f t="shared" si="3"/>
        <v>0.11445791667875493</v>
      </c>
    </row>
    <row r="75" spans="1:13" x14ac:dyDescent="0.25">
      <c r="A75" t="s">
        <v>2045</v>
      </c>
      <c r="K75" s="1" t="str">
        <f t="shared" si="2"/>
        <v>1991-08-01</v>
      </c>
      <c r="L75">
        <v>1.892857</v>
      </c>
      <c r="M75" s="2">
        <f t="shared" si="3"/>
        <v>0.1459456612418315</v>
      </c>
    </row>
    <row r="76" spans="1:13" x14ac:dyDescent="0.25">
      <c r="A76" t="s">
        <v>2046</v>
      </c>
      <c r="K76" s="1" t="str">
        <f t="shared" si="2"/>
        <v>1991-09-01</v>
      </c>
      <c r="L76">
        <v>1.767857</v>
      </c>
      <c r="M76" s="2">
        <f t="shared" si="3"/>
        <v>-6.603774083303704E-2</v>
      </c>
    </row>
    <row r="77" spans="1:13" x14ac:dyDescent="0.25">
      <c r="A77" t="s">
        <v>2047</v>
      </c>
      <c r="K77" s="1" t="str">
        <f t="shared" si="2"/>
        <v>1991-10-01</v>
      </c>
      <c r="L77">
        <v>1.839286</v>
      </c>
      <c r="M77" s="2">
        <f t="shared" si="3"/>
        <v>4.0404286093275621E-2</v>
      </c>
    </row>
    <row r="78" spans="1:13" x14ac:dyDescent="0.25">
      <c r="A78" t="s">
        <v>2048</v>
      </c>
      <c r="K78" s="1" t="str">
        <f t="shared" si="2"/>
        <v>1991-11-01</v>
      </c>
      <c r="L78">
        <v>1.8125</v>
      </c>
      <c r="M78" s="2">
        <f t="shared" si="3"/>
        <v>-1.4563259873668355E-2</v>
      </c>
    </row>
    <row r="79" spans="1:13" x14ac:dyDescent="0.25">
      <c r="A79" t="s">
        <v>2049</v>
      </c>
      <c r="K79" s="1" t="str">
        <f t="shared" si="2"/>
        <v>1991-12-01</v>
      </c>
      <c r="L79">
        <v>2.0133930000000002</v>
      </c>
      <c r="M79" s="2">
        <f t="shared" si="3"/>
        <v>0.11083751724137936</v>
      </c>
    </row>
    <row r="80" spans="1:13" x14ac:dyDescent="0.25">
      <c r="A80" t="s">
        <v>2050</v>
      </c>
      <c r="K80" s="1" t="str">
        <f t="shared" si="2"/>
        <v>1992-01-01</v>
      </c>
      <c r="L80">
        <v>2.3125</v>
      </c>
      <c r="M80" s="2">
        <f t="shared" si="3"/>
        <v>0.14855867682067037</v>
      </c>
    </row>
    <row r="81" spans="1:13" x14ac:dyDescent="0.25">
      <c r="A81" t="s">
        <v>2051</v>
      </c>
      <c r="K81" s="1" t="str">
        <f t="shared" si="2"/>
        <v>1992-02-01</v>
      </c>
      <c r="L81">
        <v>2.410714</v>
      </c>
      <c r="M81" s="2">
        <f t="shared" si="3"/>
        <v>4.2470918918918965E-2</v>
      </c>
    </row>
    <row r="82" spans="1:13" x14ac:dyDescent="0.25">
      <c r="A82" t="s">
        <v>2052</v>
      </c>
      <c r="K82" s="1" t="str">
        <f t="shared" si="2"/>
        <v>1992-03-01</v>
      </c>
      <c r="L82">
        <v>2.0803569999999998</v>
      </c>
      <c r="M82" s="2">
        <f t="shared" si="3"/>
        <v>-0.13703699401919933</v>
      </c>
    </row>
    <row r="83" spans="1:13" x14ac:dyDescent="0.25">
      <c r="A83" t="s">
        <v>2053</v>
      </c>
      <c r="K83" s="1" t="str">
        <f t="shared" si="2"/>
        <v>1992-04-01</v>
      </c>
      <c r="L83">
        <v>2.1473209999999998</v>
      </c>
      <c r="M83" s="2">
        <f t="shared" si="3"/>
        <v>3.2188706073044138E-2</v>
      </c>
    </row>
    <row r="84" spans="1:13" x14ac:dyDescent="0.25">
      <c r="A84" t="s">
        <v>2054</v>
      </c>
      <c r="K84" s="1" t="str">
        <f t="shared" si="2"/>
        <v>1992-05-01</v>
      </c>
      <c r="L84">
        <v>2.1339290000000002</v>
      </c>
      <c r="M84" s="2">
        <f t="shared" si="3"/>
        <v>-6.23660831333539E-3</v>
      </c>
    </row>
    <row r="85" spans="1:13" x14ac:dyDescent="0.25">
      <c r="A85" t="s">
        <v>2055</v>
      </c>
      <c r="K85" s="1" t="str">
        <f t="shared" si="2"/>
        <v>1992-06-01</v>
      </c>
      <c r="L85">
        <v>1.714286</v>
      </c>
      <c r="M85" s="2">
        <f t="shared" si="3"/>
        <v>-0.1966527471157663</v>
      </c>
    </row>
    <row r="86" spans="1:13" x14ac:dyDescent="0.25">
      <c r="A86" t="s">
        <v>2056</v>
      </c>
      <c r="K86" s="1" t="str">
        <f t="shared" si="2"/>
        <v>1992-07-01</v>
      </c>
      <c r="L86">
        <v>1.669643</v>
      </c>
      <c r="M86" s="2">
        <f t="shared" si="3"/>
        <v>-2.604174565970907E-2</v>
      </c>
    </row>
    <row r="87" spans="1:13" x14ac:dyDescent="0.25">
      <c r="A87" t="s">
        <v>2057</v>
      </c>
      <c r="K87" s="1" t="str">
        <f t="shared" si="2"/>
        <v>1992-08-01</v>
      </c>
      <c r="L87">
        <v>1.642857</v>
      </c>
      <c r="M87" s="2">
        <f t="shared" si="3"/>
        <v>-1.6042950498998843E-2</v>
      </c>
    </row>
    <row r="88" spans="1:13" x14ac:dyDescent="0.25">
      <c r="A88" t="s">
        <v>2058</v>
      </c>
      <c r="K88" s="1" t="str">
        <f t="shared" si="2"/>
        <v>1992-09-01</v>
      </c>
      <c r="L88">
        <v>1.611607</v>
      </c>
      <c r="M88" s="2">
        <f t="shared" si="3"/>
        <v>-1.9021740784499253E-2</v>
      </c>
    </row>
    <row r="89" spans="1:13" x14ac:dyDescent="0.25">
      <c r="A89" t="s">
        <v>2059</v>
      </c>
      <c r="K89" s="1" t="str">
        <f t="shared" si="2"/>
        <v>1992-10-01</v>
      </c>
      <c r="L89">
        <v>1.875</v>
      </c>
      <c r="M89" s="2">
        <f t="shared" si="3"/>
        <v>0.16343500617706419</v>
      </c>
    </row>
    <row r="90" spans="1:13" x14ac:dyDescent="0.25">
      <c r="A90" t="s">
        <v>2060</v>
      </c>
      <c r="K90" s="1" t="str">
        <f t="shared" si="2"/>
        <v>1992-11-01</v>
      </c>
      <c r="L90">
        <v>2.0535709999999998</v>
      </c>
      <c r="M90" s="2">
        <f t="shared" si="3"/>
        <v>9.5237866666666671E-2</v>
      </c>
    </row>
    <row r="91" spans="1:13" x14ac:dyDescent="0.25">
      <c r="A91" t="s">
        <v>2061</v>
      </c>
      <c r="K91" s="1" t="str">
        <f t="shared" si="2"/>
        <v>1992-12-01</v>
      </c>
      <c r="L91">
        <v>2.1339290000000002</v>
      </c>
      <c r="M91" s="2">
        <f t="shared" si="3"/>
        <v>3.9130860340353735E-2</v>
      </c>
    </row>
    <row r="92" spans="1:13" x14ac:dyDescent="0.25">
      <c r="A92" t="s">
        <v>2062</v>
      </c>
      <c r="K92" s="1" t="str">
        <f t="shared" si="2"/>
        <v>1993-01-01</v>
      </c>
      <c r="L92">
        <v>2.125</v>
      </c>
      <c r="M92" s="2">
        <f t="shared" si="3"/>
        <v>-4.1843004148686136E-3</v>
      </c>
    </row>
    <row r="93" spans="1:13" x14ac:dyDescent="0.25">
      <c r="A93" t="s">
        <v>2063</v>
      </c>
      <c r="K93" s="1" t="str">
        <f t="shared" si="2"/>
        <v>1993-02-01</v>
      </c>
      <c r="L93">
        <v>1.892857</v>
      </c>
      <c r="M93" s="2">
        <f t="shared" si="3"/>
        <v>-0.10924376470588237</v>
      </c>
    </row>
    <row r="94" spans="1:13" x14ac:dyDescent="0.25">
      <c r="A94" t="s">
        <v>2064</v>
      </c>
      <c r="K94" s="1" t="str">
        <f t="shared" si="2"/>
        <v>1993-03-01</v>
      </c>
      <c r="L94">
        <v>1.839286</v>
      </c>
      <c r="M94" s="2">
        <f t="shared" si="3"/>
        <v>-2.8301662513332992E-2</v>
      </c>
    </row>
    <row r="95" spans="1:13" x14ac:dyDescent="0.25">
      <c r="A95" t="s">
        <v>2065</v>
      </c>
      <c r="K95" s="1" t="str">
        <f t="shared" si="2"/>
        <v>1993-04-01</v>
      </c>
      <c r="L95">
        <v>1.830357</v>
      </c>
      <c r="M95" s="2">
        <f t="shared" si="3"/>
        <v>-4.8546011876346995E-3</v>
      </c>
    </row>
    <row r="96" spans="1:13" x14ac:dyDescent="0.25">
      <c r="A96" t="s">
        <v>2066</v>
      </c>
      <c r="K96" s="1" t="str">
        <f t="shared" si="2"/>
        <v>1993-05-01</v>
      </c>
      <c r="L96">
        <v>2.0223209999999998</v>
      </c>
      <c r="M96" s="2">
        <f t="shared" si="3"/>
        <v>0.104877900868519</v>
      </c>
    </row>
    <row r="97" spans="1:13" x14ac:dyDescent="0.25">
      <c r="A97" t="s">
        <v>2067</v>
      </c>
      <c r="K97" s="1" t="str">
        <f t="shared" si="2"/>
        <v>1993-06-01</v>
      </c>
      <c r="L97">
        <v>1.410714</v>
      </c>
      <c r="M97" s="2">
        <f t="shared" si="3"/>
        <v>-0.30242824952121838</v>
      </c>
    </row>
    <row r="98" spans="1:13" x14ac:dyDescent="0.25">
      <c r="A98" t="s">
        <v>2068</v>
      </c>
      <c r="K98" s="1" t="str">
        <f t="shared" si="2"/>
        <v>1993-07-01</v>
      </c>
      <c r="L98">
        <v>0.99107100000000004</v>
      </c>
      <c r="M98" s="2">
        <f t="shared" si="3"/>
        <v>-0.29746851594299051</v>
      </c>
    </row>
    <row r="99" spans="1:13" x14ac:dyDescent="0.25">
      <c r="A99" t="s">
        <v>2069</v>
      </c>
      <c r="K99" s="1" t="str">
        <f t="shared" si="2"/>
        <v>1993-08-01</v>
      </c>
      <c r="L99">
        <v>0.94642899999999996</v>
      </c>
      <c r="M99" s="2">
        <f t="shared" si="3"/>
        <v>-4.5044199658753059E-2</v>
      </c>
    </row>
    <row r="100" spans="1:13" x14ac:dyDescent="0.25">
      <c r="A100" t="s">
        <v>2070</v>
      </c>
      <c r="K100" s="1" t="str">
        <f t="shared" si="2"/>
        <v>1993-09-01</v>
      </c>
      <c r="L100">
        <v>0.83482100000000004</v>
      </c>
      <c r="M100" s="2">
        <f t="shared" si="3"/>
        <v>-0.11792538056209179</v>
      </c>
    </row>
    <row r="101" spans="1:13" x14ac:dyDescent="0.25">
      <c r="A101" t="s">
        <v>2071</v>
      </c>
      <c r="K101" s="1" t="str">
        <f t="shared" si="2"/>
        <v>1993-10-01</v>
      </c>
      <c r="L101">
        <v>1.098214</v>
      </c>
      <c r="M101" s="2">
        <f t="shared" si="3"/>
        <v>0.31550835448557235</v>
      </c>
    </row>
    <row r="102" spans="1:13" x14ac:dyDescent="0.25">
      <c r="A102" t="s">
        <v>2072</v>
      </c>
      <c r="K102" s="1" t="str">
        <f t="shared" si="2"/>
        <v>1993-11-01</v>
      </c>
      <c r="L102">
        <v>1.125</v>
      </c>
      <c r="M102" s="2">
        <f t="shared" si="3"/>
        <v>2.4390510410539301E-2</v>
      </c>
    </row>
    <row r="103" spans="1:13" x14ac:dyDescent="0.25">
      <c r="A103" t="s">
        <v>2073</v>
      </c>
      <c r="K103" s="1" t="str">
        <f t="shared" si="2"/>
        <v>1993-12-01</v>
      </c>
      <c r="L103">
        <v>1.044643</v>
      </c>
      <c r="M103" s="2">
        <f t="shared" si="3"/>
        <v>-7.1428444444444406E-2</v>
      </c>
    </row>
    <row r="104" spans="1:13" x14ac:dyDescent="0.25">
      <c r="A104" t="s">
        <v>2074</v>
      </c>
      <c r="K104" s="1" t="str">
        <f t="shared" si="2"/>
        <v>1994-01-01</v>
      </c>
      <c r="L104">
        <v>1.169643</v>
      </c>
      <c r="M104" s="2">
        <f t="shared" si="3"/>
        <v>0.11965810329461846</v>
      </c>
    </row>
    <row r="105" spans="1:13" x14ac:dyDescent="0.25">
      <c r="A105" t="s">
        <v>2075</v>
      </c>
      <c r="K105" s="1" t="str">
        <f t="shared" si="2"/>
        <v>1994-02-01</v>
      </c>
      <c r="L105">
        <v>1.303571</v>
      </c>
      <c r="M105" s="2">
        <f t="shared" si="3"/>
        <v>0.11450331425913718</v>
      </c>
    </row>
    <row r="106" spans="1:13" x14ac:dyDescent="0.25">
      <c r="A106" t="s">
        <v>2076</v>
      </c>
      <c r="K106" s="1" t="str">
        <f t="shared" si="2"/>
        <v>1994-03-01</v>
      </c>
      <c r="L106">
        <v>1.1875</v>
      </c>
      <c r="M106" s="2">
        <f t="shared" si="3"/>
        <v>-8.9040796396974153E-2</v>
      </c>
    </row>
    <row r="107" spans="1:13" x14ac:dyDescent="0.25">
      <c r="A107" t="s">
        <v>2077</v>
      </c>
      <c r="K107" s="1" t="str">
        <f t="shared" si="2"/>
        <v>1994-04-01</v>
      </c>
      <c r="L107">
        <v>1.071429</v>
      </c>
      <c r="M107" s="2">
        <f t="shared" si="3"/>
        <v>-9.7744000000000053E-2</v>
      </c>
    </row>
    <row r="108" spans="1:13" x14ac:dyDescent="0.25">
      <c r="A108" t="s">
        <v>2078</v>
      </c>
      <c r="K108" s="1" t="str">
        <f t="shared" si="2"/>
        <v>1994-05-01</v>
      </c>
      <c r="L108">
        <v>1.044643</v>
      </c>
      <c r="M108" s="2">
        <f t="shared" si="3"/>
        <v>-2.5000256666564025E-2</v>
      </c>
    </row>
    <row r="109" spans="1:13" x14ac:dyDescent="0.25">
      <c r="A109" t="s">
        <v>2079</v>
      </c>
      <c r="K109" s="1" t="str">
        <f t="shared" si="2"/>
        <v>1994-06-01</v>
      </c>
      <c r="L109">
        <v>0.94642899999999996</v>
      </c>
      <c r="M109" s="2">
        <f t="shared" si="3"/>
        <v>-9.4016807655821211E-2</v>
      </c>
    </row>
    <row r="110" spans="1:13" x14ac:dyDescent="0.25">
      <c r="A110" t="s">
        <v>2080</v>
      </c>
      <c r="K110" s="1" t="str">
        <f t="shared" si="2"/>
        <v>1994-07-01</v>
      </c>
      <c r="L110">
        <v>1.203125</v>
      </c>
      <c r="M110" s="2">
        <f t="shared" si="3"/>
        <v>0.27122583944490297</v>
      </c>
    </row>
    <row r="111" spans="1:13" x14ac:dyDescent="0.25">
      <c r="A111" t="s">
        <v>2081</v>
      </c>
      <c r="K111" s="1" t="str">
        <f t="shared" si="2"/>
        <v>1994-08-01</v>
      </c>
      <c r="L111">
        <v>1.292411</v>
      </c>
      <c r="M111" s="2">
        <f t="shared" si="3"/>
        <v>7.42117402597402E-2</v>
      </c>
    </row>
    <row r="112" spans="1:13" x14ac:dyDescent="0.25">
      <c r="A112" t="s">
        <v>2082</v>
      </c>
      <c r="K112" s="1" t="str">
        <f t="shared" si="2"/>
        <v>1994-09-01</v>
      </c>
      <c r="L112">
        <v>1.203125</v>
      </c>
      <c r="M112" s="2">
        <f t="shared" si="3"/>
        <v>-6.9084834468292167E-2</v>
      </c>
    </row>
    <row r="113" spans="1:13" x14ac:dyDescent="0.25">
      <c r="A113" t="s">
        <v>2083</v>
      </c>
      <c r="K113" s="1" t="str">
        <f t="shared" si="2"/>
        <v>1994-10-01</v>
      </c>
      <c r="L113">
        <v>1.542411</v>
      </c>
      <c r="M113" s="2">
        <f t="shared" si="3"/>
        <v>0.28200394805194806</v>
      </c>
    </row>
    <row r="114" spans="1:13" x14ac:dyDescent="0.25">
      <c r="A114" t="s">
        <v>2084</v>
      </c>
      <c r="K114" s="1" t="str">
        <f t="shared" si="2"/>
        <v>1994-11-01</v>
      </c>
      <c r="L114">
        <v>1.330357</v>
      </c>
      <c r="M114" s="2">
        <f t="shared" si="3"/>
        <v>-0.13748216266611168</v>
      </c>
    </row>
    <row r="115" spans="1:13" x14ac:dyDescent="0.25">
      <c r="A115" t="s">
        <v>2085</v>
      </c>
      <c r="K115" s="1" t="str">
        <f t="shared" si="2"/>
        <v>1994-12-01</v>
      </c>
      <c r="L115">
        <v>1.392857</v>
      </c>
      <c r="M115" s="2">
        <f t="shared" si="3"/>
        <v>4.6979870816630465E-2</v>
      </c>
    </row>
    <row r="116" spans="1:13" x14ac:dyDescent="0.25">
      <c r="A116" t="s">
        <v>2086</v>
      </c>
      <c r="K116" s="1" t="str">
        <f t="shared" si="2"/>
        <v>1995-01-01</v>
      </c>
      <c r="L116">
        <v>1.441964</v>
      </c>
      <c r="M116" s="2">
        <f t="shared" si="3"/>
        <v>3.5256311308339727E-2</v>
      </c>
    </row>
    <row r="117" spans="1:13" x14ac:dyDescent="0.25">
      <c r="A117" t="s">
        <v>2087</v>
      </c>
      <c r="K117" s="1" t="str">
        <f t="shared" si="2"/>
        <v>1995-02-01</v>
      </c>
      <c r="L117">
        <v>1.410714</v>
      </c>
      <c r="M117" s="2">
        <f t="shared" si="3"/>
        <v>-2.1671830919495871E-2</v>
      </c>
    </row>
    <row r="118" spans="1:13" x14ac:dyDescent="0.25">
      <c r="A118" t="s">
        <v>2088</v>
      </c>
      <c r="K118" s="1" t="str">
        <f t="shared" si="2"/>
        <v>1995-03-01</v>
      </c>
      <c r="L118">
        <v>1.258929</v>
      </c>
      <c r="M118" s="2">
        <f t="shared" si="3"/>
        <v>-0.10759445217102837</v>
      </c>
    </row>
    <row r="119" spans="1:13" x14ac:dyDescent="0.25">
      <c r="A119" t="s">
        <v>2089</v>
      </c>
      <c r="K119" s="1" t="str">
        <f t="shared" si="2"/>
        <v>1995-04-01</v>
      </c>
      <c r="L119">
        <v>1.366071</v>
      </c>
      <c r="M119" s="2">
        <f t="shared" si="3"/>
        <v>8.5105673155515538E-2</v>
      </c>
    </row>
    <row r="120" spans="1:13" x14ac:dyDescent="0.25">
      <c r="A120" t="s">
        <v>2090</v>
      </c>
      <c r="K120" s="1" t="str">
        <f t="shared" si="2"/>
        <v>1995-05-01</v>
      </c>
      <c r="L120">
        <v>1.484375</v>
      </c>
      <c r="M120" s="2">
        <f t="shared" si="3"/>
        <v>8.6601648084177141E-2</v>
      </c>
    </row>
    <row r="121" spans="1:13" x14ac:dyDescent="0.25">
      <c r="A121" t="s">
        <v>2091</v>
      </c>
      <c r="K121" s="1" t="str">
        <f t="shared" si="2"/>
        <v>1995-06-01</v>
      </c>
      <c r="L121">
        <v>1.658482</v>
      </c>
      <c r="M121" s="2">
        <f t="shared" si="3"/>
        <v>0.11729313684210529</v>
      </c>
    </row>
    <row r="122" spans="1:13" x14ac:dyDescent="0.25">
      <c r="A122" t="s">
        <v>2092</v>
      </c>
      <c r="K122" s="1" t="str">
        <f t="shared" si="2"/>
        <v>1995-07-01</v>
      </c>
      <c r="L122">
        <v>1.607143</v>
      </c>
      <c r="M122" s="2">
        <f t="shared" si="3"/>
        <v>-3.0955415856186552E-2</v>
      </c>
    </row>
    <row r="123" spans="1:13" x14ac:dyDescent="0.25">
      <c r="A123" t="s">
        <v>2093</v>
      </c>
      <c r="K123" s="1" t="str">
        <f t="shared" si="2"/>
        <v>1995-08-01</v>
      </c>
      <c r="L123">
        <v>1.535714</v>
      </c>
      <c r="M123" s="2">
        <f t="shared" si="3"/>
        <v>-4.4444707160470442E-2</v>
      </c>
    </row>
    <row r="124" spans="1:13" x14ac:dyDescent="0.25">
      <c r="A124" t="s">
        <v>2094</v>
      </c>
      <c r="K124" s="1" t="str">
        <f t="shared" si="2"/>
        <v>1995-09-01</v>
      </c>
      <c r="L124">
        <v>1.330357</v>
      </c>
      <c r="M124" s="2">
        <f t="shared" si="3"/>
        <v>-0.13372086208760225</v>
      </c>
    </row>
    <row r="125" spans="1:13" x14ac:dyDescent="0.25">
      <c r="A125" t="s">
        <v>2095</v>
      </c>
      <c r="K125" s="1" t="str">
        <f t="shared" si="2"/>
        <v>1995-10-01</v>
      </c>
      <c r="L125">
        <v>1.296875</v>
      </c>
      <c r="M125" s="2">
        <f t="shared" si="3"/>
        <v>-2.5167680554918692E-2</v>
      </c>
    </row>
    <row r="126" spans="1:13" x14ac:dyDescent="0.25">
      <c r="A126" t="s">
        <v>2096</v>
      </c>
      <c r="K126" s="1" t="str">
        <f t="shared" si="2"/>
        <v>1995-11-01</v>
      </c>
      <c r="L126">
        <v>1.361607</v>
      </c>
      <c r="M126" s="2">
        <f t="shared" si="3"/>
        <v>4.9913831325301139E-2</v>
      </c>
    </row>
    <row r="127" spans="1:13" x14ac:dyDescent="0.25">
      <c r="A127" t="s">
        <v>2097</v>
      </c>
      <c r="K127" s="1" t="str">
        <f t="shared" si="2"/>
        <v>1995-12-01</v>
      </c>
      <c r="L127">
        <v>1.138393</v>
      </c>
      <c r="M127" s="2">
        <f t="shared" si="3"/>
        <v>-0.16393423359309989</v>
      </c>
    </row>
    <row r="128" spans="1:13" x14ac:dyDescent="0.25">
      <c r="A128" t="s">
        <v>2098</v>
      </c>
      <c r="K128" s="1" t="str">
        <f t="shared" si="2"/>
        <v>1996-01-01</v>
      </c>
      <c r="L128">
        <v>0.98660700000000001</v>
      </c>
      <c r="M128" s="2">
        <f t="shared" si="3"/>
        <v>-0.13333356758166992</v>
      </c>
    </row>
    <row r="129" spans="1:13" x14ac:dyDescent="0.25">
      <c r="A129" t="s">
        <v>2099</v>
      </c>
      <c r="K129" s="1" t="str">
        <f t="shared" si="2"/>
        <v>1996-02-01</v>
      </c>
      <c r="L129">
        <v>0.98214299999999999</v>
      </c>
      <c r="M129" s="2">
        <f t="shared" si="3"/>
        <v>-4.5245979402133152E-3</v>
      </c>
    </row>
    <row r="130" spans="1:13" x14ac:dyDescent="0.25">
      <c r="A130" t="s">
        <v>2100</v>
      </c>
      <c r="K130" s="1" t="str">
        <f t="shared" si="2"/>
        <v>1996-03-01</v>
      </c>
      <c r="L130">
        <v>0.87723200000000001</v>
      </c>
      <c r="M130" s="2">
        <f t="shared" si="3"/>
        <v>-0.10681845719004257</v>
      </c>
    </row>
    <row r="131" spans="1:13" x14ac:dyDescent="0.25">
      <c r="A131" t="s">
        <v>2101</v>
      </c>
      <c r="K131" s="1" t="str">
        <f t="shared" ref="K131:K194" si="4">LEFT(A131,10)</f>
        <v>1996-04-01</v>
      </c>
      <c r="L131">
        <v>0.87053599999999998</v>
      </c>
      <c r="M131" s="2">
        <f t="shared" si="3"/>
        <v>-7.6331004796906798E-3</v>
      </c>
    </row>
    <row r="132" spans="1:13" x14ac:dyDescent="0.25">
      <c r="A132" t="s">
        <v>2102</v>
      </c>
      <c r="K132" s="1" t="str">
        <f t="shared" si="4"/>
        <v>1996-05-01</v>
      </c>
      <c r="L132">
        <v>0.93303599999999998</v>
      </c>
      <c r="M132" s="2">
        <f t="shared" ref="M132:M195" si="5">(L132/L131)-1</f>
        <v>7.1794848231434338E-2</v>
      </c>
    </row>
    <row r="133" spans="1:13" x14ac:dyDescent="0.25">
      <c r="A133" t="s">
        <v>2103</v>
      </c>
      <c r="K133" s="1" t="str">
        <f t="shared" si="4"/>
        <v>1996-06-01</v>
      </c>
      <c r="L133">
        <v>0.75</v>
      </c>
      <c r="M133" s="2">
        <f t="shared" si="5"/>
        <v>-0.19617249495196321</v>
      </c>
    </row>
    <row r="134" spans="1:13" x14ac:dyDescent="0.25">
      <c r="A134" t="s">
        <v>2104</v>
      </c>
      <c r="K134" s="1" t="str">
        <f t="shared" si="4"/>
        <v>1996-07-01</v>
      </c>
      <c r="L134">
        <v>0.78571400000000002</v>
      </c>
      <c r="M134" s="2">
        <f t="shared" si="5"/>
        <v>4.7618666666666698E-2</v>
      </c>
    </row>
    <row r="135" spans="1:13" x14ac:dyDescent="0.25">
      <c r="A135" t="s">
        <v>2105</v>
      </c>
      <c r="K135" s="1" t="str">
        <f t="shared" si="4"/>
        <v>1996-08-01</v>
      </c>
      <c r="L135">
        <v>0.86607100000000004</v>
      </c>
      <c r="M135" s="2">
        <f t="shared" si="5"/>
        <v>0.10227258264457562</v>
      </c>
    </row>
    <row r="136" spans="1:13" x14ac:dyDescent="0.25">
      <c r="A136" t="s">
        <v>2106</v>
      </c>
      <c r="K136" s="1" t="str">
        <f t="shared" si="4"/>
        <v>1996-09-01</v>
      </c>
      <c r="L136">
        <v>0.79241099999999998</v>
      </c>
      <c r="M136" s="2">
        <f t="shared" si="5"/>
        <v>-8.5050763736460477E-2</v>
      </c>
    </row>
    <row r="137" spans="1:13" x14ac:dyDescent="0.25">
      <c r="A137" t="s">
        <v>2107</v>
      </c>
      <c r="K137" s="1" t="str">
        <f t="shared" si="4"/>
        <v>1996-10-01</v>
      </c>
      <c r="L137">
        <v>0.82142899999999996</v>
      </c>
      <c r="M137" s="2">
        <f t="shared" si="5"/>
        <v>3.6619885387759732E-2</v>
      </c>
    </row>
    <row r="138" spans="1:13" x14ac:dyDescent="0.25">
      <c r="A138" t="s">
        <v>2108</v>
      </c>
      <c r="K138" s="1" t="str">
        <f t="shared" si="4"/>
        <v>1996-11-01</v>
      </c>
      <c r="L138">
        <v>0.86160700000000001</v>
      </c>
      <c r="M138" s="2">
        <f t="shared" si="5"/>
        <v>4.8912322306614575E-2</v>
      </c>
    </row>
    <row r="139" spans="1:13" x14ac:dyDescent="0.25">
      <c r="A139" t="s">
        <v>2109</v>
      </c>
      <c r="K139" s="1" t="str">
        <f t="shared" si="4"/>
        <v>1996-12-01</v>
      </c>
      <c r="L139">
        <v>0.74553599999999998</v>
      </c>
      <c r="M139" s="2">
        <f t="shared" si="5"/>
        <v>-0.1347145508335007</v>
      </c>
    </row>
    <row r="140" spans="1:13" x14ac:dyDescent="0.25">
      <c r="A140" t="s">
        <v>2110</v>
      </c>
      <c r="K140" s="1" t="str">
        <f t="shared" si="4"/>
        <v>1997-01-01</v>
      </c>
      <c r="L140">
        <v>0.59375</v>
      </c>
      <c r="M140" s="2">
        <f t="shared" si="5"/>
        <v>-0.20359311958107995</v>
      </c>
    </row>
    <row r="141" spans="1:13" x14ac:dyDescent="0.25">
      <c r="A141" t="s">
        <v>2111</v>
      </c>
      <c r="K141" s="1" t="str">
        <f t="shared" si="4"/>
        <v>1997-02-01</v>
      </c>
      <c r="L141">
        <v>0.58035700000000001</v>
      </c>
      <c r="M141" s="2">
        <f t="shared" si="5"/>
        <v>-2.2556631578947384E-2</v>
      </c>
    </row>
    <row r="142" spans="1:13" x14ac:dyDescent="0.25">
      <c r="A142" t="s">
        <v>2112</v>
      </c>
      <c r="K142" s="1" t="str">
        <f t="shared" si="4"/>
        <v>1997-03-01</v>
      </c>
      <c r="L142">
        <v>0.65178599999999998</v>
      </c>
      <c r="M142" s="2">
        <f t="shared" si="5"/>
        <v>0.12307769183450867</v>
      </c>
    </row>
    <row r="143" spans="1:13" x14ac:dyDescent="0.25">
      <c r="A143" t="s">
        <v>2113</v>
      </c>
      <c r="K143" s="1" t="str">
        <f t="shared" si="4"/>
        <v>1997-04-01</v>
      </c>
      <c r="L143">
        <v>0.60714299999999999</v>
      </c>
      <c r="M143" s="2">
        <f t="shared" si="5"/>
        <v>-6.8493339838535894E-2</v>
      </c>
    </row>
    <row r="144" spans="1:13" x14ac:dyDescent="0.25">
      <c r="A144" t="s">
        <v>2114</v>
      </c>
      <c r="K144" s="1" t="str">
        <f t="shared" si="4"/>
        <v>1997-05-01</v>
      </c>
      <c r="L144">
        <v>0.59375</v>
      </c>
      <c r="M144" s="2">
        <f t="shared" si="5"/>
        <v>-2.205905363316385E-2</v>
      </c>
    </row>
    <row r="145" spans="1:13" x14ac:dyDescent="0.25">
      <c r="A145" t="s">
        <v>2115</v>
      </c>
      <c r="K145" s="1" t="str">
        <f t="shared" si="4"/>
        <v>1997-06-01</v>
      </c>
      <c r="L145">
        <v>0.50892899999999996</v>
      </c>
      <c r="M145" s="2">
        <f t="shared" si="5"/>
        <v>-0.14285642105263163</v>
      </c>
    </row>
    <row r="146" spans="1:13" x14ac:dyDescent="0.25">
      <c r="A146" t="s">
        <v>2116</v>
      </c>
      <c r="K146" s="1" t="str">
        <f t="shared" si="4"/>
        <v>1997-07-01</v>
      </c>
      <c r="L146">
        <v>0.625</v>
      </c>
      <c r="M146" s="2">
        <f t="shared" si="5"/>
        <v>0.22806914127510924</v>
      </c>
    </row>
    <row r="147" spans="1:13" x14ac:dyDescent="0.25">
      <c r="A147" t="s">
        <v>2117</v>
      </c>
      <c r="K147" s="1" t="str">
        <f t="shared" si="4"/>
        <v>1997-08-01</v>
      </c>
      <c r="L147">
        <v>0.77678599999999998</v>
      </c>
      <c r="M147" s="2">
        <f t="shared" si="5"/>
        <v>0.24285760000000001</v>
      </c>
    </row>
    <row r="148" spans="1:13" x14ac:dyDescent="0.25">
      <c r="A148" t="s">
        <v>2118</v>
      </c>
      <c r="K148" s="1" t="str">
        <f t="shared" si="4"/>
        <v>1997-09-01</v>
      </c>
      <c r="L148">
        <v>0.77455399999999996</v>
      </c>
      <c r="M148" s="2">
        <f t="shared" si="5"/>
        <v>-2.8733782534701158E-3</v>
      </c>
    </row>
    <row r="149" spans="1:13" x14ac:dyDescent="0.25">
      <c r="A149" t="s">
        <v>2119</v>
      </c>
      <c r="K149" s="1" t="str">
        <f t="shared" si="4"/>
        <v>1997-10-01</v>
      </c>
      <c r="L149">
        <v>0.60825899999999999</v>
      </c>
      <c r="M149" s="2">
        <f t="shared" si="5"/>
        <v>-0.21469774863986235</v>
      </c>
    </row>
    <row r="150" spans="1:13" x14ac:dyDescent="0.25">
      <c r="A150" t="s">
        <v>2120</v>
      </c>
      <c r="K150" s="1" t="str">
        <f t="shared" si="4"/>
        <v>1997-11-01</v>
      </c>
      <c r="L150">
        <v>0.63392899999999996</v>
      </c>
      <c r="M150" s="2">
        <f t="shared" si="5"/>
        <v>4.2202417062468411E-2</v>
      </c>
    </row>
    <row r="151" spans="1:13" x14ac:dyDescent="0.25">
      <c r="A151" t="s">
        <v>2121</v>
      </c>
      <c r="K151" s="1" t="str">
        <f t="shared" si="4"/>
        <v>1997-12-01</v>
      </c>
      <c r="L151">
        <v>0.46875</v>
      </c>
      <c r="M151" s="2">
        <f t="shared" si="5"/>
        <v>-0.26056388018216547</v>
      </c>
    </row>
    <row r="152" spans="1:13" x14ac:dyDescent="0.25">
      <c r="A152" t="s">
        <v>2122</v>
      </c>
      <c r="K152" s="1" t="str">
        <f t="shared" si="4"/>
        <v>1998-01-01</v>
      </c>
      <c r="L152">
        <v>0.65401799999999999</v>
      </c>
      <c r="M152" s="2">
        <f t="shared" si="5"/>
        <v>0.39523839999999999</v>
      </c>
    </row>
    <row r="153" spans="1:13" x14ac:dyDescent="0.25">
      <c r="A153" t="s">
        <v>2123</v>
      </c>
      <c r="K153" s="1" t="str">
        <f t="shared" si="4"/>
        <v>1998-02-01</v>
      </c>
      <c r="L153">
        <v>0.84375</v>
      </c>
      <c r="M153" s="2">
        <f t="shared" si="5"/>
        <v>0.29010210728145092</v>
      </c>
    </row>
    <row r="154" spans="1:13" x14ac:dyDescent="0.25">
      <c r="A154" t="s">
        <v>2124</v>
      </c>
      <c r="K154" s="1" t="str">
        <f t="shared" si="4"/>
        <v>1998-03-01</v>
      </c>
      <c r="L154">
        <v>0.98214299999999999</v>
      </c>
      <c r="M154" s="2">
        <f t="shared" si="5"/>
        <v>0.16402133333333335</v>
      </c>
    </row>
    <row r="155" spans="1:13" x14ac:dyDescent="0.25">
      <c r="A155" t="s">
        <v>2125</v>
      </c>
      <c r="K155" s="1" t="str">
        <f t="shared" si="4"/>
        <v>1998-04-01</v>
      </c>
      <c r="L155">
        <v>0.97767899999999996</v>
      </c>
      <c r="M155" s="2">
        <f t="shared" si="5"/>
        <v>-4.5451629752490952E-3</v>
      </c>
    </row>
    <row r="156" spans="1:13" x14ac:dyDescent="0.25">
      <c r="A156" t="s">
        <v>2126</v>
      </c>
      <c r="K156" s="1" t="str">
        <f t="shared" si="4"/>
        <v>1998-05-01</v>
      </c>
      <c r="L156">
        <v>0.95089299999999999</v>
      </c>
      <c r="M156" s="2">
        <f t="shared" si="5"/>
        <v>-2.7397540501534756E-2</v>
      </c>
    </row>
    <row r="157" spans="1:13" x14ac:dyDescent="0.25">
      <c r="A157" t="s">
        <v>2127</v>
      </c>
      <c r="K157" s="1" t="str">
        <f t="shared" si="4"/>
        <v>1998-06-01</v>
      </c>
      <c r="L157">
        <v>1.024554</v>
      </c>
      <c r="M157" s="2">
        <f t="shared" si="5"/>
        <v>7.7465077563932061E-2</v>
      </c>
    </row>
    <row r="158" spans="1:13" x14ac:dyDescent="0.25">
      <c r="A158" t="s">
        <v>2128</v>
      </c>
      <c r="K158" s="1" t="str">
        <f t="shared" si="4"/>
        <v>1998-07-01</v>
      </c>
      <c r="L158">
        <v>1.236607</v>
      </c>
      <c r="M158" s="2">
        <f t="shared" si="5"/>
        <v>0.20697103324958954</v>
      </c>
    </row>
    <row r="159" spans="1:13" x14ac:dyDescent="0.25">
      <c r="A159" t="s">
        <v>2129</v>
      </c>
      <c r="K159" s="1" t="str">
        <f t="shared" si="4"/>
        <v>1998-08-01</v>
      </c>
      <c r="L159">
        <v>1.113839</v>
      </c>
      <c r="M159" s="2">
        <f t="shared" si="5"/>
        <v>-9.927810533176662E-2</v>
      </c>
    </row>
    <row r="160" spans="1:13" x14ac:dyDescent="0.25">
      <c r="A160" t="s">
        <v>2130</v>
      </c>
      <c r="K160" s="1" t="str">
        <f t="shared" si="4"/>
        <v>1998-09-01</v>
      </c>
      <c r="L160">
        <v>1.361607</v>
      </c>
      <c r="M160" s="2">
        <f t="shared" si="5"/>
        <v>0.22244507509613154</v>
      </c>
    </row>
    <row r="161" spans="1:13" x14ac:dyDescent="0.25">
      <c r="A161" t="s">
        <v>2131</v>
      </c>
      <c r="K161" s="1" t="str">
        <f t="shared" si="4"/>
        <v>1998-10-01</v>
      </c>
      <c r="L161">
        <v>1.325893</v>
      </c>
      <c r="M161" s="2">
        <f t="shared" si="5"/>
        <v>-2.6229301112582482E-2</v>
      </c>
    </row>
    <row r="162" spans="1:13" x14ac:dyDescent="0.25">
      <c r="A162" t="s">
        <v>2132</v>
      </c>
      <c r="K162" s="1" t="str">
        <f t="shared" si="4"/>
        <v>1998-11-01</v>
      </c>
      <c r="L162">
        <v>1.140625</v>
      </c>
      <c r="M162" s="2">
        <f t="shared" si="5"/>
        <v>-0.13973073241958434</v>
      </c>
    </row>
    <row r="163" spans="1:13" x14ac:dyDescent="0.25">
      <c r="A163" t="s">
        <v>2133</v>
      </c>
      <c r="K163" s="1" t="str">
        <f t="shared" si="4"/>
        <v>1998-12-01</v>
      </c>
      <c r="L163">
        <v>1.462054</v>
      </c>
      <c r="M163" s="2">
        <f t="shared" si="5"/>
        <v>0.28180076712328761</v>
      </c>
    </row>
    <row r="164" spans="1:13" x14ac:dyDescent="0.25">
      <c r="A164" t="s">
        <v>2134</v>
      </c>
      <c r="K164" s="1" t="str">
        <f t="shared" si="4"/>
        <v>1999-01-01</v>
      </c>
      <c r="L164">
        <v>1.470982</v>
      </c>
      <c r="M164" s="2">
        <f t="shared" si="5"/>
        <v>6.1064775993227016E-3</v>
      </c>
    </row>
    <row r="165" spans="1:13" x14ac:dyDescent="0.25">
      <c r="A165" t="s">
        <v>2135</v>
      </c>
      <c r="K165" s="1" t="str">
        <f t="shared" si="4"/>
        <v>1999-02-01</v>
      </c>
      <c r="L165">
        <v>1.243304</v>
      </c>
      <c r="M165" s="2">
        <f t="shared" si="5"/>
        <v>-0.15477959621531745</v>
      </c>
    </row>
    <row r="166" spans="1:13" x14ac:dyDescent="0.25">
      <c r="A166" t="s">
        <v>2136</v>
      </c>
      <c r="K166" s="1" t="str">
        <f t="shared" si="4"/>
        <v>1999-03-01</v>
      </c>
      <c r="L166">
        <v>1.283482</v>
      </c>
      <c r="M166" s="2">
        <f t="shared" si="5"/>
        <v>3.2315507711710101E-2</v>
      </c>
    </row>
    <row r="167" spans="1:13" x14ac:dyDescent="0.25">
      <c r="A167" t="s">
        <v>2137</v>
      </c>
      <c r="K167" s="1" t="str">
        <f t="shared" si="4"/>
        <v>1999-04-01</v>
      </c>
      <c r="L167">
        <v>1.642857</v>
      </c>
      <c r="M167" s="2">
        <f t="shared" si="5"/>
        <v>0.28000003116522088</v>
      </c>
    </row>
    <row r="168" spans="1:13" x14ac:dyDescent="0.25">
      <c r="A168" t="s">
        <v>2138</v>
      </c>
      <c r="K168" s="1" t="str">
        <f t="shared" si="4"/>
        <v>1999-05-01</v>
      </c>
      <c r="L168">
        <v>1.573661</v>
      </c>
      <c r="M168" s="2">
        <f t="shared" si="5"/>
        <v>-4.2119308010374668E-2</v>
      </c>
    </row>
    <row r="169" spans="1:13" x14ac:dyDescent="0.25">
      <c r="A169" t="s">
        <v>2139</v>
      </c>
      <c r="K169" s="1" t="str">
        <f t="shared" si="4"/>
        <v>1999-06-01</v>
      </c>
      <c r="L169">
        <v>1.654018</v>
      </c>
      <c r="M169" s="2">
        <f t="shared" si="5"/>
        <v>5.1063729735946861E-2</v>
      </c>
    </row>
    <row r="170" spans="1:13" x14ac:dyDescent="0.25">
      <c r="A170" t="s">
        <v>2140</v>
      </c>
      <c r="K170" s="1" t="str">
        <f t="shared" si="4"/>
        <v>1999-07-01</v>
      </c>
      <c r="L170">
        <v>1.988839</v>
      </c>
      <c r="M170" s="2">
        <f t="shared" si="5"/>
        <v>0.20242887320452385</v>
      </c>
    </row>
    <row r="171" spans="1:13" x14ac:dyDescent="0.25">
      <c r="A171" t="s">
        <v>2141</v>
      </c>
      <c r="K171" s="1" t="str">
        <f t="shared" si="4"/>
        <v>1999-08-01</v>
      </c>
      <c r="L171">
        <v>2.3303569999999998</v>
      </c>
      <c r="M171" s="2">
        <f t="shared" si="5"/>
        <v>0.17171726821527522</v>
      </c>
    </row>
    <row r="172" spans="1:13" x14ac:dyDescent="0.25">
      <c r="A172" t="s">
        <v>2142</v>
      </c>
      <c r="K172" s="1" t="str">
        <f t="shared" si="4"/>
        <v>1999-09-01</v>
      </c>
      <c r="L172">
        <v>2.261161</v>
      </c>
      <c r="M172" s="2">
        <f t="shared" si="5"/>
        <v>-2.9693304502271478E-2</v>
      </c>
    </row>
    <row r="173" spans="1:13" x14ac:dyDescent="0.25">
      <c r="A173" t="s">
        <v>2143</v>
      </c>
      <c r="K173" s="1" t="str">
        <f t="shared" si="4"/>
        <v>1999-10-01</v>
      </c>
      <c r="L173">
        <v>2.8616069999999998</v>
      </c>
      <c r="M173" s="2">
        <f t="shared" si="5"/>
        <v>0.26554765450138218</v>
      </c>
    </row>
    <row r="174" spans="1:13" x14ac:dyDescent="0.25">
      <c r="A174" t="s">
        <v>2144</v>
      </c>
      <c r="K174" s="1" t="str">
        <f t="shared" si="4"/>
        <v>1999-11-01</v>
      </c>
      <c r="L174">
        <v>3.495536</v>
      </c>
      <c r="M174" s="2">
        <f t="shared" si="5"/>
        <v>0.221529021979608</v>
      </c>
    </row>
    <row r="175" spans="1:13" x14ac:dyDescent="0.25">
      <c r="A175" t="s">
        <v>2145</v>
      </c>
      <c r="K175" s="1" t="str">
        <f t="shared" si="4"/>
        <v>1999-12-01</v>
      </c>
      <c r="L175">
        <v>3.671875</v>
      </c>
      <c r="M175" s="2">
        <f t="shared" si="5"/>
        <v>5.0446912862576632E-2</v>
      </c>
    </row>
    <row r="176" spans="1:13" x14ac:dyDescent="0.25">
      <c r="A176" t="s">
        <v>2146</v>
      </c>
      <c r="K176" s="1" t="str">
        <f t="shared" si="4"/>
        <v>2000-01-01</v>
      </c>
      <c r="L176">
        <v>3.7053569999999998</v>
      </c>
      <c r="M176" s="2">
        <f t="shared" si="5"/>
        <v>9.1185021276594114E-3</v>
      </c>
    </row>
    <row r="177" spans="1:13" x14ac:dyDescent="0.25">
      <c r="A177" t="s">
        <v>2147</v>
      </c>
      <c r="K177" s="1" t="str">
        <f t="shared" si="4"/>
        <v>2000-02-01</v>
      </c>
      <c r="L177">
        <v>4.09375</v>
      </c>
      <c r="M177" s="2">
        <f t="shared" si="5"/>
        <v>0.10481931970387737</v>
      </c>
    </row>
    <row r="178" spans="1:13" x14ac:dyDescent="0.25">
      <c r="A178" t="s">
        <v>2148</v>
      </c>
      <c r="K178" s="1" t="str">
        <f t="shared" si="4"/>
        <v>2000-03-01</v>
      </c>
      <c r="L178">
        <v>4.8504459999999998</v>
      </c>
      <c r="M178" s="2">
        <f t="shared" si="5"/>
        <v>0.18484177099236643</v>
      </c>
    </row>
    <row r="179" spans="1:13" x14ac:dyDescent="0.25">
      <c r="A179" t="s">
        <v>2149</v>
      </c>
      <c r="K179" s="1" t="str">
        <f t="shared" si="4"/>
        <v>2000-04-01</v>
      </c>
      <c r="L179">
        <v>4.4308040000000002</v>
      </c>
      <c r="M179" s="2">
        <f t="shared" si="5"/>
        <v>-8.6516167791580334E-2</v>
      </c>
    </row>
    <row r="180" spans="1:13" x14ac:dyDescent="0.25">
      <c r="A180" t="s">
        <v>2150</v>
      </c>
      <c r="K180" s="1" t="str">
        <f t="shared" si="4"/>
        <v>2000-05-01</v>
      </c>
      <c r="L180">
        <v>3</v>
      </c>
      <c r="M180" s="2">
        <f t="shared" si="5"/>
        <v>-0.32292197984835258</v>
      </c>
    </row>
    <row r="181" spans="1:13" x14ac:dyDescent="0.25">
      <c r="A181" t="s">
        <v>2151</v>
      </c>
      <c r="K181" s="1" t="str">
        <f t="shared" si="4"/>
        <v>2000-06-01</v>
      </c>
      <c r="L181">
        <v>3.7410709999999998</v>
      </c>
      <c r="M181" s="2">
        <f t="shared" si="5"/>
        <v>0.24702366666666653</v>
      </c>
    </row>
    <row r="182" spans="1:13" x14ac:dyDescent="0.25">
      <c r="A182" t="s">
        <v>2152</v>
      </c>
      <c r="K182" s="1" t="str">
        <f t="shared" si="4"/>
        <v>2000-07-01</v>
      </c>
      <c r="L182">
        <v>3.629464</v>
      </c>
      <c r="M182" s="2">
        <f t="shared" si="5"/>
        <v>-2.9832900792313155E-2</v>
      </c>
    </row>
    <row r="183" spans="1:13" x14ac:dyDescent="0.25">
      <c r="A183" t="s">
        <v>2153</v>
      </c>
      <c r="K183" s="1" t="str">
        <f t="shared" si="4"/>
        <v>2000-08-01</v>
      </c>
      <c r="L183">
        <v>4.3526790000000002</v>
      </c>
      <c r="M183" s="2">
        <f t="shared" si="5"/>
        <v>0.19926220510797199</v>
      </c>
    </row>
    <row r="184" spans="1:13" x14ac:dyDescent="0.25">
      <c r="A184" t="s">
        <v>2154</v>
      </c>
      <c r="K184" s="1" t="str">
        <f t="shared" si="4"/>
        <v>2000-09-01</v>
      </c>
      <c r="L184">
        <v>1.839286</v>
      </c>
      <c r="M184" s="2">
        <f t="shared" si="5"/>
        <v>-0.57743587340118574</v>
      </c>
    </row>
    <row r="185" spans="1:13" x14ac:dyDescent="0.25">
      <c r="A185" t="s">
        <v>2155</v>
      </c>
      <c r="K185" s="1" t="str">
        <f t="shared" si="4"/>
        <v>2000-10-01</v>
      </c>
      <c r="L185">
        <v>1.397321</v>
      </c>
      <c r="M185" s="2">
        <f t="shared" si="5"/>
        <v>-0.24029161315858438</v>
      </c>
    </row>
    <row r="186" spans="1:13" x14ac:dyDescent="0.25">
      <c r="A186" t="s">
        <v>2156</v>
      </c>
      <c r="K186" s="1" t="str">
        <f t="shared" si="4"/>
        <v>2000-11-01</v>
      </c>
      <c r="L186">
        <v>1.178571</v>
      </c>
      <c r="M186" s="2">
        <f t="shared" si="5"/>
        <v>-0.15654956878197634</v>
      </c>
    </row>
    <row r="187" spans="1:13" x14ac:dyDescent="0.25">
      <c r="A187" t="s">
        <v>2157</v>
      </c>
      <c r="K187" s="1" t="str">
        <f t="shared" si="4"/>
        <v>2000-12-01</v>
      </c>
      <c r="L187">
        <v>1.0625</v>
      </c>
      <c r="M187" s="2">
        <f t="shared" si="5"/>
        <v>-9.8484520661037855E-2</v>
      </c>
    </row>
    <row r="188" spans="1:13" x14ac:dyDescent="0.25">
      <c r="A188" t="s">
        <v>2158</v>
      </c>
      <c r="K188" s="1" t="str">
        <f t="shared" si="4"/>
        <v>2001-01-01</v>
      </c>
      <c r="L188">
        <v>1.544643</v>
      </c>
      <c r="M188" s="2">
        <f t="shared" si="5"/>
        <v>0.45378164705882362</v>
      </c>
    </row>
    <row r="189" spans="1:13" x14ac:dyDescent="0.25">
      <c r="A189" t="s">
        <v>2159</v>
      </c>
      <c r="K189" s="1" t="str">
        <f t="shared" si="4"/>
        <v>2001-02-01</v>
      </c>
      <c r="L189">
        <v>1.303571</v>
      </c>
      <c r="M189" s="2">
        <f t="shared" si="5"/>
        <v>-0.1560697196698525</v>
      </c>
    </row>
    <row r="190" spans="1:13" x14ac:dyDescent="0.25">
      <c r="A190" t="s">
        <v>2160</v>
      </c>
      <c r="K190" s="1" t="str">
        <f t="shared" si="4"/>
        <v>2001-03-01</v>
      </c>
      <c r="L190">
        <v>1.5764290000000001</v>
      </c>
      <c r="M190" s="2">
        <f t="shared" si="5"/>
        <v>0.20931579484354912</v>
      </c>
    </row>
    <row r="191" spans="1:13" x14ac:dyDescent="0.25">
      <c r="A191" t="s">
        <v>2161</v>
      </c>
      <c r="K191" s="1" t="str">
        <f t="shared" si="4"/>
        <v>2001-04-01</v>
      </c>
      <c r="L191">
        <v>1.8207139999999999</v>
      </c>
      <c r="M191" s="2">
        <f t="shared" si="5"/>
        <v>0.15496099094852989</v>
      </c>
    </row>
    <row r="192" spans="1:13" x14ac:dyDescent="0.25">
      <c r="A192" t="s">
        <v>2162</v>
      </c>
      <c r="K192" s="1" t="str">
        <f t="shared" si="4"/>
        <v>2001-05-01</v>
      </c>
      <c r="L192">
        <v>1.425</v>
      </c>
      <c r="M192" s="2">
        <f t="shared" si="5"/>
        <v>-0.21734001056728292</v>
      </c>
    </row>
    <row r="193" spans="1:13" x14ac:dyDescent="0.25">
      <c r="A193" t="s">
        <v>2163</v>
      </c>
      <c r="K193" s="1" t="str">
        <f t="shared" si="4"/>
        <v>2001-06-01</v>
      </c>
      <c r="L193">
        <v>1.660714</v>
      </c>
      <c r="M193" s="2">
        <f t="shared" si="5"/>
        <v>0.16541333333333341</v>
      </c>
    </row>
    <row r="194" spans="1:13" x14ac:dyDescent="0.25">
      <c r="A194" t="s">
        <v>2164</v>
      </c>
      <c r="K194" s="1" t="str">
        <f t="shared" si="4"/>
        <v>2001-07-01</v>
      </c>
      <c r="L194">
        <v>1.3421430000000001</v>
      </c>
      <c r="M194" s="2">
        <f t="shared" si="5"/>
        <v>-0.1918277319273517</v>
      </c>
    </row>
    <row r="195" spans="1:13" x14ac:dyDescent="0.25">
      <c r="A195" t="s">
        <v>2165</v>
      </c>
      <c r="K195" s="1" t="str">
        <f t="shared" ref="K195:K258" si="6">LEFT(A195,10)</f>
        <v>2001-08-01</v>
      </c>
      <c r="L195">
        <v>1.325</v>
      </c>
      <c r="M195" s="2">
        <f t="shared" si="5"/>
        <v>-1.2772856543602384E-2</v>
      </c>
    </row>
    <row r="196" spans="1:13" x14ac:dyDescent="0.25">
      <c r="A196" t="s">
        <v>2166</v>
      </c>
      <c r="K196" s="1" t="str">
        <f t="shared" si="6"/>
        <v>2001-09-01</v>
      </c>
      <c r="L196">
        <v>1.1078570000000001</v>
      </c>
      <c r="M196" s="2">
        <f t="shared" ref="M196:M259" si="7">(L196/L195)-1</f>
        <v>-0.16388150943396218</v>
      </c>
    </row>
    <row r="197" spans="1:13" x14ac:dyDescent="0.25">
      <c r="A197" t="s">
        <v>2167</v>
      </c>
      <c r="K197" s="1" t="str">
        <f t="shared" si="6"/>
        <v>2001-10-01</v>
      </c>
      <c r="L197">
        <v>1.254286</v>
      </c>
      <c r="M197" s="2">
        <f t="shared" si="7"/>
        <v>0.13217319563806518</v>
      </c>
    </row>
    <row r="198" spans="1:13" x14ac:dyDescent="0.25">
      <c r="A198" t="s">
        <v>2168</v>
      </c>
      <c r="K198" s="1" t="str">
        <f t="shared" si="6"/>
        <v>2001-11-01</v>
      </c>
      <c r="L198">
        <v>1.5214289999999999</v>
      </c>
      <c r="M198" s="2">
        <f t="shared" si="7"/>
        <v>0.21298412004917533</v>
      </c>
    </row>
    <row r="199" spans="1:13" x14ac:dyDescent="0.25">
      <c r="A199" t="s">
        <v>2169</v>
      </c>
      <c r="K199" s="1" t="str">
        <f t="shared" si="6"/>
        <v>2001-12-01</v>
      </c>
      <c r="L199">
        <v>1.5642860000000001</v>
      </c>
      <c r="M199" s="2">
        <f t="shared" si="7"/>
        <v>2.8168912252888756E-2</v>
      </c>
    </row>
    <row r="200" spans="1:13" x14ac:dyDescent="0.25">
      <c r="A200" t="s">
        <v>2170</v>
      </c>
      <c r="K200" s="1" t="str">
        <f t="shared" si="6"/>
        <v>2002-01-01</v>
      </c>
      <c r="L200">
        <v>1.765714</v>
      </c>
      <c r="M200" s="2">
        <f t="shared" si="7"/>
        <v>0.12876673447182929</v>
      </c>
    </row>
    <row r="201" spans="1:13" x14ac:dyDescent="0.25">
      <c r="A201" t="s">
        <v>2171</v>
      </c>
      <c r="K201" s="1" t="str">
        <f t="shared" si="6"/>
        <v>2002-02-01</v>
      </c>
      <c r="L201">
        <v>1.55</v>
      </c>
      <c r="M201" s="2">
        <f t="shared" si="7"/>
        <v>-0.12216814274565413</v>
      </c>
    </row>
    <row r="202" spans="1:13" x14ac:dyDescent="0.25">
      <c r="A202" t="s">
        <v>2172</v>
      </c>
      <c r="K202" s="1" t="str">
        <f t="shared" si="6"/>
        <v>2002-03-01</v>
      </c>
      <c r="L202">
        <v>1.6907140000000001</v>
      </c>
      <c r="M202" s="2">
        <f t="shared" si="7"/>
        <v>9.0783225806451595E-2</v>
      </c>
    </row>
    <row r="203" spans="1:13" x14ac:dyDescent="0.25">
      <c r="A203" t="s">
        <v>2173</v>
      </c>
      <c r="K203" s="1" t="str">
        <f t="shared" si="6"/>
        <v>2002-04-01</v>
      </c>
      <c r="L203">
        <v>1.733571</v>
      </c>
      <c r="M203" s="2">
        <f t="shared" si="7"/>
        <v>2.5348462247310799E-2</v>
      </c>
    </row>
    <row r="204" spans="1:13" x14ac:dyDescent="0.25">
      <c r="A204" t="s">
        <v>2174</v>
      </c>
      <c r="K204" s="1" t="str">
        <f t="shared" si="6"/>
        <v>2002-05-01</v>
      </c>
      <c r="L204">
        <v>1.6642859999999999</v>
      </c>
      <c r="M204" s="2">
        <f t="shared" si="7"/>
        <v>-3.9966635344038437E-2</v>
      </c>
    </row>
    <row r="205" spans="1:13" x14ac:dyDescent="0.25">
      <c r="A205" t="s">
        <v>2175</v>
      </c>
      <c r="K205" s="1" t="str">
        <f t="shared" si="6"/>
        <v>2002-06-01</v>
      </c>
      <c r="L205">
        <v>1.265714</v>
      </c>
      <c r="M205" s="2">
        <f t="shared" si="7"/>
        <v>-0.23948528077505904</v>
      </c>
    </row>
    <row r="206" spans="1:13" x14ac:dyDescent="0.25">
      <c r="A206" t="s">
        <v>2176</v>
      </c>
      <c r="K206" s="1" t="str">
        <f t="shared" si="6"/>
        <v>2002-07-01</v>
      </c>
      <c r="L206">
        <v>1.0900000000000001</v>
      </c>
      <c r="M206" s="2">
        <f t="shared" si="7"/>
        <v>-0.13882599070564117</v>
      </c>
    </row>
    <row r="207" spans="1:13" x14ac:dyDescent="0.25">
      <c r="A207" t="s">
        <v>2177</v>
      </c>
      <c r="K207" s="1" t="str">
        <f t="shared" si="6"/>
        <v>2002-08-01</v>
      </c>
      <c r="L207">
        <v>1.053571</v>
      </c>
      <c r="M207" s="2">
        <f t="shared" si="7"/>
        <v>-3.3421100917431223E-2</v>
      </c>
    </row>
    <row r="208" spans="1:13" x14ac:dyDescent="0.25">
      <c r="A208" t="s">
        <v>2178</v>
      </c>
      <c r="K208" s="1" t="str">
        <f t="shared" si="6"/>
        <v>2002-09-01</v>
      </c>
      <c r="L208">
        <v>1.035714</v>
      </c>
      <c r="M208" s="2">
        <f t="shared" si="7"/>
        <v>-1.6949023843670696E-2</v>
      </c>
    </row>
    <row r="209" spans="1:13" x14ac:dyDescent="0.25">
      <c r="A209" t="s">
        <v>2179</v>
      </c>
      <c r="K209" s="1" t="str">
        <f t="shared" si="6"/>
        <v>2002-10-01</v>
      </c>
      <c r="L209">
        <v>1.1478569999999999</v>
      </c>
      <c r="M209" s="2">
        <f t="shared" si="7"/>
        <v>0.10827602986924956</v>
      </c>
    </row>
    <row r="210" spans="1:13" x14ac:dyDescent="0.25">
      <c r="A210" t="s">
        <v>2180</v>
      </c>
      <c r="K210" s="1" t="str">
        <f t="shared" si="6"/>
        <v>2002-11-01</v>
      </c>
      <c r="L210">
        <v>1.107143</v>
      </c>
      <c r="M210" s="2">
        <f t="shared" si="7"/>
        <v>-3.5469575042884172E-2</v>
      </c>
    </row>
    <row r="211" spans="1:13" x14ac:dyDescent="0.25">
      <c r="A211" t="s">
        <v>2181</v>
      </c>
      <c r="K211" s="1" t="str">
        <f t="shared" si="6"/>
        <v>2002-12-01</v>
      </c>
      <c r="L211">
        <v>1.023571</v>
      </c>
      <c r="M211" s="2">
        <f t="shared" si="7"/>
        <v>-7.5484377356854537E-2</v>
      </c>
    </row>
    <row r="212" spans="1:13" x14ac:dyDescent="0.25">
      <c r="A212" t="s">
        <v>2182</v>
      </c>
      <c r="K212" s="1" t="str">
        <f t="shared" si="6"/>
        <v>2003-01-01</v>
      </c>
      <c r="L212">
        <v>1.025714</v>
      </c>
      <c r="M212" s="2">
        <f t="shared" si="7"/>
        <v>2.0936505625892554E-3</v>
      </c>
    </row>
    <row r="213" spans="1:13" x14ac:dyDescent="0.25">
      <c r="A213" t="s">
        <v>2183</v>
      </c>
      <c r="K213" s="1" t="str">
        <f t="shared" si="6"/>
        <v>2003-02-01</v>
      </c>
      <c r="L213">
        <v>1.0721430000000001</v>
      </c>
      <c r="M213" s="2">
        <f t="shared" si="7"/>
        <v>4.5265054391380177E-2</v>
      </c>
    </row>
    <row r="214" spans="1:13" x14ac:dyDescent="0.25">
      <c r="A214" t="s">
        <v>2184</v>
      </c>
      <c r="K214" s="1" t="str">
        <f t="shared" si="6"/>
        <v>2003-03-01</v>
      </c>
      <c r="L214">
        <v>1.01</v>
      </c>
      <c r="M214" s="2">
        <f t="shared" si="7"/>
        <v>-5.7961484615391856E-2</v>
      </c>
    </row>
    <row r="215" spans="1:13" x14ac:dyDescent="0.25">
      <c r="A215" t="s">
        <v>2185</v>
      </c>
      <c r="K215" s="1" t="str">
        <f t="shared" si="6"/>
        <v>2003-04-01</v>
      </c>
      <c r="L215">
        <v>1.015714</v>
      </c>
      <c r="M215" s="2">
        <f t="shared" si="7"/>
        <v>5.6574257425743291E-3</v>
      </c>
    </row>
    <row r="216" spans="1:13" x14ac:dyDescent="0.25">
      <c r="A216" t="s">
        <v>2186</v>
      </c>
      <c r="K216" s="1" t="str">
        <f t="shared" si="6"/>
        <v>2003-05-01</v>
      </c>
      <c r="L216">
        <v>1.282143</v>
      </c>
      <c r="M216" s="2">
        <f t="shared" si="7"/>
        <v>0.26230710613420705</v>
      </c>
    </row>
    <row r="217" spans="1:13" x14ac:dyDescent="0.25">
      <c r="A217" t="s">
        <v>2187</v>
      </c>
      <c r="K217" s="1" t="str">
        <f t="shared" si="6"/>
        <v>2003-06-01</v>
      </c>
      <c r="L217">
        <v>1.361429</v>
      </c>
      <c r="M217" s="2">
        <f t="shared" si="7"/>
        <v>6.1838656062545239E-2</v>
      </c>
    </row>
    <row r="218" spans="1:13" x14ac:dyDescent="0.25">
      <c r="A218" t="s">
        <v>2188</v>
      </c>
      <c r="K218" s="1" t="str">
        <f t="shared" si="6"/>
        <v>2003-07-01</v>
      </c>
      <c r="L218">
        <v>1.505714</v>
      </c>
      <c r="M218" s="2">
        <f t="shared" si="7"/>
        <v>0.10598055425585917</v>
      </c>
    </row>
    <row r="219" spans="1:13" x14ac:dyDescent="0.25">
      <c r="A219" t="s">
        <v>2189</v>
      </c>
      <c r="K219" s="1" t="str">
        <f t="shared" si="6"/>
        <v>2003-08-01</v>
      </c>
      <c r="L219">
        <v>1.615</v>
      </c>
      <c r="M219" s="2">
        <f t="shared" si="7"/>
        <v>7.2580848687068045E-2</v>
      </c>
    </row>
    <row r="220" spans="1:13" x14ac:dyDescent="0.25">
      <c r="A220" t="s">
        <v>2190</v>
      </c>
      <c r="K220" s="1" t="str">
        <f t="shared" si="6"/>
        <v>2003-09-01</v>
      </c>
      <c r="L220">
        <v>1.48</v>
      </c>
      <c r="M220" s="2">
        <f t="shared" si="7"/>
        <v>-8.3591331269349811E-2</v>
      </c>
    </row>
    <row r="221" spans="1:13" x14ac:dyDescent="0.25">
      <c r="A221" t="s">
        <v>2191</v>
      </c>
      <c r="K221" s="1" t="str">
        <f t="shared" si="6"/>
        <v>2003-10-01</v>
      </c>
      <c r="L221">
        <v>1.635</v>
      </c>
      <c r="M221" s="2">
        <f t="shared" si="7"/>
        <v>0.10472972972972983</v>
      </c>
    </row>
    <row r="222" spans="1:13" x14ac:dyDescent="0.25">
      <c r="A222" t="s">
        <v>2192</v>
      </c>
      <c r="K222" s="1" t="str">
        <f t="shared" si="6"/>
        <v>2003-11-01</v>
      </c>
      <c r="L222">
        <v>1.493571</v>
      </c>
      <c r="M222" s="2">
        <f t="shared" si="7"/>
        <v>-8.6500917431192703E-2</v>
      </c>
    </row>
    <row r="223" spans="1:13" x14ac:dyDescent="0.25">
      <c r="A223" t="s">
        <v>2193</v>
      </c>
      <c r="K223" s="1" t="str">
        <f t="shared" si="6"/>
        <v>2003-12-01</v>
      </c>
      <c r="L223">
        <v>1.526429</v>
      </c>
      <c r="M223" s="2">
        <f t="shared" si="7"/>
        <v>2.1999623720599937E-2</v>
      </c>
    </row>
    <row r="224" spans="1:13" x14ac:dyDescent="0.25">
      <c r="A224" t="s">
        <v>2194</v>
      </c>
      <c r="K224" s="1" t="str">
        <f t="shared" si="6"/>
        <v>2004-01-01</v>
      </c>
      <c r="L224">
        <v>1.611429</v>
      </c>
      <c r="M224" s="2">
        <f t="shared" si="7"/>
        <v>5.5685524842622902E-2</v>
      </c>
    </row>
    <row r="225" spans="1:13" x14ac:dyDescent="0.25">
      <c r="A225" t="s">
        <v>2195</v>
      </c>
      <c r="K225" s="1" t="str">
        <f t="shared" si="6"/>
        <v>2004-02-01</v>
      </c>
      <c r="L225">
        <v>1.7085710000000001</v>
      </c>
      <c r="M225" s="2">
        <f t="shared" si="7"/>
        <v>6.028313999561874E-2</v>
      </c>
    </row>
    <row r="226" spans="1:13" x14ac:dyDescent="0.25">
      <c r="A226" t="s">
        <v>2196</v>
      </c>
      <c r="K226" s="1" t="str">
        <f t="shared" si="6"/>
        <v>2004-03-01</v>
      </c>
      <c r="L226">
        <v>1.9314290000000001</v>
      </c>
      <c r="M226" s="2">
        <f t="shared" si="7"/>
        <v>0.13043531699882527</v>
      </c>
    </row>
    <row r="227" spans="1:13" x14ac:dyDescent="0.25">
      <c r="A227" t="s">
        <v>2197</v>
      </c>
      <c r="K227" s="1" t="str">
        <f t="shared" si="6"/>
        <v>2004-04-01</v>
      </c>
      <c r="L227">
        <v>1.841429</v>
      </c>
      <c r="M227" s="2">
        <f t="shared" si="7"/>
        <v>-4.6597622796385463E-2</v>
      </c>
    </row>
    <row r="228" spans="1:13" x14ac:dyDescent="0.25">
      <c r="A228" t="s">
        <v>2198</v>
      </c>
      <c r="K228" s="1" t="str">
        <f t="shared" si="6"/>
        <v>2004-05-01</v>
      </c>
      <c r="L228">
        <v>2.004286</v>
      </c>
      <c r="M228" s="2">
        <f t="shared" si="7"/>
        <v>8.8440553504913755E-2</v>
      </c>
    </row>
    <row r="229" spans="1:13" x14ac:dyDescent="0.25">
      <c r="A229" t="s">
        <v>2199</v>
      </c>
      <c r="K229" s="1" t="str">
        <f t="shared" si="6"/>
        <v>2004-06-01</v>
      </c>
      <c r="L229">
        <v>2.3242859999999999</v>
      </c>
      <c r="M229" s="2">
        <f t="shared" si="7"/>
        <v>0.15965785322054837</v>
      </c>
    </row>
    <row r="230" spans="1:13" x14ac:dyDescent="0.25">
      <c r="A230" t="s">
        <v>2200</v>
      </c>
      <c r="K230" s="1" t="str">
        <f t="shared" si="6"/>
        <v>2004-07-01</v>
      </c>
      <c r="L230">
        <v>2.31</v>
      </c>
      <c r="M230" s="2">
        <f t="shared" si="7"/>
        <v>-6.1464036697720381E-3</v>
      </c>
    </row>
    <row r="231" spans="1:13" x14ac:dyDescent="0.25">
      <c r="A231" t="s">
        <v>2201</v>
      </c>
      <c r="K231" s="1" t="str">
        <f t="shared" si="6"/>
        <v>2004-08-01</v>
      </c>
      <c r="L231">
        <v>2.463571</v>
      </c>
      <c r="M231" s="2">
        <f t="shared" si="7"/>
        <v>6.6480952380952418E-2</v>
      </c>
    </row>
    <row r="232" spans="1:13" x14ac:dyDescent="0.25">
      <c r="A232" t="s">
        <v>2202</v>
      </c>
      <c r="K232" s="1" t="str">
        <f t="shared" si="6"/>
        <v>2004-09-01</v>
      </c>
      <c r="L232">
        <v>2.7678569999999998</v>
      </c>
      <c r="M232" s="2">
        <f t="shared" si="7"/>
        <v>0.12351419950957365</v>
      </c>
    </row>
    <row r="233" spans="1:13" x14ac:dyDescent="0.25">
      <c r="A233" t="s">
        <v>2203</v>
      </c>
      <c r="K233" s="1" t="str">
        <f t="shared" si="6"/>
        <v>2004-10-01</v>
      </c>
      <c r="L233">
        <v>3.7428569999999999</v>
      </c>
      <c r="M233" s="2">
        <f t="shared" si="7"/>
        <v>0.3522580826971915</v>
      </c>
    </row>
    <row r="234" spans="1:13" x14ac:dyDescent="0.25">
      <c r="A234" t="s">
        <v>2204</v>
      </c>
      <c r="K234" s="1" t="str">
        <f t="shared" si="6"/>
        <v>2004-11-01</v>
      </c>
      <c r="L234">
        <v>4.7892859999999997</v>
      </c>
      <c r="M234" s="2">
        <f t="shared" si="7"/>
        <v>0.27958027784657546</v>
      </c>
    </row>
    <row r="235" spans="1:13" x14ac:dyDescent="0.25">
      <c r="A235" t="s">
        <v>2205</v>
      </c>
      <c r="K235" s="1" t="str">
        <f t="shared" si="6"/>
        <v>2004-12-01</v>
      </c>
      <c r="L235">
        <v>4.5999999999999996</v>
      </c>
      <c r="M235" s="2">
        <f t="shared" si="7"/>
        <v>-3.9522801519892514E-2</v>
      </c>
    </row>
    <row r="236" spans="1:13" x14ac:dyDescent="0.25">
      <c r="A236" t="s">
        <v>2206</v>
      </c>
      <c r="K236" s="1" t="str">
        <f t="shared" si="6"/>
        <v>2005-01-01</v>
      </c>
      <c r="L236">
        <v>5.4928569999999999</v>
      </c>
      <c r="M236" s="2">
        <f t="shared" si="7"/>
        <v>0.19409934782608707</v>
      </c>
    </row>
    <row r="237" spans="1:13" x14ac:dyDescent="0.25">
      <c r="A237" t="s">
        <v>2207</v>
      </c>
      <c r="K237" s="1" t="str">
        <f t="shared" si="6"/>
        <v>2005-02-01</v>
      </c>
      <c r="L237">
        <v>6.4085710000000002</v>
      </c>
      <c r="M237" s="2">
        <f t="shared" si="7"/>
        <v>0.16670996532405646</v>
      </c>
    </row>
    <row r="238" spans="1:13" x14ac:dyDescent="0.25">
      <c r="A238" t="s">
        <v>2208</v>
      </c>
      <c r="K238" s="1" t="str">
        <f t="shared" si="6"/>
        <v>2005-03-01</v>
      </c>
      <c r="L238">
        <v>5.9528569999999998</v>
      </c>
      <c r="M238" s="2">
        <f t="shared" si="7"/>
        <v>-7.1110080546817778E-2</v>
      </c>
    </row>
    <row r="239" spans="1:13" x14ac:dyDescent="0.25">
      <c r="A239" t="s">
        <v>2209</v>
      </c>
      <c r="K239" s="1" t="str">
        <f t="shared" si="6"/>
        <v>2005-04-01</v>
      </c>
      <c r="L239">
        <v>5.1514290000000003</v>
      </c>
      <c r="M239" s="2">
        <f t="shared" si="7"/>
        <v>-0.13462913690014722</v>
      </c>
    </row>
    <row r="240" spans="1:13" x14ac:dyDescent="0.25">
      <c r="A240" t="s">
        <v>2210</v>
      </c>
      <c r="K240" s="1" t="str">
        <f t="shared" si="6"/>
        <v>2005-05-01</v>
      </c>
      <c r="L240">
        <v>5.68</v>
      </c>
      <c r="M240" s="2">
        <f t="shared" si="7"/>
        <v>0.10260667476927265</v>
      </c>
    </row>
    <row r="241" spans="1:13" x14ac:dyDescent="0.25">
      <c r="A241" t="s">
        <v>2211</v>
      </c>
      <c r="K241" s="1" t="str">
        <f t="shared" si="6"/>
        <v>2005-06-01</v>
      </c>
      <c r="L241">
        <v>5.258572</v>
      </c>
      <c r="M241" s="2">
        <f t="shared" si="7"/>
        <v>-7.4195070422535148E-2</v>
      </c>
    </row>
    <row r="242" spans="1:13" x14ac:dyDescent="0.25">
      <c r="A242" t="s">
        <v>2212</v>
      </c>
      <c r="K242" s="1" t="str">
        <f t="shared" si="6"/>
        <v>2005-07-01</v>
      </c>
      <c r="L242">
        <v>6.0928570000000004</v>
      </c>
      <c r="M242" s="2">
        <f t="shared" si="7"/>
        <v>0.15865238699783912</v>
      </c>
    </row>
    <row r="243" spans="1:13" x14ac:dyDescent="0.25">
      <c r="A243" t="s">
        <v>2213</v>
      </c>
      <c r="K243" s="1" t="str">
        <f t="shared" si="6"/>
        <v>2005-08-01</v>
      </c>
      <c r="L243">
        <v>6.6985710000000003</v>
      </c>
      <c r="M243" s="2">
        <f t="shared" si="7"/>
        <v>9.9413788966325578E-2</v>
      </c>
    </row>
    <row r="244" spans="1:13" x14ac:dyDescent="0.25">
      <c r="A244" t="s">
        <v>2214</v>
      </c>
      <c r="K244" s="1" t="str">
        <f t="shared" si="6"/>
        <v>2005-09-01</v>
      </c>
      <c r="L244">
        <v>7.6585710000000002</v>
      </c>
      <c r="M244" s="2">
        <f t="shared" si="7"/>
        <v>0.14331414864453929</v>
      </c>
    </row>
    <row r="245" spans="1:13" x14ac:dyDescent="0.25">
      <c r="A245" t="s">
        <v>2215</v>
      </c>
      <c r="K245" s="1" t="str">
        <f t="shared" si="6"/>
        <v>2005-10-01</v>
      </c>
      <c r="L245">
        <v>8.2271429999999999</v>
      </c>
      <c r="M245" s="2">
        <f t="shared" si="7"/>
        <v>7.4239959386679377E-2</v>
      </c>
    </row>
    <row r="246" spans="1:13" x14ac:dyDescent="0.25">
      <c r="A246" t="s">
        <v>2216</v>
      </c>
      <c r="K246" s="1" t="str">
        <f t="shared" si="6"/>
        <v>2005-11-01</v>
      </c>
      <c r="L246">
        <v>9.6885709999999996</v>
      </c>
      <c r="M246" s="2">
        <f t="shared" si="7"/>
        <v>0.17763493353646576</v>
      </c>
    </row>
    <row r="247" spans="1:13" x14ac:dyDescent="0.25">
      <c r="A247" t="s">
        <v>2217</v>
      </c>
      <c r="K247" s="1" t="str">
        <f t="shared" si="6"/>
        <v>2005-12-01</v>
      </c>
      <c r="L247">
        <v>10.27</v>
      </c>
      <c r="M247" s="2">
        <f t="shared" si="7"/>
        <v>6.0011842819751138E-2</v>
      </c>
    </row>
    <row r="248" spans="1:13" x14ac:dyDescent="0.25">
      <c r="A248" t="s">
        <v>2218</v>
      </c>
      <c r="K248" s="1" t="str">
        <f t="shared" si="6"/>
        <v>2006-01-01</v>
      </c>
      <c r="L248">
        <v>10.787143</v>
      </c>
      <c r="M248" s="2">
        <f t="shared" si="7"/>
        <v>5.0354722492697235E-2</v>
      </c>
    </row>
    <row r="249" spans="1:13" x14ac:dyDescent="0.25">
      <c r="A249" t="s">
        <v>2219</v>
      </c>
      <c r="K249" s="1" t="str">
        <f t="shared" si="6"/>
        <v>2006-02-01</v>
      </c>
      <c r="L249">
        <v>9.7842859999999998</v>
      </c>
      <c r="M249" s="2">
        <f t="shared" si="7"/>
        <v>-9.2967804357465211E-2</v>
      </c>
    </row>
    <row r="250" spans="1:13" x14ac:dyDescent="0.25">
      <c r="A250" t="s">
        <v>2220</v>
      </c>
      <c r="K250" s="1" t="str">
        <f t="shared" si="6"/>
        <v>2006-03-01</v>
      </c>
      <c r="L250">
        <v>8.9600000000000009</v>
      </c>
      <c r="M250" s="2">
        <f t="shared" si="7"/>
        <v>-8.4245902051513943E-2</v>
      </c>
    </row>
    <row r="251" spans="1:13" x14ac:dyDescent="0.25">
      <c r="A251" t="s">
        <v>2221</v>
      </c>
      <c r="K251" s="1" t="str">
        <f t="shared" si="6"/>
        <v>2006-04-01</v>
      </c>
      <c r="L251">
        <v>10.055714999999999</v>
      </c>
      <c r="M251" s="2">
        <f t="shared" si="7"/>
        <v>0.12228962053571402</v>
      </c>
    </row>
    <row r="252" spans="1:13" x14ac:dyDescent="0.25">
      <c r="A252" t="s">
        <v>2222</v>
      </c>
      <c r="K252" s="1" t="str">
        <f t="shared" si="6"/>
        <v>2006-05-01</v>
      </c>
      <c r="L252">
        <v>8.5385709999999992</v>
      </c>
      <c r="M252" s="2">
        <f t="shared" si="7"/>
        <v>-0.15087380658660277</v>
      </c>
    </row>
    <row r="253" spans="1:13" x14ac:dyDescent="0.25">
      <c r="A253" t="s">
        <v>2223</v>
      </c>
      <c r="K253" s="1" t="str">
        <f t="shared" si="6"/>
        <v>2006-06-01</v>
      </c>
      <c r="L253">
        <v>8.1814289999999996</v>
      </c>
      <c r="M253" s="2">
        <f t="shared" si="7"/>
        <v>-4.1826905228052769E-2</v>
      </c>
    </row>
    <row r="254" spans="1:13" x14ac:dyDescent="0.25">
      <c r="A254" t="s">
        <v>2224</v>
      </c>
      <c r="K254" s="1" t="str">
        <f t="shared" si="6"/>
        <v>2006-07-01</v>
      </c>
      <c r="L254">
        <v>9.7085709999999992</v>
      </c>
      <c r="M254" s="2">
        <f t="shared" si="7"/>
        <v>0.18665956766232394</v>
      </c>
    </row>
    <row r="255" spans="1:13" x14ac:dyDescent="0.25">
      <c r="A255" t="s">
        <v>2225</v>
      </c>
      <c r="K255" s="1" t="str">
        <f t="shared" si="6"/>
        <v>2006-08-01</v>
      </c>
      <c r="L255">
        <v>9.6928570000000001</v>
      </c>
      <c r="M255" s="2">
        <f t="shared" si="7"/>
        <v>-1.6185698183593944E-3</v>
      </c>
    </row>
    <row r="256" spans="1:13" x14ac:dyDescent="0.25">
      <c r="A256" t="s">
        <v>2226</v>
      </c>
      <c r="K256" s="1" t="str">
        <f t="shared" si="6"/>
        <v>2006-09-01</v>
      </c>
      <c r="L256">
        <v>10.997142999999999</v>
      </c>
      <c r="M256" s="2">
        <f t="shared" si="7"/>
        <v>0.13456156425293386</v>
      </c>
    </row>
    <row r="257" spans="1:13" x14ac:dyDescent="0.25">
      <c r="A257" t="s">
        <v>2227</v>
      </c>
      <c r="K257" s="1" t="str">
        <f t="shared" si="6"/>
        <v>2006-10-01</v>
      </c>
      <c r="L257">
        <v>11.582857000000001</v>
      </c>
      <c r="M257" s="2">
        <f t="shared" si="7"/>
        <v>5.3260560492848219E-2</v>
      </c>
    </row>
    <row r="258" spans="1:13" x14ac:dyDescent="0.25">
      <c r="A258" t="s">
        <v>2228</v>
      </c>
      <c r="K258" s="1" t="str">
        <f t="shared" si="6"/>
        <v>2006-11-01</v>
      </c>
      <c r="L258">
        <v>13.094286</v>
      </c>
      <c r="M258" s="2">
        <f t="shared" si="7"/>
        <v>0.13048844512195901</v>
      </c>
    </row>
    <row r="259" spans="1:13" x14ac:dyDescent="0.25">
      <c r="A259" t="s">
        <v>2229</v>
      </c>
      <c r="K259" s="1" t="str">
        <f t="shared" ref="K259:K322" si="8">LEFT(A259,10)</f>
        <v>2006-12-01</v>
      </c>
      <c r="L259">
        <v>12.12</v>
      </c>
      <c r="M259" s="2">
        <f t="shared" si="7"/>
        <v>-7.4405431498899666E-2</v>
      </c>
    </row>
    <row r="260" spans="1:13" x14ac:dyDescent="0.25">
      <c r="A260" t="s">
        <v>2230</v>
      </c>
      <c r="K260" s="1" t="str">
        <f t="shared" si="8"/>
        <v>2007-01-01</v>
      </c>
      <c r="L260">
        <v>12.247142999999999</v>
      </c>
      <c r="M260" s="2">
        <f t="shared" ref="M260:M323" si="9">(L260/L259)-1</f>
        <v>1.0490346534653527E-2</v>
      </c>
    </row>
    <row r="261" spans="1:13" x14ac:dyDescent="0.25">
      <c r="A261" t="s">
        <v>2231</v>
      </c>
      <c r="K261" s="1" t="str">
        <f t="shared" si="8"/>
        <v>2007-02-01</v>
      </c>
      <c r="L261">
        <v>12.087142999999999</v>
      </c>
      <c r="M261" s="2">
        <f t="shared" si="9"/>
        <v>-1.3064271397827287E-2</v>
      </c>
    </row>
    <row r="262" spans="1:13" x14ac:dyDescent="0.25">
      <c r="A262" t="s">
        <v>2232</v>
      </c>
      <c r="K262" s="1" t="str">
        <f t="shared" si="8"/>
        <v>2007-03-01</v>
      </c>
      <c r="L262">
        <v>13.272857</v>
      </c>
      <c r="M262" s="2">
        <f t="shared" si="9"/>
        <v>9.8097126839651105E-2</v>
      </c>
    </row>
    <row r="263" spans="1:13" x14ac:dyDescent="0.25">
      <c r="A263" t="s">
        <v>2233</v>
      </c>
      <c r="K263" s="1" t="str">
        <f t="shared" si="8"/>
        <v>2007-04-01</v>
      </c>
      <c r="L263">
        <v>14.257142999999999</v>
      </c>
      <c r="M263" s="2">
        <f t="shared" si="9"/>
        <v>7.4157809430177579E-2</v>
      </c>
    </row>
    <row r="264" spans="1:13" x14ac:dyDescent="0.25">
      <c r="A264" t="s">
        <v>2234</v>
      </c>
      <c r="K264" s="1" t="str">
        <f t="shared" si="8"/>
        <v>2007-05-01</v>
      </c>
      <c r="L264">
        <v>17.312857000000001</v>
      </c>
      <c r="M264" s="2">
        <f t="shared" si="9"/>
        <v>0.21432863512696776</v>
      </c>
    </row>
    <row r="265" spans="1:13" x14ac:dyDescent="0.25">
      <c r="A265" t="s">
        <v>2235</v>
      </c>
      <c r="K265" s="1" t="str">
        <f t="shared" si="8"/>
        <v>2007-06-01</v>
      </c>
      <c r="L265">
        <v>17.434286</v>
      </c>
      <c r="M265" s="2">
        <f t="shared" si="9"/>
        <v>7.013804827244785E-3</v>
      </c>
    </row>
    <row r="266" spans="1:13" x14ac:dyDescent="0.25">
      <c r="A266" t="s">
        <v>2236</v>
      </c>
      <c r="K266" s="1" t="str">
        <f t="shared" si="8"/>
        <v>2007-07-01</v>
      </c>
      <c r="L266">
        <v>18.822856999999999</v>
      </c>
      <c r="M266" s="2">
        <f t="shared" si="9"/>
        <v>7.9645991811766681E-2</v>
      </c>
    </row>
    <row r="267" spans="1:13" x14ac:dyDescent="0.25">
      <c r="A267" t="s">
        <v>2237</v>
      </c>
      <c r="K267" s="1" t="str">
        <f t="shared" si="8"/>
        <v>2007-08-01</v>
      </c>
      <c r="L267">
        <v>19.782858000000001</v>
      </c>
      <c r="M267" s="2">
        <f t="shared" si="9"/>
        <v>5.1001875007603781E-2</v>
      </c>
    </row>
    <row r="268" spans="1:13" x14ac:dyDescent="0.25">
      <c r="A268" t="s">
        <v>2238</v>
      </c>
      <c r="K268" s="1" t="str">
        <f t="shared" si="8"/>
        <v>2007-09-01</v>
      </c>
      <c r="L268">
        <v>21.924285999999999</v>
      </c>
      <c r="M268" s="2">
        <f t="shared" si="9"/>
        <v>0.10824664464558142</v>
      </c>
    </row>
    <row r="269" spans="1:13" x14ac:dyDescent="0.25">
      <c r="A269" t="s">
        <v>2239</v>
      </c>
      <c r="K269" s="1" t="str">
        <f t="shared" si="8"/>
        <v>2007-10-01</v>
      </c>
      <c r="L269">
        <v>27.135714</v>
      </c>
      <c r="M269" s="2">
        <f t="shared" si="9"/>
        <v>0.23770115022217841</v>
      </c>
    </row>
    <row r="270" spans="1:13" x14ac:dyDescent="0.25">
      <c r="A270" t="s">
        <v>2240</v>
      </c>
      <c r="K270" s="1" t="str">
        <f t="shared" si="8"/>
        <v>2007-11-01</v>
      </c>
      <c r="L270">
        <v>26.031428999999999</v>
      </c>
      <c r="M270" s="2">
        <f t="shared" si="9"/>
        <v>-4.0694893821478284E-2</v>
      </c>
    </row>
    <row r="271" spans="1:13" x14ac:dyDescent="0.25">
      <c r="A271" t="s">
        <v>2241</v>
      </c>
      <c r="K271" s="1" t="str">
        <f t="shared" si="8"/>
        <v>2007-12-01</v>
      </c>
      <c r="L271">
        <v>28.297142000000001</v>
      </c>
      <c r="M271" s="2">
        <f t="shared" si="9"/>
        <v>8.7037595976771076E-2</v>
      </c>
    </row>
    <row r="272" spans="1:13" x14ac:dyDescent="0.25">
      <c r="A272" t="s">
        <v>2242</v>
      </c>
      <c r="K272" s="1" t="str">
        <f t="shared" si="8"/>
        <v>2008-01-01</v>
      </c>
      <c r="L272">
        <v>19.337143000000001</v>
      </c>
      <c r="M272" s="2">
        <f t="shared" si="9"/>
        <v>-0.31663971577058914</v>
      </c>
    </row>
    <row r="273" spans="1:13" x14ac:dyDescent="0.25">
      <c r="A273" t="s">
        <v>2243</v>
      </c>
      <c r="K273" s="1" t="str">
        <f t="shared" si="8"/>
        <v>2008-02-01</v>
      </c>
      <c r="L273">
        <v>17.860001</v>
      </c>
      <c r="M273" s="2">
        <f t="shared" si="9"/>
        <v>-7.6388843998309364E-2</v>
      </c>
    </row>
    <row r="274" spans="1:13" x14ac:dyDescent="0.25">
      <c r="A274" t="s">
        <v>2244</v>
      </c>
      <c r="K274" s="1" t="str">
        <f t="shared" si="8"/>
        <v>2008-03-01</v>
      </c>
      <c r="L274">
        <v>20.5</v>
      </c>
      <c r="M274" s="2">
        <f t="shared" si="9"/>
        <v>0.14781628511666933</v>
      </c>
    </row>
    <row r="275" spans="1:13" x14ac:dyDescent="0.25">
      <c r="A275" t="s">
        <v>2245</v>
      </c>
      <c r="K275" s="1" t="str">
        <f t="shared" si="8"/>
        <v>2008-04-01</v>
      </c>
      <c r="L275">
        <v>24.85</v>
      </c>
      <c r="M275" s="2">
        <f t="shared" si="9"/>
        <v>0.21219512195121948</v>
      </c>
    </row>
    <row r="276" spans="1:13" x14ac:dyDescent="0.25">
      <c r="A276" t="s">
        <v>2246</v>
      </c>
      <c r="K276" s="1" t="str">
        <f t="shared" si="8"/>
        <v>2008-05-01</v>
      </c>
      <c r="L276">
        <v>26.964285</v>
      </c>
      <c r="M276" s="2">
        <f t="shared" si="9"/>
        <v>8.5081891348088412E-2</v>
      </c>
    </row>
    <row r="277" spans="1:13" x14ac:dyDescent="0.25">
      <c r="A277" t="s">
        <v>2247</v>
      </c>
      <c r="K277" s="1" t="str">
        <f t="shared" si="8"/>
        <v>2008-06-01</v>
      </c>
      <c r="L277">
        <v>23.92</v>
      </c>
      <c r="M277" s="2">
        <f t="shared" si="9"/>
        <v>-0.11290063875233469</v>
      </c>
    </row>
    <row r="278" spans="1:13" x14ac:dyDescent="0.25">
      <c r="A278" t="s">
        <v>2248</v>
      </c>
      <c r="K278" s="1" t="str">
        <f t="shared" si="8"/>
        <v>2008-07-01</v>
      </c>
      <c r="L278">
        <v>22.707144</v>
      </c>
      <c r="M278" s="2">
        <f t="shared" si="9"/>
        <v>-5.0704682274247626E-2</v>
      </c>
    </row>
    <row r="279" spans="1:13" x14ac:dyDescent="0.25">
      <c r="A279" t="s">
        <v>2249</v>
      </c>
      <c r="K279" s="1" t="str">
        <f t="shared" si="8"/>
        <v>2008-08-01</v>
      </c>
      <c r="L279">
        <v>24.218571000000001</v>
      </c>
      <c r="M279" s="2">
        <f t="shared" si="9"/>
        <v>6.6561739336307602E-2</v>
      </c>
    </row>
    <row r="280" spans="1:13" x14ac:dyDescent="0.25">
      <c r="A280" t="s">
        <v>2250</v>
      </c>
      <c r="K280" s="1" t="str">
        <f t="shared" si="8"/>
        <v>2008-09-01</v>
      </c>
      <c r="L280">
        <v>16.237143</v>
      </c>
      <c r="M280" s="2">
        <f t="shared" si="9"/>
        <v>-0.32955817252801578</v>
      </c>
    </row>
    <row r="281" spans="1:13" x14ac:dyDescent="0.25">
      <c r="A281" t="s">
        <v>2251</v>
      </c>
      <c r="K281" s="1" t="str">
        <f t="shared" si="8"/>
        <v>2008-10-01</v>
      </c>
      <c r="L281">
        <v>15.37</v>
      </c>
      <c r="M281" s="2">
        <f t="shared" si="9"/>
        <v>-5.3404900110813891E-2</v>
      </c>
    </row>
    <row r="282" spans="1:13" x14ac:dyDescent="0.25">
      <c r="A282" t="s">
        <v>2252</v>
      </c>
      <c r="K282" s="1" t="str">
        <f t="shared" si="8"/>
        <v>2008-11-01</v>
      </c>
      <c r="L282">
        <v>13.238571</v>
      </c>
      <c r="M282" s="2">
        <f t="shared" si="9"/>
        <v>-0.13867462589459978</v>
      </c>
    </row>
    <row r="283" spans="1:13" x14ac:dyDescent="0.25">
      <c r="A283" t="s">
        <v>2253</v>
      </c>
      <c r="K283" s="1" t="str">
        <f t="shared" si="8"/>
        <v>2008-12-01</v>
      </c>
      <c r="L283">
        <v>12.192857</v>
      </c>
      <c r="M283" s="2">
        <f t="shared" si="9"/>
        <v>-7.8989945364949188E-2</v>
      </c>
    </row>
    <row r="284" spans="1:13" x14ac:dyDescent="0.25">
      <c r="A284" t="s">
        <v>2254</v>
      </c>
      <c r="K284" s="1" t="str">
        <f t="shared" si="8"/>
        <v>2009-01-01</v>
      </c>
      <c r="L284">
        <v>12.875714</v>
      </c>
      <c r="M284" s="2">
        <f t="shared" si="9"/>
        <v>5.6004675524366387E-2</v>
      </c>
    </row>
    <row r="285" spans="1:13" x14ac:dyDescent="0.25">
      <c r="A285" t="s">
        <v>2255</v>
      </c>
      <c r="K285" s="1" t="str">
        <f t="shared" si="8"/>
        <v>2009-02-01</v>
      </c>
      <c r="L285">
        <v>12.758571999999999</v>
      </c>
      <c r="M285" s="2">
        <f t="shared" si="9"/>
        <v>-9.0979032308422525E-3</v>
      </c>
    </row>
    <row r="286" spans="1:13" x14ac:dyDescent="0.25">
      <c r="A286" t="s">
        <v>2256</v>
      </c>
      <c r="K286" s="1" t="str">
        <f t="shared" si="8"/>
        <v>2009-03-01</v>
      </c>
      <c r="L286">
        <v>15.017143000000001</v>
      </c>
      <c r="M286" s="2">
        <f t="shared" si="9"/>
        <v>0.17702380799355932</v>
      </c>
    </row>
    <row r="287" spans="1:13" x14ac:dyDescent="0.25">
      <c r="A287" t="s">
        <v>2257</v>
      </c>
      <c r="K287" s="1" t="str">
        <f t="shared" si="8"/>
        <v>2009-04-01</v>
      </c>
      <c r="L287">
        <v>17.975714</v>
      </c>
      <c r="M287" s="2">
        <f t="shared" si="9"/>
        <v>0.19701290718214493</v>
      </c>
    </row>
    <row r="288" spans="1:13" x14ac:dyDescent="0.25">
      <c r="A288" t="s">
        <v>2258</v>
      </c>
      <c r="K288" s="1" t="str">
        <f t="shared" si="8"/>
        <v>2009-05-01</v>
      </c>
      <c r="L288">
        <v>19.401427999999999</v>
      </c>
      <c r="M288" s="2">
        <f t="shared" si="9"/>
        <v>7.931334466046791E-2</v>
      </c>
    </row>
    <row r="289" spans="1:13" x14ac:dyDescent="0.25">
      <c r="A289" t="s">
        <v>2259</v>
      </c>
      <c r="K289" s="1" t="str">
        <f t="shared" si="8"/>
        <v>2009-06-01</v>
      </c>
      <c r="L289">
        <v>20.347142999999999</v>
      </c>
      <c r="M289" s="2">
        <f t="shared" si="9"/>
        <v>4.8744607871131995E-2</v>
      </c>
    </row>
    <row r="290" spans="1:13" x14ac:dyDescent="0.25">
      <c r="A290" t="s">
        <v>2260</v>
      </c>
      <c r="K290" s="1" t="str">
        <f t="shared" si="8"/>
        <v>2009-07-01</v>
      </c>
      <c r="L290">
        <v>23.341429000000002</v>
      </c>
      <c r="M290" s="2">
        <f t="shared" si="9"/>
        <v>0.14716002143396745</v>
      </c>
    </row>
    <row r="291" spans="1:13" x14ac:dyDescent="0.25">
      <c r="A291" t="s">
        <v>2261</v>
      </c>
      <c r="K291" s="1" t="str">
        <f t="shared" si="8"/>
        <v>2009-08-01</v>
      </c>
      <c r="L291">
        <v>24.030000999999999</v>
      </c>
      <c r="M291" s="2">
        <f t="shared" si="9"/>
        <v>2.9499993338025554E-2</v>
      </c>
    </row>
    <row r="292" spans="1:13" x14ac:dyDescent="0.25">
      <c r="A292" t="s">
        <v>2262</v>
      </c>
      <c r="K292" s="1" t="str">
        <f t="shared" si="8"/>
        <v>2009-09-01</v>
      </c>
      <c r="L292">
        <v>26.478570999999999</v>
      </c>
      <c r="M292" s="2">
        <f t="shared" si="9"/>
        <v>0.10189637528521112</v>
      </c>
    </row>
    <row r="293" spans="1:13" x14ac:dyDescent="0.25">
      <c r="A293" t="s">
        <v>2263</v>
      </c>
      <c r="K293" s="1" t="str">
        <f t="shared" si="8"/>
        <v>2009-10-01</v>
      </c>
      <c r="L293">
        <v>26.928571999999999</v>
      </c>
      <c r="M293" s="2">
        <f t="shared" si="9"/>
        <v>1.699491260310082E-2</v>
      </c>
    </row>
    <row r="294" spans="1:13" x14ac:dyDescent="0.25">
      <c r="A294" t="s">
        <v>2264</v>
      </c>
      <c r="K294" s="1" t="str">
        <f t="shared" si="8"/>
        <v>2009-11-01</v>
      </c>
      <c r="L294">
        <v>28.558571000000001</v>
      </c>
      <c r="M294" s="2">
        <f t="shared" si="9"/>
        <v>6.0530465559035296E-2</v>
      </c>
    </row>
    <row r="295" spans="1:13" x14ac:dyDescent="0.25">
      <c r="A295" t="s">
        <v>2265</v>
      </c>
      <c r="K295" s="1" t="str">
        <f t="shared" si="8"/>
        <v>2009-12-01</v>
      </c>
      <c r="L295">
        <v>30.104285999999998</v>
      </c>
      <c r="M295" s="2">
        <f t="shared" si="9"/>
        <v>5.4124381783668296E-2</v>
      </c>
    </row>
    <row r="296" spans="1:13" x14ac:dyDescent="0.25">
      <c r="A296" t="s">
        <v>2266</v>
      </c>
      <c r="K296" s="1" t="str">
        <f t="shared" si="8"/>
        <v>2010-01-01</v>
      </c>
      <c r="L296">
        <v>27.437142999999999</v>
      </c>
      <c r="M296" s="2">
        <f t="shared" si="9"/>
        <v>-8.8596786517374904E-2</v>
      </c>
    </row>
    <row r="297" spans="1:13" x14ac:dyDescent="0.25">
      <c r="A297" t="s">
        <v>2267</v>
      </c>
      <c r="K297" s="1" t="str">
        <f t="shared" si="8"/>
        <v>2010-02-01</v>
      </c>
      <c r="L297">
        <v>29.231428000000001</v>
      </c>
      <c r="M297" s="2">
        <f t="shared" si="9"/>
        <v>6.5396203970653932E-2</v>
      </c>
    </row>
    <row r="298" spans="1:13" x14ac:dyDescent="0.25">
      <c r="A298" t="s">
        <v>2268</v>
      </c>
      <c r="K298" s="1" t="str">
        <f t="shared" si="8"/>
        <v>2010-03-01</v>
      </c>
      <c r="L298">
        <v>33.571429999999999</v>
      </c>
      <c r="M298" s="2">
        <f t="shared" si="9"/>
        <v>0.14847040657746846</v>
      </c>
    </row>
    <row r="299" spans="1:13" x14ac:dyDescent="0.25">
      <c r="A299" t="s">
        <v>2269</v>
      </c>
      <c r="K299" s="1" t="str">
        <f t="shared" si="8"/>
        <v>2010-04-01</v>
      </c>
      <c r="L299">
        <v>37.298572999999998</v>
      </c>
      <c r="M299" s="2">
        <f t="shared" si="9"/>
        <v>0.11102127612675416</v>
      </c>
    </row>
    <row r="300" spans="1:13" x14ac:dyDescent="0.25">
      <c r="A300" t="s">
        <v>2270</v>
      </c>
      <c r="K300" s="1" t="str">
        <f t="shared" si="8"/>
        <v>2010-05-01</v>
      </c>
      <c r="L300">
        <v>36.697144000000002</v>
      </c>
      <c r="M300" s="2">
        <f t="shared" si="9"/>
        <v>-1.6124718766050261E-2</v>
      </c>
    </row>
    <row r="301" spans="1:13" x14ac:dyDescent="0.25">
      <c r="A301" t="s">
        <v>2271</v>
      </c>
      <c r="K301" s="1" t="str">
        <f t="shared" si="8"/>
        <v>2010-06-01</v>
      </c>
      <c r="L301">
        <v>35.932858000000003</v>
      </c>
      <c r="M301" s="2">
        <f t="shared" si="9"/>
        <v>-2.0826852356684689E-2</v>
      </c>
    </row>
    <row r="302" spans="1:13" x14ac:dyDescent="0.25">
      <c r="A302" t="s">
        <v>2272</v>
      </c>
      <c r="K302" s="1" t="str">
        <f t="shared" si="8"/>
        <v>2010-07-01</v>
      </c>
      <c r="L302">
        <v>36.75</v>
      </c>
      <c r="M302" s="2">
        <f t="shared" si="9"/>
        <v>2.2740801747525907E-2</v>
      </c>
    </row>
    <row r="303" spans="1:13" x14ac:dyDescent="0.25">
      <c r="A303" t="s">
        <v>2273</v>
      </c>
      <c r="K303" s="1" t="str">
        <f t="shared" si="8"/>
        <v>2010-08-01</v>
      </c>
      <c r="L303">
        <v>34.728572999999997</v>
      </c>
      <c r="M303" s="2">
        <f t="shared" si="9"/>
        <v>-5.5004816326530648E-2</v>
      </c>
    </row>
    <row r="304" spans="1:13" x14ac:dyDescent="0.25">
      <c r="A304" t="s">
        <v>2274</v>
      </c>
      <c r="K304" s="1" t="str">
        <f t="shared" si="8"/>
        <v>2010-09-01</v>
      </c>
      <c r="L304">
        <v>40.535713000000001</v>
      </c>
      <c r="M304" s="2">
        <f t="shared" si="9"/>
        <v>0.16721504796641096</v>
      </c>
    </row>
    <row r="305" spans="1:13" x14ac:dyDescent="0.25">
      <c r="A305" t="s">
        <v>2275</v>
      </c>
      <c r="K305" s="1" t="str">
        <f t="shared" si="8"/>
        <v>2010-10-01</v>
      </c>
      <c r="L305">
        <v>42.997143000000001</v>
      </c>
      <c r="M305" s="2">
        <f t="shared" si="9"/>
        <v>6.0722504128643218E-2</v>
      </c>
    </row>
    <row r="306" spans="1:13" x14ac:dyDescent="0.25">
      <c r="A306" t="s">
        <v>2276</v>
      </c>
      <c r="K306" s="1" t="str">
        <f t="shared" si="8"/>
        <v>2010-11-01</v>
      </c>
      <c r="L306">
        <v>44.450001</v>
      </c>
      <c r="M306" s="2">
        <f t="shared" si="9"/>
        <v>3.3789640395409437E-2</v>
      </c>
    </row>
    <row r="307" spans="1:13" x14ac:dyDescent="0.25">
      <c r="A307" t="s">
        <v>2277</v>
      </c>
      <c r="K307" s="1" t="str">
        <f t="shared" si="8"/>
        <v>2010-12-01</v>
      </c>
      <c r="L307">
        <v>46.080002</v>
      </c>
      <c r="M307" s="2">
        <f t="shared" si="9"/>
        <v>3.6670437870181427E-2</v>
      </c>
    </row>
    <row r="308" spans="1:13" x14ac:dyDescent="0.25">
      <c r="A308" t="s">
        <v>2278</v>
      </c>
      <c r="K308" s="1" t="str">
        <f t="shared" si="8"/>
        <v>2011-01-01</v>
      </c>
      <c r="L308">
        <v>48.474285000000002</v>
      </c>
      <c r="M308" s="2">
        <f t="shared" si="9"/>
        <v>5.1959264237879221E-2</v>
      </c>
    </row>
    <row r="309" spans="1:13" x14ac:dyDescent="0.25">
      <c r="A309" t="s">
        <v>2279</v>
      </c>
      <c r="K309" s="1" t="str">
        <f t="shared" si="8"/>
        <v>2011-02-01</v>
      </c>
      <c r="L309">
        <v>50.458571999999997</v>
      </c>
      <c r="M309" s="2">
        <f t="shared" si="9"/>
        <v>4.0934837924891498E-2</v>
      </c>
    </row>
    <row r="310" spans="1:13" x14ac:dyDescent="0.25">
      <c r="A310" t="s">
        <v>2280</v>
      </c>
      <c r="K310" s="1" t="str">
        <f t="shared" si="8"/>
        <v>2011-03-01</v>
      </c>
      <c r="L310">
        <v>49.787143999999998</v>
      </c>
      <c r="M310" s="2">
        <f t="shared" si="9"/>
        <v>-1.3306520049754855E-2</v>
      </c>
    </row>
    <row r="311" spans="1:13" x14ac:dyDescent="0.25">
      <c r="A311" t="s">
        <v>2281</v>
      </c>
      <c r="K311" s="1" t="str">
        <f t="shared" si="8"/>
        <v>2011-04-01</v>
      </c>
      <c r="L311">
        <v>50.018569999999997</v>
      </c>
      <c r="M311" s="2">
        <f t="shared" si="9"/>
        <v>4.6483084066841762E-3</v>
      </c>
    </row>
    <row r="312" spans="1:13" x14ac:dyDescent="0.25">
      <c r="A312" t="s">
        <v>2282</v>
      </c>
      <c r="K312" s="1" t="str">
        <f t="shared" si="8"/>
        <v>2011-05-01</v>
      </c>
      <c r="L312">
        <v>49.689999</v>
      </c>
      <c r="M312" s="2">
        <f t="shared" si="9"/>
        <v>-6.5689802807237241E-3</v>
      </c>
    </row>
    <row r="313" spans="1:13" x14ac:dyDescent="0.25">
      <c r="A313" t="s">
        <v>2283</v>
      </c>
      <c r="K313" s="1" t="str">
        <f t="shared" si="8"/>
        <v>2011-06-01</v>
      </c>
      <c r="L313">
        <v>47.952857999999999</v>
      </c>
      <c r="M313" s="2">
        <f t="shared" si="9"/>
        <v>-3.4959570033398446E-2</v>
      </c>
    </row>
    <row r="314" spans="1:13" x14ac:dyDescent="0.25">
      <c r="A314" t="s">
        <v>2284</v>
      </c>
      <c r="K314" s="1" t="str">
        <f t="shared" si="8"/>
        <v>2011-07-01</v>
      </c>
      <c r="L314">
        <v>55.782856000000002</v>
      </c>
      <c r="M314" s="2">
        <f t="shared" si="9"/>
        <v>0.16328532493308323</v>
      </c>
    </row>
    <row r="315" spans="1:13" x14ac:dyDescent="0.25">
      <c r="A315" t="s">
        <v>2285</v>
      </c>
      <c r="K315" s="1" t="str">
        <f t="shared" si="8"/>
        <v>2011-08-01</v>
      </c>
      <c r="L315">
        <v>54.975715999999998</v>
      </c>
      <c r="M315" s="2">
        <f t="shared" si="9"/>
        <v>-1.4469320107955874E-2</v>
      </c>
    </row>
    <row r="316" spans="1:13" x14ac:dyDescent="0.25">
      <c r="A316" t="s">
        <v>2286</v>
      </c>
      <c r="K316" s="1" t="str">
        <f t="shared" si="8"/>
        <v>2011-09-01</v>
      </c>
      <c r="L316">
        <v>54.474285000000002</v>
      </c>
      <c r="M316" s="2">
        <f t="shared" si="9"/>
        <v>-9.1209544228582073E-3</v>
      </c>
    </row>
    <row r="317" spans="1:13" x14ac:dyDescent="0.25">
      <c r="A317" t="s">
        <v>2287</v>
      </c>
      <c r="K317" s="1" t="str">
        <f t="shared" si="8"/>
        <v>2011-10-01</v>
      </c>
      <c r="L317">
        <v>57.825713999999998</v>
      </c>
      <c r="M317" s="2">
        <f t="shared" si="9"/>
        <v>6.1523138853497583E-2</v>
      </c>
    </row>
    <row r="318" spans="1:13" x14ac:dyDescent="0.25">
      <c r="A318" t="s">
        <v>2288</v>
      </c>
      <c r="K318" s="1" t="str">
        <f t="shared" si="8"/>
        <v>2011-11-01</v>
      </c>
      <c r="L318">
        <v>54.599997999999999</v>
      </c>
      <c r="M318" s="2">
        <f t="shared" si="9"/>
        <v>-5.5783418428694165E-2</v>
      </c>
    </row>
    <row r="319" spans="1:13" x14ac:dyDescent="0.25">
      <c r="A319" t="s">
        <v>2289</v>
      </c>
      <c r="K319" s="1" t="str">
        <f t="shared" si="8"/>
        <v>2011-12-01</v>
      </c>
      <c r="L319">
        <v>57.857143000000001</v>
      </c>
      <c r="M319" s="2">
        <f t="shared" si="9"/>
        <v>5.9654672514823259E-2</v>
      </c>
    </row>
    <row r="320" spans="1:13" x14ac:dyDescent="0.25">
      <c r="A320" t="s">
        <v>2290</v>
      </c>
      <c r="K320" s="1" t="str">
        <f t="shared" si="8"/>
        <v>2012-01-01</v>
      </c>
      <c r="L320">
        <v>65.211426000000003</v>
      </c>
      <c r="M320" s="2">
        <f t="shared" si="9"/>
        <v>0.12711106388367632</v>
      </c>
    </row>
    <row r="321" spans="1:13" x14ac:dyDescent="0.25">
      <c r="A321" t="s">
        <v>2291</v>
      </c>
      <c r="K321" s="1" t="str">
        <f t="shared" si="8"/>
        <v>2012-02-01</v>
      </c>
      <c r="L321">
        <v>77.491432000000003</v>
      </c>
      <c r="M321" s="2">
        <f t="shared" si="9"/>
        <v>0.18831064973184297</v>
      </c>
    </row>
    <row r="322" spans="1:13" x14ac:dyDescent="0.25">
      <c r="A322" t="s">
        <v>2292</v>
      </c>
      <c r="K322" s="1" t="str">
        <f t="shared" si="8"/>
        <v>2012-03-01</v>
      </c>
      <c r="L322">
        <v>85.650002000000001</v>
      </c>
      <c r="M322" s="2">
        <f t="shared" si="9"/>
        <v>0.10528351056927177</v>
      </c>
    </row>
    <row r="323" spans="1:13" x14ac:dyDescent="0.25">
      <c r="A323" t="s">
        <v>2293</v>
      </c>
      <c r="K323" s="1" t="str">
        <f t="shared" ref="K323:K386" si="10">LEFT(A323,10)</f>
        <v>2012-04-01</v>
      </c>
      <c r="L323">
        <v>83.425713000000002</v>
      </c>
      <c r="M323" s="2">
        <f t="shared" si="9"/>
        <v>-2.5969514863525611E-2</v>
      </c>
    </row>
    <row r="324" spans="1:13" x14ac:dyDescent="0.25">
      <c r="A324" t="s">
        <v>2294</v>
      </c>
      <c r="K324" s="1" t="str">
        <f t="shared" si="10"/>
        <v>2012-05-01</v>
      </c>
      <c r="L324">
        <v>82.532859999999999</v>
      </c>
      <c r="M324" s="2">
        <f t="shared" ref="M324:M387" si="11">(L324/L323)-1</f>
        <v>-1.0702371821503021E-2</v>
      </c>
    </row>
    <row r="325" spans="1:13" x14ac:dyDescent="0.25">
      <c r="A325" t="s">
        <v>2295</v>
      </c>
      <c r="K325" s="1" t="str">
        <f t="shared" si="10"/>
        <v>2012-06-01</v>
      </c>
      <c r="L325">
        <v>83.428573999999998</v>
      </c>
      <c r="M325" s="2">
        <f t="shared" si="11"/>
        <v>1.0852816684166822E-2</v>
      </c>
    </row>
    <row r="326" spans="1:13" x14ac:dyDescent="0.25">
      <c r="A326" t="s">
        <v>2296</v>
      </c>
      <c r="K326" s="1" t="str">
        <f t="shared" si="10"/>
        <v>2012-07-01</v>
      </c>
      <c r="L326">
        <v>87.251427000000007</v>
      </c>
      <c r="M326" s="2">
        <f t="shared" si="11"/>
        <v>4.582186673836719E-2</v>
      </c>
    </row>
    <row r="327" spans="1:13" x14ac:dyDescent="0.25">
      <c r="A327" t="s">
        <v>2297</v>
      </c>
      <c r="K327" s="1" t="str">
        <f t="shared" si="10"/>
        <v>2012-08-01</v>
      </c>
      <c r="L327">
        <v>95.034285999999994</v>
      </c>
      <c r="M327" s="2">
        <f t="shared" si="11"/>
        <v>8.9200363450788966E-2</v>
      </c>
    </row>
    <row r="328" spans="1:13" x14ac:dyDescent="0.25">
      <c r="A328" t="s">
        <v>2298</v>
      </c>
      <c r="K328" s="1" t="str">
        <f t="shared" si="10"/>
        <v>2012-09-01</v>
      </c>
      <c r="L328">
        <v>95.300003000000004</v>
      </c>
      <c r="M328" s="2">
        <f t="shared" si="11"/>
        <v>2.7960119572003617E-3</v>
      </c>
    </row>
    <row r="329" spans="1:13" x14ac:dyDescent="0.25">
      <c r="A329" t="s">
        <v>2299</v>
      </c>
      <c r="K329" s="1" t="str">
        <f t="shared" si="10"/>
        <v>2012-10-01</v>
      </c>
      <c r="L329">
        <v>85.045715000000001</v>
      </c>
      <c r="M329" s="2">
        <f t="shared" si="11"/>
        <v>-0.10760008055823467</v>
      </c>
    </row>
    <row r="330" spans="1:13" x14ac:dyDescent="0.25">
      <c r="A330" t="s">
        <v>2300</v>
      </c>
      <c r="K330" s="1" t="str">
        <f t="shared" si="10"/>
        <v>2012-11-01</v>
      </c>
      <c r="L330">
        <v>83.611427000000006</v>
      </c>
      <c r="M330" s="2">
        <f t="shared" si="11"/>
        <v>-1.6864906127251666E-2</v>
      </c>
    </row>
    <row r="331" spans="1:13" x14ac:dyDescent="0.25">
      <c r="A331" t="s">
        <v>2301</v>
      </c>
      <c r="K331" s="1" t="str">
        <f t="shared" si="10"/>
        <v>2012-12-01</v>
      </c>
      <c r="L331">
        <v>76.024283999999994</v>
      </c>
      <c r="M331" s="2">
        <f t="shared" si="11"/>
        <v>-9.0742895704913784E-2</v>
      </c>
    </row>
    <row r="332" spans="1:13" x14ac:dyDescent="0.25">
      <c r="A332" t="s">
        <v>2302</v>
      </c>
      <c r="K332" s="1" t="str">
        <f t="shared" si="10"/>
        <v>2013-01-01</v>
      </c>
      <c r="L332">
        <v>65.069999999999993</v>
      </c>
      <c r="M332" s="2">
        <f t="shared" si="11"/>
        <v>-0.14408927547413664</v>
      </c>
    </row>
    <row r="333" spans="1:13" x14ac:dyDescent="0.25">
      <c r="A333" t="s">
        <v>2303</v>
      </c>
      <c r="K333" s="1" t="str">
        <f t="shared" si="10"/>
        <v>2013-02-01</v>
      </c>
      <c r="L333">
        <v>63.057144000000001</v>
      </c>
      <c r="M333" s="2">
        <f t="shared" si="11"/>
        <v>-3.0933702166897059E-2</v>
      </c>
    </row>
    <row r="334" spans="1:13" x14ac:dyDescent="0.25">
      <c r="A334" t="s">
        <v>2304</v>
      </c>
      <c r="K334" s="1" t="str">
        <f t="shared" si="10"/>
        <v>2013-03-01</v>
      </c>
      <c r="L334">
        <v>63.237144000000001</v>
      </c>
      <c r="M334" s="2">
        <f t="shared" si="11"/>
        <v>2.8545536410593542E-3</v>
      </c>
    </row>
    <row r="335" spans="1:13" x14ac:dyDescent="0.25">
      <c r="A335" t="s">
        <v>2305</v>
      </c>
      <c r="K335" s="1" t="str">
        <f t="shared" si="10"/>
        <v>2013-04-01</v>
      </c>
      <c r="L335">
        <v>63.254283999999998</v>
      </c>
      <c r="M335" s="2">
        <f t="shared" si="11"/>
        <v>2.7104323370452654E-4</v>
      </c>
    </row>
    <row r="336" spans="1:13" x14ac:dyDescent="0.25">
      <c r="A336" t="s">
        <v>2306</v>
      </c>
      <c r="K336" s="1" t="str">
        <f t="shared" si="10"/>
        <v>2013-05-01</v>
      </c>
      <c r="L336">
        <v>64.247146999999998</v>
      </c>
      <c r="M336" s="2">
        <f t="shared" si="11"/>
        <v>1.5696375600425805E-2</v>
      </c>
    </row>
    <row r="337" spans="1:13" x14ac:dyDescent="0.25">
      <c r="A337" t="s">
        <v>2307</v>
      </c>
      <c r="K337" s="1" t="str">
        <f t="shared" si="10"/>
        <v>2013-06-01</v>
      </c>
      <c r="L337">
        <v>56.647143999999997</v>
      </c>
      <c r="M337" s="2">
        <f t="shared" si="11"/>
        <v>-0.11829323720787166</v>
      </c>
    </row>
    <row r="338" spans="1:13" x14ac:dyDescent="0.25">
      <c r="A338" t="s">
        <v>2308</v>
      </c>
      <c r="K338" s="1" t="str">
        <f t="shared" si="10"/>
        <v>2013-07-01</v>
      </c>
      <c r="L338">
        <v>64.647141000000005</v>
      </c>
      <c r="M338" s="2">
        <f t="shared" si="11"/>
        <v>0.14122507217663105</v>
      </c>
    </row>
    <row r="339" spans="1:13" x14ac:dyDescent="0.25">
      <c r="A339" t="s">
        <v>2309</v>
      </c>
      <c r="K339" s="1" t="str">
        <f t="shared" si="10"/>
        <v>2013-08-01</v>
      </c>
      <c r="L339">
        <v>69.602858999999995</v>
      </c>
      <c r="M339" s="2">
        <f t="shared" si="11"/>
        <v>7.6657960790562862E-2</v>
      </c>
    </row>
    <row r="340" spans="1:13" x14ac:dyDescent="0.25">
      <c r="A340" t="s">
        <v>2310</v>
      </c>
      <c r="K340" s="1" t="str">
        <f t="shared" si="10"/>
        <v>2013-09-01</v>
      </c>
      <c r="L340">
        <v>68.107140000000001</v>
      </c>
      <c r="M340" s="2">
        <f t="shared" si="11"/>
        <v>-2.1489332787321236E-2</v>
      </c>
    </row>
    <row r="341" spans="1:13" x14ac:dyDescent="0.25">
      <c r="A341" t="s">
        <v>2311</v>
      </c>
      <c r="K341" s="1" t="str">
        <f t="shared" si="10"/>
        <v>2013-10-01</v>
      </c>
      <c r="L341">
        <v>74.671424999999999</v>
      </c>
      <c r="M341" s="2">
        <f t="shared" si="11"/>
        <v>9.6381744997660945E-2</v>
      </c>
    </row>
    <row r="342" spans="1:13" x14ac:dyDescent="0.25">
      <c r="A342" t="s">
        <v>2312</v>
      </c>
      <c r="K342" s="1" t="str">
        <f t="shared" si="10"/>
        <v>2013-11-01</v>
      </c>
      <c r="L342">
        <v>79.438568000000004</v>
      </c>
      <c r="M342" s="2">
        <f t="shared" si="11"/>
        <v>6.3841596701817327E-2</v>
      </c>
    </row>
    <row r="343" spans="1:13" x14ac:dyDescent="0.25">
      <c r="A343" t="s">
        <v>2313</v>
      </c>
      <c r="K343" s="1" t="str">
        <f t="shared" si="10"/>
        <v>2013-12-01</v>
      </c>
      <c r="L343">
        <v>80.145713999999998</v>
      </c>
      <c r="M343" s="2">
        <f t="shared" si="11"/>
        <v>8.9017969206091063E-3</v>
      </c>
    </row>
    <row r="344" spans="1:13" x14ac:dyDescent="0.25">
      <c r="A344" t="s">
        <v>2314</v>
      </c>
      <c r="K344" s="1" t="str">
        <f t="shared" si="10"/>
        <v>2014-01-01</v>
      </c>
      <c r="L344">
        <v>71.514281999999994</v>
      </c>
      <c r="M344" s="2">
        <f t="shared" si="11"/>
        <v>-0.10769673846813577</v>
      </c>
    </row>
    <row r="345" spans="1:13" x14ac:dyDescent="0.25">
      <c r="A345" t="s">
        <v>2315</v>
      </c>
      <c r="K345" s="1" t="str">
        <f t="shared" si="10"/>
        <v>2014-02-01</v>
      </c>
      <c r="L345">
        <v>75.177138999999997</v>
      </c>
      <c r="M345" s="2">
        <f t="shared" si="11"/>
        <v>5.1218538417263426E-2</v>
      </c>
    </row>
    <row r="346" spans="1:13" x14ac:dyDescent="0.25">
      <c r="A346" t="s">
        <v>2316</v>
      </c>
      <c r="K346" s="1" t="str">
        <f t="shared" si="10"/>
        <v>2014-03-01</v>
      </c>
      <c r="L346">
        <v>76.677138999999997</v>
      </c>
      <c r="M346" s="2">
        <f t="shared" si="11"/>
        <v>1.9952874237472606E-2</v>
      </c>
    </row>
    <row r="347" spans="1:13" x14ac:dyDescent="0.25">
      <c r="A347" t="s">
        <v>2317</v>
      </c>
      <c r="K347" s="1" t="str">
        <f t="shared" si="10"/>
        <v>2014-04-01</v>
      </c>
      <c r="L347">
        <v>84.298569000000001</v>
      </c>
      <c r="M347" s="2">
        <f t="shared" si="11"/>
        <v>9.9396379408470237E-2</v>
      </c>
    </row>
    <row r="348" spans="1:13" x14ac:dyDescent="0.25">
      <c r="A348" t="s">
        <v>2318</v>
      </c>
      <c r="K348" s="1" t="str">
        <f t="shared" si="10"/>
        <v>2014-05-01</v>
      </c>
      <c r="L348">
        <v>90.428573999999998</v>
      </c>
      <c r="M348" s="2">
        <f t="shared" si="11"/>
        <v>7.2717782433530997E-2</v>
      </c>
    </row>
    <row r="349" spans="1:13" x14ac:dyDescent="0.25">
      <c r="A349" t="s">
        <v>2319</v>
      </c>
      <c r="K349" s="1" t="str">
        <f t="shared" si="10"/>
        <v>2014-06-01</v>
      </c>
      <c r="L349">
        <v>92.93</v>
      </c>
      <c r="M349" s="2">
        <f t="shared" si="11"/>
        <v>2.7661898107560701E-2</v>
      </c>
    </row>
    <row r="350" spans="1:13" x14ac:dyDescent="0.25">
      <c r="A350" t="s">
        <v>2320</v>
      </c>
      <c r="K350" s="1" t="str">
        <f t="shared" si="10"/>
        <v>2014-07-01</v>
      </c>
      <c r="L350">
        <v>95.599997999999999</v>
      </c>
      <c r="M350" s="2">
        <f t="shared" si="11"/>
        <v>2.8731281609813752E-2</v>
      </c>
    </row>
    <row r="351" spans="1:13" x14ac:dyDescent="0.25">
      <c r="A351" t="s">
        <v>2321</v>
      </c>
      <c r="K351" s="1" t="str">
        <f t="shared" si="10"/>
        <v>2014-08-01</v>
      </c>
      <c r="L351">
        <v>102.5</v>
      </c>
      <c r="M351" s="2">
        <f t="shared" si="11"/>
        <v>7.217575464802839E-2</v>
      </c>
    </row>
    <row r="352" spans="1:13" x14ac:dyDescent="0.25">
      <c r="A352" t="s">
        <v>2322</v>
      </c>
      <c r="K352" s="1" t="str">
        <f t="shared" si="10"/>
        <v>2014-09-01</v>
      </c>
      <c r="L352">
        <v>100.75</v>
      </c>
      <c r="M352" s="2">
        <f t="shared" si="11"/>
        <v>-1.7073170731707332E-2</v>
      </c>
    </row>
    <row r="353" spans="1:13" x14ac:dyDescent="0.25">
      <c r="A353" t="s">
        <v>2323</v>
      </c>
      <c r="K353" s="1" t="str">
        <f t="shared" si="10"/>
        <v>2014-10-01</v>
      </c>
      <c r="L353">
        <v>108</v>
      </c>
      <c r="M353" s="2">
        <f t="shared" si="11"/>
        <v>7.1960297766749282E-2</v>
      </c>
    </row>
    <row r="354" spans="1:13" x14ac:dyDescent="0.25">
      <c r="A354" t="s">
        <v>2324</v>
      </c>
      <c r="K354" s="1" t="str">
        <f t="shared" si="10"/>
        <v>2014-11-01</v>
      </c>
      <c r="L354">
        <v>118.93</v>
      </c>
      <c r="M354" s="2">
        <f t="shared" si="11"/>
        <v>0.10120370370370368</v>
      </c>
    </row>
    <row r="355" spans="1:13" x14ac:dyDescent="0.25">
      <c r="A355" t="s">
        <v>2325</v>
      </c>
      <c r="K355" s="1" t="str">
        <f t="shared" si="10"/>
        <v>2014-12-01</v>
      </c>
      <c r="L355">
        <v>110.379997</v>
      </c>
      <c r="M355" s="2">
        <f t="shared" si="11"/>
        <v>-7.1891053560918183E-2</v>
      </c>
    </row>
    <row r="356" spans="1:13" x14ac:dyDescent="0.25">
      <c r="A356" t="s">
        <v>2326</v>
      </c>
      <c r="K356" s="1" t="str">
        <f t="shared" si="10"/>
        <v>2015-01-01</v>
      </c>
      <c r="L356">
        <v>117.160004</v>
      </c>
      <c r="M356" s="2">
        <f t="shared" si="11"/>
        <v>6.1424236132204157E-2</v>
      </c>
    </row>
    <row r="357" spans="1:13" x14ac:dyDescent="0.25">
      <c r="A357" t="s">
        <v>2327</v>
      </c>
      <c r="K357" s="1" t="str">
        <f t="shared" si="10"/>
        <v>2015-02-01</v>
      </c>
      <c r="L357">
        <v>128.46000699999999</v>
      </c>
      <c r="M357" s="2">
        <f t="shared" si="11"/>
        <v>9.6449322415523175E-2</v>
      </c>
    </row>
    <row r="358" spans="1:13" x14ac:dyDescent="0.25">
      <c r="A358" t="s">
        <v>2328</v>
      </c>
      <c r="K358" s="1" t="str">
        <f t="shared" si="10"/>
        <v>2015-03-01</v>
      </c>
      <c r="L358">
        <v>124.43</v>
      </c>
      <c r="M358" s="2">
        <f t="shared" si="11"/>
        <v>-3.1371685975386754E-2</v>
      </c>
    </row>
    <row r="359" spans="1:13" x14ac:dyDescent="0.25">
      <c r="A359" t="s">
        <v>2329</v>
      </c>
      <c r="K359" s="1" t="str">
        <f t="shared" si="10"/>
        <v>2015-04-01</v>
      </c>
      <c r="L359">
        <v>125.150002</v>
      </c>
      <c r="M359" s="2">
        <f t="shared" si="11"/>
        <v>5.7864019930884414E-3</v>
      </c>
    </row>
    <row r="360" spans="1:13" x14ac:dyDescent="0.25">
      <c r="A360" t="s">
        <v>2330</v>
      </c>
      <c r="K360" s="1" t="str">
        <f t="shared" si="10"/>
        <v>2015-05-01</v>
      </c>
      <c r="L360">
        <v>130.279999</v>
      </c>
      <c r="M360" s="2">
        <f t="shared" si="11"/>
        <v>4.0990786400466828E-2</v>
      </c>
    </row>
    <row r="361" spans="1:13" x14ac:dyDescent="0.25">
      <c r="A361" t="s">
        <v>2331</v>
      </c>
      <c r="K361" s="1" t="str">
        <f t="shared" si="10"/>
        <v>2015-06-01</v>
      </c>
      <c r="L361">
        <v>125.43</v>
      </c>
      <c r="M361" s="2">
        <f t="shared" si="11"/>
        <v>-3.7227502588482508E-2</v>
      </c>
    </row>
    <row r="362" spans="1:13" x14ac:dyDescent="0.25">
      <c r="A362" t="s">
        <v>2332</v>
      </c>
      <c r="K362" s="1" t="str">
        <f t="shared" si="10"/>
        <v>2015-07-01</v>
      </c>
      <c r="L362">
        <v>121.300003</v>
      </c>
      <c r="M362" s="2">
        <f t="shared" si="11"/>
        <v>-3.2926708124053294E-2</v>
      </c>
    </row>
    <row r="363" spans="1:13" x14ac:dyDescent="0.25">
      <c r="A363" t="s">
        <v>2333</v>
      </c>
      <c r="K363" s="1" t="str">
        <f t="shared" si="10"/>
        <v>2015-08-01</v>
      </c>
      <c r="L363">
        <v>112.91999800000001</v>
      </c>
      <c r="M363" s="2">
        <f t="shared" si="11"/>
        <v>-6.9084952949259204E-2</v>
      </c>
    </row>
    <row r="364" spans="1:13" x14ac:dyDescent="0.25">
      <c r="A364" t="s">
        <v>2334</v>
      </c>
      <c r="K364" s="1" t="str">
        <f t="shared" si="10"/>
        <v>2015-09-01</v>
      </c>
      <c r="L364">
        <v>110.300003</v>
      </c>
      <c r="M364" s="2">
        <f t="shared" si="11"/>
        <v>-2.320222322356047E-2</v>
      </c>
    </row>
    <row r="365" spans="1:13" x14ac:dyDescent="0.25">
      <c r="A365" t="s">
        <v>2335</v>
      </c>
      <c r="K365" s="1" t="str">
        <f t="shared" si="10"/>
        <v>2015-10-01</v>
      </c>
      <c r="L365">
        <v>119.5</v>
      </c>
      <c r="M365" s="2">
        <f t="shared" si="11"/>
        <v>8.3408855392324899E-2</v>
      </c>
    </row>
    <row r="366" spans="1:13" x14ac:dyDescent="0.25">
      <c r="A366" t="s">
        <v>2336</v>
      </c>
      <c r="K366" s="1" t="str">
        <f t="shared" si="10"/>
        <v>2015-11-01</v>
      </c>
      <c r="L366">
        <v>118.300003</v>
      </c>
      <c r="M366" s="2">
        <f t="shared" si="11"/>
        <v>-1.004181589958153E-2</v>
      </c>
    </row>
    <row r="367" spans="1:13" x14ac:dyDescent="0.25">
      <c r="A367" t="s">
        <v>2337</v>
      </c>
      <c r="K367" s="1" t="str">
        <f t="shared" si="10"/>
        <v>2015-12-01</v>
      </c>
      <c r="L367">
        <v>105.260002</v>
      </c>
      <c r="M367" s="2">
        <f t="shared" si="11"/>
        <v>-0.11022823896293565</v>
      </c>
    </row>
    <row r="368" spans="1:13" x14ac:dyDescent="0.25">
      <c r="A368" t="s">
        <v>2338</v>
      </c>
      <c r="K368" s="1" t="str">
        <f t="shared" si="10"/>
        <v>2016-01-01</v>
      </c>
      <c r="L368">
        <v>97.339995999999999</v>
      </c>
      <c r="M368" s="2">
        <f t="shared" si="11"/>
        <v>-7.5242312839781222E-2</v>
      </c>
    </row>
    <row r="369" spans="1:13" x14ac:dyDescent="0.25">
      <c r="A369" t="s">
        <v>2339</v>
      </c>
      <c r="K369" s="1" t="str">
        <f t="shared" si="10"/>
        <v>2016-02-01</v>
      </c>
      <c r="L369">
        <v>96.690002000000007</v>
      </c>
      <c r="M369" s="2">
        <f t="shared" si="11"/>
        <v>-6.6775634550055862E-3</v>
      </c>
    </row>
    <row r="370" spans="1:13" x14ac:dyDescent="0.25">
      <c r="A370" t="s">
        <v>2340</v>
      </c>
      <c r="K370" s="1" t="str">
        <f t="shared" si="10"/>
        <v>2016-03-01</v>
      </c>
      <c r="L370">
        <v>108.989998</v>
      </c>
      <c r="M370" s="2">
        <f t="shared" si="11"/>
        <v>0.12721062928512494</v>
      </c>
    </row>
    <row r="371" spans="1:13" x14ac:dyDescent="0.25">
      <c r="A371" t="s">
        <v>2341</v>
      </c>
      <c r="K371" s="1" t="str">
        <f t="shared" si="10"/>
        <v>2016-04-01</v>
      </c>
      <c r="L371">
        <v>93.739998</v>
      </c>
      <c r="M371" s="2">
        <f t="shared" si="11"/>
        <v>-0.1399210962459142</v>
      </c>
    </row>
    <row r="372" spans="1:13" x14ac:dyDescent="0.25">
      <c r="A372" t="s">
        <v>2342</v>
      </c>
      <c r="K372" s="1" t="str">
        <f t="shared" si="10"/>
        <v>2016-05-01</v>
      </c>
      <c r="L372">
        <v>99.860000999999997</v>
      </c>
      <c r="M372" s="2">
        <f t="shared" si="11"/>
        <v>6.5286997339172093E-2</v>
      </c>
    </row>
    <row r="373" spans="1:13" x14ac:dyDescent="0.25">
      <c r="A373" t="s">
        <v>2343</v>
      </c>
      <c r="K373" s="1" t="str">
        <f t="shared" si="10"/>
        <v>2016-06-01</v>
      </c>
      <c r="L373">
        <v>95.599997999999999</v>
      </c>
      <c r="M373" s="2">
        <f t="shared" si="11"/>
        <v>-4.2659753227921482E-2</v>
      </c>
    </row>
    <row r="374" spans="1:13" x14ac:dyDescent="0.25">
      <c r="A374" t="s">
        <v>2344</v>
      </c>
      <c r="K374" s="1" t="str">
        <f t="shared" si="10"/>
        <v>2016-07-01</v>
      </c>
      <c r="L374">
        <v>104.209999</v>
      </c>
      <c r="M374" s="2">
        <f t="shared" si="11"/>
        <v>9.0062773850685618E-2</v>
      </c>
    </row>
    <row r="375" spans="1:13" x14ac:dyDescent="0.25">
      <c r="A375" t="s">
        <v>2345</v>
      </c>
      <c r="K375" s="1" t="str">
        <f t="shared" si="10"/>
        <v>2016-08-01</v>
      </c>
      <c r="L375">
        <v>106.099998</v>
      </c>
      <c r="M375" s="2">
        <f t="shared" si="11"/>
        <v>1.8136445812651836E-2</v>
      </c>
    </row>
    <row r="376" spans="1:13" x14ac:dyDescent="0.25">
      <c r="A376" t="s">
        <v>2346</v>
      </c>
      <c r="K376" s="1" t="str">
        <f t="shared" si="10"/>
        <v>2016-09-01</v>
      </c>
      <c r="L376">
        <v>113.050003</v>
      </c>
      <c r="M376" s="2">
        <f t="shared" si="11"/>
        <v>6.5504289641928226E-2</v>
      </c>
    </row>
    <row r="377" spans="1:13" x14ac:dyDescent="0.25">
      <c r="A377" t="s">
        <v>2347</v>
      </c>
      <c r="K377" s="1" t="str">
        <f t="shared" si="10"/>
        <v>2016-10-01</v>
      </c>
      <c r="L377">
        <v>113.540001</v>
      </c>
      <c r="M377" s="2">
        <f t="shared" si="11"/>
        <v>4.3343475187700431E-3</v>
      </c>
    </row>
    <row r="378" spans="1:13" x14ac:dyDescent="0.25">
      <c r="A378" t="s">
        <v>2348</v>
      </c>
      <c r="K378" s="1" t="str">
        <f t="shared" si="10"/>
        <v>2016-11-01</v>
      </c>
      <c r="L378">
        <v>110.519997</v>
      </c>
      <c r="M378" s="2">
        <f t="shared" si="11"/>
        <v>-2.6598590570736436E-2</v>
      </c>
    </row>
    <row r="379" spans="1:13" x14ac:dyDescent="0.25">
      <c r="A379" t="s">
        <v>2349</v>
      </c>
      <c r="K379" s="1" t="str">
        <f t="shared" si="10"/>
        <v>2016-12-01</v>
      </c>
      <c r="L379">
        <v>115.82</v>
      </c>
      <c r="M379" s="2">
        <f t="shared" si="11"/>
        <v>4.7955149691145893E-2</v>
      </c>
    </row>
    <row r="380" spans="1:13" x14ac:dyDescent="0.25">
      <c r="A380" t="s">
        <v>2350</v>
      </c>
      <c r="K380" s="1" t="str">
        <f t="shared" si="10"/>
        <v>2017-01-01</v>
      </c>
      <c r="L380">
        <v>121.349998</v>
      </c>
      <c r="M380" s="2">
        <f t="shared" si="11"/>
        <v>4.7746485926437598E-2</v>
      </c>
    </row>
    <row r="381" spans="1:13" x14ac:dyDescent="0.25">
      <c r="A381" t="s">
        <v>2351</v>
      </c>
      <c r="K381" s="1" t="str">
        <f t="shared" si="10"/>
        <v>2017-02-01</v>
      </c>
      <c r="L381">
        <v>136.990005</v>
      </c>
      <c r="M381" s="2">
        <f t="shared" si="11"/>
        <v>0.12888345494657516</v>
      </c>
    </row>
    <row r="382" spans="1:13" x14ac:dyDescent="0.25">
      <c r="A382" t="s">
        <v>2352</v>
      </c>
      <c r="K382" s="1" t="str">
        <f t="shared" si="10"/>
        <v>2017-03-01</v>
      </c>
      <c r="L382">
        <v>143.66000399999999</v>
      </c>
      <c r="M382" s="2">
        <f t="shared" si="11"/>
        <v>4.8689676301566509E-2</v>
      </c>
    </row>
    <row r="383" spans="1:13" x14ac:dyDescent="0.25">
      <c r="A383" t="s">
        <v>2353</v>
      </c>
      <c r="K383" s="1" t="str">
        <f t="shared" si="10"/>
        <v>2017-04-01</v>
      </c>
      <c r="L383">
        <v>143.64999399999999</v>
      </c>
      <c r="M383" s="2">
        <f t="shared" si="11"/>
        <v>-6.967840541050041E-5</v>
      </c>
    </row>
    <row r="384" spans="1:13" x14ac:dyDescent="0.25">
      <c r="A384" t="s">
        <v>2354</v>
      </c>
      <c r="K384" s="1" t="str">
        <f t="shared" si="10"/>
        <v>2017-05-01</v>
      </c>
      <c r="L384">
        <v>152.759995</v>
      </c>
      <c r="M384" s="2">
        <f t="shared" si="11"/>
        <v>6.3418039544087978E-2</v>
      </c>
    </row>
    <row r="385" spans="1:13" x14ac:dyDescent="0.25">
      <c r="A385" t="s">
        <v>2355</v>
      </c>
      <c r="K385" s="1" t="str">
        <f t="shared" si="10"/>
        <v>2017-06-01</v>
      </c>
      <c r="L385">
        <v>144.020004</v>
      </c>
      <c r="M385" s="2">
        <f t="shared" si="11"/>
        <v>-5.7213873304984064E-2</v>
      </c>
    </row>
    <row r="386" spans="1:13" x14ac:dyDescent="0.25">
      <c r="A386" t="s">
        <v>2356</v>
      </c>
      <c r="K386" s="1" t="str">
        <f t="shared" si="10"/>
        <v>2017-07-01</v>
      </c>
      <c r="L386">
        <v>148.729996</v>
      </c>
      <c r="M386" s="2">
        <f t="shared" si="11"/>
        <v>3.2703734683968033E-2</v>
      </c>
    </row>
    <row r="387" spans="1:13" x14ac:dyDescent="0.25">
      <c r="A387" t="s">
        <v>2357</v>
      </c>
      <c r="K387" s="1" t="str">
        <f t="shared" ref="K387:K422" si="12">LEFT(A387,10)</f>
        <v>2017-08-01</v>
      </c>
      <c r="L387">
        <v>164</v>
      </c>
      <c r="M387" s="2">
        <f t="shared" si="11"/>
        <v>0.1026692961115927</v>
      </c>
    </row>
    <row r="388" spans="1:13" x14ac:dyDescent="0.25">
      <c r="A388" t="s">
        <v>2358</v>
      </c>
      <c r="K388" s="1" t="str">
        <f t="shared" si="12"/>
        <v>2017-09-01</v>
      </c>
      <c r="L388">
        <v>154.11999499999999</v>
      </c>
      <c r="M388" s="2">
        <f t="shared" ref="M388:M422" si="13">(L388/L387)-1</f>
        <v>-6.0243932926829391E-2</v>
      </c>
    </row>
    <row r="389" spans="1:13" x14ac:dyDescent="0.25">
      <c r="A389" t="s">
        <v>2359</v>
      </c>
      <c r="K389" s="1" t="str">
        <f t="shared" si="12"/>
        <v>2017-10-01</v>
      </c>
      <c r="L389">
        <v>169.03999300000001</v>
      </c>
      <c r="M389" s="2">
        <f t="shared" si="13"/>
        <v>9.6807672489218621E-2</v>
      </c>
    </row>
    <row r="390" spans="1:13" x14ac:dyDescent="0.25">
      <c r="A390" t="s">
        <v>2360</v>
      </c>
      <c r="K390" s="1" t="str">
        <f t="shared" si="12"/>
        <v>2017-11-01</v>
      </c>
      <c r="L390">
        <v>171.85000600000001</v>
      </c>
      <c r="M390" s="2">
        <f t="shared" si="13"/>
        <v>1.6623362022974097E-2</v>
      </c>
    </row>
    <row r="391" spans="1:13" x14ac:dyDescent="0.25">
      <c r="A391" t="s">
        <v>2361</v>
      </c>
      <c r="K391" s="1" t="str">
        <f t="shared" si="12"/>
        <v>2017-12-01</v>
      </c>
      <c r="L391">
        <v>169.229996</v>
      </c>
      <c r="M391" s="2">
        <f t="shared" si="13"/>
        <v>-1.5245911600375583E-2</v>
      </c>
    </row>
    <row r="392" spans="1:13" x14ac:dyDescent="0.25">
      <c r="A392" t="s">
        <v>2362</v>
      </c>
      <c r="K392" s="1" t="str">
        <f t="shared" si="12"/>
        <v>2018-01-01</v>
      </c>
      <c r="L392">
        <v>167.429993</v>
      </c>
      <c r="M392" s="2">
        <f t="shared" si="13"/>
        <v>-1.0636429962451843E-2</v>
      </c>
    </row>
    <row r="393" spans="1:13" x14ac:dyDescent="0.25">
      <c r="A393" t="s">
        <v>2363</v>
      </c>
      <c r="K393" s="1" t="str">
        <f t="shared" si="12"/>
        <v>2018-02-01</v>
      </c>
      <c r="L393">
        <v>178.11999499999999</v>
      </c>
      <c r="M393" s="2">
        <f t="shared" si="13"/>
        <v>6.38475927070008E-2</v>
      </c>
    </row>
    <row r="394" spans="1:13" x14ac:dyDescent="0.25">
      <c r="A394" t="s">
        <v>2364</v>
      </c>
      <c r="K394" s="1" t="str">
        <f t="shared" si="12"/>
        <v>2018-03-01</v>
      </c>
      <c r="L394">
        <v>167.779999</v>
      </c>
      <c r="M394" s="2">
        <f t="shared" si="13"/>
        <v>-5.8050731474588169E-2</v>
      </c>
    </row>
    <row r="395" spans="1:13" x14ac:dyDescent="0.25">
      <c r="A395" t="s">
        <v>2365</v>
      </c>
      <c r="K395" s="1" t="str">
        <f t="shared" si="12"/>
        <v>2018-04-01</v>
      </c>
      <c r="L395">
        <v>165.259995</v>
      </c>
      <c r="M395" s="2">
        <f t="shared" si="13"/>
        <v>-1.5019692543924767E-2</v>
      </c>
    </row>
    <row r="396" spans="1:13" x14ac:dyDescent="0.25">
      <c r="A396" t="s">
        <v>2366</v>
      </c>
      <c r="K396" s="1" t="str">
        <f t="shared" si="12"/>
        <v>2018-05-01</v>
      </c>
      <c r="L396">
        <v>186.86999499999999</v>
      </c>
      <c r="M396" s="2">
        <f t="shared" si="13"/>
        <v>0.13076364912149474</v>
      </c>
    </row>
    <row r="397" spans="1:13" x14ac:dyDescent="0.25">
      <c r="A397" t="s">
        <v>2367</v>
      </c>
      <c r="K397" s="1" t="str">
        <f t="shared" si="12"/>
        <v>2018-06-01</v>
      </c>
      <c r="L397">
        <v>185.11000100000001</v>
      </c>
      <c r="M397" s="2">
        <f t="shared" si="13"/>
        <v>-9.4182803397623305E-3</v>
      </c>
    </row>
    <row r="398" spans="1:13" x14ac:dyDescent="0.25">
      <c r="A398" t="s">
        <v>2368</v>
      </c>
      <c r="K398" s="1" t="str">
        <f t="shared" si="12"/>
        <v>2018-07-01</v>
      </c>
      <c r="L398">
        <v>190.28999300000001</v>
      </c>
      <c r="M398" s="2">
        <f t="shared" si="13"/>
        <v>2.7983317875947655E-2</v>
      </c>
    </row>
    <row r="399" spans="1:13" x14ac:dyDescent="0.25">
      <c r="A399" t="s">
        <v>2369</v>
      </c>
      <c r="K399" s="1" t="str">
        <f t="shared" si="12"/>
        <v>2018-08-01</v>
      </c>
      <c r="L399">
        <v>227.63000500000001</v>
      </c>
      <c r="M399" s="2">
        <f t="shared" si="13"/>
        <v>0.19622688198848159</v>
      </c>
    </row>
    <row r="400" spans="1:13" x14ac:dyDescent="0.25">
      <c r="A400" t="s">
        <v>2370</v>
      </c>
      <c r="K400" s="1" t="str">
        <f t="shared" si="12"/>
        <v>2018-09-01</v>
      </c>
      <c r="L400">
        <v>225.740005</v>
      </c>
      <c r="M400" s="2">
        <f t="shared" si="13"/>
        <v>-8.302947583733622E-3</v>
      </c>
    </row>
    <row r="401" spans="1:13" x14ac:dyDescent="0.25">
      <c r="A401" t="s">
        <v>2371</v>
      </c>
      <c r="K401" s="1" t="str">
        <f t="shared" si="12"/>
        <v>2018-10-01</v>
      </c>
      <c r="L401">
        <v>218.86000100000001</v>
      </c>
      <c r="M401" s="2">
        <f t="shared" si="13"/>
        <v>-3.0477557577798353E-2</v>
      </c>
    </row>
    <row r="402" spans="1:13" x14ac:dyDescent="0.25">
      <c r="A402" t="s">
        <v>2372</v>
      </c>
      <c r="K402" s="1" t="str">
        <f t="shared" si="12"/>
        <v>2018-11-01</v>
      </c>
      <c r="L402">
        <v>178.58000200000001</v>
      </c>
      <c r="M402" s="2">
        <f t="shared" si="13"/>
        <v>-0.1840445893080298</v>
      </c>
    </row>
    <row r="403" spans="1:13" x14ac:dyDescent="0.25">
      <c r="A403" t="s">
        <v>2373</v>
      </c>
      <c r="K403" s="1" t="str">
        <f t="shared" si="12"/>
        <v>2018-12-01</v>
      </c>
      <c r="L403">
        <v>157.740005</v>
      </c>
      <c r="M403" s="2">
        <f t="shared" si="13"/>
        <v>-0.11669838037072044</v>
      </c>
    </row>
    <row r="404" spans="1:13" x14ac:dyDescent="0.25">
      <c r="A404" t="s">
        <v>2374</v>
      </c>
      <c r="K404" s="1" t="str">
        <f t="shared" si="12"/>
        <v>2019-01-01</v>
      </c>
      <c r="L404">
        <v>166.44000199999999</v>
      </c>
      <c r="M404" s="2">
        <f t="shared" si="13"/>
        <v>5.5154030203054649E-2</v>
      </c>
    </row>
    <row r="405" spans="1:13" x14ac:dyDescent="0.25">
      <c r="A405" t="s">
        <v>2375</v>
      </c>
      <c r="K405" s="1" t="str">
        <f t="shared" si="12"/>
        <v>2019-02-01</v>
      </c>
      <c r="L405">
        <v>173.14999399999999</v>
      </c>
      <c r="M405" s="2">
        <f t="shared" si="13"/>
        <v>4.0314779616501095E-2</v>
      </c>
    </row>
    <row r="406" spans="1:13" x14ac:dyDescent="0.25">
      <c r="A406" t="s">
        <v>2376</v>
      </c>
      <c r="K406" s="1" t="str">
        <f t="shared" si="12"/>
        <v>2019-03-01</v>
      </c>
      <c r="L406">
        <v>189.949997</v>
      </c>
      <c r="M406" s="2">
        <f t="shared" si="13"/>
        <v>9.7025720948046956E-2</v>
      </c>
    </row>
    <row r="407" spans="1:13" x14ac:dyDescent="0.25">
      <c r="A407" t="s">
        <v>2377</v>
      </c>
      <c r="K407" s="1" t="str">
        <f t="shared" si="12"/>
        <v>2019-04-01</v>
      </c>
      <c r="L407">
        <v>200.66999799999999</v>
      </c>
      <c r="M407" s="2">
        <f t="shared" si="13"/>
        <v>5.6435910341183115E-2</v>
      </c>
    </row>
    <row r="408" spans="1:13" x14ac:dyDescent="0.25">
      <c r="A408" t="s">
        <v>2378</v>
      </c>
      <c r="K408" s="1" t="str">
        <f t="shared" si="12"/>
        <v>2019-05-01</v>
      </c>
      <c r="L408">
        <v>175.070007</v>
      </c>
      <c r="M408" s="2">
        <f t="shared" si="13"/>
        <v>-0.12757258810557215</v>
      </c>
    </row>
    <row r="409" spans="1:13" x14ac:dyDescent="0.25">
      <c r="A409" t="s">
        <v>2379</v>
      </c>
      <c r="K409" s="1" t="str">
        <f t="shared" si="12"/>
        <v>2019-06-01</v>
      </c>
      <c r="L409">
        <v>197.91999799999999</v>
      </c>
      <c r="M409" s="2">
        <f t="shared" si="13"/>
        <v>0.13051916425638788</v>
      </c>
    </row>
    <row r="410" spans="1:13" x14ac:dyDescent="0.25">
      <c r="A410" t="s">
        <v>2380</v>
      </c>
      <c r="K410" s="1" t="str">
        <f t="shared" si="12"/>
        <v>2019-07-01</v>
      </c>
      <c r="L410">
        <v>213.03999300000001</v>
      </c>
      <c r="M410" s="2">
        <f t="shared" si="13"/>
        <v>7.6394478338666971E-2</v>
      </c>
    </row>
    <row r="411" spans="1:13" x14ac:dyDescent="0.25">
      <c r="A411" t="s">
        <v>2381</v>
      </c>
      <c r="K411" s="1" t="str">
        <f t="shared" si="12"/>
        <v>2019-08-01</v>
      </c>
      <c r="L411">
        <v>208.740005</v>
      </c>
      <c r="M411" s="2">
        <f t="shared" si="13"/>
        <v>-2.0183947339878161E-2</v>
      </c>
    </row>
    <row r="412" spans="1:13" x14ac:dyDescent="0.25">
      <c r="A412" t="s">
        <v>2382</v>
      </c>
      <c r="K412" s="1" t="str">
        <f t="shared" si="12"/>
        <v>2019-09-01</v>
      </c>
      <c r="L412">
        <v>223.970001</v>
      </c>
      <c r="M412" s="2">
        <f t="shared" si="13"/>
        <v>7.2961558087535794E-2</v>
      </c>
    </row>
    <row r="413" spans="1:13" x14ac:dyDescent="0.25">
      <c r="A413" t="s">
        <v>2383</v>
      </c>
      <c r="K413" s="1" t="str">
        <f t="shared" si="12"/>
        <v>2019-10-01</v>
      </c>
      <c r="L413">
        <v>248.759995</v>
      </c>
      <c r="M413" s="2">
        <f t="shared" si="13"/>
        <v>0.11068443938614791</v>
      </c>
    </row>
    <row r="414" spans="1:13" x14ac:dyDescent="0.25">
      <c r="A414" t="s">
        <v>2384</v>
      </c>
      <c r="K414" s="1" t="str">
        <f t="shared" si="12"/>
        <v>2019-11-01</v>
      </c>
      <c r="L414">
        <v>267.25</v>
      </c>
      <c r="M414" s="2">
        <f t="shared" si="13"/>
        <v>7.4328691797891366E-2</v>
      </c>
    </row>
    <row r="415" spans="1:13" x14ac:dyDescent="0.25">
      <c r="A415" t="s">
        <v>2385</v>
      </c>
      <c r="K415" s="1" t="str">
        <f t="shared" si="12"/>
        <v>2019-12-01</v>
      </c>
      <c r="L415">
        <v>293.64999399999999</v>
      </c>
      <c r="M415" s="2">
        <f t="shared" si="13"/>
        <v>9.8783887745556465E-2</v>
      </c>
    </row>
    <row r="416" spans="1:13" x14ac:dyDescent="0.25">
      <c r="A416" t="s">
        <v>2386</v>
      </c>
      <c r="K416" s="1" t="str">
        <f t="shared" si="12"/>
        <v>2020-01-01</v>
      </c>
      <c r="L416">
        <v>309.51001000000002</v>
      </c>
      <c r="M416" s="2">
        <f t="shared" si="13"/>
        <v>5.4009931292557933E-2</v>
      </c>
    </row>
    <row r="417" spans="1:13" x14ac:dyDescent="0.25">
      <c r="A417" t="s">
        <v>2387</v>
      </c>
      <c r="K417" s="1" t="str">
        <f t="shared" si="12"/>
        <v>2020-02-01</v>
      </c>
      <c r="L417">
        <v>273.35998499999999</v>
      </c>
      <c r="M417" s="2">
        <f t="shared" si="13"/>
        <v>-0.11679759565773018</v>
      </c>
    </row>
    <row r="418" spans="1:13" x14ac:dyDescent="0.25">
      <c r="A418" t="s">
        <v>2388</v>
      </c>
      <c r="K418" s="1" t="str">
        <f t="shared" si="12"/>
        <v>2020-03-01</v>
      </c>
      <c r="L418">
        <v>254.28999300000001</v>
      </c>
      <c r="M418" s="2">
        <f t="shared" si="13"/>
        <v>-6.9761461246787726E-2</v>
      </c>
    </row>
    <row r="419" spans="1:13" x14ac:dyDescent="0.25">
      <c r="A419" t="s">
        <v>2389</v>
      </c>
      <c r="K419" s="1" t="str">
        <f t="shared" si="12"/>
        <v>2020-04-01</v>
      </c>
      <c r="L419">
        <v>293.79998799999998</v>
      </c>
      <c r="M419" s="2">
        <f t="shared" si="13"/>
        <v>0.15537377044955125</v>
      </c>
    </row>
    <row r="420" spans="1:13" x14ac:dyDescent="0.25">
      <c r="A420" t="s">
        <v>2394</v>
      </c>
      <c r="K420" s="1" t="str">
        <f t="shared" si="12"/>
        <v>2020-05-01</v>
      </c>
      <c r="L420">
        <v>317.94000199999999</v>
      </c>
      <c r="M420" s="2">
        <f t="shared" si="13"/>
        <v>8.2164788924361742E-2</v>
      </c>
    </row>
    <row r="421" spans="1:13" x14ac:dyDescent="0.25">
      <c r="A421" t="s">
        <v>2390</v>
      </c>
      <c r="K421" s="1" t="str">
        <f t="shared" si="12"/>
        <v>2020-06-01</v>
      </c>
      <c r="L421">
        <v>364.79998799999998</v>
      </c>
      <c r="M421" s="2">
        <f t="shared" si="13"/>
        <v>0.14738625434115704</v>
      </c>
    </row>
    <row r="422" spans="1:13" x14ac:dyDescent="0.25">
      <c r="A422" t="s">
        <v>2391</v>
      </c>
      <c r="K422" s="1" t="str">
        <f t="shared" si="12"/>
        <v>2020-07-01</v>
      </c>
      <c r="L422">
        <v>425.040009</v>
      </c>
      <c r="M422" s="2">
        <f t="shared" si="13"/>
        <v>0.16513164194511987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4FB98-A4F6-402E-B028-9C48D4633B40}">
  <sheetPr codeName="Sheet23"/>
  <dimension ref="A1:O240"/>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1731</v>
      </c>
      <c r="K2" s="1" t="str">
        <f>LEFT(A2,10)</f>
        <v>2000-09-01</v>
      </c>
      <c r="L2">
        <v>273.60000600000001</v>
      </c>
      <c r="O2" s="2">
        <v>9.4741021328449276E-3</v>
      </c>
    </row>
    <row r="3" spans="1:15" x14ac:dyDescent="0.25">
      <c r="A3" t="s">
        <v>1732</v>
      </c>
      <c r="K3" s="1" t="str">
        <f t="shared" ref="K3:K66" si="0">LEFT(A3,10)</f>
        <v>2000-10-01</v>
      </c>
      <c r="L3">
        <v>264.89999399999999</v>
      </c>
      <c r="M3" s="2">
        <f>(L3/L2)-1</f>
        <v>-3.1798288776353378E-2</v>
      </c>
    </row>
    <row r="4" spans="1:15" x14ac:dyDescent="0.25">
      <c r="A4" t="s">
        <v>1733</v>
      </c>
      <c r="K4" s="1" t="str">
        <f t="shared" si="0"/>
        <v>2000-11-01</v>
      </c>
      <c r="L4">
        <v>270.10000600000001</v>
      </c>
      <c r="M4" s="2">
        <f t="shared" ref="M4:M67" si="1">(L4/L3)-1</f>
        <v>1.9630094819858668E-2</v>
      </c>
    </row>
    <row r="5" spans="1:15" x14ac:dyDescent="0.25">
      <c r="A5" t="s">
        <v>1734</v>
      </c>
      <c r="K5" s="1" t="str">
        <f t="shared" si="0"/>
        <v>2000-12-01</v>
      </c>
      <c r="L5">
        <v>272</v>
      </c>
      <c r="M5" s="2">
        <f t="shared" si="1"/>
        <v>7.0344093217087345E-3</v>
      </c>
    </row>
    <row r="6" spans="1:15" x14ac:dyDescent="0.25">
      <c r="A6" t="s">
        <v>1735</v>
      </c>
      <c r="K6" s="1" t="str">
        <f t="shared" si="0"/>
        <v>2001-01-01</v>
      </c>
      <c r="L6">
        <v>265.60000600000001</v>
      </c>
      <c r="M6" s="2">
        <f t="shared" si="1"/>
        <v>-2.3529389705882364E-2</v>
      </c>
    </row>
    <row r="7" spans="1:15" x14ac:dyDescent="0.25">
      <c r="A7" t="s">
        <v>1736</v>
      </c>
      <c r="K7" s="1" t="str">
        <f t="shared" si="0"/>
        <v>2001-02-01</v>
      </c>
      <c r="L7">
        <v>266.79998799999998</v>
      </c>
      <c r="M7" s="2">
        <f t="shared" si="1"/>
        <v>4.5180044160089139E-3</v>
      </c>
    </row>
    <row r="8" spans="1:15" x14ac:dyDescent="0.25">
      <c r="A8" t="s">
        <v>1737</v>
      </c>
      <c r="K8" s="1" t="str">
        <f t="shared" si="0"/>
        <v>2001-03-01</v>
      </c>
      <c r="L8">
        <v>257.89999399999999</v>
      </c>
      <c r="M8" s="2">
        <f t="shared" si="1"/>
        <v>-3.335829985119787E-2</v>
      </c>
    </row>
    <row r="9" spans="1:15" x14ac:dyDescent="0.25">
      <c r="A9" t="s">
        <v>1738</v>
      </c>
      <c r="K9" s="1" t="str">
        <f t="shared" si="0"/>
        <v>2001-04-01</v>
      </c>
      <c r="L9">
        <v>264</v>
      </c>
      <c r="M9" s="2">
        <f t="shared" si="1"/>
        <v>2.3652602333910977E-2</v>
      </c>
    </row>
    <row r="10" spans="1:15" x14ac:dyDescent="0.25">
      <c r="A10" t="s">
        <v>1739</v>
      </c>
      <c r="K10" s="1" t="str">
        <f t="shared" si="0"/>
        <v>2001-05-01</v>
      </c>
      <c r="L10">
        <v>265.29998799999998</v>
      </c>
      <c r="M10" s="2">
        <f t="shared" si="1"/>
        <v>4.9241969696969257E-3</v>
      </c>
    </row>
    <row r="11" spans="1:15" x14ac:dyDescent="0.25">
      <c r="A11" t="s">
        <v>1740</v>
      </c>
      <c r="K11" s="1" t="str">
        <f t="shared" si="0"/>
        <v>2001-06-01</v>
      </c>
      <c r="L11">
        <v>270.60000600000001</v>
      </c>
      <c r="M11" s="2">
        <f t="shared" si="1"/>
        <v>1.9977452844815113E-2</v>
      </c>
    </row>
    <row r="12" spans="1:15" x14ac:dyDescent="0.25">
      <c r="A12" t="s">
        <v>1741</v>
      </c>
      <c r="K12" s="1" t="str">
        <f t="shared" si="0"/>
        <v>2001-07-01</v>
      </c>
      <c r="L12">
        <v>266.20001200000002</v>
      </c>
      <c r="M12" s="2">
        <f t="shared" si="1"/>
        <v>-1.6260140068141693E-2</v>
      </c>
    </row>
    <row r="13" spans="1:15" x14ac:dyDescent="0.25">
      <c r="A13" t="s">
        <v>1742</v>
      </c>
      <c r="K13" s="1" t="str">
        <f t="shared" si="0"/>
        <v>2001-08-01</v>
      </c>
      <c r="L13">
        <v>274.39999399999999</v>
      </c>
      <c r="M13" s="2">
        <f t="shared" si="1"/>
        <v>3.0803837830029712E-2</v>
      </c>
    </row>
    <row r="14" spans="1:15" x14ac:dyDescent="0.25">
      <c r="A14" t="s">
        <v>1743</v>
      </c>
      <c r="K14" s="1" t="str">
        <f t="shared" si="0"/>
        <v>2001-09-01</v>
      </c>
      <c r="L14">
        <v>292.39999399999999</v>
      </c>
      <c r="M14" s="2">
        <f t="shared" si="1"/>
        <v>6.5597669072835263E-2</v>
      </c>
    </row>
    <row r="15" spans="1:15" x14ac:dyDescent="0.25">
      <c r="A15" t="s">
        <v>1744</v>
      </c>
      <c r="K15" s="1" t="str">
        <f t="shared" si="0"/>
        <v>2001-10-01</v>
      </c>
      <c r="L15">
        <v>279.5</v>
      </c>
      <c r="M15" s="2">
        <f t="shared" si="1"/>
        <v>-4.4117627444274166E-2</v>
      </c>
    </row>
    <row r="16" spans="1:15" x14ac:dyDescent="0.25">
      <c r="A16" t="s">
        <v>1745</v>
      </c>
      <c r="K16" s="1" t="str">
        <f t="shared" si="0"/>
        <v>2001-11-01</v>
      </c>
      <c r="L16">
        <v>273.89999399999999</v>
      </c>
      <c r="M16" s="2">
        <f t="shared" si="1"/>
        <v>-2.0035799642218244E-2</v>
      </c>
    </row>
    <row r="17" spans="1:13" x14ac:dyDescent="0.25">
      <c r="A17" t="s">
        <v>1746</v>
      </c>
      <c r="K17" s="1" t="str">
        <f t="shared" si="0"/>
        <v>2001-12-01</v>
      </c>
      <c r="L17">
        <v>278.70001200000002</v>
      </c>
      <c r="M17" s="2">
        <f t="shared" si="1"/>
        <v>1.7524710131976207E-2</v>
      </c>
    </row>
    <row r="18" spans="1:13" x14ac:dyDescent="0.25">
      <c r="A18" t="s">
        <v>1747</v>
      </c>
      <c r="K18" s="1" t="str">
        <f t="shared" si="0"/>
        <v>2002-01-01</v>
      </c>
      <c r="L18">
        <v>282.10000600000001</v>
      </c>
      <c r="M18" s="2">
        <f t="shared" si="1"/>
        <v>1.2199475613944299E-2</v>
      </c>
    </row>
    <row r="19" spans="1:13" x14ac:dyDescent="0.25">
      <c r="A19" t="s">
        <v>1748</v>
      </c>
      <c r="K19" s="1" t="str">
        <f t="shared" si="0"/>
        <v>2002-02-01</v>
      </c>
      <c r="L19">
        <v>296.70001200000002</v>
      </c>
      <c r="M19" s="2">
        <f t="shared" si="1"/>
        <v>5.1754717084266932E-2</v>
      </c>
    </row>
    <row r="20" spans="1:13" x14ac:dyDescent="0.25">
      <c r="A20" t="s">
        <v>1749</v>
      </c>
      <c r="K20" s="1" t="str">
        <f t="shared" si="0"/>
        <v>2002-03-01</v>
      </c>
      <c r="L20">
        <v>302.60000600000001</v>
      </c>
      <c r="M20" s="2">
        <f t="shared" si="1"/>
        <v>1.9885385107432985E-2</v>
      </c>
    </row>
    <row r="21" spans="1:13" x14ac:dyDescent="0.25">
      <c r="A21" t="s">
        <v>1750</v>
      </c>
      <c r="K21" s="1" t="str">
        <f t="shared" si="0"/>
        <v>2002-04-01</v>
      </c>
      <c r="L21">
        <v>308.89999399999999</v>
      </c>
      <c r="M21" s="2">
        <f t="shared" si="1"/>
        <v>2.0819523711443688E-2</v>
      </c>
    </row>
    <row r="22" spans="1:13" x14ac:dyDescent="0.25">
      <c r="A22" t="s">
        <v>1751</v>
      </c>
      <c r="K22" s="1" t="str">
        <f t="shared" si="0"/>
        <v>2002-05-01</v>
      </c>
      <c r="L22">
        <v>326.5</v>
      </c>
      <c r="M22" s="2">
        <f t="shared" si="1"/>
        <v>5.6976388287013124E-2</v>
      </c>
    </row>
    <row r="23" spans="1:13" x14ac:dyDescent="0.25">
      <c r="A23" t="s">
        <v>1752</v>
      </c>
      <c r="K23" s="1" t="str">
        <f t="shared" si="0"/>
        <v>2002-06-01</v>
      </c>
      <c r="L23">
        <v>313.5</v>
      </c>
      <c r="M23" s="2">
        <f t="shared" si="1"/>
        <v>-3.9816232771822335E-2</v>
      </c>
    </row>
    <row r="24" spans="1:13" x14ac:dyDescent="0.25">
      <c r="A24" t="s">
        <v>1753</v>
      </c>
      <c r="K24" s="1" t="str">
        <f t="shared" si="0"/>
        <v>2002-07-01</v>
      </c>
      <c r="L24">
        <v>303.20001200000002</v>
      </c>
      <c r="M24" s="2">
        <f t="shared" si="1"/>
        <v>-3.2854826156299755E-2</v>
      </c>
    </row>
    <row r="25" spans="1:13" x14ac:dyDescent="0.25">
      <c r="A25" t="s">
        <v>1754</v>
      </c>
      <c r="K25" s="1" t="str">
        <f t="shared" si="0"/>
        <v>2002-08-01</v>
      </c>
      <c r="L25">
        <v>312.39999399999999</v>
      </c>
      <c r="M25" s="2">
        <f t="shared" si="1"/>
        <v>3.0342947347904436E-2</v>
      </c>
    </row>
    <row r="26" spans="1:13" x14ac:dyDescent="0.25">
      <c r="A26" t="s">
        <v>1755</v>
      </c>
      <c r="K26" s="1" t="str">
        <f t="shared" si="0"/>
        <v>2002-09-01</v>
      </c>
      <c r="L26">
        <v>323.89999399999999</v>
      </c>
      <c r="M26" s="2">
        <f t="shared" si="1"/>
        <v>3.6811780476538658E-2</v>
      </c>
    </row>
    <row r="27" spans="1:13" x14ac:dyDescent="0.25">
      <c r="A27" t="s">
        <v>1756</v>
      </c>
      <c r="K27" s="1" t="str">
        <f t="shared" si="0"/>
        <v>2002-10-01</v>
      </c>
      <c r="L27">
        <v>318</v>
      </c>
      <c r="M27" s="2">
        <f t="shared" si="1"/>
        <v>-1.821548042387422E-2</v>
      </c>
    </row>
    <row r="28" spans="1:13" x14ac:dyDescent="0.25">
      <c r="A28" t="s">
        <v>1757</v>
      </c>
      <c r="K28" s="1" t="str">
        <f t="shared" si="0"/>
        <v>2002-11-01</v>
      </c>
      <c r="L28">
        <v>316.79998799999998</v>
      </c>
      <c r="M28" s="2">
        <f t="shared" si="1"/>
        <v>-3.7736226415094887E-3</v>
      </c>
    </row>
    <row r="29" spans="1:13" x14ac:dyDescent="0.25">
      <c r="A29" t="s">
        <v>1758</v>
      </c>
      <c r="K29" s="1" t="str">
        <f t="shared" si="0"/>
        <v>2002-12-01</v>
      </c>
      <c r="L29">
        <v>347.60000600000001</v>
      </c>
      <c r="M29" s="2">
        <f t="shared" si="1"/>
        <v>9.7222282723066433E-2</v>
      </c>
    </row>
    <row r="30" spans="1:13" x14ac:dyDescent="0.25">
      <c r="A30" t="s">
        <v>1759</v>
      </c>
      <c r="K30" s="1" t="str">
        <f t="shared" si="0"/>
        <v>2003-01-01</v>
      </c>
      <c r="L30">
        <v>368.29998799999998</v>
      </c>
      <c r="M30" s="2">
        <f t="shared" si="1"/>
        <v>5.955115547380041E-2</v>
      </c>
    </row>
    <row r="31" spans="1:13" x14ac:dyDescent="0.25">
      <c r="A31" t="s">
        <v>1760</v>
      </c>
      <c r="K31" s="1" t="str">
        <f t="shared" si="0"/>
        <v>2003-02-01</v>
      </c>
      <c r="L31">
        <v>350.20001200000002</v>
      </c>
      <c r="M31" s="2">
        <f t="shared" si="1"/>
        <v>-4.9144655416062499E-2</v>
      </c>
    </row>
    <row r="32" spans="1:13" x14ac:dyDescent="0.25">
      <c r="A32" t="s">
        <v>1761</v>
      </c>
      <c r="K32" s="1" t="str">
        <f t="shared" si="0"/>
        <v>2003-03-01</v>
      </c>
      <c r="L32">
        <v>335.89999399999999</v>
      </c>
      <c r="M32" s="2">
        <f t="shared" si="1"/>
        <v>-4.0833859251838134E-2</v>
      </c>
    </row>
    <row r="33" spans="1:13" x14ac:dyDescent="0.25">
      <c r="A33" t="s">
        <v>1762</v>
      </c>
      <c r="K33" s="1" t="str">
        <f t="shared" si="0"/>
        <v>2003-04-01</v>
      </c>
      <c r="L33">
        <v>339.10000600000001</v>
      </c>
      <c r="M33" s="2">
        <f t="shared" si="1"/>
        <v>9.5266807298604039E-3</v>
      </c>
    </row>
    <row r="34" spans="1:13" x14ac:dyDescent="0.25">
      <c r="A34" t="s">
        <v>1763</v>
      </c>
      <c r="K34" s="1" t="str">
        <f t="shared" si="0"/>
        <v>2003-05-01</v>
      </c>
      <c r="L34">
        <v>364.5</v>
      </c>
      <c r="M34" s="2">
        <f t="shared" si="1"/>
        <v>7.4904139046225726E-2</v>
      </c>
    </row>
    <row r="35" spans="1:13" x14ac:dyDescent="0.25">
      <c r="A35" t="s">
        <v>1764</v>
      </c>
      <c r="K35" s="1" t="str">
        <f t="shared" si="0"/>
        <v>2003-06-01</v>
      </c>
      <c r="L35">
        <v>346</v>
      </c>
      <c r="M35" s="2">
        <f t="shared" si="1"/>
        <v>-5.0754458161865523E-2</v>
      </c>
    </row>
    <row r="36" spans="1:13" x14ac:dyDescent="0.25">
      <c r="A36" t="s">
        <v>1765</v>
      </c>
      <c r="K36" s="1" t="str">
        <f t="shared" si="0"/>
        <v>2003-07-01</v>
      </c>
      <c r="L36">
        <v>354</v>
      </c>
      <c r="M36" s="2">
        <f t="shared" si="1"/>
        <v>2.3121387283236983E-2</v>
      </c>
    </row>
    <row r="37" spans="1:13" x14ac:dyDescent="0.25">
      <c r="A37" t="s">
        <v>1766</v>
      </c>
      <c r="K37" s="1" t="str">
        <f t="shared" si="0"/>
        <v>2003-08-01</v>
      </c>
      <c r="L37">
        <v>375.70001200000002</v>
      </c>
      <c r="M37" s="2">
        <f t="shared" si="1"/>
        <v>6.1299468926553802E-2</v>
      </c>
    </row>
    <row r="38" spans="1:13" x14ac:dyDescent="0.25">
      <c r="A38" t="s">
        <v>1767</v>
      </c>
      <c r="K38" s="1" t="str">
        <f t="shared" si="0"/>
        <v>2003-09-01</v>
      </c>
      <c r="L38">
        <v>385.39999399999999</v>
      </c>
      <c r="M38" s="2">
        <f t="shared" si="1"/>
        <v>2.5818423450036931E-2</v>
      </c>
    </row>
    <row r="39" spans="1:13" x14ac:dyDescent="0.25">
      <c r="A39" t="s">
        <v>1768</v>
      </c>
      <c r="K39" s="1" t="str">
        <f t="shared" si="0"/>
        <v>2003-10-01</v>
      </c>
      <c r="L39">
        <v>384.5</v>
      </c>
      <c r="M39" s="2">
        <f t="shared" si="1"/>
        <v>-2.3352205864330955E-3</v>
      </c>
    </row>
    <row r="40" spans="1:13" x14ac:dyDescent="0.25">
      <c r="A40" t="s">
        <v>1769</v>
      </c>
      <c r="K40" s="1" t="str">
        <f t="shared" si="0"/>
        <v>2003-11-01</v>
      </c>
      <c r="L40">
        <v>396.79998799999998</v>
      </c>
      <c r="M40" s="2">
        <f t="shared" si="1"/>
        <v>3.1989565669700903E-2</v>
      </c>
    </row>
    <row r="41" spans="1:13" x14ac:dyDescent="0.25">
      <c r="A41" t="s">
        <v>1770</v>
      </c>
      <c r="K41" s="1" t="str">
        <f t="shared" si="0"/>
        <v>2003-12-01</v>
      </c>
      <c r="L41">
        <v>415.70001200000002</v>
      </c>
      <c r="M41" s="2">
        <f t="shared" si="1"/>
        <v>4.7631110311424862E-2</v>
      </c>
    </row>
    <row r="42" spans="1:13" x14ac:dyDescent="0.25">
      <c r="A42" t="s">
        <v>1771</v>
      </c>
      <c r="K42" s="1" t="str">
        <f t="shared" si="0"/>
        <v>2004-01-01</v>
      </c>
      <c r="L42">
        <v>402.20001200000002</v>
      </c>
      <c r="M42" s="2">
        <f t="shared" si="1"/>
        <v>-3.2475341857820306E-2</v>
      </c>
    </row>
    <row r="43" spans="1:13" x14ac:dyDescent="0.25">
      <c r="A43" t="s">
        <v>1772</v>
      </c>
      <c r="K43" s="1" t="str">
        <f t="shared" si="0"/>
        <v>2004-02-01</v>
      </c>
      <c r="L43">
        <v>396.39999399999999</v>
      </c>
      <c r="M43" s="2">
        <f t="shared" si="1"/>
        <v>-1.4420730549356664E-2</v>
      </c>
    </row>
    <row r="44" spans="1:13" x14ac:dyDescent="0.25">
      <c r="A44" t="s">
        <v>1773</v>
      </c>
      <c r="K44" s="1" t="str">
        <f t="shared" si="0"/>
        <v>2004-03-01</v>
      </c>
      <c r="L44">
        <v>427.29998799999998</v>
      </c>
      <c r="M44" s="2">
        <f t="shared" si="1"/>
        <v>7.7951550120356483E-2</v>
      </c>
    </row>
    <row r="45" spans="1:13" x14ac:dyDescent="0.25">
      <c r="A45" t="s">
        <v>1774</v>
      </c>
      <c r="K45" s="1" t="str">
        <f t="shared" si="0"/>
        <v>2004-04-01</v>
      </c>
      <c r="L45">
        <v>387</v>
      </c>
      <c r="M45" s="2">
        <f t="shared" si="1"/>
        <v>-9.4313103514526597E-2</v>
      </c>
    </row>
    <row r="46" spans="1:13" x14ac:dyDescent="0.25">
      <c r="A46" t="s">
        <v>1775</v>
      </c>
      <c r="K46" s="1" t="str">
        <f t="shared" si="0"/>
        <v>2004-05-01</v>
      </c>
      <c r="L46">
        <v>394</v>
      </c>
      <c r="M46" s="2">
        <f t="shared" si="1"/>
        <v>1.8087855297157729E-2</v>
      </c>
    </row>
    <row r="47" spans="1:13" x14ac:dyDescent="0.25">
      <c r="A47" t="s">
        <v>1776</v>
      </c>
      <c r="K47" s="1" t="str">
        <f t="shared" si="0"/>
        <v>2004-06-01</v>
      </c>
      <c r="L47">
        <v>392.60000600000001</v>
      </c>
      <c r="M47" s="2">
        <f t="shared" si="1"/>
        <v>-3.5532842639593998E-3</v>
      </c>
    </row>
    <row r="48" spans="1:13" x14ac:dyDescent="0.25">
      <c r="A48" t="s">
        <v>1777</v>
      </c>
      <c r="K48" s="1" t="str">
        <f t="shared" si="0"/>
        <v>2004-07-01</v>
      </c>
      <c r="L48">
        <v>391</v>
      </c>
      <c r="M48" s="2">
        <f t="shared" si="1"/>
        <v>-4.0754100243187708E-3</v>
      </c>
    </row>
    <row r="49" spans="1:13" x14ac:dyDescent="0.25">
      <c r="A49" t="s">
        <v>1778</v>
      </c>
      <c r="K49" s="1" t="str">
        <f t="shared" si="0"/>
        <v>2004-08-01</v>
      </c>
      <c r="L49">
        <v>410.39999399999999</v>
      </c>
      <c r="M49" s="2">
        <f t="shared" si="1"/>
        <v>4.9616352941176389E-2</v>
      </c>
    </row>
    <row r="50" spans="1:13" x14ac:dyDescent="0.25">
      <c r="A50" t="s">
        <v>1779</v>
      </c>
      <c r="K50" s="1" t="str">
        <f t="shared" si="0"/>
        <v>2004-09-01</v>
      </c>
      <c r="L50">
        <v>418.70001200000002</v>
      </c>
      <c r="M50" s="2">
        <f t="shared" si="1"/>
        <v>2.0224215695285874E-2</v>
      </c>
    </row>
    <row r="51" spans="1:13" x14ac:dyDescent="0.25">
      <c r="A51" t="s">
        <v>1780</v>
      </c>
      <c r="K51" s="1" t="str">
        <f t="shared" si="0"/>
        <v>2004-10-01</v>
      </c>
      <c r="L51">
        <v>428.5</v>
      </c>
      <c r="M51" s="2">
        <f t="shared" si="1"/>
        <v>2.3405750463651787E-2</v>
      </c>
    </row>
    <row r="52" spans="1:13" x14ac:dyDescent="0.25">
      <c r="A52" t="s">
        <v>1781</v>
      </c>
      <c r="K52" s="1" t="str">
        <f t="shared" si="0"/>
        <v>2004-11-01</v>
      </c>
      <c r="L52">
        <v>451.29998799999998</v>
      </c>
      <c r="M52" s="2">
        <f t="shared" si="1"/>
        <v>5.320884014002325E-2</v>
      </c>
    </row>
    <row r="53" spans="1:13" x14ac:dyDescent="0.25">
      <c r="A53" t="s">
        <v>1782</v>
      </c>
      <c r="K53" s="1" t="str">
        <f t="shared" si="0"/>
        <v>2004-12-01</v>
      </c>
      <c r="L53">
        <v>437.5</v>
      </c>
      <c r="M53" s="2">
        <f t="shared" si="1"/>
        <v>-3.0578303494215864E-2</v>
      </c>
    </row>
    <row r="54" spans="1:13" x14ac:dyDescent="0.25">
      <c r="A54" t="s">
        <v>1783</v>
      </c>
      <c r="K54" s="1" t="str">
        <f t="shared" si="0"/>
        <v>2005-01-01</v>
      </c>
      <c r="L54">
        <v>421.79998799999998</v>
      </c>
      <c r="M54" s="2">
        <f t="shared" si="1"/>
        <v>-3.5885741714285713E-2</v>
      </c>
    </row>
    <row r="55" spans="1:13" x14ac:dyDescent="0.25">
      <c r="A55" t="s">
        <v>1784</v>
      </c>
      <c r="K55" s="1" t="str">
        <f t="shared" si="0"/>
        <v>2005-02-01</v>
      </c>
      <c r="L55">
        <v>436.5</v>
      </c>
      <c r="M55" s="2">
        <f t="shared" si="1"/>
        <v>3.485066955478433E-2</v>
      </c>
    </row>
    <row r="56" spans="1:13" x14ac:dyDescent="0.25">
      <c r="A56" t="s">
        <v>1785</v>
      </c>
      <c r="K56" s="1" t="str">
        <f t="shared" si="0"/>
        <v>2005-03-01</v>
      </c>
      <c r="L56">
        <v>428.70001200000002</v>
      </c>
      <c r="M56" s="2">
        <f t="shared" si="1"/>
        <v>-1.7869388316151147E-2</v>
      </c>
    </row>
    <row r="57" spans="1:13" x14ac:dyDescent="0.25">
      <c r="A57" t="s">
        <v>1786</v>
      </c>
      <c r="K57" s="1" t="str">
        <f t="shared" si="0"/>
        <v>2005-04-01</v>
      </c>
      <c r="L57">
        <v>435</v>
      </c>
      <c r="M57" s="2">
        <f t="shared" si="1"/>
        <v>1.4695562919648353E-2</v>
      </c>
    </row>
    <row r="58" spans="1:13" x14ac:dyDescent="0.25">
      <c r="A58" t="s">
        <v>1787</v>
      </c>
      <c r="K58" s="1" t="str">
        <f t="shared" si="0"/>
        <v>2005-05-01</v>
      </c>
      <c r="L58">
        <v>416.29998799999998</v>
      </c>
      <c r="M58" s="2">
        <f t="shared" si="1"/>
        <v>-4.2988533333333412E-2</v>
      </c>
    </row>
    <row r="59" spans="1:13" x14ac:dyDescent="0.25">
      <c r="A59" t="s">
        <v>1788</v>
      </c>
      <c r="K59" s="1" t="str">
        <f t="shared" si="0"/>
        <v>2005-06-01</v>
      </c>
      <c r="L59">
        <v>435.89999399999999</v>
      </c>
      <c r="M59" s="2">
        <f t="shared" si="1"/>
        <v>4.7081447429683898E-2</v>
      </c>
    </row>
    <row r="60" spans="1:13" x14ac:dyDescent="0.25">
      <c r="A60" t="s">
        <v>1789</v>
      </c>
      <c r="K60" s="1" t="str">
        <f t="shared" si="0"/>
        <v>2005-07-01</v>
      </c>
      <c r="L60">
        <v>429.89999399999999</v>
      </c>
      <c r="M60" s="2">
        <f t="shared" si="1"/>
        <v>-1.3764625103436012E-2</v>
      </c>
    </row>
    <row r="61" spans="1:13" x14ac:dyDescent="0.25">
      <c r="A61" t="s">
        <v>1790</v>
      </c>
      <c r="K61" s="1" t="str">
        <f t="shared" si="0"/>
        <v>2005-08-01</v>
      </c>
      <c r="L61">
        <v>433.79998799999998</v>
      </c>
      <c r="M61" s="2">
        <f t="shared" si="1"/>
        <v>9.0718633506190471E-3</v>
      </c>
    </row>
    <row r="62" spans="1:13" x14ac:dyDescent="0.25">
      <c r="A62" t="s">
        <v>1791</v>
      </c>
      <c r="K62" s="1" t="str">
        <f t="shared" si="0"/>
        <v>2005-09-01</v>
      </c>
      <c r="L62">
        <v>469</v>
      </c>
      <c r="M62" s="2">
        <f t="shared" si="1"/>
        <v>8.1143413955096833E-2</v>
      </c>
    </row>
    <row r="63" spans="1:13" x14ac:dyDescent="0.25">
      <c r="A63" t="s">
        <v>1792</v>
      </c>
      <c r="K63" s="1" t="str">
        <f t="shared" si="0"/>
        <v>2005-10-01</v>
      </c>
      <c r="L63">
        <v>465.10000600000001</v>
      </c>
      <c r="M63" s="2">
        <f t="shared" si="1"/>
        <v>-8.3155522388059788E-3</v>
      </c>
    </row>
    <row r="64" spans="1:13" x14ac:dyDescent="0.25">
      <c r="A64" t="s">
        <v>1793</v>
      </c>
      <c r="K64" s="1" t="str">
        <f t="shared" si="0"/>
        <v>2005-11-01</v>
      </c>
      <c r="L64">
        <v>494.60000600000001</v>
      </c>
      <c r="M64" s="2">
        <f t="shared" si="1"/>
        <v>6.3427219134458479E-2</v>
      </c>
    </row>
    <row r="65" spans="1:13" x14ac:dyDescent="0.25">
      <c r="A65" t="s">
        <v>1794</v>
      </c>
      <c r="K65" s="1" t="str">
        <f t="shared" si="0"/>
        <v>2005-12-01</v>
      </c>
      <c r="L65">
        <v>517.09997599999997</v>
      </c>
      <c r="M65" s="2">
        <f t="shared" si="1"/>
        <v>4.5491244899014349E-2</v>
      </c>
    </row>
    <row r="66" spans="1:13" x14ac:dyDescent="0.25">
      <c r="A66" t="s">
        <v>1795</v>
      </c>
      <c r="K66" s="1" t="str">
        <f t="shared" si="0"/>
        <v>2006-01-01</v>
      </c>
      <c r="L66">
        <v>570.79998799999998</v>
      </c>
      <c r="M66" s="2">
        <f t="shared" si="1"/>
        <v>0.10384841325152183</v>
      </c>
    </row>
    <row r="67" spans="1:13" x14ac:dyDescent="0.25">
      <c r="A67" t="s">
        <v>1796</v>
      </c>
      <c r="K67" s="1" t="str">
        <f t="shared" ref="K67:K130" si="2">LEFT(A67,10)</f>
        <v>2006-02-01</v>
      </c>
      <c r="L67">
        <v>561.59997599999997</v>
      </c>
      <c r="M67" s="2">
        <f t="shared" si="1"/>
        <v>-1.6117750864423686E-2</v>
      </c>
    </row>
    <row r="68" spans="1:13" x14ac:dyDescent="0.25">
      <c r="A68" t="s">
        <v>1797</v>
      </c>
      <c r="K68" s="1" t="str">
        <f t="shared" si="2"/>
        <v>2006-03-01</v>
      </c>
      <c r="L68">
        <v>581.79998799999998</v>
      </c>
      <c r="M68" s="2">
        <f t="shared" ref="M68:M131" si="3">(L68/L67)-1</f>
        <v>3.596868387330554E-2</v>
      </c>
    </row>
    <row r="69" spans="1:13" x14ac:dyDescent="0.25">
      <c r="A69" t="s">
        <v>1798</v>
      </c>
      <c r="K69" s="1" t="str">
        <f t="shared" si="2"/>
        <v>2006-04-01</v>
      </c>
      <c r="L69">
        <v>651.79998799999998</v>
      </c>
      <c r="M69" s="2">
        <f t="shared" si="3"/>
        <v>0.12031626236472182</v>
      </c>
    </row>
    <row r="70" spans="1:13" x14ac:dyDescent="0.25">
      <c r="A70" t="s">
        <v>1799</v>
      </c>
      <c r="K70" s="1" t="str">
        <f t="shared" si="2"/>
        <v>2006-05-01</v>
      </c>
      <c r="L70">
        <v>642.5</v>
      </c>
      <c r="M70" s="2">
        <f t="shared" si="3"/>
        <v>-1.4268162275572149E-2</v>
      </c>
    </row>
    <row r="71" spans="1:13" x14ac:dyDescent="0.25">
      <c r="A71" t="s">
        <v>1800</v>
      </c>
      <c r="K71" s="1" t="str">
        <f t="shared" si="2"/>
        <v>2006-06-01</v>
      </c>
      <c r="L71">
        <v>613.5</v>
      </c>
      <c r="M71" s="2">
        <f t="shared" si="3"/>
        <v>-4.5136186770427966E-2</v>
      </c>
    </row>
    <row r="72" spans="1:13" x14ac:dyDescent="0.25">
      <c r="A72" t="s">
        <v>1801</v>
      </c>
      <c r="K72" s="1" t="str">
        <f t="shared" si="2"/>
        <v>2006-07-01</v>
      </c>
      <c r="L72">
        <v>634.20001200000002</v>
      </c>
      <c r="M72" s="2">
        <f t="shared" si="3"/>
        <v>3.3740850855745741E-2</v>
      </c>
    </row>
    <row r="73" spans="1:13" x14ac:dyDescent="0.25">
      <c r="A73" t="s">
        <v>1802</v>
      </c>
      <c r="K73" s="1" t="str">
        <f t="shared" si="2"/>
        <v>2006-08-01</v>
      </c>
      <c r="L73">
        <v>625.90002400000003</v>
      </c>
      <c r="M73" s="2">
        <f t="shared" si="3"/>
        <v>-1.3087334977849197E-2</v>
      </c>
    </row>
    <row r="74" spans="1:13" x14ac:dyDescent="0.25">
      <c r="A74" t="s">
        <v>1803</v>
      </c>
      <c r="K74" s="1" t="str">
        <f t="shared" si="2"/>
        <v>2006-09-01</v>
      </c>
      <c r="L74">
        <v>598.59997599999997</v>
      </c>
      <c r="M74" s="2">
        <f t="shared" si="3"/>
        <v>-4.3617266261680276E-2</v>
      </c>
    </row>
    <row r="75" spans="1:13" x14ac:dyDescent="0.25">
      <c r="A75" t="s">
        <v>1804</v>
      </c>
      <c r="K75" s="1" t="str">
        <f t="shared" si="2"/>
        <v>2006-10-01</v>
      </c>
      <c r="L75">
        <v>604.09997599999997</v>
      </c>
      <c r="M75" s="2">
        <f t="shared" si="3"/>
        <v>9.1881059480696248E-3</v>
      </c>
    </row>
    <row r="76" spans="1:13" x14ac:dyDescent="0.25">
      <c r="A76" t="s">
        <v>1805</v>
      </c>
      <c r="K76" s="1" t="str">
        <f t="shared" si="2"/>
        <v>2006-11-01</v>
      </c>
      <c r="L76">
        <v>646.90002400000003</v>
      </c>
      <c r="M76" s="2">
        <f t="shared" si="3"/>
        <v>7.0849279424570089E-2</v>
      </c>
    </row>
    <row r="77" spans="1:13" x14ac:dyDescent="0.25">
      <c r="A77" t="s">
        <v>1806</v>
      </c>
      <c r="K77" s="1" t="str">
        <f t="shared" si="2"/>
        <v>2006-12-01</v>
      </c>
      <c r="L77">
        <v>635.20001200000002</v>
      </c>
      <c r="M77" s="2">
        <f t="shared" si="3"/>
        <v>-1.8086275414947339E-2</v>
      </c>
    </row>
    <row r="78" spans="1:13" x14ac:dyDescent="0.25">
      <c r="A78" t="s">
        <v>1807</v>
      </c>
      <c r="K78" s="1" t="str">
        <f t="shared" si="2"/>
        <v>2007-01-01</v>
      </c>
      <c r="L78">
        <v>652</v>
      </c>
      <c r="M78" s="2">
        <f t="shared" si="3"/>
        <v>2.644834332906143E-2</v>
      </c>
    </row>
    <row r="79" spans="1:13" x14ac:dyDescent="0.25">
      <c r="A79" t="s">
        <v>1808</v>
      </c>
      <c r="K79" s="1" t="str">
        <f t="shared" si="2"/>
        <v>2007-02-01</v>
      </c>
      <c r="L79">
        <v>669.40002400000003</v>
      </c>
      <c r="M79" s="2">
        <f t="shared" si="3"/>
        <v>2.6687153374233219E-2</v>
      </c>
    </row>
    <row r="80" spans="1:13" x14ac:dyDescent="0.25">
      <c r="A80" t="s">
        <v>1809</v>
      </c>
      <c r="K80" s="1" t="str">
        <f t="shared" si="2"/>
        <v>2007-03-01</v>
      </c>
      <c r="L80">
        <v>663</v>
      </c>
      <c r="M80" s="2">
        <f t="shared" si="3"/>
        <v>-9.5608362272781022E-3</v>
      </c>
    </row>
    <row r="81" spans="1:13" x14ac:dyDescent="0.25">
      <c r="A81" t="s">
        <v>1810</v>
      </c>
      <c r="K81" s="1" t="str">
        <f t="shared" si="2"/>
        <v>2007-04-01</v>
      </c>
      <c r="L81">
        <v>680.5</v>
      </c>
      <c r="M81" s="2">
        <f t="shared" si="3"/>
        <v>2.639517345399689E-2</v>
      </c>
    </row>
    <row r="82" spans="1:13" x14ac:dyDescent="0.25">
      <c r="A82" t="s">
        <v>1811</v>
      </c>
      <c r="K82" s="1" t="str">
        <f t="shared" si="2"/>
        <v>2007-05-01</v>
      </c>
      <c r="L82">
        <v>661</v>
      </c>
      <c r="M82" s="2">
        <f t="shared" si="3"/>
        <v>-2.8655400440852352E-2</v>
      </c>
    </row>
    <row r="83" spans="1:13" x14ac:dyDescent="0.25">
      <c r="A83" t="s">
        <v>1812</v>
      </c>
      <c r="K83" s="1" t="str">
        <f t="shared" si="2"/>
        <v>2007-06-01</v>
      </c>
      <c r="L83">
        <v>648.09997599999997</v>
      </c>
      <c r="M83" s="2">
        <f t="shared" si="3"/>
        <v>-1.9515921331316188E-2</v>
      </c>
    </row>
    <row r="84" spans="1:13" x14ac:dyDescent="0.25">
      <c r="A84" t="s">
        <v>1813</v>
      </c>
      <c r="K84" s="1" t="str">
        <f t="shared" si="2"/>
        <v>2007-07-01</v>
      </c>
      <c r="L84">
        <v>666.90002400000003</v>
      </c>
      <c r="M84" s="2">
        <f t="shared" si="3"/>
        <v>2.9007944292841703E-2</v>
      </c>
    </row>
    <row r="85" spans="1:13" x14ac:dyDescent="0.25">
      <c r="A85" t="s">
        <v>1814</v>
      </c>
      <c r="K85" s="1" t="str">
        <f t="shared" si="2"/>
        <v>2007-08-01</v>
      </c>
      <c r="L85">
        <v>673</v>
      </c>
      <c r="M85" s="2">
        <f t="shared" si="3"/>
        <v>9.1467623039100943E-3</v>
      </c>
    </row>
    <row r="86" spans="1:13" x14ac:dyDescent="0.25">
      <c r="A86" t="s">
        <v>1815</v>
      </c>
      <c r="K86" s="1" t="str">
        <f t="shared" si="2"/>
        <v>2007-09-01</v>
      </c>
      <c r="L86">
        <v>742.79998799999998</v>
      </c>
      <c r="M86" s="2">
        <f t="shared" si="3"/>
        <v>0.10371469242199116</v>
      </c>
    </row>
    <row r="87" spans="1:13" x14ac:dyDescent="0.25">
      <c r="A87" t="s">
        <v>1816</v>
      </c>
      <c r="K87" s="1" t="str">
        <f t="shared" si="2"/>
        <v>2007-10-01</v>
      </c>
      <c r="L87">
        <v>792</v>
      </c>
      <c r="M87" s="2">
        <f t="shared" si="3"/>
        <v>6.6235881522389128E-2</v>
      </c>
    </row>
    <row r="88" spans="1:13" x14ac:dyDescent="0.25">
      <c r="A88" t="s">
        <v>1817</v>
      </c>
      <c r="K88" s="1" t="str">
        <f t="shared" si="2"/>
        <v>2007-11-01</v>
      </c>
      <c r="L88">
        <v>782.20001200000002</v>
      </c>
      <c r="M88" s="2">
        <f t="shared" si="3"/>
        <v>-1.2373722222222217E-2</v>
      </c>
    </row>
    <row r="89" spans="1:13" x14ac:dyDescent="0.25">
      <c r="A89" t="s">
        <v>1818</v>
      </c>
      <c r="K89" s="1" t="str">
        <f t="shared" si="2"/>
        <v>2007-12-01</v>
      </c>
      <c r="L89">
        <v>834.90002400000003</v>
      </c>
      <c r="M89" s="2">
        <f t="shared" si="3"/>
        <v>6.7374087434813212E-2</v>
      </c>
    </row>
    <row r="90" spans="1:13" x14ac:dyDescent="0.25">
      <c r="A90" t="s">
        <v>1819</v>
      </c>
      <c r="K90" s="1" t="str">
        <f t="shared" si="2"/>
        <v>2008-01-01</v>
      </c>
      <c r="L90">
        <v>922.70001200000002</v>
      </c>
      <c r="M90" s="2">
        <f t="shared" si="3"/>
        <v>0.10516227748964591</v>
      </c>
    </row>
    <row r="91" spans="1:13" x14ac:dyDescent="0.25">
      <c r="A91" t="s">
        <v>1820</v>
      </c>
      <c r="K91" s="1" t="str">
        <f t="shared" si="2"/>
        <v>2008-02-01</v>
      </c>
      <c r="L91">
        <v>972.09997599999997</v>
      </c>
      <c r="M91" s="2">
        <f t="shared" si="3"/>
        <v>5.3538488520145311E-2</v>
      </c>
    </row>
    <row r="92" spans="1:13" x14ac:dyDescent="0.25">
      <c r="A92" t="s">
        <v>1821</v>
      </c>
      <c r="K92" s="1" t="str">
        <f t="shared" si="2"/>
        <v>2008-03-01</v>
      </c>
      <c r="L92">
        <v>916.20001200000002</v>
      </c>
      <c r="M92" s="2">
        <f t="shared" si="3"/>
        <v>-5.7504336364678554E-2</v>
      </c>
    </row>
    <row r="93" spans="1:13" x14ac:dyDescent="0.25">
      <c r="A93" t="s">
        <v>1822</v>
      </c>
      <c r="K93" s="1" t="str">
        <f t="shared" si="2"/>
        <v>2008-04-01</v>
      </c>
      <c r="L93">
        <v>862.79998799999998</v>
      </c>
      <c r="M93" s="2">
        <f t="shared" si="3"/>
        <v>-5.8284242851548873E-2</v>
      </c>
    </row>
    <row r="94" spans="1:13" x14ac:dyDescent="0.25">
      <c r="A94" t="s">
        <v>1823</v>
      </c>
      <c r="K94" s="1" t="str">
        <f t="shared" si="2"/>
        <v>2008-05-01</v>
      </c>
      <c r="L94">
        <v>887.29998799999998</v>
      </c>
      <c r="M94" s="2">
        <f t="shared" si="3"/>
        <v>2.8395920654556095E-2</v>
      </c>
    </row>
    <row r="95" spans="1:13" x14ac:dyDescent="0.25">
      <c r="A95" t="s">
        <v>1824</v>
      </c>
      <c r="K95" s="1" t="str">
        <f t="shared" si="2"/>
        <v>2008-06-01</v>
      </c>
      <c r="L95">
        <v>926.20001200000002</v>
      </c>
      <c r="M95" s="2">
        <f t="shared" si="3"/>
        <v>4.3840893188426433E-2</v>
      </c>
    </row>
    <row r="96" spans="1:13" x14ac:dyDescent="0.25">
      <c r="A96" t="s">
        <v>1825</v>
      </c>
      <c r="K96" s="1" t="str">
        <f t="shared" si="2"/>
        <v>2008-07-01</v>
      </c>
      <c r="L96">
        <v>913.90002400000003</v>
      </c>
      <c r="M96" s="2">
        <f t="shared" si="3"/>
        <v>-1.3280055971322979E-2</v>
      </c>
    </row>
    <row r="97" spans="1:13" x14ac:dyDescent="0.25">
      <c r="A97" t="s">
        <v>1826</v>
      </c>
      <c r="K97" s="1" t="str">
        <f t="shared" si="2"/>
        <v>2008-08-01</v>
      </c>
      <c r="L97">
        <v>829.29998799999998</v>
      </c>
      <c r="M97" s="2">
        <f t="shared" si="3"/>
        <v>-9.2570340057240297E-2</v>
      </c>
    </row>
    <row r="98" spans="1:13" x14ac:dyDescent="0.25">
      <c r="A98" t="s">
        <v>1827</v>
      </c>
      <c r="K98" s="1" t="str">
        <f t="shared" si="2"/>
        <v>2008-09-01</v>
      </c>
      <c r="L98">
        <v>874.20001200000002</v>
      </c>
      <c r="M98" s="2">
        <f t="shared" si="3"/>
        <v>5.4142077233455765E-2</v>
      </c>
    </row>
    <row r="99" spans="1:13" x14ac:dyDescent="0.25">
      <c r="A99" t="s">
        <v>1828</v>
      </c>
      <c r="K99" s="1" t="str">
        <f t="shared" si="2"/>
        <v>2008-10-01</v>
      </c>
      <c r="L99">
        <v>716.79998799999998</v>
      </c>
      <c r="M99" s="2">
        <f t="shared" si="3"/>
        <v>-0.18005035671401937</v>
      </c>
    </row>
    <row r="100" spans="1:13" x14ac:dyDescent="0.25">
      <c r="A100" t="s">
        <v>1829</v>
      </c>
      <c r="K100" s="1" t="str">
        <f t="shared" si="2"/>
        <v>2008-11-01</v>
      </c>
      <c r="L100">
        <v>816.20001200000002</v>
      </c>
      <c r="M100" s="2">
        <f t="shared" si="3"/>
        <v>0.13867191080365937</v>
      </c>
    </row>
    <row r="101" spans="1:13" x14ac:dyDescent="0.25">
      <c r="A101" t="s">
        <v>1830</v>
      </c>
      <c r="K101" s="1" t="str">
        <f t="shared" si="2"/>
        <v>2008-12-01</v>
      </c>
      <c r="L101">
        <v>883.59997599999997</v>
      </c>
      <c r="M101" s="2">
        <f t="shared" si="3"/>
        <v>8.2577754238013945E-2</v>
      </c>
    </row>
    <row r="102" spans="1:13" x14ac:dyDescent="0.25">
      <c r="A102" t="s">
        <v>1831</v>
      </c>
      <c r="K102" s="1" t="str">
        <f t="shared" si="2"/>
        <v>2009-01-01</v>
      </c>
      <c r="L102">
        <v>927.29998799999998</v>
      </c>
      <c r="M102" s="2">
        <f t="shared" si="3"/>
        <v>4.9456782692352652E-2</v>
      </c>
    </row>
    <row r="103" spans="1:13" x14ac:dyDescent="0.25">
      <c r="A103" t="s">
        <v>1832</v>
      </c>
      <c r="K103" s="1" t="str">
        <f t="shared" si="2"/>
        <v>2009-02-01</v>
      </c>
      <c r="L103">
        <v>941.5</v>
      </c>
      <c r="M103" s="2">
        <f t="shared" si="3"/>
        <v>1.5313288238713918E-2</v>
      </c>
    </row>
    <row r="104" spans="1:13" x14ac:dyDescent="0.25">
      <c r="A104" t="s">
        <v>1833</v>
      </c>
      <c r="K104" s="1" t="str">
        <f t="shared" si="2"/>
        <v>2009-03-01</v>
      </c>
      <c r="L104">
        <v>922.59997599999997</v>
      </c>
      <c r="M104" s="2">
        <f t="shared" si="3"/>
        <v>-2.0074374933616634E-2</v>
      </c>
    </row>
    <row r="105" spans="1:13" x14ac:dyDescent="0.25">
      <c r="A105" t="s">
        <v>1834</v>
      </c>
      <c r="K105" s="1" t="str">
        <f t="shared" si="2"/>
        <v>2009-04-01</v>
      </c>
      <c r="L105">
        <v>890.70001200000002</v>
      </c>
      <c r="M105" s="2">
        <f t="shared" si="3"/>
        <v>-3.4576159581430455E-2</v>
      </c>
    </row>
    <row r="106" spans="1:13" x14ac:dyDescent="0.25">
      <c r="A106" t="s">
        <v>1835</v>
      </c>
      <c r="K106" s="1" t="str">
        <f t="shared" si="2"/>
        <v>2009-05-01</v>
      </c>
      <c r="L106">
        <v>978.79998799999998</v>
      </c>
      <c r="M106" s="2">
        <f t="shared" si="3"/>
        <v>9.8910940623182508E-2</v>
      </c>
    </row>
    <row r="107" spans="1:13" x14ac:dyDescent="0.25">
      <c r="A107" t="s">
        <v>1836</v>
      </c>
      <c r="K107" s="1" t="str">
        <f t="shared" si="2"/>
        <v>2009-06-01</v>
      </c>
      <c r="L107">
        <v>927.09997599999997</v>
      </c>
      <c r="M107" s="2">
        <f t="shared" si="3"/>
        <v>-5.2819792229094276E-2</v>
      </c>
    </row>
    <row r="108" spans="1:13" x14ac:dyDescent="0.25">
      <c r="A108" t="s">
        <v>1837</v>
      </c>
      <c r="K108" s="1" t="str">
        <f t="shared" si="2"/>
        <v>2009-07-01</v>
      </c>
      <c r="L108">
        <v>953.70001200000002</v>
      </c>
      <c r="M108" s="2">
        <f t="shared" si="3"/>
        <v>2.8691658600582315E-2</v>
      </c>
    </row>
    <row r="109" spans="1:13" x14ac:dyDescent="0.25">
      <c r="A109" t="s">
        <v>1838</v>
      </c>
      <c r="K109" s="1" t="str">
        <f t="shared" si="2"/>
        <v>2009-08-01</v>
      </c>
      <c r="L109">
        <v>951.70001200000002</v>
      </c>
      <c r="M109" s="2">
        <f t="shared" si="3"/>
        <v>-2.0970954963142052E-3</v>
      </c>
    </row>
    <row r="110" spans="1:13" x14ac:dyDescent="0.25">
      <c r="A110" t="s">
        <v>1839</v>
      </c>
      <c r="K110" s="1" t="str">
        <f t="shared" si="2"/>
        <v>2009-09-01</v>
      </c>
      <c r="L110">
        <v>1008</v>
      </c>
      <c r="M110" s="2">
        <f t="shared" si="3"/>
        <v>5.9157284112758779E-2</v>
      </c>
    </row>
    <row r="111" spans="1:13" x14ac:dyDescent="0.25">
      <c r="A111" t="s">
        <v>1840</v>
      </c>
      <c r="K111" s="1" t="str">
        <f t="shared" si="2"/>
        <v>2009-10-01</v>
      </c>
      <c r="L111">
        <v>1039.6999510000001</v>
      </c>
      <c r="M111" s="2">
        <f t="shared" si="3"/>
        <v>3.1448364087301561E-2</v>
      </c>
    </row>
    <row r="112" spans="1:13" x14ac:dyDescent="0.25">
      <c r="A112" t="s">
        <v>1841</v>
      </c>
      <c r="K112" s="1" t="str">
        <f t="shared" si="2"/>
        <v>2009-11-01</v>
      </c>
      <c r="L112">
        <v>1181.099976</v>
      </c>
      <c r="M112" s="2">
        <f t="shared" si="3"/>
        <v>0.13600079990770331</v>
      </c>
    </row>
    <row r="113" spans="1:13" x14ac:dyDescent="0.25">
      <c r="A113" t="s">
        <v>1842</v>
      </c>
      <c r="K113" s="1" t="str">
        <f t="shared" si="2"/>
        <v>2009-12-01</v>
      </c>
      <c r="L113">
        <v>1095.1999510000001</v>
      </c>
      <c r="M113" s="2">
        <f t="shared" si="3"/>
        <v>-7.2728834768852724E-2</v>
      </c>
    </row>
    <row r="114" spans="1:13" x14ac:dyDescent="0.25">
      <c r="A114" t="s">
        <v>1843</v>
      </c>
      <c r="K114" s="1" t="str">
        <f t="shared" si="2"/>
        <v>2010-01-01</v>
      </c>
      <c r="L114">
        <v>1083</v>
      </c>
      <c r="M114" s="2">
        <f t="shared" si="3"/>
        <v>-1.1139473653975718E-2</v>
      </c>
    </row>
    <row r="115" spans="1:13" x14ac:dyDescent="0.25">
      <c r="A115" t="s">
        <v>1844</v>
      </c>
      <c r="K115" s="1" t="str">
        <f t="shared" si="2"/>
        <v>2010-02-01</v>
      </c>
      <c r="L115">
        <v>1118.3000489999999</v>
      </c>
      <c r="M115" s="2">
        <f t="shared" si="3"/>
        <v>3.2594689750692574E-2</v>
      </c>
    </row>
    <row r="116" spans="1:13" x14ac:dyDescent="0.25">
      <c r="A116" t="s">
        <v>1845</v>
      </c>
      <c r="K116" s="1" t="str">
        <f t="shared" si="2"/>
        <v>2010-03-01</v>
      </c>
      <c r="L116">
        <v>1113.3000489999999</v>
      </c>
      <c r="M116" s="2">
        <f t="shared" si="3"/>
        <v>-4.4710719671979815E-3</v>
      </c>
    </row>
    <row r="117" spans="1:13" x14ac:dyDescent="0.25">
      <c r="A117" t="s">
        <v>1846</v>
      </c>
      <c r="K117" s="1" t="str">
        <f t="shared" si="2"/>
        <v>2010-04-01</v>
      </c>
      <c r="L117">
        <v>1180.099976</v>
      </c>
      <c r="M117" s="2">
        <f t="shared" si="3"/>
        <v>6.0001728249272634E-2</v>
      </c>
    </row>
    <row r="118" spans="1:13" x14ac:dyDescent="0.25">
      <c r="A118" t="s">
        <v>1847</v>
      </c>
      <c r="K118" s="1" t="str">
        <f t="shared" si="2"/>
        <v>2010-05-01</v>
      </c>
      <c r="L118">
        <v>1212.1999510000001</v>
      </c>
      <c r="M118" s="2">
        <f t="shared" si="3"/>
        <v>2.7201064022392751E-2</v>
      </c>
    </row>
    <row r="119" spans="1:13" x14ac:dyDescent="0.25">
      <c r="A119" t="s">
        <v>1848</v>
      </c>
      <c r="K119" s="1" t="str">
        <f t="shared" si="2"/>
        <v>2010-06-01</v>
      </c>
      <c r="L119">
        <v>1245.5</v>
      </c>
      <c r="M119" s="2">
        <f t="shared" si="3"/>
        <v>2.7470755936369384E-2</v>
      </c>
    </row>
    <row r="120" spans="1:13" x14ac:dyDescent="0.25">
      <c r="A120" t="s">
        <v>1849</v>
      </c>
      <c r="K120" s="1" t="str">
        <f t="shared" si="2"/>
        <v>2010-07-01</v>
      </c>
      <c r="L120">
        <v>1181.6999510000001</v>
      </c>
      <c r="M120" s="2">
        <f t="shared" si="3"/>
        <v>-5.1224447209955781E-2</v>
      </c>
    </row>
    <row r="121" spans="1:13" x14ac:dyDescent="0.25">
      <c r="A121" t="s">
        <v>1850</v>
      </c>
      <c r="K121" s="1" t="str">
        <f t="shared" si="2"/>
        <v>2010-08-01</v>
      </c>
      <c r="L121">
        <v>1248.3000489999999</v>
      </c>
      <c r="M121" s="2">
        <f t="shared" si="3"/>
        <v>5.6359567370414476E-2</v>
      </c>
    </row>
    <row r="122" spans="1:13" x14ac:dyDescent="0.25">
      <c r="A122" t="s">
        <v>1851</v>
      </c>
      <c r="K122" s="1" t="str">
        <f t="shared" si="2"/>
        <v>2010-09-01</v>
      </c>
      <c r="L122">
        <v>1307.8000489999999</v>
      </c>
      <c r="M122" s="2">
        <f t="shared" si="3"/>
        <v>4.7664822289853248E-2</v>
      </c>
    </row>
    <row r="123" spans="1:13" x14ac:dyDescent="0.25">
      <c r="A123" t="s">
        <v>1852</v>
      </c>
      <c r="K123" s="1" t="str">
        <f t="shared" si="2"/>
        <v>2010-10-01</v>
      </c>
      <c r="L123">
        <v>1357.099976</v>
      </c>
      <c r="M123" s="2">
        <f t="shared" si="3"/>
        <v>3.7696838318439285E-2</v>
      </c>
    </row>
    <row r="124" spans="1:13" x14ac:dyDescent="0.25">
      <c r="A124" t="s">
        <v>1853</v>
      </c>
      <c r="K124" s="1" t="str">
        <f t="shared" si="2"/>
        <v>2010-11-01</v>
      </c>
      <c r="L124">
        <v>1385</v>
      </c>
      <c r="M124" s="2">
        <f t="shared" si="3"/>
        <v>2.0558562002362057E-2</v>
      </c>
    </row>
    <row r="125" spans="1:13" x14ac:dyDescent="0.25">
      <c r="A125" t="s">
        <v>1854</v>
      </c>
      <c r="K125" s="1" t="str">
        <f t="shared" si="2"/>
        <v>2010-12-01</v>
      </c>
      <c r="L125">
        <v>1421.099976</v>
      </c>
      <c r="M125" s="2">
        <f t="shared" si="3"/>
        <v>2.6064964620938547E-2</v>
      </c>
    </row>
    <row r="126" spans="1:13" x14ac:dyDescent="0.25">
      <c r="A126" t="s">
        <v>1855</v>
      </c>
      <c r="K126" s="1" t="str">
        <f t="shared" si="2"/>
        <v>2011-01-01</v>
      </c>
      <c r="L126">
        <v>1333.8000489999999</v>
      </c>
      <c r="M126" s="2">
        <f t="shared" si="3"/>
        <v>-6.1431235292625175E-2</v>
      </c>
    </row>
    <row r="127" spans="1:13" x14ac:dyDescent="0.25">
      <c r="A127" t="s">
        <v>1856</v>
      </c>
      <c r="K127" s="1" t="str">
        <f t="shared" si="2"/>
        <v>2011-02-01</v>
      </c>
      <c r="L127">
        <v>1409.3000489999999</v>
      </c>
      <c r="M127" s="2">
        <f t="shared" si="3"/>
        <v>5.660518610462284E-2</v>
      </c>
    </row>
    <row r="128" spans="1:13" x14ac:dyDescent="0.25">
      <c r="A128" t="s">
        <v>1857</v>
      </c>
      <c r="K128" s="1" t="str">
        <f t="shared" si="2"/>
        <v>2011-03-01</v>
      </c>
      <c r="L128">
        <v>1438.900024</v>
      </c>
      <c r="M128" s="2">
        <f t="shared" si="3"/>
        <v>2.1003316519433435E-2</v>
      </c>
    </row>
    <row r="129" spans="1:13" x14ac:dyDescent="0.25">
      <c r="A129" t="s">
        <v>1858</v>
      </c>
      <c r="K129" s="1" t="str">
        <f t="shared" si="2"/>
        <v>2011-04-01</v>
      </c>
      <c r="L129">
        <v>1556</v>
      </c>
      <c r="M129" s="2">
        <f t="shared" si="3"/>
        <v>8.138159291600644E-2</v>
      </c>
    </row>
    <row r="130" spans="1:13" x14ac:dyDescent="0.25">
      <c r="A130" t="s">
        <v>1859</v>
      </c>
      <c r="K130" s="1" t="str">
        <f t="shared" si="2"/>
        <v>2011-05-01</v>
      </c>
      <c r="L130">
        <v>1535.900024</v>
      </c>
      <c r="M130" s="2">
        <f t="shared" si="3"/>
        <v>-1.291772236503852E-2</v>
      </c>
    </row>
    <row r="131" spans="1:13" x14ac:dyDescent="0.25">
      <c r="A131" t="s">
        <v>1860</v>
      </c>
      <c r="K131" s="1" t="str">
        <f t="shared" ref="K131:K194" si="4">LEFT(A131,10)</f>
        <v>2011-06-01</v>
      </c>
      <c r="L131">
        <v>1502.3000489999999</v>
      </c>
      <c r="M131" s="2">
        <f t="shared" si="3"/>
        <v>-2.1876407627427819E-2</v>
      </c>
    </row>
    <row r="132" spans="1:13" x14ac:dyDescent="0.25">
      <c r="A132" t="s">
        <v>1861</v>
      </c>
      <c r="K132" s="1" t="str">
        <f t="shared" si="4"/>
        <v>2011-07-01</v>
      </c>
      <c r="L132">
        <v>1628.3000489999999</v>
      </c>
      <c r="M132" s="2">
        <f t="shared" ref="M132:M195" si="5">(L132/L131)-1</f>
        <v>8.3871394455369508E-2</v>
      </c>
    </row>
    <row r="133" spans="1:13" x14ac:dyDescent="0.25">
      <c r="A133" t="s">
        <v>1862</v>
      </c>
      <c r="K133" s="1" t="str">
        <f t="shared" si="4"/>
        <v>2011-08-01</v>
      </c>
      <c r="L133">
        <v>1828.5</v>
      </c>
      <c r="M133" s="2">
        <f t="shared" si="5"/>
        <v>0.12295028248813877</v>
      </c>
    </row>
    <row r="134" spans="1:13" x14ac:dyDescent="0.25">
      <c r="A134" t="s">
        <v>1863</v>
      </c>
      <c r="K134" s="1" t="str">
        <f t="shared" si="4"/>
        <v>2011-09-01</v>
      </c>
      <c r="L134">
        <v>1620.400024</v>
      </c>
      <c r="M134" s="2">
        <f t="shared" si="5"/>
        <v>-0.11380912004375165</v>
      </c>
    </row>
    <row r="135" spans="1:13" x14ac:dyDescent="0.25">
      <c r="A135" t="s">
        <v>1864</v>
      </c>
      <c r="K135" s="1" t="str">
        <f t="shared" si="4"/>
        <v>2011-10-01</v>
      </c>
      <c r="L135">
        <v>1724.1999510000001</v>
      </c>
      <c r="M135" s="2">
        <f t="shared" si="5"/>
        <v>6.405821122105837E-2</v>
      </c>
    </row>
    <row r="136" spans="1:13" x14ac:dyDescent="0.25">
      <c r="A136" t="s">
        <v>1865</v>
      </c>
      <c r="K136" s="1" t="str">
        <f t="shared" si="4"/>
        <v>2011-11-01</v>
      </c>
      <c r="L136">
        <v>1745.5</v>
      </c>
      <c r="M136" s="2">
        <f t="shared" si="5"/>
        <v>1.2353584042063215E-2</v>
      </c>
    </row>
    <row r="137" spans="1:13" x14ac:dyDescent="0.25">
      <c r="A137" t="s">
        <v>1866</v>
      </c>
      <c r="K137" s="1" t="str">
        <f t="shared" si="4"/>
        <v>2011-12-01</v>
      </c>
      <c r="L137">
        <v>1565.8000489999999</v>
      </c>
      <c r="M137" s="2">
        <f t="shared" si="5"/>
        <v>-0.10295041592666865</v>
      </c>
    </row>
    <row r="138" spans="1:13" x14ac:dyDescent="0.25">
      <c r="A138" t="s">
        <v>1867</v>
      </c>
      <c r="K138" s="1" t="str">
        <f t="shared" si="4"/>
        <v>2012-01-01</v>
      </c>
      <c r="L138">
        <v>1737.8000489999999</v>
      </c>
      <c r="M138" s="2">
        <f t="shared" si="5"/>
        <v>0.10984799758426878</v>
      </c>
    </row>
    <row r="139" spans="1:13" x14ac:dyDescent="0.25">
      <c r="A139" t="s">
        <v>1868</v>
      </c>
      <c r="K139" s="1" t="str">
        <f t="shared" si="4"/>
        <v>2012-02-01</v>
      </c>
      <c r="L139">
        <v>1709.900024</v>
      </c>
      <c r="M139" s="2">
        <f t="shared" si="5"/>
        <v>-1.6054795841474845E-2</v>
      </c>
    </row>
    <row r="140" spans="1:13" x14ac:dyDescent="0.25">
      <c r="A140" t="s">
        <v>1869</v>
      </c>
      <c r="K140" s="1" t="str">
        <f t="shared" si="4"/>
        <v>2012-03-01</v>
      </c>
      <c r="L140">
        <v>1669.3000489999999</v>
      </c>
      <c r="M140" s="2">
        <f t="shared" si="5"/>
        <v>-2.374406364708026E-2</v>
      </c>
    </row>
    <row r="141" spans="1:13" x14ac:dyDescent="0.25">
      <c r="A141" t="s">
        <v>1870</v>
      </c>
      <c r="K141" s="1" t="str">
        <f t="shared" si="4"/>
        <v>2012-04-01</v>
      </c>
      <c r="L141">
        <v>1663.400024</v>
      </c>
      <c r="M141" s="2">
        <f t="shared" si="5"/>
        <v>-3.5344304959041839E-3</v>
      </c>
    </row>
    <row r="142" spans="1:13" x14ac:dyDescent="0.25">
      <c r="A142" t="s">
        <v>1871</v>
      </c>
      <c r="K142" s="1" t="str">
        <f t="shared" si="4"/>
        <v>2012-05-01</v>
      </c>
      <c r="L142">
        <v>1562.599976</v>
      </c>
      <c r="M142" s="2">
        <f t="shared" si="5"/>
        <v>-6.0598801578471084E-2</v>
      </c>
    </row>
    <row r="143" spans="1:13" x14ac:dyDescent="0.25">
      <c r="A143" t="s">
        <v>1872</v>
      </c>
      <c r="K143" s="1" t="str">
        <f t="shared" si="4"/>
        <v>2012-06-01</v>
      </c>
      <c r="L143">
        <v>1603.5</v>
      </c>
      <c r="M143" s="2">
        <f t="shared" si="5"/>
        <v>2.6174340604239177E-2</v>
      </c>
    </row>
    <row r="144" spans="1:13" x14ac:dyDescent="0.25">
      <c r="A144" t="s">
        <v>1873</v>
      </c>
      <c r="K144" s="1" t="str">
        <f t="shared" si="4"/>
        <v>2012-07-01</v>
      </c>
      <c r="L144">
        <v>1610.5</v>
      </c>
      <c r="M144" s="2">
        <f t="shared" si="5"/>
        <v>4.3654505768631058E-3</v>
      </c>
    </row>
    <row r="145" spans="1:13" x14ac:dyDescent="0.25">
      <c r="A145" t="s">
        <v>1874</v>
      </c>
      <c r="K145" s="1" t="str">
        <f t="shared" si="4"/>
        <v>2012-08-01</v>
      </c>
      <c r="L145">
        <v>1684.599976</v>
      </c>
      <c r="M145" s="2">
        <f t="shared" si="5"/>
        <v>4.6010540825830448E-2</v>
      </c>
    </row>
    <row r="146" spans="1:13" x14ac:dyDescent="0.25">
      <c r="A146" t="s">
        <v>1875</v>
      </c>
      <c r="K146" s="1" t="str">
        <f t="shared" si="4"/>
        <v>2012-09-01</v>
      </c>
      <c r="L146">
        <v>1771.099976</v>
      </c>
      <c r="M146" s="2">
        <f t="shared" si="5"/>
        <v>5.1347501621951785E-2</v>
      </c>
    </row>
    <row r="147" spans="1:13" x14ac:dyDescent="0.25">
      <c r="A147" t="s">
        <v>1876</v>
      </c>
      <c r="K147" s="1" t="str">
        <f t="shared" si="4"/>
        <v>2012-10-01</v>
      </c>
      <c r="L147">
        <v>1717.5</v>
      </c>
      <c r="M147" s="2">
        <f t="shared" si="5"/>
        <v>-3.0263664799462409E-2</v>
      </c>
    </row>
    <row r="148" spans="1:13" x14ac:dyDescent="0.25">
      <c r="A148" t="s">
        <v>1877</v>
      </c>
      <c r="K148" s="1" t="str">
        <f t="shared" si="4"/>
        <v>2012-11-01</v>
      </c>
      <c r="L148">
        <v>1710.900024</v>
      </c>
      <c r="M148" s="2">
        <f t="shared" si="5"/>
        <v>-3.8427807860261787E-3</v>
      </c>
    </row>
    <row r="149" spans="1:13" x14ac:dyDescent="0.25">
      <c r="A149" t="s">
        <v>1878</v>
      </c>
      <c r="K149" s="1" t="str">
        <f t="shared" si="4"/>
        <v>2012-12-01</v>
      </c>
      <c r="L149">
        <v>1674.8000489999999</v>
      </c>
      <c r="M149" s="2">
        <f t="shared" si="5"/>
        <v>-2.1099990936700119E-2</v>
      </c>
    </row>
    <row r="150" spans="1:13" x14ac:dyDescent="0.25">
      <c r="A150" t="s">
        <v>1879</v>
      </c>
      <c r="K150" s="1" t="str">
        <f t="shared" si="4"/>
        <v>2013-01-01</v>
      </c>
      <c r="L150">
        <v>1660.599976</v>
      </c>
      <c r="M150" s="2">
        <f t="shared" si="5"/>
        <v>-8.4786676525825388E-3</v>
      </c>
    </row>
    <row r="151" spans="1:13" x14ac:dyDescent="0.25">
      <c r="A151" t="s">
        <v>1880</v>
      </c>
      <c r="K151" s="1" t="str">
        <f t="shared" si="4"/>
        <v>2013-02-01</v>
      </c>
      <c r="L151">
        <v>1577.6999510000001</v>
      </c>
      <c r="M151" s="2">
        <f t="shared" si="5"/>
        <v>-4.9921730819054266E-2</v>
      </c>
    </row>
    <row r="152" spans="1:13" x14ac:dyDescent="0.25">
      <c r="A152" t="s">
        <v>1881</v>
      </c>
      <c r="K152" s="1" t="str">
        <f t="shared" si="4"/>
        <v>2013-03-01</v>
      </c>
      <c r="L152">
        <v>1594.8000489999999</v>
      </c>
      <c r="M152" s="2">
        <f t="shared" si="5"/>
        <v>1.0838624916709394E-2</v>
      </c>
    </row>
    <row r="153" spans="1:13" x14ac:dyDescent="0.25">
      <c r="A153" t="s">
        <v>1882</v>
      </c>
      <c r="K153" s="1" t="str">
        <f t="shared" si="4"/>
        <v>2013-04-01</v>
      </c>
      <c r="L153">
        <v>1472.1999510000001</v>
      </c>
      <c r="M153" s="2">
        <f t="shared" si="5"/>
        <v>-7.6874902328272987E-2</v>
      </c>
    </row>
    <row r="154" spans="1:13" x14ac:dyDescent="0.25">
      <c r="A154" t="s">
        <v>1883</v>
      </c>
      <c r="K154" s="1" t="str">
        <f t="shared" si="4"/>
        <v>2013-05-01</v>
      </c>
      <c r="L154">
        <v>1392.599976</v>
      </c>
      <c r="M154" s="2">
        <f t="shared" si="5"/>
        <v>-5.4068725478445656E-2</v>
      </c>
    </row>
    <row r="155" spans="1:13" x14ac:dyDescent="0.25">
      <c r="A155" t="s">
        <v>1884</v>
      </c>
      <c r="K155" s="1" t="str">
        <f t="shared" si="4"/>
        <v>2013-06-01</v>
      </c>
      <c r="L155">
        <v>1223.8000489999999</v>
      </c>
      <c r="M155" s="2">
        <f t="shared" si="5"/>
        <v>-0.12121207088115016</v>
      </c>
    </row>
    <row r="156" spans="1:13" x14ac:dyDescent="0.25">
      <c r="A156" t="s">
        <v>1885</v>
      </c>
      <c r="K156" s="1" t="str">
        <f t="shared" si="4"/>
        <v>2013-07-01</v>
      </c>
      <c r="L156">
        <v>1312.400024</v>
      </c>
      <c r="M156" s="2">
        <f t="shared" si="5"/>
        <v>7.2397427236906564E-2</v>
      </c>
    </row>
    <row r="157" spans="1:13" x14ac:dyDescent="0.25">
      <c r="A157" t="s">
        <v>1886</v>
      </c>
      <c r="K157" s="1" t="str">
        <f t="shared" si="4"/>
        <v>2013-08-01</v>
      </c>
      <c r="L157">
        <v>1396.099976</v>
      </c>
      <c r="M157" s="2">
        <f t="shared" si="5"/>
        <v>6.3776249976660981E-2</v>
      </c>
    </row>
    <row r="158" spans="1:13" x14ac:dyDescent="0.25">
      <c r="A158" t="s">
        <v>1887</v>
      </c>
      <c r="K158" s="1" t="str">
        <f t="shared" si="4"/>
        <v>2013-09-01</v>
      </c>
      <c r="L158">
        <v>1326.5</v>
      </c>
      <c r="M158" s="2">
        <f t="shared" si="5"/>
        <v>-4.9853146047185382E-2</v>
      </c>
    </row>
    <row r="159" spans="1:13" x14ac:dyDescent="0.25">
      <c r="A159" t="s">
        <v>1888</v>
      </c>
      <c r="K159" s="1" t="str">
        <f t="shared" si="4"/>
        <v>2013-10-01</v>
      </c>
      <c r="L159">
        <v>1323.599976</v>
      </c>
      <c r="M159" s="2">
        <f t="shared" si="5"/>
        <v>-2.1862223897475275E-3</v>
      </c>
    </row>
    <row r="160" spans="1:13" x14ac:dyDescent="0.25">
      <c r="A160" t="s">
        <v>1889</v>
      </c>
      <c r="K160" s="1" t="str">
        <f t="shared" si="4"/>
        <v>2013-11-01</v>
      </c>
      <c r="L160">
        <v>1250.599976</v>
      </c>
      <c r="M160" s="2">
        <f t="shared" si="5"/>
        <v>-5.5152615082851852E-2</v>
      </c>
    </row>
    <row r="161" spans="1:13" x14ac:dyDescent="0.25">
      <c r="A161" t="s">
        <v>1890</v>
      </c>
      <c r="K161" s="1" t="str">
        <f t="shared" si="4"/>
        <v>2013-12-01</v>
      </c>
      <c r="L161">
        <v>1201.900024</v>
      </c>
      <c r="M161" s="2">
        <f t="shared" si="5"/>
        <v>-3.8941270537814154E-2</v>
      </c>
    </row>
    <row r="162" spans="1:13" x14ac:dyDescent="0.25">
      <c r="A162" t="s">
        <v>1891</v>
      </c>
      <c r="K162" s="1" t="str">
        <f t="shared" si="4"/>
        <v>2014-01-01</v>
      </c>
      <c r="L162">
        <v>1240.099976</v>
      </c>
      <c r="M162" s="2">
        <f t="shared" si="5"/>
        <v>3.1782969662375038E-2</v>
      </c>
    </row>
    <row r="163" spans="1:13" x14ac:dyDescent="0.25">
      <c r="A163" t="s">
        <v>1892</v>
      </c>
      <c r="K163" s="1" t="str">
        <f t="shared" si="4"/>
        <v>2014-02-01</v>
      </c>
      <c r="L163">
        <v>1321.400024</v>
      </c>
      <c r="M163" s="2">
        <f t="shared" si="5"/>
        <v>6.5559269069770609E-2</v>
      </c>
    </row>
    <row r="164" spans="1:13" x14ac:dyDescent="0.25">
      <c r="A164" t="s">
        <v>1893</v>
      </c>
      <c r="K164" s="1" t="str">
        <f t="shared" si="4"/>
        <v>2014-03-01</v>
      </c>
      <c r="L164">
        <v>1283.400024</v>
      </c>
      <c r="M164" s="2">
        <f t="shared" si="5"/>
        <v>-2.8757378015606849E-2</v>
      </c>
    </row>
    <row r="165" spans="1:13" x14ac:dyDescent="0.25">
      <c r="A165" t="s">
        <v>1894</v>
      </c>
      <c r="K165" s="1" t="str">
        <f t="shared" si="4"/>
        <v>2014-04-01</v>
      </c>
      <c r="L165">
        <v>1295.599976</v>
      </c>
      <c r="M165" s="2">
        <f t="shared" si="5"/>
        <v>9.5059621099087277E-3</v>
      </c>
    </row>
    <row r="166" spans="1:13" x14ac:dyDescent="0.25">
      <c r="A166" t="s">
        <v>1895</v>
      </c>
      <c r="K166" s="1" t="str">
        <f t="shared" si="4"/>
        <v>2014-05-01</v>
      </c>
      <c r="L166">
        <v>1245.599976</v>
      </c>
      <c r="M166" s="2">
        <f t="shared" si="5"/>
        <v>-3.8592158788369746E-2</v>
      </c>
    </row>
    <row r="167" spans="1:13" x14ac:dyDescent="0.25">
      <c r="A167" t="s">
        <v>1896</v>
      </c>
      <c r="K167" s="1" t="str">
        <f t="shared" si="4"/>
        <v>2014-06-01</v>
      </c>
      <c r="L167">
        <v>1321.8000489999999</v>
      </c>
      <c r="M167" s="2">
        <f t="shared" si="5"/>
        <v>6.1175396971908658E-2</v>
      </c>
    </row>
    <row r="168" spans="1:13" x14ac:dyDescent="0.25">
      <c r="A168" t="s">
        <v>1897</v>
      </c>
      <c r="K168" s="1" t="str">
        <f t="shared" si="4"/>
        <v>2014-07-01</v>
      </c>
      <c r="L168">
        <v>1281.3000489999999</v>
      </c>
      <c r="M168" s="2">
        <f t="shared" si="5"/>
        <v>-3.0640035178270741E-2</v>
      </c>
    </row>
    <row r="169" spans="1:13" x14ac:dyDescent="0.25">
      <c r="A169" t="s">
        <v>1898</v>
      </c>
      <c r="K169" s="1" t="str">
        <f t="shared" si="4"/>
        <v>2014-08-01</v>
      </c>
      <c r="L169">
        <v>1285.8000489999999</v>
      </c>
      <c r="M169" s="2">
        <f t="shared" si="5"/>
        <v>3.5120579317171607E-3</v>
      </c>
    </row>
    <row r="170" spans="1:13" x14ac:dyDescent="0.25">
      <c r="A170" t="s">
        <v>1899</v>
      </c>
      <c r="K170" s="1" t="str">
        <f t="shared" si="4"/>
        <v>2014-09-01</v>
      </c>
      <c r="L170">
        <v>1210.5</v>
      </c>
      <c r="M170" s="2">
        <f t="shared" si="5"/>
        <v>-5.8562798359327095E-2</v>
      </c>
    </row>
    <row r="171" spans="1:13" x14ac:dyDescent="0.25">
      <c r="A171" t="s">
        <v>1900</v>
      </c>
      <c r="K171" s="1" t="str">
        <f t="shared" si="4"/>
        <v>2014-10-01</v>
      </c>
      <c r="L171">
        <v>1171.099976</v>
      </c>
      <c r="M171" s="2">
        <f t="shared" si="5"/>
        <v>-3.2548553490293286E-2</v>
      </c>
    </row>
    <row r="172" spans="1:13" x14ac:dyDescent="0.25">
      <c r="A172" t="s">
        <v>1901</v>
      </c>
      <c r="K172" s="1" t="str">
        <f t="shared" si="4"/>
        <v>2014-11-01</v>
      </c>
      <c r="L172">
        <v>1175.1999510000001</v>
      </c>
      <c r="M172" s="2">
        <f t="shared" si="5"/>
        <v>3.500960707047307E-3</v>
      </c>
    </row>
    <row r="173" spans="1:13" x14ac:dyDescent="0.25">
      <c r="A173" t="s">
        <v>1902</v>
      </c>
      <c r="K173" s="1" t="str">
        <f t="shared" si="4"/>
        <v>2014-12-01</v>
      </c>
      <c r="L173">
        <v>1183.900024</v>
      </c>
      <c r="M173" s="2">
        <f t="shared" si="5"/>
        <v>7.403057660610779E-3</v>
      </c>
    </row>
    <row r="174" spans="1:13" x14ac:dyDescent="0.25">
      <c r="A174" t="s">
        <v>1903</v>
      </c>
      <c r="K174" s="1" t="str">
        <f t="shared" si="4"/>
        <v>2015-01-01</v>
      </c>
      <c r="L174">
        <v>1278.5</v>
      </c>
      <c r="M174" s="2">
        <f t="shared" si="5"/>
        <v>7.9905375523499522E-2</v>
      </c>
    </row>
    <row r="175" spans="1:13" x14ac:dyDescent="0.25">
      <c r="A175" t="s">
        <v>1904</v>
      </c>
      <c r="K175" s="1" t="str">
        <f t="shared" si="4"/>
        <v>2015-02-01</v>
      </c>
      <c r="L175">
        <v>1212.599976</v>
      </c>
      <c r="M175" s="2">
        <f t="shared" si="5"/>
        <v>-5.1544797809933485E-2</v>
      </c>
    </row>
    <row r="176" spans="1:13" x14ac:dyDescent="0.25">
      <c r="A176" t="s">
        <v>1905</v>
      </c>
      <c r="K176" s="1" t="str">
        <f t="shared" si="4"/>
        <v>2015-03-01</v>
      </c>
      <c r="L176">
        <v>1183.099976</v>
      </c>
      <c r="M176" s="2">
        <f t="shared" si="5"/>
        <v>-2.4327890964761179E-2</v>
      </c>
    </row>
    <row r="177" spans="1:13" x14ac:dyDescent="0.25">
      <c r="A177" t="s">
        <v>1906</v>
      </c>
      <c r="K177" s="1" t="str">
        <f t="shared" si="4"/>
        <v>2015-04-01</v>
      </c>
      <c r="L177">
        <v>1183.5</v>
      </c>
      <c r="M177" s="2">
        <f t="shared" si="5"/>
        <v>3.3811512815051792E-4</v>
      </c>
    </row>
    <row r="178" spans="1:13" x14ac:dyDescent="0.25">
      <c r="A178" t="s">
        <v>1907</v>
      </c>
      <c r="K178" s="1" t="str">
        <f t="shared" si="4"/>
        <v>2015-05-01</v>
      </c>
      <c r="L178">
        <v>1189.400024</v>
      </c>
      <c r="M178" s="2">
        <f t="shared" si="5"/>
        <v>4.9852336290663324E-3</v>
      </c>
    </row>
    <row r="179" spans="1:13" x14ac:dyDescent="0.25">
      <c r="A179" t="s">
        <v>1908</v>
      </c>
      <c r="K179" s="1" t="str">
        <f t="shared" si="4"/>
        <v>2015-06-01</v>
      </c>
      <c r="L179">
        <v>1172.099976</v>
      </c>
      <c r="M179" s="2">
        <f t="shared" si="5"/>
        <v>-1.4545188877514326E-2</v>
      </c>
    </row>
    <row r="180" spans="1:13" x14ac:dyDescent="0.25">
      <c r="A180" t="s">
        <v>1909</v>
      </c>
      <c r="K180" s="1" t="str">
        <f t="shared" si="4"/>
        <v>2015-07-01</v>
      </c>
      <c r="L180">
        <v>1094.900024</v>
      </c>
      <c r="M180" s="2">
        <f t="shared" si="5"/>
        <v>-6.5864647709880986E-2</v>
      </c>
    </row>
    <row r="181" spans="1:13" x14ac:dyDescent="0.25">
      <c r="A181" t="s">
        <v>1910</v>
      </c>
      <c r="K181" s="1" t="str">
        <f t="shared" si="4"/>
        <v>2015-08-01</v>
      </c>
      <c r="L181">
        <v>1131.599976</v>
      </c>
      <c r="M181" s="2">
        <f t="shared" si="5"/>
        <v>3.3518998260611887E-2</v>
      </c>
    </row>
    <row r="182" spans="1:13" x14ac:dyDescent="0.25">
      <c r="A182" t="s">
        <v>1911</v>
      </c>
      <c r="K182" s="1" t="str">
        <f t="shared" si="4"/>
        <v>2015-09-01</v>
      </c>
      <c r="L182">
        <v>1115.5</v>
      </c>
      <c r="M182" s="2">
        <f t="shared" si="5"/>
        <v>-1.4227621369267252E-2</v>
      </c>
    </row>
    <row r="183" spans="1:13" x14ac:dyDescent="0.25">
      <c r="A183" t="s">
        <v>1912</v>
      </c>
      <c r="K183" s="1" t="str">
        <f t="shared" si="4"/>
        <v>2015-10-01</v>
      </c>
      <c r="L183">
        <v>1141.5</v>
      </c>
      <c r="M183" s="2">
        <f t="shared" si="5"/>
        <v>2.3307933662034985E-2</v>
      </c>
    </row>
    <row r="184" spans="1:13" x14ac:dyDescent="0.25">
      <c r="A184" t="s">
        <v>1913</v>
      </c>
      <c r="K184" s="1" t="str">
        <f t="shared" si="4"/>
        <v>2015-11-01</v>
      </c>
      <c r="L184">
        <v>1065.8000489999999</v>
      </c>
      <c r="M184" s="2">
        <f t="shared" si="5"/>
        <v>-6.631620762155066E-2</v>
      </c>
    </row>
    <row r="185" spans="1:13" x14ac:dyDescent="0.25">
      <c r="A185" t="s">
        <v>1914</v>
      </c>
      <c r="K185" s="1" t="str">
        <f t="shared" si="4"/>
        <v>2015-12-01</v>
      </c>
      <c r="L185">
        <v>1060.3000489999999</v>
      </c>
      <c r="M185" s="2">
        <f t="shared" si="5"/>
        <v>-5.1604426225729805E-3</v>
      </c>
    </row>
    <row r="186" spans="1:13" x14ac:dyDescent="0.25">
      <c r="A186" t="s">
        <v>1915</v>
      </c>
      <c r="K186" s="1" t="str">
        <f t="shared" si="4"/>
        <v>2016-01-01</v>
      </c>
      <c r="L186">
        <v>1117.3000489999999</v>
      </c>
      <c r="M186" s="2">
        <f t="shared" si="5"/>
        <v>5.375836778821097E-2</v>
      </c>
    </row>
    <row r="187" spans="1:13" x14ac:dyDescent="0.25">
      <c r="A187" t="s">
        <v>1916</v>
      </c>
      <c r="K187" s="1" t="str">
        <f t="shared" si="4"/>
        <v>2016-02-01</v>
      </c>
      <c r="L187">
        <v>1233.900024</v>
      </c>
      <c r="M187" s="2">
        <f t="shared" si="5"/>
        <v>0.10435869496681649</v>
      </c>
    </row>
    <row r="188" spans="1:13" x14ac:dyDescent="0.25">
      <c r="A188" t="s">
        <v>1917</v>
      </c>
      <c r="K188" s="1" t="str">
        <f t="shared" si="4"/>
        <v>2016-03-01</v>
      </c>
      <c r="L188">
        <v>1234.1999510000001</v>
      </c>
      <c r="M188" s="2">
        <f t="shared" si="5"/>
        <v>2.4307236742537874E-4</v>
      </c>
    </row>
    <row r="189" spans="1:13" x14ac:dyDescent="0.25">
      <c r="A189" t="s">
        <v>1918</v>
      </c>
      <c r="K189" s="1" t="str">
        <f t="shared" si="4"/>
        <v>2016-04-01</v>
      </c>
      <c r="L189">
        <v>1289.1999510000001</v>
      </c>
      <c r="M189" s="2">
        <f t="shared" si="5"/>
        <v>4.4563281626641471E-2</v>
      </c>
    </row>
    <row r="190" spans="1:13" x14ac:dyDescent="0.25">
      <c r="A190" t="s">
        <v>1919</v>
      </c>
      <c r="K190" s="1" t="str">
        <f t="shared" si="4"/>
        <v>2016-05-01</v>
      </c>
      <c r="L190">
        <v>1214.8000489999999</v>
      </c>
      <c r="M190" s="2">
        <f t="shared" si="5"/>
        <v>-5.7710134058173046E-2</v>
      </c>
    </row>
    <row r="191" spans="1:13" x14ac:dyDescent="0.25">
      <c r="A191" t="s">
        <v>1920</v>
      </c>
      <c r="K191" s="1" t="str">
        <f t="shared" si="4"/>
        <v>2016-06-01</v>
      </c>
      <c r="L191">
        <v>1318.400024</v>
      </c>
      <c r="M191" s="2">
        <f t="shared" si="5"/>
        <v>8.5281503804088166E-2</v>
      </c>
    </row>
    <row r="192" spans="1:13" x14ac:dyDescent="0.25">
      <c r="A192" t="s">
        <v>1921</v>
      </c>
      <c r="K192" s="1" t="str">
        <f t="shared" si="4"/>
        <v>2016-07-01</v>
      </c>
      <c r="L192">
        <v>1349</v>
      </c>
      <c r="M192" s="2">
        <f t="shared" si="5"/>
        <v>2.3209932829916236E-2</v>
      </c>
    </row>
    <row r="193" spans="1:13" x14ac:dyDescent="0.25">
      <c r="A193" t="s">
        <v>1922</v>
      </c>
      <c r="K193" s="1" t="str">
        <f t="shared" si="4"/>
        <v>2016-08-01</v>
      </c>
      <c r="L193">
        <v>1306.900024</v>
      </c>
      <c r="M193" s="2">
        <f t="shared" si="5"/>
        <v>-3.1208284655300234E-2</v>
      </c>
    </row>
    <row r="194" spans="1:13" x14ac:dyDescent="0.25">
      <c r="A194" t="s">
        <v>1923</v>
      </c>
      <c r="K194" s="1" t="str">
        <f t="shared" si="4"/>
        <v>2016-09-01</v>
      </c>
      <c r="L194">
        <v>1318.8000489999999</v>
      </c>
      <c r="M194" s="2">
        <f t="shared" si="5"/>
        <v>9.105535834009526E-3</v>
      </c>
    </row>
    <row r="195" spans="1:13" x14ac:dyDescent="0.25">
      <c r="A195" t="s">
        <v>1924</v>
      </c>
      <c r="K195" s="1" t="str">
        <f t="shared" ref="K195:K240" si="6">LEFT(A195,10)</f>
        <v>2016-10-01</v>
      </c>
      <c r="L195">
        <v>1271.5</v>
      </c>
      <c r="M195" s="2">
        <f t="shared" si="5"/>
        <v>-3.586597455457019E-2</v>
      </c>
    </row>
    <row r="196" spans="1:13" x14ac:dyDescent="0.25">
      <c r="A196" t="s">
        <v>1925</v>
      </c>
      <c r="K196" s="1" t="str">
        <f t="shared" si="6"/>
        <v>2016-11-01</v>
      </c>
      <c r="L196">
        <v>1170.8000489999999</v>
      </c>
      <c r="M196" s="2">
        <f t="shared" ref="M196:M240" si="7">(L196/L195)-1</f>
        <v>-7.9197759339363016E-2</v>
      </c>
    </row>
    <row r="197" spans="1:13" x14ac:dyDescent="0.25">
      <c r="A197" t="s">
        <v>1926</v>
      </c>
      <c r="K197" s="1" t="str">
        <f t="shared" si="6"/>
        <v>2016-12-01</v>
      </c>
      <c r="L197">
        <v>1150</v>
      </c>
      <c r="M197" s="2">
        <f t="shared" si="7"/>
        <v>-1.7765671446431486E-2</v>
      </c>
    </row>
    <row r="198" spans="1:13" x14ac:dyDescent="0.25">
      <c r="A198" t="s">
        <v>1927</v>
      </c>
      <c r="K198" s="1" t="str">
        <f t="shared" si="6"/>
        <v>2017-01-01</v>
      </c>
      <c r="L198">
        <v>1208.599976</v>
      </c>
      <c r="M198" s="2">
        <f t="shared" si="7"/>
        <v>5.0956500869565158E-2</v>
      </c>
    </row>
    <row r="199" spans="1:13" x14ac:dyDescent="0.25">
      <c r="A199" t="s">
        <v>1928</v>
      </c>
      <c r="K199" s="1" t="str">
        <f t="shared" si="6"/>
        <v>2017-02-01</v>
      </c>
      <c r="L199">
        <v>1252.599976</v>
      </c>
      <c r="M199" s="2">
        <f t="shared" si="7"/>
        <v>3.6405759452042163E-2</v>
      </c>
    </row>
    <row r="200" spans="1:13" x14ac:dyDescent="0.25">
      <c r="A200" t="s">
        <v>1929</v>
      </c>
      <c r="K200" s="1" t="str">
        <f t="shared" si="6"/>
        <v>2017-03-01</v>
      </c>
      <c r="L200">
        <v>1247.3000489999999</v>
      </c>
      <c r="M200" s="2">
        <f t="shared" si="7"/>
        <v>-4.2311409081490226E-3</v>
      </c>
    </row>
    <row r="201" spans="1:13" x14ac:dyDescent="0.25">
      <c r="A201" t="s">
        <v>1930</v>
      </c>
      <c r="K201" s="1" t="str">
        <f t="shared" si="6"/>
        <v>2017-04-01</v>
      </c>
      <c r="L201">
        <v>1266.099976</v>
      </c>
      <c r="M201" s="2">
        <f t="shared" si="7"/>
        <v>1.507249760398266E-2</v>
      </c>
    </row>
    <row r="202" spans="1:13" x14ac:dyDescent="0.25">
      <c r="A202" t="s">
        <v>1931</v>
      </c>
      <c r="K202" s="1" t="str">
        <f t="shared" si="6"/>
        <v>2017-05-01</v>
      </c>
      <c r="L202">
        <v>1272</v>
      </c>
      <c r="M202" s="2">
        <f t="shared" si="7"/>
        <v>4.6599985086801521E-3</v>
      </c>
    </row>
    <row r="203" spans="1:13" x14ac:dyDescent="0.25">
      <c r="A203" t="s">
        <v>1932</v>
      </c>
      <c r="K203" s="1" t="str">
        <f t="shared" si="6"/>
        <v>2017-06-01</v>
      </c>
      <c r="L203">
        <v>1240.6999510000001</v>
      </c>
      <c r="M203" s="2">
        <f t="shared" si="7"/>
        <v>-2.4606956761006216E-2</v>
      </c>
    </row>
    <row r="204" spans="1:13" x14ac:dyDescent="0.25">
      <c r="A204" t="s">
        <v>1933</v>
      </c>
      <c r="K204" s="1" t="str">
        <f t="shared" si="6"/>
        <v>2017-07-01</v>
      </c>
      <c r="L204">
        <v>1266.599976</v>
      </c>
      <c r="M204" s="2">
        <f t="shared" si="7"/>
        <v>2.0875333298050469E-2</v>
      </c>
    </row>
    <row r="205" spans="1:13" x14ac:dyDescent="0.25">
      <c r="A205" t="s">
        <v>1934</v>
      </c>
      <c r="K205" s="1" t="str">
        <f t="shared" si="6"/>
        <v>2017-08-01</v>
      </c>
      <c r="L205">
        <v>1316.1999510000001</v>
      </c>
      <c r="M205" s="2">
        <f t="shared" si="7"/>
        <v>3.9159936791282712E-2</v>
      </c>
    </row>
    <row r="206" spans="1:13" x14ac:dyDescent="0.25">
      <c r="A206" t="s">
        <v>1935</v>
      </c>
      <c r="K206" s="1" t="str">
        <f t="shared" si="6"/>
        <v>2017-09-01</v>
      </c>
      <c r="L206">
        <v>1281.5</v>
      </c>
      <c r="M206" s="2">
        <f t="shared" si="7"/>
        <v>-2.6363738255449909E-2</v>
      </c>
    </row>
    <row r="207" spans="1:13" x14ac:dyDescent="0.25">
      <c r="A207" t="s">
        <v>1936</v>
      </c>
      <c r="K207" s="1" t="str">
        <f t="shared" si="6"/>
        <v>2017-10-01</v>
      </c>
      <c r="L207">
        <v>1267</v>
      </c>
      <c r="M207" s="2">
        <f t="shared" si="7"/>
        <v>-1.1314865392118567E-2</v>
      </c>
    </row>
    <row r="208" spans="1:13" x14ac:dyDescent="0.25">
      <c r="A208" t="s">
        <v>1937</v>
      </c>
      <c r="K208" s="1" t="str">
        <f t="shared" si="6"/>
        <v>2017-11-01</v>
      </c>
      <c r="L208">
        <v>1277.900024</v>
      </c>
      <c r="M208" s="2">
        <f t="shared" si="7"/>
        <v>8.603018153117592E-3</v>
      </c>
    </row>
    <row r="209" spans="1:13" x14ac:dyDescent="0.25">
      <c r="A209" t="s">
        <v>1938</v>
      </c>
      <c r="K209" s="1" t="str">
        <f t="shared" si="6"/>
        <v>2017-12-01</v>
      </c>
      <c r="L209">
        <v>1306.3000489999999</v>
      </c>
      <c r="M209" s="2">
        <f t="shared" si="7"/>
        <v>2.2223980332283011E-2</v>
      </c>
    </row>
    <row r="210" spans="1:13" x14ac:dyDescent="0.25">
      <c r="A210" t="s">
        <v>1939</v>
      </c>
      <c r="K210" s="1" t="str">
        <f t="shared" si="6"/>
        <v>2018-01-01</v>
      </c>
      <c r="L210">
        <v>1339</v>
      </c>
      <c r="M210" s="2">
        <f t="shared" si="7"/>
        <v>2.5032496190314335E-2</v>
      </c>
    </row>
    <row r="211" spans="1:13" x14ac:dyDescent="0.25">
      <c r="A211" t="s">
        <v>1940</v>
      </c>
      <c r="K211" s="1" t="str">
        <f t="shared" si="6"/>
        <v>2018-02-01</v>
      </c>
      <c r="L211">
        <v>1315.5</v>
      </c>
      <c r="M211" s="2">
        <f t="shared" si="7"/>
        <v>-1.7550410754294199E-2</v>
      </c>
    </row>
    <row r="212" spans="1:13" x14ac:dyDescent="0.25">
      <c r="A212" t="s">
        <v>1941</v>
      </c>
      <c r="K212" s="1" t="str">
        <f t="shared" si="6"/>
        <v>2018-03-01</v>
      </c>
      <c r="L212">
        <v>1322.8000489999999</v>
      </c>
      <c r="M212" s="2">
        <f t="shared" si="7"/>
        <v>5.549258076776864E-3</v>
      </c>
    </row>
    <row r="213" spans="1:13" x14ac:dyDescent="0.25">
      <c r="A213" t="s">
        <v>1942</v>
      </c>
      <c r="K213" s="1" t="str">
        <f t="shared" si="6"/>
        <v>2018-04-01</v>
      </c>
      <c r="L213">
        <v>1316.1999510000001</v>
      </c>
      <c r="M213" s="2">
        <f t="shared" si="7"/>
        <v>-4.9894902899265681E-3</v>
      </c>
    </row>
    <row r="214" spans="1:13" x14ac:dyDescent="0.25">
      <c r="A214" t="s">
        <v>1943</v>
      </c>
      <c r="K214" s="1" t="str">
        <f t="shared" si="6"/>
        <v>2018-05-01</v>
      </c>
      <c r="L214">
        <v>1300.099976</v>
      </c>
      <c r="M214" s="2">
        <f t="shared" si="7"/>
        <v>-1.2232165020039654E-2</v>
      </c>
    </row>
    <row r="215" spans="1:13" x14ac:dyDescent="0.25">
      <c r="A215" t="s">
        <v>1944</v>
      </c>
      <c r="K215" s="1" t="str">
        <f t="shared" si="6"/>
        <v>2018-06-01</v>
      </c>
      <c r="L215">
        <v>1251.3000489999999</v>
      </c>
      <c r="M215" s="2">
        <f t="shared" si="7"/>
        <v>-3.7535518729984174E-2</v>
      </c>
    </row>
    <row r="216" spans="1:13" x14ac:dyDescent="0.25">
      <c r="A216" t="s">
        <v>1945</v>
      </c>
      <c r="K216" s="1" t="str">
        <f t="shared" si="6"/>
        <v>2018-07-01</v>
      </c>
      <c r="L216">
        <v>1223.6999510000001</v>
      </c>
      <c r="M216" s="2">
        <f t="shared" si="7"/>
        <v>-2.205713811172394E-2</v>
      </c>
    </row>
    <row r="217" spans="1:13" x14ac:dyDescent="0.25">
      <c r="A217" t="s">
        <v>1946</v>
      </c>
      <c r="K217" s="1" t="str">
        <f t="shared" si="6"/>
        <v>2018-08-01</v>
      </c>
      <c r="L217">
        <v>1200.3000489999999</v>
      </c>
      <c r="M217" s="2">
        <f t="shared" si="7"/>
        <v>-1.9122254586083631E-2</v>
      </c>
    </row>
    <row r="218" spans="1:13" x14ac:dyDescent="0.25">
      <c r="A218" t="s">
        <v>1947</v>
      </c>
      <c r="K218" s="1" t="str">
        <f t="shared" si="6"/>
        <v>2018-09-01</v>
      </c>
      <c r="L218">
        <v>1191.5</v>
      </c>
      <c r="M218" s="2">
        <f t="shared" si="7"/>
        <v>-7.3315409820498001E-3</v>
      </c>
    </row>
    <row r="219" spans="1:13" x14ac:dyDescent="0.25">
      <c r="A219" t="s">
        <v>1948</v>
      </c>
      <c r="K219" s="1" t="str">
        <f t="shared" si="6"/>
        <v>2018-10-01</v>
      </c>
      <c r="L219">
        <v>1212.3000489999999</v>
      </c>
      <c r="M219" s="2">
        <f t="shared" si="7"/>
        <v>1.7457028115820394E-2</v>
      </c>
    </row>
    <row r="220" spans="1:13" x14ac:dyDescent="0.25">
      <c r="A220" t="s">
        <v>1949</v>
      </c>
      <c r="K220" s="1" t="str">
        <f t="shared" si="6"/>
        <v>2018-11-01</v>
      </c>
      <c r="L220">
        <v>1220.1999510000001</v>
      </c>
      <c r="M220" s="2">
        <f t="shared" si="7"/>
        <v>6.516457709060175E-3</v>
      </c>
    </row>
    <row r="221" spans="1:13" x14ac:dyDescent="0.25">
      <c r="A221" t="s">
        <v>1950</v>
      </c>
      <c r="K221" s="1" t="str">
        <f t="shared" si="6"/>
        <v>2018-12-01</v>
      </c>
      <c r="L221">
        <v>1284.6999510000001</v>
      </c>
      <c r="M221" s="2">
        <f t="shared" si="7"/>
        <v>5.286018897733924E-2</v>
      </c>
    </row>
    <row r="222" spans="1:13" x14ac:dyDescent="0.25">
      <c r="A222" t="s">
        <v>1951</v>
      </c>
      <c r="K222" s="1" t="str">
        <f t="shared" si="6"/>
        <v>2019-01-01</v>
      </c>
      <c r="L222">
        <v>1319.6999510000001</v>
      </c>
      <c r="M222" s="2">
        <f t="shared" si="7"/>
        <v>2.7243715524980283E-2</v>
      </c>
    </row>
    <row r="223" spans="1:13" x14ac:dyDescent="0.25">
      <c r="A223" t="s">
        <v>1952</v>
      </c>
      <c r="K223" s="1" t="str">
        <f t="shared" si="6"/>
        <v>2019-02-01</v>
      </c>
      <c r="L223">
        <v>1312.8000489999999</v>
      </c>
      <c r="M223" s="2">
        <f t="shared" si="7"/>
        <v>-5.2283869486936529E-3</v>
      </c>
    </row>
    <row r="224" spans="1:13" x14ac:dyDescent="0.25">
      <c r="A224" t="s">
        <v>1953</v>
      </c>
      <c r="K224" s="1" t="str">
        <f t="shared" si="6"/>
        <v>2019-03-01</v>
      </c>
      <c r="L224">
        <v>1293</v>
      </c>
      <c r="M224" s="2">
        <f t="shared" si="7"/>
        <v>-1.5082303672278363E-2</v>
      </c>
    </row>
    <row r="225" spans="1:13" x14ac:dyDescent="0.25">
      <c r="A225" t="s">
        <v>1954</v>
      </c>
      <c r="K225" s="1" t="str">
        <f t="shared" si="6"/>
        <v>2019-04-01</v>
      </c>
      <c r="L225">
        <v>1282.8000489999999</v>
      </c>
      <c r="M225" s="2">
        <f t="shared" si="7"/>
        <v>-7.8885931941222731E-3</v>
      </c>
    </row>
    <row r="226" spans="1:13" x14ac:dyDescent="0.25">
      <c r="A226" t="s">
        <v>1955</v>
      </c>
      <c r="K226" s="1" t="str">
        <f t="shared" si="6"/>
        <v>2019-05-01</v>
      </c>
      <c r="L226">
        <v>1310.1999510000001</v>
      </c>
      <c r="M226" s="2">
        <f t="shared" si="7"/>
        <v>2.135944882552776E-2</v>
      </c>
    </row>
    <row r="227" spans="1:13" x14ac:dyDescent="0.25">
      <c r="A227" t="s">
        <v>1956</v>
      </c>
      <c r="K227" s="1" t="str">
        <f t="shared" si="6"/>
        <v>2019-06-01</v>
      </c>
      <c r="L227">
        <v>1409.6999510000001</v>
      </c>
      <c r="M227" s="2">
        <f t="shared" si="7"/>
        <v>7.5942607022735364E-2</v>
      </c>
    </row>
    <row r="228" spans="1:13" x14ac:dyDescent="0.25">
      <c r="A228" t="s">
        <v>1957</v>
      </c>
      <c r="K228" s="1" t="str">
        <f t="shared" si="6"/>
        <v>2019-07-01</v>
      </c>
      <c r="L228">
        <v>1426.099976</v>
      </c>
      <c r="M228" s="2">
        <f t="shared" si="7"/>
        <v>1.1633699063666958E-2</v>
      </c>
    </row>
    <row r="229" spans="1:13" x14ac:dyDescent="0.25">
      <c r="A229" t="s">
        <v>1958</v>
      </c>
      <c r="K229" s="1" t="str">
        <f t="shared" si="6"/>
        <v>2019-08-01</v>
      </c>
      <c r="L229">
        <v>1519.099976</v>
      </c>
      <c r="M229" s="2">
        <f t="shared" si="7"/>
        <v>6.5212819272917555E-2</v>
      </c>
    </row>
    <row r="230" spans="1:13" x14ac:dyDescent="0.25">
      <c r="A230" t="s">
        <v>1959</v>
      </c>
      <c r="K230" s="1" t="str">
        <f t="shared" si="6"/>
        <v>2019-09-01</v>
      </c>
      <c r="L230">
        <v>1465.6999510000001</v>
      </c>
      <c r="M230" s="2">
        <f t="shared" si="7"/>
        <v>-3.515240987667545E-2</v>
      </c>
    </row>
    <row r="231" spans="1:13" x14ac:dyDescent="0.25">
      <c r="A231" t="s">
        <v>1960</v>
      </c>
      <c r="K231" s="1" t="str">
        <f t="shared" si="6"/>
        <v>2019-10-01</v>
      </c>
      <c r="L231">
        <v>1511.400024</v>
      </c>
      <c r="M231" s="2">
        <f t="shared" si="7"/>
        <v>3.1179691975032231E-2</v>
      </c>
    </row>
    <row r="232" spans="1:13" x14ac:dyDescent="0.25">
      <c r="A232" t="s">
        <v>1961</v>
      </c>
      <c r="K232" s="1" t="str">
        <f t="shared" si="6"/>
        <v>2019-11-01</v>
      </c>
      <c r="L232">
        <v>1465.599976</v>
      </c>
      <c r="M232" s="2">
        <f t="shared" si="7"/>
        <v>-3.0303061580472801E-2</v>
      </c>
    </row>
    <row r="233" spans="1:13" x14ac:dyDescent="0.25">
      <c r="A233" t="s">
        <v>1962</v>
      </c>
      <c r="K233" s="1" t="str">
        <f t="shared" si="6"/>
        <v>2019-12-01</v>
      </c>
      <c r="L233">
        <v>1520</v>
      </c>
      <c r="M233" s="2">
        <f t="shared" si="7"/>
        <v>3.7117920913503077E-2</v>
      </c>
    </row>
    <row r="234" spans="1:13" x14ac:dyDescent="0.25">
      <c r="A234" t="s">
        <v>1963</v>
      </c>
      <c r="K234" s="1" t="str">
        <f t="shared" si="6"/>
        <v>2020-01-01</v>
      </c>
      <c r="L234">
        <v>1582.900024</v>
      </c>
      <c r="M234" s="2">
        <f t="shared" si="7"/>
        <v>4.1381594736842109E-2</v>
      </c>
    </row>
    <row r="235" spans="1:13" x14ac:dyDescent="0.25">
      <c r="A235" t="s">
        <v>1964</v>
      </c>
      <c r="K235" s="1" t="str">
        <f t="shared" si="6"/>
        <v>2020-02-01</v>
      </c>
      <c r="L235">
        <v>1642.5</v>
      </c>
      <c r="M235" s="2">
        <f t="shared" si="7"/>
        <v>3.7652394400367939E-2</v>
      </c>
    </row>
    <row r="236" spans="1:13" x14ac:dyDescent="0.25">
      <c r="A236" t="s">
        <v>1965</v>
      </c>
      <c r="K236" s="1" t="str">
        <f t="shared" si="6"/>
        <v>2020-03-01</v>
      </c>
      <c r="L236">
        <v>1583.400024</v>
      </c>
      <c r="M236" s="2">
        <f t="shared" si="7"/>
        <v>-3.598172054794524E-2</v>
      </c>
    </row>
    <row r="237" spans="1:13" x14ac:dyDescent="0.25">
      <c r="A237" t="s">
        <v>1966</v>
      </c>
      <c r="K237" s="1" t="str">
        <f t="shared" si="6"/>
        <v>2020-04-01</v>
      </c>
      <c r="L237">
        <v>1684.1999510000001</v>
      </c>
      <c r="M237" s="2">
        <f t="shared" si="7"/>
        <v>6.3660430385341416E-2</v>
      </c>
    </row>
    <row r="238" spans="1:13" x14ac:dyDescent="0.25">
      <c r="A238" t="s">
        <v>1967</v>
      </c>
      <c r="K238" s="1" t="str">
        <f t="shared" si="6"/>
        <v>2020-05-01</v>
      </c>
      <c r="L238">
        <v>1755.099976</v>
      </c>
      <c r="M238" s="2">
        <f t="shared" si="7"/>
        <v>4.2097154175727569E-2</v>
      </c>
    </row>
    <row r="239" spans="1:13" x14ac:dyDescent="0.25">
      <c r="A239" t="s">
        <v>1968</v>
      </c>
      <c r="K239" s="1" t="str">
        <f t="shared" si="6"/>
        <v>2020-06-01</v>
      </c>
      <c r="L239">
        <v>1793</v>
      </c>
      <c r="M239" s="2">
        <f t="shared" si="7"/>
        <v>2.1594225125782796E-2</v>
      </c>
    </row>
    <row r="240" spans="1:13" x14ac:dyDescent="0.25">
      <c r="A240" t="s">
        <v>1969</v>
      </c>
      <c r="K240" s="1" t="str">
        <f t="shared" si="6"/>
        <v>2020-07-01</v>
      </c>
      <c r="L240">
        <v>1962.8000489999999</v>
      </c>
      <c r="M240" s="2">
        <f t="shared" si="7"/>
        <v>9.4701644729503487E-2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47B21-D458-406A-A254-FCECB19B9246}">
  <sheetPr codeName="Sheet22"/>
  <dimension ref="A1:O422"/>
  <sheetViews>
    <sheetView workbookViewId="0">
      <selection activeCell="O2" sqref="O2"/>
    </sheetView>
  </sheetViews>
  <sheetFormatPr defaultRowHeight="15" x14ac:dyDescent="0.25"/>
  <cols>
    <col min="11" max="11" width="10.42578125" bestFit="1" customWidth="1"/>
    <col min="12" max="12" width="12.5703125" bestFit="1" customWidth="1"/>
  </cols>
  <sheetData>
    <row r="1" spans="1:15" x14ac:dyDescent="0.25">
      <c r="A1" t="s">
        <v>1</v>
      </c>
      <c r="K1" t="s">
        <v>2</v>
      </c>
      <c r="L1" t="s">
        <v>3</v>
      </c>
      <c r="M1" t="s">
        <v>851</v>
      </c>
      <c r="O1" t="s">
        <v>877</v>
      </c>
    </row>
    <row r="2" spans="1:15" x14ac:dyDescent="0.25">
      <c r="A2" t="s">
        <v>883</v>
      </c>
      <c r="K2" s="1" t="str">
        <f>LEFT(A2,10)</f>
        <v>1985-07-01</v>
      </c>
      <c r="L2">
        <v>301.29998799999998</v>
      </c>
      <c r="O2" s="2">
        <v>1.0506689637164033E-2</v>
      </c>
    </row>
    <row r="3" spans="1:15" x14ac:dyDescent="0.25">
      <c r="A3" t="s">
        <v>884</v>
      </c>
      <c r="K3" s="1" t="str">
        <f t="shared" ref="K3:K66" si="0">LEFT(A3,10)</f>
        <v>1985-08-01</v>
      </c>
      <c r="L3">
        <v>297.70001200000002</v>
      </c>
      <c r="M3" s="2">
        <f>(L3/L2)-1</f>
        <v>-1.1948145182136494E-2</v>
      </c>
    </row>
    <row r="4" spans="1:15" x14ac:dyDescent="0.25">
      <c r="A4" t="s">
        <v>885</v>
      </c>
      <c r="K4" s="1" t="str">
        <f t="shared" si="0"/>
        <v>1985-09-01</v>
      </c>
      <c r="L4">
        <v>280.29998799999998</v>
      </c>
      <c r="M4" s="2">
        <f t="shared" ref="M4:M67" si="1">(L4/L3)-1</f>
        <v>-5.8448180378306569E-2</v>
      </c>
    </row>
    <row r="5" spans="1:15" x14ac:dyDescent="0.25">
      <c r="A5" t="s">
        <v>886</v>
      </c>
      <c r="K5" s="1" t="str">
        <f t="shared" si="0"/>
        <v>1985-10-01</v>
      </c>
      <c r="L5">
        <v>292.5</v>
      </c>
      <c r="M5" s="2">
        <f t="shared" si="1"/>
        <v>4.3524839537274707E-2</v>
      </c>
    </row>
    <row r="6" spans="1:15" x14ac:dyDescent="0.25">
      <c r="A6" t="s">
        <v>887</v>
      </c>
      <c r="K6" s="1" t="str">
        <f t="shared" si="0"/>
        <v>1985-11-01</v>
      </c>
      <c r="L6">
        <v>314</v>
      </c>
      <c r="M6" s="2">
        <f t="shared" si="1"/>
        <v>7.3504273504273465E-2</v>
      </c>
    </row>
    <row r="7" spans="1:15" x14ac:dyDescent="0.25">
      <c r="A7" t="s">
        <v>888</v>
      </c>
      <c r="K7" s="1" t="str">
        <f t="shared" si="0"/>
        <v>1985-12-01</v>
      </c>
      <c r="L7">
        <v>324.89999399999999</v>
      </c>
      <c r="M7" s="2">
        <f t="shared" si="1"/>
        <v>3.47133566878981E-2</v>
      </c>
    </row>
    <row r="8" spans="1:15" x14ac:dyDescent="0.25">
      <c r="A8" t="s">
        <v>889</v>
      </c>
      <c r="K8" s="1" t="str">
        <f t="shared" si="0"/>
        <v>1986-01-01</v>
      </c>
      <c r="L8">
        <v>335.79998799999998</v>
      </c>
      <c r="M8" s="2">
        <f t="shared" si="1"/>
        <v>3.3548766393636686E-2</v>
      </c>
    </row>
    <row r="9" spans="1:15" x14ac:dyDescent="0.25">
      <c r="A9" t="s">
        <v>890</v>
      </c>
      <c r="K9" s="1" t="str">
        <f t="shared" si="0"/>
        <v>1986-02-01</v>
      </c>
      <c r="L9">
        <v>359.5</v>
      </c>
      <c r="M9" s="2">
        <f t="shared" si="1"/>
        <v>7.0577763093904622E-2</v>
      </c>
    </row>
    <row r="10" spans="1:15" x14ac:dyDescent="0.25">
      <c r="A10" t="s">
        <v>891</v>
      </c>
      <c r="K10" s="1" t="str">
        <f t="shared" si="0"/>
        <v>1986-03-01</v>
      </c>
      <c r="L10">
        <v>374.70001200000002</v>
      </c>
      <c r="M10" s="2">
        <f t="shared" si="1"/>
        <v>4.2280979137691244E-2</v>
      </c>
    </row>
    <row r="11" spans="1:15" x14ac:dyDescent="0.25">
      <c r="A11" t="s">
        <v>892</v>
      </c>
      <c r="K11" s="1" t="str">
        <f t="shared" si="0"/>
        <v>1986-04-01</v>
      </c>
      <c r="L11">
        <v>383.20001200000002</v>
      </c>
      <c r="M11" s="2">
        <f t="shared" si="1"/>
        <v>2.2684813791786107E-2</v>
      </c>
    </row>
    <row r="12" spans="1:15" x14ac:dyDescent="0.25">
      <c r="A12" t="s">
        <v>893</v>
      </c>
      <c r="K12" s="1" t="str">
        <f t="shared" si="0"/>
        <v>1986-05-01</v>
      </c>
      <c r="L12">
        <v>400.20001200000002</v>
      </c>
      <c r="M12" s="2">
        <f t="shared" si="1"/>
        <v>4.4363255395722723E-2</v>
      </c>
    </row>
    <row r="13" spans="1:15" x14ac:dyDescent="0.25">
      <c r="A13" t="s">
        <v>894</v>
      </c>
      <c r="K13" s="1" t="str">
        <f t="shared" si="0"/>
        <v>1986-06-01</v>
      </c>
      <c r="L13">
        <v>405.5</v>
      </c>
      <c r="M13" s="2">
        <f t="shared" si="1"/>
        <v>1.324334792873505E-2</v>
      </c>
    </row>
    <row r="14" spans="1:15" x14ac:dyDescent="0.25">
      <c r="A14" t="s">
        <v>895</v>
      </c>
      <c r="K14" s="1" t="str">
        <f t="shared" si="0"/>
        <v>1986-07-01</v>
      </c>
      <c r="L14">
        <v>371.39999399999999</v>
      </c>
      <c r="M14" s="2">
        <f t="shared" si="1"/>
        <v>-8.4093726263871793E-2</v>
      </c>
    </row>
    <row r="15" spans="1:15" x14ac:dyDescent="0.25">
      <c r="A15" t="s">
        <v>896</v>
      </c>
      <c r="K15" s="1" t="str">
        <f t="shared" si="0"/>
        <v>1986-08-01</v>
      </c>
      <c r="L15">
        <v>382.89999399999999</v>
      </c>
      <c r="M15" s="2">
        <f t="shared" si="1"/>
        <v>3.0963920801786449E-2</v>
      </c>
    </row>
    <row r="16" spans="1:15" x14ac:dyDescent="0.25">
      <c r="A16" t="s">
        <v>897</v>
      </c>
      <c r="K16" s="1" t="str">
        <f t="shared" si="0"/>
        <v>1986-09-01</v>
      </c>
      <c r="L16">
        <v>350.70001200000002</v>
      </c>
      <c r="M16" s="2">
        <f t="shared" si="1"/>
        <v>-8.4095018293471102E-2</v>
      </c>
    </row>
    <row r="17" spans="1:13" x14ac:dyDescent="0.25">
      <c r="A17" t="s">
        <v>898</v>
      </c>
      <c r="K17" s="1" t="str">
        <f t="shared" si="0"/>
        <v>1986-10-01</v>
      </c>
      <c r="L17">
        <v>360.79998799999998</v>
      </c>
      <c r="M17" s="2">
        <f t="shared" si="1"/>
        <v>2.8799474349604504E-2</v>
      </c>
    </row>
    <row r="18" spans="1:13" x14ac:dyDescent="0.25">
      <c r="A18" t="s">
        <v>899</v>
      </c>
      <c r="K18" s="1" t="str">
        <f t="shared" si="0"/>
        <v>1986-11-01</v>
      </c>
      <c r="L18">
        <v>359.60000600000001</v>
      </c>
      <c r="M18" s="2">
        <f t="shared" si="1"/>
        <v>-3.3258925718145926E-3</v>
      </c>
    </row>
    <row r="19" spans="1:13" x14ac:dyDescent="0.25">
      <c r="A19" t="s">
        <v>900</v>
      </c>
      <c r="K19" s="1" t="str">
        <f t="shared" si="0"/>
        <v>1986-12-01</v>
      </c>
      <c r="L19">
        <v>348.79998799999998</v>
      </c>
      <c r="M19" s="2">
        <f t="shared" si="1"/>
        <v>-3.0033419966072006E-2</v>
      </c>
    </row>
    <row r="20" spans="1:13" x14ac:dyDescent="0.25">
      <c r="A20" t="s">
        <v>901</v>
      </c>
      <c r="K20" s="1" t="str">
        <f t="shared" si="0"/>
        <v>1987-01-01</v>
      </c>
      <c r="L20">
        <v>392.10000600000001</v>
      </c>
      <c r="M20" s="2">
        <f t="shared" si="1"/>
        <v>0.12413996413325568</v>
      </c>
    </row>
    <row r="21" spans="1:13" x14ac:dyDescent="0.25">
      <c r="A21" t="s">
        <v>902</v>
      </c>
      <c r="K21" s="1" t="str">
        <f t="shared" si="0"/>
        <v>1987-02-01</v>
      </c>
      <c r="L21">
        <v>425</v>
      </c>
      <c r="M21" s="2">
        <f t="shared" si="1"/>
        <v>8.3907149952963778E-2</v>
      </c>
    </row>
    <row r="22" spans="1:13" x14ac:dyDescent="0.25">
      <c r="A22" t="s">
        <v>903</v>
      </c>
      <c r="K22" s="1" t="str">
        <f t="shared" si="0"/>
        <v>1987-03-01</v>
      </c>
      <c r="L22">
        <v>430.10000600000001</v>
      </c>
      <c r="M22" s="2">
        <f t="shared" si="1"/>
        <v>1.2000014117647062E-2</v>
      </c>
    </row>
    <row r="23" spans="1:13" x14ac:dyDescent="0.25">
      <c r="A23" t="s">
        <v>904</v>
      </c>
      <c r="K23" s="1" t="str">
        <f t="shared" si="0"/>
        <v>1987-04-01</v>
      </c>
      <c r="L23">
        <v>417.79998799999998</v>
      </c>
      <c r="M23" s="2">
        <f t="shared" si="1"/>
        <v>-2.8598041916790939E-2</v>
      </c>
    </row>
    <row r="24" spans="1:13" x14ac:dyDescent="0.25">
      <c r="A24" t="s">
        <v>905</v>
      </c>
      <c r="K24" s="1" t="str">
        <f t="shared" si="0"/>
        <v>1987-05-01</v>
      </c>
      <c r="L24">
        <v>416.5</v>
      </c>
      <c r="M24" s="2">
        <f t="shared" si="1"/>
        <v>-3.1115079878843988E-3</v>
      </c>
    </row>
    <row r="25" spans="1:13" x14ac:dyDescent="0.25">
      <c r="A25" t="s">
        <v>906</v>
      </c>
      <c r="K25" s="1" t="str">
        <f t="shared" si="0"/>
        <v>1987-06-01</v>
      </c>
      <c r="L25">
        <v>424.70001200000002</v>
      </c>
      <c r="M25" s="2">
        <f t="shared" si="1"/>
        <v>1.9687903961584707E-2</v>
      </c>
    </row>
    <row r="26" spans="1:13" x14ac:dyDescent="0.25">
      <c r="A26" t="s">
        <v>907</v>
      </c>
      <c r="K26" s="1" t="str">
        <f t="shared" si="0"/>
        <v>1987-07-01</v>
      </c>
      <c r="L26">
        <v>434.89999399999999</v>
      </c>
      <c r="M26" s="2">
        <f t="shared" si="1"/>
        <v>2.4016910081933185E-2</v>
      </c>
    </row>
    <row r="27" spans="1:13" x14ac:dyDescent="0.25">
      <c r="A27" t="s">
        <v>908</v>
      </c>
      <c r="K27" s="1" t="str">
        <f t="shared" si="0"/>
        <v>1987-08-01</v>
      </c>
      <c r="L27">
        <v>455</v>
      </c>
      <c r="M27" s="2">
        <f t="shared" si="1"/>
        <v>4.6217535703162227E-2</v>
      </c>
    </row>
    <row r="28" spans="1:13" x14ac:dyDescent="0.25">
      <c r="A28" t="s">
        <v>909</v>
      </c>
      <c r="K28" s="1" t="str">
        <f t="shared" si="0"/>
        <v>1987-09-01</v>
      </c>
      <c r="L28">
        <v>444.29998799999998</v>
      </c>
      <c r="M28" s="2">
        <f t="shared" si="1"/>
        <v>-2.3516509890109893E-2</v>
      </c>
    </row>
    <row r="29" spans="1:13" x14ac:dyDescent="0.25">
      <c r="A29" t="s">
        <v>910</v>
      </c>
      <c r="K29" s="1" t="str">
        <f t="shared" si="0"/>
        <v>1987-10-01</v>
      </c>
      <c r="L29">
        <v>323.29998799999998</v>
      </c>
      <c r="M29" s="2">
        <f t="shared" si="1"/>
        <v>-0.27233851737128567</v>
      </c>
    </row>
    <row r="30" spans="1:13" x14ac:dyDescent="0.25">
      <c r="A30" t="s">
        <v>911</v>
      </c>
      <c r="K30" s="1" t="str">
        <f t="shared" si="0"/>
        <v>1987-11-01</v>
      </c>
      <c r="L30">
        <v>305.20001200000002</v>
      </c>
      <c r="M30" s="2">
        <f t="shared" si="1"/>
        <v>-5.5985080952121735E-2</v>
      </c>
    </row>
    <row r="31" spans="1:13" x14ac:dyDescent="0.25">
      <c r="A31" t="s">
        <v>912</v>
      </c>
      <c r="K31" s="1" t="str">
        <f t="shared" si="0"/>
        <v>1987-12-01</v>
      </c>
      <c r="L31">
        <v>330.5</v>
      </c>
      <c r="M31" s="2">
        <f t="shared" si="1"/>
        <v>8.2896418758987345E-2</v>
      </c>
    </row>
    <row r="32" spans="1:13" x14ac:dyDescent="0.25">
      <c r="A32" t="s">
        <v>913</v>
      </c>
      <c r="K32" s="1" t="str">
        <f t="shared" si="0"/>
        <v>1988-01-01</v>
      </c>
      <c r="L32">
        <v>344.70001200000002</v>
      </c>
      <c r="M32" s="2">
        <f t="shared" si="1"/>
        <v>4.2965240544629468E-2</v>
      </c>
    </row>
    <row r="33" spans="1:13" x14ac:dyDescent="0.25">
      <c r="A33" t="s">
        <v>914</v>
      </c>
      <c r="K33" s="1" t="str">
        <f t="shared" si="0"/>
        <v>1988-02-01</v>
      </c>
      <c r="L33">
        <v>367</v>
      </c>
      <c r="M33" s="2">
        <f t="shared" si="1"/>
        <v>6.4693899691538048E-2</v>
      </c>
    </row>
    <row r="34" spans="1:13" x14ac:dyDescent="0.25">
      <c r="A34" t="s">
        <v>915</v>
      </c>
      <c r="K34" s="1" t="str">
        <f t="shared" si="0"/>
        <v>1988-03-01</v>
      </c>
      <c r="L34">
        <v>374.60000600000001</v>
      </c>
      <c r="M34" s="2">
        <f t="shared" si="1"/>
        <v>2.0708463215258766E-2</v>
      </c>
    </row>
    <row r="35" spans="1:13" x14ac:dyDescent="0.25">
      <c r="A35" t="s">
        <v>916</v>
      </c>
      <c r="K35" s="1" t="str">
        <f t="shared" si="0"/>
        <v>1988-04-01</v>
      </c>
      <c r="L35">
        <v>379.20001200000002</v>
      </c>
      <c r="M35" s="2">
        <f t="shared" si="1"/>
        <v>1.2279780903153625E-2</v>
      </c>
    </row>
    <row r="36" spans="1:13" x14ac:dyDescent="0.25">
      <c r="A36" t="s">
        <v>917</v>
      </c>
      <c r="K36" s="1" t="str">
        <f t="shared" si="0"/>
        <v>1988-05-01</v>
      </c>
      <c r="L36">
        <v>370.29998799999998</v>
      </c>
      <c r="M36" s="2">
        <f t="shared" si="1"/>
        <v>-2.3470526683422199E-2</v>
      </c>
    </row>
    <row r="37" spans="1:13" x14ac:dyDescent="0.25">
      <c r="A37" t="s">
        <v>918</v>
      </c>
      <c r="K37" s="1" t="str">
        <f t="shared" si="0"/>
        <v>1988-06-01</v>
      </c>
      <c r="L37">
        <v>394.70001200000002</v>
      </c>
      <c r="M37" s="2">
        <f t="shared" si="1"/>
        <v>6.5892586526359986E-2</v>
      </c>
    </row>
    <row r="38" spans="1:13" x14ac:dyDescent="0.25">
      <c r="A38" t="s">
        <v>919</v>
      </c>
      <c r="K38" s="1" t="str">
        <f t="shared" si="0"/>
        <v>1988-07-01</v>
      </c>
      <c r="L38">
        <v>387.29998799999998</v>
      </c>
      <c r="M38" s="2">
        <f t="shared" si="1"/>
        <v>-1.8748476754543497E-2</v>
      </c>
    </row>
    <row r="39" spans="1:13" x14ac:dyDescent="0.25">
      <c r="A39" t="s">
        <v>920</v>
      </c>
      <c r="K39" s="1" t="str">
        <f t="shared" si="0"/>
        <v>1988-08-01</v>
      </c>
      <c r="L39">
        <v>376.60000600000001</v>
      </c>
      <c r="M39" s="2">
        <f t="shared" si="1"/>
        <v>-2.7627116786794192E-2</v>
      </c>
    </row>
    <row r="40" spans="1:13" x14ac:dyDescent="0.25">
      <c r="A40" t="s">
        <v>921</v>
      </c>
      <c r="K40" s="1" t="str">
        <f t="shared" si="0"/>
        <v>1988-09-01</v>
      </c>
      <c r="L40">
        <v>387.70001200000002</v>
      </c>
      <c r="M40" s="2">
        <f t="shared" si="1"/>
        <v>2.9474258691328803E-2</v>
      </c>
    </row>
    <row r="41" spans="1:13" x14ac:dyDescent="0.25">
      <c r="A41" t="s">
        <v>922</v>
      </c>
      <c r="K41" s="1" t="str">
        <f t="shared" si="0"/>
        <v>1988-10-01</v>
      </c>
      <c r="L41">
        <v>382.5</v>
      </c>
      <c r="M41" s="2">
        <f t="shared" si="1"/>
        <v>-1.3412462829637484E-2</v>
      </c>
    </row>
    <row r="42" spans="1:13" x14ac:dyDescent="0.25">
      <c r="A42" t="s">
        <v>923</v>
      </c>
      <c r="K42" s="1" t="str">
        <f t="shared" si="0"/>
        <v>1988-11-01</v>
      </c>
      <c r="L42">
        <v>371.5</v>
      </c>
      <c r="M42" s="2">
        <f t="shared" si="1"/>
        <v>-2.8758169934640532E-2</v>
      </c>
    </row>
    <row r="43" spans="1:13" x14ac:dyDescent="0.25">
      <c r="A43" t="s">
        <v>924</v>
      </c>
      <c r="K43" s="1" t="str">
        <f t="shared" si="0"/>
        <v>1988-12-01</v>
      </c>
      <c r="L43">
        <v>381.39999399999999</v>
      </c>
      <c r="M43" s="2">
        <f t="shared" si="1"/>
        <v>2.6648705248990545E-2</v>
      </c>
    </row>
    <row r="44" spans="1:13" x14ac:dyDescent="0.25">
      <c r="A44" t="s">
        <v>925</v>
      </c>
      <c r="K44" s="1" t="str">
        <f t="shared" si="0"/>
        <v>1989-01-01</v>
      </c>
      <c r="L44">
        <v>401.29998799999998</v>
      </c>
      <c r="M44" s="2">
        <f t="shared" si="1"/>
        <v>5.217617806255137E-2</v>
      </c>
    </row>
    <row r="45" spans="1:13" x14ac:dyDescent="0.25">
      <c r="A45" t="s">
        <v>926</v>
      </c>
      <c r="K45" s="1" t="str">
        <f t="shared" si="0"/>
        <v>1989-02-01</v>
      </c>
      <c r="L45">
        <v>399.70001200000002</v>
      </c>
      <c r="M45" s="2">
        <f t="shared" si="1"/>
        <v>-3.986982426722574E-3</v>
      </c>
    </row>
    <row r="46" spans="1:13" x14ac:dyDescent="0.25">
      <c r="A46" t="s">
        <v>927</v>
      </c>
      <c r="K46" s="1" t="str">
        <f t="shared" si="0"/>
        <v>1989-03-01</v>
      </c>
      <c r="L46">
        <v>406.70001200000002</v>
      </c>
      <c r="M46" s="2">
        <f t="shared" si="1"/>
        <v>1.7513134325350066E-2</v>
      </c>
    </row>
    <row r="47" spans="1:13" x14ac:dyDescent="0.25">
      <c r="A47" t="s">
        <v>928</v>
      </c>
      <c r="K47" s="1" t="str">
        <f t="shared" si="0"/>
        <v>1989-04-01</v>
      </c>
      <c r="L47">
        <v>427.60000600000001</v>
      </c>
      <c r="M47" s="2">
        <f t="shared" si="1"/>
        <v>5.1389214121783766E-2</v>
      </c>
    </row>
    <row r="48" spans="1:13" x14ac:dyDescent="0.25">
      <c r="A48" t="s">
        <v>929</v>
      </c>
      <c r="K48" s="1" t="str">
        <f t="shared" si="0"/>
        <v>1989-05-01</v>
      </c>
      <c r="L48">
        <v>446.20001200000002</v>
      </c>
      <c r="M48" s="2">
        <f t="shared" si="1"/>
        <v>4.3498610240898739E-2</v>
      </c>
    </row>
    <row r="49" spans="1:13" x14ac:dyDescent="0.25">
      <c r="A49" t="s">
        <v>930</v>
      </c>
      <c r="K49" s="1" t="str">
        <f t="shared" si="0"/>
        <v>1989-06-01</v>
      </c>
      <c r="L49">
        <v>435.29998799999998</v>
      </c>
      <c r="M49" s="2">
        <f t="shared" si="1"/>
        <v>-2.4428560526349896E-2</v>
      </c>
    </row>
    <row r="50" spans="1:13" x14ac:dyDescent="0.25">
      <c r="A50" t="s">
        <v>931</v>
      </c>
      <c r="K50" s="1" t="str">
        <f t="shared" si="0"/>
        <v>1989-07-01</v>
      </c>
      <c r="L50">
        <v>453.79998799999998</v>
      </c>
      <c r="M50" s="2">
        <f t="shared" si="1"/>
        <v>4.2499426855026723E-2</v>
      </c>
    </row>
    <row r="51" spans="1:13" x14ac:dyDescent="0.25">
      <c r="A51" t="s">
        <v>932</v>
      </c>
      <c r="K51" s="1" t="str">
        <f t="shared" si="0"/>
        <v>1989-08-01</v>
      </c>
      <c r="L51">
        <v>469.29998799999998</v>
      </c>
      <c r="M51" s="2">
        <f t="shared" si="1"/>
        <v>3.415601676922031E-2</v>
      </c>
    </row>
    <row r="52" spans="1:13" x14ac:dyDescent="0.25">
      <c r="A52" t="s">
        <v>933</v>
      </c>
      <c r="K52" s="1" t="str">
        <f t="shared" si="0"/>
        <v>1989-09-01</v>
      </c>
      <c r="L52">
        <v>472.89999399999999</v>
      </c>
      <c r="M52" s="2">
        <f t="shared" si="1"/>
        <v>7.6710123418968212E-3</v>
      </c>
    </row>
    <row r="53" spans="1:13" x14ac:dyDescent="0.25">
      <c r="A53" t="s">
        <v>934</v>
      </c>
      <c r="K53" s="1" t="str">
        <f t="shared" si="0"/>
        <v>1989-10-01</v>
      </c>
      <c r="L53">
        <v>455.60000600000001</v>
      </c>
      <c r="M53" s="2">
        <f t="shared" si="1"/>
        <v>-3.6582762147381209E-2</v>
      </c>
    </row>
    <row r="54" spans="1:13" x14ac:dyDescent="0.25">
      <c r="A54" t="s">
        <v>935</v>
      </c>
      <c r="K54" s="1" t="str">
        <f t="shared" si="0"/>
        <v>1989-11-01</v>
      </c>
      <c r="L54">
        <v>456.10000600000001</v>
      </c>
      <c r="M54" s="2">
        <f t="shared" si="1"/>
        <v>1.0974538924830579E-3</v>
      </c>
    </row>
    <row r="55" spans="1:13" x14ac:dyDescent="0.25">
      <c r="A55" t="s">
        <v>936</v>
      </c>
      <c r="K55" s="1" t="str">
        <f t="shared" si="0"/>
        <v>1989-12-01</v>
      </c>
      <c r="L55">
        <v>454.79998799999998</v>
      </c>
      <c r="M55" s="2">
        <f t="shared" si="1"/>
        <v>-2.8502915652230953E-3</v>
      </c>
    </row>
    <row r="56" spans="1:13" x14ac:dyDescent="0.25">
      <c r="A56" t="s">
        <v>937</v>
      </c>
      <c r="K56" s="1" t="str">
        <f t="shared" si="0"/>
        <v>1990-01-01</v>
      </c>
      <c r="L56">
        <v>415.79998799999998</v>
      </c>
      <c r="M56" s="2">
        <f t="shared" si="1"/>
        <v>-8.5751981154405854E-2</v>
      </c>
    </row>
    <row r="57" spans="1:13" x14ac:dyDescent="0.25">
      <c r="A57" t="s">
        <v>938</v>
      </c>
      <c r="K57" s="1" t="str">
        <f t="shared" si="0"/>
        <v>1990-02-01</v>
      </c>
      <c r="L57">
        <v>425.79998799999998</v>
      </c>
      <c r="M57" s="2">
        <f t="shared" si="1"/>
        <v>2.4050024744108445E-2</v>
      </c>
    </row>
    <row r="58" spans="1:13" x14ac:dyDescent="0.25">
      <c r="A58" t="s">
        <v>939</v>
      </c>
      <c r="K58" s="1" t="str">
        <f t="shared" si="0"/>
        <v>1990-03-01</v>
      </c>
      <c r="L58">
        <v>435.5</v>
      </c>
      <c r="M58" s="2">
        <f t="shared" si="1"/>
        <v>2.2780677015895145E-2</v>
      </c>
    </row>
    <row r="59" spans="1:13" x14ac:dyDescent="0.25">
      <c r="A59" t="s">
        <v>940</v>
      </c>
      <c r="K59" s="1" t="str">
        <f t="shared" si="0"/>
        <v>1990-04-01</v>
      </c>
      <c r="L59">
        <v>420.10000600000001</v>
      </c>
      <c r="M59" s="2">
        <f t="shared" si="1"/>
        <v>-3.5361639494833508E-2</v>
      </c>
    </row>
    <row r="60" spans="1:13" x14ac:dyDescent="0.25">
      <c r="A60" t="s">
        <v>941</v>
      </c>
      <c r="K60" s="1" t="str">
        <f t="shared" si="0"/>
        <v>1990-05-01</v>
      </c>
      <c r="L60">
        <v>459</v>
      </c>
      <c r="M60" s="2">
        <f t="shared" si="1"/>
        <v>9.2596985109302699E-2</v>
      </c>
    </row>
    <row r="61" spans="1:13" x14ac:dyDescent="0.25">
      <c r="A61" t="s">
        <v>942</v>
      </c>
      <c r="K61" s="1" t="str">
        <f t="shared" si="0"/>
        <v>1990-06-01</v>
      </c>
      <c r="L61">
        <v>462.29998799999998</v>
      </c>
      <c r="M61" s="2">
        <f t="shared" si="1"/>
        <v>7.1895163398691952E-3</v>
      </c>
    </row>
    <row r="62" spans="1:13" x14ac:dyDescent="0.25">
      <c r="A62" t="s">
        <v>943</v>
      </c>
      <c r="K62" s="1" t="str">
        <f t="shared" si="0"/>
        <v>1990-07-01</v>
      </c>
      <c r="L62">
        <v>438.20001200000002</v>
      </c>
      <c r="M62" s="2">
        <f t="shared" si="1"/>
        <v>-5.2130600531185789E-2</v>
      </c>
    </row>
    <row r="63" spans="1:13" x14ac:dyDescent="0.25">
      <c r="A63" t="s">
        <v>944</v>
      </c>
      <c r="K63" s="1" t="str">
        <f t="shared" si="0"/>
        <v>1990-08-01</v>
      </c>
      <c r="L63">
        <v>381.20001200000002</v>
      </c>
      <c r="M63" s="2">
        <f t="shared" si="1"/>
        <v>-0.13007758657934498</v>
      </c>
    </row>
    <row r="64" spans="1:13" x14ac:dyDescent="0.25">
      <c r="A64" t="s">
        <v>945</v>
      </c>
      <c r="K64" s="1" t="str">
        <f t="shared" si="0"/>
        <v>1990-09-01</v>
      </c>
      <c r="L64">
        <v>344.5</v>
      </c>
      <c r="M64" s="2">
        <f t="shared" si="1"/>
        <v>-9.6274949750001615E-2</v>
      </c>
    </row>
    <row r="65" spans="1:13" x14ac:dyDescent="0.25">
      <c r="A65" t="s">
        <v>946</v>
      </c>
      <c r="K65" s="1" t="str">
        <f t="shared" si="0"/>
        <v>1990-10-01</v>
      </c>
      <c r="L65">
        <v>329.79998799999998</v>
      </c>
      <c r="M65" s="2">
        <f t="shared" si="1"/>
        <v>-4.2670571843251182E-2</v>
      </c>
    </row>
    <row r="66" spans="1:13" x14ac:dyDescent="0.25">
      <c r="A66" t="s">
        <v>947</v>
      </c>
      <c r="K66" s="1" t="str">
        <f t="shared" si="0"/>
        <v>1990-11-01</v>
      </c>
      <c r="L66">
        <v>359.10000600000001</v>
      </c>
      <c r="M66" s="2">
        <f t="shared" si="1"/>
        <v>8.8841780067014486E-2</v>
      </c>
    </row>
    <row r="67" spans="1:13" x14ac:dyDescent="0.25">
      <c r="A67" t="s">
        <v>948</v>
      </c>
      <c r="K67" s="1" t="str">
        <f t="shared" ref="K67:K130" si="2">LEFT(A67,10)</f>
        <v>1990-12-01</v>
      </c>
      <c r="L67">
        <v>373.79998799999998</v>
      </c>
      <c r="M67" s="2">
        <f t="shared" si="1"/>
        <v>4.0935621705336267E-2</v>
      </c>
    </row>
    <row r="68" spans="1:13" x14ac:dyDescent="0.25">
      <c r="A68" t="s">
        <v>949</v>
      </c>
      <c r="K68" s="1" t="str">
        <f t="shared" si="2"/>
        <v>1991-01-01</v>
      </c>
      <c r="L68">
        <v>414.20001200000002</v>
      </c>
      <c r="M68" s="2">
        <f t="shared" ref="M68:M131" si="3">(L68/L67)-1</f>
        <v>0.10807925440596855</v>
      </c>
    </row>
    <row r="69" spans="1:13" x14ac:dyDescent="0.25">
      <c r="A69" t="s">
        <v>950</v>
      </c>
      <c r="K69" s="1" t="str">
        <f t="shared" si="2"/>
        <v>1991-02-01</v>
      </c>
      <c r="L69">
        <v>453.10000600000001</v>
      </c>
      <c r="M69" s="2">
        <f t="shared" si="3"/>
        <v>9.3915965410449997E-2</v>
      </c>
    </row>
    <row r="70" spans="1:13" x14ac:dyDescent="0.25">
      <c r="A70" t="s">
        <v>951</v>
      </c>
      <c r="K70" s="1" t="str">
        <f t="shared" si="2"/>
        <v>1991-03-01</v>
      </c>
      <c r="L70">
        <v>482.29998799999998</v>
      </c>
      <c r="M70" s="2">
        <f t="shared" si="3"/>
        <v>6.4444894313243406E-2</v>
      </c>
    </row>
    <row r="71" spans="1:13" x14ac:dyDescent="0.25">
      <c r="A71" t="s">
        <v>952</v>
      </c>
      <c r="K71" s="1" t="str">
        <f t="shared" si="2"/>
        <v>1991-04-01</v>
      </c>
      <c r="L71">
        <v>484.72000100000002</v>
      </c>
      <c r="M71" s="2">
        <f t="shared" si="3"/>
        <v>5.017650964569409E-3</v>
      </c>
    </row>
    <row r="72" spans="1:13" x14ac:dyDescent="0.25">
      <c r="A72" t="s">
        <v>953</v>
      </c>
      <c r="K72" s="1" t="str">
        <f t="shared" si="2"/>
        <v>1991-05-01</v>
      </c>
      <c r="L72">
        <v>506.10998499999999</v>
      </c>
      <c r="M72" s="2">
        <f t="shared" si="3"/>
        <v>4.4128535971017069E-2</v>
      </c>
    </row>
    <row r="73" spans="1:13" x14ac:dyDescent="0.25">
      <c r="A73" t="s">
        <v>954</v>
      </c>
      <c r="K73" s="1" t="str">
        <f t="shared" si="2"/>
        <v>1991-06-01</v>
      </c>
      <c r="L73">
        <v>475.92001299999998</v>
      </c>
      <c r="M73" s="2">
        <f t="shared" si="3"/>
        <v>-5.9651010441929997E-2</v>
      </c>
    </row>
    <row r="74" spans="1:13" x14ac:dyDescent="0.25">
      <c r="A74" t="s">
        <v>955</v>
      </c>
      <c r="K74" s="1" t="str">
        <f t="shared" si="2"/>
        <v>1991-07-01</v>
      </c>
      <c r="L74">
        <v>502.040009</v>
      </c>
      <c r="M74" s="2">
        <f t="shared" si="3"/>
        <v>5.4883163738693286E-2</v>
      </c>
    </row>
    <row r="75" spans="1:13" x14ac:dyDescent="0.25">
      <c r="A75" t="s">
        <v>956</v>
      </c>
      <c r="K75" s="1" t="str">
        <f t="shared" si="2"/>
        <v>1991-08-01</v>
      </c>
      <c r="L75">
        <v>525.67999299999997</v>
      </c>
      <c r="M75" s="2">
        <f t="shared" si="3"/>
        <v>4.7087848729601811E-2</v>
      </c>
    </row>
    <row r="76" spans="1:13" x14ac:dyDescent="0.25">
      <c r="A76" t="s">
        <v>957</v>
      </c>
      <c r="K76" s="1" t="str">
        <f t="shared" si="2"/>
        <v>1991-09-01</v>
      </c>
      <c r="L76">
        <v>526.88000499999998</v>
      </c>
      <c r="M76" s="2">
        <f t="shared" si="3"/>
        <v>2.2827804291194465E-3</v>
      </c>
    </row>
    <row r="77" spans="1:13" x14ac:dyDescent="0.25">
      <c r="A77" t="s">
        <v>958</v>
      </c>
      <c r="K77" s="1" t="str">
        <f t="shared" si="2"/>
        <v>1991-10-01</v>
      </c>
      <c r="L77">
        <v>542.97997999999995</v>
      </c>
      <c r="M77" s="2">
        <f t="shared" si="3"/>
        <v>3.0557194896777329E-2</v>
      </c>
    </row>
    <row r="78" spans="1:13" x14ac:dyDescent="0.25">
      <c r="A78" t="s">
        <v>959</v>
      </c>
      <c r="K78" s="1" t="str">
        <f t="shared" si="2"/>
        <v>1991-11-01</v>
      </c>
      <c r="L78">
        <v>523.90002400000003</v>
      </c>
      <c r="M78" s="2">
        <f t="shared" si="3"/>
        <v>-3.5139336076442262E-2</v>
      </c>
    </row>
    <row r="79" spans="1:13" x14ac:dyDescent="0.25">
      <c r="A79" t="s">
        <v>960</v>
      </c>
      <c r="K79" s="1" t="str">
        <f t="shared" si="2"/>
        <v>1991-12-01</v>
      </c>
      <c r="L79">
        <v>586.34002699999996</v>
      </c>
      <c r="M79" s="2">
        <f t="shared" si="3"/>
        <v>0.11918305046689581</v>
      </c>
    </row>
    <row r="80" spans="1:13" x14ac:dyDescent="0.25">
      <c r="A80" t="s">
        <v>961</v>
      </c>
      <c r="K80" s="1" t="str">
        <f t="shared" si="2"/>
        <v>1992-01-01</v>
      </c>
      <c r="L80">
        <v>620.21002199999998</v>
      </c>
      <c r="M80" s="2">
        <f t="shared" si="3"/>
        <v>5.7765108026643475E-2</v>
      </c>
    </row>
    <row r="81" spans="1:13" x14ac:dyDescent="0.25">
      <c r="A81" t="s">
        <v>962</v>
      </c>
      <c r="K81" s="1" t="str">
        <f t="shared" si="2"/>
        <v>1992-02-01</v>
      </c>
      <c r="L81">
        <v>633.46997099999999</v>
      </c>
      <c r="M81" s="2">
        <f t="shared" si="3"/>
        <v>2.1379772221739479E-2</v>
      </c>
    </row>
    <row r="82" spans="1:13" x14ac:dyDescent="0.25">
      <c r="A82" t="s">
        <v>963</v>
      </c>
      <c r="K82" s="1" t="str">
        <f t="shared" si="2"/>
        <v>1992-03-01</v>
      </c>
      <c r="L82">
        <v>603.77002000000005</v>
      </c>
      <c r="M82" s="2">
        <f t="shared" si="3"/>
        <v>-4.6884544429336428E-2</v>
      </c>
    </row>
    <row r="83" spans="1:13" x14ac:dyDescent="0.25">
      <c r="A83" t="s">
        <v>964</v>
      </c>
      <c r="K83" s="1" t="str">
        <f t="shared" si="2"/>
        <v>1992-04-01</v>
      </c>
      <c r="L83">
        <v>578.67999299999997</v>
      </c>
      <c r="M83" s="2">
        <f t="shared" si="3"/>
        <v>-4.1555602578611128E-2</v>
      </c>
    </row>
    <row r="84" spans="1:13" x14ac:dyDescent="0.25">
      <c r="A84" t="s">
        <v>965</v>
      </c>
      <c r="K84" s="1" t="str">
        <f t="shared" si="2"/>
        <v>1992-05-01</v>
      </c>
      <c r="L84">
        <v>585.30999799999995</v>
      </c>
      <c r="M84" s="2">
        <f t="shared" si="3"/>
        <v>1.1457118062141003E-2</v>
      </c>
    </row>
    <row r="85" spans="1:13" x14ac:dyDescent="0.25">
      <c r="A85" t="s">
        <v>966</v>
      </c>
      <c r="K85" s="1" t="str">
        <f t="shared" si="2"/>
        <v>1992-06-01</v>
      </c>
      <c r="L85">
        <v>563.59997599999997</v>
      </c>
      <c r="M85" s="2">
        <f t="shared" si="3"/>
        <v>-3.7091493523402908E-2</v>
      </c>
    </row>
    <row r="86" spans="1:13" x14ac:dyDescent="0.25">
      <c r="A86" t="s">
        <v>967</v>
      </c>
      <c r="K86" s="1" t="str">
        <f t="shared" si="2"/>
        <v>1992-07-01</v>
      </c>
      <c r="L86">
        <v>580.830017</v>
      </c>
      <c r="M86" s="2">
        <f t="shared" si="3"/>
        <v>3.0571401230861772E-2</v>
      </c>
    </row>
    <row r="87" spans="1:13" x14ac:dyDescent="0.25">
      <c r="A87" t="s">
        <v>968</v>
      </c>
      <c r="K87" s="1" t="str">
        <f t="shared" si="2"/>
        <v>1992-08-01</v>
      </c>
      <c r="L87">
        <v>563.11999500000002</v>
      </c>
      <c r="M87" s="2">
        <f t="shared" si="3"/>
        <v>-3.0490886286271168E-2</v>
      </c>
    </row>
    <row r="88" spans="1:13" x14ac:dyDescent="0.25">
      <c r="A88" t="s">
        <v>969</v>
      </c>
      <c r="K88" s="1" t="str">
        <f t="shared" si="2"/>
        <v>1992-09-01</v>
      </c>
      <c r="L88">
        <v>583.27002000000005</v>
      </c>
      <c r="M88" s="2">
        <f t="shared" si="3"/>
        <v>3.5782826358350173E-2</v>
      </c>
    </row>
    <row r="89" spans="1:13" x14ac:dyDescent="0.25">
      <c r="A89" t="s">
        <v>970</v>
      </c>
      <c r="K89" s="1" t="str">
        <f t="shared" si="2"/>
        <v>1992-10-01</v>
      </c>
      <c r="L89">
        <v>605.169983</v>
      </c>
      <c r="M89" s="2">
        <f t="shared" si="3"/>
        <v>3.7546868944164036E-2</v>
      </c>
    </row>
    <row r="90" spans="1:13" x14ac:dyDescent="0.25">
      <c r="A90" t="s">
        <v>971</v>
      </c>
      <c r="K90" s="1" t="str">
        <f t="shared" si="2"/>
        <v>1992-11-01</v>
      </c>
      <c r="L90">
        <v>652.72997999999995</v>
      </c>
      <c r="M90" s="2">
        <f t="shared" si="3"/>
        <v>7.8589484501910611E-2</v>
      </c>
    </row>
    <row r="91" spans="1:13" x14ac:dyDescent="0.25">
      <c r="A91" t="s">
        <v>972</v>
      </c>
      <c r="K91" s="1" t="str">
        <f t="shared" si="2"/>
        <v>1992-12-01</v>
      </c>
      <c r="L91">
        <v>676.95001200000002</v>
      </c>
      <c r="M91" s="2">
        <f t="shared" si="3"/>
        <v>3.7105744706256827E-2</v>
      </c>
    </row>
    <row r="92" spans="1:13" x14ac:dyDescent="0.25">
      <c r="A92" t="s">
        <v>973</v>
      </c>
      <c r="K92" s="1" t="str">
        <f t="shared" si="2"/>
        <v>1993-01-01</v>
      </c>
      <c r="L92">
        <v>696.34002699999996</v>
      </c>
      <c r="M92" s="2">
        <f t="shared" si="3"/>
        <v>2.8643200614936859E-2</v>
      </c>
    </row>
    <row r="93" spans="1:13" x14ac:dyDescent="0.25">
      <c r="A93" t="s">
        <v>974</v>
      </c>
      <c r="K93" s="1" t="str">
        <f t="shared" si="2"/>
        <v>1993-02-01</v>
      </c>
      <c r="L93">
        <v>670.77002000000005</v>
      </c>
      <c r="M93" s="2">
        <f t="shared" si="3"/>
        <v>-3.672057616759683E-2</v>
      </c>
    </row>
    <row r="94" spans="1:13" x14ac:dyDescent="0.25">
      <c r="A94" t="s">
        <v>975</v>
      </c>
      <c r="K94" s="1" t="str">
        <f t="shared" si="2"/>
        <v>1993-03-01</v>
      </c>
      <c r="L94">
        <v>690.13000499999998</v>
      </c>
      <c r="M94" s="2">
        <f t="shared" si="3"/>
        <v>2.8862328999140319E-2</v>
      </c>
    </row>
    <row r="95" spans="1:13" x14ac:dyDescent="0.25">
      <c r="A95" t="s">
        <v>976</v>
      </c>
      <c r="K95" s="1" t="str">
        <f t="shared" si="2"/>
        <v>1993-04-01</v>
      </c>
      <c r="L95">
        <v>661.419983</v>
      </c>
      <c r="M95" s="2">
        <f t="shared" si="3"/>
        <v>-4.1600889386051221E-2</v>
      </c>
    </row>
    <row r="96" spans="1:13" x14ac:dyDescent="0.25">
      <c r="A96" t="s">
        <v>977</v>
      </c>
      <c r="K96" s="1" t="str">
        <f t="shared" si="2"/>
        <v>1993-05-01</v>
      </c>
      <c r="L96">
        <v>700.53002900000001</v>
      </c>
      <c r="M96" s="2">
        <f t="shared" si="3"/>
        <v>5.9130426968064587E-2</v>
      </c>
    </row>
    <row r="97" spans="1:13" x14ac:dyDescent="0.25">
      <c r="A97" t="s">
        <v>978</v>
      </c>
      <c r="K97" s="1" t="str">
        <f t="shared" si="2"/>
        <v>1993-06-01</v>
      </c>
      <c r="L97">
        <v>703.95001200000002</v>
      </c>
      <c r="M97" s="2">
        <f t="shared" si="3"/>
        <v>4.8819934312909208E-3</v>
      </c>
    </row>
    <row r="98" spans="1:13" x14ac:dyDescent="0.25">
      <c r="A98" t="s">
        <v>979</v>
      </c>
      <c r="K98" s="1" t="str">
        <f t="shared" si="2"/>
        <v>1993-07-01</v>
      </c>
      <c r="L98">
        <v>704.70001200000002</v>
      </c>
      <c r="M98" s="2">
        <f t="shared" si="3"/>
        <v>1.0654165597201448E-3</v>
      </c>
    </row>
    <row r="99" spans="1:13" x14ac:dyDescent="0.25">
      <c r="A99" t="s">
        <v>980</v>
      </c>
      <c r="K99" s="1" t="str">
        <f t="shared" si="2"/>
        <v>1993-08-01</v>
      </c>
      <c r="L99">
        <v>742.84002699999996</v>
      </c>
      <c r="M99" s="2">
        <f t="shared" si="3"/>
        <v>5.4122341919301542E-2</v>
      </c>
    </row>
    <row r="100" spans="1:13" x14ac:dyDescent="0.25">
      <c r="A100" t="s">
        <v>981</v>
      </c>
      <c r="K100" s="1" t="str">
        <f t="shared" si="2"/>
        <v>1993-09-01</v>
      </c>
      <c r="L100">
        <v>762.78002900000001</v>
      </c>
      <c r="M100" s="2">
        <f t="shared" si="3"/>
        <v>2.6842928861182669E-2</v>
      </c>
    </row>
    <row r="101" spans="1:13" x14ac:dyDescent="0.25">
      <c r="A101" t="s">
        <v>982</v>
      </c>
      <c r="K101" s="1" t="str">
        <f t="shared" si="2"/>
        <v>1993-10-01</v>
      </c>
      <c r="L101">
        <v>779.26000999999997</v>
      </c>
      <c r="M101" s="2">
        <f t="shared" si="3"/>
        <v>2.1605155317982128E-2</v>
      </c>
    </row>
    <row r="102" spans="1:13" x14ac:dyDescent="0.25">
      <c r="A102" t="s">
        <v>983</v>
      </c>
      <c r="K102" s="1" t="str">
        <f t="shared" si="2"/>
        <v>1993-11-01</v>
      </c>
      <c r="L102">
        <v>754.39001499999995</v>
      </c>
      <c r="M102" s="2">
        <f t="shared" si="3"/>
        <v>-3.1914886791123864E-2</v>
      </c>
    </row>
    <row r="103" spans="1:13" x14ac:dyDescent="0.25">
      <c r="A103" t="s">
        <v>984</v>
      </c>
      <c r="K103" s="1" t="str">
        <f t="shared" si="2"/>
        <v>1993-12-01</v>
      </c>
      <c r="L103">
        <v>776.79998799999998</v>
      </c>
      <c r="M103" s="2">
        <f t="shared" si="3"/>
        <v>2.9706083795395966E-2</v>
      </c>
    </row>
    <row r="104" spans="1:13" x14ac:dyDescent="0.25">
      <c r="A104" t="s">
        <v>985</v>
      </c>
      <c r="K104" s="1" t="str">
        <f t="shared" si="2"/>
        <v>1994-01-01</v>
      </c>
      <c r="L104">
        <v>800.46997099999999</v>
      </c>
      <c r="M104" s="2">
        <f t="shared" si="3"/>
        <v>3.0471142334775658E-2</v>
      </c>
    </row>
    <row r="105" spans="1:13" x14ac:dyDescent="0.25">
      <c r="A105" t="s">
        <v>986</v>
      </c>
      <c r="K105" s="1" t="str">
        <f t="shared" si="2"/>
        <v>1994-02-01</v>
      </c>
      <c r="L105">
        <v>792.5</v>
      </c>
      <c r="M105" s="2">
        <f t="shared" si="3"/>
        <v>-9.9566145998498667E-3</v>
      </c>
    </row>
    <row r="106" spans="1:13" x14ac:dyDescent="0.25">
      <c r="A106" t="s">
        <v>987</v>
      </c>
      <c r="K106" s="1" t="str">
        <f t="shared" si="2"/>
        <v>1994-03-01</v>
      </c>
      <c r="L106">
        <v>743.46002199999998</v>
      </c>
      <c r="M106" s="2">
        <f t="shared" si="3"/>
        <v>-6.1880098422712915E-2</v>
      </c>
    </row>
    <row r="107" spans="1:13" x14ac:dyDescent="0.25">
      <c r="A107" t="s">
        <v>988</v>
      </c>
      <c r="K107" s="1" t="str">
        <f t="shared" si="2"/>
        <v>1994-04-01</v>
      </c>
      <c r="L107">
        <v>733.84002699999996</v>
      </c>
      <c r="M107" s="2">
        <f t="shared" si="3"/>
        <v>-1.2939491990599628E-2</v>
      </c>
    </row>
    <row r="108" spans="1:13" x14ac:dyDescent="0.25">
      <c r="A108" t="s">
        <v>989</v>
      </c>
      <c r="K108" s="1" t="str">
        <f t="shared" si="2"/>
        <v>1994-05-01</v>
      </c>
      <c r="L108">
        <v>735.19000200000005</v>
      </c>
      <c r="M108" s="2">
        <f t="shared" si="3"/>
        <v>1.8396039331880498E-3</v>
      </c>
    </row>
    <row r="109" spans="1:13" x14ac:dyDescent="0.25">
      <c r="A109" t="s">
        <v>990</v>
      </c>
      <c r="K109" s="1" t="str">
        <f t="shared" si="2"/>
        <v>1994-06-01</v>
      </c>
      <c r="L109">
        <v>705.96002199999998</v>
      </c>
      <c r="M109" s="2">
        <f t="shared" si="3"/>
        <v>-3.9758402481648636E-2</v>
      </c>
    </row>
    <row r="110" spans="1:13" x14ac:dyDescent="0.25">
      <c r="A110" t="s">
        <v>991</v>
      </c>
      <c r="K110" s="1" t="str">
        <f t="shared" si="2"/>
        <v>1994-07-01</v>
      </c>
      <c r="L110">
        <v>722.15997300000004</v>
      </c>
      <c r="M110" s="2">
        <f t="shared" si="3"/>
        <v>2.2947405653517272E-2</v>
      </c>
    </row>
    <row r="111" spans="1:13" x14ac:dyDescent="0.25">
      <c r="A111" t="s">
        <v>992</v>
      </c>
      <c r="K111" s="1" t="str">
        <f t="shared" si="2"/>
        <v>1994-08-01</v>
      </c>
      <c r="L111">
        <v>765.61999500000002</v>
      </c>
      <c r="M111" s="2">
        <f t="shared" si="3"/>
        <v>6.0180602117087867E-2</v>
      </c>
    </row>
    <row r="112" spans="1:13" x14ac:dyDescent="0.25">
      <c r="A112" t="s">
        <v>993</v>
      </c>
      <c r="K112" s="1" t="str">
        <f t="shared" si="2"/>
        <v>1994-09-01</v>
      </c>
      <c r="L112">
        <v>764.28997800000002</v>
      </c>
      <c r="M112" s="2">
        <f t="shared" si="3"/>
        <v>-1.7371764173949034E-3</v>
      </c>
    </row>
    <row r="113" spans="1:13" x14ac:dyDescent="0.25">
      <c r="A113" t="s">
        <v>994</v>
      </c>
      <c r="K113" s="1" t="str">
        <f t="shared" si="2"/>
        <v>1994-10-01</v>
      </c>
      <c r="L113">
        <v>777.48999000000003</v>
      </c>
      <c r="M113" s="2">
        <f t="shared" si="3"/>
        <v>1.7270947389028901E-2</v>
      </c>
    </row>
    <row r="114" spans="1:13" x14ac:dyDescent="0.25">
      <c r="A114" t="s">
        <v>995</v>
      </c>
      <c r="K114" s="1" t="str">
        <f t="shared" si="2"/>
        <v>1994-11-01</v>
      </c>
      <c r="L114">
        <v>750.32000700000003</v>
      </c>
      <c r="M114" s="2">
        <f t="shared" si="3"/>
        <v>-3.494576566831431E-2</v>
      </c>
    </row>
    <row r="115" spans="1:13" x14ac:dyDescent="0.25">
      <c r="A115" t="s">
        <v>996</v>
      </c>
      <c r="K115" s="1" t="str">
        <f t="shared" si="2"/>
        <v>1994-12-01</v>
      </c>
      <c r="L115">
        <v>751.96002199999998</v>
      </c>
      <c r="M115" s="2">
        <f t="shared" si="3"/>
        <v>2.1857540578682499E-3</v>
      </c>
    </row>
    <row r="116" spans="1:13" x14ac:dyDescent="0.25">
      <c r="A116" t="s">
        <v>997</v>
      </c>
      <c r="K116" s="1" t="str">
        <f t="shared" si="2"/>
        <v>1995-01-01</v>
      </c>
      <c r="L116">
        <v>755.20001200000002</v>
      </c>
      <c r="M116" s="2">
        <f t="shared" si="3"/>
        <v>4.3087264019470162E-3</v>
      </c>
    </row>
    <row r="117" spans="1:13" x14ac:dyDescent="0.25">
      <c r="A117" t="s">
        <v>998</v>
      </c>
      <c r="K117" s="1" t="str">
        <f t="shared" si="2"/>
        <v>1995-02-01</v>
      </c>
      <c r="L117">
        <v>793.72997999999995</v>
      </c>
      <c r="M117" s="2">
        <f t="shared" si="3"/>
        <v>5.1019554274053691E-2</v>
      </c>
    </row>
    <row r="118" spans="1:13" x14ac:dyDescent="0.25">
      <c r="A118" t="s">
        <v>999</v>
      </c>
      <c r="K118" s="1" t="str">
        <f t="shared" si="2"/>
        <v>1995-03-01</v>
      </c>
      <c r="L118">
        <v>817.21002199999998</v>
      </c>
      <c r="M118" s="2">
        <f t="shared" si="3"/>
        <v>2.9581901391705134E-2</v>
      </c>
    </row>
    <row r="119" spans="1:13" x14ac:dyDescent="0.25">
      <c r="A119" t="s">
        <v>1000</v>
      </c>
      <c r="K119" s="1" t="str">
        <f t="shared" si="2"/>
        <v>1995-04-01</v>
      </c>
      <c r="L119">
        <v>843.97997999999995</v>
      </c>
      <c r="M119" s="2">
        <f t="shared" si="3"/>
        <v>3.2757745597006283E-2</v>
      </c>
    </row>
    <row r="120" spans="1:13" x14ac:dyDescent="0.25">
      <c r="A120" t="s">
        <v>1001</v>
      </c>
      <c r="K120" s="1" t="str">
        <f t="shared" si="2"/>
        <v>1995-05-01</v>
      </c>
      <c r="L120">
        <v>864.580017</v>
      </c>
      <c r="M120" s="2">
        <f t="shared" si="3"/>
        <v>2.4408205749145928E-2</v>
      </c>
    </row>
    <row r="121" spans="1:13" x14ac:dyDescent="0.25">
      <c r="A121" t="s">
        <v>1002</v>
      </c>
      <c r="K121" s="1" t="str">
        <f t="shared" si="2"/>
        <v>1995-06-01</v>
      </c>
      <c r="L121">
        <v>933.45001200000002</v>
      </c>
      <c r="M121" s="2">
        <f t="shared" si="3"/>
        <v>7.965716723244598E-2</v>
      </c>
    </row>
    <row r="122" spans="1:13" x14ac:dyDescent="0.25">
      <c r="A122" t="s">
        <v>1003</v>
      </c>
      <c r="K122" s="1" t="str">
        <f t="shared" si="2"/>
        <v>1995-07-01</v>
      </c>
      <c r="L122">
        <v>1001.210022</v>
      </c>
      <c r="M122" s="2">
        <f t="shared" si="3"/>
        <v>7.2590935913984467E-2</v>
      </c>
    </row>
    <row r="123" spans="1:13" x14ac:dyDescent="0.25">
      <c r="A123" t="s">
        <v>1004</v>
      </c>
      <c r="K123" s="1" t="str">
        <f t="shared" si="2"/>
        <v>1995-08-01</v>
      </c>
      <c r="L123">
        <v>1020.1099850000001</v>
      </c>
      <c r="M123" s="2">
        <f t="shared" si="3"/>
        <v>1.8877121267969255E-2</v>
      </c>
    </row>
    <row r="124" spans="1:13" x14ac:dyDescent="0.25">
      <c r="A124" t="s">
        <v>1005</v>
      </c>
      <c r="K124" s="1" t="str">
        <f t="shared" si="2"/>
        <v>1995-09-01</v>
      </c>
      <c r="L124">
        <v>1043.540039</v>
      </c>
      <c r="M124" s="2">
        <f t="shared" si="3"/>
        <v>2.2968164555315029E-2</v>
      </c>
    </row>
    <row r="125" spans="1:13" x14ac:dyDescent="0.25">
      <c r="A125" t="s">
        <v>1006</v>
      </c>
      <c r="K125" s="1" t="str">
        <f t="shared" si="2"/>
        <v>1995-10-01</v>
      </c>
      <c r="L125">
        <v>1036.0600589999999</v>
      </c>
      <c r="M125" s="2">
        <f t="shared" si="3"/>
        <v>-7.1678897986204859E-3</v>
      </c>
    </row>
    <row r="126" spans="1:13" x14ac:dyDescent="0.25">
      <c r="A126" t="s">
        <v>1007</v>
      </c>
      <c r="K126" s="1" t="str">
        <f t="shared" si="2"/>
        <v>1995-11-01</v>
      </c>
      <c r="L126">
        <v>1059.1999510000001</v>
      </c>
      <c r="M126" s="2">
        <f t="shared" si="3"/>
        <v>2.2334508312514822E-2</v>
      </c>
    </row>
    <row r="127" spans="1:13" x14ac:dyDescent="0.25">
      <c r="A127" t="s">
        <v>1008</v>
      </c>
      <c r="K127" s="1" t="str">
        <f t="shared" si="2"/>
        <v>1995-12-01</v>
      </c>
      <c r="L127">
        <v>1052.130005</v>
      </c>
      <c r="M127" s="2">
        <f t="shared" si="3"/>
        <v>-6.6747982695102293E-3</v>
      </c>
    </row>
    <row r="128" spans="1:13" x14ac:dyDescent="0.25">
      <c r="A128" t="s">
        <v>1009</v>
      </c>
      <c r="K128" s="1" t="str">
        <f t="shared" si="2"/>
        <v>1996-01-01</v>
      </c>
      <c r="L128">
        <v>1059.790039</v>
      </c>
      <c r="M128" s="2">
        <f t="shared" si="3"/>
        <v>7.2805014243462196E-3</v>
      </c>
    </row>
    <row r="129" spans="1:13" x14ac:dyDescent="0.25">
      <c r="A129" t="s">
        <v>1010</v>
      </c>
      <c r="K129" s="1" t="str">
        <f t="shared" si="2"/>
        <v>1996-02-01</v>
      </c>
      <c r="L129">
        <v>1100.0500489999999</v>
      </c>
      <c r="M129" s="2">
        <f t="shared" si="3"/>
        <v>3.7988666168242702E-2</v>
      </c>
    </row>
    <row r="130" spans="1:13" x14ac:dyDescent="0.25">
      <c r="A130" t="s">
        <v>1011</v>
      </c>
      <c r="K130" s="1" t="str">
        <f t="shared" si="2"/>
        <v>1996-03-01</v>
      </c>
      <c r="L130">
        <v>1101.400024</v>
      </c>
      <c r="M130" s="2">
        <f t="shared" si="3"/>
        <v>1.2271941637813644E-3</v>
      </c>
    </row>
    <row r="131" spans="1:13" x14ac:dyDescent="0.25">
      <c r="A131" t="s">
        <v>1012</v>
      </c>
      <c r="K131" s="1" t="str">
        <f t="shared" ref="K131:K194" si="4">LEFT(A131,10)</f>
        <v>1996-04-01</v>
      </c>
      <c r="L131">
        <v>1190.5200199999999</v>
      </c>
      <c r="M131" s="2">
        <f t="shared" si="3"/>
        <v>8.0915193442922861E-2</v>
      </c>
    </row>
    <row r="132" spans="1:13" x14ac:dyDescent="0.25">
      <c r="A132" t="s">
        <v>1013</v>
      </c>
      <c r="K132" s="1" t="str">
        <f t="shared" si="4"/>
        <v>1996-05-01</v>
      </c>
      <c r="L132">
        <v>1243.4300539999999</v>
      </c>
      <c r="M132" s="2">
        <f t="shared" ref="M132:M195" si="5">(L132/L131)-1</f>
        <v>4.4442792318603708E-2</v>
      </c>
    </row>
    <row r="133" spans="1:13" x14ac:dyDescent="0.25">
      <c r="A133" t="s">
        <v>1014</v>
      </c>
      <c r="K133" s="1" t="str">
        <f t="shared" si="4"/>
        <v>1996-06-01</v>
      </c>
      <c r="L133">
        <v>1185.0200199999999</v>
      </c>
      <c r="M133" s="2">
        <f t="shared" si="5"/>
        <v>-4.6974925378472476E-2</v>
      </c>
    </row>
    <row r="134" spans="1:13" x14ac:dyDescent="0.25">
      <c r="A134" t="s">
        <v>1015</v>
      </c>
      <c r="K134" s="1" t="str">
        <f t="shared" si="4"/>
        <v>1996-07-01</v>
      </c>
      <c r="L134">
        <v>1080.589966</v>
      </c>
      <c r="M134" s="2">
        <f t="shared" si="5"/>
        <v>-8.8125139016638654E-2</v>
      </c>
    </row>
    <row r="135" spans="1:13" x14ac:dyDescent="0.25">
      <c r="A135" t="s">
        <v>1016</v>
      </c>
      <c r="K135" s="1" t="str">
        <f t="shared" si="4"/>
        <v>1996-08-01</v>
      </c>
      <c r="L135">
        <v>1141.5</v>
      </c>
      <c r="M135" s="2">
        <f t="shared" si="5"/>
        <v>5.6367388108802707E-2</v>
      </c>
    </row>
    <row r="136" spans="1:13" x14ac:dyDescent="0.25">
      <c r="A136" t="s">
        <v>1017</v>
      </c>
      <c r="K136" s="1" t="str">
        <f t="shared" si="4"/>
        <v>1996-09-01</v>
      </c>
      <c r="L136">
        <v>1226.920044</v>
      </c>
      <c r="M136" s="2">
        <f t="shared" si="5"/>
        <v>7.4831400788436309E-2</v>
      </c>
    </row>
    <row r="137" spans="1:13" x14ac:dyDescent="0.25">
      <c r="A137" t="s">
        <v>1018</v>
      </c>
      <c r="K137" s="1" t="str">
        <f t="shared" si="4"/>
        <v>1996-10-01</v>
      </c>
      <c r="L137">
        <v>1221.51001</v>
      </c>
      <c r="M137" s="2">
        <f t="shared" si="5"/>
        <v>-4.4094430003459584E-3</v>
      </c>
    </row>
    <row r="138" spans="1:13" x14ac:dyDescent="0.25">
      <c r="A138" t="s">
        <v>1019</v>
      </c>
      <c r="K138" s="1" t="str">
        <f t="shared" si="4"/>
        <v>1996-11-01</v>
      </c>
      <c r="L138">
        <v>1292.6099850000001</v>
      </c>
      <c r="M138" s="2">
        <f t="shared" si="5"/>
        <v>5.8206624929745931E-2</v>
      </c>
    </row>
    <row r="139" spans="1:13" x14ac:dyDescent="0.25">
      <c r="A139" t="s">
        <v>1020</v>
      </c>
      <c r="K139" s="1" t="str">
        <f t="shared" si="4"/>
        <v>1996-12-01</v>
      </c>
      <c r="L139">
        <v>1291.030029</v>
      </c>
      <c r="M139" s="2">
        <f t="shared" si="5"/>
        <v>-1.2222990835090153E-3</v>
      </c>
    </row>
    <row r="140" spans="1:13" x14ac:dyDescent="0.25">
      <c r="A140" t="s">
        <v>1021</v>
      </c>
      <c r="K140" s="1" t="str">
        <f t="shared" si="4"/>
        <v>1997-01-01</v>
      </c>
      <c r="L140">
        <v>1379.849976</v>
      </c>
      <c r="M140" s="2">
        <f t="shared" si="5"/>
        <v>6.8797739018354065E-2</v>
      </c>
    </row>
    <row r="141" spans="1:13" x14ac:dyDescent="0.25">
      <c r="A141" t="s">
        <v>1022</v>
      </c>
      <c r="K141" s="1" t="str">
        <f t="shared" si="4"/>
        <v>1997-02-01</v>
      </c>
      <c r="L141">
        <v>1309</v>
      </c>
      <c r="M141" s="2">
        <f t="shared" si="5"/>
        <v>-5.134614431445983E-2</v>
      </c>
    </row>
    <row r="142" spans="1:13" x14ac:dyDescent="0.25">
      <c r="A142" t="s">
        <v>1023</v>
      </c>
      <c r="K142" s="1" t="str">
        <f t="shared" si="4"/>
        <v>1997-03-01</v>
      </c>
      <c r="L142">
        <v>1221.6999510000001</v>
      </c>
      <c r="M142" s="2">
        <f t="shared" si="5"/>
        <v>-6.6692168831168797E-2</v>
      </c>
    </row>
    <row r="143" spans="1:13" x14ac:dyDescent="0.25">
      <c r="A143" t="s">
        <v>1024</v>
      </c>
      <c r="K143" s="1" t="str">
        <f t="shared" si="4"/>
        <v>1997-04-01</v>
      </c>
      <c r="L143">
        <v>1260.76001</v>
      </c>
      <c r="M143" s="2">
        <f t="shared" si="5"/>
        <v>3.1971892090220777E-2</v>
      </c>
    </row>
    <row r="144" spans="1:13" x14ac:dyDescent="0.25">
      <c r="A144" t="s">
        <v>1025</v>
      </c>
      <c r="K144" s="1" t="str">
        <f t="shared" si="4"/>
        <v>1997-05-01</v>
      </c>
      <c r="L144">
        <v>1400.3199460000001</v>
      </c>
      <c r="M144" s="2">
        <f t="shared" si="5"/>
        <v>0.11069508462597888</v>
      </c>
    </row>
    <row r="145" spans="1:13" x14ac:dyDescent="0.25">
      <c r="A145" t="s">
        <v>1026</v>
      </c>
      <c r="K145" s="1" t="str">
        <f t="shared" si="4"/>
        <v>1997-06-01</v>
      </c>
      <c r="L145">
        <v>1442.0699460000001</v>
      </c>
      <c r="M145" s="2">
        <f t="shared" si="5"/>
        <v>2.9814614952288876E-2</v>
      </c>
    </row>
    <row r="146" spans="1:13" x14ac:dyDescent="0.25">
      <c r="A146" t="s">
        <v>1027</v>
      </c>
      <c r="K146" s="1" t="str">
        <f t="shared" si="4"/>
        <v>1997-07-01</v>
      </c>
      <c r="L146">
        <v>1593.8100589999999</v>
      </c>
      <c r="M146" s="2">
        <f t="shared" si="5"/>
        <v>0.10522382317230528</v>
      </c>
    </row>
    <row r="147" spans="1:13" x14ac:dyDescent="0.25">
      <c r="A147" t="s">
        <v>1028</v>
      </c>
      <c r="K147" s="1" t="str">
        <f t="shared" si="4"/>
        <v>1997-08-01</v>
      </c>
      <c r="L147">
        <v>1587.3199460000001</v>
      </c>
      <c r="M147" s="2">
        <f t="shared" si="5"/>
        <v>-4.0720743123380254E-3</v>
      </c>
    </row>
    <row r="148" spans="1:13" x14ac:dyDescent="0.25">
      <c r="A148" t="s">
        <v>1029</v>
      </c>
      <c r="K148" s="1" t="str">
        <f t="shared" si="4"/>
        <v>1997-09-01</v>
      </c>
      <c r="L148">
        <v>1685.6899410000001</v>
      </c>
      <c r="M148" s="2">
        <f t="shared" si="5"/>
        <v>6.1972380078691547E-2</v>
      </c>
    </row>
    <row r="149" spans="1:13" x14ac:dyDescent="0.25">
      <c r="A149" t="s">
        <v>1030</v>
      </c>
      <c r="K149" s="1" t="str">
        <f t="shared" si="4"/>
        <v>1997-10-01</v>
      </c>
      <c r="L149">
        <v>1593.6099850000001</v>
      </c>
      <c r="M149" s="2">
        <f t="shared" si="5"/>
        <v>-5.462449158673599E-2</v>
      </c>
    </row>
    <row r="150" spans="1:13" x14ac:dyDescent="0.25">
      <c r="A150" t="s">
        <v>1031</v>
      </c>
      <c r="K150" s="1" t="str">
        <f t="shared" si="4"/>
        <v>1997-11-01</v>
      </c>
      <c r="L150">
        <v>1600.5500489999999</v>
      </c>
      <c r="M150" s="2">
        <f t="shared" si="5"/>
        <v>4.3549325527099114E-3</v>
      </c>
    </row>
    <row r="151" spans="1:13" x14ac:dyDescent="0.25">
      <c r="A151" t="s">
        <v>1032</v>
      </c>
      <c r="K151" s="1" t="str">
        <f t="shared" si="4"/>
        <v>1997-12-01</v>
      </c>
      <c r="L151">
        <v>1570.349976</v>
      </c>
      <c r="M151" s="2">
        <f t="shared" si="5"/>
        <v>-1.8868558980000949E-2</v>
      </c>
    </row>
    <row r="152" spans="1:13" x14ac:dyDescent="0.25">
      <c r="A152" t="s">
        <v>1033</v>
      </c>
      <c r="K152" s="1" t="str">
        <f t="shared" si="4"/>
        <v>1998-01-01</v>
      </c>
      <c r="L152">
        <v>1619.3599850000001</v>
      </c>
      <c r="M152" s="2">
        <f t="shared" si="5"/>
        <v>3.1209609162945018E-2</v>
      </c>
    </row>
    <row r="153" spans="1:13" x14ac:dyDescent="0.25">
      <c r="A153" t="s">
        <v>1034</v>
      </c>
      <c r="K153" s="1" t="str">
        <f t="shared" si="4"/>
        <v>1998-02-01</v>
      </c>
      <c r="L153">
        <v>1770.51001</v>
      </c>
      <c r="M153" s="2">
        <f t="shared" si="5"/>
        <v>9.3339360241138758E-2</v>
      </c>
    </row>
    <row r="154" spans="1:13" x14ac:dyDescent="0.25">
      <c r="A154" t="s">
        <v>1035</v>
      </c>
      <c r="K154" s="1" t="str">
        <f t="shared" si="4"/>
        <v>1998-03-01</v>
      </c>
      <c r="L154">
        <v>1835.6800539999999</v>
      </c>
      <c r="M154" s="2">
        <f t="shared" si="5"/>
        <v>3.6808627814535644E-2</v>
      </c>
    </row>
    <row r="155" spans="1:13" x14ac:dyDescent="0.25">
      <c r="A155" t="s">
        <v>1036</v>
      </c>
      <c r="K155" s="1" t="str">
        <f t="shared" si="4"/>
        <v>1998-04-01</v>
      </c>
      <c r="L155">
        <v>1868.410034</v>
      </c>
      <c r="M155" s="2">
        <f t="shared" si="5"/>
        <v>1.7829893574689448E-2</v>
      </c>
    </row>
    <row r="156" spans="1:13" x14ac:dyDescent="0.25">
      <c r="A156" t="s">
        <v>1037</v>
      </c>
      <c r="K156" s="1" t="str">
        <f t="shared" si="4"/>
        <v>1998-05-01</v>
      </c>
      <c r="L156">
        <v>1778.869995</v>
      </c>
      <c r="M156" s="2">
        <f t="shared" si="5"/>
        <v>-4.7923120391463292E-2</v>
      </c>
    </row>
    <row r="157" spans="1:13" x14ac:dyDescent="0.25">
      <c r="A157" t="s">
        <v>1038</v>
      </c>
      <c r="K157" s="1" t="str">
        <f t="shared" si="4"/>
        <v>1998-06-01</v>
      </c>
      <c r="L157">
        <v>1894.73999</v>
      </c>
      <c r="M157" s="2">
        <f t="shared" si="5"/>
        <v>6.5136853916072823E-2</v>
      </c>
    </row>
    <row r="158" spans="1:13" x14ac:dyDescent="0.25">
      <c r="A158" t="s">
        <v>1039</v>
      </c>
      <c r="K158" s="1" t="str">
        <f t="shared" si="4"/>
        <v>1998-07-01</v>
      </c>
      <c r="L158">
        <v>1872.3900149999999</v>
      </c>
      <c r="M158" s="2">
        <f t="shared" si="5"/>
        <v>-1.1795800541476997E-2</v>
      </c>
    </row>
    <row r="159" spans="1:13" x14ac:dyDescent="0.25">
      <c r="A159" t="s">
        <v>1040</v>
      </c>
      <c r="K159" s="1" t="str">
        <f t="shared" si="4"/>
        <v>1998-08-01</v>
      </c>
      <c r="L159">
        <v>1499.25</v>
      </c>
      <c r="M159" s="2">
        <f t="shared" si="5"/>
        <v>-0.19928541169880143</v>
      </c>
    </row>
    <row r="160" spans="1:13" x14ac:dyDescent="0.25">
      <c r="A160" t="s">
        <v>1041</v>
      </c>
      <c r="K160" s="1" t="str">
        <f t="shared" si="4"/>
        <v>1998-09-01</v>
      </c>
      <c r="L160">
        <v>1693.839966</v>
      </c>
      <c r="M160" s="2">
        <f t="shared" si="5"/>
        <v>0.129791539769885</v>
      </c>
    </row>
    <row r="161" spans="1:13" x14ac:dyDescent="0.25">
      <c r="A161" t="s">
        <v>1042</v>
      </c>
      <c r="K161" s="1" t="str">
        <f t="shared" si="4"/>
        <v>1998-10-01</v>
      </c>
      <c r="L161">
        <v>1771.3900149999999</v>
      </c>
      <c r="M161" s="2">
        <f t="shared" si="5"/>
        <v>4.5783574928353055E-2</v>
      </c>
    </row>
    <row r="162" spans="1:13" x14ac:dyDescent="0.25">
      <c r="A162" t="s">
        <v>1043</v>
      </c>
      <c r="K162" s="1" t="str">
        <f t="shared" si="4"/>
        <v>1998-11-01</v>
      </c>
      <c r="L162">
        <v>1949.540039</v>
      </c>
      <c r="M162" s="2">
        <f t="shared" si="5"/>
        <v>0.10057075093087287</v>
      </c>
    </row>
    <row r="163" spans="1:13" x14ac:dyDescent="0.25">
      <c r="A163" t="s">
        <v>1044</v>
      </c>
      <c r="K163" s="1" t="str">
        <f t="shared" si="4"/>
        <v>1998-12-01</v>
      </c>
      <c r="L163">
        <v>2192.6899410000001</v>
      </c>
      <c r="M163" s="2">
        <f t="shared" si="5"/>
        <v>0.12472167646514287</v>
      </c>
    </row>
    <row r="164" spans="1:13" x14ac:dyDescent="0.25">
      <c r="A164" t="s">
        <v>1045</v>
      </c>
      <c r="K164" s="1" t="str">
        <f t="shared" si="4"/>
        <v>1999-01-01</v>
      </c>
      <c r="L164">
        <v>2505.889893</v>
      </c>
      <c r="M164" s="2">
        <f t="shared" si="5"/>
        <v>0.14283823086138736</v>
      </c>
    </row>
    <row r="165" spans="1:13" x14ac:dyDescent="0.25">
      <c r="A165" t="s">
        <v>1046</v>
      </c>
      <c r="K165" s="1" t="str">
        <f t="shared" si="4"/>
        <v>1999-02-01</v>
      </c>
      <c r="L165">
        <v>2288.030029</v>
      </c>
      <c r="M165" s="2">
        <f t="shared" si="5"/>
        <v>-8.6939120752501431E-2</v>
      </c>
    </row>
    <row r="166" spans="1:13" x14ac:dyDescent="0.25">
      <c r="A166" t="s">
        <v>1047</v>
      </c>
      <c r="K166" s="1" t="str">
        <f t="shared" si="4"/>
        <v>1999-03-01</v>
      </c>
      <c r="L166">
        <v>2461.3999020000001</v>
      </c>
      <c r="M166" s="2">
        <f t="shared" si="5"/>
        <v>7.5772551409988509E-2</v>
      </c>
    </row>
    <row r="167" spans="1:13" x14ac:dyDescent="0.25">
      <c r="A167" t="s">
        <v>1048</v>
      </c>
      <c r="K167" s="1" t="str">
        <f t="shared" si="4"/>
        <v>1999-04-01</v>
      </c>
      <c r="L167">
        <v>2542.860107</v>
      </c>
      <c r="M167" s="2">
        <f t="shared" si="5"/>
        <v>3.3095071196602266E-2</v>
      </c>
    </row>
    <row r="168" spans="1:13" x14ac:dyDescent="0.25">
      <c r="A168" t="s">
        <v>1049</v>
      </c>
      <c r="K168" s="1" t="str">
        <f t="shared" si="4"/>
        <v>1999-05-01</v>
      </c>
      <c r="L168">
        <v>2470.5200199999999</v>
      </c>
      <c r="M168" s="2">
        <f t="shared" si="5"/>
        <v>-2.8448315658758383E-2</v>
      </c>
    </row>
    <row r="169" spans="1:13" x14ac:dyDescent="0.25">
      <c r="A169" t="s">
        <v>1050</v>
      </c>
      <c r="K169" s="1" t="str">
        <f t="shared" si="4"/>
        <v>1999-06-01</v>
      </c>
      <c r="L169">
        <v>2686.1201169999999</v>
      </c>
      <c r="M169" s="2">
        <f t="shared" si="5"/>
        <v>8.7269115511964257E-2</v>
      </c>
    </row>
    <row r="170" spans="1:13" x14ac:dyDescent="0.25">
      <c r="A170" t="s">
        <v>1051</v>
      </c>
      <c r="K170" s="1" t="str">
        <f t="shared" si="4"/>
        <v>1999-07-01</v>
      </c>
      <c r="L170">
        <v>2638.48999</v>
      </c>
      <c r="M170" s="2">
        <f t="shared" si="5"/>
        <v>-1.7731942327730232E-2</v>
      </c>
    </row>
    <row r="171" spans="1:13" x14ac:dyDescent="0.25">
      <c r="A171" t="s">
        <v>1052</v>
      </c>
      <c r="K171" s="1" t="str">
        <f t="shared" si="4"/>
        <v>1999-08-01</v>
      </c>
      <c r="L171">
        <v>2739.3500979999999</v>
      </c>
      <c r="M171" s="2">
        <f t="shared" si="5"/>
        <v>3.8226450879959462E-2</v>
      </c>
    </row>
    <row r="172" spans="1:13" x14ac:dyDescent="0.25">
      <c r="A172" t="s">
        <v>1053</v>
      </c>
      <c r="K172" s="1" t="str">
        <f t="shared" si="4"/>
        <v>1999-09-01</v>
      </c>
      <c r="L172">
        <v>2746.1599120000001</v>
      </c>
      <c r="M172" s="2">
        <f t="shared" si="5"/>
        <v>2.4859232140397314E-3</v>
      </c>
    </row>
    <row r="173" spans="1:13" x14ac:dyDescent="0.25">
      <c r="A173" t="s">
        <v>1054</v>
      </c>
      <c r="K173" s="1" t="str">
        <f t="shared" si="4"/>
        <v>1999-10-01</v>
      </c>
      <c r="L173">
        <v>2966.429932</v>
      </c>
      <c r="M173" s="2">
        <f t="shared" si="5"/>
        <v>8.0210194256160161E-2</v>
      </c>
    </row>
    <row r="174" spans="1:13" x14ac:dyDescent="0.25">
      <c r="A174" t="s">
        <v>1055</v>
      </c>
      <c r="K174" s="1" t="str">
        <f t="shared" si="4"/>
        <v>1999-11-01</v>
      </c>
      <c r="L174">
        <v>3336.1599120000001</v>
      </c>
      <c r="M174" s="2">
        <f t="shared" si="5"/>
        <v>0.12463802903671617</v>
      </c>
    </row>
    <row r="175" spans="1:13" x14ac:dyDescent="0.25">
      <c r="A175" t="s">
        <v>1056</v>
      </c>
      <c r="K175" s="1" t="str">
        <f t="shared" si="4"/>
        <v>1999-12-01</v>
      </c>
      <c r="L175">
        <v>4069.3100589999999</v>
      </c>
      <c r="M175" s="2">
        <f t="shared" si="5"/>
        <v>0.21975869452866914</v>
      </c>
    </row>
    <row r="176" spans="1:13" x14ac:dyDescent="0.25">
      <c r="A176" t="s">
        <v>1057</v>
      </c>
      <c r="K176" s="1" t="str">
        <f t="shared" si="4"/>
        <v>2000-01-01</v>
      </c>
      <c r="L176">
        <v>3940.3500979999999</v>
      </c>
      <c r="M176" s="2">
        <f t="shared" si="5"/>
        <v>-3.1690866296801845E-2</v>
      </c>
    </row>
    <row r="177" spans="1:13" x14ac:dyDescent="0.25">
      <c r="A177" t="s">
        <v>1058</v>
      </c>
      <c r="K177" s="1" t="str">
        <f t="shared" si="4"/>
        <v>2000-02-01</v>
      </c>
      <c r="L177">
        <v>4696.6899409999996</v>
      </c>
      <c r="M177" s="2">
        <f t="shared" si="5"/>
        <v>0.19194737122061678</v>
      </c>
    </row>
    <row r="178" spans="1:13" x14ac:dyDescent="0.25">
      <c r="A178" t="s">
        <v>1059</v>
      </c>
      <c r="K178" s="1" t="str">
        <f t="shared" si="4"/>
        <v>2000-03-01</v>
      </c>
      <c r="L178">
        <v>4572.830078</v>
      </c>
      <c r="M178" s="2">
        <f t="shared" si="5"/>
        <v>-2.6371735106198613E-2</v>
      </c>
    </row>
    <row r="179" spans="1:13" x14ac:dyDescent="0.25">
      <c r="A179" t="s">
        <v>1060</v>
      </c>
      <c r="K179" s="1" t="str">
        <f t="shared" si="4"/>
        <v>2000-04-01</v>
      </c>
      <c r="L179">
        <v>3860.6599120000001</v>
      </c>
      <c r="M179" s="2">
        <f t="shared" si="5"/>
        <v>-0.15573947727169402</v>
      </c>
    </row>
    <row r="180" spans="1:13" x14ac:dyDescent="0.25">
      <c r="A180" t="s">
        <v>1061</v>
      </c>
      <c r="K180" s="1" t="str">
        <f t="shared" si="4"/>
        <v>2000-05-01</v>
      </c>
      <c r="L180">
        <v>3400.9099120000001</v>
      </c>
      <c r="M180" s="2">
        <f t="shared" si="5"/>
        <v>-0.11908585850076292</v>
      </c>
    </row>
    <row r="181" spans="1:13" x14ac:dyDescent="0.25">
      <c r="A181" t="s">
        <v>1062</v>
      </c>
      <c r="K181" s="1" t="str">
        <f t="shared" si="4"/>
        <v>2000-06-01</v>
      </c>
      <c r="L181">
        <v>3966.110107</v>
      </c>
      <c r="M181" s="2">
        <f t="shared" si="5"/>
        <v>0.166190875273029</v>
      </c>
    </row>
    <row r="182" spans="1:13" x14ac:dyDescent="0.25">
      <c r="A182" t="s">
        <v>1063</v>
      </c>
      <c r="K182" s="1" t="str">
        <f t="shared" si="4"/>
        <v>2000-07-01</v>
      </c>
      <c r="L182">
        <v>3766.98999</v>
      </c>
      <c r="M182" s="2">
        <f t="shared" si="5"/>
        <v>-5.0205393100045903E-2</v>
      </c>
    </row>
    <row r="183" spans="1:13" x14ac:dyDescent="0.25">
      <c r="A183" t="s">
        <v>1064</v>
      </c>
      <c r="K183" s="1" t="str">
        <f t="shared" si="4"/>
        <v>2000-08-01</v>
      </c>
      <c r="L183">
        <v>4206.3500979999999</v>
      </c>
      <c r="M183" s="2">
        <f t="shared" si="5"/>
        <v>0.11663426480196182</v>
      </c>
    </row>
    <row r="184" spans="1:13" x14ac:dyDescent="0.25">
      <c r="A184" t="s">
        <v>1065</v>
      </c>
      <c r="K184" s="1" t="str">
        <f t="shared" si="4"/>
        <v>2000-09-01</v>
      </c>
      <c r="L184">
        <v>3672.820068</v>
      </c>
      <c r="M184" s="2">
        <f t="shared" si="5"/>
        <v>-0.12683918779220926</v>
      </c>
    </row>
    <row r="185" spans="1:13" x14ac:dyDescent="0.25">
      <c r="A185" t="s">
        <v>1066</v>
      </c>
      <c r="K185" s="1" t="str">
        <f t="shared" si="4"/>
        <v>2000-10-01</v>
      </c>
      <c r="L185">
        <v>3369.6298830000001</v>
      </c>
      <c r="M185" s="2">
        <f t="shared" si="5"/>
        <v>-8.2549697340632111E-2</v>
      </c>
    </row>
    <row r="186" spans="1:13" x14ac:dyDescent="0.25">
      <c r="A186" t="s">
        <v>1067</v>
      </c>
      <c r="K186" s="1" t="str">
        <f t="shared" si="4"/>
        <v>2000-11-01</v>
      </c>
      <c r="L186">
        <v>2597.929932</v>
      </c>
      <c r="M186" s="2">
        <f t="shared" si="5"/>
        <v>-0.22901623554957062</v>
      </c>
    </row>
    <row r="187" spans="1:13" x14ac:dyDescent="0.25">
      <c r="A187" t="s">
        <v>1068</v>
      </c>
      <c r="K187" s="1" t="str">
        <f t="shared" si="4"/>
        <v>2000-12-01</v>
      </c>
      <c r="L187">
        <v>2470.5200199999999</v>
      </c>
      <c r="M187" s="2">
        <f t="shared" si="5"/>
        <v>-4.9042859251371085E-2</v>
      </c>
    </row>
    <row r="188" spans="1:13" x14ac:dyDescent="0.25">
      <c r="A188" t="s">
        <v>1069</v>
      </c>
      <c r="K188" s="1" t="str">
        <f t="shared" si="4"/>
        <v>2001-01-01</v>
      </c>
      <c r="L188">
        <v>2772.7299800000001</v>
      </c>
      <c r="M188" s="2">
        <f t="shared" si="5"/>
        <v>0.12232645659758723</v>
      </c>
    </row>
    <row r="189" spans="1:13" x14ac:dyDescent="0.25">
      <c r="A189" t="s">
        <v>1070</v>
      </c>
      <c r="K189" s="1" t="str">
        <f t="shared" si="4"/>
        <v>2001-02-01</v>
      </c>
      <c r="L189">
        <v>2151.830078</v>
      </c>
      <c r="M189" s="2">
        <f t="shared" si="5"/>
        <v>-0.2239308935520653</v>
      </c>
    </row>
    <row r="190" spans="1:13" x14ac:dyDescent="0.25">
      <c r="A190" t="s">
        <v>1071</v>
      </c>
      <c r="K190" s="1" t="str">
        <f t="shared" si="4"/>
        <v>2001-03-01</v>
      </c>
      <c r="L190">
        <v>1840.26001</v>
      </c>
      <c r="M190" s="2">
        <f t="shared" si="5"/>
        <v>-0.14479306297715944</v>
      </c>
    </row>
    <row r="191" spans="1:13" x14ac:dyDescent="0.25">
      <c r="A191" t="s">
        <v>1072</v>
      </c>
      <c r="K191" s="1" t="str">
        <f t="shared" si="4"/>
        <v>2001-04-01</v>
      </c>
      <c r="L191">
        <v>2116.23999</v>
      </c>
      <c r="M191" s="2">
        <f t="shared" si="5"/>
        <v>0.14996792762996569</v>
      </c>
    </row>
    <row r="192" spans="1:13" x14ac:dyDescent="0.25">
      <c r="A192" t="s">
        <v>1073</v>
      </c>
      <c r="K192" s="1" t="str">
        <f t="shared" si="4"/>
        <v>2001-05-01</v>
      </c>
      <c r="L192">
        <v>2110.48999</v>
      </c>
      <c r="M192" s="2">
        <f t="shared" si="5"/>
        <v>-2.7170831414068397E-3</v>
      </c>
    </row>
    <row r="193" spans="1:13" x14ac:dyDescent="0.25">
      <c r="A193" t="s">
        <v>1074</v>
      </c>
      <c r="K193" s="1" t="str">
        <f t="shared" si="4"/>
        <v>2001-06-01</v>
      </c>
      <c r="L193">
        <v>2160.540039</v>
      </c>
      <c r="M193" s="2">
        <f t="shared" si="5"/>
        <v>2.3714895231509603E-2</v>
      </c>
    </row>
    <row r="194" spans="1:13" x14ac:dyDescent="0.25">
      <c r="A194" t="s">
        <v>1075</v>
      </c>
      <c r="K194" s="1" t="str">
        <f t="shared" si="4"/>
        <v>2001-07-01</v>
      </c>
      <c r="L194">
        <v>2027.130005</v>
      </c>
      <c r="M194" s="2">
        <f t="shared" si="5"/>
        <v>-6.1748466398127255E-2</v>
      </c>
    </row>
    <row r="195" spans="1:13" x14ac:dyDescent="0.25">
      <c r="A195" t="s">
        <v>1076</v>
      </c>
      <c r="K195" s="1" t="str">
        <f t="shared" ref="K195:K258" si="6">LEFT(A195,10)</f>
        <v>2001-08-01</v>
      </c>
      <c r="L195">
        <v>1805.4300539999999</v>
      </c>
      <c r="M195" s="2">
        <f t="shared" si="5"/>
        <v>-0.10936641974277328</v>
      </c>
    </row>
    <row r="196" spans="1:13" x14ac:dyDescent="0.25">
      <c r="A196" t="s">
        <v>1077</v>
      </c>
      <c r="K196" s="1" t="str">
        <f t="shared" si="6"/>
        <v>2001-09-01</v>
      </c>
      <c r="L196">
        <v>1498.8000489999999</v>
      </c>
      <c r="M196" s="2">
        <f t="shared" ref="M196:M259" si="7">(L196/L195)-1</f>
        <v>-0.16983765409280149</v>
      </c>
    </row>
    <row r="197" spans="1:13" x14ac:dyDescent="0.25">
      <c r="A197" t="s">
        <v>1078</v>
      </c>
      <c r="K197" s="1" t="str">
        <f t="shared" si="6"/>
        <v>2001-10-01</v>
      </c>
      <c r="L197">
        <v>1690.1999510000001</v>
      </c>
      <c r="M197" s="2">
        <f t="shared" si="7"/>
        <v>0.12770209216880013</v>
      </c>
    </row>
    <row r="198" spans="1:13" x14ac:dyDescent="0.25">
      <c r="A198" t="s">
        <v>1079</v>
      </c>
      <c r="K198" s="1" t="str">
        <f t="shared" si="6"/>
        <v>2001-11-01</v>
      </c>
      <c r="L198">
        <v>1930.579956</v>
      </c>
      <c r="M198" s="2">
        <f t="shared" si="7"/>
        <v>0.14221986271966225</v>
      </c>
    </row>
    <row r="199" spans="1:13" x14ac:dyDescent="0.25">
      <c r="A199" t="s">
        <v>1080</v>
      </c>
      <c r="K199" s="1" t="str">
        <f t="shared" si="6"/>
        <v>2001-12-01</v>
      </c>
      <c r="L199">
        <v>1950.400024</v>
      </c>
      <c r="M199" s="2">
        <f t="shared" si="7"/>
        <v>1.0266380285572696E-2</v>
      </c>
    </row>
    <row r="200" spans="1:13" x14ac:dyDescent="0.25">
      <c r="A200" t="s">
        <v>1081</v>
      </c>
      <c r="K200" s="1" t="str">
        <f t="shared" si="6"/>
        <v>2002-01-01</v>
      </c>
      <c r="L200">
        <v>1934.030029</v>
      </c>
      <c r="M200" s="2">
        <f t="shared" si="7"/>
        <v>-8.3931474561959041E-3</v>
      </c>
    </row>
    <row r="201" spans="1:13" x14ac:dyDescent="0.25">
      <c r="A201" t="s">
        <v>1082</v>
      </c>
      <c r="K201" s="1" t="str">
        <f t="shared" si="6"/>
        <v>2002-02-01</v>
      </c>
      <c r="L201">
        <v>1731.48999</v>
      </c>
      <c r="M201" s="2">
        <f t="shared" si="7"/>
        <v>-0.10472435068897268</v>
      </c>
    </row>
    <row r="202" spans="1:13" x14ac:dyDescent="0.25">
      <c r="A202" t="s">
        <v>1083</v>
      </c>
      <c r="K202" s="1" t="str">
        <f t="shared" si="6"/>
        <v>2002-03-01</v>
      </c>
      <c r="L202">
        <v>1845.349976</v>
      </c>
      <c r="M202" s="2">
        <f t="shared" si="7"/>
        <v>6.5758385354569571E-2</v>
      </c>
    </row>
    <row r="203" spans="1:13" x14ac:dyDescent="0.25">
      <c r="A203" t="s">
        <v>1084</v>
      </c>
      <c r="K203" s="1" t="str">
        <f t="shared" si="6"/>
        <v>2002-04-01</v>
      </c>
      <c r="L203">
        <v>1688.2299800000001</v>
      </c>
      <c r="M203" s="2">
        <f t="shared" si="7"/>
        <v>-8.5143738609721575E-2</v>
      </c>
    </row>
    <row r="204" spans="1:13" x14ac:dyDescent="0.25">
      <c r="A204" t="s">
        <v>1085</v>
      </c>
      <c r="K204" s="1" t="str">
        <f t="shared" si="6"/>
        <v>2002-05-01</v>
      </c>
      <c r="L204">
        <v>1615.7299800000001</v>
      </c>
      <c r="M204" s="2">
        <f t="shared" si="7"/>
        <v>-4.2944386048635375E-2</v>
      </c>
    </row>
    <row r="205" spans="1:13" x14ac:dyDescent="0.25">
      <c r="A205" t="s">
        <v>1086</v>
      </c>
      <c r="K205" s="1" t="str">
        <f t="shared" si="6"/>
        <v>2002-06-01</v>
      </c>
      <c r="L205">
        <v>1463.209961</v>
      </c>
      <c r="M205" s="2">
        <f t="shared" si="7"/>
        <v>-9.4396972815965263E-2</v>
      </c>
    </row>
    <row r="206" spans="1:13" x14ac:dyDescent="0.25">
      <c r="A206" t="s">
        <v>1087</v>
      </c>
      <c r="K206" s="1" t="str">
        <f t="shared" si="6"/>
        <v>2002-07-01</v>
      </c>
      <c r="L206">
        <v>1328.26001</v>
      </c>
      <c r="M206" s="2">
        <f t="shared" si="7"/>
        <v>-9.2228698954298638E-2</v>
      </c>
    </row>
    <row r="207" spans="1:13" x14ac:dyDescent="0.25">
      <c r="A207" t="s">
        <v>1088</v>
      </c>
      <c r="K207" s="1" t="str">
        <f t="shared" si="6"/>
        <v>2002-08-01</v>
      </c>
      <c r="L207">
        <v>1314.849976</v>
      </c>
      <c r="M207" s="2">
        <f t="shared" si="7"/>
        <v>-1.0095940477798493E-2</v>
      </c>
    </row>
    <row r="208" spans="1:13" x14ac:dyDescent="0.25">
      <c r="A208" t="s">
        <v>1089</v>
      </c>
      <c r="K208" s="1" t="str">
        <f t="shared" si="6"/>
        <v>2002-09-01</v>
      </c>
      <c r="L208">
        <v>1172.0600589999999</v>
      </c>
      <c r="M208" s="2">
        <f t="shared" si="7"/>
        <v>-0.10859787778556418</v>
      </c>
    </row>
    <row r="209" spans="1:13" x14ac:dyDescent="0.25">
      <c r="A209" t="s">
        <v>1090</v>
      </c>
      <c r="K209" s="1" t="str">
        <f t="shared" si="6"/>
        <v>2002-10-01</v>
      </c>
      <c r="L209">
        <v>1329.75</v>
      </c>
      <c r="M209" s="2">
        <f t="shared" si="7"/>
        <v>0.13454083669956374</v>
      </c>
    </row>
    <row r="210" spans="1:13" x14ac:dyDescent="0.25">
      <c r="A210" t="s">
        <v>1091</v>
      </c>
      <c r="K210" s="1" t="str">
        <f t="shared" si="6"/>
        <v>2002-11-01</v>
      </c>
      <c r="L210">
        <v>1478.780029</v>
      </c>
      <c r="M210" s="2">
        <f t="shared" si="7"/>
        <v>0.11207371987215642</v>
      </c>
    </row>
    <row r="211" spans="1:13" x14ac:dyDescent="0.25">
      <c r="A211" t="s">
        <v>1092</v>
      </c>
      <c r="K211" s="1" t="str">
        <f t="shared" si="6"/>
        <v>2002-12-01</v>
      </c>
      <c r="L211">
        <v>1335.51001</v>
      </c>
      <c r="M211" s="2">
        <f t="shared" si="7"/>
        <v>-9.6883928772613981E-2</v>
      </c>
    </row>
    <row r="212" spans="1:13" x14ac:dyDescent="0.25">
      <c r="A212" t="s">
        <v>1093</v>
      </c>
      <c r="K212" s="1" t="str">
        <f t="shared" si="6"/>
        <v>2003-01-01</v>
      </c>
      <c r="L212">
        <v>1320.910034</v>
      </c>
      <c r="M212" s="2">
        <f t="shared" si="7"/>
        <v>-1.0932135207283089E-2</v>
      </c>
    </row>
    <row r="213" spans="1:13" x14ac:dyDescent="0.25">
      <c r="A213" t="s">
        <v>1094</v>
      </c>
      <c r="K213" s="1" t="str">
        <f t="shared" si="6"/>
        <v>2003-02-01</v>
      </c>
      <c r="L213">
        <v>1337.5200199999999</v>
      </c>
      <c r="M213" s="2">
        <f t="shared" si="7"/>
        <v>1.2574653513457879E-2</v>
      </c>
    </row>
    <row r="214" spans="1:13" x14ac:dyDescent="0.25">
      <c r="A214" t="s">
        <v>1095</v>
      </c>
      <c r="K214" s="1" t="str">
        <f t="shared" si="6"/>
        <v>2003-03-01</v>
      </c>
      <c r="L214">
        <v>1341.170044</v>
      </c>
      <c r="M214" s="2">
        <f t="shared" si="7"/>
        <v>2.7289490590205467E-3</v>
      </c>
    </row>
    <row r="215" spans="1:13" x14ac:dyDescent="0.25">
      <c r="A215" t="s">
        <v>1096</v>
      </c>
      <c r="K215" s="1" t="str">
        <f t="shared" si="6"/>
        <v>2003-04-01</v>
      </c>
      <c r="L215">
        <v>1464.3100589999999</v>
      </c>
      <c r="M215" s="2">
        <f t="shared" si="7"/>
        <v>9.1815363421582585E-2</v>
      </c>
    </row>
    <row r="216" spans="1:13" x14ac:dyDescent="0.25">
      <c r="A216" t="s">
        <v>1097</v>
      </c>
      <c r="K216" s="1" t="str">
        <f t="shared" si="6"/>
        <v>2003-05-01</v>
      </c>
      <c r="L216">
        <v>1595.910034</v>
      </c>
      <c r="M216" s="2">
        <f t="shared" si="7"/>
        <v>8.987165948301401E-2</v>
      </c>
    </row>
    <row r="217" spans="1:13" x14ac:dyDescent="0.25">
      <c r="A217" t="s">
        <v>1098</v>
      </c>
      <c r="K217" s="1" t="str">
        <f t="shared" si="6"/>
        <v>2003-06-01</v>
      </c>
      <c r="L217">
        <v>1622.8000489999999</v>
      </c>
      <c r="M217" s="2">
        <f t="shared" si="7"/>
        <v>1.6849330117063355E-2</v>
      </c>
    </row>
    <row r="218" spans="1:13" x14ac:dyDescent="0.25">
      <c r="A218" t="s">
        <v>1099</v>
      </c>
      <c r="K218" s="1" t="str">
        <f t="shared" si="6"/>
        <v>2003-07-01</v>
      </c>
      <c r="L218">
        <v>1735.0200199999999</v>
      </c>
      <c r="M218" s="2">
        <f t="shared" si="7"/>
        <v>6.9152062861442598E-2</v>
      </c>
    </row>
    <row r="219" spans="1:13" x14ac:dyDescent="0.25">
      <c r="A219" t="s">
        <v>1100</v>
      </c>
      <c r="K219" s="1" t="str">
        <f t="shared" si="6"/>
        <v>2003-08-01</v>
      </c>
      <c r="L219">
        <v>1810.4499510000001</v>
      </c>
      <c r="M219" s="2">
        <f t="shared" si="7"/>
        <v>4.3474962899851866E-2</v>
      </c>
    </row>
    <row r="220" spans="1:13" x14ac:dyDescent="0.25">
      <c r="A220" t="s">
        <v>1101</v>
      </c>
      <c r="K220" s="1" t="str">
        <f t="shared" si="6"/>
        <v>2003-09-01</v>
      </c>
      <c r="L220">
        <v>1786.9399410000001</v>
      </c>
      <c r="M220" s="2">
        <f t="shared" si="7"/>
        <v>-1.298572765682604E-2</v>
      </c>
    </row>
    <row r="221" spans="1:13" x14ac:dyDescent="0.25">
      <c r="A221" t="s">
        <v>1102</v>
      </c>
      <c r="K221" s="1" t="str">
        <f t="shared" si="6"/>
        <v>2003-10-01</v>
      </c>
      <c r="L221">
        <v>1932.209961</v>
      </c>
      <c r="M221" s="2">
        <f t="shared" si="7"/>
        <v>8.1295412714712967E-2</v>
      </c>
    </row>
    <row r="222" spans="1:13" x14ac:dyDescent="0.25">
      <c r="A222" t="s">
        <v>1103</v>
      </c>
      <c r="K222" s="1" t="str">
        <f t="shared" si="6"/>
        <v>2003-11-01</v>
      </c>
      <c r="L222">
        <v>1960.26001</v>
      </c>
      <c r="M222" s="2">
        <f t="shared" si="7"/>
        <v>1.4517081252123809E-2</v>
      </c>
    </row>
    <row r="223" spans="1:13" x14ac:dyDescent="0.25">
      <c r="A223" t="s">
        <v>1104</v>
      </c>
      <c r="K223" s="1" t="str">
        <f t="shared" si="6"/>
        <v>2003-12-01</v>
      </c>
      <c r="L223">
        <v>2003.369995</v>
      </c>
      <c r="M223" s="2">
        <f t="shared" si="7"/>
        <v>2.1991972891392209E-2</v>
      </c>
    </row>
    <row r="224" spans="1:13" x14ac:dyDescent="0.25">
      <c r="A224" t="s">
        <v>1105</v>
      </c>
      <c r="K224" s="1" t="str">
        <f t="shared" si="6"/>
        <v>2004-01-01</v>
      </c>
      <c r="L224">
        <v>2066.1499020000001</v>
      </c>
      <c r="M224" s="2">
        <f t="shared" si="7"/>
        <v>3.1337150479784581E-2</v>
      </c>
    </row>
    <row r="225" spans="1:13" x14ac:dyDescent="0.25">
      <c r="A225" t="s">
        <v>1106</v>
      </c>
      <c r="K225" s="1" t="str">
        <f t="shared" si="6"/>
        <v>2004-02-01</v>
      </c>
      <c r="L225">
        <v>2029.8199460000001</v>
      </c>
      <c r="M225" s="2">
        <f t="shared" si="7"/>
        <v>-1.7583407653449123E-2</v>
      </c>
    </row>
    <row r="226" spans="1:13" x14ac:dyDescent="0.25">
      <c r="A226" t="s">
        <v>1107</v>
      </c>
      <c r="K226" s="1" t="str">
        <f t="shared" si="6"/>
        <v>2004-03-01</v>
      </c>
      <c r="L226">
        <v>1994.219971</v>
      </c>
      <c r="M226" s="2">
        <f t="shared" si="7"/>
        <v>-1.753848910104272E-2</v>
      </c>
    </row>
    <row r="227" spans="1:13" x14ac:dyDescent="0.25">
      <c r="A227" t="s">
        <v>1108</v>
      </c>
      <c r="K227" s="1" t="str">
        <f t="shared" si="6"/>
        <v>2004-04-01</v>
      </c>
      <c r="L227">
        <v>1920.150024</v>
      </c>
      <c r="M227" s="2">
        <f t="shared" si="7"/>
        <v>-3.7142315329866893E-2</v>
      </c>
    </row>
    <row r="228" spans="1:13" x14ac:dyDescent="0.25">
      <c r="A228" t="s">
        <v>1109</v>
      </c>
      <c r="K228" s="1" t="str">
        <f t="shared" si="6"/>
        <v>2004-05-01</v>
      </c>
      <c r="L228">
        <v>1986.73999</v>
      </c>
      <c r="M228" s="2">
        <f t="shared" si="7"/>
        <v>3.4679564183886846E-2</v>
      </c>
    </row>
    <row r="229" spans="1:13" x14ac:dyDescent="0.25">
      <c r="A229" t="s">
        <v>1110</v>
      </c>
      <c r="K229" s="1" t="str">
        <f t="shared" si="6"/>
        <v>2004-06-01</v>
      </c>
      <c r="L229">
        <v>2047.790039</v>
      </c>
      <c r="M229" s="2">
        <f t="shared" si="7"/>
        <v>3.0728756307965455E-2</v>
      </c>
    </row>
    <row r="230" spans="1:13" x14ac:dyDescent="0.25">
      <c r="A230" t="s">
        <v>1111</v>
      </c>
      <c r="K230" s="1" t="str">
        <f t="shared" si="6"/>
        <v>2004-07-01</v>
      </c>
      <c r="L230">
        <v>1887.3599850000001</v>
      </c>
      <c r="M230" s="2">
        <f t="shared" si="7"/>
        <v>-7.8343019032528827E-2</v>
      </c>
    </row>
    <row r="231" spans="1:13" x14ac:dyDescent="0.25">
      <c r="A231" t="s">
        <v>1112</v>
      </c>
      <c r="K231" s="1" t="str">
        <f t="shared" si="6"/>
        <v>2004-08-01</v>
      </c>
      <c r="L231">
        <v>1838.099976</v>
      </c>
      <c r="M231" s="2">
        <f t="shared" si="7"/>
        <v>-2.6099954111297952E-2</v>
      </c>
    </row>
    <row r="232" spans="1:13" x14ac:dyDescent="0.25">
      <c r="A232" t="s">
        <v>1113</v>
      </c>
      <c r="K232" s="1" t="str">
        <f t="shared" si="6"/>
        <v>2004-09-01</v>
      </c>
      <c r="L232">
        <v>1896.839966</v>
      </c>
      <c r="M232" s="2">
        <f t="shared" si="7"/>
        <v>3.1956907005584956E-2</v>
      </c>
    </row>
    <row r="233" spans="1:13" x14ac:dyDescent="0.25">
      <c r="A233" t="s">
        <v>1114</v>
      </c>
      <c r="K233" s="1" t="str">
        <f t="shared" si="6"/>
        <v>2004-10-01</v>
      </c>
      <c r="L233">
        <v>1974.98999</v>
      </c>
      <c r="M233" s="2">
        <f t="shared" si="7"/>
        <v>4.1200114612093719E-2</v>
      </c>
    </row>
    <row r="234" spans="1:13" x14ac:dyDescent="0.25">
      <c r="A234" t="s">
        <v>1115</v>
      </c>
      <c r="K234" s="1" t="str">
        <f t="shared" si="6"/>
        <v>2004-11-01</v>
      </c>
      <c r="L234">
        <v>2096.8100589999999</v>
      </c>
      <c r="M234" s="2">
        <f t="shared" si="7"/>
        <v>6.1681360217932024E-2</v>
      </c>
    </row>
    <row r="235" spans="1:13" x14ac:dyDescent="0.25">
      <c r="A235" t="s">
        <v>1116</v>
      </c>
      <c r="K235" s="1" t="str">
        <f t="shared" si="6"/>
        <v>2004-12-01</v>
      </c>
      <c r="L235">
        <v>2175.4399410000001</v>
      </c>
      <c r="M235" s="2">
        <f t="shared" si="7"/>
        <v>3.7499763825770582E-2</v>
      </c>
    </row>
    <row r="236" spans="1:13" x14ac:dyDescent="0.25">
      <c r="A236" t="s">
        <v>1117</v>
      </c>
      <c r="K236" s="1" t="str">
        <f t="shared" si="6"/>
        <v>2005-01-01</v>
      </c>
      <c r="L236">
        <v>2062.4099120000001</v>
      </c>
      <c r="M236" s="2">
        <f t="shared" si="7"/>
        <v>-5.1957319928603862E-2</v>
      </c>
    </row>
    <row r="237" spans="1:13" x14ac:dyDescent="0.25">
      <c r="A237" t="s">
        <v>1118</v>
      </c>
      <c r="K237" s="1" t="str">
        <f t="shared" si="6"/>
        <v>2005-02-01</v>
      </c>
      <c r="L237">
        <v>2051.719971</v>
      </c>
      <c r="M237" s="2">
        <f t="shared" si="7"/>
        <v>-5.1832280953467702E-3</v>
      </c>
    </row>
    <row r="238" spans="1:13" x14ac:dyDescent="0.25">
      <c r="A238" t="s">
        <v>1119</v>
      </c>
      <c r="K238" s="1" t="str">
        <f t="shared" si="6"/>
        <v>2005-03-01</v>
      </c>
      <c r="L238">
        <v>1999.2299800000001</v>
      </c>
      <c r="M238" s="2">
        <f t="shared" si="7"/>
        <v>-2.5583408916381778E-2</v>
      </c>
    </row>
    <row r="239" spans="1:13" x14ac:dyDescent="0.25">
      <c r="A239" t="s">
        <v>1120</v>
      </c>
      <c r="K239" s="1" t="str">
        <f t="shared" si="6"/>
        <v>2005-04-01</v>
      </c>
      <c r="L239">
        <v>1921.650024</v>
      </c>
      <c r="M239" s="2">
        <f t="shared" si="7"/>
        <v>-3.8804918281587608E-2</v>
      </c>
    </row>
    <row r="240" spans="1:13" x14ac:dyDescent="0.25">
      <c r="A240" t="s">
        <v>1121</v>
      </c>
      <c r="K240" s="1" t="str">
        <f t="shared" si="6"/>
        <v>2005-05-01</v>
      </c>
      <c r="L240">
        <v>2068.219971</v>
      </c>
      <c r="M240" s="2">
        <f t="shared" si="7"/>
        <v>7.6272966028906763E-2</v>
      </c>
    </row>
    <row r="241" spans="1:13" x14ac:dyDescent="0.25">
      <c r="A241" t="s">
        <v>1122</v>
      </c>
      <c r="K241" s="1" t="str">
        <f t="shared" si="6"/>
        <v>2005-06-01</v>
      </c>
      <c r="L241">
        <v>2056.959961</v>
      </c>
      <c r="M241" s="2">
        <f t="shared" si="7"/>
        <v>-5.4443000057463609E-3</v>
      </c>
    </row>
    <row r="242" spans="1:13" x14ac:dyDescent="0.25">
      <c r="A242" t="s">
        <v>1123</v>
      </c>
      <c r="K242" s="1" t="str">
        <f t="shared" si="6"/>
        <v>2005-07-01</v>
      </c>
      <c r="L242">
        <v>2184.830078</v>
      </c>
      <c r="M242" s="2">
        <f t="shared" si="7"/>
        <v>6.2164611574566209E-2</v>
      </c>
    </row>
    <row r="243" spans="1:13" x14ac:dyDescent="0.25">
      <c r="A243" t="s">
        <v>1124</v>
      </c>
      <c r="K243" s="1" t="str">
        <f t="shared" si="6"/>
        <v>2005-08-01</v>
      </c>
      <c r="L243">
        <v>2152.0900879999999</v>
      </c>
      <c r="M243" s="2">
        <f t="shared" si="7"/>
        <v>-1.4985142473857849E-2</v>
      </c>
    </row>
    <row r="244" spans="1:13" x14ac:dyDescent="0.25">
      <c r="A244" t="s">
        <v>1125</v>
      </c>
      <c r="K244" s="1" t="str">
        <f t="shared" si="6"/>
        <v>2005-09-01</v>
      </c>
      <c r="L244">
        <v>2151.6899410000001</v>
      </c>
      <c r="M244" s="2">
        <f t="shared" si="7"/>
        <v>-1.8593413083911603E-4</v>
      </c>
    </row>
    <row r="245" spans="1:13" x14ac:dyDescent="0.25">
      <c r="A245" t="s">
        <v>1126</v>
      </c>
      <c r="K245" s="1" t="str">
        <f t="shared" si="6"/>
        <v>2005-10-01</v>
      </c>
      <c r="L245">
        <v>2120.3000489999999</v>
      </c>
      <c r="M245" s="2">
        <f t="shared" si="7"/>
        <v>-1.4588482941650827E-2</v>
      </c>
    </row>
    <row r="246" spans="1:13" x14ac:dyDescent="0.25">
      <c r="A246" t="s">
        <v>1127</v>
      </c>
      <c r="K246" s="1" t="str">
        <f t="shared" si="6"/>
        <v>2005-11-01</v>
      </c>
      <c r="L246">
        <v>2232.820068</v>
      </c>
      <c r="M246" s="2">
        <f t="shared" si="7"/>
        <v>5.3067969815436378E-2</v>
      </c>
    </row>
    <row r="247" spans="1:13" x14ac:dyDescent="0.25">
      <c r="A247" t="s">
        <v>1128</v>
      </c>
      <c r="K247" s="1" t="str">
        <f t="shared" si="6"/>
        <v>2005-12-01</v>
      </c>
      <c r="L247">
        <v>2205.320068</v>
      </c>
      <c r="M247" s="2">
        <f t="shared" si="7"/>
        <v>-1.2316263363143509E-2</v>
      </c>
    </row>
    <row r="248" spans="1:13" x14ac:dyDescent="0.25">
      <c r="A248" t="s">
        <v>1129</v>
      </c>
      <c r="K248" s="1" t="str">
        <f t="shared" si="6"/>
        <v>2006-01-01</v>
      </c>
      <c r="L248">
        <v>2305.820068</v>
      </c>
      <c r="M248" s="2">
        <f t="shared" si="7"/>
        <v>4.5571616319232566E-2</v>
      </c>
    </row>
    <row r="249" spans="1:13" x14ac:dyDescent="0.25">
      <c r="A249" t="s">
        <v>1130</v>
      </c>
      <c r="K249" s="1" t="str">
        <f t="shared" si="6"/>
        <v>2006-02-01</v>
      </c>
      <c r="L249">
        <v>2281.389893</v>
      </c>
      <c r="M249" s="2">
        <f t="shared" si="7"/>
        <v>-1.0595004935137875E-2</v>
      </c>
    </row>
    <row r="250" spans="1:13" x14ac:dyDescent="0.25">
      <c r="A250" t="s">
        <v>1131</v>
      </c>
      <c r="K250" s="1" t="str">
        <f t="shared" si="6"/>
        <v>2006-03-01</v>
      </c>
      <c r="L250">
        <v>2339.790039</v>
      </c>
      <c r="M250" s="2">
        <f t="shared" si="7"/>
        <v>2.5598494224590596E-2</v>
      </c>
    </row>
    <row r="251" spans="1:13" x14ac:dyDescent="0.25">
      <c r="A251" t="s">
        <v>1132</v>
      </c>
      <c r="K251" s="1" t="str">
        <f t="shared" si="6"/>
        <v>2006-04-01</v>
      </c>
      <c r="L251">
        <v>2322.570068</v>
      </c>
      <c r="M251" s="2">
        <f t="shared" si="7"/>
        <v>-7.3596223220778745E-3</v>
      </c>
    </row>
    <row r="252" spans="1:13" x14ac:dyDescent="0.25">
      <c r="A252" t="s">
        <v>1133</v>
      </c>
      <c r="K252" s="1" t="str">
        <f t="shared" si="6"/>
        <v>2006-05-01</v>
      </c>
      <c r="L252">
        <v>2178.8798830000001</v>
      </c>
      <c r="M252" s="2">
        <f t="shared" si="7"/>
        <v>-6.186688917580585E-2</v>
      </c>
    </row>
    <row r="253" spans="1:13" x14ac:dyDescent="0.25">
      <c r="A253" t="s">
        <v>1134</v>
      </c>
      <c r="K253" s="1" t="str">
        <f t="shared" si="6"/>
        <v>2006-06-01</v>
      </c>
      <c r="L253">
        <v>2172.0900879999999</v>
      </c>
      <c r="M253" s="2">
        <f t="shared" si="7"/>
        <v>-3.1161860059268909E-3</v>
      </c>
    </row>
    <row r="254" spans="1:13" x14ac:dyDescent="0.25">
      <c r="A254" t="s">
        <v>1135</v>
      </c>
      <c r="K254" s="1" t="str">
        <f t="shared" si="6"/>
        <v>2006-07-01</v>
      </c>
      <c r="L254">
        <v>2091.469971</v>
      </c>
      <c r="M254" s="2">
        <f t="shared" si="7"/>
        <v>-3.711637811221391E-2</v>
      </c>
    </row>
    <row r="255" spans="1:13" x14ac:dyDescent="0.25">
      <c r="A255" t="s">
        <v>1136</v>
      </c>
      <c r="K255" s="1" t="str">
        <f t="shared" si="6"/>
        <v>2006-08-01</v>
      </c>
      <c r="L255">
        <v>2183.75</v>
      </c>
      <c r="M255" s="2">
        <f t="shared" si="7"/>
        <v>4.4122091294420018E-2</v>
      </c>
    </row>
    <row r="256" spans="1:13" x14ac:dyDescent="0.25">
      <c r="A256" t="s">
        <v>1137</v>
      </c>
      <c r="K256" s="1" t="str">
        <f t="shared" si="6"/>
        <v>2006-09-01</v>
      </c>
      <c r="L256">
        <v>2258.429932</v>
      </c>
      <c r="M256" s="2">
        <f t="shared" si="7"/>
        <v>3.4198022667429884E-2</v>
      </c>
    </row>
    <row r="257" spans="1:13" x14ac:dyDescent="0.25">
      <c r="A257" t="s">
        <v>1138</v>
      </c>
      <c r="K257" s="1" t="str">
        <f t="shared" si="6"/>
        <v>2006-10-01</v>
      </c>
      <c r="L257">
        <v>2366.709961</v>
      </c>
      <c r="M257" s="2">
        <f t="shared" si="7"/>
        <v>4.7944825502782118E-2</v>
      </c>
    </row>
    <row r="258" spans="1:13" x14ac:dyDescent="0.25">
      <c r="A258" t="s">
        <v>1139</v>
      </c>
      <c r="K258" s="1" t="str">
        <f t="shared" si="6"/>
        <v>2006-11-01</v>
      </c>
      <c r="L258">
        <v>2431.7700199999999</v>
      </c>
      <c r="M258" s="2">
        <f t="shared" si="7"/>
        <v>2.7489662895790579E-2</v>
      </c>
    </row>
    <row r="259" spans="1:13" x14ac:dyDescent="0.25">
      <c r="A259" t="s">
        <v>1140</v>
      </c>
      <c r="K259" s="1" t="str">
        <f t="shared" ref="K259:K322" si="8">LEFT(A259,10)</f>
        <v>2006-12-01</v>
      </c>
      <c r="L259">
        <v>2415.290039</v>
      </c>
      <c r="M259" s="2">
        <f t="shared" si="7"/>
        <v>-6.7769488333440098E-3</v>
      </c>
    </row>
    <row r="260" spans="1:13" x14ac:dyDescent="0.25">
      <c r="A260" t="s">
        <v>1141</v>
      </c>
      <c r="K260" s="1" t="str">
        <f t="shared" si="8"/>
        <v>2007-01-01</v>
      </c>
      <c r="L260">
        <v>2463.929932</v>
      </c>
      <c r="M260" s="2">
        <f t="shared" ref="M260:M323" si="9">(L260/L259)-1</f>
        <v>2.0138323851216722E-2</v>
      </c>
    </row>
    <row r="261" spans="1:13" x14ac:dyDescent="0.25">
      <c r="A261" t="s">
        <v>1142</v>
      </c>
      <c r="K261" s="1" t="str">
        <f t="shared" si="8"/>
        <v>2007-02-01</v>
      </c>
      <c r="L261">
        <v>2416.1499020000001</v>
      </c>
      <c r="M261" s="2">
        <f t="shared" si="9"/>
        <v>-1.9391797380056253E-2</v>
      </c>
    </row>
    <row r="262" spans="1:13" x14ac:dyDescent="0.25">
      <c r="A262" t="s">
        <v>1143</v>
      </c>
      <c r="K262" s="1" t="str">
        <f t="shared" si="8"/>
        <v>2007-03-01</v>
      </c>
      <c r="L262">
        <v>2421.639893</v>
      </c>
      <c r="M262" s="2">
        <f t="shared" si="9"/>
        <v>2.2722062879689808E-3</v>
      </c>
    </row>
    <row r="263" spans="1:13" x14ac:dyDescent="0.25">
      <c r="A263" t="s">
        <v>1144</v>
      </c>
      <c r="K263" s="1" t="str">
        <f t="shared" si="8"/>
        <v>2007-04-01</v>
      </c>
      <c r="L263">
        <v>2525.0900879999999</v>
      </c>
      <c r="M263" s="2">
        <f t="shared" si="9"/>
        <v>4.271906624062205E-2</v>
      </c>
    </row>
    <row r="264" spans="1:13" x14ac:dyDescent="0.25">
      <c r="A264" t="s">
        <v>1145</v>
      </c>
      <c r="K264" s="1" t="str">
        <f t="shared" si="8"/>
        <v>2007-05-01</v>
      </c>
      <c r="L264">
        <v>2604.5200199999999</v>
      </c>
      <c r="M264" s="2">
        <f t="shared" si="9"/>
        <v>3.1456276501767411E-2</v>
      </c>
    </row>
    <row r="265" spans="1:13" x14ac:dyDescent="0.25">
      <c r="A265" t="s">
        <v>1146</v>
      </c>
      <c r="K265" s="1" t="str">
        <f t="shared" si="8"/>
        <v>2007-06-01</v>
      </c>
      <c r="L265">
        <v>2603.2299800000001</v>
      </c>
      <c r="M265" s="2">
        <f t="shared" si="9"/>
        <v>-4.9530815278575613E-4</v>
      </c>
    </row>
    <row r="266" spans="1:13" x14ac:dyDescent="0.25">
      <c r="A266" t="s">
        <v>1147</v>
      </c>
      <c r="K266" s="1" t="str">
        <f t="shared" si="8"/>
        <v>2007-07-01</v>
      </c>
      <c r="L266">
        <v>2546.2700199999999</v>
      </c>
      <c r="M266" s="2">
        <f t="shared" si="9"/>
        <v>-2.1880494784406346E-2</v>
      </c>
    </row>
    <row r="267" spans="1:13" x14ac:dyDescent="0.25">
      <c r="A267" t="s">
        <v>1148</v>
      </c>
      <c r="K267" s="1" t="str">
        <f t="shared" si="8"/>
        <v>2007-08-01</v>
      </c>
      <c r="L267">
        <v>2596.360107</v>
      </c>
      <c r="M267" s="2">
        <f t="shared" si="9"/>
        <v>1.9671946261221818E-2</v>
      </c>
    </row>
    <row r="268" spans="1:13" x14ac:dyDescent="0.25">
      <c r="A268" t="s">
        <v>1149</v>
      </c>
      <c r="K268" s="1" t="str">
        <f t="shared" si="8"/>
        <v>2007-09-01</v>
      </c>
      <c r="L268">
        <v>2701.5</v>
      </c>
      <c r="M268" s="2">
        <f t="shared" si="9"/>
        <v>4.0495111874710332E-2</v>
      </c>
    </row>
    <row r="269" spans="1:13" x14ac:dyDescent="0.25">
      <c r="A269" t="s">
        <v>1150</v>
      </c>
      <c r="K269" s="1" t="str">
        <f t="shared" si="8"/>
        <v>2007-10-01</v>
      </c>
      <c r="L269">
        <v>2859.1201169999999</v>
      </c>
      <c r="M269" s="2">
        <f t="shared" si="9"/>
        <v>5.8345406996113347E-2</v>
      </c>
    </row>
    <row r="270" spans="1:13" x14ac:dyDescent="0.25">
      <c r="A270" t="s">
        <v>1151</v>
      </c>
      <c r="K270" s="1" t="str">
        <f t="shared" si="8"/>
        <v>2007-11-01</v>
      </c>
      <c r="L270">
        <v>2660.959961</v>
      </c>
      <c r="M270" s="2">
        <f t="shared" si="9"/>
        <v>-6.9308090563164004E-2</v>
      </c>
    </row>
    <row r="271" spans="1:13" x14ac:dyDescent="0.25">
      <c r="A271" t="s">
        <v>1152</v>
      </c>
      <c r="K271" s="1" t="str">
        <f t="shared" si="8"/>
        <v>2007-12-01</v>
      </c>
      <c r="L271">
        <v>2652.280029</v>
      </c>
      <c r="M271" s="2">
        <f t="shared" si="9"/>
        <v>-3.2619551316879214E-3</v>
      </c>
    </row>
    <row r="272" spans="1:13" x14ac:dyDescent="0.25">
      <c r="A272" t="s">
        <v>1153</v>
      </c>
      <c r="K272" s="1" t="str">
        <f t="shared" si="8"/>
        <v>2008-01-01</v>
      </c>
      <c r="L272">
        <v>2389.860107</v>
      </c>
      <c r="M272" s="2">
        <f t="shared" si="9"/>
        <v>-9.8941257759627033E-2</v>
      </c>
    </row>
    <row r="273" spans="1:13" x14ac:dyDescent="0.25">
      <c r="A273" t="s">
        <v>1154</v>
      </c>
      <c r="K273" s="1" t="str">
        <f t="shared" si="8"/>
        <v>2008-02-01</v>
      </c>
      <c r="L273">
        <v>2271.4799800000001</v>
      </c>
      <c r="M273" s="2">
        <f t="shared" si="9"/>
        <v>-4.953433326631107E-2</v>
      </c>
    </row>
    <row r="274" spans="1:13" x14ac:dyDescent="0.25">
      <c r="A274" t="s">
        <v>1155</v>
      </c>
      <c r="K274" s="1" t="str">
        <f t="shared" si="8"/>
        <v>2008-03-01</v>
      </c>
      <c r="L274">
        <v>2279.1000979999999</v>
      </c>
      <c r="M274" s="2">
        <f t="shared" si="9"/>
        <v>3.3546930050423196E-3</v>
      </c>
    </row>
    <row r="275" spans="1:13" x14ac:dyDescent="0.25">
      <c r="A275" t="s">
        <v>1156</v>
      </c>
      <c r="K275" s="1" t="str">
        <f t="shared" si="8"/>
        <v>2008-04-01</v>
      </c>
      <c r="L275">
        <v>2412.8000489999999</v>
      </c>
      <c r="M275" s="2">
        <f t="shared" si="9"/>
        <v>5.8663483502689129E-2</v>
      </c>
    </row>
    <row r="276" spans="1:13" x14ac:dyDescent="0.25">
      <c r="A276" t="s">
        <v>1157</v>
      </c>
      <c r="K276" s="1" t="str">
        <f t="shared" si="8"/>
        <v>2008-05-01</v>
      </c>
      <c r="L276">
        <v>2522.6599120000001</v>
      </c>
      <c r="M276" s="2">
        <f t="shared" si="9"/>
        <v>4.5532104098527482E-2</v>
      </c>
    </row>
    <row r="277" spans="1:13" x14ac:dyDescent="0.25">
      <c r="A277" t="s">
        <v>1158</v>
      </c>
      <c r="K277" s="1" t="str">
        <f t="shared" si="8"/>
        <v>2008-06-01</v>
      </c>
      <c r="L277">
        <v>2292.9799800000001</v>
      </c>
      <c r="M277" s="2">
        <f t="shared" si="9"/>
        <v>-9.1046728458100579E-2</v>
      </c>
    </row>
    <row r="278" spans="1:13" x14ac:dyDescent="0.25">
      <c r="A278" t="s">
        <v>1159</v>
      </c>
      <c r="K278" s="1" t="str">
        <f t="shared" si="8"/>
        <v>2008-07-01</v>
      </c>
      <c r="L278">
        <v>2325.5500489999999</v>
      </c>
      <c r="M278" s="2">
        <f t="shared" si="9"/>
        <v>1.4204253540844203E-2</v>
      </c>
    </row>
    <row r="279" spans="1:13" x14ac:dyDescent="0.25">
      <c r="A279" t="s">
        <v>1160</v>
      </c>
      <c r="K279" s="1" t="str">
        <f t="shared" si="8"/>
        <v>2008-08-01</v>
      </c>
      <c r="L279">
        <v>2367.5200199999999</v>
      </c>
      <c r="M279" s="2">
        <f t="shared" si="9"/>
        <v>1.8047330788708349E-2</v>
      </c>
    </row>
    <row r="280" spans="1:13" x14ac:dyDescent="0.25">
      <c r="A280" t="s">
        <v>1161</v>
      </c>
      <c r="K280" s="1" t="str">
        <f t="shared" si="8"/>
        <v>2008-09-01</v>
      </c>
      <c r="L280">
        <v>2091.8798830000001</v>
      </c>
      <c r="M280" s="2">
        <f t="shared" si="9"/>
        <v>-0.11642568369918149</v>
      </c>
    </row>
    <row r="281" spans="1:13" x14ac:dyDescent="0.25">
      <c r="A281" t="s">
        <v>1162</v>
      </c>
      <c r="K281" s="1" t="str">
        <f t="shared" si="8"/>
        <v>2008-10-01</v>
      </c>
      <c r="L281">
        <v>1720.9499510000001</v>
      </c>
      <c r="M281" s="2">
        <f t="shared" si="9"/>
        <v>-0.17731894408202975</v>
      </c>
    </row>
    <row r="282" spans="1:13" x14ac:dyDescent="0.25">
      <c r="A282" t="s">
        <v>1163</v>
      </c>
      <c r="K282" s="1" t="str">
        <f t="shared" si="8"/>
        <v>2008-11-01</v>
      </c>
      <c r="L282">
        <v>1535.5699460000001</v>
      </c>
      <c r="M282" s="2">
        <f t="shared" si="9"/>
        <v>-0.10771957946381905</v>
      </c>
    </row>
    <row r="283" spans="1:13" x14ac:dyDescent="0.25">
      <c r="A283" t="s">
        <v>1164</v>
      </c>
      <c r="K283" s="1" t="str">
        <f t="shared" si="8"/>
        <v>2008-12-01</v>
      </c>
      <c r="L283">
        <v>1577.030029</v>
      </c>
      <c r="M283" s="2">
        <f t="shared" si="9"/>
        <v>2.6999801023717129E-2</v>
      </c>
    </row>
    <row r="284" spans="1:13" x14ac:dyDescent="0.25">
      <c r="A284" t="s">
        <v>1165</v>
      </c>
      <c r="K284" s="1" t="str">
        <f t="shared" si="8"/>
        <v>2009-01-01</v>
      </c>
      <c r="L284">
        <v>1476.420044</v>
      </c>
      <c r="M284" s="2">
        <f t="shared" si="9"/>
        <v>-6.3797126972780061E-2</v>
      </c>
    </row>
    <row r="285" spans="1:13" x14ac:dyDescent="0.25">
      <c r="A285" t="s">
        <v>1166</v>
      </c>
      <c r="K285" s="1" t="str">
        <f t="shared" si="8"/>
        <v>2009-02-01</v>
      </c>
      <c r="L285">
        <v>1377.839966</v>
      </c>
      <c r="M285" s="2">
        <f t="shared" si="9"/>
        <v>-6.6769669241905749E-2</v>
      </c>
    </row>
    <row r="286" spans="1:13" x14ac:dyDescent="0.25">
      <c r="A286" t="s">
        <v>1167</v>
      </c>
      <c r="K286" s="1" t="str">
        <f t="shared" si="8"/>
        <v>2009-03-01</v>
      </c>
      <c r="L286">
        <v>1528.589966</v>
      </c>
      <c r="M286" s="2">
        <f t="shared" si="9"/>
        <v>0.10941038416648752</v>
      </c>
    </row>
    <row r="287" spans="1:13" x14ac:dyDescent="0.25">
      <c r="A287" t="s">
        <v>1168</v>
      </c>
      <c r="K287" s="1" t="str">
        <f t="shared" si="8"/>
        <v>2009-04-01</v>
      </c>
      <c r="L287">
        <v>1717.3000489999999</v>
      </c>
      <c r="M287" s="2">
        <f t="shared" si="9"/>
        <v>0.12345369732722689</v>
      </c>
    </row>
    <row r="288" spans="1:13" x14ac:dyDescent="0.25">
      <c r="A288" t="s">
        <v>1169</v>
      </c>
      <c r="K288" s="1" t="str">
        <f t="shared" si="8"/>
        <v>2009-05-01</v>
      </c>
      <c r="L288">
        <v>1774.329956</v>
      </c>
      <c r="M288" s="2">
        <f t="shared" si="9"/>
        <v>3.3209052217292534E-2</v>
      </c>
    </row>
    <row r="289" spans="1:13" x14ac:dyDescent="0.25">
      <c r="A289" t="s">
        <v>1170</v>
      </c>
      <c r="K289" s="1" t="str">
        <f t="shared" si="8"/>
        <v>2009-06-01</v>
      </c>
      <c r="L289">
        <v>1835.040039</v>
      </c>
      <c r="M289" s="2">
        <f t="shared" si="9"/>
        <v>3.4215779762216902E-2</v>
      </c>
    </row>
    <row r="290" spans="1:13" x14ac:dyDescent="0.25">
      <c r="A290" t="s">
        <v>1171</v>
      </c>
      <c r="K290" s="1" t="str">
        <f t="shared" si="8"/>
        <v>2009-07-01</v>
      </c>
      <c r="L290">
        <v>1978.5</v>
      </c>
      <c r="M290" s="2">
        <f t="shared" si="9"/>
        <v>7.8178109442330168E-2</v>
      </c>
    </row>
    <row r="291" spans="1:13" x14ac:dyDescent="0.25">
      <c r="A291" t="s">
        <v>1172</v>
      </c>
      <c r="K291" s="1" t="str">
        <f t="shared" si="8"/>
        <v>2009-08-01</v>
      </c>
      <c r="L291">
        <v>2009.0600589999999</v>
      </c>
      <c r="M291" s="2">
        <f t="shared" si="9"/>
        <v>1.5446074804144505E-2</v>
      </c>
    </row>
    <row r="292" spans="1:13" x14ac:dyDescent="0.25">
      <c r="A292" t="s">
        <v>1173</v>
      </c>
      <c r="K292" s="1" t="str">
        <f t="shared" si="8"/>
        <v>2009-09-01</v>
      </c>
      <c r="L292">
        <v>2122.419922</v>
      </c>
      <c r="M292" s="2">
        <f t="shared" si="9"/>
        <v>5.6424327631312554E-2</v>
      </c>
    </row>
    <row r="293" spans="1:13" x14ac:dyDescent="0.25">
      <c r="A293" t="s">
        <v>1174</v>
      </c>
      <c r="K293" s="1" t="str">
        <f t="shared" si="8"/>
        <v>2009-10-01</v>
      </c>
      <c r="L293">
        <v>2045.1099850000001</v>
      </c>
      <c r="M293" s="2">
        <f t="shared" si="9"/>
        <v>-3.6425372848530979E-2</v>
      </c>
    </row>
    <row r="294" spans="1:13" x14ac:dyDescent="0.25">
      <c r="A294" t="s">
        <v>1175</v>
      </c>
      <c r="K294" s="1" t="str">
        <f t="shared" si="8"/>
        <v>2009-11-01</v>
      </c>
      <c r="L294">
        <v>2144.6000979999999</v>
      </c>
      <c r="M294" s="2">
        <f t="shared" si="9"/>
        <v>4.8647805609339789E-2</v>
      </c>
    </row>
    <row r="295" spans="1:13" x14ac:dyDescent="0.25">
      <c r="A295" t="s">
        <v>1176</v>
      </c>
      <c r="K295" s="1" t="str">
        <f t="shared" si="8"/>
        <v>2009-12-01</v>
      </c>
      <c r="L295">
        <v>2269.1499020000001</v>
      </c>
      <c r="M295" s="2">
        <f t="shared" si="9"/>
        <v>5.8076004060688247E-2</v>
      </c>
    </row>
    <row r="296" spans="1:13" x14ac:dyDescent="0.25">
      <c r="A296" t="s">
        <v>1177</v>
      </c>
      <c r="K296" s="1" t="str">
        <f t="shared" si="8"/>
        <v>2010-01-01</v>
      </c>
      <c r="L296">
        <v>2147.3500979999999</v>
      </c>
      <c r="M296" s="2">
        <f t="shared" si="9"/>
        <v>-5.3676402732427464E-2</v>
      </c>
    </row>
    <row r="297" spans="1:13" x14ac:dyDescent="0.25">
      <c r="A297" t="s">
        <v>1178</v>
      </c>
      <c r="K297" s="1" t="str">
        <f t="shared" si="8"/>
        <v>2010-02-01</v>
      </c>
      <c r="L297">
        <v>2238.26001</v>
      </c>
      <c r="M297" s="2">
        <f t="shared" si="9"/>
        <v>4.2335859478466853E-2</v>
      </c>
    </row>
    <row r="298" spans="1:13" x14ac:dyDescent="0.25">
      <c r="A298" t="s">
        <v>1179</v>
      </c>
      <c r="K298" s="1" t="str">
        <f t="shared" si="8"/>
        <v>2010-03-01</v>
      </c>
      <c r="L298">
        <v>2397.959961</v>
      </c>
      <c r="M298" s="2">
        <f t="shared" si="9"/>
        <v>7.1350044358787557E-2</v>
      </c>
    </row>
    <row r="299" spans="1:13" x14ac:dyDescent="0.25">
      <c r="A299" t="s">
        <v>1180</v>
      </c>
      <c r="K299" s="1" t="str">
        <f t="shared" si="8"/>
        <v>2010-04-01</v>
      </c>
      <c r="L299">
        <v>2461.1899410000001</v>
      </c>
      <c r="M299" s="2">
        <f t="shared" si="9"/>
        <v>2.6368238431150326E-2</v>
      </c>
    </row>
    <row r="300" spans="1:13" x14ac:dyDescent="0.25">
      <c r="A300" t="s">
        <v>1181</v>
      </c>
      <c r="K300" s="1" t="str">
        <f t="shared" si="8"/>
        <v>2010-05-01</v>
      </c>
      <c r="L300">
        <v>2257.040039</v>
      </c>
      <c r="M300" s="2">
        <f t="shared" si="9"/>
        <v>-8.2947641951215068E-2</v>
      </c>
    </row>
    <row r="301" spans="1:13" x14ac:dyDescent="0.25">
      <c r="A301" t="s">
        <v>1182</v>
      </c>
      <c r="K301" s="1" t="str">
        <f t="shared" si="8"/>
        <v>2010-06-01</v>
      </c>
      <c r="L301">
        <v>2109.23999</v>
      </c>
      <c r="M301" s="2">
        <f t="shared" si="9"/>
        <v>-6.5484017317426035E-2</v>
      </c>
    </row>
    <row r="302" spans="1:13" x14ac:dyDescent="0.25">
      <c r="A302" t="s">
        <v>1183</v>
      </c>
      <c r="K302" s="1" t="str">
        <f t="shared" si="8"/>
        <v>2010-07-01</v>
      </c>
      <c r="L302">
        <v>2254.6999510000001</v>
      </c>
      <c r="M302" s="2">
        <f t="shared" si="9"/>
        <v>6.8963210298321753E-2</v>
      </c>
    </row>
    <row r="303" spans="1:13" x14ac:dyDescent="0.25">
      <c r="A303" t="s">
        <v>1184</v>
      </c>
      <c r="K303" s="1" t="str">
        <f t="shared" si="8"/>
        <v>2010-08-01</v>
      </c>
      <c r="L303">
        <v>2114.030029</v>
      </c>
      <c r="M303" s="2">
        <f t="shared" si="9"/>
        <v>-6.238964166278993E-2</v>
      </c>
    </row>
    <row r="304" spans="1:13" x14ac:dyDescent="0.25">
      <c r="A304" t="s">
        <v>1185</v>
      </c>
      <c r="K304" s="1" t="str">
        <f t="shared" si="8"/>
        <v>2010-09-01</v>
      </c>
      <c r="L304">
        <v>2368.6201169999999</v>
      </c>
      <c r="M304" s="2">
        <f t="shared" si="9"/>
        <v>0.12042879453345745</v>
      </c>
    </row>
    <row r="305" spans="1:13" x14ac:dyDescent="0.25">
      <c r="A305" t="s">
        <v>1186</v>
      </c>
      <c r="K305" s="1" t="str">
        <f t="shared" si="8"/>
        <v>2010-10-01</v>
      </c>
      <c r="L305">
        <v>2507.4099120000001</v>
      </c>
      <c r="M305" s="2">
        <f t="shared" si="9"/>
        <v>5.8595210774358364E-2</v>
      </c>
    </row>
    <row r="306" spans="1:13" x14ac:dyDescent="0.25">
      <c r="A306" t="s">
        <v>1187</v>
      </c>
      <c r="K306" s="1" t="str">
        <f t="shared" si="8"/>
        <v>2010-11-01</v>
      </c>
      <c r="L306">
        <v>2498.2299800000001</v>
      </c>
      <c r="M306" s="2">
        <f t="shared" si="9"/>
        <v>-3.6611213651451813E-3</v>
      </c>
    </row>
    <row r="307" spans="1:13" x14ac:dyDescent="0.25">
      <c r="A307" t="s">
        <v>1188</v>
      </c>
      <c r="K307" s="1" t="str">
        <f t="shared" si="8"/>
        <v>2010-12-01</v>
      </c>
      <c r="L307">
        <v>2652.8701169999999</v>
      </c>
      <c r="M307" s="2">
        <f t="shared" si="9"/>
        <v>6.189988041052974E-2</v>
      </c>
    </row>
    <row r="308" spans="1:13" x14ac:dyDescent="0.25">
      <c r="A308" t="s">
        <v>1189</v>
      </c>
      <c r="K308" s="1" t="str">
        <f t="shared" si="8"/>
        <v>2011-01-01</v>
      </c>
      <c r="L308">
        <v>2700.080078</v>
      </c>
      <c r="M308" s="2">
        <f t="shared" si="9"/>
        <v>1.7795805643658014E-2</v>
      </c>
    </row>
    <row r="309" spans="1:13" x14ac:dyDescent="0.25">
      <c r="A309" t="s">
        <v>1190</v>
      </c>
      <c r="K309" s="1" t="str">
        <f t="shared" si="8"/>
        <v>2011-02-01</v>
      </c>
      <c r="L309">
        <v>2782.2700199999999</v>
      </c>
      <c r="M309" s="2">
        <f t="shared" si="9"/>
        <v>3.0439816459399083E-2</v>
      </c>
    </row>
    <row r="310" spans="1:13" x14ac:dyDescent="0.25">
      <c r="A310" t="s">
        <v>1191</v>
      </c>
      <c r="K310" s="1" t="str">
        <f t="shared" si="8"/>
        <v>2011-03-01</v>
      </c>
      <c r="L310">
        <v>2781.070068</v>
      </c>
      <c r="M310" s="2">
        <f t="shared" si="9"/>
        <v>-4.3128524240065857E-4</v>
      </c>
    </row>
    <row r="311" spans="1:13" x14ac:dyDescent="0.25">
      <c r="A311" t="s">
        <v>1192</v>
      </c>
      <c r="K311" s="1" t="str">
        <f t="shared" si="8"/>
        <v>2011-04-01</v>
      </c>
      <c r="L311">
        <v>2873.540039</v>
      </c>
      <c r="M311" s="2">
        <f t="shared" si="9"/>
        <v>3.3249781105479048E-2</v>
      </c>
    </row>
    <row r="312" spans="1:13" x14ac:dyDescent="0.25">
      <c r="A312" t="s">
        <v>1193</v>
      </c>
      <c r="K312" s="1" t="str">
        <f t="shared" si="8"/>
        <v>2011-05-01</v>
      </c>
      <c r="L312">
        <v>2835.3000489999999</v>
      </c>
      <c r="M312" s="2">
        <f t="shared" si="9"/>
        <v>-1.3307623864989737E-2</v>
      </c>
    </row>
    <row r="313" spans="1:13" x14ac:dyDescent="0.25">
      <c r="A313" t="s">
        <v>1194</v>
      </c>
      <c r="K313" s="1" t="str">
        <f t="shared" si="8"/>
        <v>2011-06-01</v>
      </c>
      <c r="L313">
        <v>2773.5200199999999</v>
      </c>
      <c r="M313" s="2">
        <f t="shared" si="9"/>
        <v>-2.1789591201040515E-2</v>
      </c>
    </row>
    <row r="314" spans="1:13" x14ac:dyDescent="0.25">
      <c r="A314" t="s">
        <v>1195</v>
      </c>
      <c r="K314" s="1" t="str">
        <f t="shared" si="8"/>
        <v>2011-07-01</v>
      </c>
      <c r="L314">
        <v>2756.3798830000001</v>
      </c>
      <c r="M314" s="2">
        <f t="shared" si="9"/>
        <v>-6.1799218597311523E-3</v>
      </c>
    </row>
    <row r="315" spans="1:13" x14ac:dyDescent="0.25">
      <c r="A315" t="s">
        <v>1196</v>
      </c>
      <c r="K315" s="1" t="str">
        <f t="shared" si="8"/>
        <v>2011-08-01</v>
      </c>
      <c r="L315">
        <v>2579.459961</v>
      </c>
      <c r="M315" s="2">
        <f t="shared" si="9"/>
        <v>-6.4185609208351702E-2</v>
      </c>
    </row>
    <row r="316" spans="1:13" x14ac:dyDescent="0.25">
      <c r="A316" t="s">
        <v>1197</v>
      </c>
      <c r="K316" s="1" t="str">
        <f t="shared" si="8"/>
        <v>2011-09-01</v>
      </c>
      <c r="L316">
        <v>2415.3999020000001</v>
      </c>
      <c r="M316" s="2">
        <f t="shared" si="9"/>
        <v>-6.3602483264131537E-2</v>
      </c>
    </row>
    <row r="317" spans="1:13" x14ac:dyDescent="0.25">
      <c r="A317" t="s">
        <v>1198</v>
      </c>
      <c r="K317" s="1" t="str">
        <f t="shared" si="8"/>
        <v>2011-10-01</v>
      </c>
      <c r="L317">
        <v>2684.4099120000001</v>
      </c>
      <c r="M317" s="2">
        <f t="shared" si="9"/>
        <v>0.11137286615655406</v>
      </c>
    </row>
    <row r="318" spans="1:13" x14ac:dyDescent="0.25">
      <c r="A318" t="s">
        <v>1199</v>
      </c>
      <c r="K318" s="1" t="str">
        <f t="shared" si="8"/>
        <v>2011-11-01</v>
      </c>
      <c r="L318">
        <v>2620.3400879999999</v>
      </c>
      <c r="M318" s="2">
        <f t="shared" si="9"/>
        <v>-2.3867377226403308E-2</v>
      </c>
    </row>
    <row r="319" spans="1:13" x14ac:dyDescent="0.25">
      <c r="A319" t="s">
        <v>1200</v>
      </c>
      <c r="K319" s="1" t="str">
        <f t="shared" si="8"/>
        <v>2011-12-01</v>
      </c>
      <c r="L319">
        <v>2605.1499020000001</v>
      </c>
      <c r="M319" s="2">
        <f t="shared" si="9"/>
        <v>-5.7970284351882562E-3</v>
      </c>
    </row>
    <row r="320" spans="1:13" x14ac:dyDescent="0.25">
      <c r="A320" t="s">
        <v>1201</v>
      </c>
      <c r="K320" s="1" t="str">
        <f t="shared" si="8"/>
        <v>2012-01-01</v>
      </c>
      <c r="L320">
        <v>2813.8400879999999</v>
      </c>
      <c r="M320" s="2">
        <f t="shared" si="9"/>
        <v>8.0106786116141082E-2</v>
      </c>
    </row>
    <row r="321" spans="1:13" x14ac:dyDescent="0.25">
      <c r="A321" t="s">
        <v>1202</v>
      </c>
      <c r="K321" s="1" t="str">
        <f t="shared" si="8"/>
        <v>2012-02-01</v>
      </c>
      <c r="L321">
        <v>2966.889893</v>
      </c>
      <c r="M321" s="2">
        <f t="shared" si="9"/>
        <v>5.4391792075427992E-2</v>
      </c>
    </row>
    <row r="322" spans="1:13" x14ac:dyDescent="0.25">
      <c r="A322" t="s">
        <v>1203</v>
      </c>
      <c r="K322" s="1" t="str">
        <f t="shared" si="8"/>
        <v>2012-03-01</v>
      </c>
      <c r="L322">
        <v>3091.570068</v>
      </c>
      <c r="M322" s="2">
        <f t="shared" si="9"/>
        <v>4.2023863202394818E-2</v>
      </c>
    </row>
    <row r="323" spans="1:13" x14ac:dyDescent="0.25">
      <c r="A323" t="s">
        <v>1204</v>
      </c>
      <c r="K323" s="1" t="str">
        <f t="shared" ref="K323:K386" si="10">LEFT(A323,10)</f>
        <v>2012-04-01</v>
      </c>
      <c r="L323">
        <v>3046.360107</v>
      </c>
      <c r="M323" s="2">
        <f t="shared" si="9"/>
        <v>-1.4623624891428433E-2</v>
      </c>
    </row>
    <row r="324" spans="1:13" x14ac:dyDescent="0.25">
      <c r="A324" t="s">
        <v>1205</v>
      </c>
      <c r="K324" s="1" t="str">
        <f t="shared" si="10"/>
        <v>2012-05-01</v>
      </c>
      <c r="L324">
        <v>2827.3400879999999</v>
      </c>
      <c r="M324" s="2">
        <f t="shared" ref="M324:M387" si="11">(L324/L323)-1</f>
        <v>-7.1895643097718676E-2</v>
      </c>
    </row>
    <row r="325" spans="1:13" x14ac:dyDescent="0.25">
      <c r="A325" t="s">
        <v>1206</v>
      </c>
      <c r="K325" s="1" t="str">
        <f t="shared" si="10"/>
        <v>2012-06-01</v>
      </c>
      <c r="L325">
        <v>2935.0500489999999</v>
      </c>
      <c r="M325" s="2">
        <f t="shared" si="11"/>
        <v>3.8095863124903317E-2</v>
      </c>
    </row>
    <row r="326" spans="1:13" x14ac:dyDescent="0.25">
      <c r="A326" t="s">
        <v>1207</v>
      </c>
      <c r="K326" s="1" t="str">
        <f t="shared" si="10"/>
        <v>2012-07-01</v>
      </c>
      <c r="L326">
        <v>2939.5200199999999</v>
      </c>
      <c r="M326" s="2">
        <f t="shared" si="11"/>
        <v>1.522962445401177E-3</v>
      </c>
    </row>
    <row r="327" spans="1:13" x14ac:dyDescent="0.25">
      <c r="A327" t="s">
        <v>1208</v>
      </c>
      <c r="K327" s="1" t="str">
        <f t="shared" si="10"/>
        <v>2012-08-01</v>
      </c>
      <c r="L327">
        <v>3066.959961</v>
      </c>
      <c r="M327" s="2">
        <f t="shared" si="11"/>
        <v>4.3353996616086965E-2</v>
      </c>
    </row>
    <row r="328" spans="1:13" x14ac:dyDescent="0.25">
      <c r="A328" t="s">
        <v>1209</v>
      </c>
      <c r="K328" s="1" t="str">
        <f t="shared" si="10"/>
        <v>2012-09-01</v>
      </c>
      <c r="L328">
        <v>3116.2299800000001</v>
      </c>
      <c r="M328" s="2">
        <f t="shared" si="11"/>
        <v>1.6064774117212632E-2</v>
      </c>
    </row>
    <row r="329" spans="1:13" x14ac:dyDescent="0.25">
      <c r="A329" t="s">
        <v>1210</v>
      </c>
      <c r="K329" s="1" t="str">
        <f t="shared" si="10"/>
        <v>2012-10-01</v>
      </c>
      <c r="L329">
        <v>2977.2299800000001</v>
      </c>
      <c r="M329" s="2">
        <f t="shared" si="11"/>
        <v>-4.4605180263364241E-2</v>
      </c>
    </row>
    <row r="330" spans="1:13" x14ac:dyDescent="0.25">
      <c r="A330" t="s">
        <v>1211</v>
      </c>
      <c r="K330" s="1" t="str">
        <f t="shared" si="10"/>
        <v>2012-11-01</v>
      </c>
      <c r="L330">
        <v>3010.23999</v>
      </c>
      <c r="M330" s="2">
        <f t="shared" si="11"/>
        <v>1.1087490795722799E-2</v>
      </c>
    </row>
    <row r="331" spans="1:13" x14ac:dyDescent="0.25">
      <c r="A331" t="s">
        <v>1212</v>
      </c>
      <c r="K331" s="1" t="str">
        <f t="shared" si="10"/>
        <v>2012-12-01</v>
      </c>
      <c r="L331">
        <v>3019.51001</v>
      </c>
      <c r="M331" s="2">
        <f t="shared" si="11"/>
        <v>3.0794953328621144E-3</v>
      </c>
    </row>
    <row r="332" spans="1:13" x14ac:dyDescent="0.25">
      <c r="A332" t="s">
        <v>1213</v>
      </c>
      <c r="K332" s="1" t="str">
        <f t="shared" si="10"/>
        <v>2013-01-01</v>
      </c>
      <c r="L332">
        <v>3142.1298830000001</v>
      </c>
      <c r="M332" s="2">
        <f t="shared" si="11"/>
        <v>4.0609195728415592E-2</v>
      </c>
    </row>
    <row r="333" spans="1:13" x14ac:dyDescent="0.25">
      <c r="A333" t="s">
        <v>1214</v>
      </c>
      <c r="K333" s="1" t="str">
        <f t="shared" si="10"/>
        <v>2013-02-01</v>
      </c>
      <c r="L333">
        <v>3160.1899410000001</v>
      </c>
      <c r="M333" s="2">
        <f t="shared" si="11"/>
        <v>5.7477121164568601E-3</v>
      </c>
    </row>
    <row r="334" spans="1:13" x14ac:dyDescent="0.25">
      <c r="A334" t="s">
        <v>1215</v>
      </c>
      <c r="K334" s="1" t="str">
        <f t="shared" si="10"/>
        <v>2013-03-01</v>
      </c>
      <c r="L334">
        <v>3267.5200199999999</v>
      </c>
      <c r="M334" s="2">
        <f t="shared" si="11"/>
        <v>3.3963173417999259E-2</v>
      </c>
    </row>
    <row r="335" spans="1:13" x14ac:dyDescent="0.25">
      <c r="A335" t="s">
        <v>1216</v>
      </c>
      <c r="K335" s="1" t="str">
        <f t="shared" si="10"/>
        <v>2013-04-01</v>
      </c>
      <c r="L335">
        <v>3328.790039</v>
      </c>
      <c r="M335" s="2">
        <f t="shared" si="11"/>
        <v>1.8751229870046737E-2</v>
      </c>
    </row>
    <row r="336" spans="1:13" x14ac:dyDescent="0.25">
      <c r="A336" t="s">
        <v>1217</v>
      </c>
      <c r="K336" s="1" t="str">
        <f t="shared" si="10"/>
        <v>2013-05-01</v>
      </c>
      <c r="L336">
        <v>3455.9099120000001</v>
      </c>
      <c r="M336" s="2">
        <f t="shared" si="11"/>
        <v>3.8188011713165437E-2</v>
      </c>
    </row>
    <row r="337" spans="1:13" x14ac:dyDescent="0.25">
      <c r="A337" t="s">
        <v>1218</v>
      </c>
      <c r="K337" s="1" t="str">
        <f t="shared" si="10"/>
        <v>2013-06-01</v>
      </c>
      <c r="L337">
        <v>3403.25</v>
      </c>
      <c r="M337" s="2">
        <f t="shared" si="11"/>
        <v>-1.5237640257099394E-2</v>
      </c>
    </row>
    <row r="338" spans="1:13" x14ac:dyDescent="0.25">
      <c r="A338" t="s">
        <v>1219</v>
      </c>
      <c r="K338" s="1" t="str">
        <f t="shared" si="10"/>
        <v>2013-07-01</v>
      </c>
      <c r="L338">
        <v>3626.3701169999999</v>
      </c>
      <c r="M338" s="2">
        <f t="shared" si="11"/>
        <v>6.5560895320649459E-2</v>
      </c>
    </row>
    <row r="339" spans="1:13" x14ac:dyDescent="0.25">
      <c r="A339" t="s">
        <v>1220</v>
      </c>
      <c r="K339" s="1" t="str">
        <f t="shared" si="10"/>
        <v>2013-08-01</v>
      </c>
      <c r="L339">
        <v>3589.8701169999999</v>
      </c>
      <c r="M339" s="2">
        <f t="shared" si="11"/>
        <v>-1.0065161255574107E-2</v>
      </c>
    </row>
    <row r="340" spans="1:13" x14ac:dyDescent="0.25">
      <c r="A340" t="s">
        <v>1221</v>
      </c>
      <c r="K340" s="1" t="str">
        <f t="shared" si="10"/>
        <v>2013-09-01</v>
      </c>
      <c r="L340">
        <v>3771.4799800000001</v>
      </c>
      <c r="M340" s="2">
        <f t="shared" si="11"/>
        <v>5.0589535855344092E-2</v>
      </c>
    </row>
    <row r="341" spans="1:13" x14ac:dyDescent="0.25">
      <c r="A341" t="s">
        <v>1222</v>
      </c>
      <c r="K341" s="1" t="str">
        <f t="shared" si="10"/>
        <v>2013-10-01</v>
      </c>
      <c r="L341">
        <v>3919.709961</v>
      </c>
      <c r="M341" s="2">
        <f t="shared" si="11"/>
        <v>3.9302868313250361E-2</v>
      </c>
    </row>
    <row r="342" spans="1:13" x14ac:dyDescent="0.25">
      <c r="A342" t="s">
        <v>1223</v>
      </c>
      <c r="K342" s="1" t="str">
        <f t="shared" si="10"/>
        <v>2013-11-01</v>
      </c>
      <c r="L342">
        <v>4059.889893</v>
      </c>
      <c r="M342" s="2">
        <f t="shared" si="11"/>
        <v>3.5762832810271705E-2</v>
      </c>
    </row>
    <row r="343" spans="1:13" x14ac:dyDescent="0.25">
      <c r="A343" t="s">
        <v>1224</v>
      </c>
      <c r="K343" s="1" t="str">
        <f t="shared" si="10"/>
        <v>2013-12-01</v>
      </c>
      <c r="L343">
        <v>4176.5898440000001</v>
      </c>
      <c r="M343" s="2">
        <f t="shared" si="11"/>
        <v>2.874460984796956E-2</v>
      </c>
    </row>
    <row r="344" spans="1:13" x14ac:dyDescent="0.25">
      <c r="A344" t="s">
        <v>1225</v>
      </c>
      <c r="K344" s="1" t="str">
        <f t="shared" si="10"/>
        <v>2014-01-01</v>
      </c>
      <c r="L344">
        <v>4103.8798829999996</v>
      </c>
      <c r="M344" s="2">
        <f t="shared" si="11"/>
        <v>-1.7408930183665072E-2</v>
      </c>
    </row>
    <row r="345" spans="1:13" x14ac:dyDescent="0.25">
      <c r="A345" t="s">
        <v>1226</v>
      </c>
      <c r="K345" s="1" t="str">
        <f t="shared" si="10"/>
        <v>2014-02-01</v>
      </c>
      <c r="L345">
        <v>4308.1201170000004</v>
      </c>
      <c r="M345" s="2">
        <f t="shared" si="11"/>
        <v>4.9767595500552986E-2</v>
      </c>
    </row>
    <row r="346" spans="1:13" x14ac:dyDescent="0.25">
      <c r="A346" t="s">
        <v>1227</v>
      </c>
      <c r="K346" s="1" t="str">
        <f t="shared" si="10"/>
        <v>2014-03-01</v>
      </c>
      <c r="L346">
        <v>4198.9902339999999</v>
      </c>
      <c r="M346" s="2">
        <f t="shared" si="11"/>
        <v>-2.5331207124279054E-2</v>
      </c>
    </row>
    <row r="347" spans="1:13" x14ac:dyDescent="0.25">
      <c r="A347" t="s">
        <v>1228</v>
      </c>
      <c r="K347" s="1" t="str">
        <f t="shared" si="10"/>
        <v>2014-04-01</v>
      </c>
      <c r="L347">
        <v>4114.5600590000004</v>
      </c>
      <c r="M347" s="2">
        <f t="shared" si="11"/>
        <v>-2.0107256815305896E-2</v>
      </c>
    </row>
    <row r="348" spans="1:13" x14ac:dyDescent="0.25">
      <c r="A348" t="s">
        <v>1229</v>
      </c>
      <c r="K348" s="1" t="str">
        <f t="shared" si="10"/>
        <v>2014-05-01</v>
      </c>
      <c r="L348">
        <v>4242.6201170000004</v>
      </c>
      <c r="M348" s="2">
        <f t="shared" si="11"/>
        <v>3.1123633186465938E-2</v>
      </c>
    </row>
    <row r="349" spans="1:13" x14ac:dyDescent="0.25">
      <c r="A349" t="s">
        <v>1230</v>
      </c>
      <c r="K349" s="1" t="str">
        <f t="shared" si="10"/>
        <v>2014-06-01</v>
      </c>
      <c r="L349">
        <v>4408.1801759999998</v>
      </c>
      <c r="M349" s="2">
        <f t="shared" si="11"/>
        <v>3.9023069337885685E-2</v>
      </c>
    </row>
    <row r="350" spans="1:13" x14ac:dyDescent="0.25">
      <c r="A350" t="s">
        <v>1231</v>
      </c>
      <c r="K350" s="1" t="str">
        <f t="shared" si="10"/>
        <v>2014-07-01</v>
      </c>
      <c r="L350">
        <v>4369.7700199999999</v>
      </c>
      <c r="M350" s="2">
        <f t="shared" si="11"/>
        <v>-8.7133815920503732E-3</v>
      </c>
    </row>
    <row r="351" spans="1:13" x14ac:dyDescent="0.25">
      <c r="A351" t="s">
        <v>1232</v>
      </c>
      <c r="K351" s="1" t="str">
        <f t="shared" si="10"/>
        <v>2014-08-01</v>
      </c>
      <c r="L351">
        <v>4580.2700199999999</v>
      </c>
      <c r="M351" s="2">
        <f t="shared" si="11"/>
        <v>4.8171871525632293E-2</v>
      </c>
    </row>
    <row r="352" spans="1:13" x14ac:dyDescent="0.25">
      <c r="A352" t="s">
        <v>1233</v>
      </c>
      <c r="K352" s="1" t="str">
        <f t="shared" si="10"/>
        <v>2014-09-01</v>
      </c>
      <c r="L352">
        <v>4493.3901370000003</v>
      </c>
      <c r="M352" s="2">
        <f t="shared" si="11"/>
        <v>-1.8968288467848815E-2</v>
      </c>
    </row>
    <row r="353" spans="1:13" x14ac:dyDescent="0.25">
      <c r="A353" t="s">
        <v>1234</v>
      </c>
      <c r="K353" s="1" t="str">
        <f t="shared" si="10"/>
        <v>2014-10-01</v>
      </c>
      <c r="L353">
        <v>4630.7402339999999</v>
      </c>
      <c r="M353" s="2">
        <f t="shared" si="11"/>
        <v>3.0567142583283635E-2</v>
      </c>
    </row>
    <row r="354" spans="1:13" x14ac:dyDescent="0.25">
      <c r="A354" t="s">
        <v>1235</v>
      </c>
      <c r="K354" s="1" t="str">
        <f t="shared" si="10"/>
        <v>2014-11-01</v>
      </c>
      <c r="L354">
        <v>4791.6298829999996</v>
      </c>
      <c r="M354" s="2">
        <f t="shared" si="11"/>
        <v>3.4743829467848153E-2</v>
      </c>
    </row>
    <row r="355" spans="1:13" x14ac:dyDescent="0.25">
      <c r="A355" t="s">
        <v>1236</v>
      </c>
      <c r="K355" s="1" t="str">
        <f t="shared" si="10"/>
        <v>2014-12-01</v>
      </c>
      <c r="L355">
        <v>4736.0498049999997</v>
      </c>
      <c r="M355" s="2">
        <f t="shared" si="11"/>
        <v>-1.1599409670014382E-2</v>
      </c>
    </row>
    <row r="356" spans="1:13" x14ac:dyDescent="0.25">
      <c r="A356" t="s">
        <v>1237</v>
      </c>
      <c r="K356" s="1" t="str">
        <f t="shared" si="10"/>
        <v>2015-01-01</v>
      </c>
      <c r="L356">
        <v>4635.2402339999999</v>
      </c>
      <c r="M356" s="2">
        <f t="shared" si="11"/>
        <v>-2.1285580842830609E-2</v>
      </c>
    </row>
    <row r="357" spans="1:13" x14ac:dyDescent="0.25">
      <c r="A357" t="s">
        <v>1238</v>
      </c>
      <c r="K357" s="1" t="str">
        <f t="shared" si="10"/>
        <v>2015-02-01</v>
      </c>
      <c r="L357">
        <v>4963.5297849999997</v>
      </c>
      <c r="M357" s="2">
        <f t="shared" si="11"/>
        <v>7.0824711218193004E-2</v>
      </c>
    </row>
    <row r="358" spans="1:13" x14ac:dyDescent="0.25">
      <c r="A358" t="s">
        <v>1239</v>
      </c>
      <c r="K358" s="1" t="str">
        <f t="shared" si="10"/>
        <v>2015-03-01</v>
      </c>
      <c r="L358">
        <v>4900.8798829999996</v>
      </c>
      <c r="M358" s="2">
        <f t="shared" si="11"/>
        <v>-1.2622046147346744E-2</v>
      </c>
    </row>
    <row r="359" spans="1:13" x14ac:dyDescent="0.25">
      <c r="A359" t="s">
        <v>1240</v>
      </c>
      <c r="K359" s="1" t="str">
        <f t="shared" si="10"/>
        <v>2015-04-01</v>
      </c>
      <c r="L359">
        <v>4941.419922</v>
      </c>
      <c r="M359" s="2">
        <f t="shared" si="11"/>
        <v>8.2719919622238347E-3</v>
      </c>
    </row>
    <row r="360" spans="1:13" x14ac:dyDescent="0.25">
      <c r="A360" t="s">
        <v>1241</v>
      </c>
      <c r="K360" s="1" t="str">
        <f t="shared" si="10"/>
        <v>2015-05-01</v>
      </c>
      <c r="L360">
        <v>5070.0297849999997</v>
      </c>
      <c r="M360" s="2">
        <f t="shared" si="11"/>
        <v>2.6026904215812108E-2</v>
      </c>
    </row>
    <row r="361" spans="1:13" x14ac:dyDescent="0.25">
      <c r="A361" t="s">
        <v>1242</v>
      </c>
      <c r="K361" s="1" t="str">
        <f t="shared" si="10"/>
        <v>2015-06-01</v>
      </c>
      <c r="L361">
        <v>4986.8701170000004</v>
      </c>
      <c r="M361" s="2">
        <f t="shared" si="11"/>
        <v>-1.640220502175993E-2</v>
      </c>
    </row>
    <row r="362" spans="1:13" x14ac:dyDescent="0.25">
      <c r="A362" t="s">
        <v>1243</v>
      </c>
      <c r="K362" s="1" t="str">
        <f t="shared" si="10"/>
        <v>2015-07-01</v>
      </c>
      <c r="L362">
        <v>5128.2797849999997</v>
      </c>
      <c r="M362" s="2">
        <f t="shared" si="11"/>
        <v>2.8356396834547715E-2</v>
      </c>
    </row>
    <row r="363" spans="1:13" x14ac:dyDescent="0.25">
      <c r="A363" t="s">
        <v>1244</v>
      </c>
      <c r="K363" s="1" t="str">
        <f t="shared" si="10"/>
        <v>2015-08-01</v>
      </c>
      <c r="L363">
        <v>4812.7099609999996</v>
      </c>
      <c r="M363" s="2">
        <f t="shared" si="11"/>
        <v>-6.1535219845654354E-2</v>
      </c>
    </row>
    <row r="364" spans="1:13" x14ac:dyDescent="0.25">
      <c r="A364" t="s">
        <v>1245</v>
      </c>
      <c r="K364" s="1" t="str">
        <f t="shared" si="10"/>
        <v>2015-09-01</v>
      </c>
      <c r="L364">
        <v>4620.1601559999999</v>
      </c>
      <c r="M364" s="2">
        <f t="shared" si="11"/>
        <v>-4.0008603585160007E-2</v>
      </c>
    </row>
    <row r="365" spans="1:13" x14ac:dyDescent="0.25">
      <c r="A365" t="s">
        <v>1246</v>
      </c>
      <c r="K365" s="1" t="str">
        <f t="shared" si="10"/>
        <v>2015-10-01</v>
      </c>
      <c r="L365">
        <v>5053.75</v>
      </c>
      <c r="M365" s="2">
        <f t="shared" si="11"/>
        <v>9.3847362290442771E-2</v>
      </c>
    </row>
    <row r="366" spans="1:13" x14ac:dyDescent="0.25">
      <c r="A366" t="s">
        <v>1247</v>
      </c>
      <c r="K366" s="1" t="str">
        <f t="shared" si="10"/>
        <v>2015-11-01</v>
      </c>
      <c r="L366">
        <v>5108.669922</v>
      </c>
      <c r="M366" s="2">
        <f t="shared" si="11"/>
        <v>1.0867162404155417E-2</v>
      </c>
    </row>
    <row r="367" spans="1:13" x14ac:dyDescent="0.25">
      <c r="A367" t="s">
        <v>1248</v>
      </c>
      <c r="K367" s="1" t="str">
        <f t="shared" si="10"/>
        <v>2015-12-01</v>
      </c>
      <c r="L367">
        <v>5007.4101559999999</v>
      </c>
      <c r="M367" s="2">
        <f t="shared" si="11"/>
        <v>-1.9821160408883487E-2</v>
      </c>
    </row>
    <row r="368" spans="1:13" x14ac:dyDescent="0.25">
      <c r="A368" t="s">
        <v>1249</v>
      </c>
      <c r="K368" s="1" t="str">
        <f t="shared" si="10"/>
        <v>2016-01-01</v>
      </c>
      <c r="L368">
        <v>4613.9501950000003</v>
      </c>
      <c r="M368" s="2">
        <f t="shared" si="11"/>
        <v>-7.8575540796981924E-2</v>
      </c>
    </row>
    <row r="369" spans="1:13" x14ac:dyDescent="0.25">
      <c r="A369" t="s">
        <v>1250</v>
      </c>
      <c r="K369" s="1" t="str">
        <f t="shared" si="10"/>
        <v>2016-02-01</v>
      </c>
      <c r="L369">
        <v>4557.9501950000003</v>
      </c>
      <c r="M369" s="2">
        <f t="shared" si="11"/>
        <v>-1.2137105437480811E-2</v>
      </c>
    </row>
    <row r="370" spans="1:13" x14ac:dyDescent="0.25">
      <c r="A370" t="s">
        <v>1251</v>
      </c>
      <c r="K370" s="1" t="str">
        <f t="shared" si="10"/>
        <v>2016-03-01</v>
      </c>
      <c r="L370">
        <v>4869.8500979999999</v>
      </c>
      <c r="M370" s="2">
        <f t="shared" si="11"/>
        <v>6.842986203362833E-2</v>
      </c>
    </row>
    <row r="371" spans="1:13" x14ac:dyDescent="0.25">
      <c r="A371" t="s">
        <v>1252</v>
      </c>
      <c r="K371" s="1" t="str">
        <f t="shared" si="10"/>
        <v>2016-04-01</v>
      </c>
      <c r="L371">
        <v>4775.3598629999997</v>
      </c>
      <c r="M371" s="2">
        <f t="shared" si="11"/>
        <v>-1.9403109561587195E-2</v>
      </c>
    </row>
    <row r="372" spans="1:13" x14ac:dyDescent="0.25">
      <c r="A372" t="s">
        <v>1253</v>
      </c>
      <c r="K372" s="1" t="str">
        <f t="shared" si="10"/>
        <v>2016-05-01</v>
      </c>
      <c r="L372">
        <v>4948.0498049999997</v>
      </c>
      <c r="M372" s="2">
        <f t="shared" si="11"/>
        <v>3.6162707514049375E-2</v>
      </c>
    </row>
    <row r="373" spans="1:13" x14ac:dyDescent="0.25">
      <c r="A373" t="s">
        <v>1254</v>
      </c>
      <c r="K373" s="1" t="str">
        <f t="shared" si="10"/>
        <v>2016-06-01</v>
      </c>
      <c r="L373">
        <v>4842.669922</v>
      </c>
      <c r="M373" s="2">
        <f t="shared" si="11"/>
        <v>-2.1297255919597524E-2</v>
      </c>
    </row>
    <row r="374" spans="1:13" x14ac:dyDescent="0.25">
      <c r="A374" t="s">
        <v>1255</v>
      </c>
      <c r="K374" s="1" t="str">
        <f t="shared" si="10"/>
        <v>2016-07-01</v>
      </c>
      <c r="L374">
        <v>5162.1298829999996</v>
      </c>
      <c r="M374" s="2">
        <f t="shared" si="11"/>
        <v>6.5967733945423213E-2</v>
      </c>
    </row>
    <row r="375" spans="1:13" x14ac:dyDescent="0.25">
      <c r="A375" t="s">
        <v>1256</v>
      </c>
      <c r="K375" s="1" t="str">
        <f t="shared" si="10"/>
        <v>2016-08-01</v>
      </c>
      <c r="L375">
        <v>5213.2202150000003</v>
      </c>
      <c r="M375" s="2">
        <f t="shared" si="11"/>
        <v>9.8971419080817746E-3</v>
      </c>
    </row>
    <row r="376" spans="1:13" x14ac:dyDescent="0.25">
      <c r="A376" t="s">
        <v>1257</v>
      </c>
      <c r="K376" s="1" t="str">
        <f t="shared" si="10"/>
        <v>2016-09-01</v>
      </c>
      <c r="L376">
        <v>5312</v>
      </c>
      <c r="M376" s="2">
        <f t="shared" si="11"/>
        <v>1.8947940222394655E-2</v>
      </c>
    </row>
    <row r="377" spans="1:13" x14ac:dyDescent="0.25">
      <c r="A377" t="s">
        <v>1258</v>
      </c>
      <c r="K377" s="1" t="str">
        <f t="shared" si="10"/>
        <v>2016-10-01</v>
      </c>
      <c r="L377">
        <v>5189.1401370000003</v>
      </c>
      <c r="M377" s="2">
        <f t="shared" si="11"/>
        <v>-2.3128739269578258E-2</v>
      </c>
    </row>
    <row r="378" spans="1:13" x14ac:dyDescent="0.25">
      <c r="A378" t="s">
        <v>1259</v>
      </c>
      <c r="K378" s="1" t="str">
        <f t="shared" si="10"/>
        <v>2016-11-01</v>
      </c>
      <c r="L378">
        <v>5323.6801759999998</v>
      </c>
      <c r="M378" s="2">
        <f t="shared" si="11"/>
        <v>2.5927231766336822E-2</v>
      </c>
    </row>
    <row r="379" spans="1:13" x14ac:dyDescent="0.25">
      <c r="A379" t="s">
        <v>1260</v>
      </c>
      <c r="K379" s="1" t="str">
        <f t="shared" si="10"/>
        <v>2016-12-01</v>
      </c>
      <c r="L379">
        <v>5444.5</v>
      </c>
      <c r="M379" s="2">
        <f t="shared" si="11"/>
        <v>2.2694793827900295E-2</v>
      </c>
    </row>
    <row r="380" spans="1:13" x14ac:dyDescent="0.25">
      <c r="A380" t="s">
        <v>1261</v>
      </c>
      <c r="K380" s="1" t="str">
        <f t="shared" si="10"/>
        <v>2017-01-01</v>
      </c>
      <c r="L380">
        <v>5614.7900390000004</v>
      </c>
      <c r="M380" s="2">
        <f t="shared" si="11"/>
        <v>3.1277443107723402E-2</v>
      </c>
    </row>
    <row r="381" spans="1:13" x14ac:dyDescent="0.25">
      <c r="A381" t="s">
        <v>1262</v>
      </c>
      <c r="K381" s="1" t="str">
        <f t="shared" si="10"/>
        <v>2017-02-01</v>
      </c>
      <c r="L381">
        <v>5825.4399409999996</v>
      </c>
      <c r="M381" s="2">
        <f t="shared" si="11"/>
        <v>3.7516968673242834E-2</v>
      </c>
    </row>
    <row r="382" spans="1:13" x14ac:dyDescent="0.25">
      <c r="A382" t="s">
        <v>1263</v>
      </c>
      <c r="K382" s="1" t="str">
        <f t="shared" si="10"/>
        <v>2017-03-01</v>
      </c>
      <c r="L382">
        <v>5911.7402339999999</v>
      </c>
      <c r="M382" s="2">
        <f t="shared" si="11"/>
        <v>1.4814382067972254E-2</v>
      </c>
    </row>
    <row r="383" spans="1:13" x14ac:dyDescent="0.25">
      <c r="A383" t="s">
        <v>1264</v>
      </c>
      <c r="K383" s="1" t="str">
        <f t="shared" si="10"/>
        <v>2017-04-01</v>
      </c>
      <c r="L383">
        <v>6047.6098629999997</v>
      </c>
      <c r="M383" s="2">
        <f t="shared" si="11"/>
        <v>2.2983017457123278E-2</v>
      </c>
    </row>
    <row r="384" spans="1:13" x14ac:dyDescent="0.25">
      <c r="A384" t="s">
        <v>1265</v>
      </c>
      <c r="K384" s="1" t="str">
        <f t="shared" si="10"/>
        <v>2017-05-01</v>
      </c>
      <c r="L384">
        <v>6198.5200199999999</v>
      </c>
      <c r="M384" s="2">
        <f t="shared" si="11"/>
        <v>2.4953685905449552E-2</v>
      </c>
    </row>
    <row r="385" spans="1:13" x14ac:dyDescent="0.25">
      <c r="A385" t="s">
        <v>1266</v>
      </c>
      <c r="K385" s="1" t="str">
        <f t="shared" si="10"/>
        <v>2017-06-01</v>
      </c>
      <c r="L385">
        <v>6140.419922</v>
      </c>
      <c r="M385" s="2">
        <f t="shared" si="11"/>
        <v>-9.37322099671134E-3</v>
      </c>
    </row>
    <row r="386" spans="1:13" x14ac:dyDescent="0.25">
      <c r="A386" t="s">
        <v>1267</v>
      </c>
      <c r="K386" s="1" t="str">
        <f t="shared" si="10"/>
        <v>2017-07-01</v>
      </c>
      <c r="L386">
        <v>6348.1201170000004</v>
      </c>
      <c r="M386" s="2">
        <f t="shared" si="11"/>
        <v>3.3825079984489026E-2</v>
      </c>
    </row>
    <row r="387" spans="1:13" x14ac:dyDescent="0.25">
      <c r="A387" t="s">
        <v>1268</v>
      </c>
      <c r="K387" s="1" t="str">
        <f t="shared" ref="K387:K422" si="12">LEFT(A387,10)</f>
        <v>2017-08-01</v>
      </c>
      <c r="L387">
        <v>6428.6601559999999</v>
      </c>
      <c r="M387" s="2">
        <f t="shared" si="11"/>
        <v>1.2687226693193221E-2</v>
      </c>
    </row>
    <row r="388" spans="1:13" x14ac:dyDescent="0.25">
      <c r="A388" t="s">
        <v>1269</v>
      </c>
      <c r="K388" s="1" t="str">
        <f t="shared" si="12"/>
        <v>2017-09-01</v>
      </c>
      <c r="L388">
        <v>6495.9599609999996</v>
      </c>
      <c r="M388" s="2">
        <f t="shared" ref="M388:M422" si="13">(L388/L387)-1</f>
        <v>1.0468714065898777E-2</v>
      </c>
    </row>
    <row r="389" spans="1:13" x14ac:dyDescent="0.25">
      <c r="A389" t="s">
        <v>1270</v>
      </c>
      <c r="K389" s="1" t="str">
        <f t="shared" si="12"/>
        <v>2017-10-01</v>
      </c>
      <c r="L389">
        <v>6727.669922</v>
      </c>
      <c r="M389" s="2">
        <f t="shared" si="13"/>
        <v>3.5669856709574121E-2</v>
      </c>
    </row>
    <row r="390" spans="1:13" x14ac:dyDescent="0.25">
      <c r="A390" t="s">
        <v>1271</v>
      </c>
      <c r="K390" s="1" t="str">
        <f t="shared" si="12"/>
        <v>2017-11-01</v>
      </c>
      <c r="L390">
        <v>6873.9702150000003</v>
      </c>
      <c r="M390" s="2">
        <f t="shared" si="13"/>
        <v>2.1746056910667777E-2</v>
      </c>
    </row>
    <row r="391" spans="1:13" x14ac:dyDescent="0.25">
      <c r="A391" t="s">
        <v>1272</v>
      </c>
      <c r="K391" s="1" t="str">
        <f t="shared" si="12"/>
        <v>2017-12-01</v>
      </c>
      <c r="L391">
        <v>6903.3901370000003</v>
      </c>
      <c r="M391" s="2">
        <f t="shared" si="13"/>
        <v>4.279902455178064E-3</v>
      </c>
    </row>
    <row r="392" spans="1:13" x14ac:dyDescent="0.25">
      <c r="A392" t="s">
        <v>1273</v>
      </c>
      <c r="K392" s="1" t="str">
        <f t="shared" si="12"/>
        <v>2018-01-01</v>
      </c>
      <c r="L392">
        <v>7411.4799800000001</v>
      </c>
      <c r="M392" s="2">
        <f t="shared" si="13"/>
        <v>7.3600047645691946E-2</v>
      </c>
    </row>
    <row r="393" spans="1:13" x14ac:dyDescent="0.25">
      <c r="A393" t="s">
        <v>1274</v>
      </c>
      <c r="K393" s="1" t="str">
        <f t="shared" si="12"/>
        <v>2018-02-01</v>
      </c>
      <c r="L393">
        <v>7273.0097660000001</v>
      </c>
      <c r="M393" s="2">
        <f t="shared" si="13"/>
        <v>-1.8683206913283734E-2</v>
      </c>
    </row>
    <row r="394" spans="1:13" x14ac:dyDescent="0.25">
      <c r="A394" t="s">
        <v>1275</v>
      </c>
      <c r="K394" s="1" t="str">
        <f t="shared" si="12"/>
        <v>2018-03-01</v>
      </c>
      <c r="L394">
        <v>7063.4501950000003</v>
      </c>
      <c r="M394" s="2">
        <f t="shared" si="13"/>
        <v>-2.8813321821682836E-2</v>
      </c>
    </row>
    <row r="395" spans="1:13" x14ac:dyDescent="0.25">
      <c r="A395" t="s">
        <v>1276</v>
      </c>
      <c r="K395" s="1" t="str">
        <f t="shared" si="12"/>
        <v>2018-04-01</v>
      </c>
      <c r="L395">
        <v>7066.2700199999999</v>
      </c>
      <c r="M395" s="2">
        <f t="shared" si="13"/>
        <v>3.9921354609329107E-4</v>
      </c>
    </row>
    <row r="396" spans="1:13" x14ac:dyDescent="0.25">
      <c r="A396" t="s">
        <v>1277</v>
      </c>
      <c r="K396" s="1" t="str">
        <f t="shared" si="12"/>
        <v>2018-05-01</v>
      </c>
      <c r="L396">
        <v>7442.1201170000004</v>
      </c>
      <c r="M396" s="2">
        <f t="shared" si="13"/>
        <v>5.3189319957518411E-2</v>
      </c>
    </row>
    <row r="397" spans="1:13" x14ac:dyDescent="0.25">
      <c r="A397" t="s">
        <v>1278</v>
      </c>
      <c r="K397" s="1" t="str">
        <f t="shared" si="12"/>
        <v>2018-06-01</v>
      </c>
      <c r="L397">
        <v>7510.2998049999997</v>
      </c>
      <c r="M397" s="2">
        <f t="shared" si="13"/>
        <v>9.1613259297249616E-3</v>
      </c>
    </row>
    <row r="398" spans="1:13" x14ac:dyDescent="0.25">
      <c r="A398" t="s">
        <v>1279</v>
      </c>
      <c r="K398" s="1" t="str">
        <f t="shared" si="12"/>
        <v>2018-07-01</v>
      </c>
      <c r="L398">
        <v>7671.7900390000004</v>
      </c>
      <c r="M398" s="2">
        <f t="shared" si="13"/>
        <v>2.1502501656789796E-2</v>
      </c>
    </row>
    <row r="399" spans="1:13" x14ac:dyDescent="0.25">
      <c r="A399" t="s">
        <v>1280</v>
      </c>
      <c r="K399" s="1" t="str">
        <f t="shared" si="12"/>
        <v>2018-08-01</v>
      </c>
      <c r="L399">
        <v>8109.5400390000004</v>
      </c>
      <c r="M399" s="2">
        <f t="shared" si="13"/>
        <v>5.705969503527486E-2</v>
      </c>
    </row>
    <row r="400" spans="1:13" x14ac:dyDescent="0.25">
      <c r="A400" t="s">
        <v>1281</v>
      </c>
      <c r="K400" s="1" t="str">
        <f t="shared" si="12"/>
        <v>2018-09-01</v>
      </c>
      <c r="L400">
        <v>8046.3500979999999</v>
      </c>
      <c r="M400" s="2">
        <f t="shared" si="13"/>
        <v>-7.7920499431669565E-3</v>
      </c>
    </row>
    <row r="401" spans="1:13" x14ac:dyDescent="0.25">
      <c r="A401" t="s">
        <v>1282</v>
      </c>
      <c r="K401" s="1" t="str">
        <f t="shared" si="12"/>
        <v>2018-10-01</v>
      </c>
      <c r="L401">
        <v>7305.8999020000001</v>
      </c>
      <c r="M401" s="2">
        <f t="shared" si="13"/>
        <v>-9.2023114453352761E-2</v>
      </c>
    </row>
    <row r="402" spans="1:13" x14ac:dyDescent="0.25">
      <c r="A402" t="s">
        <v>1283</v>
      </c>
      <c r="K402" s="1" t="str">
        <f t="shared" si="12"/>
        <v>2018-11-01</v>
      </c>
      <c r="L402">
        <v>7330.5400390000004</v>
      </c>
      <c r="M402" s="2">
        <f t="shared" si="13"/>
        <v>3.3726354495022814E-3</v>
      </c>
    </row>
    <row r="403" spans="1:13" x14ac:dyDescent="0.25">
      <c r="A403" t="s">
        <v>1284</v>
      </c>
      <c r="K403" s="1" t="str">
        <f t="shared" si="12"/>
        <v>2018-12-01</v>
      </c>
      <c r="L403">
        <v>6635.2797849999997</v>
      </c>
      <c r="M403" s="2">
        <f t="shared" si="13"/>
        <v>-9.4844343022624678E-2</v>
      </c>
    </row>
    <row r="404" spans="1:13" x14ac:dyDescent="0.25">
      <c r="A404" t="s">
        <v>1285</v>
      </c>
      <c r="K404" s="1" t="str">
        <f t="shared" si="12"/>
        <v>2019-01-01</v>
      </c>
      <c r="L404">
        <v>7281.7402339999999</v>
      </c>
      <c r="M404" s="2">
        <f t="shared" si="13"/>
        <v>9.7427760387951867E-2</v>
      </c>
    </row>
    <row r="405" spans="1:13" x14ac:dyDescent="0.25">
      <c r="A405" t="s">
        <v>1286</v>
      </c>
      <c r="K405" s="1" t="str">
        <f t="shared" si="12"/>
        <v>2019-02-01</v>
      </c>
      <c r="L405">
        <v>7532.5297849999997</v>
      </c>
      <c r="M405" s="2">
        <f t="shared" si="13"/>
        <v>3.4440881292223224E-2</v>
      </c>
    </row>
    <row r="406" spans="1:13" x14ac:dyDescent="0.25">
      <c r="A406" t="s">
        <v>1287</v>
      </c>
      <c r="K406" s="1" t="str">
        <f t="shared" si="12"/>
        <v>2019-03-01</v>
      </c>
      <c r="L406">
        <v>7729.3198240000002</v>
      </c>
      <c r="M406" s="2">
        <f t="shared" si="13"/>
        <v>2.6125358228503925E-2</v>
      </c>
    </row>
    <row r="407" spans="1:13" x14ac:dyDescent="0.25">
      <c r="A407" t="s">
        <v>1288</v>
      </c>
      <c r="K407" s="1" t="str">
        <f t="shared" si="12"/>
        <v>2019-04-01</v>
      </c>
      <c r="L407">
        <v>8095.3901370000003</v>
      </c>
      <c r="M407" s="2">
        <f t="shared" si="13"/>
        <v>4.7361258342982548E-2</v>
      </c>
    </row>
    <row r="408" spans="1:13" x14ac:dyDescent="0.25">
      <c r="A408" t="s">
        <v>1289</v>
      </c>
      <c r="K408" s="1" t="str">
        <f t="shared" si="12"/>
        <v>2019-05-01</v>
      </c>
      <c r="L408">
        <v>7453.1499020000001</v>
      </c>
      <c r="M408" s="2">
        <f t="shared" si="13"/>
        <v>-7.9334068418103754E-2</v>
      </c>
    </row>
    <row r="409" spans="1:13" x14ac:dyDescent="0.25">
      <c r="A409" t="s">
        <v>1290</v>
      </c>
      <c r="K409" s="1" t="str">
        <f t="shared" si="12"/>
        <v>2019-06-01</v>
      </c>
      <c r="L409">
        <v>8006.2402339999999</v>
      </c>
      <c r="M409" s="2">
        <f t="shared" si="13"/>
        <v>7.4208937063184877E-2</v>
      </c>
    </row>
    <row r="410" spans="1:13" x14ac:dyDescent="0.25">
      <c r="A410" t="s">
        <v>1291</v>
      </c>
      <c r="K410" s="1" t="str">
        <f t="shared" si="12"/>
        <v>2019-07-01</v>
      </c>
      <c r="L410">
        <v>8175.419922</v>
      </c>
      <c r="M410" s="2">
        <f t="shared" si="13"/>
        <v>2.1130978218908192E-2</v>
      </c>
    </row>
    <row r="411" spans="1:13" x14ac:dyDescent="0.25">
      <c r="A411" t="s">
        <v>1292</v>
      </c>
      <c r="K411" s="1" t="str">
        <f t="shared" si="12"/>
        <v>2019-08-01</v>
      </c>
      <c r="L411">
        <v>7962.8798829999996</v>
      </c>
      <c r="M411" s="2">
        <f t="shared" si="13"/>
        <v>-2.5997446128492641E-2</v>
      </c>
    </row>
    <row r="412" spans="1:13" x14ac:dyDescent="0.25">
      <c r="A412" t="s">
        <v>1293</v>
      </c>
      <c r="K412" s="1" t="str">
        <f t="shared" si="12"/>
        <v>2019-09-01</v>
      </c>
      <c r="L412">
        <v>7999.3398440000001</v>
      </c>
      <c r="M412" s="2">
        <f t="shared" si="13"/>
        <v>4.5787405481072518E-3</v>
      </c>
    </row>
    <row r="413" spans="1:13" x14ac:dyDescent="0.25">
      <c r="A413" t="s">
        <v>1294</v>
      </c>
      <c r="K413" s="1" t="str">
        <f t="shared" si="12"/>
        <v>2019-10-01</v>
      </c>
      <c r="L413">
        <v>8292.3603519999997</v>
      </c>
      <c r="M413" s="2">
        <f t="shared" si="13"/>
        <v>3.6630586237661023E-2</v>
      </c>
    </row>
    <row r="414" spans="1:13" x14ac:dyDescent="0.25">
      <c r="A414" t="s">
        <v>1295</v>
      </c>
      <c r="K414" s="1" t="str">
        <f t="shared" si="12"/>
        <v>2019-11-01</v>
      </c>
      <c r="L414">
        <v>8665.4697269999997</v>
      </c>
      <c r="M414" s="2">
        <f t="shared" si="13"/>
        <v>4.4994351326038462E-2</v>
      </c>
    </row>
    <row r="415" spans="1:13" x14ac:dyDescent="0.25">
      <c r="A415" t="s">
        <v>1296</v>
      </c>
      <c r="K415" s="1" t="str">
        <f t="shared" si="12"/>
        <v>2019-12-01</v>
      </c>
      <c r="L415">
        <v>8972.5996090000008</v>
      </c>
      <c r="M415" s="2">
        <f t="shared" si="13"/>
        <v>3.5442958278769421E-2</v>
      </c>
    </row>
    <row r="416" spans="1:13" x14ac:dyDescent="0.25">
      <c r="A416" t="s">
        <v>1297</v>
      </c>
      <c r="K416" s="1" t="str">
        <f t="shared" si="12"/>
        <v>2020-01-01</v>
      </c>
      <c r="L416">
        <v>9150.9404300000006</v>
      </c>
      <c r="M416" s="2">
        <f t="shared" si="13"/>
        <v>1.9876159504667257E-2</v>
      </c>
    </row>
    <row r="417" spans="1:13" x14ac:dyDescent="0.25">
      <c r="A417" t="s">
        <v>1298</v>
      </c>
      <c r="K417" s="1" t="str">
        <f t="shared" si="12"/>
        <v>2020-02-01</v>
      </c>
      <c r="L417">
        <v>8567.3701170000004</v>
      </c>
      <c r="M417" s="2">
        <f t="shared" si="13"/>
        <v>-6.3771621885642671E-2</v>
      </c>
    </row>
    <row r="418" spans="1:13" x14ac:dyDescent="0.25">
      <c r="A418" t="s">
        <v>1299</v>
      </c>
      <c r="K418" s="1" t="str">
        <f t="shared" si="12"/>
        <v>2020-03-01</v>
      </c>
      <c r="L418">
        <v>7700.1000979999999</v>
      </c>
      <c r="M418" s="2">
        <f t="shared" si="13"/>
        <v>-0.10122943297139697</v>
      </c>
    </row>
    <row r="419" spans="1:13" x14ac:dyDescent="0.25">
      <c r="A419" t="s">
        <v>1300</v>
      </c>
      <c r="K419" s="1" t="str">
        <f t="shared" si="12"/>
        <v>2020-04-01</v>
      </c>
      <c r="L419">
        <v>8889.5498050000006</v>
      </c>
      <c r="M419" s="2">
        <f t="shared" si="13"/>
        <v>0.15447197982646288</v>
      </c>
    </row>
    <row r="420" spans="1:13" x14ac:dyDescent="0.25">
      <c r="A420" t="s">
        <v>1301</v>
      </c>
      <c r="K420" s="1" t="str">
        <f t="shared" si="12"/>
        <v>2020-05-01</v>
      </c>
      <c r="L420">
        <v>9489.8701170000004</v>
      </c>
      <c r="M420" s="2">
        <f t="shared" si="13"/>
        <v>6.7531013962298214E-2</v>
      </c>
    </row>
    <row r="421" spans="1:13" x14ac:dyDescent="0.25">
      <c r="A421" t="s">
        <v>1302</v>
      </c>
      <c r="K421" s="1" t="str">
        <f t="shared" si="12"/>
        <v>2020-06-01</v>
      </c>
      <c r="L421">
        <v>10058.769531</v>
      </c>
      <c r="M421" s="2">
        <f t="shared" si="13"/>
        <v>5.9948071679177373E-2</v>
      </c>
    </row>
    <row r="422" spans="1:13" x14ac:dyDescent="0.25">
      <c r="A422" t="s">
        <v>1303</v>
      </c>
      <c r="K422" s="1" t="str">
        <f t="shared" si="12"/>
        <v>2020-07-01</v>
      </c>
      <c r="L422">
        <v>10745.269531</v>
      </c>
      <c r="M422" s="2">
        <f t="shared" si="13"/>
        <v>6.8248904389774934E-2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AC47E-3BD6-4973-A702-A578E6042D88}">
  <sheetPr codeName="Sheet21"/>
  <dimension ref="A1:O422"/>
  <sheetViews>
    <sheetView workbookViewId="0">
      <selection activeCell="O2" sqref="O2"/>
    </sheetView>
  </sheetViews>
  <sheetFormatPr defaultRowHeight="15" x14ac:dyDescent="0.25"/>
  <cols>
    <col min="11" max="11" width="10.42578125" bestFit="1" customWidth="1"/>
    <col min="12" max="12" width="12.5703125" bestFit="1" customWidth="1"/>
  </cols>
  <sheetData>
    <row r="1" spans="1:15" x14ac:dyDescent="0.25">
      <c r="A1" t="s">
        <v>1</v>
      </c>
      <c r="K1" t="s">
        <v>2</v>
      </c>
      <c r="L1" t="s">
        <v>3</v>
      </c>
      <c r="M1" t="s">
        <v>851</v>
      </c>
      <c r="O1" t="s">
        <v>877</v>
      </c>
    </row>
    <row r="2" spans="1:15" x14ac:dyDescent="0.25">
      <c r="A2" t="s">
        <v>427</v>
      </c>
      <c r="K2" s="1" t="str">
        <f>LEFT(A2,10)</f>
        <v>1985-07-01</v>
      </c>
      <c r="L2">
        <v>1347.4499510000001</v>
      </c>
      <c r="O2" s="2">
        <v>8.0753412546213238E-3</v>
      </c>
    </row>
    <row r="3" spans="1:15" x14ac:dyDescent="0.25">
      <c r="A3" t="s">
        <v>428</v>
      </c>
      <c r="K3" s="1" t="str">
        <f t="shared" ref="K3:K66" si="0">LEFT(A3,10)</f>
        <v>1985-08-01</v>
      </c>
      <c r="L3">
        <v>1334.01001</v>
      </c>
      <c r="M3" s="2">
        <f>(L3/L2)-1</f>
        <v>-9.9743526577931174E-3</v>
      </c>
    </row>
    <row r="4" spans="1:15" x14ac:dyDescent="0.25">
      <c r="A4" t="s">
        <v>429</v>
      </c>
      <c r="K4" s="1" t="str">
        <f t="shared" si="0"/>
        <v>1985-09-01</v>
      </c>
      <c r="L4">
        <v>1328.630005</v>
      </c>
      <c r="M4" s="2">
        <f t="shared" ref="M4:M67" si="1">(L4/L3)-1</f>
        <v>-4.0329569940783516E-3</v>
      </c>
    </row>
    <row r="5" spans="1:15" x14ac:dyDescent="0.25">
      <c r="A5" t="s">
        <v>430</v>
      </c>
      <c r="K5" s="1" t="str">
        <f t="shared" si="0"/>
        <v>1985-10-01</v>
      </c>
      <c r="L5">
        <v>1374.3100589999999</v>
      </c>
      <c r="M5" s="2">
        <f t="shared" si="1"/>
        <v>3.4381320479059951E-2</v>
      </c>
    </row>
    <row r="6" spans="1:15" x14ac:dyDescent="0.25">
      <c r="A6" t="s">
        <v>431</v>
      </c>
      <c r="K6" s="1" t="str">
        <f t="shared" si="0"/>
        <v>1985-11-01</v>
      </c>
      <c r="L6">
        <v>1472.130005</v>
      </c>
      <c r="M6" s="2">
        <f t="shared" si="1"/>
        <v>7.1177494015562726E-2</v>
      </c>
    </row>
    <row r="7" spans="1:15" x14ac:dyDescent="0.25">
      <c r="A7" t="s">
        <v>432</v>
      </c>
      <c r="K7" s="1" t="str">
        <f t="shared" si="0"/>
        <v>1985-12-01</v>
      </c>
      <c r="L7">
        <v>1546.670044</v>
      </c>
      <c r="M7" s="2">
        <f t="shared" si="1"/>
        <v>5.0634141513880682E-2</v>
      </c>
    </row>
    <row r="8" spans="1:15" x14ac:dyDescent="0.25">
      <c r="A8" t="s">
        <v>433</v>
      </c>
      <c r="K8" s="1" t="str">
        <f t="shared" si="0"/>
        <v>1986-01-01</v>
      </c>
      <c r="L8">
        <v>1570.98999</v>
      </c>
      <c r="M8" s="2">
        <f t="shared" si="1"/>
        <v>1.572406868183962E-2</v>
      </c>
    </row>
    <row r="9" spans="1:15" x14ac:dyDescent="0.25">
      <c r="A9" t="s">
        <v>434</v>
      </c>
      <c r="K9" s="1" t="str">
        <f t="shared" si="0"/>
        <v>1986-02-01</v>
      </c>
      <c r="L9">
        <v>1709.0600589999999</v>
      </c>
      <c r="M9" s="2">
        <f t="shared" si="1"/>
        <v>8.7887300287635695E-2</v>
      </c>
    </row>
    <row r="10" spans="1:15" x14ac:dyDescent="0.25">
      <c r="A10" t="s">
        <v>435</v>
      </c>
      <c r="K10" s="1" t="str">
        <f t="shared" si="0"/>
        <v>1986-03-01</v>
      </c>
      <c r="L10">
        <v>1818.6099850000001</v>
      </c>
      <c r="M10" s="2">
        <f t="shared" si="1"/>
        <v>6.4099517991251576E-2</v>
      </c>
    </row>
    <row r="11" spans="1:15" x14ac:dyDescent="0.25">
      <c r="A11" t="s">
        <v>436</v>
      </c>
      <c r="K11" s="1" t="str">
        <f t="shared" si="0"/>
        <v>1986-04-01</v>
      </c>
      <c r="L11">
        <v>1783.9799800000001</v>
      </c>
      <c r="M11" s="2">
        <f t="shared" si="1"/>
        <v>-1.9042018511737147E-2</v>
      </c>
    </row>
    <row r="12" spans="1:15" x14ac:dyDescent="0.25">
      <c r="A12" t="s">
        <v>437</v>
      </c>
      <c r="K12" s="1" t="str">
        <f t="shared" si="0"/>
        <v>1986-05-01</v>
      </c>
      <c r="L12">
        <v>1876.709961</v>
      </c>
      <c r="M12" s="2">
        <f t="shared" si="1"/>
        <v>5.1979272211339467E-2</v>
      </c>
    </row>
    <row r="13" spans="1:15" x14ac:dyDescent="0.25">
      <c r="A13" t="s">
        <v>438</v>
      </c>
      <c r="K13" s="1" t="str">
        <f t="shared" si="0"/>
        <v>1986-06-01</v>
      </c>
      <c r="L13">
        <v>1892.719971</v>
      </c>
      <c r="M13" s="2">
        <f t="shared" si="1"/>
        <v>8.5308920039348646E-3</v>
      </c>
    </row>
    <row r="14" spans="1:15" x14ac:dyDescent="0.25">
      <c r="A14" t="s">
        <v>439</v>
      </c>
      <c r="K14" s="1" t="str">
        <f t="shared" si="0"/>
        <v>1986-07-01</v>
      </c>
      <c r="L14">
        <v>1775.3100589999999</v>
      </c>
      <c r="M14" s="2">
        <f t="shared" si="1"/>
        <v>-6.2032373409135477E-2</v>
      </c>
    </row>
    <row r="15" spans="1:15" x14ac:dyDescent="0.25">
      <c r="A15" t="s">
        <v>440</v>
      </c>
      <c r="K15" s="1" t="str">
        <f t="shared" si="0"/>
        <v>1986-08-01</v>
      </c>
      <c r="L15">
        <v>1898.339966</v>
      </c>
      <c r="M15" s="2">
        <f t="shared" si="1"/>
        <v>6.9300518169372882E-2</v>
      </c>
    </row>
    <row r="16" spans="1:15" x14ac:dyDescent="0.25">
      <c r="A16" t="s">
        <v>441</v>
      </c>
      <c r="K16" s="1" t="str">
        <f t="shared" si="0"/>
        <v>1986-09-01</v>
      </c>
      <c r="L16">
        <v>1767.579956</v>
      </c>
      <c r="M16" s="2">
        <f t="shared" si="1"/>
        <v>-6.8881239578769904E-2</v>
      </c>
    </row>
    <row r="17" spans="1:13" x14ac:dyDescent="0.25">
      <c r="A17" t="s">
        <v>442</v>
      </c>
      <c r="K17" s="1" t="str">
        <f t="shared" si="0"/>
        <v>1986-10-01</v>
      </c>
      <c r="L17">
        <v>1877.709961</v>
      </c>
      <c r="M17" s="2">
        <f t="shared" si="1"/>
        <v>6.2305529447857166E-2</v>
      </c>
    </row>
    <row r="18" spans="1:13" x14ac:dyDescent="0.25">
      <c r="A18" t="s">
        <v>443</v>
      </c>
      <c r="K18" s="1" t="str">
        <f t="shared" si="0"/>
        <v>1986-11-01</v>
      </c>
      <c r="L18">
        <v>1914.2299800000001</v>
      </c>
      <c r="M18" s="2">
        <f t="shared" si="1"/>
        <v>1.944923324609249E-2</v>
      </c>
    </row>
    <row r="19" spans="1:13" x14ac:dyDescent="0.25">
      <c r="A19" t="s">
        <v>444</v>
      </c>
      <c r="K19" s="1" t="str">
        <f t="shared" si="0"/>
        <v>1986-12-01</v>
      </c>
      <c r="L19">
        <v>1895.9499510000001</v>
      </c>
      <c r="M19" s="2">
        <f t="shared" si="1"/>
        <v>-9.5495469149428081E-3</v>
      </c>
    </row>
    <row r="20" spans="1:13" x14ac:dyDescent="0.25">
      <c r="A20" t="s">
        <v>445</v>
      </c>
      <c r="K20" s="1" t="str">
        <f t="shared" si="0"/>
        <v>1987-01-01</v>
      </c>
      <c r="L20">
        <v>2158.040039</v>
      </c>
      <c r="M20" s="2">
        <f t="shared" si="1"/>
        <v>0.13823681783464958</v>
      </c>
    </row>
    <row r="21" spans="1:13" x14ac:dyDescent="0.25">
      <c r="A21" t="s">
        <v>446</v>
      </c>
      <c r="K21" s="1" t="str">
        <f t="shared" si="0"/>
        <v>1987-02-01</v>
      </c>
      <c r="L21">
        <v>2223.98999</v>
      </c>
      <c r="M21" s="2">
        <f t="shared" si="1"/>
        <v>3.0560114644842429E-2</v>
      </c>
    </row>
    <row r="22" spans="1:13" x14ac:dyDescent="0.25">
      <c r="A22" t="s">
        <v>447</v>
      </c>
      <c r="K22" s="1" t="str">
        <f t="shared" si="0"/>
        <v>1987-03-01</v>
      </c>
      <c r="L22">
        <v>2304.6899410000001</v>
      </c>
      <c r="M22" s="2">
        <f t="shared" si="1"/>
        <v>3.6286112510785173E-2</v>
      </c>
    </row>
    <row r="23" spans="1:13" x14ac:dyDescent="0.25">
      <c r="A23" t="s">
        <v>448</v>
      </c>
      <c r="K23" s="1" t="str">
        <f t="shared" si="0"/>
        <v>1987-04-01</v>
      </c>
      <c r="L23">
        <v>2286.360107</v>
      </c>
      <c r="M23" s="2">
        <f t="shared" si="1"/>
        <v>-7.9532754814067852E-3</v>
      </c>
    </row>
    <row r="24" spans="1:13" x14ac:dyDescent="0.25">
      <c r="A24" t="s">
        <v>449</v>
      </c>
      <c r="K24" s="1" t="str">
        <f t="shared" si="0"/>
        <v>1987-05-01</v>
      </c>
      <c r="L24">
        <v>2291.570068</v>
      </c>
      <c r="M24" s="2">
        <f t="shared" si="1"/>
        <v>2.2787140940960793E-3</v>
      </c>
    </row>
    <row r="25" spans="1:13" x14ac:dyDescent="0.25">
      <c r="A25" t="s">
        <v>450</v>
      </c>
      <c r="K25" s="1" t="str">
        <f t="shared" si="0"/>
        <v>1987-06-01</v>
      </c>
      <c r="L25">
        <v>2418.530029</v>
      </c>
      <c r="M25" s="2">
        <f t="shared" si="1"/>
        <v>5.5403045611782664E-2</v>
      </c>
    </row>
    <row r="26" spans="1:13" x14ac:dyDescent="0.25">
      <c r="A26" t="s">
        <v>451</v>
      </c>
      <c r="K26" s="1" t="str">
        <f t="shared" si="0"/>
        <v>1987-07-01</v>
      </c>
      <c r="L26">
        <v>2572.070068</v>
      </c>
      <c r="M26" s="2">
        <f t="shared" si="1"/>
        <v>6.3484859463781351E-2</v>
      </c>
    </row>
    <row r="27" spans="1:13" x14ac:dyDescent="0.25">
      <c r="A27" t="s">
        <v>452</v>
      </c>
      <c r="K27" s="1" t="str">
        <f t="shared" si="0"/>
        <v>1987-08-01</v>
      </c>
      <c r="L27">
        <v>2662.9499510000001</v>
      </c>
      <c r="M27" s="2">
        <f t="shared" si="1"/>
        <v>3.533336207697757E-2</v>
      </c>
    </row>
    <row r="28" spans="1:13" x14ac:dyDescent="0.25">
      <c r="A28" t="s">
        <v>453</v>
      </c>
      <c r="K28" s="1" t="str">
        <f t="shared" si="0"/>
        <v>1987-09-01</v>
      </c>
      <c r="L28">
        <v>2596.280029</v>
      </c>
      <c r="M28" s="2">
        <f t="shared" si="1"/>
        <v>-2.503611529573202E-2</v>
      </c>
    </row>
    <row r="29" spans="1:13" x14ac:dyDescent="0.25">
      <c r="A29" t="s">
        <v>454</v>
      </c>
      <c r="K29" s="1" t="str">
        <f t="shared" si="0"/>
        <v>1987-10-01</v>
      </c>
      <c r="L29">
        <v>1993.530029</v>
      </c>
      <c r="M29" s="2">
        <f t="shared" si="1"/>
        <v>-0.23215908656515727</v>
      </c>
    </row>
    <row r="30" spans="1:13" x14ac:dyDescent="0.25">
      <c r="A30" t="s">
        <v>455</v>
      </c>
      <c r="K30" s="1" t="str">
        <f t="shared" si="0"/>
        <v>1987-11-01</v>
      </c>
      <c r="L30">
        <v>1833.5500489999999</v>
      </c>
      <c r="M30" s="2">
        <f t="shared" si="1"/>
        <v>-8.0249596280347779E-2</v>
      </c>
    </row>
    <row r="31" spans="1:13" x14ac:dyDescent="0.25">
      <c r="A31" t="s">
        <v>456</v>
      </c>
      <c r="K31" s="1" t="str">
        <f t="shared" si="0"/>
        <v>1987-12-01</v>
      </c>
      <c r="L31">
        <v>1938.829956</v>
      </c>
      <c r="M31" s="2">
        <f t="shared" si="1"/>
        <v>5.7418616447049597E-2</v>
      </c>
    </row>
    <row r="32" spans="1:13" x14ac:dyDescent="0.25">
      <c r="A32" t="s">
        <v>457</v>
      </c>
      <c r="K32" s="1" t="str">
        <f t="shared" si="0"/>
        <v>1988-01-01</v>
      </c>
      <c r="L32">
        <v>1958.219971</v>
      </c>
      <c r="M32" s="2">
        <f t="shared" si="1"/>
        <v>1.000088478104777E-2</v>
      </c>
    </row>
    <row r="33" spans="1:13" x14ac:dyDescent="0.25">
      <c r="A33" t="s">
        <v>458</v>
      </c>
      <c r="K33" s="1" t="str">
        <f t="shared" si="0"/>
        <v>1988-02-01</v>
      </c>
      <c r="L33">
        <v>2071.6201169999999</v>
      </c>
      <c r="M33" s="2">
        <f t="shared" si="1"/>
        <v>5.7909809765697595E-2</v>
      </c>
    </row>
    <row r="34" spans="1:13" x14ac:dyDescent="0.25">
      <c r="A34" t="s">
        <v>459</v>
      </c>
      <c r="K34" s="1" t="str">
        <f t="shared" si="0"/>
        <v>1988-03-01</v>
      </c>
      <c r="L34">
        <v>1988.0600589999999</v>
      </c>
      <c r="M34" s="2">
        <f t="shared" si="1"/>
        <v>-4.0335608499982523E-2</v>
      </c>
    </row>
    <row r="35" spans="1:13" x14ac:dyDescent="0.25">
      <c r="A35" t="s">
        <v>460</v>
      </c>
      <c r="K35" s="1" t="str">
        <f t="shared" si="0"/>
        <v>1988-04-01</v>
      </c>
      <c r="L35">
        <v>2032.329956</v>
      </c>
      <c r="M35" s="2">
        <f t="shared" si="1"/>
        <v>2.2267887129258979E-2</v>
      </c>
    </row>
    <row r="36" spans="1:13" x14ac:dyDescent="0.25">
      <c r="A36" t="s">
        <v>461</v>
      </c>
      <c r="K36" s="1" t="str">
        <f t="shared" si="0"/>
        <v>1988-05-01</v>
      </c>
      <c r="L36">
        <v>2031.119995</v>
      </c>
      <c r="M36" s="2">
        <f t="shared" si="1"/>
        <v>-5.9535657407783216E-4</v>
      </c>
    </row>
    <row r="37" spans="1:13" x14ac:dyDescent="0.25">
      <c r="A37" t="s">
        <v>462</v>
      </c>
      <c r="K37" s="1" t="str">
        <f t="shared" si="0"/>
        <v>1988-06-01</v>
      </c>
      <c r="L37">
        <v>2141.709961</v>
      </c>
      <c r="M37" s="2">
        <f t="shared" si="1"/>
        <v>5.4447775745519067E-2</v>
      </c>
    </row>
    <row r="38" spans="1:13" x14ac:dyDescent="0.25">
      <c r="A38" t="s">
        <v>463</v>
      </c>
      <c r="K38" s="1" t="str">
        <f t="shared" si="0"/>
        <v>1988-07-01</v>
      </c>
      <c r="L38">
        <v>2128.7299800000001</v>
      </c>
      <c r="M38" s="2">
        <f t="shared" si="1"/>
        <v>-6.0605690015744784E-3</v>
      </c>
    </row>
    <row r="39" spans="1:13" x14ac:dyDescent="0.25">
      <c r="A39" t="s">
        <v>464</v>
      </c>
      <c r="K39" s="1" t="str">
        <f t="shared" si="0"/>
        <v>1988-08-01</v>
      </c>
      <c r="L39">
        <v>2031.650024</v>
      </c>
      <c r="M39" s="2">
        <f t="shared" si="1"/>
        <v>-4.5604636056283732E-2</v>
      </c>
    </row>
    <row r="40" spans="1:13" x14ac:dyDescent="0.25">
      <c r="A40" t="s">
        <v>465</v>
      </c>
      <c r="K40" s="1" t="str">
        <f t="shared" si="0"/>
        <v>1988-09-01</v>
      </c>
      <c r="L40">
        <v>2112.9099120000001</v>
      </c>
      <c r="M40" s="2">
        <f t="shared" si="1"/>
        <v>3.9996991135319737E-2</v>
      </c>
    </row>
    <row r="41" spans="1:13" x14ac:dyDescent="0.25">
      <c r="A41" t="s">
        <v>466</v>
      </c>
      <c r="K41" s="1" t="str">
        <f t="shared" si="0"/>
        <v>1988-10-01</v>
      </c>
      <c r="L41">
        <v>2148.6499020000001</v>
      </c>
      <c r="M41" s="2">
        <f t="shared" si="1"/>
        <v>1.6915056244007021E-2</v>
      </c>
    </row>
    <row r="42" spans="1:13" x14ac:dyDescent="0.25">
      <c r="A42" t="s">
        <v>467</v>
      </c>
      <c r="K42" s="1" t="str">
        <f t="shared" si="0"/>
        <v>1988-11-01</v>
      </c>
      <c r="L42">
        <v>2114.51001</v>
      </c>
      <c r="M42" s="2">
        <f t="shared" si="1"/>
        <v>-1.5888997071240918E-2</v>
      </c>
    </row>
    <row r="43" spans="1:13" x14ac:dyDescent="0.25">
      <c r="A43" t="s">
        <v>468</v>
      </c>
      <c r="K43" s="1" t="str">
        <f t="shared" si="0"/>
        <v>1988-12-01</v>
      </c>
      <c r="L43">
        <v>2168.570068</v>
      </c>
      <c r="M43" s="2">
        <f t="shared" si="1"/>
        <v>2.5566234136673582E-2</v>
      </c>
    </row>
    <row r="44" spans="1:13" x14ac:dyDescent="0.25">
      <c r="A44" t="s">
        <v>469</v>
      </c>
      <c r="K44" s="1" t="str">
        <f t="shared" si="0"/>
        <v>1989-01-01</v>
      </c>
      <c r="L44">
        <v>2342.320068</v>
      </c>
      <c r="M44" s="2">
        <f t="shared" si="1"/>
        <v>8.0121921151592668E-2</v>
      </c>
    </row>
    <row r="45" spans="1:13" x14ac:dyDescent="0.25">
      <c r="A45" t="s">
        <v>470</v>
      </c>
      <c r="K45" s="1" t="str">
        <f t="shared" si="0"/>
        <v>1989-02-01</v>
      </c>
      <c r="L45">
        <v>2258.389893</v>
      </c>
      <c r="M45" s="2">
        <f t="shared" si="1"/>
        <v>-3.5832069300274605E-2</v>
      </c>
    </row>
    <row r="46" spans="1:13" x14ac:dyDescent="0.25">
      <c r="A46" t="s">
        <v>471</v>
      </c>
      <c r="K46" s="1" t="str">
        <f t="shared" si="0"/>
        <v>1989-03-01</v>
      </c>
      <c r="L46">
        <v>2293.6201169999999</v>
      </c>
      <c r="M46" s="2">
        <f t="shared" si="1"/>
        <v>1.5599708495507292E-2</v>
      </c>
    </row>
    <row r="47" spans="1:13" x14ac:dyDescent="0.25">
      <c r="A47" t="s">
        <v>472</v>
      </c>
      <c r="K47" s="1" t="str">
        <f t="shared" si="0"/>
        <v>1989-04-01</v>
      </c>
      <c r="L47">
        <v>2418.8000489999999</v>
      </c>
      <c r="M47" s="2">
        <f t="shared" si="1"/>
        <v>5.4577447709053262E-2</v>
      </c>
    </row>
    <row r="48" spans="1:13" x14ac:dyDescent="0.25">
      <c r="A48" t="s">
        <v>473</v>
      </c>
      <c r="K48" s="1" t="str">
        <f t="shared" si="0"/>
        <v>1989-05-01</v>
      </c>
      <c r="L48">
        <v>2480.1499020000001</v>
      </c>
      <c r="M48" s="2">
        <f t="shared" si="1"/>
        <v>2.5363755480889649E-2</v>
      </c>
    </row>
    <row r="49" spans="1:13" x14ac:dyDescent="0.25">
      <c r="A49" t="s">
        <v>474</v>
      </c>
      <c r="K49" s="1" t="str">
        <f t="shared" si="0"/>
        <v>1989-06-01</v>
      </c>
      <c r="L49">
        <v>2440.0600589999999</v>
      </c>
      <c r="M49" s="2">
        <f t="shared" si="1"/>
        <v>-1.616428223458255E-2</v>
      </c>
    </row>
    <row r="50" spans="1:13" x14ac:dyDescent="0.25">
      <c r="A50" t="s">
        <v>475</v>
      </c>
      <c r="K50" s="1" t="str">
        <f t="shared" si="0"/>
        <v>1989-07-01</v>
      </c>
      <c r="L50">
        <v>2660.6599120000001</v>
      </c>
      <c r="M50" s="2">
        <f t="shared" si="1"/>
        <v>9.0407550497100253E-2</v>
      </c>
    </row>
    <row r="51" spans="1:13" x14ac:dyDescent="0.25">
      <c r="A51" t="s">
        <v>476</v>
      </c>
      <c r="K51" s="1" t="str">
        <f t="shared" si="0"/>
        <v>1989-08-01</v>
      </c>
      <c r="L51">
        <v>2737.2700199999999</v>
      </c>
      <c r="M51" s="2">
        <f t="shared" si="1"/>
        <v>2.8793649144889244E-2</v>
      </c>
    </row>
    <row r="52" spans="1:13" x14ac:dyDescent="0.25">
      <c r="A52" t="s">
        <v>477</v>
      </c>
      <c r="K52" s="1" t="str">
        <f t="shared" si="0"/>
        <v>1989-09-01</v>
      </c>
      <c r="L52">
        <v>2692.820068</v>
      </c>
      <c r="M52" s="2">
        <f t="shared" si="1"/>
        <v>-1.6238789624415606E-2</v>
      </c>
    </row>
    <row r="53" spans="1:13" x14ac:dyDescent="0.25">
      <c r="A53" t="s">
        <v>478</v>
      </c>
      <c r="K53" s="1" t="str">
        <f t="shared" si="0"/>
        <v>1989-10-01</v>
      </c>
      <c r="L53">
        <v>2645.080078</v>
      </c>
      <c r="M53" s="2">
        <f t="shared" si="1"/>
        <v>-1.7728622334375777E-2</v>
      </c>
    </row>
    <row r="54" spans="1:13" x14ac:dyDescent="0.25">
      <c r="A54" t="s">
        <v>479</v>
      </c>
      <c r="K54" s="1" t="str">
        <f t="shared" si="0"/>
        <v>1989-11-01</v>
      </c>
      <c r="L54">
        <v>2706.2700199999999</v>
      </c>
      <c r="M54" s="2">
        <f t="shared" si="1"/>
        <v>2.3133493200805821E-2</v>
      </c>
    </row>
    <row r="55" spans="1:13" x14ac:dyDescent="0.25">
      <c r="A55" t="s">
        <v>480</v>
      </c>
      <c r="K55" s="1" t="str">
        <f t="shared" si="0"/>
        <v>1989-12-01</v>
      </c>
      <c r="L55">
        <v>2753.1999510000001</v>
      </c>
      <c r="M55" s="2">
        <f t="shared" si="1"/>
        <v>1.7341185710655793E-2</v>
      </c>
    </row>
    <row r="56" spans="1:13" x14ac:dyDescent="0.25">
      <c r="A56" t="s">
        <v>481</v>
      </c>
      <c r="K56" s="1" t="str">
        <f t="shared" si="0"/>
        <v>1990-01-01</v>
      </c>
      <c r="L56">
        <v>2590.540039</v>
      </c>
      <c r="M56" s="2">
        <f t="shared" si="1"/>
        <v>-5.9080311962420251E-2</v>
      </c>
    </row>
    <row r="57" spans="1:13" x14ac:dyDescent="0.25">
      <c r="A57" t="s">
        <v>482</v>
      </c>
      <c r="K57" s="1" t="str">
        <f t="shared" si="0"/>
        <v>1990-02-01</v>
      </c>
      <c r="L57">
        <v>2627.25</v>
      </c>
      <c r="M57" s="2">
        <f t="shared" si="1"/>
        <v>1.4170775377851719E-2</v>
      </c>
    </row>
    <row r="58" spans="1:13" x14ac:dyDescent="0.25">
      <c r="A58" t="s">
        <v>483</v>
      </c>
      <c r="K58" s="1" t="str">
        <f t="shared" si="0"/>
        <v>1990-03-01</v>
      </c>
      <c r="L58">
        <v>2707.209961</v>
      </c>
      <c r="M58" s="2">
        <f t="shared" si="1"/>
        <v>3.0434850509087452E-2</v>
      </c>
    </row>
    <row r="59" spans="1:13" x14ac:dyDescent="0.25">
      <c r="A59" t="s">
        <v>484</v>
      </c>
      <c r="K59" s="1" t="str">
        <f t="shared" si="0"/>
        <v>1990-04-01</v>
      </c>
      <c r="L59">
        <v>2656.76001</v>
      </c>
      <c r="M59" s="2">
        <f t="shared" si="1"/>
        <v>-1.8635403875865153E-2</v>
      </c>
    </row>
    <row r="60" spans="1:13" x14ac:dyDescent="0.25">
      <c r="A60" t="s">
        <v>485</v>
      </c>
      <c r="K60" s="1" t="str">
        <f t="shared" si="0"/>
        <v>1990-05-01</v>
      </c>
      <c r="L60">
        <v>2876.6599120000001</v>
      </c>
      <c r="M60" s="2">
        <f t="shared" si="1"/>
        <v>8.276995331618231E-2</v>
      </c>
    </row>
    <row r="61" spans="1:13" x14ac:dyDescent="0.25">
      <c r="A61" t="s">
        <v>486</v>
      </c>
      <c r="K61" s="1" t="str">
        <f t="shared" si="0"/>
        <v>1990-06-01</v>
      </c>
      <c r="L61">
        <v>2880.6899410000001</v>
      </c>
      <c r="M61" s="2">
        <f t="shared" si="1"/>
        <v>1.4009403694850153E-3</v>
      </c>
    </row>
    <row r="62" spans="1:13" x14ac:dyDescent="0.25">
      <c r="A62" t="s">
        <v>487</v>
      </c>
      <c r="K62" s="1" t="str">
        <f t="shared" si="0"/>
        <v>1990-07-01</v>
      </c>
      <c r="L62">
        <v>2905.1999510000001</v>
      </c>
      <c r="M62" s="2">
        <f t="shared" si="1"/>
        <v>8.5083818467084349E-3</v>
      </c>
    </row>
    <row r="63" spans="1:13" x14ac:dyDescent="0.25">
      <c r="A63" t="s">
        <v>488</v>
      </c>
      <c r="K63" s="1" t="str">
        <f t="shared" si="0"/>
        <v>1990-08-01</v>
      </c>
      <c r="L63">
        <v>2614.360107</v>
      </c>
      <c r="M63" s="2">
        <f t="shared" si="1"/>
        <v>-0.10011009531371151</v>
      </c>
    </row>
    <row r="64" spans="1:13" x14ac:dyDescent="0.25">
      <c r="A64" t="s">
        <v>489</v>
      </c>
      <c r="K64" s="1" t="str">
        <f t="shared" si="0"/>
        <v>1990-09-01</v>
      </c>
      <c r="L64">
        <v>2452.4799800000001</v>
      </c>
      <c r="M64" s="2">
        <f t="shared" si="1"/>
        <v>-6.1919598056351388E-2</v>
      </c>
    </row>
    <row r="65" spans="1:13" x14ac:dyDescent="0.25">
      <c r="A65" t="s">
        <v>490</v>
      </c>
      <c r="K65" s="1" t="str">
        <f t="shared" si="0"/>
        <v>1990-10-01</v>
      </c>
      <c r="L65">
        <v>2442.330078</v>
      </c>
      <c r="M65" s="2">
        <f t="shared" si="1"/>
        <v>-4.1386278716942781E-3</v>
      </c>
    </row>
    <row r="66" spans="1:13" x14ac:dyDescent="0.25">
      <c r="A66" t="s">
        <v>491</v>
      </c>
      <c r="K66" s="1" t="str">
        <f t="shared" si="0"/>
        <v>1990-11-01</v>
      </c>
      <c r="L66">
        <v>2559.6499020000001</v>
      </c>
      <c r="M66" s="2">
        <f t="shared" si="1"/>
        <v>4.8036023081725387E-2</v>
      </c>
    </row>
    <row r="67" spans="1:13" x14ac:dyDescent="0.25">
      <c r="A67" t="s">
        <v>492</v>
      </c>
      <c r="K67" s="1" t="str">
        <f t="shared" ref="K67:K130" si="2">LEFT(A67,10)</f>
        <v>1990-12-01</v>
      </c>
      <c r="L67">
        <v>2633.6599120000001</v>
      </c>
      <c r="M67" s="2">
        <f t="shared" si="1"/>
        <v>2.8914114364691823E-2</v>
      </c>
    </row>
    <row r="68" spans="1:13" x14ac:dyDescent="0.25">
      <c r="A68" t="s">
        <v>493</v>
      </c>
      <c r="K68" s="1" t="str">
        <f t="shared" si="2"/>
        <v>1991-01-01</v>
      </c>
      <c r="L68">
        <v>2736.389893</v>
      </c>
      <c r="M68" s="2">
        <f t="shared" ref="M68:M131" si="3">(L68/L67)-1</f>
        <v>3.9006547706452732E-2</v>
      </c>
    </row>
    <row r="69" spans="1:13" x14ac:dyDescent="0.25">
      <c r="A69" t="s">
        <v>494</v>
      </c>
      <c r="K69" s="1" t="str">
        <f t="shared" si="2"/>
        <v>1991-02-01</v>
      </c>
      <c r="L69">
        <v>2882.179932</v>
      </c>
      <c r="M69" s="2">
        <f t="shared" si="3"/>
        <v>5.3278240565406199E-2</v>
      </c>
    </row>
    <row r="70" spans="1:13" x14ac:dyDescent="0.25">
      <c r="A70" t="s">
        <v>495</v>
      </c>
      <c r="K70" s="1" t="str">
        <f t="shared" si="2"/>
        <v>1991-03-01</v>
      </c>
      <c r="L70">
        <v>2913.860107</v>
      </c>
      <c r="M70" s="2">
        <f t="shared" si="3"/>
        <v>1.099174088621746E-2</v>
      </c>
    </row>
    <row r="71" spans="1:13" x14ac:dyDescent="0.25">
      <c r="A71" t="s">
        <v>496</v>
      </c>
      <c r="K71" s="1" t="str">
        <f t="shared" si="2"/>
        <v>1991-04-01</v>
      </c>
      <c r="L71">
        <v>2887.8701169999999</v>
      </c>
      <c r="M71" s="2">
        <f t="shared" si="3"/>
        <v>-8.9194364333291531E-3</v>
      </c>
    </row>
    <row r="72" spans="1:13" x14ac:dyDescent="0.25">
      <c r="A72" t="s">
        <v>497</v>
      </c>
      <c r="K72" s="1" t="str">
        <f t="shared" si="2"/>
        <v>1991-05-01</v>
      </c>
      <c r="L72">
        <v>3027.5</v>
      </c>
      <c r="M72" s="2">
        <f t="shared" si="3"/>
        <v>4.8350471919786919E-2</v>
      </c>
    </row>
    <row r="73" spans="1:13" x14ac:dyDescent="0.25">
      <c r="A73" t="s">
        <v>498</v>
      </c>
      <c r="K73" s="1" t="str">
        <f t="shared" si="2"/>
        <v>1991-06-01</v>
      </c>
      <c r="L73">
        <v>2906.75</v>
      </c>
      <c r="M73" s="2">
        <f t="shared" si="3"/>
        <v>-3.9884393063583823E-2</v>
      </c>
    </row>
    <row r="74" spans="1:13" x14ac:dyDescent="0.25">
      <c r="A74" t="s">
        <v>499</v>
      </c>
      <c r="K74" s="1" t="str">
        <f t="shared" si="2"/>
        <v>1991-07-01</v>
      </c>
      <c r="L74">
        <v>3024.820068</v>
      </c>
      <c r="M74" s="2">
        <f t="shared" si="3"/>
        <v>4.0619271695192305E-2</v>
      </c>
    </row>
    <row r="75" spans="1:13" x14ac:dyDescent="0.25">
      <c r="A75" t="s">
        <v>500</v>
      </c>
      <c r="K75" s="1" t="str">
        <f t="shared" si="2"/>
        <v>1991-08-01</v>
      </c>
      <c r="L75">
        <v>3043.6000979999999</v>
      </c>
      <c r="M75" s="2">
        <f t="shared" si="3"/>
        <v>6.2086436805535161E-3</v>
      </c>
    </row>
    <row r="76" spans="1:13" x14ac:dyDescent="0.25">
      <c r="A76" t="s">
        <v>501</v>
      </c>
      <c r="K76" s="1" t="str">
        <f t="shared" si="2"/>
        <v>1991-09-01</v>
      </c>
      <c r="L76">
        <v>3016.7700199999999</v>
      </c>
      <c r="M76" s="2">
        <f t="shared" si="3"/>
        <v>-8.8152441635254153E-3</v>
      </c>
    </row>
    <row r="77" spans="1:13" x14ac:dyDescent="0.25">
      <c r="A77" t="s">
        <v>502</v>
      </c>
      <c r="K77" s="1" t="str">
        <f t="shared" si="2"/>
        <v>1991-10-01</v>
      </c>
      <c r="L77">
        <v>3069.1000979999999</v>
      </c>
      <c r="M77" s="2">
        <f t="shared" si="3"/>
        <v>1.7346392881483208E-2</v>
      </c>
    </row>
    <row r="78" spans="1:13" x14ac:dyDescent="0.25">
      <c r="A78" t="s">
        <v>503</v>
      </c>
      <c r="K78" s="1" t="str">
        <f t="shared" si="2"/>
        <v>1991-11-01</v>
      </c>
      <c r="L78">
        <v>2894.679932</v>
      </c>
      <c r="M78" s="2">
        <f t="shared" si="3"/>
        <v>-5.6831045072026853E-2</v>
      </c>
    </row>
    <row r="79" spans="1:13" x14ac:dyDescent="0.25">
      <c r="A79" t="s">
        <v>504</v>
      </c>
      <c r="K79" s="1" t="str">
        <f t="shared" si="2"/>
        <v>1991-12-01</v>
      </c>
      <c r="L79">
        <v>3168.830078</v>
      </c>
      <c r="M79" s="2">
        <f t="shared" si="3"/>
        <v>9.4708276023658167E-2</v>
      </c>
    </row>
    <row r="80" spans="1:13" x14ac:dyDescent="0.25">
      <c r="A80" t="s">
        <v>505</v>
      </c>
      <c r="K80" s="1" t="str">
        <f t="shared" si="2"/>
        <v>1992-01-01</v>
      </c>
      <c r="L80">
        <v>3223.3999020000001</v>
      </c>
      <c r="M80" s="2">
        <f t="shared" si="3"/>
        <v>1.7220811042806705E-2</v>
      </c>
    </row>
    <row r="81" spans="1:13" x14ac:dyDescent="0.25">
      <c r="A81" t="s">
        <v>506</v>
      </c>
      <c r="K81" s="1" t="str">
        <f t="shared" si="2"/>
        <v>1992-02-01</v>
      </c>
      <c r="L81">
        <v>3267.6999510000001</v>
      </c>
      <c r="M81" s="2">
        <f t="shared" si="3"/>
        <v>1.3743268085512295E-2</v>
      </c>
    </row>
    <row r="82" spans="1:13" x14ac:dyDescent="0.25">
      <c r="A82" t="s">
        <v>507</v>
      </c>
      <c r="K82" s="1" t="str">
        <f t="shared" si="2"/>
        <v>1992-03-01</v>
      </c>
      <c r="L82">
        <v>3235.5</v>
      </c>
      <c r="M82" s="2">
        <f t="shared" si="3"/>
        <v>-9.8540109198661519E-3</v>
      </c>
    </row>
    <row r="83" spans="1:13" x14ac:dyDescent="0.25">
      <c r="A83" t="s">
        <v>508</v>
      </c>
      <c r="K83" s="1" t="str">
        <f t="shared" si="2"/>
        <v>1992-04-01</v>
      </c>
      <c r="L83">
        <v>3359.1000979999999</v>
      </c>
      <c r="M83" s="2">
        <f t="shared" si="3"/>
        <v>3.8201235666821098E-2</v>
      </c>
    </row>
    <row r="84" spans="1:13" x14ac:dyDescent="0.25">
      <c r="A84" t="s">
        <v>509</v>
      </c>
      <c r="K84" s="1" t="str">
        <f t="shared" si="2"/>
        <v>1992-05-01</v>
      </c>
      <c r="L84">
        <v>3396.8999020000001</v>
      </c>
      <c r="M84" s="2">
        <f t="shared" si="3"/>
        <v>1.1252955522970565E-2</v>
      </c>
    </row>
    <row r="85" spans="1:13" x14ac:dyDescent="0.25">
      <c r="A85" t="s">
        <v>510</v>
      </c>
      <c r="K85" s="1" t="str">
        <f t="shared" si="2"/>
        <v>1992-06-01</v>
      </c>
      <c r="L85">
        <v>3318.5</v>
      </c>
      <c r="M85" s="2">
        <f t="shared" si="3"/>
        <v>-2.3079838753517712E-2</v>
      </c>
    </row>
    <row r="86" spans="1:13" x14ac:dyDescent="0.25">
      <c r="A86" t="s">
        <v>511</v>
      </c>
      <c r="K86" s="1" t="str">
        <f t="shared" si="2"/>
        <v>1992-07-01</v>
      </c>
      <c r="L86">
        <v>3393.8000489999999</v>
      </c>
      <c r="M86" s="2">
        <f t="shared" si="3"/>
        <v>2.2690989603736611E-2</v>
      </c>
    </row>
    <row r="87" spans="1:13" x14ac:dyDescent="0.25">
      <c r="A87" t="s">
        <v>512</v>
      </c>
      <c r="K87" s="1" t="str">
        <f t="shared" si="2"/>
        <v>1992-08-01</v>
      </c>
      <c r="L87">
        <v>3257.3999020000001</v>
      </c>
      <c r="M87" s="2">
        <f t="shared" si="3"/>
        <v>-4.0190979147457728E-2</v>
      </c>
    </row>
    <row r="88" spans="1:13" x14ac:dyDescent="0.25">
      <c r="A88" t="s">
        <v>513</v>
      </c>
      <c r="K88" s="1" t="str">
        <f t="shared" si="2"/>
        <v>1992-09-01</v>
      </c>
      <c r="L88">
        <v>3271.6999510000001</v>
      </c>
      <c r="M88" s="2">
        <f t="shared" si="3"/>
        <v>4.3900194726536057E-3</v>
      </c>
    </row>
    <row r="89" spans="1:13" x14ac:dyDescent="0.25">
      <c r="A89" t="s">
        <v>514</v>
      </c>
      <c r="K89" s="1" t="str">
        <f t="shared" si="2"/>
        <v>1992-10-01</v>
      </c>
      <c r="L89">
        <v>3226.3000489999999</v>
      </c>
      <c r="M89" s="2">
        <f t="shared" si="3"/>
        <v>-1.3876548179830306E-2</v>
      </c>
    </row>
    <row r="90" spans="1:13" x14ac:dyDescent="0.25">
      <c r="A90" t="s">
        <v>515</v>
      </c>
      <c r="K90" s="1" t="str">
        <f t="shared" si="2"/>
        <v>1992-11-01</v>
      </c>
      <c r="L90">
        <v>3305.1999510000001</v>
      </c>
      <c r="M90" s="2">
        <f t="shared" si="3"/>
        <v>2.4455227598702445E-2</v>
      </c>
    </row>
    <row r="91" spans="1:13" x14ac:dyDescent="0.25">
      <c r="A91" t="s">
        <v>516</v>
      </c>
      <c r="K91" s="1" t="str">
        <f t="shared" si="2"/>
        <v>1992-12-01</v>
      </c>
      <c r="L91">
        <v>3301.110107</v>
      </c>
      <c r="M91" s="2">
        <f t="shared" si="3"/>
        <v>-1.2373968475833941E-3</v>
      </c>
    </row>
    <row r="92" spans="1:13" x14ac:dyDescent="0.25">
      <c r="A92" t="s">
        <v>517</v>
      </c>
      <c r="K92" s="1" t="str">
        <f t="shared" si="2"/>
        <v>1993-01-01</v>
      </c>
      <c r="L92">
        <v>3310</v>
      </c>
      <c r="M92" s="2">
        <f t="shared" si="3"/>
        <v>2.6930010547510097E-3</v>
      </c>
    </row>
    <row r="93" spans="1:13" x14ac:dyDescent="0.25">
      <c r="A93" t="s">
        <v>518</v>
      </c>
      <c r="K93" s="1" t="str">
        <f t="shared" si="2"/>
        <v>1993-02-01</v>
      </c>
      <c r="L93">
        <v>3370.8100589999999</v>
      </c>
      <c r="M93" s="2">
        <f t="shared" si="3"/>
        <v>1.8371619033232589E-2</v>
      </c>
    </row>
    <row r="94" spans="1:13" x14ac:dyDescent="0.25">
      <c r="A94" t="s">
        <v>519</v>
      </c>
      <c r="K94" s="1" t="str">
        <f t="shared" si="2"/>
        <v>1993-03-01</v>
      </c>
      <c r="L94">
        <v>3435.110107</v>
      </c>
      <c r="M94" s="2">
        <f t="shared" si="3"/>
        <v>1.9075547679798799E-2</v>
      </c>
    </row>
    <row r="95" spans="1:13" x14ac:dyDescent="0.25">
      <c r="A95" t="s">
        <v>520</v>
      </c>
      <c r="K95" s="1" t="str">
        <f t="shared" si="2"/>
        <v>1993-04-01</v>
      </c>
      <c r="L95">
        <v>3427.5500489999999</v>
      </c>
      <c r="M95" s="2">
        <f t="shared" si="3"/>
        <v>-2.2008197014105058E-3</v>
      </c>
    </row>
    <row r="96" spans="1:13" x14ac:dyDescent="0.25">
      <c r="A96" t="s">
        <v>521</v>
      </c>
      <c r="K96" s="1" t="str">
        <f t="shared" si="2"/>
        <v>1993-05-01</v>
      </c>
      <c r="L96">
        <v>3527.429932</v>
      </c>
      <c r="M96" s="2">
        <f t="shared" si="3"/>
        <v>2.9140313510269689E-2</v>
      </c>
    </row>
    <row r="97" spans="1:13" x14ac:dyDescent="0.25">
      <c r="A97" t="s">
        <v>522</v>
      </c>
      <c r="K97" s="1" t="str">
        <f t="shared" si="2"/>
        <v>1993-06-01</v>
      </c>
      <c r="L97">
        <v>3516.080078</v>
      </c>
      <c r="M97" s="2">
        <f t="shared" si="3"/>
        <v>-3.2175987103348902E-3</v>
      </c>
    </row>
    <row r="98" spans="1:13" x14ac:dyDescent="0.25">
      <c r="A98" t="s">
        <v>523</v>
      </c>
      <c r="K98" s="1" t="str">
        <f t="shared" si="2"/>
        <v>1993-07-01</v>
      </c>
      <c r="L98">
        <v>3539.469971</v>
      </c>
      <c r="M98" s="2">
        <f t="shared" si="3"/>
        <v>6.6522640216160056E-3</v>
      </c>
    </row>
    <row r="99" spans="1:13" x14ac:dyDescent="0.25">
      <c r="A99" t="s">
        <v>524</v>
      </c>
      <c r="K99" s="1" t="str">
        <f t="shared" si="2"/>
        <v>1993-08-01</v>
      </c>
      <c r="L99">
        <v>3651.25</v>
      </c>
      <c r="M99" s="2">
        <f t="shared" si="3"/>
        <v>3.1581007867236943E-2</v>
      </c>
    </row>
    <row r="100" spans="1:13" x14ac:dyDescent="0.25">
      <c r="A100" t="s">
        <v>525</v>
      </c>
      <c r="K100" s="1" t="str">
        <f t="shared" si="2"/>
        <v>1993-09-01</v>
      </c>
      <c r="L100">
        <v>3555.1201169999999</v>
      </c>
      <c r="M100" s="2">
        <f t="shared" si="3"/>
        <v>-2.6327937829510484E-2</v>
      </c>
    </row>
    <row r="101" spans="1:13" x14ac:dyDescent="0.25">
      <c r="A101" t="s">
        <v>526</v>
      </c>
      <c r="K101" s="1" t="str">
        <f t="shared" si="2"/>
        <v>1993-10-01</v>
      </c>
      <c r="L101">
        <v>3680.5900879999999</v>
      </c>
      <c r="M101" s="2">
        <f t="shared" si="3"/>
        <v>3.5292751544462098E-2</v>
      </c>
    </row>
    <row r="102" spans="1:13" x14ac:dyDescent="0.25">
      <c r="A102" t="s">
        <v>527</v>
      </c>
      <c r="K102" s="1" t="str">
        <f t="shared" si="2"/>
        <v>1993-11-01</v>
      </c>
      <c r="L102">
        <v>3683.9499510000001</v>
      </c>
      <c r="M102" s="2">
        <f t="shared" si="3"/>
        <v>9.1285987291933601E-4</v>
      </c>
    </row>
    <row r="103" spans="1:13" x14ac:dyDescent="0.25">
      <c r="A103" t="s">
        <v>528</v>
      </c>
      <c r="K103" s="1" t="str">
        <f t="shared" si="2"/>
        <v>1993-12-01</v>
      </c>
      <c r="L103">
        <v>3754.0900879999999</v>
      </c>
      <c r="M103" s="2">
        <f t="shared" si="3"/>
        <v>1.9039383795363518E-2</v>
      </c>
    </row>
    <row r="104" spans="1:13" x14ac:dyDescent="0.25">
      <c r="A104" t="s">
        <v>529</v>
      </c>
      <c r="K104" s="1" t="str">
        <f t="shared" si="2"/>
        <v>1994-01-01</v>
      </c>
      <c r="L104">
        <v>3978.360107</v>
      </c>
      <c r="M104" s="2">
        <f t="shared" si="3"/>
        <v>5.9740180374701746E-2</v>
      </c>
    </row>
    <row r="105" spans="1:13" x14ac:dyDescent="0.25">
      <c r="A105" t="s">
        <v>530</v>
      </c>
      <c r="K105" s="1" t="str">
        <f t="shared" si="2"/>
        <v>1994-02-01</v>
      </c>
      <c r="L105">
        <v>3832.0200199999999</v>
      </c>
      <c r="M105" s="2">
        <f t="shared" si="3"/>
        <v>-3.6784022326815435E-2</v>
      </c>
    </row>
    <row r="106" spans="1:13" x14ac:dyDescent="0.25">
      <c r="A106" t="s">
        <v>531</v>
      </c>
      <c r="K106" s="1" t="str">
        <f t="shared" si="2"/>
        <v>1994-03-01</v>
      </c>
      <c r="L106">
        <v>3635.959961</v>
      </c>
      <c r="M106" s="2">
        <f t="shared" si="3"/>
        <v>-5.1163631185830782E-2</v>
      </c>
    </row>
    <row r="107" spans="1:13" x14ac:dyDescent="0.25">
      <c r="A107" t="s">
        <v>532</v>
      </c>
      <c r="K107" s="1" t="str">
        <f t="shared" si="2"/>
        <v>1994-04-01</v>
      </c>
      <c r="L107">
        <v>3681.6899410000001</v>
      </c>
      <c r="M107" s="2">
        <f t="shared" si="3"/>
        <v>1.2577140697507261E-2</v>
      </c>
    </row>
    <row r="108" spans="1:13" x14ac:dyDescent="0.25">
      <c r="A108" t="s">
        <v>533</v>
      </c>
      <c r="K108" s="1" t="str">
        <f t="shared" si="2"/>
        <v>1994-05-01</v>
      </c>
      <c r="L108">
        <v>3758.3701169999999</v>
      </c>
      <c r="M108" s="2">
        <f t="shared" si="3"/>
        <v>2.0827439906352385E-2</v>
      </c>
    </row>
    <row r="109" spans="1:13" x14ac:dyDescent="0.25">
      <c r="A109" t="s">
        <v>534</v>
      </c>
      <c r="K109" s="1" t="str">
        <f t="shared" si="2"/>
        <v>1994-06-01</v>
      </c>
      <c r="L109">
        <v>3624.959961</v>
      </c>
      <c r="M109" s="2">
        <f t="shared" si="3"/>
        <v>-3.549681160898821E-2</v>
      </c>
    </row>
    <row r="110" spans="1:13" x14ac:dyDescent="0.25">
      <c r="A110" t="s">
        <v>535</v>
      </c>
      <c r="K110" s="1" t="str">
        <f t="shared" si="2"/>
        <v>1994-07-01</v>
      </c>
      <c r="L110">
        <v>3764.5</v>
      </c>
      <c r="M110" s="2">
        <f t="shared" si="3"/>
        <v>3.8494229040120453E-2</v>
      </c>
    </row>
    <row r="111" spans="1:13" x14ac:dyDescent="0.25">
      <c r="A111" t="s">
        <v>536</v>
      </c>
      <c r="K111" s="1" t="str">
        <f t="shared" si="2"/>
        <v>1994-08-01</v>
      </c>
      <c r="L111">
        <v>3913.419922</v>
      </c>
      <c r="M111" s="2">
        <f t="shared" si="3"/>
        <v>3.9559017665028673E-2</v>
      </c>
    </row>
    <row r="112" spans="1:13" x14ac:dyDescent="0.25">
      <c r="A112" t="s">
        <v>537</v>
      </c>
      <c r="K112" s="1" t="str">
        <f t="shared" si="2"/>
        <v>1994-09-01</v>
      </c>
      <c r="L112">
        <v>3843.1899410000001</v>
      </c>
      <c r="M112" s="2">
        <f t="shared" si="3"/>
        <v>-1.7945935371052157E-2</v>
      </c>
    </row>
    <row r="113" spans="1:13" x14ac:dyDescent="0.25">
      <c r="A113" t="s">
        <v>538</v>
      </c>
      <c r="K113" s="1" t="str">
        <f t="shared" si="2"/>
        <v>1994-10-01</v>
      </c>
      <c r="L113">
        <v>3908.1201169999999</v>
      </c>
      <c r="M113" s="2">
        <f t="shared" si="3"/>
        <v>1.6894865202291998E-2</v>
      </c>
    </row>
    <row r="114" spans="1:13" x14ac:dyDescent="0.25">
      <c r="A114" t="s">
        <v>539</v>
      </c>
      <c r="K114" s="1" t="str">
        <f t="shared" si="2"/>
        <v>1994-11-01</v>
      </c>
      <c r="L114">
        <v>3739.2299800000001</v>
      </c>
      <c r="M114" s="2">
        <f t="shared" si="3"/>
        <v>-4.3215185803870737E-2</v>
      </c>
    </row>
    <row r="115" spans="1:13" x14ac:dyDescent="0.25">
      <c r="A115" t="s">
        <v>540</v>
      </c>
      <c r="K115" s="1" t="str">
        <f t="shared" si="2"/>
        <v>1994-12-01</v>
      </c>
      <c r="L115">
        <v>3834.4399410000001</v>
      </c>
      <c r="M115" s="2">
        <f t="shared" si="3"/>
        <v>2.5462451229062877E-2</v>
      </c>
    </row>
    <row r="116" spans="1:13" x14ac:dyDescent="0.25">
      <c r="A116" t="s">
        <v>541</v>
      </c>
      <c r="K116" s="1" t="str">
        <f t="shared" si="2"/>
        <v>1995-01-01</v>
      </c>
      <c r="L116">
        <v>3843.860107</v>
      </c>
      <c r="M116" s="2">
        <f t="shared" si="3"/>
        <v>2.4567254005660732E-3</v>
      </c>
    </row>
    <row r="117" spans="1:13" x14ac:dyDescent="0.25">
      <c r="A117" t="s">
        <v>542</v>
      </c>
      <c r="K117" s="1" t="str">
        <f t="shared" si="2"/>
        <v>1995-02-01</v>
      </c>
      <c r="L117">
        <v>4011.0500489999999</v>
      </c>
      <c r="M117" s="2">
        <f t="shared" si="3"/>
        <v>4.3495324321385365E-2</v>
      </c>
    </row>
    <row r="118" spans="1:13" x14ac:dyDescent="0.25">
      <c r="A118" t="s">
        <v>543</v>
      </c>
      <c r="K118" s="1" t="str">
        <f t="shared" si="2"/>
        <v>1995-03-01</v>
      </c>
      <c r="L118">
        <v>4157.6899409999996</v>
      </c>
      <c r="M118" s="2">
        <f t="shared" si="3"/>
        <v>3.6558978374393147E-2</v>
      </c>
    </row>
    <row r="119" spans="1:13" x14ac:dyDescent="0.25">
      <c r="A119" t="s">
        <v>544</v>
      </c>
      <c r="K119" s="1" t="str">
        <f t="shared" si="2"/>
        <v>1995-04-01</v>
      </c>
      <c r="L119">
        <v>4321.2700199999999</v>
      </c>
      <c r="M119" s="2">
        <f t="shared" si="3"/>
        <v>3.9343982192346028E-2</v>
      </c>
    </row>
    <row r="120" spans="1:13" x14ac:dyDescent="0.25">
      <c r="A120" t="s">
        <v>545</v>
      </c>
      <c r="K120" s="1" t="str">
        <f t="shared" si="2"/>
        <v>1995-05-01</v>
      </c>
      <c r="L120">
        <v>4465.1401370000003</v>
      </c>
      <c r="M120" s="2">
        <f t="shared" si="3"/>
        <v>3.329348000336263E-2</v>
      </c>
    </row>
    <row r="121" spans="1:13" x14ac:dyDescent="0.25">
      <c r="A121" t="s">
        <v>546</v>
      </c>
      <c r="K121" s="1" t="str">
        <f t="shared" si="2"/>
        <v>1995-06-01</v>
      </c>
      <c r="L121">
        <v>4556.1000979999999</v>
      </c>
      <c r="M121" s="2">
        <f t="shared" si="3"/>
        <v>2.0371132418950832E-2</v>
      </c>
    </row>
    <row r="122" spans="1:13" x14ac:dyDescent="0.25">
      <c r="A122" t="s">
        <v>547</v>
      </c>
      <c r="K122" s="1" t="str">
        <f t="shared" si="2"/>
        <v>1995-07-01</v>
      </c>
      <c r="L122">
        <v>4708.4702150000003</v>
      </c>
      <c r="M122" s="2">
        <f t="shared" si="3"/>
        <v>3.3443101275778986E-2</v>
      </c>
    </row>
    <row r="123" spans="1:13" x14ac:dyDescent="0.25">
      <c r="A123" t="s">
        <v>548</v>
      </c>
      <c r="K123" s="1" t="str">
        <f t="shared" si="2"/>
        <v>1995-08-01</v>
      </c>
      <c r="L123">
        <v>4610.5600590000004</v>
      </c>
      <c r="M123" s="2">
        <f t="shared" si="3"/>
        <v>-2.0794472839199996E-2</v>
      </c>
    </row>
    <row r="124" spans="1:13" x14ac:dyDescent="0.25">
      <c r="A124" t="s">
        <v>549</v>
      </c>
      <c r="K124" s="1" t="str">
        <f t="shared" si="2"/>
        <v>1995-09-01</v>
      </c>
      <c r="L124">
        <v>4789.080078</v>
      </c>
      <c r="M124" s="2">
        <f t="shared" si="3"/>
        <v>3.8719812065243886E-2</v>
      </c>
    </row>
    <row r="125" spans="1:13" x14ac:dyDescent="0.25">
      <c r="A125" t="s">
        <v>550</v>
      </c>
      <c r="K125" s="1" t="str">
        <f t="shared" si="2"/>
        <v>1995-10-01</v>
      </c>
      <c r="L125">
        <v>4755.4799800000001</v>
      </c>
      <c r="M125" s="2">
        <f t="shared" si="3"/>
        <v>-7.015981660935533E-3</v>
      </c>
    </row>
    <row r="126" spans="1:13" x14ac:dyDescent="0.25">
      <c r="A126" t="s">
        <v>551</v>
      </c>
      <c r="K126" s="1" t="str">
        <f t="shared" si="2"/>
        <v>1995-11-01</v>
      </c>
      <c r="L126">
        <v>5074.4902339999999</v>
      </c>
      <c r="M126" s="2">
        <f t="shared" si="3"/>
        <v>6.7082661548708566E-2</v>
      </c>
    </row>
    <row r="127" spans="1:13" x14ac:dyDescent="0.25">
      <c r="A127" t="s">
        <v>552</v>
      </c>
      <c r="K127" s="1" t="str">
        <f t="shared" si="2"/>
        <v>1995-12-01</v>
      </c>
      <c r="L127">
        <v>5117.1201170000004</v>
      </c>
      <c r="M127" s="2">
        <f t="shared" si="3"/>
        <v>8.4008207788779377E-3</v>
      </c>
    </row>
    <row r="128" spans="1:13" x14ac:dyDescent="0.25">
      <c r="A128" t="s">
        <v>553</v>
      </c>
      <c r="K128" s="1" t="str">
        <f t="shared" si="2"/>
        <v>1996-01-01</v>
      </c>
      <c r="L128">
        <v>5395.2998049999997</v>
      </c>
      <c r="M128" s="2">
        <f t="shared" si="3"/>
        <v>5.4362548003482614E-2</v>
      </c>
    </row>
    <row r="129" spans="1:13" x14ac:dyDescent="0.25">
      <c r="A129" t="s">
        <v>554</v>
      </c>
      <c r="K129" s="1" t="str">
        <f t="shared" si="2"/>
        <v>1996-02-01</v>
      </c>
      <c r="L129">
        <v>5485.6201170000004</v>
      </c>
      <c r="M129" s="2">
        <f t="shared" si="3"/>
        <v>1.6740554791097706E-2</v>
      </c>
    </row>
    <row r="130" spans="1:13" x14ac:dyDescent="0.25">
      <c r="A130" t="s">
        <v>555</v>
      </c>
      <c r="K130" s="1" t="str">
        <f t="shared" si="2"/>
        <v>1996-03-01</v>
      </c>
      <c r="L130">
        <v>5587.1401370000003</v>
      </c>
      <c r="M130" s="2">
        <f t="shared" si="3"/>
        <v>1.8506571332817634E-2</v>
      </c>
    </row>
    <row r="131" spans="1:13" x14ac:dyDescent="0.25">
      <c r="A131" t="s">
        <v>556</v>
      </c>
      <c r="K131" s="1" t="str">
        <f t="shared" ref="K131:K194" si="4">LEFT(A131,10)</f>
        <v>1996-04-01</v>
      </c>
      <c r="L131">
        <v>5569.080078</v>
      </c>
      <c r="M131" s="2">
        <f t="shared" si="3"/>
        <v>-3.2324335093011358E-3</v>
      </c>
    </row>
    <row r="132" spans="1:13" x14ac:dyDescent="0.25">
      <c r="A132" t="s">
        <v>557</v>
      </c>
      <c r="K132" s="1" t="str">
        <f t="shared" si="4"/>
        <v>1996-05-01</v>
      </c>
      <c r="L132">
        <v>5643.1801759999998</v>
      </c>
      <c r="M132" s="2">
        <f t="shared" ref="M132:M195" si="5">(L132/L131)-1</f>
        <v>1.3305626236678414E-2</v>
      </c>
    </row>
    <row r="133" spans="1:13" x14ac:dyDescent="0.25">
      <c r="A133" t="s">
        <v>558</v>
      </c>
      <c r="K133" s="1" t="str">
        <f t="shared" si="4"/>
        <v>1996-06-01</v>
      </c>
      <c r="L133">
        <v>5654.6298829999996</v>
      </c>
      <c r="M133" s="2">
        <f t="shared" si="5"/>
        <v>2.0289458501954183E-3</v>
      </c>
    </row>
    <row r="134" spans="1:13" x14ac:dyDescent="0.25">
      <c r="A134" t="s">
        <v>559</v>
      </c>
      <c r="K134" s="1" t="str">
        <f t="shared" si="4"/>
        <v>1996-07-01</v>
      </c>
      <c r="L134">
        <v>5528.9101559999999</v>
      </c>
      <c r="M134" s="2">
        <f t="shared" si="5"/>
        <v>-2.2233060271187988E-2</v>
      </c>
    </row>
    <row r="135" spans="1:13" x14ac:dyDescent="0.25">
      <c r="A135" t="s">
        <v>560</v>
      </c>
      <c r="K135" s="1" t="str">
        <f t="shared" si="4"/>
        <v>1996-08-01</v>
      </c>
      <c r="L135">
        <v>5616.2099609999996</v>
      </c>
      <c r="M135" s="2">
        <f t="shared" si="5"/>
        <v>1.5789694991744652E-2</v>
      </c>
    </row>
    <row r="136" spans="1:13" x14ac:dyDescent="0.25">
      <c r="A136" t="s">
        <v>561</v>
      </c>
      <c r="K136" s="1" t="str">
        <f t="shared" si="4"/>
        <v>1996-09-01</v>
      </c>
      <c r="L136">
        <v>5882.169922</v>
      </c>
      <c r="M136" s="2">
        <f t="shared" si="5"/>
        <v>4.7355772459875212E-2</v>
      </c>
    </row>
    <row r="137" spans="1:13" x14ac:dyDescent="0.25">
      <c r="A137" t="s">
        <v>562</v>
      </c>
      <c r="K137" s="1" t="str">
        <f t="shared" si="4"/>
        <v>1996-10-01</v>
      </c>
      <c r="L137">
        <v>6029.3798829999996</v>
      </c>
      <c r="M137" s="2">
        <f t="shared" si="5"/>
        <v>2.5026472025130975E-2</v>
      </c>
    </row>
    <row r="138" spans="1:13" x14ac:dyDescent="0.25">
      <c r="A138" t="s">
        <v>563</v>
      </c>
      <c r="K138" s="1" t="str">
        <f t="shared" si="4"/>
        <v>1996-11-01</v>
      </c>
      <c r="L138">
        <v>6521.7001950000003</v>
      </c>
      <c r="M138" s="2">
        <f t="shared" si="5"/>
        <v>8.1653556676385852E-2</v>
      </c>
    </row>
    <row r="139" spans="1:13" x14ac:dyDescent="0.25">
      <c r="A139" t="s">
        <v>564</v>
      </c>
      <c r="K139" s="1" t="str">
        <f t="shared" si="4"/>
        <v>1996-12-01</v>
      </c>
      <c r="L139">
        <v>6448.2700199999999</v>
      </c>
      <c r="M139" s="2">
        <f t="shared" si="5"/>
        <v>-1.1259360719509504E-2</v>
      </c>
    </row>
    <row r="140" spans="1:13" x14ac:dyDescent="0.25">
      <c r="A140" t="s">
        <v>565</v>
      </c>
      <c r="K140" s="1" t="str">
        <f t="shared" si="4"/>
        <v>1997-01-01</v>
      </c>
      <c r="L140">
        <v>6813.0898440000001</v>
      </c>
      <c r="M140" s="2">
        <f t="shared" si="5"/>
        <v>5.6576387599848177E-2</v>
      </c>
    </row>
    <row r="141" spans="1:13" x14ac:dyDescent="0.25">
      <c r="A141" t="s">
        <v>566</v>
      </c>
      <c r="K141" s="1" t="str">
        <f t="shared" si="4"/>
        <v>1997-02-01</v>
      </c>
      <c r="L141">
        <v>6877.7402339999999</v>
      </c>
      <c r="M141" s="2">
        <f t="shared" si="5"/>
        <v>9.489143909783504E-3</v>
      </c>
    </row>
    <row r="142" spans="1:13" x14ac:dyDescent="0.25">
      <c r="A142" t="s">
        <v>567</v>
      </c>
      <c r="K142" s="1" t="str">
        <f t="shared" si="4"/>
        <v>1997-03-01</v>
      </c>
      <c r="L142">
        <v>6583.4799800000001</v>
      </c>
      <c r="M142" s="2">
        <f t="shared" si="5"/>
        <v>-4.2784438491196397E-2</v>
      </c>
    </row>
    <row r="143" spans="1:13" x14ac:dyDescent="0.25">
      <c r="A143" t="s">
        <v>568</v>
      </c>
      <c r="K143" s="1" t="str">
        <f t="shared" si="4"/>
        <v>1997-04-01</v>
      </c>
      <c r="L143">
        <v>7009</v>
      </c>
      <c r="M143" s="2">
        <f t="shared" si="5"/>
        <v>6.4634512642658626E-2</v>
      </c>
    </row>
    <row r="144" spans="1:13" x14ac:dyDescent="0.25">
      <c r="A144" t="s">
        <v>569</v>
      </c>
      <c r="K144" s="1" t="str">
        <f t="shared" si="4"/>
        <v>1997-05-01</v>
      </c>
      <c r="L144">
        <v>7331</v>
      </c>
      <c r="M144" s="2">
        <f t="shared" si="5"/>
        <v>4.594093308603231E-2</v>
      </c>
    </row>
    <row r="145" spans="1:13" x14ac:dyDescent="0.25">
      <c r="A145" t="s">
        <v>570</v>
      </c>
      <c r="K145" s="1" t="str">
        <f t="shared" si="4"/>
        <v>1997-06-01</v>
      </c>
      <c r="L145">
        <v>7672.7998049999997</v>
      </c>
      <c r="M145" s="2">
        <f t="shared" si="5"/>
        <v>4.6623899195198382E-2</v>
      </c>
    </row>
    <row r="146" spans="1:13" x14ac:dyDescent="0.25">
      <c r="A146" t="s">
        <v>571</v>
      </c>
      <c r="K146" s="1" t="str">
        <f t="shared" si="4"/>
        <v>1997-07-01</v>
      </c>
      <c r="L146">
        <v>8222.5996090000008</v>
      </c>
      <c r="M146" s="2">
        <f t="shared" si="5"/>
        <v>7.1655695179447143E-2</v>
      </c>
    </row>
    <row r="147" spans="1:13" x14ac:dyDescent="0.25">
      <c r="A147" t="s">
        <v>572</v>
      </c>
      <c r="K147" s="1" t="str">
        <f t="shared" si="4"/>
        <v>1997-08-01</v>
      </c>
      <c r="L147">
        <v>7622.3999020000001</v>
      </c>
      <c r="M147" s="2">
        <f t="shared" si="5"/>
        <v>-7.2993911359013008E-2</v>
      </c>
    </row>
    <row r="148" spans="1:13" x14ac:dyDescent="0.25">
      <c r="A148" t="s">
        <v>573</v>
      </c>
      <c r="K148" s="1" t="str">
        <f t="shared" si="4"/>
        <v>1997-09-01</v>
      </c>
      <c r="L148">
        <v>7945.2998049999997</v>
      </c>
      <c r="M148" s="2">
        <f t="shared" si="5"/>
        <v>4.2361973545270937E-2</v>
      </c>
    </row>
    <row r="149" spans="1:13" x14ac:dyDescent="0.25">
      <c r="A149" t="s">
        <v>574</v>
      </c>
      <c r="K149" s="1" t="str">
        <f t="shared" si="4"/>
        <v>1997-10-01</v>
      </c>
      <c r="L149">
        <v>7442.1000979999999</v>
      </c>
      <c r="M149" s="2">
        <f t="shared" si="5"/>
        <v>-6.3333004335888621E-2</v>
      </c>
    </row>
    <row r="150" spans="1:13" x14ac:dyDescent="0.25">
      <c r="A150" t="s">
        <v>575</v>
      </c>
      <c r="K150" s="1" t="str">
        <f t="shared" si="4"/>
        <v>1997-11-01</v>
      </c>
      <c r="L150">
        <v>7823.1000979999999</v>
      </c>
      <c r="M150" s="2">
        <f t="shared" si="5"/>
        <v>5.1195226479470612E-2</v>
      </c>
    </row>
    <row r="151" spans="1:13" x14ac:dyDescent="0.25">
      <c r="A151" t="s">
        <v>576</v>
      </c>
      <c r="K151" s="1" t="str">
        <f t="shared" si="4"/>
        <v>1997-12-01</v>
      </c>
      <c r="L151">
        <v>7908.2998049999997</v>
      </c>
      <c r="M151" s="2">
        <f t="shared" si="5"/>
        <v>1.0890785741292097E-2</v>
      </c>
    </row>
    <row r="152" spans="1:13" x14ac:dyDescent="0.25">
      <c r="A152" t="s">
        <v>577</v>
      </c>
      <c r="K152" s="1" t="str">
        <f t="shared" si="4"/>
        <v>1998-01-01</v>
      </c>
      <c r="L152">
        <v>7906.5</v>
      </c>
      <c r="M152" s="2">
        <f t="shared" si="5"/>
        <v>-2.2758431576674898E-4</v>
      </c>
    </row>
    <row r="153" spans="1:13" x14ac:dyDescent="0.25">
      <c r="A153" t="s">
        <v>578</v>
      </c>
      <c r="K153" s="1" t="str">
        <f t="shared" si="4"/>
        <v>1998-02-01</v>
      </c>
      <c r="L153">
        <v>8545.7197269999997</v>
      </c>
      <c r="M153" s="2">
        <f t="shared" si="5"/>
        <v>8.0847369506102496E-2</v>
      </c>
    </row>
    <row r="154" spans="1:13" x14ac:dyDescent="0.25">
      <c r="A154" t="s">
        <v>579</v>
      </c>
      <c r="K154" s="1" t="str">
        <f t="shared" si="4"/>
        <v>1998-03-01</v>
      </c>
      <c r="L154">
        <v>8799.8095699999994</v>
      </c>
      <c r="M154" s="2">
        <f t="shared" si="5"/>
        <v>2.9732995127046857E-2</v>
      </c>
    </row>
    <row r="155" spans="1:13" x14ac:dyDescent="0.25">
      <c r="A155" t="s">
        <v>580</v>
      </c>
      <c r="K155" s="1" t="str">
        <f t="shared" si="4"/>
        <v>1998-04-01</v>
      </c>
      <c r="L155">
        <v>9063.3701170000004</v>
      </c>
      <c r="M155" s="2">
        <f t="shared" si="5"/>
        <v>2.9950710285654658E-2</v>
      </c>
    </row>
    <row r="156" spans="1:13" x14ac:dyDescent="0.25">
      <c r="A156" t="s">
        <v>581</v>
      </c>
      <c r="K156" s="1" t="str">
        <f t="shared" si="4"/>
        <v>1998-05-01</v>
      </c>
      <c r="L156">
        <v>8899.9501949999994</v>
      </c>
      <c r="M156" s="2">
        <f t="shared" si="5"/>
        <v>-1.8030811926512569E-2</v>
      </c>
    </row>
    <row r="157" spans="1:13" x14ac:dyDescent="0.25">
      <c r="A157" t="s">
        <v>582</v>
      </c>
      <c r="K157" s="1" t="str">
        <f t="shared" si="4"/>
        <v>1998-06-01</v>
      </c>
      <c r="L157">
        <v>8952.0195309999999</v>
      </c>
      <c r="M157" s="2">
        <f t="shared" si="5"/>
        <v>5.8505199309153433E-3</v>
      </c>
    </row>
    <row r="158" spans="1:13" x14ac:dyDescent="0.25">
      <c r="A158" t="s">
        <v>583</v>
      </c>
      <c r="K158" s="1" t="str">
        <f t="shared" si="4"/>
        <v>1998-07-01</v>
      </c>
      <c r="L158">
        <v>8883.2900389999995</v>
      </c>
      <c r="M158" s="2">
        <f t="shared" si="5"/>
        <v>-7.6775404434715755E-3</v>
      </c>
    </row>
    <row r="159" spans="1:13" x14ac:dyDescent="0.25">
      <c r="A159" t="s">
        <v>584</v>
      </c>
      <c r="K159" s="1" t="str">
        <f t="shared" si="4"/>
        <v>1998-08-01</v>
      </c>
      <c r="L159">
        <v>7539.0698240000002</v>
      </c>
      <c r="M159" s="2">
        <f t="shared" si="5"/>
        <v>-0.15132008626291793</v>
      </c>
    </row>
    <row r="160" spans="1:13" x14ac:dyDescent="0.25">
      <c r="A160" t="s">
        <v>585</v>
      </c>
      <c r="K160" s="1" t="str">
        <f t="shared" si="4"/>
        <v>1998-09-01</v>
      </c>
      <c r="L160">
        <v>7842.6201170000004</v>
      </c>
      <c r="M160" s="2">
        <f t="shared" si="5"/>
        <v>4.0263626692204513E-2</v>
      </c>
    </row>
    <row r="161" spans="1:13" x14ac:dyDescent="0.25">
      <c r="A161" t="s">
        <v>586</v>
      </c>
      <c r="K161" s="1" t="str">
        <f t="shared" si="4"/>
        <v>1998-10-01</v>
      </c>
      <c r="L161">
        <v>8592.0996090000008</v>
      </c>
      <c r="M161" s="2">
        <f t="shared" si="5"/>
        <v>9.5564936311959947E-2</v>
      </c>
    </row>
    <row r="162" spans="1:13" x14ac:dyDescent="0.25">
      <c r="A162" t="s">
        <v>587</v>
      </c>
      <c r="K162" s="1" t="str">
        <f t="shared" si="4"/>
        <v>1998-11-01</v>
      </c>
      <c r="L162">
        <v>9116.5498050000006</v>
      </c>
      <c r="M162" s="2">
        <f t="shared" si="5"/>
        <v>6.1038654096916112E-2</v>
      </c>
    </row>
    <row r="163" spans="1:13" x14ac:dyDescent="0.25">
      <c r="A163" t="s">
        <v>588</v>
      </c>
      <c r="K163" s="1" t="str">
        <f t="shared" si="4"/>
        <v>1998-12-01</v>
      </c>
      <c r="L163">
        <v>9181.4296880000002</v>
      </c>
      <c r="M163" s="2">
        <f t="shared" si="5"/>
        <v>7.11671458915486E-3</v>
      </c>
    </row>
    <row r="164" spans="1:13" x14ac:dyDescent="0.25">
      <c r="A164" t="s">
        <v>589</v>
      </c>
      <c r="K164" s="1" t="str">
        <f t="shared" si="4"/>
        <v>1999-01-01</v>
      </c>
      <c r="L164">
        <v>9358.8300780000009</v>
      </c>
      <c r="M164" s="2">
        <f t="shared" si="5"/>
        <v>1.9321652076893958E-2</v>
      </c>
    </row>
    <row r="165" spans="1:13" x14ac:dyDescent="0.25">
      <c r="A165" t="s">
        <v>590</v>
      </c>
      <c r="K165" s="1" t="str">
        <f t="shared" si="4"/>
        <v>1999-02-01</v>
      </c>
      <c r="L165">
        <v>9306.5800780000009</v>
      </c>
      <c r="M165" s="2">
        <f t="shared" si="5"/>
        <v>-5.5829627810879412E-3</v>
      </c>
    </row>
    <row r="166" spans="1:13" x14ac:dyDescent="0.25">
      <c r="A166" t="s">
        <v>591</v>
      </c>
      <c r="K166" s="1" t="str">
        <f t="shared" si="4"/>
        <v>1999-03-01</v>
      </c>
      <c r="L166">
        <v>9786.1601559999999</v>
      </c>
      <c r="M166" s="2">
        <f t="shared" si="5"/>
        <v>5.1531290117374784E-2</v>
      </c>
    </row>
    <row r="167" spans="1:13" x14ac:dyDescent="0.25">
      <c r="A167" t="s">
        <v>592</v>
      </c>
      <c r="K167" s="1" t="str">
        <f t="shared" si="4"/>
        <v>1999-04-01</v>
      </c>
      <c r="L167">
        <v>10789.040039</v>
      </c>
      <c r="M167" s="2">
        <f t="shared" si="5"/>
        <v>0.10247940632620067</v>
      </c>
    </row>
    <row r="168" spans="1:13" x14ac:dyDescent="0.25">
      <c r="A168" t="s">
        <v>593</v>
      </c>
      <c r="K168" s="1" t="str">
        <f t="shared" si="4"/>
        <v>1999-05-01</v>
      </c>
      <c r="L168">
        <v>10559.740234000001</v>
      </c>
      <c r="M168" s="2">
        <f t="shared" si="5"/>
        <v>-2.1253031240140996E-2</v>
      </c>
    </row>
    <row r="169" spans="1:13" x14ac:dyDescent="0.25">
      <c r="A169" t="s">
        <v>594</v>
      </c>
      <c r="K169" s="1" t="str">
        <f t="shared" si="4"/>
        <v>1999-06-01</v>
      </c>
      <c r="L169">
        <v>10970.799805000001</v>
      </c>
      <c r="M169" s="2">
        <f t="shared" si="5"/>
        <v>3.8927053307284964E-2</v>
      </c>
    </row>
    <row r="170" spans="1:13" x14ac:dyDescent="0.25">
      <c r="A170" t="s">
        <v>595</v>
      </c>
      <c r="K170" s="1" t="str">
        <f t="shared" si="4"/>
        <v>1999-07-01</v>
      </c>
      <c r="L170">
        <v>10655.150390999999</v>
      </c>
      <c r="M170" s="2">
        <f t="shared" si="5"/>
        <v>-2.8771777774683538E-2</v>
      </c>
    </row>
    <row r="171" spans="1:13" x14ac:dyDescent="0.25">
      <c r="A171" t="s">
        <v>596</v>
      </c>
      <c r="K171" s="1" t="str">
        <f t="shared" si="4"/>
        <v>1999-08-01</v>
      </c>
      <c r="L171">
        <v>10829.280273</v>
      </c>
      <c r="M171" s="2">
        <f t="shared" si="5"/>
        <v>1.634232043754924E-2</v>
      </c>
    </row>
    <row r="172" spans="1:13" x14ac:dyDescent="0.25">
      <c r="A172" t="s">
        <v>597</v>
      </c>
      <c r="K172" s="1" t="str">
        <f t="shared" si="4"/>
        <v>1999-09-01</v>
      </c>
      <c r="L172">
        <v>10336.950194999999</v>
      </c>
      <c r="M172" s="2">
        <f t="shared" si="5"/>
        <v>-4.5462862312973695E-2</v>
      </c>
    </row>
    <row r="173" spans="1:13" x14ac:dyDescent="0.25">
      <c r="A173" t="s">
        <v>598</v>
      </c>
      <c r="K173" s="1" t="str">
        <f t="shared" si="4"/>
        <v>1999-10-01</v>
      </c>
      <c r="L173">
        <v>10729.860352</v>
      </c>
      <c r="M173" s="2">
        <f t="shared" si="5"/>
        <v>3.8010259272609481E-2</v>
      </c>
    </row>
    <row r="174" spans="1:13" x14ac:dyDescent="0.25">
      <c r="A174" t="s">
        <v>599</v>
      </c>
      <c r="K174" s="1" t="str">
        <f t="shared" si="4"/>
        <v>1999-11-01</v>
      </c>
      <c r="L174">
        <v>10877.809569999999</v>
      </c>
      <c r="M174" s="2">
        <f t="shared" si="5"/>
        <v>1.3788550190443338E-2</v>
      </c>
    </row>
    <row r="175" spans="1:13" x14ac:dyDescent="0.25">
      <c r="A175" t="s">
        <v>600</v>
      </c>
      <c r="K175" s="1" t="str">
        <f t="shared" si="4"/>
        <v>1999-12-01</v>
      </c>
      <c r="L175">
        <v>11497.120117</v>
      </c>
      <c r="M175" s="2">
        <f t="shared" si="5"/>
        <v>5.6933387463226293E-2</v>
      </c>
    </row>
    <row r="176" spans="1:13" x14ac:dyDescent="0.25">
      <c r="A176" t="s">
        <v>601</v>
      </c>
      <c r="K176" s="1" t="str">
        <f t="shared" si="4"/>
        <v>2000-01-01</v>
      </c>
      <c r="L176">
        <v>10940.530273</v>
      </c>
      <c r="M176" s="2">
        <f t="shared" si="5"/>
        <v>-4.841124023545762E-2</v>
      </c>
    </row>
    <row r="177" spans="1:13" x14ac:dyDescent="0.25">
      <c r="A177" t="s">
        <v>602</v>
      </c>
      <c r="K177" s="1" t="str">
        <f t="shared" si="4"/>
        <v>2000-02-01</v>
      </c>
      <c r="L177">
        <v>10128.309569999999</v>
      </c>
      <c r="M177" s="2">
        <f t="shared" si="5"/>
        <v>-7.4239610213818419E-2</v>
      </c>
    </row>
    <row r="178" spans="1:13" x14ac:dyDescent="0.25">
      <c r="A178" t="s">
        <v>603</v>
      </c>
      <c r="K178" s="1" t="str">
        <f t="shared" si="4"/>
        <v>2000-03-01</v>
      </c>
      <c r="L178">
        <v>10921.919921999999</v>
      </c>
      <c r="M178" s="2">
        <f t="shared" si="5"/>
        <v>7.835565713262449E-2</v>
      </c>
    </row>
    <row r="179" spans="1:13" x14ac:dyDescent="0.25">
      <c r="A179" t="s">
        <v>604</v>
      </c>
      <c r="K179" s="1" t="str">
        <f t="shared" si="4"/>
        <v>2000-04-01</v>
      </c>
      <c r="L179">
        <v>10733.910156</v>
      </c>
      <c r="M179" s="2">
        <f t="shared" si="5"/>
        <v>-1.7213985026688583E-2</v>
      </c>
    </row>
    <row r="180" spans="1:13" x14ac:dyDescent="0.25">
      <c r="A180" t="s">
        <v>605</v>
      </c>
      <c r="K180" s="1" t="str">
        <f t="shared" si="4"/>
        <v>2000-05-01</v>
      </c>
      <c r="L180">
        <v>10522.330078000001</v>
      </c>
      <c r="M180" s="2">
        <f t="shared" si="5"/>
        <v>-1.9711370313802212E-2</v>
      </c>
    </row>
    <row r="181" spans="1:13" x14ac:dyDescent="0.25">
      <c r="A181" t="s">
        <v>606</v>
      </c>
      <c r="K181" s="1" t="str">
        <f t="shared" si="4"/>
        <v>2000-06-01</v>
      </c>
      <c r="L181">
        <v>10447.889648</v>
      </c>
      <c r="M181" s="2">
        <f t="shared" si="5"/>
        <v>-7.0745195644109637E-3</v>
      </c>
    </row>
    <row r="182" spans="1:13" x14ac:dyDescent="0.25">
      <c r="A182" t="s">
        <v>607</v>
      </c>
      <c r="K182" s="1" t="str">
        <f t="shared" si="4"/>
        <v>2000-07-01</v>
      </c>
      <c r="L182">
        <v>10521.980469</v>
      </c>
      <c r="M182" s="2">
        <f t="shared" si="5"/>
        <v>7.091462821315675E-3</v>
      </c>
    </row>
    <row r="183" spans="1:13" x14ac:dyDescent="0.25">
      <c r="A183" t="s">
        <v>608</v>
      </c>
      <c r="K183" s="1" t="str">
        <f t="shared" si="4"/>
        <v>2000-08-01</v>
      </c>
      <c r="L183">
        <v>11215.099609000001</v>
      </c>
      <c r="M183" s="2">
        <f t="shared" si="5"/>
        <v>6.5873448638502863E-2</v>
      </c>
    </row>
    <row r="184" spans="1:13" x14ac:dyDescent="0.25">
      <c r="A184" t="s">
        <v>609</v>
      </c>
      <c r="K184" s="1" t="str">
        <f t="shared" si="4"/>
        <v>2000-09-01</v>
      </c>
      <c r="L184">
        <v>10650.919921999999</v>
      </c>
      <c r="M184" s="2">
        <f t="shared" si="5"/>
        <v>-5.0305365682820402E-2</v>
      </c>
    </row>
    <row r="185" spans="1:13" x14ac:dyDescent="0.25">
      <c r="A185" t="s">
        <v>610</v>
      </c>
      <c r="K185" s="1" t="str">
        <f t="shared" si="4"/>
        <v>2000-10-01</v>
      </c>
      <c r="L185">
        <v>10971.139648</v>
      </c>
      <c r="M185" s="2">
        <f t="shared" si="5"/>
        <v>3.006498296345006E-2</v>
      </c>
    </row>
    <row r="186" spans="1:13" x14ac:dyDescent="0.25">
      <c r="A186" t="s">
        <v>611</v>
      </c>
      <c r="K186" s="1" t="str">
        <f t="shared" si="4"/>
        <v>2000-11-01</v>
      </c>
      <c r="L186">
        <v>10414.490234000001</v>
      </c>
      <c r="M186" s="2">
        <f t="shared" si="5"/>
        <v>-5.0737610846241954E-2</v>
      </c>
    </row>
    <row r="187" spans="1:13" x14ac:dyDescent="0.25">
      <c r="A187" t="s">
        <v>612</v>
      </c>
      <c r="K187" s="1" t="str">
        <f t="shared" si="4"/>
        <v>2000-12-01</v>
      </c>
      <c r="L187">
        <v>10787.990234000001</v>
      </c>
      <c r="M187" s="2">
        <f t="shared" si="5"/>
        <v>3.5863493229907784E-2</v>
      </c>
    </row>
    <row r="188" spans="1:13" x14ac:dyDescent="0.25">
      <c r="A188" t="s">
        <v>613</v>
      </c>
      <c r="K188" s="1" t="str">
        <f t="shared" si="4"/>
        <v>2001-01-01</v>
      </c>
      <c r="L188">
        <v>10887.360352</v>
      </c>
      <c r="M188" s="2">
        <f t="shared" si="5"/>
        <v>9.2111798253968757E-3</v>
      </c>
    </row>
    <row r="189" spans="1:13" x14ac:dyDescent="0.25">
      <c r="A189" t="s">
        <v>614</v>
      </c>
      <c r="K189" s="1" t="str">
        <f t="shared" si="4"/>
        <v>2001-02-01</v>
      </c>
      <c r="L189">
        <v>10495.280273</v>
      </c>
      <c r="M189" s="2">
        <f t="shared" si="5"/>
        <v>-3.6012409465989159E-2</v>
      </c>
    </row>
    <row r="190" spans="1:13" x14ac:dyDescent="0.25">
      <c r="A190" t="s">
        <v>615</v>
      </c>
      <c r="K190" s="1" t="str">
        <f t="shared" si="4"/>
        <v>2001-03-01</v>
      </c>
      <c r="L190">
        <v>9878.7802730000003</v>
      </c>
      <c r="M190" s="2">
        <f t="shared" si="5"/>
        <v>-5.8740689525557332E-2</v>
      </c>
    </row>
    <row r="191" spans="1:13" x14ac:dyDescent="0.25">
      <c r="A191" t="s">
        <v>616</v>
      </c>
      <c r="K191" s="1" t="str">
        <f t="shared" si="4"/>
        <v>2001-04-01</v>
      </c>
      <c r="L191">
        <v>10734.969727</v>
      </c>
      <c r="M191" s="2">
        <f t="shared" si="5"/>
        <v>8.6669551335206485E-2</v>
      </c>
    </row>
    <row r="192" spans="1:13" x14ac:dyDescent="0.25">
      <c r="A192" t="s">
        <v>617</v>
      </c>
      <c r="K192" s="1" t="str">
        <f t="shared" si="4"/>
        <v>2001-05-01</v>
      </c>
      <c r="L192">
        <v>10911.940430000001</v>
      </c>
      <c r="M192" s="2">
        <f t="shared" si="5"/>
        <v>1.6485440341288848E-2</v>
      </c>
    </row>
    <row r="193" spans="1:13" x14ac:dyDescent="0.25">
      <c r="A193" t="s">
        <v>618</v>
      </c>
      <c r="K193" s="1" t="str">
        <f t="shared" si="4"/>
        <v>2001-06-01</v>
      </c>
      <c r="L193">
        <v>10502.400390999999</v>
      </c>
      <c r="M193" s="2">
        <f t="shared" si="5"/>
        <v>-3.7531366820337531E-2</v>
      </c>
    </row>
    <row r="194" spans="1:13" x14ac:dyDescent="0.25">
      <c r="A194" t="s">
        <v>619</v>
      </c>
      <c r="K194" s="1" t="str">
        <f t="shared" si="4"/>
        <v>2001-07-01</v>
      </c>
      <c r="L194">
        <v>10522.809569999999</v>
      </c>
      <c r="M194" s="2">
        <f t="shared" si="5"/>
        <v>1.9432870810647263E-3</v>
      </c>
    </row>
    <row r="195" spans="1:13" x14ac:dyDescent="0.25">
      <c r="A195" t="s">
        <v>620</v>
      </c>
      <c r="K195" s="1" t="str">
        <f t="shared" ref="K195:K258" si="6">LEFT(A195,10)</f>
        <v>2001-08-01</v>
      </c>
      <c r="L195">
        <v>9949.75</v>
      </c>
      <c r="M195" s="2">
        <f t="shared" si="5"/>
        <v>-5.4458798877608072E-2</v>
      </c>
    </row>
    <row r="196" spans="1:13" x14ac:dyDescent="0.25">
      <c r="A196" t="s">
        <v>621</v>
      </c>
      <c r="K196" s="1" t="str">
        <f t="shared" si="6"/>
        <v>2001-09-01</v>
      </c>
      <c r="L196">
        <v>8847.5595699999994</v>
      </c>
      <c r="M196" s="2">
        <f t="shared" ref="M196:M259" si="7">(L196/L195)-1</f>
        <v>-0.11077569084650374</v>
      </c>
    </row>
    <row r="197" spans="1:13" x14ac:dyDescent="0.25">
      <c r="A197" t="s">
        <v>622</v>
      </c>
      <c r="K197" s="1" t="str">
        <f t="shared" si="6"/>
        <v>2001-10-01</v>
      </c>
      <c r="L197">
        <v>9075.1396480000003</v>
      </c>
      <c r="M197" s="2">
        <f t="shared" si="7"/>
        <v>2.5722356114071365E-2</v>
      </c>
    </row>
    <row r="198" spans="1:13" x14ac:dyDescent="0.25">
      <c r="A198" t="s">
        <v>623</v>
      </c>
      <c r="K198" s="1" t="str">
        <f t="shared" si="6"/>
        <v>2001-11-01</v>
      </c>
      <c r="L198">
        <v>9851.5595699999994</v>
      </c>
      <c r="M198" s="2">
        <f t="shared" si="7"/>
        <v>8.5554597737910187E-2</v>
      </c>
    </row>
    <row r="199" spans="1:13" x14ac:dyDescent="0.25">
      <c r="A199" t="s">
        <v>624</v>
      </c>
      <c r="K199" s="1" t="str">
        <f t="shared" si="6"/>
        <v>2001-12-01</v>
      </c>
      <c r="L199">
        <v>10021.570313</v>
      </c>
      <c r="M199" s="2">
        <f t="shared" si="7"/>
        <v>1.7257241535413081E-2</v>
      </c>
    </row>
    <row r="200" spans="1:13" x14ac:dyDescent="0.25">
      <c r="A200" t="s">
        <v>625</v>
      </c>
      <c r="K200" s="1" t="str">
        <f t="shared" si="6"/>
        <v>2002-01-01</v>
      </c>
      <c r="L200">
        <v>9920</v>
      </c>
      <c r="M200" s="2">
        <f t="shared" si="7"/>
        <v>-1.0135169422325285E-2</v>
      </c>
    </row>
    <row r="201" spans="1:13" x14ac:dyDescent="0.25">
      <c r="A201" t="s">
        <v>626</v>
      </c>
      <c r="K201" s="1" t="str">
        <f t="shared" si="6"/>
        <v>2002-02-01</v>
      </c>
      <c r="L201">
        <v>10106.129883</v>
      </c>
      <c r="M201" s="2">
        <f t="shared" si="7"/>
        <v>1.8763093044354751E-2</v>
      </c>
    </row>
    <row r="202" spans="1:13" x14ac:dyDescent="0.25">
      <c r="A202" t="s">
        <v>627</v>
      </c>
      <c r="K202" s="1" t="str">
        <f t="shared" si="6"/>
        <v>2002-03-01</v>
      </c>
      <c r="L202">
        <v>10403.940430000001</v>
      </c>
      <c r="M202" s="2">
        <f t="shared" si="7"/>
        <v>2.9468307893109724E-2</v>
      </c>
    </row>
    <row r="203" spans="1:13" x14ac:dyDescent="0.25">
      <c r="A203" t="s">
        <v>628</v>
      </c>
      <c r="K203" s="1" t="str">
        <f t="shared" si="6"/>
        <v>2002-04-01</v>
      </c>
      <c r="L203">
        <v>9946.2197269999997</v>
      </c>
      <c r="M203" s="2">
        <f t="shared" si="7"/>
        <v>-4.399493692602785E-2</v>
      </c>
    </row>
    <row r="204" spans="1:13" x14ac:dyDescent="0.25">
      <c r="A204" t="s">
        <v>629</v>
      </c>
      <c r="K204" s="1" t="str">
        <f t="shared" si="6"/>
        <v>2002-05-01</v>
      </c>
      <c r="L204">
        <v>9925.25</v>
      </c>
      <c r="M204" s="2">
        <f t="shared" si="7"/>
        <v>-2.1083112554889372E-3</v>
      </c>
    </row>
    <row r="205" spans="1:13" x14ac:dyDescent="0.25">
      <c r="A205" t="s">
        <v>630</v>
      </c>
      <c r="K205" s="1" t="str">
        <f t="shared" si="6"/>
        <v>2002-06-01</v>
      </c>
      <c r="L205">
        <v>9243.2597659999992</v>
      </c>
      <c r="M205" s="2">
        <f t="shared" si="7"/>
        <v>-6.8712650462205094E-2</v>
      </c>
    </row>
    <row r="206" spans="1:13" x14ac:dyDescent="0.25">
      <c r="A206" t="s">
        <v>631</v>
      </c>
      <c r="K206" s="1" t="str">
        <f t="shared" si="6"/>
        <v>2002-07-01</v>
      </c>
      <c r="L206">
        <v>8736.5898440000001</v>
      </c>
      <c r="M206" s="2">
        <f t="shared" si="7"/>
        <v>-5.4815069015339279E-2</v>
      </c>
    </row>
    <row r="207" spans="1:13" x14ac:dyDescent="0.25">
      <c r="A207" t="s">
        <v>632</v>
      </c>
      <c r="K207" s="1" t="str">
        <f t="shared" si="6"/>
        <v>2002-08-01</v>
      </c>
      <c r="L207">
        <v>8663.5</v>
      </c>
      <c r="M207" s="2">
        <f t="shared" si="7"/>
        <v>-8.3659465884386996E-3</v>
      </c>
    </row>
    <row r="208" spans="1:13" x14ac:dyDescent="0.25">
      <c r="A208" t="s">
        <v>633</v>
      </c>
      <c r="K208" s="1" t="str">
        <f t="shared" si="6"/>
        <v>2002-09-01</v>
      </c>
      <c r="L208">
        <v>7591.9301759999998</v>
      </c>
      <c r="M208" s="2">
        <f t="shared" si="7"/>
        <v>-0.12368786564321577</v>
      </c>
    </row>
    <row r="209" spans="1:13" x14ac:dyDescent="0.25">
      <c r="A209" t="s">
        <v>634</v>
      </c>
      <c r="K209" s="1" t="str">
        <f t="shared" si="6"/>
        <v>2002-10-01</v>
      </c>
      <c r="L209">
        <v>8397.0302730000003</v>
      </c>
      <c r="M209" s="2">
        <f t="shared" si="7"/>
        <v>0.10604682581843594</v>
      </c>
    </row>
    <row r="210" spans="1:13" x14ac:dyDescent="0.25">
      <c r="A210" t="s">
        <v>635</v>
      </c>
      <c r="K210" s="1" t="str">
        <f t="shared" si="6"/>
        <v>2002-11-01</v>
      </c>
      <c r="L210">
        <v>8896.0898440000001</v>
      </c>
      <c r="M210" s="2">
        <f t="shared" si="7"/>
        <v>5.9432865522074829E-2</v>
      </c>
    </row>
    <row r="211" spans="1:13" x14ac:dyDescent="0.25">
      <c r="A211" t="s">
        <v>636</v>
      </c>
      <c r="K211" s="1" t="str">
        <f t="shared" si="6"/>
        <v>2002-12-01</v>
      </c>
      <c r="L211">
        <v>8341.6298829999996</v>
      </c>
      <c r="M211" s="2">
        <f t="shared" si="7"/>
        <v>-6.2326254649278101E-2</v>
      </c>
    </row>
    <row r="212" spans="1:13" x14ac:dyDescent="0.25">
      <c r="A212" t="s">
        <v>637</v>
      </c>
      <c r="K212" s="1" t="str">
        <f t="shared" si="6"/>
        <v>2003-01-01</v>
      </c>
      <c r="L212">
        <v>8053.8100590000004</v>
      </c>
      <c r="M212" s="2">
        <f t="shared" si="7"/>
        <v>-3.4504027155000894E-2</v>
      </c>
    </row>
    <row r="213" spans="1:13" x14ac:dyDescent="0.25">
      <c r="A213" t="s">
        <v>638</v>
      </c>
      <c r="K213" s="1" t="str">
        <f t="shared" si="6"/>
        <v>2003-02-01</v>
      </c>
      <c r="L213">
        <v>7891.080078</v>
      </c>
      <c r="M213" s="2">
        <f t="shared" si="7"/>
        <v>-2.020534129907281E-2</v>
      </c>
    </row>
    <row r="214" spans="1:13" x14ac:dyDescent="0.25">
      <c r="A214" t="s">
        <v>639</v>
      </c>
      <c r="K214" s="1" t="str">
        <f t="shared" si="6"/>
        <v>2003-03-01</v>
      </c>
      <c r="L214">
        <v>7992.1298829999996</v>
      </c>
      <c r="M214" s="2">
        <f t="shared" si="7"/>
        <v>1.2805573381738045E-2</v>
      </c>
    </row>
    <row r="215" spans="1:13" x14ac:dyDescent="0.25">
      <c r="A215" t="s">
        <v>640</v>
      </c>
      <c r="K215" s="1" t="str">
        <f t="shared" si="6"/>
        <v>2003-04-01</v>
      </c>
      <c r="L215">
        <v>8480.0898440000001</v>
      </c>
      <c r="M215" s="2">
        <f t="shared" si="7"/>
        <v>6.1055058932154793E-2</v>
      </c>
    </row>
    <row r="216" spans="1:13" x14ac:dyDescent="0.25">
      <c r="A216" t="s">
        <v>641</v>
      </c>
      <c r="K216" s="1" t="str">
        <f t="shared" si="6"/>
        <v>2003-05-01</v>
      </c>
      <c r="L216">
        <v>8850.2597659999992</v>
      </c>
      <c r="M216" s="2">
        <f t="shared" si="7"/>
        <v>4.365165096239032E-2</v>
      </c>
    </row>
    <row r="217" spans="1:13" x14ac:dyDescent="0.25">
      <c r="A217" t="s">
        <v>642</v>
      </c>
      <c r="K217" s="1" t="str">
        <f t="shared" si="6"/>
        <v>2003-06-01</v>
      </c>
      <c r="L217">
        <v>8985.4404300000006</v>
      </c>
      <c r="M217" s="2">
        <f t="shared" si="7"/>
        <v>1.5274202969648876E-2</v>
      </c>
    </row>
    <row r="218" spans="1:13" x14ac:dyDescent="0.25">
      <c r="A218" t="s">
        <v>643</v>
      </c>
      <c r="K218" s="1" t="str">
        <f t="shared" si="6"/>
        <v>2003-07-01</v>
      </c>
      <c r="L218">
        <v>9233.7998050000006</v>
      </c>
      <c r="M218" s="2">
        <f t="shared" si="7"/>
        <v>2.7640200492654143E-2</v>
      </c>
    </row>
    <row r="219" spans="1:13" x14ac:dyDescent="0.25">
      <c r="A219" t="s">
        <v>644</v>
      </c>
      <c r="K219" s="1" t="str">
        <f t="shared" si="6"/>
        <v>2003-08-01</v>
      </c>
      <c r="L219">
        <v>9415.8203130000002</v>
      </c>
      <c r="M219" s="2">
        <f t="shared" si="7"/>
        <v>1.9712416539660937E-2</v>
      </c>
    </row>
    <row r="220" spans="1:13" x14ac:dyDescent="0.25">
      <c r="A220" t="s">
        <v>645</v>
      </c>
      <c r="K220" s="1" t="str">
        <f t="shared" si="6"/>
        <v>2003-09-01</v>
      </c>
      <c r="L220">
        <v>9275.0595699999994</v>
      </c>
      <c r="M220" s="2">
        <f t="shared" si="7"/>
        <v>-1.4949387129410185E-2</v>
      </c>
    </row>
    <row r="221" spans="1:13" x14ac:dyDescent="0.25">
      <c r="A221" t="s">
        <v>646</v>
      </c>
      <c r="K221" s="1" t="str">
        <f t="shared" si="6"/>
        <v>2003-10-01</v>
      </c>
      <c r="L221">
        <v>9801.1201170000004</v>
      </c>
      <c r="M221" s="2">
        <f t="shared" si="7"/>
        <v>5.6717753997131526E-2</v>
      </c>
    </row>
    <row r="222" spans="1:13" x14ac:dyDescent="0.25">
      <c r="A222" t="s">
        <v>647</v>
      </c>
      <c r="K222" s="1" t="str">
        <f t="shared" si="6"/>
        <v>2003-11-01</v>
      </c>
      <c r="L222">
        <v>9782.4599610000005</v>
      </c>
      <c r="M222" s="2">
        <f t="shared" si="7"/>
        <v>-1.903879942011355E-3</v>
      </c>
    </row>
    <row r="223" spans="1:13" x14ac:dyDescent="0.25">
      <c r="A223" t="s">
        <v>648</v>
      </c>
      <c r="K223" s="1" t="str">
        <f t="shared" si="6"/>
        <v>2003-12-01</v>
      </c>
      <c r="L223">
        <v>10453.919921999999</v>
      </c>
      <c r="M223" s="2">
        <f t="shared" si="7"/>
        <v>6.8639172935736736E-2</v>
      </c>
    </row>
    <row r="224" spans="1:13" x14ac:dyDescent="0.25">
      <c r="A224" t="s">
        <v>649</v>
      </c>
      <c r="K224" s="1" t="str">
        <f t="shared" si="6"/>
        <v>2004-01-01</v>
      </c>
      <c r="L224">
        <v>10488.070313</v>
      </c>
      <c r="M224" s="2">
        <f t="shared" si="7"/>
        <v>3.2667546006481807E-3</v>
      </c>
    </row>
    <row r="225" spans="1:13" x14ac:dyDescent="0.25">
      <c r="A225" t="s">
        <v>650</v>
      </c>
      <c r="K225" s="1" t="str">
        <f t="shared" si="6"/>
        <v>2004-02-01</v>
      </c>
      <c r="L225">
        <v>10583.919921999999</v>
      </c>
      <c r="M225" s="2">
        <f t="shared" si="7"/>
        <v>9.1389174690403863E-3</v>
      </c>
    </row>
    <row r="226" spans="1:13" x14ac:dyDescent="0.25">
      <c r="A226" t="s">
        <v>651</v>
      </c>
      <c r="K226" s="1" t="str">
        <f t="shared" si="6"/>
        <v>2004-03-01</v>
      </c>
      <c r="L226">
        <v>10357.700194999999</v>
      </c>
      <c r="M226" s="2">
        <f t="shared" si="7"/>
        <v>-2.1373907651150437E-2</v>
      </c>
    </row>
    <row r="227" spans="1:13" x14ac:dyDescent="0.25">
      <c r="A227" t="s">
        <v>652</v>
      </c>
      <c r="K227" s="1" t="str">
        <f t="shared" si="6"/>
        <v>2004-04-01</v>
      </c>
      <c r="L227">
        <v>10225.570313</v>
      </c>
      <c r="M227" s="2">
        <f t="shared" si="7"/>
        <v>-1.2756681455578622E-2</v>
      </c>
    </row>
    <row r="228" spans="1:13" x14ac:dyDescent="0.25">
      <c r="A228" t="s">
        <v>653</v>
      </c>
      <c r="K228" s="1" t="str">
        <f t="shared" si="6"/>
        <v>2004-05-01</v>
      </c>
      <c r="L228">
        <v>10188.450194999999</v>
      </c>
      <c r="M228" s="2">
        <f t="shared" si="7"/>
        <v>-3.6301269135873282E-3</v>
      </c>
    </row>
    <row r="229" spans="1:13" x14ac:dyDescent="0.25">
      <c r="A229" t="s">
        <v>654</v>
      </c>
      <c r="K229" s="1" t="str">
        <f t="shared" si="6"/>
        <v>2004-06-01</v>
      </c>
      <c r="L229">
        <v>10435.480469</v>
      </c>
      <c r="M229" s="2">
        <f t="shared" si="7"/>
        <v>2.4246109003038585E-2</v>
      </c>
    </row>
    <row r="230" spans="1:13" x14ac:dyDescent="0.25">
      <c r="A230" t="s">
        <v>655</v>
      </c>
      <c r="K230" s="1" t="str">
        <f t="shared" si="6"/>
        <v>2004-07-01</v>
      </c>
      <c r="L230">
        <v>10139.709961</v>
      </c>
      <c r="M230" s="2">
        <f t="shared" si="7"/>
        <v>-2.8342778167102622E-2</v>
      </c>
    </row>
    <row r="231" spans="1:13" x14ac:dyDescent="0.25">
      <c r="A231" t="s">
        <v>656</v>
      </c>
      <c r="K231" s="1" t="str">
        <f t="shared" si="6"/>
        <v>2004-08-01</v>
      </c>
      <c r="L231">
        <v>10173.919921999999</v>
      </c>
      <c r="M231" s="2">
        <f t="shared" si="7"/>
        <v>3.3738599162678184E-3</v>
      </c>
    </row>
    <row r="232" spans="1:13" x14ac:dyDescent="0.25">
      <c r="A232" t="s">
        <v>657</v>
      </c>
      <c r="K232" s="1" t="str">
        <f t="shared" si="6"/>
        <v>2004-09-01</v>
      </c>
      <c r="L232">
        <v>10080.269531</v>
      </c>
      <c r="M232" s="2">
        <f t="shared" si="7"/>
        <v>-9.204946738128994E-3</v>
      </c>
    </row>
    <row r="233" spans="1:13" x14ac:dyDescent="0.25">
      <c r="A233" t="s">
        <v>658</v>
      </c>
      <c r="K233" s="1" t="str">
        <f t="shared" si="6"/>
        <v>2004-10-01</v>
      </c>
      <c r="L233">
        <v>10027.469727</v>
      </c>
      <c r="M233" s="2">
        <f t="shared" si="7"/>
        <v>-5.2379357355102352E-3</v>
      </c>
    </row>
    <row r="234" spans="1:13" x14ac:dyDescent="0.25">
      <c r="A234" t="s">
        <v>659</v>
      </c>
      <c r="K234" s="1" t="str">
        <f t="shared" si="6"/>
        <v>2004-11-01</v>
      </c>
      <c r="L234">
        <v>10428.019531</v>
      </c>
      <c r="M234" s="2">
        <f t="shared" si="7"/>
        <v>3.9945251883581223E-2</v>
      </c>
    </row>
    <row r="235" spans="1:13" x14ac:dyDescent="0.25">
      <c r="A235" t="s">
        <v>660</v>
      </c>
      <c r="K235" s="1" t="str">
        <f t="shared" si="6"/>
        <v>2004-12-01</v>
      </c>
      <c r="L235">
        <v>10783.009765999999</v>
      </c>
      <c r="M235" s="2">
        <f t="shared" si="7"/>
        <v>3.404196107848656E-2</v>
      </c>
    </row>
    <row r="236" spans="1:13" x14ac:dyDescent="0.25">
      <c r="A236" t="s">
        <v>661</v>
      </c>
      <c r="K236" s="1" t="str">
        <f t="shared" si="6"/>
        <v>2005-01-01</v>
      </c>
      <c r="L236">
        <v>10489.940430000001</v>
      </c>
      <c r="M236" s="2">
        <f t="shared" si="7"/>
        <v>-2.7178806507630049E-2</v>
      </c>
    </row>
    <row r="237" spans="1:13" x14ac:dyDescent="0.25">
      <c r="A237" t="s">
        <v>662</v>
      </c>
      <c r="K237" s="1" t="str">
        <f t="shared" si="6"/>
        <v>2005-02-01</v>
      </c>
      <c r="L237">
        <v>10766.230469</v>
      </c>
      <c r="M237" s="2">
        <f t="shared" si="7"/>
        <v>2.6338570828280616E-2</v>
      </c>
    </row>
    <row r="238" spans="1:13" x14ac:dyDescent="0.25">
      <c r="A238" t="s">
        <v>663</v>
      </c>
      <c r="K238" s="1" t="str">
        <f t="shared" si="6"/>
        <v>2005-03-01</v>
      </c>
      <c r="L238">
        <v>10503.759765999999</v>
      </c>
      <c r="M238" s="2">
        <f t="shared" si="7"/>
        <v>-2.4379071556730247E-2</v>
      </c>
    </row>
    <row r="239" spans="1:13" x14ac:dyDescent="0.25">
      <c r="A239" t="s">
        <v>664</v>
      </c>
      <c r="K239" s="1" t="str">
        <f t="shared" si="6"/>
        <v>2005-04-01</v>
      </c>
      <c r="L239">
        <v>10192.509765999999</v>
      </c>
      <c r="M239" s="2">
        <f t="shared" si="7"/>
        <v>-2.9632246636818182E-2</v>
      </c>
    </row>
    <row r="240" spans="1:13" x14ac:dyDescent="0.25">
      <c r="A240" t="s">
        <v>665</v>
      </c>
      <c r="K240" s="1" t="str">
        <f t="shared" si="6"/>
        <v>2005-05-01</v>
      </c>
      <c r="L240">
        <v>10467.480469</v>
      </c>
      <c r="M240" s="2">
        <f t="shared" si="7"/>
        <v>2.6977722789851333E-2</v>
      </c>
    </row>
    <row r="241" spans="1:13" x14ac:dyDescent="0.25">
      <c r="A241" t="s">
        <v>666</v>
      </c>
      <c r="K241" s="1" t="str">
        <f t="shared" si="6"/>
        <v>2005-06-01</v>
      </c>
      <c r="L241">
        <v>10274.969727</v>
      </c>
      <c r="M241" s="2">
        <f t="shared" si="7"/>
        <v>-1.8391316092743693E-2</v>
      </c>
    </row>
    <row r="242" spans="1:13" x14ac:dyDescent="0.25">
      <c r="A242" t="s">
        <v>667</v>
      </c>
      <c r="K242" s="1" t="str">
        <f t="shared" si="6"/>
        <v>2005-07-01</v>
      </c>
      <c r="L242">
        <v>10640.910156</v>
      </c>
      <c r="M242" s="2">
        <f t="shared" si="7"/>
        <v>3.5614745222888766E-2</v>
      </c>
    </row>
    <row r="243" spans="1:13" x14ac:dyDescent="0.25">
      <c r="A243" t="s">
        <v>668</v>
      </c>
      <c r="K243" s="1" t="str">
        <f t="shared" si="6"/>
        <v>2005-08-01</v>
      </c>
      <c r="L243">
        <v>10481.599609000001</v>
      </c>
      <c r="M243" s="2">
        <f t="shared" si="7"/>
        <v>-1.4971515092641829E-2</v>
      </c>
    </row>
    <row r="244" spans="1:13" x14ac:dyDescent="0.25">
      <c r="A244" t="s">
        <v>669</v>
      </c>
      <c r="K244" s="1" t="str">
        <f t="shared" si="6"/>
        <v>2005-09-01</v>
      </c>
      <c r="L244">
        <v>10568.700194999999</v>
      </c>
      <c r="M244" s="2">
        <f t="shared" si="7"/>
        <v>8.3098562480110605E-3</v>
      </c>
    </row>
    <row r="245" spans="1:13" x14ac:dyDescent="0.25">
      <c r="A245" t="s">
        <v>670</v>
      </c>
      <c r="K245" s="1" t="str">
        <f t="shared" si="6"/>
        <v>2005-10-01</v>
      </c>
      <c r="L245">
        <v>10440.070313</v>
      </c>
      <c r="M245" s="2">
        <f t="shared" si="7"/>
        <v>-1.2170832706641987E-2</v>
      </c>
    </row>
    <row r="246" spans="1:13" x14ac:dyDescent="0.25">
      <c r="A246" t="s">
        <v>671</v>
      </c>
      <c r="K246" s="1" t="str">
        <f t="shared" si="6"/>
        <v>2005-11-01</v>
      </c>
      <c r="L246">
        <v>10805.870117</v>
      </c>
      <c r="M246" s="2">
        <f t="shared" si="7"/>
        <v>3.5038059422311196E-2</v>
      </c>
    </row>
    <row r="247" spans="1:13" x14ac:dyDescent="0.25">
      <c r="A247" t="s">
        <v>672</v>
      </c>
      <c r="K247" s="1" t="str">
        <f t="shared" si="6"/>
        <v>2005-12-01</v>
      </c>
      <c r="L247">
        <v>10717.5</v>
      </c>
      <c r="M247" s="2">
        <f t="shared" si="7"/>
        <v>-8.1779732722286891E-3</v>
      </c>
    </row>
    <row r="248" spans="1:13" x14ac:dyDescent="0.25">
      <c r="A248" t="s">
        <v>673</v>
      </c>
      <c r="K248" s="1" t="str">
        <f t="shared" si="6"/>
        <v>2006-01-01</v>
      </c>
      <c r="L248">
        <v>10864.860352</v>
      </c>
      <c r="M248" s="2">
        <f t="shared" si="7"/>
        <v>1.3749508000933108E-2</v>
      </c>
    </row>
    <row r="249" spans="1:13" x14ac:dyDescent="0.25">
      <c r="A249" t="s">
        <v>674</v>
      </c>
      <c r="K249" s="1" t="str">
        <f t="shared" si="6"/>
        <v>2006-02-01</v>
      </c>
      <c r="L249">
        <v>10993.410156</v>
      </c>
      <c r="M249" s="2">
        <f t="shared" si="7"/>
        <v>1.1831703292563445E-2</v>
      </c>
    </row>
    <row r="250" spans="1:13" x14ac:dyDescent="0.25">
      <c r="A250" t="s">
        <v>675</v>
      </c>
      <c r="K250" s="1" t="str">
        <f t="shared" si="6"/>
        <v>2006-03-01</v>
      </c>
      <c r="L250">
        <v>11109.320313</v>
      </c>
      <c r="M250" s="2">
        <f t="shared" si="7"/>
        <v>1.05436034274351E-2</v>
      </c>
    </row>
    <row r="251" spans="1:13" x14ac:dyDescent="0.25">
      <c r="A251" t="s">
        <v>676</v>
      </c>
      <c r="K251" s="1" t="str">
        <f t="shared" si="6"/>
        <v>2006-04-01</v>
      </c>
      <c r="L251">
        <v>11367.139648</v>
      </c>
      <c r="M251" s="2">
        <f t="shared" si="7"/>
        <v>2.3207480542108749E-2</v>
      </c>
    </row>
    <row r="252" spans="1:13" x14ac:dyDescent="0.25">
      <c r="A252" t="s">
        <v>677</v>
      </c>
      <c r="K252" s="1" t="str">
        <f t="shared" si="6"/>
        <v>2006-05-01</v>
      </c>
      <c r="L252">
        <v>11168.309569999999</v>
      </c>
      <c r="M252" s="2">
        <f t="shared" si="7"/>
        <v>-1.74916543789434E-2</v>
      </c>
    </row>
    <row r="253" spans="1:13" x14ac:dyDescent="0.25">
      <c r="A253" t="s">
        <v>678</v>
      </c>
      <c r="K253" s="1" t="str">
        <f t="shared" si="6"/>
        <v>2006-06-01</v>
      </c>
      <c r="L253">
        <v>11150.219727</v>
      </c>
      <c r="M253" s="2">
        <f t="shared" si="7"/>
        <v>-1.6197476338399852E-3</v>
      </c>
    </row>
    <row r="254" spans="1:13" x14ac:dyDescent="0.25">
      <c r="A254" t="s">
        <v>679</v>
      </c>
      <c r="K254" s="1" t="str">
        <f t="shared" si="6"/>
        <v>2006-07-01</v>
      </c>
      <c r="L254">
        <v>11185.679688</v>
      </c>
      <c r="M254" s="2">
        <f t="shared" si="7"/>
        <v>3.1802028900054236E-3</v>
      </c>
    </row>
    <row r="255" spans="1:13" x14ac:dyDescent="0.25">
      <c r="A255" t="s">
        <v>680</v>
      </c>
      <c r="K255" s="1" t="str">
        <f t="shared" si="6"/>
        <v>2006-08-01</v>
      </c>
      <c r="L255">
        <v>11381.150390999999</v>
      </c>
      <c r="M255" s="2">
        <f t="shared" si="7"/>
        <v>1.7475084970446586E-2</v>
      </c>
    </row>
    <row r="256" spans="1:13" x14ac:dyDescent="0.25">
      <c r="A256" t="s">
        <v>681</v>
      </c>
      <c r="K256" s="1" t="str">
        <f t="shared" si="6"/>
        <v>2006-09-01</v>
      </c>
      <c r="L256">
        <v>11679.070313</v>
      </c>
      <c r="M256" s="2">
        <f t="shared" si="7"/>
        <v>2.6176608845762228E-2</v>
      </c>
    </row>
    <row r="257" spans="1:13" x14ac:dyDescent="0.25">
      <c r="A257" t="s">
        <v>682</v>
      </c>
      <c r="K257" s="1" t="str">
        <f t="shared" si="6"/>
        <v>2006-10-01</v>
      </c>
      <c r="L257">
        <v>12080.730469</v>
      </c>
      <c r="M257" s="2">
        <f t="shared" si="7"/>
        <v>3.4391449424952203E-2</v>
      </c>
    </row>
    <row r="258" spans="1:13" x14ac:dyDescent="0.25">
      <c r="A258" t="s">
        <v>683</v>
      </c>
      <c r="K258" s="1" t="str">
        <f t="shared" si="6"/>
        <v>2006-11-01</v>
      </c>
      <c r="L258">
        <v>12221.929688</v>
      </c>
      <c r="M258" s="2">
        <f t="shared" si="7"/>
        <v>1.1687970306292872E-2</v>
      </c>
    </row>
    <row r="259" spans="1:13" x14ac:dyDescent="0.25">
      <c r="A259" t="s">
        <v>684</v>
      </c>
      <c r="K259" s="1" t="str">
        <f t="shared" ref="K259:K322" si="8">LEFT(A259,10)</f>
        <v>2006-12-01</v>
      </c>
      <c r="L259">
        <v>12463.150390999999</v>
      </c>
      <c r="M259" s="2">
        <f t="shared" si="7"/>
        <v>1.9736711727022849E-2</v>
      </c>
    </row>
    <row r="260" spans="1:13" x14ac:dyDescent="0.25">
      <c r="A260" t="s">
        <v>685</v>
      </c>
      <c r="K260" s="1" t="str">
        <f t="shared" si="8"/>
        <v>2007-01-01</v>
      </c>
      <c r="L260">
        <v>12621.690430000001</v>
      </c>
      <c r="M260" s="2">
        <f t="shared" ref="M260:M323" si="9">(L260/L259)-1</f>
        <v>1.2720703355588725E-2</v>
      </c>
    </row>
    <row r="261" spans="1:13" x14ac:dyDescent="0.25">
      <c r="A261" t="s">
        <v>686</v>
      </c>
      <c r="K261" s="1" t="str">
        <f t="shared" si="8"/>
        <v>2007-02-01</v>
      </c>
      <c r="L261">
        <v>12268.629883</v>
      </c>
      <c r="M261" s="2">
        <f t="shared" si="9"/>
        <v>-2.7972524675524024E-2</v>
      </c>
    </row>
    <row r="262" spans="1:13" x14ac:dyDescent="0.25">
      <c r="A262" t="s">
        <v>687</v>
      </c>
      <c r="K262" s="1" t="str">
        <f t="shared" si="8"/>
        <v>2007-03-01</v>
      </c>
      <c r="L262">
        <v>12354.349609000001</v>
      </c>
      <c r="M262" s="2">
        <f t="shared" si="9"/>
        <v>6.986902923755034E-3</v>
      </c>
    </row>
    <row r="263" spans="1:13" x14ac:dyDescent="0.25">
      <c r="A263" t="s">
        <v>688</v>
      </c>
      <c r="K263" s="1" t="str">
        <f t="shared" si="8"/>
        <v>2007-04-01</v>
      </c>
      <c r="L263">
        <v>13062.910156</v>
      </c>
      <c r="M263" s="2">
        <f t="shared" si="9"/>
        <v>5.7353124156679369E-2</v>
      </c>
    </row>
    <row r="264" spans="1:13" x14ac:dyDescent="0.25">
      <c r="A264" t="s">
        <v>689</v>
      </c>
      <c r="K264" s="1" t="str">
        <f t="shared" si="8"/>
        <v>2007-05-01</v>
      </c>
      <c r="L264">
        <v>13627.639648</v>
      </c>
      <c r="M264" s="2">
        <f t="shared" si="9"/>
        <v>4.3231522322046301E-2</v>
      </c>
    </row>
    <row r="265" spans="1:13" x14ac:dyDescent="0.25">
      <c r="A265" t="s">
        <v>690</v>
      </c>
      <c r="K265" s="1" t="str">
        <f t="shared" si="8"/>
        <v>2007-06-01</v>
      </c>
      <c r="L265">
        <v>13408.620117</v>
      </c>
      <c r="M265" s="2">
        <f t="shared" si="9"/>
        <v>-1.6071714299559114E-2</v>
      </c>
    </row>
    <row r="266" spans="1:13" x14ac:dyDescent="0.25">
      <c r="A266" t="s">
        <v>691</v>
      </c>
      <c r="K266" s="1" t="str">
        <f t="shared" si="8"/>
        <v>2007-07-01</v>
      </c>
      <c r="L266">
        <v>13211.990234000001</v>
      </c>
      <c r="M266" s="2">
        <f t="shared" si="9"/>
        <v>-1.4664438345203368E-2</v>
      </c>
    </row>
    <row r="267" spans="1:13" x14ac:dyDescent="0.25">
      <c r="A267" t="s">
        <v>692</v>
      </c>
      <c r="K267" s="1" t="str">
        <f t="shared" si="8"/>
        <v>2007-08-01</v>
      </c>
      <c r="L267">
        <v>13357.740234000001</v>
      </c>
      <c r="M267" s="2">
        <f t="shared" si="9"/>
        <v>1.1031646059268541E-2</v>
      </c>
    </row>
    <row r="268" spans="1:13" x14ac:dyDescent="0.25">
      <c r="A268" t="s">
        <v>693</v>
      </c>
      <c r="K268" s="1" t="str">
        <f t="shared" si="8"/>
        <v>2007-09-01</v>
      </c>
      <c r="L268">
        <v>13895.629883</v>
      </c>
      <c r="M268" s="2">
        <f t="shared" si="9"/>
        <v>4.0268012371649897E-2</v>
      </c>
    </row>
    <row r="269" spans="1:13" x14ac:dyDescent="0.25">
      <c r="A269" t="s">
        <v>694</v>
      </c>
      <c r="K269" s="1" t="str">
        <f t="shared" si="8"/>
        <v>2007-10-01</v>
      </c>
      <c r="L269">
        <v>13930.009765999999</v>
      </c>
      <c r="M269" s="2">
        <f t="shared" si="9"/>
        <v>2.4741507430374732E-3</v>
      </c>
    </row>
    <row r="270" spans="1:13" x14ac:dyDescent="0.25">
      <c r="A270" t="s">
        <v>695</v>
      </c>
      <c r="K270" s="1" t="str">
        <f t="shared" si="8"/>
        <v>2007-11-01</v>
      </c>
      <c r="L270">
        <v>13371.719727</v>
      </c>
      <c r="M270" s="2">
        <f t="shared" si="9"/>
        <v>-4.0078223086580933E-2</v>
      </c>
    </row>
    <row r="271" spans="1:13" x14ac:dyDescent="0.25">
      <c r="A271" t="s">
        <v>696</v>
      </c>
      <c r="K271" s="1" t="str">
        <f t="shared" si="8"/>
        <v>2007-12-01</v>
      </c>
      <c r="L271">
        <v>13264.820313</v>
      </c>
      <c r="M271" s="2">
        <f t="shared" si="9"/>
        <v>-7.9944402202919429E-3</v>
      </c>
    </row>
    <row r="272" spans="1:13" x14ac:dyDescent="0.25">
      <c r="A272" t="s">
        <v>697</v>
      </c>
      <c r="K272" s="1" t="str">
        <f t="shared" si="8"/>
        <v>2008-01-01</v>
      </c>
      <c r="L272">
        <v>12650.360352</v>
      </c>
      <c r="M272" s="2">
        <f t="shared" si="9"/>
        <v>-4.6322524278584298E-2</v>
      </c>
    </row>
    <row r="273" spans="1:13" x14ac:dyDescent="0.25">
      <c r="A273" t="s">
        <v>698</v>
      </c>
      <c r="K273" s="1" t="str">
        <f t="shared" si="8"/>
        <v>2008-02-01</v>
      </c>
      <c r="L273">
        <v>12266.389648</v>
      </c>
      <c r="M273" s="2">
        <f t="shared" si="9"/>
        <v>-3.0352550703371395E-2</v>
      </c>
    </row>
    <row r="274" spans="1:13" x14ac:dyDescent="0.25">
      <c r="A274" t="s">
        <v>699</v>
      </c>
      <c r="K274" s="1" t="str">
        <f t="shared" si="8"/>
        <v>2008-03-01</v>
      </c>
      <c r="L274">
        <v>12262.889648</v>
      </c>
      <c r="M274" s="2">
        <f t="shared" si="9"/>
        <v>-2.853325306334531E-4</v>
      </c>
    </row>
    <row r="275" spans="1:13" x14ac:dyDescent="0.25">
      <c r="A275" t="s">
        <v>700</v>
      </c>
      <c r="K275" s="1" t="str">
        <f t="shared" si="8"/>
        <v>2008-04-01</v>
      </c>
      <c r="L275">
        <v>12820.129883</v>
      </c>
      <c r="M275" s="2">
        <f t="shared" si="9"/>
        <v>4.5441184826357839E-2</v>
      </c>
    </row>
    <row r="276" spans="1:13" x14ac:dyDescent="0.25">
      <c r="A276" t="s">
        <v>701</v>
      </c>
      <c r="K276" s="1" t="str">
        <f t="shared" si="8"/>
        <v>2008-05-01</v>
      </c>
      <c r="L276">
        <v>12638.320313</v>
      </c>
      <c r="M276" s="2">
        <f t="shared" si="9"/>
        <v>-1.4181570051102654E-2</v>
      </c>
    </row>
    <row r="277" spans="1:13" x14ac:dyDescent="0.25">
      <c r="A277" t="s">
        <v>702</v>
      </c>
      <c r="K277" s="1" t="str">
        <f t="shared" si="8"/>
        <v>2008-06-01</v>
      </c>
      <c r="L277">
        <v>11350.009765999999</v>
      </c>
      <c r="M277" s="2">
        <f t="shared" si="9"/>
        <v>-0.10193684881327325</v>
      </c>
    </row>
    <row r="278" spans="1:13" x14ac:dyDescent="0.25">
      <c r="A278" t="s">
        <v>703</v>
      </c>
      <c r="K278" s="1" t="str">
        <f t="shared" si="8"/>
        <v>2008-07-01</v>
      </c>
      <c r="L278">
        <v>11378.019531</v>
      </c>
      <c r="M278" s="2">
        <f t="shared" si="9"/>
        <v>2.4678185814348552E-3</v>
      </c>
    </row>
    <row r="279" spans="1:13" x14ac:dyDescent="0.25">
      <c r="A279" t="s">
        <v>704</v>
      </c>
      <c r="K279" s="1" t="str">
        <f t="shared" si="8"/>
        <v>2008-08-01</v>
      </c>
      <c r="L279">
        <v>11543.959961</v>
      </c>
      <c r="M279" s="2">
        <f t="shared" si="9"/>
        <v>1.4584298220607472E-2</v>
      </c>
    </row>
    <row r="280" spans="1:13" x14ac:dyDescent="0.25">
      <c r="A280" t="s">
        <v>705</v>
      </c>
      <c r="K280" s="1" t="str">
        <f t="shared" si="8"/>
        <v>2008-09-01</v>
      </c>
      <c r="L280">
        <v>10850.660156</v>
      </c>
      <c r="M280" s="2">
        <f t="shared" si="9"/>
        <v>-6.0057363967151445E-2</v>
      </c>
    </row>
    <row r="281" spans="1:13" x14ac:dyDescent="0.25">
      <c r="A281" t="s">
        <v>706</v>
      </c>
      <c r="K281" s="1" t="str">
        <f t="shared" si="8"/>
        <v>2008-10-01</v>
      </c>
      <c r="L281">
        <v>9325.0097659999992</v>
      </c>
      <c r="M281" s="2">
        <f t="shared" si="9"/>
        <v>-0.14060438425549382</v>
      </c>
    </row>
    <row r="282" spans="1:13" x14ac:dyDescent="0.25">
      <c r="A282" t="s">
        <v>707</v>
      </c>
      <c r="K282" s="1" t="str">
        <f t="shared" si="8"/>
        <v>2008-11-01</v>
      </c>
      <c r="L282">
        <v>8829.0400389999995</v>
      </c>
      <c r="M282" s="2">
        <f t="shared" si="9"/>
        <v>-5.3187046388772585E-2</v>
      </c>
    </row>
    <row r="283" spans="1:13" x14ac:dyDescent="0.25">
      <c r="A283" t="s">
        <v>708</v>
      </c>
      <c r="K283" s="1" t="str">
        <f t="shared" si="8"/>
        <v>2008-12-01</v>
      </c>
      <c r="L283">
        <v>8776.3896480000003</v>
      </c>
      <c r="M283" s="2">
        <f t="shared" si="9"/>
        <v>-5.9633199948612159E-3</v>
      </c>
    </row>
    <row r="284" spans="1:13" x14ac:dyDescent="0.25">
      <c r="A284" t="s">
        <v>709</v>
      </c>
      <c r="K284" s="1" t="str">
        <f t="shared" si="8"/>
        <v>2009-01-01</v>
      </c>
      <c r="L284">
        <v>8000.8598629999997</v>
      </c>
      <c r="M284" s="2">
        <f t="shared" si="9"/>
        <v>-8.8365468729699304E-2</v>
      </c>
    </row>
    <row r="285" spans="1:13" x14ac:dyDescent="0.25">
      <c r="A285" t="s">
        <v>710</v>
      </c>
      <c r="K285" s="1" t="str">
        <f t="shared" si="8"/>
        <v>2009-02-01</v>
      </c>
      <c r="L285">
        <v>7062.9301759999998</v>
      </c>
      <c r="M285" s="2">
        <f t="shared" si="9"/>
        <v>-0.11722861080687819</v>
      </c>
    </row>
    <row r="286" spans="1:13" x14ac:dyDescent="0.25">
      <c r="A286" t="s">
        <v>711</v>
      </c>
      <c r="K286" s="1" t="str">
        <f t="shared" si="8"/>
        <v>2009-03-01</v>
      </c>
      <c r="L286">
        <v>7608.919922</v>
      </c>
      <c r="M286" s="2">
        <f t="shared" si="9"/>
        <v>7.7303574068350089E-2</v>
      </c>
    </row>
    <row r="287" spans="1:13" x14ac:dyDescent="0.25">
      <c r="A287" t="s">
        <v>712</v>
      </c>
      <c r="K287" s="1" t="str">
        <f t="shared" si="8"/>
        <v>2009-04-01</v>
      </c>
      <c r="L287">
        <v>8168.1201170000004</v>
      </c>
      <c r="M287" s="2">
        <f t="shared" si="9"/>
        <v>7.3492716539591996E-2</v>
      </c>
    </row>
    <row r="288" spans="1:13" x14ac:dyDescent="0.25">
      <c r="A288" t="s">
        <v>713</v>
      </c>
      <c r="K288" s="1" t="str">
        <f t="shared" si="8"/>
        <v>2009-05-01</v>
      </c>
      <c r="L288">
        <v>8500.3300780000009</v>
      </c>
      <c r="M288" s="2">
        <f t="shared" si="9"/>
        <v>4.0671532279328737E-2</v>
      </c>
    </row>
    <row r="289" spans="1:13" x14ac:dyDescent="0.25">
      <c r="A289" t="s">
        <v>714</v>
      </c>
      <c r="K289" s="1" t="str">
        <f t="shared" si="8"/>
        <v>2009-06-01</v>
      </c>
      <c r="L289">
        <v>8447</v>
      </c>
      <c r="M289" s="2">
        <f t="shared" si="9"/>
        <v>-6.2738831916687721E-3</v>
      </c>
    </row>
    <row r="290" spans="1:13" x14ac:dyDescent="0.25">
      <c r="A290" t="s">
        <v>715</v>
      </c>
      <c r="K290" s="1" t="str">
        <f t="shared" si="8"/>
        <v>2009-07-01</v>
      </c>
      <c r="L290">
        <v>9171.6103519999997</v>
      </c>
      <c r="M290" s="2">
        <f t="shared" si="9"/>
        <v>8.5783159938439546E-2</v>
      </c>
    </row>
    <row r="291" spans="1:13" x14ac:dyDescent="0.25">
      <c r="A291" t="s">
        <v>716</v>
      </c>
      <c r="K291" s="1" t="str">
        <f t="shared" si="8"/>
        <v>2009-08-01</v>
      </c>
      <c r="L291">
        <v>9496.2802730000003</v>
      </c>
      <c r="M291" s="2">
        <f t="shared" si="9"/>
        <v>3.5399445521494766E-2</v>
      </c>
    </row>
    <row r="292" spans="1:13" x14ac:dyDescent="0.25">
      <c r="A292" t="s">
        <v>717</v>
      </c>
      <c r="K292" s="1" t="str">
        <f t="shared" si="8"/>
        <v>2009-09-01</v>
      </c>
      <c r="L292">
        <v>9712.2802730000003</v>
      </c>
      <c r="M292" s="2">
        <f t="shared" si="9"/>
        <v>2.2745748207762428E-2</v>
      </c>
    </row>
    <row r="293" spans="1:13" x14ac:dyDescent="0.25">
      <c r="A293" t="s">
        <v>718</v>
      </c>
      <c r="K293" s="1" t="str">
        <f t="shared" si="8"/>
        <v>2009-10-01</v>
      </c>
      <c r="L293">
        <v>9712.7304690000001</v>
      </c>
      <c r="M293" s="2">
        <f t="shared" si="9"/>
        <v>4.6353275167554386E-5</v>
      </c>
    </row>
    <row r="294" spans="1:13" x14ac:dyDescent="0.25">
      <c r="A294" t="s">
        <v>719</v>
      </c>
      <c r="K294" s="1" t="str">
        <f t="shared" si="8"/>
        <v>2009-11-01</v>
      </c>
      <c r="L294">
        <v>10344.839844</v>
      </c>
      <c r="M294" s="2">
        <f t="shared" si="9"/>
        <v>6.5080502029526643E-2</v>
      </c>
    </row>
    <row r="295" spans="1:13" x14ac:dyDescent="0.25">
      <c r="A295" t="s">
        <v>720</v>
      </c>
      <c r="K295" s="1" t="str">
        <f t="shared" si="8"/>
        <v>2009-12-01</v>
      </c>
      <c r="L295">
        <v>10428.049805000001</v>
      </c>
      <c r="M295" s="2">
        <f t="shared" si="9"/>
        <v>8.043620032287091E-3</v>
      </c>
    </row>
    <row r="296" spans="1:13" x14ac:dyDescent="0.25">
      <c r="A296" t="s">
        <v>721</v>
      </c>
      <c r="K296" s="1" t="str">
        <f t="shared" si="8"/>
        <v>2010-01-01</v>
      </c>
      <c r="L296">
        <v>10067.330078000001</v>
      </c>
      <c r="M296" s="2">
        <f t="shared" si="9"/>
        <v>-3.459129307447717E-2</v>
      </c>
    </row>
    <row r="297" spans="1:13" x14ac:dyDescent="0.25">
      <c r="A297" t="s">
        <v>722</v>
      </c>
      <c r="K297" s="1" t="str">
        <f t="shared" si="8"/>
        <v>2010-02-01</v>
      </c>
      <c r="L297">
        <v>10325.259765999999</v>
      </c>
      <c r="M297" s="2">
        <f t="shared" si="9"/>
        <v>2.5620466002564957E-2</v>
      </c>
    </row>
    <row r="298" spans="1:13" x14ac:dyDescent="0.25">
      <c r="A298" t="s">
        <v>723</v>
      </c>
      <c r="K298" s="1" t="str">
        <f t="shared" si="8"/>
        <v>2010-03-01</v>
      </c>
      <c r="L298">
        <v>10856.629883</v>
      </c>
      <c r="M298" s="2">
        <f t="shared" si="9"/>
        <v>5.1463123354024143E-2</v>
      </c>
    </row>
    <row r="299" spans="1:13" x14ac:dyDescent="0.25">
      <c r="A299" t="s">
        <v>724</v>
      </c>
      <c r="K299" s="1" t="str">
        <f t="shared" si="8"/>
        <v>2010-04-01</v>
      </c>
      <c r="L299">
        <v>11008.610352</v>
      </c>
      <c r="M299" s="2">
        <f t="shared" si="9"/>
        <v>1.3998862505019138E-2</v>
      </c>
    </row>
    <row r="300" spans="1:13" x14ac:dyDescent="0.25">
      <c r="A300" t="s">
        <v>725</v>
      </c>
      <c r="K300" s="1" t="str">
        <f t="shared" si="8"/>
        <v>2010-05-01</v>
      </c>
      <c r="L300">
        <v>10136.629883</v>
      </c>
      <c r="M300" s="2">
        <f t="shared" si="9"/>
        <v>-7.9208950187030891E-2</v>
      </c>
    </row>
    <row r="301" spans="1:13" x14ac:dyDescent="0.25">
      <c r="A301" t="s">
        <v>726</v>
      </c>
      <c r="K301" s="1" t="str">
        <f t="shared" si="8"/>
        <v>2010-06-01</v>
      </c>
      <c r="L301">
        <v>9774.0195309999999</v>
      </c>
      <c r="M301" s="2">
        <f t="shared" si="9"/>
        <v>-3.5772278970955473E-2</v>
      </c>
    </row>
    <row r="302" spans="1:13" x14ac:dyDescent="0.25">
      <c r="A302" t="s">
        <v>727</v>
      </c>
      <c r="K302" s="1" t="str">
        <f t="shared" si="8"/>
        <v>2010-07-01</v>
      </c>
      <c r="L302">
        <v>10465.940430000001</v>
      </c>
      <c r="M302" s="2">
        <f t="shared" si="9"/>
        <v>7.0791847387398077E-2</v>
      </c>
    </row>
    <row r="303" spans="1:13" x14ac:dyDescent="0.25">
      <c r="A303" t="s">
        <v>728</v>
      </c>
      <c r="K303" s="1" t="str">
        <f t="shared" si="8"/>
        <v>2010-08-01</v>
      </c>
      <c r="L303">
        <v>10014.719727</v>
      </c>
      <c r="M303" s="2">
        <f t="shared" si="9"/>
        <v>-4.3113249690071132E-2</v>
      </c>
    </row>
    <row r="304" spans="1:13" x14ac:dyDescent="0.25">
      <c r="A304" t="s">
        <v>729</v>
      </c>
      <c r="K304" s="1" t="str">
        <f t="shared" si="8"/>
        <v>2010-09-01</v>
      </c>
      <c r="L304">
        <v>10788.049805000001</v>
      </c>
      <c r="M304" s="2">
        <f t="shared" si="9"/>
        <v>7.7219343035140442E-2</v>
      </c>
    </row>
    <row r="305" spans="1:13" x14ac:dyDescent="0.25">
      <c r="A305" t="s">
        <v>730</v>
      </c>
      <c r="K305" s="1" t="str">
        <f t="shared" si="8"/>
        <v>2010-10-01</v>
      </c>
      <c r="L305">
        <v>11118.490234000001</v>
      </c>
      <c r="M305" s="2">
        <f t="shared" si="9"/>
        <v>3.0630228352009459E-2</v>
      </c>
    </row>
    <row r="306" spans="1:13" x14ac:dyDescent="0.25">
      <c r="A306" t="s">
        <v>731</v>
      </c>
      <c r="K306" s="1" t="str">
        <f t="shared" si="8"/>
        <v>2010-11-01</v>
      </c>
      <c r="L306">
        <v>11006.019531</v>
      </c>
      <c r="M306" s="2">
        <f t="shared" si="9"/>
        <v>-1.0115645256949413E-2</v>
      </c>
    </row>
    <row r="307" spans="1:13" x14ac:dyDescent="0.25">
      <c r="A307" t="s">
        <v>732</v>
      </c>
      <c r="K307" s="1" t="str">
        <f t="shared" si="8"/>
        <v>2010-12-01</v>
      </c>
      <c r="L307">
        <v>11577.509765999999</v>
      </c>
      <c r="M307" s="2">
        <f t="shared" si="9"/>
        <v>5.1925242672004712E-2</v>
      </c>
    </row>
    <row r="308" spans="1:13" x14ac:dyDescent="0.25">
      <c r="A308" t="s">
        <v>733</v>
      </c>
      <c r="K308" s="1" t="str">
        <f t="shared" si="8"/>
        <v>2011-01-01</v>
      </c>
      <c r="L308">
        <v>11891.929688</v>
      </c>
      <c r="M308" s="2">
        <f t="shared" si="9"/>
        <v>2.7157819630899027E-2</v>
      </c>
    </row>
    <row r="309" spans="1:13" x14ac:dyDescent="0.25">
      <c r="A309" t="s">
        <v>734</v>
      </c>
      <c r="K309" s="1" t="str">
        <f t="shared" si="8"/>
        <v>2011-02-01</v>
      </c>
      <c r="L309">
        <v>12226.339844</v>
      </c>
      <c r="M309" s="2">
        <f t="shared" si="9"/>
        <v>2.812076465079083E-2</v>
      </c>
    </row>
    <row r="310" spans="1:13" x14ac:dyDescent="0.25">
      <c r="A310" t="s">
        <v>735</v>
      </c>
      <c r="K310" s="1" t="str">
        <f t="shared" si="8"/>
        <v>2011-03-01</v>
      </c>
      <c r="L310">
        <v>12319.730469</v>
      </c>
      <c r="M310" s="2">
        <f t="shared" si="9"/>
        <v>7.6384777612599208E-3</v>
      </c>
    </row>
    <row r="311" spans="1:13" x14ac:dyDescent="0.25">
      <c r="A311" t="s">
        <v>736</v>
      </c>
      <c r="K311" s="1" t="str">
        <f t="shared" si="8"/>
        <v>2011-04-01</v>
      </c>
      <c r="L311">
        <v>12810.540039</v>
      </c>
      <c r="M311" s="2">
        <f t="shared" si="9"/>
        <v>3.9839310708543296E-2</v>
      </c>
    </row>
    <row r="312" spans="1:13" x14ac:dyDescent="0.25">
      <c r="A312" t="s">
        <v>737</v>
      </c>
      <c r="K312" s="1" t="str">
        <f t="shared" si="8"/>
        <v>2011-05-01</v>
      </c>
      <c r="L312">
        <v>12569.790039</v>
      </c>
      <c r="M312" s="2">
        <f t="shared" si="9"/>
        <v>-1.879311873403211E-2</v>
      </c>
    </row>
    <row r="313" spans="1:13" x14ac:dyDescent="0.25">
      <c r="A313" t="s">
        <v>738</v>
      </c>
      <c r="K313" s="1" t="str">
        <f t="shared" si="8"/>
        <v>2011-06-01</v>
      </c>
      <c r="L313">
        <v>12414.339844</v>
      </c>
      <c r="M313" s="2">
        <f t="shared" si="9"/>
        <v>-1.2366968303980208E-2</v>
      </c>
    </row>
    <row r="314" spans="1:13" x14ac:dyDescent="0.25">
      <c r="A314" t="s">
        <v>739</v>
      </c>
      <c r="K314" s="1" t="str">
        <f t="shared" si="8"/>
        <v>2011-07-01</v>
      </c>
      <c r="L314">
        <v>12143.240234000001</v>
      </c>
      <c r="M314" s="2">
        <f t="shared" si="9"/>
        <v>-2.1837617900481887E-2</v>
      </c>
    </row>
    <row r="315" spans="1:13" x14ac:dyDescent="0.25">
      <c r="A315" t="s">
        <v>740</v>
      </c>
      <c r="K315" s="1" t="str">
        <f t="shared" si="8"/>
        <v>2011-08-01</v>
      </c>
      <c r="L315">
        <v>11613.530273</v>
      </c>
      <c r="M315" s="2">
        <f t="shared" si="9"/>
        <v>-4.3621797048604805E-2</v>
      </c>
    </row>
    <row r="316" spans="1:13" x14ac:dyDescent="0.25">
      <c r="A316" t="s">
        <v>741</v>
      </c>
      <c r="K316" s="1" t="str">
        <f t="shared" si="8"/>
        <v>2011-09-01</v>
      </c>
      <c r="L316">
        <v>10913.379883</v>
      </c>
      <c r="M316" s="2">
        <f t="shared" si="9"/>
        <v>-6.0287472761642702E-2</v>
      </c>
    </row>
    <row r="317" spans="1:13" x14ac:dyDescent="0.25">
      <c r="A317" t="s">
        <v>742</v>
      </c>
      <c r="K317" s="1" t="str">
        <f t="shared" si="8"/>
        <v>2011-10-01</v>
      </c>
      <c r="L317">
        <v>11955.009765999999</v>
      </c>
      <c r="M317" s="2">
        <f t="shared" si="9"/>
        <v>9.5445214421846281E-2</v>
      </c>
    </row>
    <row r="318" spans="1:13" x14ac:dyDescent="0.25">
      <c r="A318" t="s">
        <v>743</v>
      </c>
      <c r="K318" s="1" t="str">
        <f t="shared" si="8"/>
        <v>2011-11-01</v>
      </c>
      <c r="L318">
        <v>12045.679688</v>
      </c>
      <c r="M318" s="2">
        <f t="shared" si="9"/>
        <v>7.5842616421666342E-3</v>
      </c>
    </row>
    <row r="319" spans="1:13" x14ac:dyDescent="0.25">
      <c r="A319" t="s">
        <v>744</v>
      </c>
      <c r="K319" s="1" t="str">
        <f t="shared" si="8"/>
        <v>2011-12-01</v>
      </c>
      <c r="L319">
        <v>12217.559569999999</v>
      </c>
      <c r="M319" s="2">
        <f t="shared" si="9"/>
        <v>1.4269006519509908E-2</v>
      </c>
    </row>
    <row r="320" spans="1:13" x14ac:dyDescent="0.25">
      <c r="A320" t="s">
        <v>745</v>
      </c>
      <c r="K320" s="1" t="str">
        <f t="shared" si="8"/>
        <v>2012-01-01</v>
      </c>
      <c r="L320">
        <v>12632.910156</v>
      </c>
      <c r="M320" s="2">
        <f t="shared" si="9"/>
        <v>3.3996198964307611E-2</v>
      </c>
    </row>
    <row r="321" spans="1:13" x14ac:dyDescent="0.25">
      <c r="A321" t="s">
        <v>746</v>
      </c>
      <c r="K321" s="1" t="str">
        <f t="shared" si="8"/>
        <v>2012-02-01</v>
      </c>
      <c r="L321">
        <v>12952.070313</v>
      </c>
      <c r="M321" s="2">
        <f t="shared" si="9"/>
        <v>2.5264183237178717E-2</v>
      </c>
    </row>
    <row r="322" spans="1:13" x14ac:dyDescent="0.25">
      <c r="A322" t="s">
        <v>747</v>
      </c>
      <c r="K322" s="1" t="str">
        <f t="shared" si="8"/>
        <v>2012-03-01</v>
      </c>
      <c r="L322">
        <v>13212.040039</v>
      </c>
      <c r="M322" s="2">
        <f t="shared" si="9"/>
        <v>2.00716734635904E-2</v>
      </c>
    </row>
    <row r="323" spans="1:13" x14ac:dyDescent="0.25">
      <c r="A323" t="s">
        <v>748</v>
      </c>
      <c r="K323" s="1" t="str">
        <f t="shared" ref="K323:K386" si="10">LEFT(A323,10)</f>
        <v>2012-04-01</v>
      </c>
      <c r="L323">
        <v>13213.629883</v>
      </c>
      <c r="M323" s="2">
        <f t="shared" si="9"/>
        <v>1.2033296866387211E-4</v>
      </c>
    </row>
    <row r="324" spans="1:13" x14ac:dyDescent="0.25">
      <c r="A324" t="s">
        <v>749</v>
      </c>
      <c r="K324" s="1" t="str">
        <f t="shared" si="10"/>
        <v>2012-05-01</v>
      </c>
      <c r="L324">
        <v>12393.450194999999</v>
      </c>
      <c r="M324" s="2">
        <f t="shared" ref="M324:M387" si="11">(L324/L323)-1</f>
        <v>-6.2070732664852524E-2</v>
      </c>
    </row>
    <row r="325" spans="1:13" x14ac:dyDescent="0.25">
      <c r="A325" t="s">
        <v>750</v>
      </c>
      <c r="K325" s="1" t="str">
        <f t="shared" si="10"/>
        <v>2012-06-01</v>
      </c>
      <c r="L325">
        <v>12880.089844</v>
      </c>
      <c r="M325" s="2">
        <f t="shared" si="11"/>
        <v>3.9265873614139357E-2</v>
      </c>
    </row>
    <row r="326" spans="1:13" x14ac:dyDescent="0.25">
      <c r="A326" t="s">
        <v>751</v>
      </c>
      <c r="K326" s="1" t="str">
        <f t="shared" si="10"/>
        <v>2012-07-01</v>
      </c>
      <c r="L326">
        <v>13008.679688</v>
      </c>
      <c r="M326" s="2">
        <f t="shared" si="11"/>
        <v>9.9836139000148982E-3</v>
      </c>
    </row>
    <row r="327" spans="1:13" x14ac:dyDescent="0.25">
      <c r="A327" t="s">
        <v>752</v>
      </c>
      <c r="K327" s="1" t="str">
        <f t="shared" si="10"/>
        <v>2012-08-01</v>
      </c>
      <c r="L327">
        <v>13090.839844</v>
      </c>
      <c r="M327" s="2">
        <f t="shared" si="11"/>
        <v>6.3157951437446957E-3</v>
      </c>
    </row>
    <row r="328" spans="1:13" x14ac:dyDescent="0.25">
      <c r="A328" t="s">
        <v>753</v>
      </c>
      <c r="K328" s="1" t="str">
        <f t="shared" si="10"/>
        <v>2012-09-01</v>
      </c>
      <c r="L328">
        <v>13437.129883</v>
      </c>
      <c r="M328" s="2">
        <f t="shared" si="11"/>
        <v>2.6452851240000186E-2</v>
      </c>
    </row>
    <row r="329" spans="1:13" x14ac:dyDescent="0.25">
      <c r="A329" t="s">
        <v>754</v>
      </c>
      <c r="K329" s="1" t="str">
        <f t="shared" si="10"/>
        <v>2012-10-01</v>
      </c>
      <c r="L329">
        <v>13096.459961</v>
      </c>
      <c r="M329" s="2">
        <f t="shared" si="11"/>
        <v>-2.5352878551170188E-2</v>
      </c>
    </row>
    <row r="330" spans="1:13" x14ac:dyDescent="0.25">
      <c r="A330" t="s">
        <v>755</v>
      </c>
      <c r="K330" s="1" t="str">
        <f t="shared" si="10"/>
        <v>2012-11-01</v>
      </c>
      <c r="L330">
        <v>13025.580078000001</v>
      </c>
      <c r="M330" s="2">
        <f t="shared" si="11"/>
        <v>-5.4121406251057547E-3</v>
      </c>
    </row>
    <row r="331" spans="1:13" x14ac:dyDescent="0.25">
      <c r="A331" t="s">
        <v>756</v>
      </c>
      <c r="K331" s="1" t="str">
        <f t="shared" si="10"/>
        <v>2012-12-01</v>
      </c>
      <c r="L331">
        <v>13104.139648</v>
      </c>
      <c r="M331" s="2">
        <f t="shared" si="11"/>
        <v>6.031176310733688E-3</v>
      </c>
    </row>
    <row r="332" spans="1:13" x14ac:dyDescent="0.25">
      <c r="A332" t="s">
        <v>757</v>
      </c>
      <c r="K332" s="1" t="str">
        <f t="shared" si="10"/>
        <v>2013-01-01</v>
      </c>
      <c r="L332">
        <v>13860.580078000001</v>
      </c>
      <c r="M332" s="2">
        <f t="shared" si="11"/>
        <v>5.7725302867590589E-2</v>
      </c>
    </row>
    <row r="333" spans="1:13" x14ac:dyDescent="0.25">
      <c r="A333" t="s">
        <v>758</v>
      </c>
      <c r="K333" s="1" t="str">
        <f t="shared" si="10"/>
        <v>2013-02-01</v>
      </c>
      <c r="L333">
        <v>14054.490234000001</v>
      </c>
      <c r="M333" s="2">
        <f t="shared" si="11"/>
        <v>1.3990046225250019E-2</v>
      </c>
    </row>
    <row r="334" spans="1:13" x14ac:dyDescent="0.25">
      <c r="A334" t="s">
        <v>759</v>
      </c>
      <c r="K334" s="1" t="str">
        <f t="shared" si="10"/>
        <v>2013-03-01</v>
      </c>
      <c r="L334">
        <v>14578.540039</v>
      </c>
      <c r="M334" s="2">
        <f t="shared" si="11"/>
        <v>3.7287001966975764E-2</v>
      </c>
    </row>
    <row r="335" spans="1:13" x14ac:dyDescent="0.25">
      <c r="A335" t="s">
        <v>760</v>
      </c>
      <c r="K335" s="1" t="str">
        <f t="shared" si="10"/>
        <v>2013-04-01</v>
      </c>
      <c r="L335">
        <v>14839.799805000001</v>
      </c>
      <c r="M335" s="2">
        <f t="shared" si="11"/>
        <v>1.7920845660888363E-2</v>
      </c>
    </row>
    <row r="336" spans="1:13" x14ac:dyDescent="0.25">
      <c r="A336" t="s">
        <v>761</v>
      </c>
      <c r="K336" s="1" t="str">
        <f t="shared" si="10"/>
        <v>2013-05-01</v>
      </c>
      <c r="L336">
        <v>15115.570313</v>
      </c>
      <c r="M336" s="2">
        <f t="shared" si="11"/>
        <v>1.858316902004864E-2</v>
      </c>
    </row>
    <row r="337" spans="1:13" x14ac:dyDescent="0.25">
      <c r="A337" t="s">
        <v>762</v>
      </c>
      <c r="K337" s="1" t="str">
        <f t="shared" si="10"/>
        <v>2013-06-01</v>
      </c>
      <c r="L337">
        <v>14909.599609000001</v>
      </c>
      <c r="M337" s="2">
        <f t="shared" si="11"/>
        <v>-1.3626393165123041E-2</v>
      </c>
    </row>
    <row r="338" spans="1:13" x14ac:dyDescent="0.25">
      <c r="A338" t="s">
        <v>763</v>
      </c>
      <c r="K338" s="1" t="str">
        <f t="shared" si="10"/>
        <v>2013-07-01</v>
      </c>
      <c r="L338">
        <v>15499.540039</v>
      </c>
      <c r="M338" s="2">
        <f t="shared" si="11"/>
        <v>3.9567825124149358E-2</v>
      </c>
    </row>
    <row r="339" spans="1:13" x14ac:dyDescent="0.25">
      <c r="A339" t="s">
        <v>764</v>
      </c>
      <c r="K339" s="1" t="str">
        <f t="shared" si="10"/>
        <v>2013-08-01</v>
      </c>
      <c r="L339">
        <v>14810.309569999999</v>
      </c>
      <c r="M339" s="2">
        <f t="shared" si="11"/>
        <v>-4.4467801448672351E-2</v>
      </c>
    </row>
    <row r="340" spans="1:13" x14ac:dyDescent="0.25">
      <c r="A340" t="s">
        <v>765</v>
      </c>
      <c r="K340" s="1" t="str">
        <f t="shared" si="10"/>
        <v>2013-09-01</v>
      </c>
      <c r="L340">
        <v>15129.669921999999</v>
      </c>
      <c r="M340" s="2">
        <f t="shared" si="11"/>
        <v>2.1563381271037185E-2</v>
      </c>
    </row>
    <row r="341" spans="1:13" x14ac:dyDescent="0.25">
      <c r="A341" t="s">
        <v>766</v>
      </c>
      <c r="K341" s="1" t="str">
        <f t="shared" si="10"/>
        <v>2013-10-01</v>
      </c>
      <c r="L341">
        <v>15545.75</v>
      </c>
      <c r="M341" s="2">
        <f t="shared" si="11"/>
        <v>2.7500935588487652E-2</v>
      </c>
    </row>
    <row r="342" spans="1:13" x14ac:dyDescent="0.25">
      <c r="A342" t="s">
        <v>767</v>
      </c>
      <c r="K342" s="1" t="str">
        <f t="shared" si="10"/>
        <v>2013-11-01</v>
      </c>
      <c r="L342">
        <v>16086.410156</v>
      </c>
      <c r="M342" s="2">
        <f t="shared" si="11"/>
        <v>3.4778647283019382E-2</v>
      </c>
    </row>
    <row r="343" spans="1:13" x14ac:dyDescent="0.25">
      <c r="A343" t="s">
        <v>768</v>
      </c>
      <c r="K343" s="1" t="str">
        <f t="shared" si="10"/>
        <v>2013-12-01</v>
      </c>
      <c r="L343">
        <v>16576.660156000002</v>
      </c>
      <c r="M343" s="2">
        <f t="shared" si="11"/>
        <v>3.0476035065980511E-2</v>
      </c>
    </row>
    <row r="344" spans="1:13" x14ac:dyDescent="0.25">
      <c r="A344" t="s">
        <v>769</v>
      </c>
      <c r="K344" s="1" t="str">
        <f t="shared" si="10"/>
        <v>2014-01-01</v>
      </c>
      <c r="L344">
        <v>15698.849609000001</v>
      </c>
      <c r="M344" s="2">
        <f t="shared" si="11"/>
        <v>-5.2954608391502345E-2</v>
      </c>
    </row>
    <row r="345" spans="1:13" x14ac:dyDescent="0.25">
      <c r="A345" t="s">
        <v>770</v>
      </c>
      <c r="K345" s="1" t="str">
        <f t="shared" si="10"/>
        <v>2014-02-01</v>
      </c>
      <c r="L345">
        <v>16321.709961</v>
      </c>
      <c r="M345" s="2">
        <f t="shared" si="11"/>
        <v>3.9675541043652007E-2</v>
      </c>
    </row>
    <row r="346" spans="1:13" x14ac:dyDescent="0.25">
      <c r="A346" t="s">
        <v>771</v>
      </c>
      <c r="K346" s="1" t="str">
        <f t="shared" si="10"/>
        <v>2014-03-01</v>
      </c>
      <c r="L346">
        <v>16457.660156000002</v>
      </c>
      <c r="M346" s="2">
        <f t="shared" si="11"/>
        <v>8.3294088257204191E-3</v>
      </c>
    </row>
    <row r="347" spans="1:13" x14ac:dyDescent="0.25">
      <c r="A347" t="s">
        <v>772</v>
      </c>
      <c r="K347" s="1" t="str">
        <f t="shared" si="10"/>
        <v>2014-04-01</v>
      </c>
      <c r="L347">
        <v>16580.839843999998</v>
      </c>
      <c r="M347" s="2">
        <f t="shared" si="11"/>
        <v>7.4846416095843971E-3</v>
      </c>
    </row>
    <row r="348" spans="1:13" x14ac:dyDescent="0.25">
      <c r="A348" t="s">
        <v>773</v>
      </c>
      <c r="K348" s="1" t="str">
        <f t="shared" si="10"/>
        <v>2014-05-01</v>
      </c>
      <c r="L348">
        <v>16717.169922000001</v>
      </c>
      <c r="M348" s="2">
        <f t="shared" si="11"/>
        <v>8.2221455175164326E-3</v>
      </c>
    </row>
    <row r="349" spans="1:13" x14ac:dyDescent="0.25">
      <c r="A349" t="s">
        <v>774</v>
      </c>
      <c r="K349" s="1" t="str">
        <f t="shared" si="10"/>
        <v>2014-06-01</v>
      </c>
      <c r="L349">
        <v>16826.599609000001</v>
      </c>
      <c r="M349" s="2">
        <f t="shared" si="11"/>
        <v>6.545945725896507E-3</v>
      </c>
    </row>
    <row r="350" spans="1:13" x14ac:dyDescent="0.25">
      <c r="A350" t="s">
        <v>775</v>
      </c>
      <c r="K350" s="1" t="str">
        <f t="shared" si="10"/>
        <v>2014-07-01</v>
      </c>
      <c r="L350">
        <v>16563.300781000002</v>
      </c>
      <c r="M350" s="2">
        <f t="shared" si="11"/>
        <v>-1.5647774007718662E-2</v>
      </c>
    </row>
    <row r="351" spans="1:13" x14ac:dyDescent="0.25">
      <c r="A351" t="s">
        <v>776</v>
      </c>
      <c r="K351" s="1" t="str">
        <f t="shared" si="10"/>
        <v>2014-08-01</v>
      </c>
      <c r="L351">
        <v>17098.449218999998</v>
      </c>
      <c r="M351" s="2">
        <f t="shared" si="11"/>
        <v>3.2309286963735584E-2</v>
      </c>
    </row>
    <row r="352" spans="1:13" x14ac:dyDescent="0.25">
      <c r="A352" t="s">
        <v>777</v>
      </c>
      <c r="K352" s="1" t="str">
        <f t="shared" si="10"/>
        <v>2014-09-01</v>
      </c>
      <c r="L352">
        <v>17042.900390999999</v>
      </c>
      <c r="M352" s="2">
        <f t="shared" si="11"/>
        <v>-3.2487641006806456E-3</v>
      </c>
    </row>
    <row r="353" spans="1:13" x14ac:dyDescent="0.25">
      <c r="A353" t="s">
        <v>778</v>
      </c>
      <c r="K353" s="1" t="str">
        <f t="shared" si="10"/>
        <v>2014-10-01</v>
      </c>
      <c r="L353">
        <v>17390.519531000002</v>
      </c>
      <c r="M353" s="2">
        <f t="shared" si="11"/>
        <v>2.0396712532778416E-2</v>
      </c>
    </row>
    <row r="354" spans="1:13" x14ac:dyDescent="0.25">
      <c r="A354" t="s">
        <v>779</v>
      </c>
      <c r="K354" s="1" t="str">
        <f t="shared" si="10"/>
        <v>2014-11-01</v>
      </c>
      <c r="L354">
        <v>17828.240234000001</v>
      </c>
      <c r="M354" s="2">
        <f t="shared" si="11"/>
        <v>2.5170076271713748E-2</v>
      </c>
    </row>
    <row r="355" spans="1:13" x14ac:dyDescent="0.25">
      <c r="A355" t="s">
        <v>780</v>
      </c>
      <c r="K355" s="1" t="str">
        <f t="shared" si="10"/>
        <v>2014-12-01</v>
      </c>
      <c r="L355">
        <v>17823.070313</v>
      </c>
      <c r="M355" s="2">
        <f t="shared" si="11"/>
        <v>-2.8998493020870875E-4</v>
      </c>
    </row>
    <row r="356" spans="1:13" x14ac:dyDescent="0.25">
      <c r="A356" t="s">
        <v>781</v>
      </c>
      <c r="K356" s="1" t="str">
        <f t="shared" si="10"/>
        <v>2015-01-01</v>
      </c>
      <c r="L356">
        <v>17164.949218999998</v>
      </c>
      <c r="M356" s="2">
        <f t="shared" si="11"/>
        <v>-3.6925236922842331E-2</v>
      </c>
    </row>
    <row r="357" spans="1:13" x14ac:dyDescent="0.25">
      <c r="A357" t="s">
        <v>782</v>
      </c>
      <c r="K357" s="1" t="str">
        <f t="shared" si="10"/>
        <v>2015-02-01</v>
      </c>
      <c r="L357">
        <v>18132.699218999998</v>
      </c>
      <c r="M357" s="2">
        <f t="shared" si="11"/>
        <v>5.6379426915448727E-2</v>
      </c>
    </row>
    <row r="358" spans="1:13" x14ac:dyDescent="0.25">
      <c r="A358" t="s">
        <v>783</v>
      </c>
      <c r="K358" s="1" t="str">
        <f t="shared" si="10"/>
        <v>2015-03-01</v>
      </c>
      <c r="L358">
        <v>17776.119140999999</v>
      </c>
      <c r="M358" s="2">
        <f t="shared" si="11"/>
        <v>-1.9665030213834034E-2</v>
      </c>
    </row>
    <row r="359" spans="1:13" x14ac:dyDescent="0.25">
      <c r="A359" t="s">
        <v>784</v>
      </c>
      <c r="K359" s="1" t="str">
        <f t="shared" si="10"/>
        <v>2015-04-01</v>
      </c>
      <c r="L359">
        <v>17840.519531000002</v>
      </c>
      <c r="M359" s="2">
        <f t="shared" si="11"/>
        <v>3.6228599442420517E-3</v>
      </c>
    </row>
    <row r="360" spans="1:13" x14ac:dyDescent="0.25">
      <c r="A360" t="s">
        <v>785</v>
      </c>
      <c r="K360" s="1" t="str">
        <f t="shared" si="10"/>
        <v>2015-05-01</v>
      </c>
      <c r="L360">
        <v>18010.679688</v>
      </c>
      <c r="M360" s="2">
        <f t="shared" si="11"/>
        <v>9.5378476341074769E-3</v>
      </c>
    </row>
    <row r="361" spans="1:13" x14ac:dyDescent="0.25">
      <c r="A361" t="s">
        <v>786</v>
      </c>
      <c r="K361" s="1" t="str">
        <f t="shared" si="10"/>
        <v>2015-06-01</v>
      </c>
      <c r="L361">
        <v>17619.509765999999</v>
      </c>
      <c r="M361" s="2">
        <f t="shared" si="11"/>
        <v>-2.1718776235892245E-2</v>
      </c>
    </row>
    <row r="362" spans="1:13" x14ac:dyDescent="0.25">
      <c r="A362" t="s">
        <v>787</v>
      </c>
      <c r="K362" s="1" t="str">
        <f t="shared" si="10"/>
        <v>2015-07-01</v>
      </c>
      <c r="L362">
        <v>17689.859375</v>
      </c>
      <c r="M362" s="2">
        <f t="shared" si="11"/>
        <v>3.9927109172896991E-3</v>
      </c>
    </row>
    <row r="363" spans="1:13" x14ac:dyDescent="0.25">
      <c r="A363" t="s">
        <v>788</v>
      </c>
      <c r="K363" s="1" t="str">
        <f t="shared" si="10"/>
        <v>2015-08-01</v>
      </c>
      <c r="L363">
        <v>16528.029297000001</v>
      </c>
      <c r="M363" s="2">
        <f t="shared" si="11"/>
        <v>-6.5677745276027655E-2</v>
      </c>
    </row>
    <row r="364" spans="1:13" x14ac:dyDescent="0.25">
      <c r="A364" t="s">
        <v>789</v>
      </c>
      <c r="K364" s="1" t="str">
        <f t="shared" si="10"/>
        <v>2015-09-01</v>
      </c>
      <c r="L364">
        <v>16284.700194999999</v>
      </c>
      <c r="M364" s="2">
        <f t="shared" si="11"/>
        <v>-1.4722209020053501E-2</v>
      </c>
    </row>
    <row r="365" spans="1:13" x14ac:dyDescent="0.25">
      <c r="A365" t="s">
        <v>790</v>
      </c>
      <c r="K365" s="1" t="str">
        <f t="shared" si="10"/>
        <v>2015-10-01</v>
      </c>
      <c r="L365">
        <v>17663.539063</v>
      </c>
      <c r="M365" s="2">
        <f t="shared" si="11"/>
        <v>8.4670816870386911E-2</v>
      </c>
    </row>
    <row r="366" spans="1:13" x14ac:dyDescent="0.25">
      <c r="A366" t="s">
        <v>791</v>
      </c>
      <c r="K366" s="1" t="str">
        <f t="shared" si="10"/>
        <v>2015-11-01</v>
      </c>
      <c r="L366">
        <v>17719.919922000001</v>
      </c>
      <c r="M366" s="2">
        <f t="shared" si="11"/>
        <v>3.191934458825596E-3</v>
      </c>
    </row>
    <row r="367" spans="1:13" x14ac:dyDescent="0.25">
      <c r="A367" t="s">
        <v>792</v>
      </c>
      <c r="K367" s="1" t="str">
        <f t="shared" si="10"/>
        <v>2015-12-01</v>
      </c>
      <c r="L367">
        <v>17425.029297000001</v>
      </c>
      <c r="M367" s="2">
        <f t="shared" si="11"/>
        <v>-1.6641758331756407E-2</v>
      </c>
    </row>
    <row r="368" spans="1:13" x14ac:dyDescent="0.25">
      <c r="A368" t="s">
        <v>793</v>
      </c>
      <c r="K368" s="1" t="str">
        <f t="shared" si="10"/>
        <v>2016-01-01</v>
      </c>
      <c r="L368">
        <v>16466.300781000002</v>
      </c>
      <c r="M368" s="2">
        <f t="shared" si="11"/>
        <v>-5.5020195355715118E-2</v>
      </c>
    </row>
    <row r="369" spans="1:13" x14ac:dyDescent="0.25">
      <c r="A369" t="s">
        <v>794</v>
      </c>
      <c r="K369" s="1" t="str">
        <f t="shared" si="10"/>
        <v>2016-02-01</v>
      </c>
      <c r="L369">
        <v>16516.5</v>
      </c>
      <c r="M369" s="2">
        <f t="shared" si="11"/>
        <v>3.0486033060881379E-3</v>
      </c>
    </row>
    <row r="370" spans="1:13" x14ac:dyDescent="0.25">
      <c r="A370" t="s">
        <v>795</v>
      </c>
      <c r="K370" s="1" t="str">
        <f t="shared" si="10"/>
        <v>2016-03-01</v>
      </c>
      <c r="L370">
        <v>17685.089843999998</v>
      </c>
      <c r="M370" s="2">
        <f t="shared" si="11"/>
        <v>7.0752874035055813E-2</v>
      </c>
    </row>
    <row r="371" spans="1:13" x14ac:dyDescent="0.25">
      <c r="A371" t="s">
        <v>796</v>
      </c>
      <c r="K371" s="1" t="str">
        <f t="shared" si="10"/>
        <v>2016-04-01</v>
      </c>
      <c r="L371">
        <v>17773.640625</v>
      </c>
      <c r="M371" s="2">
        <f t="shared" si="11"/>
        <v>5.0070868613678599E-3</v>
      </c>
    </row>
    <row r="372" spans="1:13" x14ac:dyDescent="0.25">
      <c r="A372" t="s">
        <v>797</v>
      </c>
      <c r="K372" s="1" t="str">
        <f t="shared" si="10"/>
        <v>2016-05-01</v>
      </c>
      <c r="L372">
        <v>17787.199218999998</v>
      </c>
      <c r="M372" s="2">
        <f t="shared" si="11"/>
        <v>7.6284843865503937E-4</v>
      </c>
    </row>
    <row r="373" spans="1:13" x14ac:dyDescent="0.25">
      <c r="A373" t="s">
        <v>798</v>
      </c>
      <c r="K373" s="1" t="str">
        <f t="shared" si="10"/>
        <v>2016-06-01</v>
      </c>
      <c r="L373">
        <v>17929.990234000001</v>
      </c>
      <c r="M373" s="2">
        <f t="shared" si="11"/>
        <v>8.0277402440893653E-3</v>
      </c>
    </row>
    <row r="374" spans="1:13" x14ac:dyDescent="0.25">
      <c r="A374" t="s">
        <v>799</v>
      </c>
      <c r="K374" s="1" t="str">
        <f t="shared" si="10"/>
        <v>2016-07-01</v>
      </c>
      <c r="L374">
        <v>18432.240234000001</v>
      </c>
      <c r="M374" s="2">
        <f t="shared" si="11"/>
        <v>2.8011727471418224E-2</v>
      </c>
    </row>
    <row r="375" spans="1:13" x14ac:dyDescent="0.25">
      <c r="A375" t="s">
        <v>800</v>
      </c>
      <c r="K375" s="1" t="str">
        <f t="shared" si="10"/>
        <v>2016-08-01</v>
      </c>
      <c r="L375">
        <v>18400.880859000001</v>
      </c>
      <c r="M375" s="2">
        <f t="shared" si="11"/>
        <v>-1.7013328060988542E-3</v>
      </c>
    </row>
    <row r="376" spans="1:13" x14ac:dyDescent="0.25">
      <c r="A376" t="s">
        <v>801</v>
      </c>
      <c r="K376" s="1" t="str">
        <f t="shared" si="10"/>
        <v>2016-09-01</v>
      </c>
      <c r="L376">
        <v>18308.150390999999</v>
      </c>
      <c r="M376" s="2">
        <f t="shared" si="11"/>
        <v>-5.0394580949990608E-3</v>
      </c>
    </row>
    <row r="377" spans="1:13" x14ac:dyDescent="0.25">
      <c r="A377" t="s">
        <v>802</v>
      </c>
      <c r="K377" s="1" t="str">
        <f t="shared" si="10"/>
        <v>2016-10-01</v>
      </c>
      <c r="L377">
        <v>18142.419922000001</v>
      </c>
      <c r="M377" s="2">
        <f t="shared" si="11"/>
        <v>-9.0522781089600324E-3</v>
      </c>
    </row>
    <row r="378" spans="1:13" x14ac:dyDescent="0.25">
      <c r="A378" t="s">
        <v>803</v>
      </c>
      <c r="K378" s="1" t="str">
        <f t="shared" si="10"/>
        <v>2016-11-01</v>
      </c>
      <c r="L378">
        <v>19123.580077999999</v>
      </c>
      <c r="M378" s="2">
        <f t="shared" si="11"/>
        <v>5.4080996924242619E-2</v>
      </c>
    </row>
    <row r="379" spans="1:13" x14ac:dyDescent="0.25">
      <c r="A379" t="s">
        <v>804</v>
      </c>
      <c r="K379" s="1" t="str">
        <f t="shared" si="10"/>
        <v>2016-12-01</v>
      </c>
      <c r="L379">
        <v>19762.599609000001</v>
      </c>
      <c r="M379" s="2">
        <f t="shared" si="11"/>
        <v>3.3415266827320655E-2</v>
      </c>
    </row>
    <row r="380" spans="1:13" x14ac:dyDescent="0.25">
      <c r="A380" t="s">
        <v>805</v>
      </c>
      <c r="K380" s="1" t="str">
        <f t="shared" si="10"/>
        <v>2017-01-01</v>
      </c>
      <c r="L380">
        <v>19864.089843999998</v>
      </c>
      <c r="M380" s="2">
        <f t="shared" si="11"/>
        <v>5.1354698778482977E-3</v>
      </c>
    </row>
    <row r="381" spans="1:13" x14ac:dyDescent="0.25">
      <c r="A381" t="s">
        <v>806</v>
      </c>
      <c r="K381" s="1" t="str">
        <f t="shared" si="10"/>
        <v>2017-02-01</v>
      </c>
      <c r="L381">
        <v>20812.240234000001</v>
      </c>
      <c r="M381" s="2">
        <f t="shared" si="11"/>
        <v>4.7731881875594517E-2</v>
      </c>
    </row>
    <row r="382" spans="1:13" x14ac:dyDescent="0.25">
      <c r="A382" t="s">
        <v>807</v>
      </c>
      <c r="K382" s="1" t="str">
        <f t="shared" si="10"/>
        <v>2017-03-01</v>
      </c>
      <c r="L382">
        <v>20663.220702999999</v>
      </c>
      <c r="M382" s="2">
        <f t="shared" si="11"/>
        <v>-7.1601869536637164E-3</v>
      </c>
    </row>
    <row r="383" spans="1:13" x14ac:dyDescent="0.25">
      <c r="A383" t="s">
        <v>808</v>
      </c>
      <c r="K383" s="1" t="str">
        <f t="shared" si="10"/>
        <v>2017-04-01</v>
      </c>
      <c r="L383">
        <v>20940.509765999999</v>
      </c>
      <c r="M383" s="2">
        <f t="shared" si="11"/>
        <v>1.3419450287328161E-2</v>
      </c>
    </row>
    <row r="384" spans="1:13" x14ac:dyDescent="0.25">
      <c r="A384" t="s">
        <v>809</v>
      </c>
      <c r="K384" s="1" t="str">
        <f t="shared" si="10"/>
        <v>2017-05-01</v>
      </c>
      <c r="L384">
        <v>21008.650390999999</v>
      </c>
      <c r="M384" s="2">
        <f t="shared" si="11"/>
        <v>3.2540098479663104E-3</v>
      </c>
    </row>
    <row r="385" spans="1:13" x14ac:dyDescent="0.25">
      <c r="A385" t="s">
        <v>810</v>
      </c>
      <c r="K385" s="1" t="str">
        <f t="shared" si="10"/>
        <v>2017-06-01</v>
      </c>
      <c r="L385">
        <v>21349.630859000001</v>
      </c>
      <c r="M385" s="2">
        <f t="shared" si="11"/>
        <v>1.6230479428896327E-2</v>
      </c>
    </row>
    <row r="386" spans="1:13" x14ac:dyDescent="0.25">
      <c r="A386" t="s">
        <v>811</v>
      </c>
      <c r="K386" s="1" t="str">
        <f t="shared" si="10"/>
        <v>2017-07-01</v>
      </c>
      <c r="L386">
        <v>21891.119140999999</v>
      </c>
      <c r="M386" s="2">
        <f t="shared" si="11"/>
        <v>2.5362887329348549E-2</v>
      </c>
    </row>
    <row r="387" spans="1:13" x14ac:dyDescent="0.25">
      <c r="A387" t="s">
        <v>812</v>
      </c>
      <c r="K387" s="1" t="str">
        <f t="shared" ref="K387:K422" si="12">LEFT(A387,10)</f>
        <v>2017-08-01</v>
      </c>
      <c r="L387">
        <v>21948.099609000001</v>
      </c>
      <c r="M387" s="2">
        <f t="shared" si="11"/>
        <v>2.6029033798131707E-3</v>
      </c>
    </row>
    <row r="388" spans="1:13" x14ac:dyDescent="0.25">
      <c r="A388" t="s">
        <v>813</v>
      </c>
      <c r="K388" s="1" t="str">
        <f t="shared" si="12"/>
        <v>2017-09-01</v>
      </c>
      <c r="L388">
        <v>22405.089843999998</v>
      </c>
      <c r="M388" s="2">
        <f t="shared" ref="M388:M422" si="13">(L388/L387)-1</f>
        <v>2.082140336253091E-2</v>
      </c>
    </row>
    <row r="389" spans="1:13" x14ac:dyDescent="0.25">
      <c r="A389" t="s">
        <v>814</v>
      </c>
      <c r="K389" s="1" t="str">
        <f t="shared" si="12"/>
        <v>2017-10-01</v>
      </c>
      <c r="L389">
        <v>23377.240234000001</v>
      </c>
      <c r="M389" s="2">
        <f t="shared" si="13"/>
        <v>4.3389711747143123E-2</v>
      </c>
    </row>
    <row r="390" spans="1:13" x14ac:dyDescent="0.25">
      <c r="A390" t="s">
        <v>815</v>
      </c>
      <c r="K390" s="1" t="str">
        <f t="shared" si="12"/>
        <v>2017-11-01</v>
      </c>
      <c r="L390">
        <v>24272.349609000001</v>
      </c>
      <c r="M390" s="2">
        <f t="shared" si="13"/>
        <v>3.8289779547978853E-2</v>
      </c>
    </row>
    <row r="391" spans="1:13" x14ac:dyDescent="0.25">
      <c r="A391" t="s">
        <v>816</v>
      </c>
      <c r="K391" s="1" t="str">
        <f t="shared" si="12"/>
        <v>2017-12-01</v>
      </c>
      <c r="L391">
        <v>24719.220702999999</v>
      </c>
      <c r="M391" s="2">
        <f t="shared" si="13"/>
        <v>1.8410706058481496E-2</v>
      </c>
    </row>
    <row r="392" spans="1:13" x14ac:dyDescent="0.25">
      <c r="A392" t="s">
        <v>817</v>
      </c>
      <c r="K392" s="1" t="str">
        <f t="shared" si="12"/>
        <v>2018-01-01</v>
      </c>
      <c r="L392">
        <v>26149.390625</v>
      </c>
      <c r="M392" s="2">
        <f t="shared" si="13"/>
        <v>5.7856594234236169E-2</v>
      </c>
    </row>
    <row r="393" spans="1:13" x14ac:dyDescent="0.25">
      <c r="A393" t="s">
        <v>818</v>
      </c>
      <c r="K393" s="1" t="str">
        <f t="shared" si="12"/>
        <v>2018-02-01</v>
      </c>
      <c r="L393">
        <v>25029.199218999998</v>
      </c>
      <c r="M393" s="2">
        <f t="shared" si="13"/>
        <v>-4.2838145716827869E-2</v>
      </c>
    </row>
    <row r="394" spans="1:13" x14ac:dyDescent="0.25">
      <c r="A394" t="s">
        <v>819</v>
      </c>
      <c r="K394" s="1" t="str">
        <f t="shared" si="12"/>
        <v>2018-03-01</v>
      </c>
      <c r="L394">
        <v>24103.109375</v>
      </c>
      <c r="M394" s="2">
        <f t="shared" si="13"/>
        <v>-3.7000378473834306E-2</v>
      </c>
    </row>
    <row r="395" spans="1:13" x14ac:dyDescent="0.25">
      <c r="A395" t="s">
        <v>820</v>
      </c>
      <c r="K395" s="1" t="str">
        <f t="shared" si="12"/>
        <v>2018-04-01</v>
      </c>
      <c r="L395">
        <v>24163.150390999999</v>
      </c>
      <c r="M395" s="2">
        <f t="shared" si="13"/>
        <v>2.4910070757209191E-3</v>
      </c>
    </row>
    <row r="396" spans="1:13" x14ac:dyDescent="0.25">
      <c r="A396" t="s">
        <v>821</v>
      </c>
      <c r="K396" s="1" t="str">
        <f t="shared" si="12"/>
        <v>2018-05-01</v>
      </c>
      <c r="L396">
        <v>24415.839843999998</v>
      </c>
      <c r="M396" s="2">
        <f t="shared" si="13"/>
        <v>1.0457636893826505E-2</v>
      </c>
    </row>
    <row r="397" spans="1:13" x14ac:dyDescent="0.25">
      <c r="A397" t="s">
        <v>822</v>
      </c>
      <c r="K397" s="1" t="str">
        <f t="shared" si="12"/>
        <v>2018-06-01</v>
      </c>
      <c r="L397">
        <v>24271.410156000002</v>
      </c>
      <c r="M397" s="2">
        <f t="shared" si="13"/>
        <v>-5.9154093786165651E-3</v>
      </c>
    </row>
    <row r="398" spans="1:13" x14ac:dyDescent="0.25">
      <c r="A398" t="s">
        <v>823</v>
      </c>
      <c r="K398" s="1" t="str">
        <f t="shared" si="12"/>
        <v>2018-07-01</v>
      </c>
      <c r="L398">
        <v>25415.189452999999</v>
      </c>
      <c r="M398" s="2">
        <f t="shared" si="13"/>
        <v>4.7124550639973783E-2</v>
      </c>
    </row>
    <row r="399" spans="1:13" x14ac:dyDescent="0.25">
      <c r="A399" t="s">
        <v>824</v>
      </c>
      <c r="K399" s="1" t="str">
        <f t="shared" si="12"/>
        <v>2018-08-01</v>
      </c>
      <c r="L399">
        <v>25964.820313</v>
      </c>
      <c r="M399" s="2">
        <f t="shared" si="13"/>
        <v>2.1626077626390572E-2</v>
      </c>
    </row>
    <row r="400" spans="1:13" x14ac:dyDescent="0.25">
      <c r="A400" t="s">
        <v>825</v>
      </c>
      <c r="K400" s="1" t="str">
        <f t="shared" si="12"/>
        <v>2018-09-01</v>
      </c>
      <c r="L400">
        <v>26458.310547000001</v>
      </c>
      <c r="M400" s="2">
        <f t="shared" si="13"/>
        <v>1.9006110115575181E-2</v>
      </c>
    </row>
    <row r="401" spans="1:13" x14ac:dyDescent="0.25">
      <c r="A401" t="s">
        <v>826</v>
      </c>
      <c r="K401" s="1" t="str">
        <f t="shared" si="12"/>
        <v>2018-10-01</v>
      </c>
      <c r="L401">
        <v>25115.759765999999</v>
      </c>
      <c r="M401" s="2">
        <f t="shared" si="13"/>
        <v>-5.0742120462118012E-2</v>
      </c>
    </row>
    <row r="402" spans="1:13" x14ac:dyDescent="0.25">
      <c r="A402" t="s">
        <v>827</v>
      </c>
      <c r="K402" s="1" t="str">
        <f t="shared" si="12"/>
        <v>2018-11-01</v>
      </c>
      <c r="L402">
        <v>25538.460938</v>
      </c>
      <c r="M402" s="2">
        <f t="shared" si="13"/>
        <v>1.6830116864400946E-2</v>
      </c>
    </row>
    <row r="403" spans="1:13" x14ac:dyDescent="0.25">
      <c r="A403" t="s">
        <v>828</v>
      </c>
      <c r="K403" s="1" t="str">
        <f t="shared" si="12"/>
        <v>2018-12-01</v>
      </c>
      <c r="L403">
        <v>23327.460938</v>
      </c>
      <c r="M403" s="2">
        <f t="shared" si="13"/>
        <v>-8.6575303240381984E-2</v>
      </c>
    </row>
    <row r="404" spans="1:13" x14ac:dyDescent="0.25">
      <c r="A404" t="s">
        <v>829</v>
      </c>
      <c r="K404" s="1" t="str">
        <f t="shared" si="12"/>
        <v>2019-01-01</v>
      </c>
      <c r="L404">
        <v>24999.669922000001</v>
      </c>
      <c r="M404" s="2">
        <f t="shared" si="13"/>
        <v>7.1684140354769665E-2</v>
      </c>
    </row>
    <row r="405" spans="1:13" x14ac:dyDescent="0.25">
      <c r="A405" t="s">
        <v>830</v>
      </c>
      <c r="K405" s="1" t="str">
        <f t="shared" si="12"/>
        <v>2019-02-01</v>
      </c>
      <c r="L405">
        <v>25916</v>
      </c>
      <c r="M405" s="2">
        <f t="shared" si="13"/>
        <v>3.6653687063028739E-2</v>
      </c>
    </row>
    <row r="406" spans="1:13" x14ac:dyDescent="0.25">
      <c r="A406" t="s">
        <v>831</v>
      </c>
      <c r="K406" s="1" t="str">
        <f t="shared" si="12"/>
        <v>2019-03-01</v>
      </c>
      <c r="L406">
        <v>25928.679688</v>
      </c>
      <c r="M406" s="2">
        <f t="shared" si="13"/>
        <v>4.892609970674755E-4</v>
      </c>
    </row>
    <row r="407" spans="1:13" x14ac:dyDescent="0.25">
      <c r="A407" t="s">
        <v>832</v>
      </c>
      <c r="K407" s="1" t="str">
        <f t="shared" si="12"/>
        <v>2019-04-01</v>
      </c>
      <c r="L407">
        <v>26592.910156000002</v>
      </c>
      <c r="M407" s="2">
        <f t="shared" si="13"/>
        <v>2.5617597038981144E-2</v>
      </c>
    </row>
    <row r="408" spans="1:13" x14ac:dyDescent="0.25">
      <c r="A408" t="s">
        <v>833</v>
      </c>
      <c r="K408" s="1" t="str">
        <f t="shared" si="12"/>
        <v>2019-05-01</v>
      </c>
      <c r="L408">
        <v>24815.039063</v>
      </c>
      <c r="M408" s="2">
        <f t="shared" si="13"/>
        <v>-6.6855078386329647E-2</v>
      </c>
    </row>
    <row r="409" spans="1:13" x14ac:dyDescent="0.25">
      <c r="A409" t="s">
        <v>834</v>
      </c>
      <c r="K409" s="1" t="str">
        <f t="shared" si="12"/>
        <v>2019-06-01</v>
      </c>
      <c r="L409">
        <v>26599.960938</v>
      </c>
      <c r="M409" s="2">
        <f t="shared" si="13"/>
        <v>7.1929037486842873E-2</v>
      </c>
    </row>
    <row r="410" spans="1:13" x14ac:dyDescent="0.25">
      <c r="A410" t="s">
        <v>835</v>
      </c>
      <c r="K410" s="1" t="str">
        <f t="shared" si="12"/>
        <v>2019-07-01</v>
      </c>
      <c r="L410">
        <v>26864.269531000002</v>
      </c>
      <c r="M410" s="2">
        <f t="shared" si="13"/>
        <v>9.9364278622837698E-3</v>
      </c>
    </row>
    <row r="411" spans="1:13" x14ac:dyDescent="0.25">
      <c r="A411" t="s">
        <v>836</v>
      </c>
      <c r="K411" s="1" t="str">
        <f t="shared" si="12"/>
        <v>2019-08-01</v>
      </c>
      <c r="L411">
        <v>26403.279297000001</v>
      </c>
      <c r="M411" s="2">
        <f t="shared" si="13"/>
        <v>-1.7159976505895402E-2</v>
      </c>
    </row>
    <row r="412" spans="1:13" x14ac:dyDescent="0.25">
      <c r="A412" t="s">
        <v>837</v>
      </c>
      <c r="K412" s="1" t="str">
        <f t="shared" si="12"/>
        <v>2019-09-01</v>
      </c>
      <c r="L412">
        <v>26916.830077999999</v>
      </c>
      <c r="M412" s="2">
        <f t="shared" si="13"/>
        <v>1.9450265068337469E-2</v>
      </c>
    </row>
    <row r="413" spans="1:13" x14ac:dyDescent="0.25">
      <c r="A413" t="s">
        <v>838</v>
      </c>
      <c r="K413" s="1" t="str">
        <f t="shared" si="12"/>
        <v>2019-10-01</v>
      </c>
      <c r="L413">
        <v>27046.230468999998</v>
      </c>
      <c r="M413" s="2">
        <f t="shared" si="13"/>
        <v>4.8074156810078428E-3</v>
      </c>
    </row>
    <row r="414" spans="1:13" x14ac:dyDescent="0.25">
      <c r="A414" t="s">
        <v>839</v>
      </c>
      <c r="K414" s="1" t="str">
        <f t="shared" si="12"/>
        <v>2019-11-01</v>
      </c>
      <c r="L414">
        <v>28051.410156000002</v>
      </c>
      <c r="M414" s="2">
        <f t="shared" si="13"/>
        <v>3.7165241498334778E-2</v>
      </c>
    </row>
    <row r="415" spans="1:13" x14ac:dyDescent="0.25">
      <c r="A415" t="s">
        <v>840</v>
      </c>
      <c r="K415" s="1" t="str">
        <f t="shared" si="12"/>
        <v>2019-12-01</v>
      </c>
      <c r="L415">
        <v>28538.439452999999</v>
      </c>
      <c r="M415" s="2">
        <f t="shared" si="13"/>
        <v>1.7362025448685925E-2</v>
      </c>
    </row>
    <row r="416" spans="1:13" x14ac:dyDescent="0.25">
      <c r="A416" t="s">
        <v>841</v>
      </c>
      <c r="K416" s="1" t="str">
        <f t="shared" si="12"/>
        <v>2020-01-01</v>
      </c>
      <c r="L416">
        <v>28256.029297000001</v>
      </c>
      <c r="M416" s="2">
        <f t="shared" si="13"/>
        <v>-9.8957813185650556E-3</v>
      </c>
    </row>
    <row r="417" spans="1:13" x14ac:dyDescent="0.25">
      <c r="A417" t="s">
        <v>842</v>
      </c>
      <c r="K417" s="1" t="str">
        <f t="shared" si="12"/>
        <v>2020-02-01</v>
      </c>
      <c r="L417">
        <v>25409.359375</v>
      </c>
      <c r="M417" s="2">
        <f t="shared" si="13"/>
        <v>-0.1007455751152635</v>
      </c>
    </row>
    <row r="418" spans="1:13" x14ac:dyDescent="0.25">
      <c r="A418" t="s">
        <v>843</v>
      </c>
      <c r="K418" s="1" t="str">
        <f t="shared" si="12"/>
        <v>2020-03-01</v>
      </c>
      <c r="L418">
        <v>21917.160156000002</v>
      </c>
      <c r="M418" s="2">
        <f t="shared" si="13"/>
        <v>-0.13743751534467796</v>
      </c>
    </row>
    <row r="419" spans="1:13" x14ac:dyDescent="0.25">
      <c r="A419" t="s">
        <v>844</v>
      </c>
      <c r="K419" s="1" t="str">
        <f t="shared" si="12"/>
        <v>2020-04-01</v>
      </c>
      <c r="L419">
        <v>24345.720702999999</v>
      </c>
      <c r="M419" s="2">
        <f t="shared" si="13"/>
        <v>0.11080635126604932</v>
      </c>
    </row>
    <row r="420" spans="1:13" x14ac:dyDescent="0.25">
      <c r="A420" t="s">
        <v>845</v>
      </c>
      <c r="K420" s="1" t="str">
        <f t="shared" si="12"/>
        <v>2020-05-01</v>
      </c>
      <c r="L420">
        <v>25383.109375</v>
      </c>
      <c r="M420" s="2">
        <f t="shared" si="13"/>
        <v>4.2610719339771563E-2</v>
      </c>
    </row>
    <row r="421" spans="1:13" x14ac:dyDescent="0.25">
      <c r="A421" t="s">
        <v>846</v>
      </c>
      <c r="K421" s="1" t="str">
        <f t="shared" si="12"/>
        <v>2020-06-01</v>
      </c>
      <c r="L421">
        <v>25812.880859000001</v>
      </c>
      <c r="M421" s="2">
        <f t="shared" si="13"/>
        <v>1.6931396293918377E-2</v>
      </c>
    </row>
    <row r="422" spans="1:13" x14ac:dyDescent="0.25">
      <c r="A422" t="s">
        <v>848</v>
      </c>
      <c r="K422" s="1" t="str">
        <f t="shared" si="12"/>
        <v>2020-07-01</v>
      </c>
      <c r="L422">
        <v>26428.320313</v>
      </c>
      <c r="M422" s="2">
        <f t="shared" si="13"/>
        <v>2.3842338922252404E-2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3225-0593-40A9-B7B3-D7E034142A6A}">
  <sheetPr codeName="Sheet20"/>
  <dimension ref="A1:O422"/>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7</v>
      </c>
      <c r="K2" s="1" t="str">
        <f>LEFT(A2,10)</f>
        <v>1985-07-01</v>
      </c>
      <c r="L2">
        <v>190.91999799999999</v>
      </c>
      <c r="O2" s="2">
        <v>7.7541719889258759E-3</v>
      </c>
    </row>
    <row r="3" spans="1:15" x14ac:dyDescent="0.25">
      <c r="A3" t="s">
        <v>8</v>
      </c>
      <c r="K3" s="1" t="str">
        <f t="shared" ref="K3:K66" si="0">LEFT(A3,10)</f>
        <v>1985-08-01</v>
      </c>
      <c r="L3">
        <v>188.63000500000001</v>
      </c>
      <c r="M3" s="2">
        <f>(L3/L2)-1</f>
        <v>-1.1994516153305157E-2</v>
      </c>
    </row>
    <row r="4" spans="1:15" x14ac:dyDescent="0.25">
      <c r="A4" t="s">
        <v>9</v>
      </c>
      <c r="K4" s="1" t="str">
        <f t="shared" si="0"/>
        <v>1985-09-01</v>
      </c>
      <c r="L4">
        <v>182.08000200000001</v>
      </c>
      <c r="M4" s="2">
        <f t="shared" ref="M4:M67" si="1">(L4/L3)-1</f>
        <v>-3.4724077964160549E-2</v>
      </c>
    </row>
    <row r="5" spans="1:15" x14ac:dyDescent="0.25">
      <c r="A5" t="s">
        <v>10</v>
      </c>
      <c r="K5" s="1" t="str">
        <f t="shared" si="0"/>
        <v>1985-10-01</v>
      </c>
      <c r="L5">
        <v>189.820007</v>
      </c>
      <c r="M5" s="2">
        <f t="shared" si="1"/>
        <v>4.2508814339753842E-2</v>
      </c>
    </row>
    <row r="6" spans="1:15" x14ac:dyDescent="0.25">
      <c r="A6" t="s">
        <v>11</v>
      </c>
      <c r="K6" s="1" t="str">
        <f t="shared" si="0"/>
        <v>1985-11-01</v>
      </c>
      <c r="L6">
        <v>202.16999799999999</v>
      </c>
      <c r="M6" s="2">
        <f t="shared" si="1"/>
        <v>6.5061587528020715E-2</v>
      </c>
    </row>
    <row r="7" spans="1:15" x14ac:dyDescent="0.25">
      <c r="A7" t="s">
        <v>12</v>
      </c>
      <c r="K7" s="1" t="str">
        <f t="shared" si="0"/>
        <v>1985-12-01</v>
      </c>
      <c r="L7">
        <v>211.279999</v>
      </c>
      <c r="M7" s="2">
        <f t="shared" si="1"/>
        <v>4.5061092595944929E-2</v>
      </c>
    </row>
    <row r="8" spans="1:15" x14ac:dyDescent="0.25">
      <c r="A8" t="s">
        <v>13</v>
      </c>
      <c r="K8" s="1" t="str">
        <f t="shared" si="0"/>
        <v>1986-01-01</v>
      </c>
      <c r="L8">
        <v>211.779999</v>
      </c>
      <c r="M8" s="2">
        <f t="shared" si="1"/>
        <v>2.3665278415681001E-3</v>
      </c>
    </row>
    <row r="9" spans="1:15" x14ac:dyDescent="0.25">
      <c r="A9" t="s">
        <v>14</v>
      </c>
      <c r="K9" s="1" t="str">
        <f t="shared" si="0"/>
        <v>1986-02-01</v>
      </c>
      <c r="L9">
        <v>226.91999799999999</v>
      </c>
      <c r="M9" s="2">
        <f t="shared" si="1"/>
        <v>7.1489276945364333E-2</v>
      </c>
    </row>
    <row r="10" spans="1:15" x14ac:dyDescent="0.25">
      <c r="A10" t="s">
        <v>15</v>
      </c>
      <c r="K10" s="1" t="str">
        <f t="shared" si="0"/>
        <v>1986-03-01</v>
      </c>
      <c r="L10">
        <v>238.89999399999999</v>
      </c>
      <c r="M10" s="2">
        <f t="shared" si="1"/>
        <v>5.2793919026916214E-2</v>
      </c>
    </row>
    <row r="11" spans="1:15" x14ac:dyDescent="0.25">
      <c r="A11" t="s">
        <v>16</v>
      </c>
      <c r="K11" s="1" t="str">
        <f t="shared" si="0"/>
        <v>1986-04-01</v>
      </c>
      <c r="L11">
        <v>235.520004</v>
      </c>
      <c r="M11" s="2">
        <f t="shared" si="1"/>
        <v>-1.4148137651271764E-2</v>
      </c>
    </row>
    <row r="12" spans="1:15" x14ac:dyDescent="0.25">
      <c r="A12" t="s">
        <v>17</v>
      </c>
      <c r="K12" s="1" t="str">
        <f t="shared" si="0"/>
        <v>1986-05-01</v>
      </c>
      <c r="L12">
        <v>247.35000600000001</v>
      </c>
      <c r="M12" s="2">
        <f t="shared" si="1"/>
        <v>5.0229287530073163E-2</v>
      </c>
    </row>
    <row r="13" spans="1:15" x14ac:dyDescent="0.25">
      <c r="A13" t="s">
        <v>18</v>
      </c>
      <c r="K13" s="1" t="str">
        <f t="shared" si="0"/>
        <v>1986-06-01</v>
      </c>
      <c r="L13">
        <v>250.83999600000001</v>
      </c>
      <c r="M13" s="2">
        <f t="shared" si="1"/>
        <v>1.4109520579514312E-2</v>
      </c>
    </row>
    <row r="14" spans="1:15" x14ac:dyDescent="0.25">
      <c r="A14" t="s">
        <v>19</v>
      </c>
      <c r="K14" s="1" t="str">
        <f t="shared" si="0"/>
        <v>1986-07-01</v>
      </c>
      <c r="L14">
        <v>236.11999499999999</v>
      </c>
      <c r="M14" s="2">
        <f t="shared" si="1"/>
        <v>-5.868283062801527E-2</v>
      </c>
    </row>
    <row r="15" spans="1:15" x14ac:dyDescent="0.25">
      <c r="A15" t="s">
        <v>20</v>
      </c>
      <c r="K15" s="1" t="str">
        <f t="shared" si="0"/>
        <v>1986-08-01</v>
      </c>
      <c r="L15">
        <v>252.929993</v>
      </c>
      <c r="M15" s="2">
        <f t="shared" si="1"/>
        <v>7.1192606962404925E-2</v>
      </c>
    </row>
    <row r="16" spans="1:15" x14ac:dyDescent="0.25">
      <c r="A16" t="s">
        <v>21</v>
      </c>
      <c r="K16" s="1" t="str">
        <f t="shared" si="0"/>
        <v>1986-09-01</v>
      </c>
      <c r="L16">
        <v>231.320007</v>
      </c>
      <c r="M16" s="2">
        <f t="shared" si="1"/>
        <v>-8.5438605930772238E-2</v>
      </c>
    </row>
    <row r="17" spans="1:13" x14ac:dyDescent="0.25">
      <c r="A17" t="s">
        <v>22</v>
      </c>
      <c r="K17" s="1" t="str">
        <f t="shared" si="0"/>
        <v>1986-10-01</v>
      </c>
      <c r="L17">
        <v>243.979996</v>
      </c>
      <c r="M17" s="2">
        <f t="shared" si="1"/>
        <v>5.4729330005596877E-2</v>
      </c>
    </row>
    <row r="18" spans="1:13" x14ac:dyDescent="0.25">
      <c r="A18" t="s">
        <v>23</v>
      </c>
      <c r="K18" s="1" t="str">
        <f t="shared" si="0"/>
        <v>1986-11-01</v>
      </c>
      <c r="L18">
        <v>249.220001</v>
      </c>
      <c r="M18" s="2">
        <f t="shared" si="1"/>
        <v>2.1477191105454319E-2</v>
      </c>
    </row>
    <row r="19" spans="1:13" x14ac:dyDescent="0.25">
      <c r="A19" t="s">
        <v>24</v>
      </c>
      <c r="K19" s="1" t="str">
        <f t="shared" si="0"/>
        <v>1986-12-01</v>
      </c>
      <c r="L19">
        <v>242.16999799999999</v>
      </c>
      <c r="M19" s="2">
        <f t="shared" si="1"/>
        <v>-2.828827129328193E-2</v>
      </c>
    </row>
    <row r="20" spans="1:13" x14ac:dyDescent="0.25">
      <c r="A20" t="s">
        <v>25</v>
      </c>
      <c r="K20" s="1" t="str">
        <f t="shared" si="0"/>
        <v>1987-01-01</v>
      </c>
      <c r="L20">
        <v>274.07998700000002</v>
      </c>
      <c r="M20" s="2">
        <f t="shared" si="1"/>
        <v>0.13176689624451354</v>
      </c>
    </row>
    <row r="21" spans="1:13" x14ac:dyDescent="0.25">
      <c r="A21" t="s">
        <v>26</v>
      </c>
      <c r="K21" s="1" t="str">
        <f t="shared" si="0"/>
        <v>1987-02-01</v>
      </c>
      <c r="L21">
        <v>284.20001200000002</v>
      </c>
      <c r="M21" s="2">
        <f t="shared" si="1"/>
        <v>3.6923618943399905E-2</v>
      </c>
    </row>
    <row r="22" spans="1:13" x14ac:dyDescent="0.25">
      <c r="A22" t="s">
        <v>27</v>
      </c>
      <c r="K22" s="1" t="str">
        <f t="shared" si="0"/>
        <v>1987-03-01</v>
      </c>
      <c r="L22">
        <v>291.70001200000002</v>
      </c>
      <c r="M22" s="2">
        <f t="shared" si="1"/>
        <v>2.6389865177064209E-2</v>
      </c>
    </row>
    <row r="23" spans="1:13" x14ac:dyDescent="0.25">
      <c r="A23" t="s">
        <v>28</v>
      </c>
      <c r="K23" s="1" t="str">
        <f t="shared" si="0"/>
        <v>1987-04-01</v>
      </c>
      <c r="L23">
        <v>288.35998499999999</v>
      </c>
      <c r="M23" s="2">
        <f t="shared" si="1"/>
        <v>-1.1450212076096977E-2</v>
      </c>
    </row>
    <row r="24" spans="1:13" x14ac:dyDescent="0.25">
      <c r="A24" t="s">
        <v>29</v>
      </c>
      <c r="K24" s="1" t="str">
        <f t="shared" si="0"/>
        <v>1987-05-01</v>
      </c>
      <c r="L24">
        <v>290.10000600000001</v>
      </c>
      <c r="M24" s="2">
        <f t="shared" si="1"/>
        <v>6.0341971511754799E-3</v>
      </c>
    </row>
    <row r="25" spans="1:13" x14ac:dyDescent="0.25">
      <c r="A25" t="s">
        <v>30</v>
      </c>
      <c r="K25" s="1" t="str">
        <f t="shared" si="0"/>
        <v>1987-06-01</v>
      </c>
      <c r="L25">
        <v>304</v>
      </c>
      <c r="M25" s="2">
        <f t="shared" si="1"/>
        <v>4.7914490563643719E-2</v>
      </c>
    </row>
    <row r="26" spans="1:13" x14ac:dyDescent="0.25">
      <c r="A26" t="s">
        <v>31</v>
      </c>
      <c r="K26" s="1" t="str">
        <f t="shared" si="0"/>
        <v>1987-07-01</v>
      </c>
      <c r="L26">
        <v>318.66000400000001</v>
      </c>
      <c r="M26" s="2">
        <f t="shared" si="1"/>
        <v>4.8223697368421137E-2</v>
      </c>
    </row>
    <row r="27" spans="1:13" x14ac:dyDescent="0.25">
      <c r="A27" t="s">
        <v>32</v>
      </c>
      <c r="K27" s="1" t="str">
        <f t="shared" si="0"/>
        <v>1987-08-01</v>
      </c>
      <c r="L27">
        <v>329.79998799999998</v>
      </c>
      <c r="M27" s="2">
        <f t="shared" si="1"/>
        <v>3.4958839704276157E-2</v>
      </c>
    </row>
    <row r="28" spans="1:13" x14ac:dyDescent="0.25">
      <c r="A28" t="s">
        <v>33</v>
      </c>
      <c r="K28" s="1" t="str">
        <f t="shared" si="0"/>
        <v>1987-09-01</v>
      </c>
      <c r="L28">
        <v>321.82998700000002</v>
      </c>
      <c r="M28" s="2">
        <f t="shared" si="1"/>
        <v>-2.4166165221327973E-2</v>
      </c>
    </row>
    <row r="29" spans="1:13" x14ac:dyDescent="0.25">
      <c r="A29" t="s">
        <v>34</v>
      </c>
      <c r="K29" s="1" t="str">
        <f t="shared" si="0"/>
        <v>1987-10-01</v>
      </c>
      <c r="L29">
        <v>251.78999300000001</v>
      </c>
      <c r="M29" s="2">
        <f t="shared" si="1"/>
        <v>-0.21763041614888423</v>
      </c>
    </row>
    <row r="30" spans="1:13" x14ac:dyDescent="0.25">
      <c r="A30" t="s">
        <v>35</v>
      </c>
      <c r="K30" s="1" t="str">
        <f t="shared" si="0"/>
        <v>1987-11-01</v>
      </c>
      <c r="L30">
        <v>230.300003</v>
      </c>
      <c r="M30" s="2">
        <f t="shared" si="1"/>
        <v>-8.5348864519806389E-2</v>
      </c>
    </row>
    <row r="31" spans="1:13" x14ac:dyDescent="0.25">
      <c r="A31" t="s">
        <v>36</v>
      </c>
      <c r="K31" s="1" t="str">
        <f t="shared" si="0"/>
        <v>1987-12-01</v>
      </c>
      <c r="L31">
        <v>247.08000200000001</v>
      </c>
      <c r="M31" s="2">
        <f t="shared" si="1"/>
        <v>7.2861479728248302E-2</v>
      </c>
    </row>
    <row r="32" spans="1:13" x14ac:dyDescent="0.25">
      <c r="A32" t="s">
        <v>37</v>
      </c>
      <c r="K32" s="1" t="str">
        <f t="shared" si="0"/>
        <v>1988-01-01</v>
      </c>
      <c r="L32">
        <v>257.07000699999998</v>
      </c>
      <c r="M32" s="2">
        <f t="shared" si="1"/>
        <v>4.0432268573479924E-2</v>
      </c>
    </row>
    <row r="33" spans="1:13" x14ac:dyDescent="0.25">
      <c r="A33" t="s">
        <v>38</v>
      </c>
      <c r="K33" s="1" t="str">
        <f t="shared" si="0"/>
        <v>1988-02-01</v>
      </c>
      <c r="L33">
        <v>267.82000699999998</v>
      </c>
      <c r="M33" s="2">
        <f t="shared" si="1"/>
        <v>4.1817402681285865E-2</v>
      </c>
    </row>
    <row r="34" spans="1:13" x14ac:dyDescent="0.25">
      <c r="A34" t="s">
        <v>39</v>
      </c>
      <c r="K34" s="1" t="str">
        <f t="shared" si="0"/>
        <v>1988-03-01</v>
      </c>
      <c r="L34">
        <v>258.89001500000001</v>
      </c>
      <c r="M34" s="2">
        <f t="shared" si="1"/>
        <v>-3.3343259527283786E-2</v>
      </c>
    </row>
    <row r="35" spans="1:13" x14ac:dyDescent="0.25">
      <c r="A35" t="s">
        <v>40</v>
      </c>
      <c r="K35" s="1" t="str">
        <f t="shared" si="0"/>
        <v>1988-04-01</v>
      </c>
      <c r="L35">
        <v>261.32998700000002</v>
      </c>
      <c r="M35" s="2">
        <f t="shared" si="1"/>
        <v>9.4247435537442303E-3</v>
      </c>
    </row>
    <row r="36" spans="1:13" x14ac:dyDescent="0.25">
      <c r="A36" t="s">
        <v>41</v>
      </c>
      <c r="K36" s="1" t="str">
        <f t="shared" si="0"/>
        <v>1988-05-01</v>
      </c>
      <c r="L36">
        <v>262.16000400000001</v>
      </c>
      <c r="M36" s="2">
        <f t="shared" si="1"/>
        <v>3.1761261289926512E-3</v>
      </c>
    </row>
    <row r="37" spans="1:13" x14ac:dyDescent="0.25">
      <c r="A37" t="s">
        <v>42</v>
      </c>
      <c r="K37" s="1" t="str">
        <f t="shared" si="0"/>
        <v>1988-06-01</v>
      </c>
      <c r="L37">
        <v>273.5</v>
      </c>
      <c r="M37" s="2">
        <f t="shared" si="1"/>
        <v>4.3256010935977862E-2</v>
      </c>
    </row>
    <row r="38" spans="1:13" x14ac:dyDescent="0.25">
      <c r="A38" t="s">
        <v>43</v>
      </c>
      <c r="K38" s="1" t="str">
        <f t="shared" si="0"/>
        <v>1988-07-01</v>
      </c>
      <c r="L38">
        <v>272.01998900000001</v>
      </c>
      <c r="M38" s="2">
        <f t="shared" si="1"/>
        <v>-5.4113747714807925E-3</v>
      </c>
    </row>
    <row r="39" spans="1:13" x14ac:dyDescent="0.25">
      <c r="A39" t="s">
        <v>44</v>
      </c>
      <c r="K39" s="1" t="str">
        <f t="shared" si="0"/>
        <v>1988-08-01</v>
      </c>
      <c r="L39">
        <v>261.51998900000001</v>
      </c>
      <c r="M39" s="2">
        <f t="shared" si="1"/>
        <v>-3.8600104494526666E-2</v>
      </c>
    </row>
    <row r="40" spans="1:13" x14ac:dyDescent="0.25">
      <c r="A40" t="s">
        <v>45</v>
      </c>
      <c r="K40" s="1" t="str">
        <f t="shared" si="0"/>
        <v>1988-09-01</v>
      </c>
      <c r="L40">
        <v>271.91000400000001</v>
      </c>
      <c r="M40" s="2">
        <f t="shared" si="1"/>
        <v>3.9729334035724539E-2</v>
      </c>
    </row>
    <row r="41" spans="1:13" x14ac:dyDescent="0.25">
      <c r="A41" t="s">
        <v>46</v>
      </c>
      <c r="K41" s="1" t="str">
        <f t="shared" si="0"/>
        <v>1988-10-01</v>
      </c>
      <c r="L41">
        <v>278.97000100000002</v>
      </c>
      <c r="M41" s="2">
        <f t="shared" si="1"/>
        <v>2.5964462124019594E-2</v>
      </c>
    </row>
    <row r="42" spans="1:13" x14ac:dyDescent="0.25">
      <c r="A42" t="s">
        <v>47</v>
      </c>
      <c r="K42" s="1" t="str">
        <f t="shared" si="0"/>
        <v>1988-11-01</v>
      </c>
      <c r="L42">
        <v>273.70001200000002</v>
      </c>
      <c r="M42" s="2">
        <f t="shared" si="1"/>
        <v>-1.8890880672148058E-2</v>
      </c>
    </row>
    <row r="43" spans="1:13" x14ac:dyDescent="0.25">
      <c r="A43" t="s">
        <v>48</v>
      </c>
      <c r="K43" s="1" t="str">
        <f t="shared" si="0"/>
        <v>1988-12-01</v>
      </c>
      <c r="L43">
        <v>277.72000100000002</v>
      </c>
      <c r="M43" s="2">
        <f t="shared" si="1"/>
        <v>1.4687573342159865E-2</v>
      </c>
    </row>
    <row r="44" spans="1:13" x14ac:dyDescent="0.25">
      <c r="A44" t="s">
        <v>49</v>
      </c>
      <c r="K44" s="1" t="str">
        <f t="shared" si="0"/>
        <v>1989-01-01</v>
      </c>
      <c r="L44">
        <v>297.47000100000002</v>
      </c>
      <c r="M44" s="2">
        <f t="shared" si="1"/>
        <v>7.1114791620643825E-2</v>
      </c>
    </row>
    <row r="45" spans="1:13" x14ac:dyDescent="0.25">
      <c r="A45" t="s">
        <v>50</v>
      </c>
      <c r="K45" s="1" t="str">
        <f t="shared" si="0"/>
        <v>1989-02-01</v>
      </c>
      <c r="L45">
        <v>288.85998499999999</v>
      </c>
      <c r="M45" s="2">
        <f t="shared" si="1"/>
        <v>-2.8944148892513177E-2</v>
      </c>
    </row>
    <row r="46" spans="1:13" x14ac:dyDescent="0.25">
      <c r="A46" t="s">
        <v>51</v>
      </c>
      <c r="K46" s="1" t="str">
        <f t="shared" si="0"/>
        <v>1989-03-01</v>
      </c>
      <c r="L46">
        <v>294.86999500000002</v>
      </c>
      <c r="M46" s="2">
        <f t="shared" si="1"/>
        <v>2.0805962445785031E-2</v>
      </c>
    </row>
    <row r="47" spans="1:13" x14ac:dyDescent="0.25">
      <c r="A47" t="s">
        <v>52</v>
      </c>
      <c r="K47" s="1" t="str">
        <f t="shared" si="0"/>
        <v>1989-04-01</v>
      </c>
      <c r="L47">
        <v>309.64001500000001</v>
      </c>
      <c r="M47" s="2">
        <f t="shared" si="1"/>
        <v>5.0089938788108856E-2</v>
      </c>
    </row>
    <row r="48" spans="1:13" x14ac:dyDescent="0.25">
      <c r="A48" t="s">
        <v>53</v>
      </c>
      <c r="K48" s="1" t="str">
        <f t="shared" si="0"/>
        <v>1989-05-01</v>
      </c>
      <c r="L48">
        <v>320.51998900000001</v>
      </c>
      <c r="M48" s="2">
        <f t="shared" si="1"/>
        <v>3.5137493453486712E-2</v>
      </c>
    </row>
    <row r="49" spans="1:13" x14ac:dyDescent="0.25">
      <c r="A49" t="s">
        <v>54</v>
      </c>
      <c r="K49" s="1" t="str">
        <f t="shared" si="0"/>
        <v>1989-06-01</v>
      </c>
      <c r="L49">
        <v>317.98001099999999</v>
      </c>
      <c r="M49" s="2">
        <f t="shared" si="1"/>
        <v>-7.9245541219584714E-3</v>
      </c>
    </row>
    <row r="50" spans="1:13" x14ac:dyDescent="0.25">
      <c r="A50" t="s">
        <v>55</v>
      </c>
      <c r="K50" s="1" t="str">
        <f t="shared" si="0"/>
        <v>1989-07-01</v>
      </c>
      <c r="L50">
        <v>346.07998700000002</v>
      </c>
      <c r="M50" s="2">
        <f t="shared" si="1"/>
        <v>8.8370259223621517E-2</v>
      </c>
    </row>
    <row r="51" spans="1:13" x14ac:dyDescent="0.25">
      <c r="A51" t="s">
        <v>56</v>
      </c>
      <c r="K51" s="1" t="str">
        <f t="shared" si="0"/>
        <v>1989-08-01</v>
      </c>
      <c r="L51">
        <v>351.45001200000002</v>
      </c>
      <c r="M51" s="2">
        <f t="shared" si="1"/>
        <v>1.5516716371120287E-2</v>
      </c>
    </row>
    <row r="52" spans="1:13" x14ac:dyDescent="0.25">
      <c r="A52" t="s">
        <v>57</v>
      </c>
      <c r="K52" s="1" t="str">
        <f t="shared" si="0"/>
        <v>1989-09-01</v>
      </c>
      <c r="L52">
        <v>349.14999399999999</v>
      </c>
      <c r="M52" s="2">
        <f t="shared" si="1"/>
        <v>-6.5443673964080684E-3</v>
      </c>
    </row>
    <row r="53" spans="1:13" x14ac:dyDescent="0.25">
      <c r="A53" t="s">
        <v>58</v>
      </c>
      <c r="K53" s="1" t="str">
        <f t="shared" si="0"/>
        <v>1989-10-01</v>
      </c>
      <c r="L53">
        <v>340.35998499999999</v>
      </c>
      <c r="M53" s="2">
        <f t="shared" si="1"/>
        <v>-2.517545224417217E-2</v>
      </c>
    </row>
    <row r="54" spans="1:13" x14ac:dyDescent="0.25">
      <c r="A54" t="s">
        <v>59</v>
      </c>
      <c r="K54" s="1" t="str">
        <f t="shared" si="0"/>
        <v>1989-11-01</v>
      </c>
      <c r="L54">
        <v>345.98998999999998</v>
      </c>
      <c r="M54" s="2">
        <f t="shared" si="1"/>
        <v>1.6541324621341724E-2</v>
      </c>
    </row>
    <row r="55" spans="1:13" x14ac:dyDescent="0.25">
      <c r="A55" t="s">
        <v>60</v>
      </c>
      <c r="K55" s="1" t="str">
        <f t="shared" si="0"/>
        <v>1989-12-01</v>
      </c>
      <c r="L55">
        <v>353.39999399999999</v>
      </c>
      <c r="M55" s="2">
        <f t="shared" si="1"/>
        <v>2.141681613390034E-2</v>
      </c>
    </row>
    <row r="56" spans="1:13" x14ac:dyDescent="0.25">
      <c r="A56" t="s">
        <v>61</v>
      </c>
      <c r="K56" s="1" t="str">
        <f t="shared" si="0"/>
        <v>1990-01-01</v>
      </c>
      <c r="L56">
        <v>329.07998700000002</v>
      </c>
      <c r="M56" s="2">
        <f t="shared" si="1"/>
        <v>-6.8817225277032601E-2</v>
      </c>
    </row>
    <row r="57" spans="1:13" x14ac:dyDescent="0.25">
      <c r="A57" t="s">
        <v>62</v>
      </c>
      <c r="K57" s="1" t="str">
        <f t="shared" si="0"/>
        <v>1990-02-01</v>
      </c>
      <c r="L57">
        <v>331.89001500000001</v>
      </c>
      <c r="M57" s="2">
        <f t="shared" si="1"/>
        <v>8.5390425155207339E-3</v>
      </c>
    </row>
    <row r="58" spans="1:13" x14ac:dyDescent="0.25">
      <c r="A58" t="s">
        <v>63</v>
      </c>
      <c r="K58" s="1" t="str">
        <f t="shared" si="0"/>
        <v>1990-03-01</v>
      </c>
      <c r="L58">
        <v>339.94000199999999</v>
      </c>
      <c r="M58" s="2">
        <f t="shared" si="1"/>
        <v>2.4254983989199008E-2</v>
      </c>
    </row>
    <row r="59" spans="1:13" x14ac:dyDescent="0.25">
      <c r="A59" t="s">
        <v>64</v>
      </c>
      <c r="K59" s="1" t="str">
        <f t="shared" si="0"/>
        <v>1990-04-01</v>
      </c>
      <c r="L59">
        <v>330.79998799999998</v>
      </c>
      <c r="M59" s="2">
        <f t="shared" si="1"/>
        <v>-2.688713874867843E-2</v>
      </c>
    </row>
    <row r="60" spans="1:13" x14ac:dyDescent="0.25">
      <c r="A60" t="s">
        <v>65</v>
      </c>
      <c r="K60" s="1" t="str">
        <f t="shared" si="0"/>
        <v>1990-05-01</v>
      </c>
      <c r="L60">
        <v>361.23001099999999</v>
      </c>
      <c r="M60" s="2">
        <f t="shared" si="1"/>
        <v>9.1989190156802625E-2</v>
      </c>
    </row>
    <row r="61" spans="1:13" x14ac:dyDescent="0.25">
      <c r="A61" t="s">
        <v>66</v>
      </c>
      <c r="K61" s="1" t="str">
        <f t="shared" si="0"/>
        <v>1990-06-01</v>
      </c>
      <c r="L61">
        <v>358.01998900000001</v>
      </c>
      <c r="M61" s="2">
        <f t="shared" si="1"/>
        <v>-8.8863657565815268E-3</v>
      </c>
    </row>
    <row r="62" spans="1:13" x14ac:dyDescent="0.25">
      <c r="A62" t="s">
        <v>67</v>
      </c>
      <c r="K62" s="1" t="str">
        <f t="shared" si="0"/>
        <v>1990-07-01</v>
      </c>
      <c r="L62">
        <v>356.14999399999999</v>
      </c>
      <c r="M62" s="2">
        <f t="shared" si="1"/>
        <v>-5.2231580846174852E-3</v>
      </c>
    </row>
    <row r="63" spans="1:13" x14ac:dyDescent="0.25">
      <c r="A63" t="s">
        <v>68</v>
      </c>
      <c r="K63" s="1" t="str">
        <f t="shared" si="0"/>
        <v>1990-08-01</v>
      </c>
      <c r="L63">
        <v>322.55999800000001</v>
      </c>
      <c r="M63" s="2">
        <f t="shared" si="1"/>
        <v>-9.4314183815485286E-2</v>
      </c>
    </row>
    <row r="64" spans="1:13" x14ac:dyDescent="0.25">
      <c r="A64" t="s">
        <v>69</v>
      </c>
      <c r="K64" s="1" t="str">
        <f t="shared" si="0"/>
        <v>1990-09-01</v>
      </c>
      <c r="L64">
        <v>306.04998799999998</v>
      </c>
      <c r="M64" s="2">
        <f t="shared" si="1"/>
        <v>-5.118430711299804E-2</v>
      </c>
    </row>
    <row r="65" spans="1:13" x14ac:dyDescent="0.25">
      <c r="A65" t="s">
        <v>70</v>
      </c>
      <c r="K65" s="1" t="str">
        <f t="shared" si="0"/>
        <v>1990-10-01</v>
      </c>
      <c r="L65">
        <v>304</v>
      </c>
      <c r="M65" s="2">
        <f t="shared" si="1"/>
        <v>-6.6982129729734607E-3</v>
      </c>
    </row>
    <row r="66" spans="1:13" x14ac:dyDescent="0.25">
      <c r="A66" t="s">
        <v>71</v>
      </c>
      <c r="K66" s="1" t="str">
        <f t="shared" si="0"/>
        <v>1990-11-01</v>
      </c>
      <c r="L66">
        <v>322.22000100000002</v>
      </c>
      <c r="M66" s="2">
        <f t="shared" si="1"/>
        <v>5.993421381578945E-2</v>
      </c>
    </row>
    <row r="67" spans="1:13" x14ac:dyDescent="0.25">
      <c r="A67" t="s">
        <v>72</v>
      </c>
      <c r="K67" s="1" t="str">
        <f t="shared" ref="K67:K130" si="2">LEFT(A67,10)</f>
        <v>1990-12-01</v>
      </c>
      <c r="L67">
        <v>330.22000100000002</v>
      </c>
      <c r="M67" s="2">
        <f t="shared" si="1"/>
        <v>2.4827757355757596E-2</v>
      </c>
    </row>
    <row r="68" spans="1:13" x14ac:dyDescent="0.25">
      <c r="A68" t="s">
        <v>73</v>
      </c>
      <c r="K68" s="1" t="str">
        <f t="shared" si="2"/>
        <v>1991-01-01</v>
      </c>
      <c r="L68">
        <v>343.92999300000002</v>
      </c>
      <c r="M68" s="2">
        <f t="shared" ref="M68:M131" si="3">(L68/L67)-1</f>
        <v>4.1517751676101611E-2</v>
      </c>
    </row>
    <row r="69" spans="1:13" x14ac:dyDescent="0.25">
      <c r="A69" t="s">
        <v>74</v>
      </c>
      <c r="K69" s="1" t="str">
        <f t="shared" si="2"/>
        <v>1991-02-01</v>
      </c>
      <c r="L69">
        <v>367.07000699999998</v>
      </c>
      <c r="M69" s="2">
        <f t="shared" si="3"/>
        <v>6.7281174863978555E-2</v>
      </c>
    </row>
    <row r="70" spans="1:13" x14ac:dyDescent="0.25">
      <c r="A70" t="s">
        <v>75</v>
      </c>
      <c r="K70" s="1" t="str">
        <f t="shared" si="2"/>
        <v>1991-03-01</v>
      </c>
      <c r="L70">
        <v>375.22000100000002</v>
      </c>
      <c r="M70" s="2">
        <f t="shared" si="3"/>
        <v>2.2202832823658314E-2</v>
      </c>
    </row>
    <row r="71" spans="1:13" x14ac:dyDescent="0.25">
      <c r="A71" t="s">
        <v>76</v>
      </c>
      <c r="K71" s="1" t="str">
        <f t="shared" si="2"/>
        <v>1991-04-01</v>
      </c>
      <c r="L71">
        <v>375.33999599999999</v>
      </c>
      <c r="M71" s="2">
        <f t="shared" si="3"/>
        <v>3.1979905037093914E-4</v>
      </c>
    </row>
    <row r="72" spans="1:13" x14ac:dyDescent="0.25">
      <c r="A72" t="s">
        <v>77</v>
      </c>
      <c r="K72" s="1" t="str">
        <f t="shared" si="2"/>
        <v>1991-05-01</v>
      </c>
      <c r="L72">
        <v>389.82998700000002</v>
      </c>
      <c r="M72" s="2">
        <f t="shared" si="3"/>
        <v>3.8604974568178019E-2</v>
      </c>
    </row>
    <row r="73" spans="1:13" x14ac:dyDescent="0.25">
      <c r="A73" t="s">
        <v>78</v>
      </c>
      <c r="K73" s="1" t="str">
        <f t="shared" si="2"/>
        <v>1991-06-01</v>
      </c>
      <c r="L73">
        <v>371.16000400000001</v>
      </c>
      <c r="M73" s="2">
        <f t="shared" si="3"/>
        <v>-4.7892629152718302E-2</v>
      </c>
    </row>
    <row r="74" spans="1:13" x14ac:dyDescent="0.25">
      <c r="A74" t="s">
        <v>79</v>
      </c>
      <c r="K74" s="1" t="str">
        <f t="shared" si="2"/>
        <v>1991-07-01</v>
      </c>
      <c r="L74">
        <v>387.80999800000001</v>
      </c>
      <c r="M74" s="2">
        <f t="shared" si="3"/>
        <v>4.4859343195825518E-2</v>
      </c>
    </row>
    <row r="75" spans="1:13" x14ac:dyDescent="0.25">
      <c r="A75" t="s">
        <v>80</v>
      </c>
      <c r="K75" s="1" t="str">
        <f t="shared" si="2"/>
        <v>1991-08-01</v>
      </c>
      <c r="L75">
        <v>395.42999300000002</v>
      </c>
      <c r="M75" s="2">
        <f t="shared" si="3"/>
        <v>1.9648784299779676E-2</v>
      </c>
    </row>
    <row r="76" spans="1:13" x14ac:dyDescent="0.25">
      <c r="A76" t="s">
        <v>81</v>
      </c>
      <c r="K76" s="1" t="str">
        <f t="shared" si="2"/>
        <v>1991-09-01</v>
      </c>
      <c r="L76">
        <v>387.85998499999999</v>
      </c>
      <c r="M76" s="2">
        <f t="shared" si="3"/>
        <v>-1.9143737536368444E-2</v>
      </c>
    </row>
    <row r="77" spans="1:13" x14ac:dyDescent="0.25">
      <c r="A77" t="s">
        <v>82</v>
      </c>
      <c r="K77" s="1" t="str">
        <f t="shared" si="2"/>
        <v>1991-10-01</v>
      </c>
      <c r="L77">
        <v>392.45001200000002</v>
      </c>
      <c r="M77" s="2">
        <f t="shared" si="3"/>
        <v>1.1834237037883666E-2</v>
      </c>
    </row>
    <row r="78" spans="1:13" x14ac:dyDescent="0.25">
      <c r="A78" t="s">
        <v>83</v>
      </c>
      <c r="K78" s="1" t="str">
        <f t="shared" si="2"/>
        <v>1991-11-01</v>
      </c>
      <c r="L78">
        <v>375.22000100000002</v>
      </c>
      <c r="M78" s="2">
        <f t="shared" si="3"/>
        <v>-4.3903708684304932E-2</v>
      </c>
    </row>
    <row r="79" spans="1:13" x14ac:dyDescent="0.25">
      <c r="A79" t="s">
        <v>84</v>
      </c>
      <c r="K79" s="1" t="str">
        <f t="shared" si="2"/>
        <v>1991-12-01</v>
      </c>
      <c r="L79">
        <v>417.08999599999999</v>
      </c>
      <c r="M79" s="2">
        <f t="shared" si="3"/>
        <v>0.11158785482760014</v>
      </c>
    </row>
    <row r="80" spans="1:13" x14ac:dyDescent="0.25">
      <c r="A80" t="s">
        <v>85</v>
      </c>
      <c r="K80" s="1" t="str">
        <f t="shared" si="2"/>
        <v>1992-01-01</v>
      </c>
      <c r="L80">
        <v>408.77999899999998</v>
      </c>
      <c r="M80" s="2">
        <f t="shared" si="3"/>
        <v>-1.9923750460799861E-2</v>
      </c>
    </row>
    <row r="81" spans="1:13" x14ac:dyDescent="0.25">
      <c r="A81" t="s">
        <v>86</v>
      </c>
      <c r="K81" s="1" t="str">
        <f t="shared" si="2"/>
        <v>1992-02-01</v>
      </c>
      <c r="L81">
        <v>412.70001200000002</v>
      </c>
      <c r="M81" s="2">
        <f t="shared" si="3"/>
        <v>9.5895420754186222E-3</v>
      </c>
    </row>
    <row r="82" spans="1:13" x14ac:dyDescent="0.25">
      <c r="A82" t="s">
        <v>87</v>
      </c>
      <c r="K82" s="1" t="str">
        <f t="shared" si="2"/>
        <v>1992-03-01</v>
      </c>
      <c r="L82">
        <v>403.69000199999999</v>
      </c>
      <c r="M82" s="2">
        <f t="shared" si="3"/>
        <v>-2.1831862704186245E-2</v>
      </c>
    </row>
    <row r="83" spans="1:13" x14ac:dyDescent="0.25">
      <c r="A83" t="s">
        <v>88</v>
      </c>
      <c r="K83" s="1" t="str">
        <f t="shared" si="2"/>
        <v>1992-04-01</v>
      </c>
      <c r="L83">
        <v>414.95001200000002</v>
      </c>
      <c r="M83" s="2">
        <f t="shared" si="3"/>
        <v>2.7892714568640731E-2</v>
      </c>
    </row>
    <row r="84" spans="1:13" x14ac:dyDescent="0.25">
      <c r="A84" t="s">
        <v>89</v>
      </c>
      <c r="K84" s="1" t="str">
        <f t="shared" si="2"/>
        <v>1992-05-01</v>
      </c>
      <c r="L84">
        <v>415.35000600000001</v>
      </c>
      <c r="M84" s="2">
        <f t="shared" si="3"/>
        <v>9.6395707538854403E-4</v>
      </c>
    </row>
    <row r="85" spans="1:13" x14ac:dyDescent="0.25">
      <c r="A85" t="s">
        <v>90</v>
      </c>
      <c r="K85" s="1" t="str">
        <f t="shared" si="2"/>
        <v>1992-06-01</v>
      </c>
      <c r="L85">
        <v>408.14001500000001</v>
      </c>
      <c r="M85" s="2">
        <f t="shared" si="3"/>
        <v>-1.7358832059340301E-2</v>
      </c>
    </row>
    <row r="86" spans="1:13" x14ac:dyDescent="0.25">
      <c r="A86" t="s">
        <v>91</v>
      </c>
      <c r="K86" s="1" t="str">
        <f t="shared" si="2"/>
        <v>1992-07-01</v>
      </c>
      <c r="L86">
        <v>424.209991</v>
      </c>
      <c r="M86" s="2">
        <f t="shared" si="3"/>
        <v>3.9373684053008118E-2</v>
      </c>
    </row>
    <row r="87" spans="1:13" x14ac:dyDescent="0.25">
      <c r="A87" t="s">
        <v>92</v>
      </c>
      <c r="K87" s="1" t="str">
        <f t="shared" si="2"/>
        <v>1992-08-01</v>
      </c>
      <c r="L87">
        <v>414.02999899999998</v>
      </c>
      <c r="M87" s="2">
        <f t="shared" si="3"/>
        <v>-2.3997530034600256E-2</v>
      </c>
    </row>
    <row r="88" spans="1:13" x14ac:dyDescent="0.25">
      <c r="A88" t="s">
        <v>93</v>
      </c>
      <c r="K88" s="1" t="str">
        <f t="shared" si="2"/>
        <v>1992-09-01</v>
      </c>
      <c r="L88">
        <v>417.79998799999998</v>
      </c>
      <c r="M88" s="2">
        <f t="shared" si="3"/>
        <v>9.105593819543456E-3</v>
      </c>
    </row>
    <row r="89" spans="1:13" x14ac:dyDescent="0.25">
      <c r="A89" t="s">
        <v>94</v>
      </c>
      <c r="K89" s="1" t="str">
        <f t="shared" si="2"/>
        <v>1992-10-01</v>
      </c>
      <c r="L89">
        <v>418.67999300000002</v>
      </c>
      <c r="M89" s="2">
        <f t="shared" si="3"/>
        <v>2.1062829709799225E-3</v>
      </c>
    </row>
    <row r="90" spans="1:13" x14ac:dyDescent="0.25">
      <c r="A90" t="s">
        <v>95</v>
      </c>
      <c r="K90" s="1" t="str">
        <f t="shared" si="2"/>
        <v>1992-11-01</v>
      </c>
      <c r="L90">
        <v>431.35000600000001</v>
      </c>
      <c r="M90" s="2">
        <f t="shared" si="3"/>
        <v>3.0261806658623769E-2</v>
      </c>
    </row>
    <row r="91" spans="1:13" x14ac:dyDescent="0.25">
      <c r="A91" t="s">
        <v>96</v>
      </c>
      <c r="K91" s="1" t="str">
        <f t="shared" si="2"/>
        <v>1992-12-01</v>
      </c>
      <c r="L91">
        <v>435.709991</v>
      </c>
      <c r="M91" s="2">
        <f t="shared" si="3"/>
        <v>1.0107766174460187E-2</v>
      </c>
    </row>
    <row r="92" spans="1:13" x14ac:dyDescent="0.25">
      <c r="A92" t="s">
        <v>97</v>
      </c>
      <c r="K92" s="1" t="str">
        <f t="shared" si="2"/>
        <v>1993-01-01</v>
      </c>
      <c r="L92">
        <v>438.77999899999998</v>
      </c>
      <c r="M92" s="2">
        <f t="shared" si="3"/>
        <v>7.0459894503542841E-3</v>
      </c>
    </row>
    <row r="93" spans="1:13" x14ac:dyDescent="0.25">
      <c r="A93" t="s">
        <v>98</v>
      </c>
      <c r="K93" s="1" t="str">
        <f t="shared" si="2"/>
        <v>1993-02-01</v>
      </c>
      <c r="L93">
        <v>443.38000499999998</v>
      </c>
      <c r="M93" s="2">
        <f t="shared" si="3"/>
        <v>1.0483627354217706E-2</v>
      </c>
    </row>
    <row r="94" spans="1:13" x14ac:dyDescent="0.25">
      <c r="A94" t="s">
        <v>99</v>
      </c>
      <c r="K94" s="1" t="str">
        <f t="shared" si="2"/>
        <v>1993-03-01</v>
      </c>
      <c r="L94">
        <v>451.67001299999998</v>
      </c>
      <c r="M94" s="2">
        <f t="shared" si="3"/>
        <v>1.8697297817929392E-2</v>
      </c>
    </row>
    <row r="95" spans="1:13" x14ac:dyDescent="0.25">
      <c r="A95" t="s">
        <v>100</v>
      </c>
      <c r="K95" s="1" t="str">
        <f t="shared" si="2"/>
        <v>1993-04-01</v>
      </c>
      <c r="L95">
        <v>440.19000199999999</v>
      </c>
      <c r="M95" s="2">
        <f t="shared" si="3"/>
        <v>-2.5416810214496155E-2</v>
      </c>
    </row>
    <row r="96" spans="1:13" x14ac:dyDescent="0.25">
      <c r="A96" t="s">
        <v>101</v>
      </c>
      <c r="K96" s="1" t="str">
        <f t="shared" si="2"/>
        <v>1993-05-01</v>
      </c>
      <c r="L96">
        <v>450.19000199999999</v>
      </c>
      <c r="M96" s="2">
        <f t="shared" si="3"/>
        <v>2.2717462810525113E-2</v>
      </c>
    </row>
    <row r="97" spans="1:13" x14ac:dyDescent="0.25">
      <c r="A97" t="s">
        <v>102</v>
      </c>
      <c r="K97" s="1" t="str">
        <f t="shared" si="2"/>
        <v>1993-06-01</v>
      </c>
      <c r="L97">
        <v>450.52999899999998</v>
      </c>
      <c r="M97" s="2">
        <f t="shared" si="3"/>
        <v>7.5523001063881878E-4</v>
      </c>
    </row>
    <row r="98" spans="1:13" x14ac:dyDescent="0.25">
      <c r="A98" t="s">
        <v>103</v>
      </c>
      <c r="K98" s="1" t="str">
        <f t="shared" si="2"/>
        <v>1993-07-01</v>
      </c>
      <c r="L98">
        <v>448.13000499999998</v>
      </c>
      <c r="M98" s="2">
        <f t="shared" si="3"/>
        <v>-5.3270459355138078E-3</v>
      </c>
    </row>
    <row r="99" spans="1:13" x14ac:dyDescent="0.25">
      <c r="A99" t="s">
        <v>104</v>
      </c>
      <c r="K99" s="1" t="str">
        <f t="shared" si="2"/>
        <v>1993-08-01</v>
      </c>
      <c r="L99">
        <v>463.55999800000001</v>
      </c>
      <c r="M99" s="2">
        <f t="shared" si="3"/>
        <v>3.4431956860375923E-2</v>
      </c>
    </row>
    <row r="100" spans="1:13" x14ac:dyDescent="0.25">
      <c r="A100" t="s">
        <v>105</v>
      </c>
      <c r="K100" s="1" t="str">
        <f t="shared" si="2"/>
        <v>1993-09-01</v>
      </c>
      <c r="L100">
        <v>458.92999300000002</v>
      </c>
      <c r="M100" s="2">
        <f t="shared" si="3"/>
        <v>-9.9879304080935372E-3</v>
      </c>
    </row>
    <row r="101" spans="1:13" x14ac:dyDescent="0.25">
      <c r="A101" t="s">
        <v>106</v>
      </c>
      <c r="K101" s="1" t="str">
        <f t="shared" si="2"/>
        <v>1993-10-01</v>
      </c>
      <c r="L101">
        <v>467.82998700000002</v>
      </c>
      <c r="M101" s="2">
        <f t="shared" si="3"/>
        <v>1.9392922963742842E-2</v>
      </c>
    </row>
    <row r="102" spans="1:13" x14ac:dyDescent="0.25">
      <c r="A102" t="s">
        <v>107</v>
      </c>
      <c r="K102" s="1" t="str">
        <f t="shared" si="2"/>
        <v>1993-11-01</v>
      </c>
      <c r="L102">
        <v>461.790009</v>
      </c>
      <c r="M102" s="2">
        <f t="shared" si="3"/>
        <v>-1.2910626013377002E-2</v>
      </c>
    </row>
    <row r="103" spans="1:13" x14ac:dyDescent="0.25">
      <c r="A103" t="s">
        <v>108</v>
      </c>
      <c r="K103" s="1" t="str">
        <f t="shared" si="2"/>
        <v>1993-12-01</v>
      </c>
      <c r="L103">
        <v>466.45001200000002</v>
      </c>
      <c r="M103" s="2">
        <f t="shared" si="3"/>
        <v>1.0091173280450949E-2</v>
      </c>
    </row>
    <row r="104" spans="1:13" x14ac:dyDescent="0.25">
      <c r="A104" t="s">
        <v>109</v>
      </c>
      <c r="K104" s="1" t="str">
        <f t="shared" si="2"/>
        <v>1994-01-01</v>
      </c>
      <c r="L104">
        <v>481.60998499999999</v>
      </c>
      <c r="M104" s="2">
        <f t="shared" si="3"/>
        <v>3.2500745224549377E-2</v>
      </c>
    </row>
    <row r="105" spans="1:13" x14ac:dyDescent="0.25">
      <c r="A105" t="s">
        <v>110</v>
      </c>
      <c r="K105" s="1" t="str">
        <f t="shared" si="2"/>
        <v>1994-02-01</v>
      </c>
      <c r="L105">
        <v>467.14001500000001</v>
      </c>
      <c r="M105" s="2">
        <f t="shared" si="3"/>
        <v>-3.0044995848663714E-2</v>
      </c>
    </row>
    <row r="106" spans="1:13" x14ac:dyDescent="0.25">
      <c r="A106" t="s">
        <v>111</v>
      </c>
      <c r="K106" s="1" t="str">
        <f t="shared" si="2"/>
        <v>1994-03-01</v>
      </c>
      <c r="L106">
        <v>445.76998900000001</v>
      </c>
      <c r="M106" s="2">
        <f t="shared" si="3"/>
        <v>-4.5746511353774721E-2</v>
      </c>
    </row>
    <row r="107" spans="1:13" x14ac:dyDescent="0.25">
      <c r="A107" t="s">
        <v>112</v>
      </c>
      <c r="K107" s="1" t="str">
        <f t="shared" si="2"/>
        <v>1994-04-01</v>
      </c>
      <c r="L107">
        <v>450.91000400000001</v>
      </c>
      <c r="M107" s="2">
        <f t="shared" si="3"/>
        <v>1.1530643889981596E-2</v>
      </c>
    </row>
    <row r="108" spans="1:13" x14ac:dyDescent="0.25">
      <c r="A108" t="s">
        <v>113</v>
      </c>
      <c r="K108" s="1" t="str">
        <f t="shared" si="2"/>
        <v>1994-05-01</v>
      </c>
      <c r="L108">
        <v>456.5</v>
      </c>
      <c r="M108" s="2">
        <f t="shared" si="3"/>
        <v>1.2397143444171643E-2</v>
      </c>
    </row>
    <row r="109" spans="1:13" x14ac:dyDescent="0.25">
      <c r="A109" t="s">
        <v>114</v>
      </c>
      <c r="K109" s="1" t="str">
        <f t="shared" si="2"/>
        <v>1994-06-01</v>
      </c>
      <c r="L109">
        <v>444.26998900000001</v>
      </c>
      <c r="M109" s="2">
        <f t="shared" si="3"/>
        <v>-2.6790823658269458E-2</v>
      </c>
    </row>
    <row r="110" spans="1:13" x14ac:dyDescent="0.25">
      <c r="A110" t="s">
        <v>115</v>
      </c>
      <c r="K110" s="1" t="str">
        <f t="shared" si="2"/>
        <v>1994-07-01</v>
      </c>
      <c r="L110">
        <v>458.26001000000002</v>
      </c>
      <c r="M110" s="2">
        <f t="shared" si="3"/>
        <v>3.148990781819383E-2</v>
      </c>
    </row>
    <row r="111" spans="1:13" x14ac:dyDescent="0.25">
      <c r="A111" t="s">
        <v>116</v>
      </c>
      <c r="K111" s="1" t="str">
        <f t="shared" si="2"/>
        <v>1994-08-01</v>
      </c>
      <c r="L111">
        <v>475.48998999999998</v>
      </c>
      <c r="M111" s="2">
        <f t="shared" si="3"/>
        <v>3.7598698607805625E-2</v>
      </c>
    </row>
    <row r="112" spans="1:13" x14ac:dyDescent="0.25">
      <c r="A112" t="s">
        <v>117</v>
      </c>
      <c r="K112" s="1" t="str">
        <f t="shared" si="2"/>
        <v>1994-09-01</v>
      </c>
      <c r="L112">
        <v>462.709991</v>
      </c>
      <c r="M112" s="2">
        <f t="shared" si="3"/>
        <v>-2.6877535318882262E-2</v>
      </c>
    </row>
    <row r="113" spans="1:13" x14ac:dyDescent="0.25">
      <c r="A113" t="s">
        <v>118</v>
      </c>
      <c r="K113" s="1" t="str">
        <f t="shared" si="2"/>
        <v>1994-10-01</v>
      </c>
      <c r="L113">
        <v>472.35000600000001</v>
      </c>
      <c r="M113" s="2">
        <f t="shared" si="3"/>
        <v>2.0833816402291649E-2</v>
      </c>
    </row>
    <row r="114" spans="1:13" x14ac:dyDescent="0.25">
      <c r="A114" t="s">
        <v>119</v>
      </c>
      <c r="K114" s="1" t="str">
        <f t="shared" si="2"/>
        <v>1994-11-01</v>
      </c>
      <c r="L114">
        <v>453.69000199999999</v>
      </c>
      <c r="M114" s="2">
        <f t="shared" si="3"/>
        <v>-3.9504612602884182E-2</v>
      </c>
    </row>
    <row r="115" spans="1:13" x14ac:dyDescent="0.25">
      <c r="A115" t="s">
        <v>120</v>
      </c>
      <c r="K115" s="1" t="str">
        <f t="shared" si="2"/>
        <v>1994-12-01</v>
      </c>
      <c r="L115">
        <v>459.26998900000001</v>
      </c>
      <c r="M115" s="2">
        <f t="shared" si="3"/>
        <v>1.22991182864991E-2</v>
      </c>
    </row>
    <row r="116" spans="1:13" x14ac:dyDescent="0.25">
      <c r="A116" t="s">
        <v>121</v>
      </c>
      <c r="K116" s="1" t="str">
        <f t="shared" si="2"/>
        <v>1995-01-01</v>
      </c>
      <c r="L116">
        <v>470.42001299999998</v>
      </c>
      <c r="M116" s="2">
        <f t="shared" si="3"/>
        <v>2.4277710860832968E-2</v>
      </c>
    </row>
    <row r="117" spans="1:13" x14ac:dyDescent="0.25">
      <c r="A117" t="s">
        <v>122</v>
      </c>
      <c r="K117" s="1" t="str">
        <f t="shared" si="2"/>
        <v>1995-02-01</v>
      </c>
      <c r="L117">
        <v>487.39001500000001</v>
      </c>
      <c r="M117" s="2">
        <f t="shared" si="3"/>
        <v>3.6074149761991636E-2</v>
      </c>
    </row>
    <row r="118" spans="1:13" x14ac:dyDescent="0.25">
      <c r="A118" t="s">
        <v>123</v>
      </c>
      <c r="K118" s="1" t="str">
        <f t="shared" si="2"/>
        <v>1995-03-01</v>
      </c>
      <c r="L118">
        <v>500.709991</v>
      </c>
      <c r="M118" s="2">
        <f t="shared" si="3"/>
        <v>2.7329193438646815E-2</v>
      </c>
    </row>
    <row r="119" spans="1:13" x14ac:dyDescent="0.25">
      <c r="A119" t="s">
        <v>124</v>
      </c>
      <c r="K119" s="1" t="str">
        <f t="shared" si="2"/>
        <v>1995-04-01</v>
      </c>
      <c r="L119">
        <v>514.71002199999998</v>
      </c>
      <c r="M119" s="2">
        <f t="shared" si="3"/>
        <v>2.7960358793799323E-2</v>
      </c>
    </row>
    <row r="120" spans="1:13" x14ac:dyDescent="0.25">
      <c r="A120" t="s">
        <v>125</v>
      </c>
      <c r="K120" s="1" t="str">
        <f t="shared" si="2"/>
        <v>1995-05-01</v>
      </c>
      <c r="L120">
        <v>533.40002400000003</v>
      </c>
      <c r="M120" s="2">
        <f t="shared" si="3"/>
        <v>3.6311711839953409E-2</v>
      </c>
    </row>
    <row r="121" spans="1:13" x14ac:dyDescent="0.25">
      <c r="A121" t="s">
        <v>126</v>
      </c>
      <c r="K121" s="1" t="str">
        <f t="shared" si="2"/>
        <v>1995-06-01</v>
      </c>
      <c r="L121">
        <v>544.75</v>
      </c>
      <c r="M121" s="2">
        <f t="shared" si="3"/>
        <v>2.1278544224437423E-2</v>
      </c>
    </row>
    <row r="122" spans="1:13" x14ac:dyDescent="0.25">
      <c r="A122" t="s">
        <v>127</v>
      </c>
      <c r="K122" s="1" t="str">
        <f t="shared" si="2"/>
        <v>1995-07-01</v>
      </c>
      <c r="L122">
        <v>562.05999799999995</v>
      </c>
      <c r="M122" s="2">
        <f t="shared" si="3"/>
        <v>3.1776040385497861E-2</v>
      </c>
    </row>
    <row r="123" spans="1:13" x14ac:dyDescent="0.25">
      <c r="A123" t="s">
        <v>128</v>
      </c>
      <c r="K123" s="1" t="str">
        <f t="shared" si="2"/>
        <v>1995-08-01</v>
      </c>
      <c r="L123">
        <v>561.88000499999998</v>
      </c>
      <c r="M123" s="2">
        <f t="shared" si="3"/>
        <v>-3.2023805401637517E-4</v>
      </c>
    </row>
    <row r="124" spans="1:13" x14ac:dyDescent="0.25">
      <c r="A124" t="s">
        <v>129</v>
      </c>
      <c r="K124" s="1" t="str">
        <f t="shared" si="2"/>
        <v>1995-09-01</v>
      </c>
      <c r="L124">
        <v>584.40997300000004</v>
      </c>
      <c r="M124" s="2">
        <f t="shared" si="3"/>
        <v>4.0097472413171298E-2</v>
      </c>
    </row>
    <row r="125" spans="1:13" x14ac:dyDescent="0.25">
      <c r="A125" t="s">
        <v>130</v>
      </c>
      <c r="K125" s="1" t="str">
        <f t="shared" si="2"/>
        <v>1995-10-01</v>
      </c>
      <c r="L125">
        <v>581.5</v>
      </c>
      <c r="M125" s="2">
        <f t="shared" si="3"/>
        <v>-4.9793349436904055E-3</v>
      </c>
    </row>
    <row r="126" spans="1:13" x14ac:dyDescent="0.25">
      <c r="A126" t="s">
        <v>131</v>
      </c>
      <c r="K126" s="1" t="str">
        <f t="shared" si="2"/>
        <v>1995-11-01</v>
      </c>
      <c r="L126">
        <v>605.36999500000002</v>
      </c>
      <c r="M126" s="2">
        <f t="shared" si="3"/>
        <v>4.1049002579535809E-2</v>
      </c>
    </row>
    <row r="127" spans="1:13" x14ac:dyDescent="0.25">
      <c r="A127" t="s">
        <v>132</v>
      </c>
      <c r="K127" s="1" t="str">
        <f t="shared" si="2"/>
        <v>1995-12-01</v>
      </c>
      <c r="L127">
        <v>615.92999299999997</v>
      </c>
      <c r="M127" s="2">
        <f t="shared" si="3"/>
        <v>1.7443874138492799E-2</v>
      </c>
    </row>
    <row r="128" spans="1:13" x14ac:dyDescent="0.25">
      <c r="A128" t="s">
        <v>133</v>
      </c>
      <c r="K128" s="1" t="str">
        <f t="shared" si="2"/>
        <v>1996-01-01</v>
      </c>
      <c r="L128">
        <v>636.02002000000005</v>
      </c>
      <c r="M128" s="2">
        <f t="shared" si="3"/>
        <v>3.2617387086717242E-2</v>
      </c>
    </row>
    <row r="129" spans="1:13" x14ac:dyDescent="0.25">
      <c r="A129" t="s">
        <v>134</v>
      </c>
      <c r="K129" s="1" t="str">
        <f t="shared" si="2"/>
        <v>1996-02-01</v>
      </c>
      <c r="L129">
        <v>640.42999299999997</v>
      </c>
      <c r="M129" s="2">
        <f t="shared" si="3"/>
        <v>6.933701552350291E-3</v>
      </c>
    </row>
    <row r="130" spans="1:13" x14ac:dyDescent="0.25">
      <c r="A130" t="s">
        <v>135</v>
      </c>
      <c r="K130" s="1" t="str">
        <f t="shared" si="2"/>
        <v>1996-03-01</v>
      </c>
      <c r="L130">
        <v>645.5</v>
      </c>
      <c r="M130" s="2">
        <f t="shared" si="3"/>
        <v>7.9165670805803057E-3</v>
      </c>
    </row>
    <row r="131" spans="1:13" x14ac:dyDescent="0.25">
      <c r="A131" t="s">
        <v>136</v>
      </c>
      <c r="K131" s="1" t="str">
        <f t="shared" ref="K131:K194" si="4">LEFT(A131,10)</f>
        <v>1996-04-01</v>
      </c>
      <c r="L131">
        <v>654.169983</v>
      </c>
      <c r="M131" s="2">
        <f t="shared" si="3"/>
        <v>1.3431422153369565E-2</v>
      </c>
    </row>
    <row r="132" spans="1:13" x14ac:dyDescent="0.25">
      <c r="A132" t="s">
        <v>137</v>
      </c>
      <c r="K132" s="1" t="str">
        <f t="shared" si="4"/>
        <v>1996-05-01</v>
      </c>
      <c r="L132">
        <v>669.11999500000002</v>
      </c>
      <c r="M132" s="2">
        <f t="shared" ref="M132:M195" si="5">(L132/L131)-1</f>
        <v>2.2853405672085048E-2</v>
      </c>
    </row>
    <row r="133" spans="1:13" x14ac:dyDescent="0.25">
      <c r="A133" t="s">
        <v>138</v>
      </c>
      <c r="K133" s="1" t="str">
        <f t="shared" si="4"/>
        <v>1996-06-01</v>
      </c>
      <c r="L133">
        <v>670.63000499999998</v>
      </c>
      <c r="M133" s="2">
        <f t="shared" si="5"/>
        <v>2.2567103229369501E-3</v>
      </c>
    </row>
    <row r="134" spans="1:13" x14ac:dyDescent="0.25">
      <c r="A134" t="s">
        <v>139</v>
      </c>
      <c r="K134" s="1" t="str">
        <f t="shared" si="4"/>
        <v>1996-07-01</v>
      </c>
      <c r="L134">
        <v>639.95001200000002</v>
      </c>
      <c r="M134" s="2">
        <f t="shared" si="5"/>
        <v>-4.5748017194667479E-2</v>
      </c>
    </row>
    <row r="135" spans="1:13" x14ac:dyDescent="0.25">
      <c r="A135" t="s">
        <v>140</v>
      </c>
      <c r="K135" s="1" t="str">
        <f t="shared" si="4"/>
        <v>1996-08-01</v>
      </c>
      <c r="L135">
        <v>651.98999000000003</v>
      </c>
      <c r="M135" s="2">
        <f t="shared" si="5"/>
        <v>1.8813935110919333E-2</v>
      </c>
    </row>
    <row r="136" spans="1:13" x14ac:dyDescent="0.25">
      <c r="A136" t="s">
        <v>141</v>
      </c>
      <c r="K136" s="1" t="str">
        <f t="shared" si="4"/>
        <v>1996-09-01</v>
      </c>
      <c r="L136">
        <v>687.330017</v>
      </c>
      <c r="M136" s="2">
        <f t="shared" si="5"/>
        <v>5.4203327569492199E-2</v>
      </c>
    </row>
    <row r="137" spans="1:13" x14ac:dyDescent="0.25">
      <c r="A137" t="s">
        <v>142</v>
      </c>
      <c r="K137" s="1" t="str">
        <f t="shared" si="4"/>
        <v>1996-10-01</v>
      </c>
      <c r="L137">
        <v>705.27002000000005</v>
      </c>
      <c r="M137" s="2">
        <f t="shared" si="5"/>
        <v>2.6101003239030751E-2</v>
      </c>
    </row>
    <row r="138" spans="1:13" x14ac:dyDescent="0.25">
      <c r="A138" t="s">
        <v>143</v>
      </c>
      <c r="K138" s="1" t="str">
        <f t="shared" si="4"/>
        <v>1996-11-01</v>
      </c>
      <c r="L138">
        <v>757.02002000000005</v>
      </c>
      <c r="M138" s="2">
        <f t="shared" si="5"/>
        <v>7.3376151732637007E-2</v>
      </c>
    </row>
    <row r="139" spans="1:13" x14ac:dyDescent="0.25">
      <c r="A139" t="s">
        <v>144</v>
      </c>
      <c r="K139" s="1" t="str">
        <f t="shared" si="4"/>
        <v>1996-12-01</v>
      </c>
      <c r="L139">
        <v>740.73999000000003</v>
      </c>
      <c r="M139" s="2">
        <f t="shared" si="5"/>
        <v>-2.1505415404998174E-2</v>
      </c>
    </row>
    <row r="140" spans="1:13" x14ac:dyDescent="0.25">
      <c r="A140" t="s">
        <v>145</v>
      </c>
      <c r="K140" s="1" t="str">
        <f t="shared" si="4"/>
        <v>1997-01-01</v>
      </c>
      <c r="L140">
        <v>786.15997300000004</v>
      </c>
      <c r="M140" s="2">
        <f t="shared" si="5"/>
        <v>6.1317039194819234E-2</v>
      </c>
    </row>
    <row r="141" spans="1:13" x14ac:dyDescent="0.25">
      <c r="A141" t="s">
        <v>146</v>
      </c>
      <c r="K141" s="1" t="str">
        <f t="shared" si="4"/>
        <v>1997-02-01</v>
      </c>
      <c r="L141">
        <v>790.82000700000003</v>
      </c>
      <c r="M141" s="2">
        <f t="shared" si="5"/>
        <v>5.927590007180461E-3</v>
      </c>
    </row>
    <row r="142" spans="1:13" x14ac:dyDescent="0.25">
      <c r="A142" t="s">
        <v>147</v>
      </c>
      <c r="K142" s="1" t="str">
        <f t="shared" si="4"/>
        <v>1997-03-01</v>
      </c>
      <c r="L142">
        <v>757.11999500000002</v>
      </c>
      <c r="M142" s="2">
        <f t="shared" si="5"/>
        <v>-4.2614010396426427E-2</v>
      </c>
    </row>
    <row r="143" spans="1:13" x14ac:dyDescent="0.25">
      <c r="A143" t="s">
        <v>148</v>
      </c>
      <c r="K143" s="1" t="str">
        <f t="shared" si="4"/>
        <v>1997-04-01</v>
      </c>
      <c r="L143">
        <v>801.34002699999996</v>
      </c>
      <c r="M143" s="2">
        <f t="shared" si="5"/>
        <v>5.8405579422057041E-2</v>
      </c>
    </row>
    <row r="144" spans="1:13" x14ac:dyDescent="0.25">
      <c r="A144" t="s">
        <v>149</v>
      </c>
      <c r="K144" s="1" t="str">
        <f t="shared" si="4"/>
        <v>1997-05-01</v>
      </c>
      <c r="L144">
        <v>848.28002900000001</v>
      </c>
      <c r="M144" s="2">
        <f t="shared" si="5"/>
        <v>5.8576884241924976E-2</v>
      </c>
    </row>
    <row r="145" spans="1:13" x14ac:dyDescent="0.25">
      <c r="A145" t="s">
        <v>150</v>
      </c>
      <c r="K145" s="1" t="str">
        <f t="shared" si="4"/>
        <v>1997-06-01</v>
      </c>
      <c r="L145">
        <v>885.14001499999995</v>
      </c>
      <c r="M145" s="2">
        <f t="shared" si="5"/>
        <v>4.3452615574897546E-2</v>
      </c>
    </row>
    <row r="146" spans="1:13" x14ac:dyDescent="0.25">
      <c r="A146" t="s">
        <v>151</v>
      </c>
      <c r="K146" s="1" t="str">
        <f t="shared" si="4"/>
        <v>1997-07-01</v>
      </c>
      <c r="L146">
        <v>954.30999799999995</v>
      </c>
      <c r="M146" s="2">
        <f t="shared" si="5"/>
        <v>7.8145809507889075E-2</v>
      </c>
    </row>
    <row r="147" spans="1:13" x14ac:dyDescent="0.25">
      <c r="A147" t="s">
        <v>152</v>
      </c>
      <c r="K147" s="1" t="str">
        <f t="shared" si="4"/>
        <v>1997-08-01</v>
      </c>
      <c r="L147">
        <v>899.46997099999999</v>
      </c>
      <c r="M147" s="2">
        <f t="shared" si="5"/>
        <v>-5.7465631833399256E-2</v>
      </c>
    </row>
    <row r="148" spans="1:13" x14ac:dyDescent="0.25">
      <c r="A148" t="s">
        <v>153</v>
      </c>
      <c r="K148" s="1" t="str">
        <f t="shared" si="4"/>
        <v>1997-09-01</v>
      </c>
      <c r="L148">
        <v>947.28002900000001</v>
      </c>
      <c r="M148" s="2">
        <f t="shared" si="5"/>
        <v>5.3153589937912527E-2</v>
      </c>
    </row>
    <row r="149" spans="1:13" x14ac:dyDescent="0.25">
      <c r="A149" t="s">
        <v>154</v>
      </c>
      <c r="K149" s="1" t="str">
        <f t="shared" si="4"/>
        <v>1997-10-01</v>
      </c>
      <c r="L149">
        <v>914.61999500000002</v>
      </c>
      <c r="M149" s="2">
        <f t="shared" si="5"/>
        <v>-3.4477697196337753E-2</v>
      </c>
    </row>
    <row r="150" spans="1:13" x14ac:dyDescent="0.25">
      <c r="A150" t="s">
        <v>155</v>
      </c>
      <c r="K150" s="1" t="str">
        <f t="shared" si="4"/>
        <v>1997-11-01</v>
      </c>
      <c r="L150">
        <v>955.40002400000003</v>
      </c>
      <c r="M150" s="2">
        <f t="shared" si="5"/>
        <v>4.4586854893763794E-2</v>
      </c>
    </row>
    <row r="151" spans="1:13" x14ac:dyDescent="0.25">
      <c r="A151" t="s">
        <v>156</v>
      </c>
      <c r="K151" s="1" t="str">
        <f t="shared" si="4"/>
        <v>1997-12-01</v>
      </c>
      <c r="L151">
        <v>970.42999299999997</v>
      </c>
      <c r="M151" s="2">
        <f t="shared" si="5"/>
        <v>1.5731597888257953E-2</v>
      </c>
    </row>
    <row r="152" spans="1:13" x14ac:dyDescent="0.25">
      <c r="A152" t="s">
        <v>157</v>
      </c>
      <c r="K152" s="1" t="str">
        <f t="shared" si="4"/>
        <v>1998-01-01</v>
      </c>
      <c r="L152">
        <v>980.28002900000001</v>
      </c>
      <c r="M152" s="2">
        <f t="shared" si="5"/>
        <v>1.0150176798997546E-2</v>
      </c>
    </row>
    <row r="153" spans="1:13" x14ac:dyDescent="0.25">
      <c r="A153" t="s">
        <v>158</v>
      </c>
      <c r="K153" s="1" t="str">
        <f t="shared" si="4"/>
        <v>1998-02-01</v>
      </c>
      <c r="L153">
        <v>1049.339966</v>
      </c>
      <c r="M153" s="2">
        <f t="shared" si="5"/>
        <v>7.0449193043797154E-2</v>
      </c>
    </row>
    <row r="154" spans="1:13" x14ac:dyDescent="0.25">
      <c r="A154" t="s">
        <v>159</v>
      </c>
      <c r="K154" s="1" t="str">
        <f t="shared" si="4"/>
        <v>1998-03-01</v>
      </c>
      <c r="L154">
        <v>1101.75</v>
      </c>
      <c r="M154" s="2">
        <f t="shared" si="5"/>
        <v>4.9945714161429455E-2</v>
      </c>
    </row>
    <row r="155" spans="1:13" x14ac:dyDescent="0.25">
      <c r="A155" t="s">
        <v>160</v>
      </c>
      <c r="K155" s="1" t="str">
        <f t="shared" si="4"/>
        <v>1998-04-01</v>
      </c>
      <c r="L155">
        <v>1111.75</v>
      </c>
      <c r="M155" s="2">
        <f t="shared" si="5"/>
        <v>9.0764692534603952E-3</v>
      </c>
    </row>
    <row r="156" spans="1:13" x14ac:dyDescent="0.25">
      <c r="A156" t="s">
        <v>161</v>
      </c>
      <c r="K156" s="1" t="str">
        <f t="shared" si="4"/>
        <v>1998-05-01</v>
      </c>
      <c r="L156">
        <v>1090.8199460000001</v>
      </c>
      <c r="M156" s="2">
        <f t="shared" si="5"/>
        <v>-1.8826223521475116E-2</v>
      </c>
    </row>
    <row r="157" spans="1:13" x14ac:dyDescent="0.25">
      <c r="A157" t="s">
        <v>162</v>
      </c>
      <c r="K157" s="1" t="str">
        <f t="shared" si="4"/>
        <v>1998-06-01</v>
      </c>
      <c r="L157">
        <v>1133.839966</v>
      </c>
      <c r="M157" s="2">
        <f t="shared" si="5"/>
        <v>3.9438241075214098E-2</v>
      </c>
    </row>
    <row r="158" spans="1:13" x14ac:dyDescent="0.25">
      <c r="A158" t="s">
        <v>163</v>
      </c>
      <c r="K158" s="1" t="str">
        <f t="shared" si="4"/>
        <v>1998-07-01</v>
      </c>
      <c r="L158">
        <v>1120.670044</v>
      </c>
      <c r="M158" s="2">
        <f t="shared" si="5"/>
        <v>-1.161532702578949E-2</v>
      </c>
    </row>
    <row r="159" spans="1:13" x14ac:dyDescent="0.25">
      <c r="A159" t="s">
        <v>164</v>
      </c>
      <c r="K159" s="1" t="str">
        <f t="shared" si="4"/>
        <v>1998-08-01</v>
      </c>
      <c r="L159">
        <v>957.28002900000001</v>
      </c>
      <c r="M159" s="2">
        <f t="shared" si="5"/>
        <v>-0.14579671855670651</v>
      </c>
    </row>
    <row r="160" spans="1:13" x14ac:dyDescent="0.25">
      <c r="A160" t="s">
        <v>165</v>
      </c>
      <c r="K160" s="1" t="str">
        <f t="shared" si="4"/>
        <v>1998-09-01</v>
      </c>
      <c r="L160">
        <v>1017.01001</v>
      </c>
      <c r="M160" s="2">
        <f t="shared" si="5"/>
        <v>6.2395515617718944E-2</v>
      </c>
    </row>
    <row r="161" spans="1:13" x14ac:dyDescent="0.25">
      <c r="A161" t="s">
        <v>166</v>
      </c>
      <c r="K161" s="1" t="str">
        <f t="shared" si="4"/>
        <v>1998-10-01</v>
      </c>
      <c r="L161">
        <v>1098.670044</v>
      </c>
      <c r="M161" s="2">
        <f t="shared" si="5"/>
        <v>8.0294228372442378E-2</v>
      </c>
    </row>
    <row r="162" spans="1:13" x14ac:dyDescent="0.25">
      <c r="A162" t="s">
        <v>167</v>
      </c>
      <c r="K162" s="1" t="str">
        <f t="shared" si="4"/>
        <v>1998-11-01</v>
      </c>
      <c r="L162">
        <v>1163.630005</v>
      </c>
      <c r="M162" s="2">
        <f t="shared" si="5"/>
        <v>5.9125996339625342E-2</v>
      </c>
    </row>
    <row r="163" spans="1:13" x14ac:dyDescent="0.25">
      <c r="A163" t="s">
        <v>168</v>
      </c>
      <c r="K163" s="1" t="str">
        <f t="shared" si="4"/>
        <v>1998-12-01</v>
      </c>
      <c r="L163">
        <v>1229.2299800000001</v>
      </c>
      <c r="M163" s="2">
        <f t="shared" si="5"/>
        <v>5.6375286575735872E-2</v>
      </c>
    </row>
    <row r="164" spans="1:13" x14ac:dyDescent="0.25">
      <c r="A164" t="s">
        <v>169</v>
      </c>
      <c r="K164" s="1" t="str">
        <f t="shared" si="4"/>
        <v>1999-01-01</v>
      </c>
      <c r="L164">
        <v>1279.6400149999999</v>
      </c>
      <c r="M164" s="2">
        <f t="shared" si="5"/>
        <v>4.1009441536725255E-2</v>
      </c>
    </row>
    <row r="165" spans="1:13" x14ac:dyDescent="0.25">
      <c r="A165" t="s">
        <v>170</v>
      </c>
      <c r="K165" s="1" t="str">
        <f t="shared" si="4"/>
        <v>1999-02-01</v>
      </c>
      <c r="L165">
        <v>1238.329956</v>
      </c>
      <c r="M165" s="2">
        <f t="shared" si="5"/>
        <v>-3.2282562686194116E-2</v>
      </c>
    </row>
    <row r="166" spans="1:13" x14ac:dyDescent="0.25">
      <c r="A166" t="s">
        <v>171</v>
      </c>
      <c r="K166" s="1" t="str">
        <f t="shared" si="4"/>
        <v>1999-03-01</v>
      </c>
      <c r="L166">
        <v>1286.369995</v>
      </c>
      <c r="M166" s="2">
        <f t="shared" si="5"/>
        <v>3.8794215360158812E-2</v>
      </c>
    </row>
    <row r="167" spans="1:13" x14ac:dyDescent="0.25">
      <c r="A167" t="s">
        <v>172</v>
      </c>
      <c r="K167" s="1" t="str">
        <f t="shared" si="4"/>
        <v>1999-04-01</v>
      </c>
      <c r="L167">
        <v>1335.1800539999999</v>
      </c>
      <c r="M167" s="2">
        <f t="shared" si="5"/>
        <v>3.7944027915545409E-2</v>
      </c>
    </row>
    <row r="168" spans="1:13" x14ac:dyDescent="0.25">
      <c r="A168" t="s">
        <v>173</v>
      </c>
      <c r="K168" s="1" t="str">
        <f t="shared" si="4"/>
        <v>1999-05-01</v>
      </c>
      <c r="L168">
        <v>1301.839966</v>
      </c>
      <c r="M168" s="2">
        <f t="shared" si="5"/>
        <v>-2.4970480872686829E-2</v>
      </c>
    </row>
    <row r="169" spans="1:13" x14ac:dyDescent="0.25">
      <c r="A169" t="s">
        <v>174</v>
      </c>
      <c r="K169" s="1" t="str">
        <f t="shared" si="4"/>
        <v>1999-06-01</v>
      </c>
      <c r="L169">
        <v>1372.709961</v>
      </c>
      <c r="M169" s="2">
        <f t="shared" si="5"/>
        <v>5.4438331016794184E-2</v>
      </c>
    </row>
    <row r="170" spans="1:13" x14ac:dyDescent="0.25">
      <c r="A170" t="s">
        <v>175</v>
      </c>
      <c r="K170" s="1" t="str">
        <f t="shared" si="4"/>
        <v>1999-07-01</v>
      </c>
      <c r="L170">
        <v>1328.719971</v>
      </c>
      <c r="M170" s="2">
        <f t="shared" si="5"/>
        <v>-3.2046092218893762E-2</v>
      </c>
    </row>
    <row r="171" spans="1:13" x14ac:dyDescent="0.25">
      <c r="A171" t="s">
        <v>176</v>
      </c>
      <c r="K171" s="1" t="str">
        <f t="shared" si="4"/>
        <v>1999-08-01</v>
      </c>
      <c r="L171">
        <v>1320.410034</v>
      </c>
      <c r="M171" s="2">
        <f t="shared" si="5"/>
        <v>-6.2540920445004478E-3</v>
      </c>
    </row>
    <row r="172" spans="1:13" x14ac:dyDescent="0.25">
      <c r="A172" t="s">
        <v>177</v>
      </c>
      <c r="K172" s="1" t="str">
        <f t="shared" si="4"/>
        <v>1999-09-01</v>
      </c>
      <c r="L172">
        <v>1282.709961</v>
      </c>
      <c r="M172" s="2">
        <f t="shared" si="5"/>
        <v>-2.8551792268491583E-2</v>
      </c>
    </row>
    <row r="173" spans="1:13" x14ac:dyDescent="0.25">
      <c r="A173" t="s">
        <v>178</v>
      </c>
      <c r="K173" s="1" t="str">
        <f t="shared" si="4"/>
        <v>1999-10-01</v>
      </c>
      <c r="L173">
        <v>1362.9300539999999</v>
      </c>
      <c r="M173" s="2">
        <f t="shared" si="5"/>
        <v>6.2539541625965311E-2</v>
      </c>
    </row>
    <row r="174" spans="1:13" x14ac:dyDescent="0.25">
      <c r="A174" t="s">
        <v>179</v>
      </c>
      <c r="K174" s="1" t="str">
        <f t="shared" si="4"/>
        <v>1999-11-01</v>
      </c>
      <c r="L174">
        <v>1388.910034</v>
      </c>
      <c r="M174" s="2">
        <f t="shared" si="5"/>
        <v>1.906185862124965E-2</v>
      </c>
    </row>
    <row r="175" spans="1:13" x14ac:dyDescent="0.25">
      <c r="A175" t="s">
        <v>180</v>
      </c>
      <c r="K175" s="1" t="str">
        <f t="shared" si="4"/>
        <v>1999-12-01</v>
      </c>
      <c r="L175">
        <v>1469.25</v>
      </c>
      <c r="M175" s="2">
        <f t="shared" si="5"/>
        <v>5.7843894876779434E-2</v>
      </c>
    </row>
    <row r="176" spans="1:13" x14ac:dyDescent="0.25">
      <c r="A176" t="s">
        <v>181</v>
      </c>
      <c r="K176" s="1" t="str">
        <f t="shared" si="4"/>
        <v>2000-01-01</v>
      </c>
      <c r="L176">
        <v>1394.459961</v>
      </c>
      <c r="M176" s="2">
        <f t="shared" si="5"/>
        <v>-5.0903548749361871E-2</v>
      </c>
    </row>
    <row r="177" spans="1:13" x14ac:dyDescent="0.25">
      <c r="A177" t="s">
        <v>182</v>
      </c>
      <c r="K177" s="1" t="str">
        <f t="shared" si="4"/>
        <v>2000-02-01</v>
      </c>
      <c r="L177">
        <v>1366.420044</v>
      </c>
      <c r="M177" s="2">
        <f t="shared" si="5"/>
        <v>-2.0108083261058285E-2</v>
      </c>
    </row>
    <row r="178" spans="1:13" x14ac:dyDescent="0.25">
      <c r="A178" t="s">
        <v>183</v>
      </c>
      <c r="K178" s="1" t="str">
        <f t="shared" si="4"/>
        <v>2000-03-01</v>
      </c>
      <c r="L178">
        <v>1498.579956</v>
      </c>
      <c r="M178" s="2">
        <f t="shared" si="5"/>
        <v>9.6719828269732355E-2</v>
      </c>
    </row>
    <row r="179" spans="1:13" x14ac:dyDescent="0.25">
      <c r="A179" t="s">
        <v>184</v>
      </c>
      <c r="K179" s="1" t="str">
        <f t="shared" si="4"/>
        <v>2000-04-01</v>
      </c>
      <c r="L179">
        <v>1452.4300539999999</v>
      </c>
      <c r="M179" s="2">
        <f t="shared" si="5"/>
        <v>-3.079575555193137E-2</v>
      </c>
    </row>
    <row r="180" spans="1:13" x14ac:dyDescent="0.25">
      <c r="A180" t="s">
        <v>185</v>
      </c>
      <c r="K180" s="1" t="str">
        <f t="shared" si="4"/>
        <v>2000-05-01</v>
      </c>
      <c r="L180">
        <v>1420.599976</v>
      </c>
      <c r="M180" s="2">
        <f t="shared" si="5"/>
        <v>-2.1915050512993584E-2</v>
      </c>
    </row>
    <row r="181" spans="1:13" x14ac:dyDescent="0.25">
      <c r="A181" t="s">
        <v>186</v>
      </c>
      <c r="K181" s="1" t="str">
        <f t="shared" si="4"/>
        <v>2000-06-01</v>
      </c>
      <c r="L181">
        <v>1454.599976</v>
      </c>
      <c r="M181" s="2">
        <f t="shared" si="5"/>
        <v>2.3933549608901261E-2</v>
      </c>
    </row>
    <row r="182" spans="1:13" x14ac:dyDescent="0.25">
      <c r="A182" t="s">
        <v>187</v>
      </c>
      <c r="K182" s="1" t="str">
        <f t="shared" si="4"/>
        <v>2000-07-01</v>
      </c>
      <c r="L182">
        <v>1430.829956</v>
      </c>
      <c r="M182" s="2">
        <f t="shared" si="5"/>
        <v>-1.6341276221772727E-2</v>
      </c>
    </row>
    <row r="183" spans="1:13" x14ac:dyDescent="0.25">
      <c r="A183" t="s">
        <v>188</v>
      </c>
      <c r="K183" s="1" t="str">
        <f t="shared" si="4"/>
        <v>2000-08-01</v>
      </c>
      <c r="L183">
        <v>1517.6800539999999</v>
      </c>
      <c r="M183" s="2">
        <f t="shared" si="5"/>
        <v>6.0699105184236046E-2</v>
      </c>
    </row>
    <row r="184" spans="1:13" x14ac:dyDescent="0.25">
      <c r="A184" t="s">
        <v>189</v>
      </c>
      <c r="K184" s="1" t="str">
        <f t="shared" si="4"/>
        <v>2000-09-01</v>
      </c>
      <c r="L184">
        <v>1436.51001</v>
      </c>
      <c r="M184" s="2">
        <f t="shared" si="5"/>
        <v>-5.3482974745611256E-2</v>
      </c>
    </row>
    <row r="185" spans="1:13" x14ac:dyDescent="0.25">
      <c r="A185" t="s">
        <v>190</v>
      </c>
      <c r="K185" s="1" t="str">
        <f t="shared" si="4"/>
        <v>2000-10-01</v>
      </c>
      <c r="L185">
        <v>1429.400024</v>
      </c>
      <c r="M185" s="2">
        <f t="shared" si="5"/>
        <v>-4.9494858723608814E-3</v>
      </c>
    </row>
    <row r="186" spans="1:13" x14ac:dyDescent="0.25">
      <c r="A186" t="s">
        <v>191</v>
      </c>
      <c r="K186" s="1" t="str">
        <f t="shared" si="4"/>
        <v>2000-11-01</v>
      </c>
      <c r="L186">
        <v>1314.9499510000001</v>
      </c>
      <c r="M186" s="2">
        <f t="shared" si="5"/>
        <v>-8.0068609961069903E-2</v>
      </c>
    </row>
    <row r="187" spans="1:13" x14ac:dyDescent="0.25">
      <c r="A187" t="s">
        <v>192</v>
      </c>
      <c r="K187" s="1" t="str">
        <f t="shared" si="4"/>
        <v>2000-12-01</v>
      </c>
      <c r="L187">
        <v>1320.280029</v>
      </c>
      <c r="M187" s="2">
        <f t="shared" si="5"/>
        <v>4.0534455291978411E-3</v>
      </c>
    </row>
    <row r="188" spans="1:13" x14ac:dyDescent="0.25">
      <c r="A188" t="s">
        <v>193</v>
      </c>
      <c r="K188" s="1" t="str">
        <f t="shared" si="4"/>
        <v>2001-01-01</v>
      </c>
      <c r="L188">
        <v>1366.01001</v>
      </c>
      <c r="M188" s="2">
        <f t="shared" si="5"/>
        <v>3.4636577086329501E-2</v>
      </c>
    </row>
    <row r="189" spans="1:13" x14ac:dyDescent="0.25">
      <c r="A189" t="s">
        <v>194</v>
      </c>
      <c r="K189" s="1" t="str">
        <f t="shared" si="4"/>
        <v>2001-02-01</v>
      </c>
      <c r="L189">
        <v>1239.9399410000001</v>
      </c>
      <c r="M189" s="2">
        <f t="shared" si="5"/>
        <v>-9.229073584900005E-2</v>
      </c>
    </row>
    <row r="190" spans="1:13" x14ac:dyDescent="0.25">
      <c r="A190" t="s">
        <v>195</v>
      </c>
      <c r="K190" s="1" t="str">
        <f t="shared" si="4"/>
        <v>2001-03-01</v>
      </c>
      <c r="L190">
        <v>1160.329956</v>
      </c>
      <c r="M190" s="2">
        <f t="shared" si="5"/>
        <v>-6.4204710540895493E-2</v>
      </c>
    </row>
    <row r="191" spans="1:13" x14ac:dyDescent="0.25">
      <c r="A191" t="s">
        <v>196</v>
      </c>
      <c r="K191" s="1" t="str">
        <f t="shared" si="4"/>
        <v>2001-04-01</v>
      </c>
      <c r="L191">
        <v>1249.459961</v>
      </c>
      <c r="M191" s="2">
        <f t="shared" si="5"/>
        <v>7.6814361759009797E-2</v>
      </c>
    </row>
    <row r="192" spans="1:13" x14ac:dyDescent="0.25">
      <c r="A192" t="s">
        <v>197</v>
      </c>
      <c r="K192" s="1" t="str">
        <f t="shared" si="4"/>
        <v>2001-05-01</v>
      </c>
      <c r="L192">
        <v>1255.8199460000001</v>
      </c>
      <c r="M192" s="2">
        <f t="shared" si="5"/>
        <v>5.0901871196495918E-3</v>
      </c>
    </row>
    <row r="193" spans="1:13" x14ac:dyDescent="0.25">
      <c r="A193" t="s">
        <v>198</v>
      </c>
      <c r="K193" s="1" t="str">
        <f t="shared" si="4"/>
        <v>2001-06-01</v>
      </c>
      <c r="L193">
        <v>1224.380005</v>
      </c>
      <c r="M193" s="2">
        <f t="shared" si="5"/>
        <v>-2.5035389109833495E-2</v>
      </c>
    </row>
    <row r="194" spans="1:13" x14ac:dyDescent="0.25">
      <c r="A194" t="s">
        <v>199</v>
      </c>
      <c r="K194" s="1" t="str">
        <f t="shared" si="4"/>
        <v>2001-07-01</v>
      </c>
      <c r="L194">
        <v>1211.2299800000001</v>
      </c>
      <c r="M194" s="2">
        <f t="shared" si="5"/>
        <v>-1.0740150072934163E-2</v>
      </c>
    </row>
    <row r="195" spans="1:13" x14ac:dyDescent="0.25">
      <c r="A195" t="s">
        <v>200</v>
      </c>
      <c r="K195" s="1" t="str">
        <f t="shared" ref="K195:K258" si="6">LEFT(A195,10)</f>
        <v>2001-08-01</v>
      </c>
      <c r="L195">
        <v>1133.579956</v>
      </c>
      <c r="M195" s="2">
        <f t="shared" si="5"/>
        <v>-6.4108406563714748E-2</v>
      </c>
    </row>
    <row r="196" spans="1:13" x14ac:dyDescent="0.25">
      <c r="A196" t="s">
        <v>201</v>
      </c>
      <c r="K196" s="1" t="str">
        <f t="shared" si="6"/>
        <v>2001-09-01</v>
      </c>
      <c r="L196">
        <v>1040.9399410000001</v>
      </c>
      <c r="M196" s="2">
        <f t="shared" ref="M196:M259" si="7">(L196/L195)-1</f>
        <v>-8.1723406019716172E-2</v>
      </c>
    </row>
    <row r="197" spans="1:13" x14ac:dyDescent="0.25">
      <c r="A197" t="s">
        <v>202</v>
      </c>
      <c r="K197" s="1" t="str">
        <f t="shared" si="6"/>
        <v>2001-10-01</v>
      </c>
      <c r="L197">
        <v>1059.780029</v>
      </c>
      <c r="M197" s="2">
        <f t="shared" si="7"/>
        <v>1.809911144527776E-2</v>
      </c>
    </row>
    <row r="198" spans="1:13" x14ac:dyDescent="0.25">
      <c r="A198" t="s">
        <v>203</v>
      </c>
      <c r="K198" s="1" t="str">
        <f t="shared" si="6"/>
        <v>2001-11-01</v>
      </c>
      <c r="L198">
        <v>1139.4499510000001</v>
      </c>
      <c r="M198" s="2">
        <f t="shared" si="7"/>
        <v>7.5175904263053539E-2</v>
      </c>
    </row>
    <row r="199" spans="1:13" x14ac:dyDescent="0.25">
      <c r="A199" t="s">
        <v>204</v>
      </c>
      <c r="K199" s="1" t="str">
        <f t="shared" si="6"/>
        <v>2001-12-01</v>
      </c>
      <c r="L199">
        <v>1148.079956</v>
      </c>
      <c r="M199" s="2">
        <f t="shared" si="7"/>
        <v>7.5738341929156849E-3</v>
      </c>
    </row>
    <row r="200" spans="1:13" x14ac:dyDescent="0.25">
      <c r="A200" t="s">
        <v>205</v>
      </c>
      <c r="K200" s="1" t="str">
        <f t="shared" si="6"/>
        <v>2002-01-01</v>
      </c>
      <c r="L200">
        <v>1130.1999510000001</v>
      </c>
      <c r="M200" s="2">
        <f t="shared" si="7"/>
        <v>-1.5573832559794276E-2</v>
      </c>
    </row>
    <row r="201" spans="1:13" x14ac:dyDescent="0.25">
      <c r="A201" t="s">
        <v>206</v>
      </c>
      <c r="K201" s="1" t="str">
        <f t="shared" si="6"/>
        <v>2002-02-01</v>
      </c>
      <c r="L201">
        <v>1106.7299800000001</v>
      </c>
      <c r="M201" s="2">
        <f t="shared" si="7"/>
        <v>-2.0766211305560334E-2</v>
      </c>
    </row>
    <row r="202" spans="1:13" x14ac:dyDescent="0.25">
      <c r="A202" t="s">
        <v>207</v>
      </c>
      <c r="K202" s="1" t="str">
        <f t="shared" si="6"/>
        <v>2002-03-01</v>
      </c>
      <c r="L202">
        <v>1147.3900149999999</v>
      </c>
      <c r="M202" s="2">
        <f t="shared" si="7"/>
        <v>3.6738893618839086E-2</v>
      </c>
    </row>
    <row r="203" spans="1:13" x14ac:dyDescent="0.25">
      <c r="A203" t="s">
        <v>208</v>
      </c>
      <c r="K203" s="1" t="str">
        <f t="shared" si="6"/>
        <v>2002-04-01</v>
      </c>
      <c r="L203">
        <v>1076.920044</v>
      </c>
      <c r="M203" s="2">
        <f t="shared" si="7"/>
        <v>-6.1417626159139926E-2</v>
      </c>
    </row>
    <row r="204" spans="1:13" x14ac:dyDescent="0.25">
      <c r="A204" t="s">
        <v>209</v>
      </c>
      <c r="K204" s="1" t="str">
        <f t="shared" si="6"/>
        <v>2002-05-01</v>
      </c>
      <c r="L204">
        <v>1067.1400149999999</v>
      </c>
      <c r="M204" s="2">
        <f t="shared" si="7"/>
        <v>-9.0814810760454501E-3</v>
      </c>
    </row>
    <row r="205" spans="1:13" x14ac:dyDescent="0.25">
      <c r="A205" t="s">
        <v>210</v>
      </c>
      <c r="K205" s="1" t="str">
        <f t="shared" si="6"/>
        <v>2002-06-01</v>
      </c>
      <c r="L205">
        <v>989.82000700000003</v>
      </c>
      <c r="M205" s="2">
        <f t="shared" si="7"/>
        <v>-7.245535441757367E-2</v>
      </c>
    </row>
    <row r="206" spans="1:13" x14ac:dyDescent="0.25">
      <c r="A206" t="s">
        <v>211</v>
      </c>
      <c r="K206" s="1" t="str">
        <f t="shared" si="6"/>
        <v>2002-07-01</v>
      </c>
      <c r="L206">
        <v>911.61999500000002</v>
      </c>
      <c r="M206" s="2">
        <f t="shared" si="7"/>
        <v>-7.9004274966125276E-2</v>
      </c>
    </row>
    <row r="207" spans="1:13" x14ac:dyDescent="0.25">
      <c r="A207" t="s">
        <v>212</v>
      </c>
      <c r="K207" s="1" t="str">
        <f t="shared" si="6"/>
        <v>2002-08-01</v>
      </c>
      <c r="L207">
        <v>916.07000700000003</v>
      </c>
      <c r="M207" s="2">
        <f t="shared" si="7"/>
        <v>4.8814330800193151E-3</v>
      </c>
    </row>
    <row r="208" spans="1:13" x14ac:dyDescent="0.25">
      <c r="A208" t="s">
        <v>213</v>
      </c>
      <c r="K208" s="1" t="str">
        <f t="shared" si="6"/>
        <v>2002-09-01</v>
      </c>
      <c r="L208">
        <v>815.28002900000001</v>
      </c>
      <c r="M208" s="2">
        <f t="shared" si="7"/>
        <v>-0.11002431826151904</v>
      </c>
    </row>
    <row r="209" spans="1:13" x14ac:dyDescent="0.25">
      <c r="A209" t="s">
        <v>214</v>
      </c>
      <c r="K209" s="1" t="str">
        <f t="shared" si="6"/>
        <v>2002-10-01</v>
      </c>
      <c r="L209">
        <v>885.76000999999997</v>
      </c>
      <c r="M209" s="2">
        <f t="shared" si="7"/>
        <v>8.6448801016809851E-2</v>
      </c>
    </row>
    <row r="210" spans="1:13" x14ac:dyDescent="0.25">
      <c r="A210" t="s">
        <v>215</v>
      </c>
      <c r="K210" s="1" t="str">
        <f t="shared" si="6"/>
        <v>2002-11-01</v>
      </c>
      <c r="L210">
        <v>936.30999799999995</v>
      </c>
      <c r="M210" s="2">
        <f t="shared" si="7"/>
        <v>5.7069620923617892E-2</v>
      </c>
    </row>
    <row r="211" spans="1:13" x14ac:dyDescent="0.25">
      <c r="A211" t="s">
        <v>216</v>
      </c>
      <c r="K211" s="1" t="str">
        <f t="shared" si="6"/>
        <v>2002-12-01</v>
      </c>
      <c r="L211">
        <v>879.82000700000003</v>
      </c>
      <c r="M211" s="2">
        <f t="shared" si="7"/>
        <v>-6.0332572674290597E-2</v>
      </c>
    </row>
    <row r="212" spans="1:13" x14ac:dyDescent="0.25">
      <c r="A212" t="s">
        <v>217</v>
      </c>
      <c r="K212" s="1" t="str">
        <f t="shared" si="6"/>
        <v>2003-01-01</v>
      </c>
      <c r="L212">
        <v>855.70001200000002</v>
      </c>
      <c r="M212" s="2">
        <f t="shared" si="7"/>
        <v>-2.7414692559952214E-2</v>
      </c>
    </row>
    <row r="213" spans="1:13" x14ac:dyDescent="0.25">
      <c r="A213" t="s">
        <v>218</v>
      </c>
      <c r="K213" s="1" t="str">
        <f t="shared" si="6"/>
        <v>2003-02-01</v>
      </c>
      <c r="L213">
        <v>841.15002400000003</v>
      </c>
      <c r="M213" s="2">
        <f t="shared" si="7"/>
        <v>-1.7003608502929368E-2</v>
      </c>
    </row>
    <row r="214" spans="1:13" x14ac:dyDescent="0.25">
      <c r="A214" t="s">
        <v>219</v>
      </c>
      <c r="K214" s="1" t="str">
        <f t="shared" si="6"/>
        <v>2003-03-01</v>
      </c>
      <c r="L214">
        <v>848.17999299999997</v>
      </c>
      <c r="M214" s="2">
        <f t="shared" si="7"/>
        <v>8.3575685661514409E-3</v>
      </c>
    </row>
    <row r="215" spans="1:13" x14ac:dyDescent="0.25">
      <c r="A215" t="s">
        <v>220</v>
      </c>
      <c r="K215" s="1" t="str">
        <f t="shared" si="6"/>
        <v>2003-04-01</v>
      </c>
      <c r="L215">
        <v>916.919983</v>
      </c>
      <c r="M215" s="2">
        <f t="shared" si="7"/>
        <v>8.1044106872726118E-2</v>
      </c>
    </row>
    <row r="216" spans="1:13" x14ac:dyDescent="0.25">
      <c r="A216" t="s">
        <v>221</v>
      </c>
      <c r="K216" s="1" t="str">
        <f t="shared" si="6"/>
        <v>2003-05-01</v>
      </c>
      <c r="L216">
        <v>963.59002699999996</v>
      </c>
      <c r="M216" s="2">
        <f t="shared" si="7"/>
        <v>5.0898709664177977E-2</v>
      </c>
    </row>
    <row r="217" spans="1:13" x14ac:dyDescent="0.25">
      <c r="A217" t="s">
        <v>222</v>
      </c>
      <c r="K217" s="1" t="str">
        <f t="shared" si="6"/>
        <v>2003-06-01</v>
      </c>
      <c r="L217">
        <v>974.5</v>
      </c>
      <c r="M217" s="2">
        <f t="shared" si="7"/>
        <v>1.1322214525161467E-2</v>
      </c>
    </row>
    <row r="218" spans="1:13" x14ac:dyDescent="0.25">
      <c r="A218" t="s">
        <v>223</v>
      </c>
      <c r="K218" s="1" t="str">
        <f t="shared" si="6"/>
        <v>2003-07-01</v>
      </c>
      <c r="L218">
        <v>990.30999799999995</v>
      </c>
      <c r="M218" s="2">
        <f t="shared" si="7"/>
        <v>1.6223702411493068E-2</v>
      </c>
    </row>
    <row r="219" spans="1:13" x14ac:dyDescent="0.25">
      <c r="A219" t="s">
        <v>224</v>
      </c>
      <c r="K219" s="1" t="str">
        <f t="shared" si="6"/>
        <v>2003-08-01</v>
      </c>
      <c r="L219">
        <v>1008.01001</v>
      </c>
      <c r="M219" s="2">
        <f t="shared" si="7"/>
        <v>1.7873203376464364E-2</v>
      </c>
    </row>
    <row r="220" spans="1:13" x14ac:dyDescent="0.25">
      <c r="A220" t="s">
        <v>225</v>
      </c>
      <c r="K220" s="1" t="str">
        <f t="shared" si="6"/>
        <v>2003-09-01</v>
      </c>
      <c r="L220">
        <v>995.96997099999999</v>
      </c>
      <c r="M220" s="2">
        <f t="shared" si="7"/>
        <v>-1.194436452074521E-2</v>
      </c>
    </row>
    <row r="221" spans="1:13" x14ac:dyDescent="0.25">
      <c r="A221" t="s">
        <v>226</v>
      </c>
      <c r="K221" s="1" t="str">
        <f t="shared" si="6"/>
        <v>2003-10-01</v>
      </c>
      <c r="L221">
        <v>1050.709961</v>
      </c>
      <c r="M221" s="2">
        <f t="shared" si="7"/>
        <v>5.496148638401066E-2</v>
      </c>
    </row>
    <row r="222" spans="1:13" x14ac:dyDescent="0.25">
      <c r="A222" t="s">
        <v>227</v>
      </c>
      <c r="K222" s="1" t="str">
        <f t="shared" si="6"/>
        <v>2003-11-01</v>
      </c>
      <c r="L222">
        <v>1058.1999510000001</v>
      </c>
      <c r="M222" s="2">
        <f t="shared" si="7"/>
        <v>7.1285038478854368E-3</v>
      </c>
    </row>
    <row r="223" spans="1:13" x14ac:dyDescent="0.25">
      <c r="A223" t="s">
        <v>228</v>
      </c>
      <c r="K223" s="1" t="str">
        <f t="shared" si="6"/>
        <v>2003-12-01</v>
      </c>
      <c r="L223">
        <v>1111.920044</v>
      </c>
      <c r="M223" s="2">
        <f t="shared" si="7"/>
        <v>5.0765541001239312E-2</v>
      </c>
    </row>
    <row r="224" spans="1:13" x14ac:dyDescent="0.25">
      <c r="A224" t="s">
        <v>229</v>
      </c>
      <c r="K224" s="1" t="str">
        <f t="shared" si="6"/>
        <v>2004-01-01</v>
      </c>
      <c r="L224">
        <v>1131.130005</v>
      </c>
      <c r="M224" s="2">
        <f t="shared" si="7"/>
        <v>1.7276387006114557E-2</v>
      </c>
    </row>
    <row r="225" spans="1:13" x14ac:dyDescent="0.25">
      <c r="A225" t="s">
        <v>230</v>
      </c>
      <c r="K225" s="1" t="str">
        <f t="shared" si="6"/>
        <v>2004-02-01</v>
      </c>
      <c r="L225">
        <v>1144.9399410000001</v>
      </c>
      <c r="M225" s="2">
        <f t="shared" si="7"/>
        <v>1.2208973273589496E-2</v>
      </c>
    </row>
    <row r="226" spans="1:13" x14ac:dyDescent="0.25">
      <c r="A226" t="s">
        <v>231</v>
      </c>
      <c r="K226" s="1" t="str">
        <f t="shared" si="6"/>
        <v>2004-03-01</v>
      </c>
      <c r="L226">
        <v>1126.209961</v>
      </c>
      <c r="M226" s="2">
        <f t="shared" si="7"/>
        <v>-1.6358919214261247E-2</v>
      </c>
    </row>
    <row r="227" spans="1:13" x14ac:dyDescent="0.25">
      <c r="A227" t="s">
        <v>232</v>
      </c>
      <c r="K227" s="1" t="str">
        <f t="shared" si="6"/>
        <v>2004-04-01</v>
      </c>
      <c r="L227">
        <v>1107.3000489999999</v>
      </c>
      <c r="M227" s="2">
        <f t="shared" si="7"/>
        <v>-1.6790751862298725E-2</v>
      </c>
    </row>
    <row r="228" spans="1:13" x14ac:dyDescent="0.25">
      <c r="A228" t="s">
        <v>233</v>
      </c>
      <c r="K228" s="1" t="str">
        <f t="shared" si="6"/>
        <v>2004-05-01</v>
      </c>
      <c r="L228">
        <v>1120.6800539999999</v>
      </c>
      <c r="M228" s="2">
        <f t="shared" si="7"/>
        <v>1.2083450201310297E-2</v>
      </c>
    </row>
    <row r="229" spans="1:13" x14ac:dyDescent="0.25">
      <c r="A229" t="s">
        <v>234</v>
      </c>
      <c r="K229" s="1" t="str">
        <f t="shared" si="6"/>
        <v>2004-06-01</v>
      </c>
      <c r="L229">
        <v>1140.839966</v>
      </c>
      <c r="M229" s="2">
        <f t="shared" si="7"/>
        <v>1.7988998669195677E-2</v>
      </c>
    </row>
    <row r="230" spans="1:13" x14ac:dyDescent="0.25">
      <c r="A230" t="s">
        <v>235</v>
      </c>
      <c r="K230" s="1" t="str">
        <f t="shared" si="6"/>
        <v>2004-07-01</v>
      </c>
      <c r="L230">
        <v>1101.719971</v>
      </c>
      <c r="M230" s="2">
        <f t="shared" si="7"/>
        <v>-3.4290519411904974E-2</v>
      </c>
    </row>
    <row r="231" spans="1:13" x14ac:dyDescent="0.25">
      <c r="A231" t="s">
        <v>236</v>
      </c>
      <c r="K231" s="1" t="str">
        <f t="shared" si="6"/>
        <v>2004-08-01</v>
      </c>
      <c r="L231">
        <v>1104.23999</v>
      </c>
      <c r="M231" s="2">
        <f t="shared" si="7"/>
        <v>2.287349840552233E-3</v>
      </c>
    </row>
    <row r="232" spans="1:13" x14ac:dyDescent="0.25">
      <c r="A232" t="s">
        <v>237</v>
      </c>
      <c r="K232" s="1" t="str">
        <f t="shared" si="6"/>
        <v>2004-09-01</v>
      </c>
      <c r="L232">
        <v>1114.579956</v>
      </c>
      <c r="M232" s="2">
        <f t="shared" si="7"/>
        <v>9.3638756915515042E-3</v>
      </c>
    </row>
    <row r="233" spans="1:13" x14ac:dyDescent="0.25">
      <c r="A233" t="s">
        <v>238</v>
      </c>
      <c r="K233" s="1" t="str">
        <f t="shared" si="6"/>
        <v>2004-10-01</v>
      </c>
      <c r="L233">
        <v>1130.1999510000001</v>
      </c>
      <c r="M233" s="2">
        <f t="shared" si="7"/>
        <v>1.4014243586486952E-2</v>
      </c>
    </row>
    <row r="234" spans="1:13" x14ac:dyDescent="0.25">
      <c r="A234" t="s">
        <v>239</v>
      </c>
      <c r="K234" s="1" t="str">
        <f t="shared" si="6"/>
        <v>2004-11-01</v>
      </c>
      <c r="L234">
        <v>1173.8199460000001</v>
      </c>
      <c r="M234" s="2">
        <f t="shared" si="7"/>
        <v>3.8594936198152352E-2</v>
      </c>
    </row>
    <row r="235" spans="1:13" x14ac:dyDescent="0.25">
      <c r="A235" t="s">
        <v>240</v>
      </c>
      <c r="K235" s="1" t="str">
        <f t="shared" si="6"/>
        <v>2004-12-01</v>
      </c>
      <c r="L235">
        <v>1211.920044</v>
      </c>
      <c r="M235" s="2">
        <f t="shared" si="7"/>
        <v>3.24582131440454E-2</v>
      </c>
    </row>
    <row r="236" spans="1:13" x14ac:dyDescent="0.25">
      <c r="A236" t="s">
        <v>241</v>
      </c>
      <c r="K236" s="1" t="str">
        <f t="shared" si="6"/>
        <v>2005-01-01</v>
      </c>
      <c r="L236">
        <v>1181.2700199999999</v>
      </c>
      <c r="M236" s="2">
        <f t="shared" si="7"/>
        <v>-2.5290467099494562E-2</v>
      </c>
    </row>
    <row r="237" spans="1:13" x14ac:dyDescent="0.25">
      <c r="A237" t="s">
        <v>242</v>
      </c>
      <c r="K237" s="1" t="str">
        <f t="shared" si="6"/>
        <v>2005-02-01</v>
      </c>
      <c r="L237">
        <v>1203.599976</v>
      </c>
      <c r="M237" s="2">
        <f t="shared" si="7"/>
        <v>1.8903346078316563E-2</v>
      </c>
    </row>
    <row r="238" spans="1:13" x14ac:dyDescent="0.25">
      <c r="A238" t="s">
        <v>243</v>
      </c>
      <c r="K238" s="1" t="str">
        <f t="shared" si="6"/>
        <v>2005-03-01</v>
      </c>
      <c r="L238">
        <v>1180.589966</v>
      </c>
      <c r="M238" s="2">
        <f t="shared" si="7"/>
        <v>-1.9117655748441043E-2</v>
      </c>
    </row>
    <row r="239" spans="1:13" x14ac:dyDescent="0.25">
      <c r="A239" t="s">
        <v>244</v>
      </c>
      <c r="K239" s="1" t="str">
        <f t="shared" si="6"/>
        <v>2005-04-01</v>
      </c>
      <c r="L239">
        <v>1156.849976</v>
      </c>
      <c r="M239" s="2">
        <f t="shared" si="7"/>
        <v>-2.0108581881679299E-2</v>
      </c>
    </row>
    <row r="240" spans="1:13" x14ac:dyDescent="0.25">
      <c r="A240" t="s">
        <v>245</v>
      </c>
      <c r="K240" s="1" t="str">
        <f t="shared" si="6"/>
        <v>2005-05-01</v>
      </c>
      <c r="L240">
        <v>1191.5</v>
      </c>
      <c r="M240" s="2">
        <f t="shared" si="7"/>
        <v>2.9952046262565757E-2</v>
      </c>
    </row>
    <row r="241" spans="1:13" x14ac:dyDescent="0.25">
      <c r="A241" t="s">
        <v>246</v>
      </c>
      <c r="K241" s="1" t="str">
        <f t="shared" si="6"/>
        <v>2005-06-01</v>
      </c>
      <c r="L241">
        <v>1191.329956</v>
      </c>
      <c r="M241" s="2">
        <f t="shared" si="7"/>
        <v>-1.427142257658387E-4</v>
      </c>
    </row>
    <row r="242" spans="1:13" x14ac:dyDescent="0.25">
      <c r="A242" t="s">
        <v>247</v>
      </c>
      <c r="K242" s="1" t="str">
        <f t="shared" si="6"/>
        <v>2005-07-01</v>
      </c>
      <c r="L242">
        <v>1234.1800539999999</v>
      </c>
      <c r="M242" s="2">
        <f t="shared" si="7"/>
        <v>3.5968287193812287E-2</v>
      </c>
    </row>
    <row r="243" spans="1:13" x14ac:dyDescent="0.25">
      <c r="A243" t="s">
        <v>248</v>
      </c>
      <c r="K243" s="1" t="str">
        <f t="shared" si="6"/>
        <v>2005-08-01</v>
      </c>
      <c r="L243">
        <v>1220.329956</v>
      </c>
      <c r="M243" s="2">
        <f t="shared" si="7"/>
        <v>-1.1222104874496597E-2</v>
      </c>
    </row>
    <row r="244" spans="1:13" x14ac:dyDescent="0.25">
      <c r="A244" t="s">
        <v>249</v>
      </c>
      <c r="K244" s="1" t="str">
        <f t="shared" si="6"/>
        <v>2005-09-01</v>
      </c>
      <c r="L244">
        <v>1228.8100589999999</v>
      </c>
      <c r="M244" s="2">
        <f t="shared" si="7"/>
        <v>6.9490246947603307E-3</v>
      </c>
    </row>
    <row r="245" spans="1:13" x14ac:dyDescent="0.25">
      <c r="A245" t="s">
        <v>250</v>
      </c>
      <c r="K245" s="1" t="str">
        <f t="shared" si="6"/>
        <v>2005-10-01</v>
      </c>
      <c r="L245">
        <v>1207.01001</v>
      </c>
      <c r="M245" s="2">
        <f t="shared" si="7"/>
        <v>-1.7740780066319406E-2</v>
      </c>
    </row>
    <row r="246" spans="1:13" x14ac:dyDescent="0.25">
      <c r="A246" t="s">
        <v>251</v>
      </c>
      <c r="K246" s="1" t="str">
        <f t="shared" si="6"/>
        <v>2005-11-01</v>
      </c>
      <c r="L246">
        <v>1249.4799800000001</v>
      </c>
      <c r="M246" s="2">
        <f t="shared" si="7"/>
        <v>3.5186095929726546E-2</v>
      </c>
    </row>
    <row r="247" spans="1:13" x14ac:dyDescent="0.25">
      <c r="A247" t="s">
        <v>252</v>
      </c>
      <c r="K247" s="1" t="str">
        <f t="shared" si="6"/>
        <v>2005-12-01</v>
      </c>
      <c r="L247">
        <v>1248.290039</v>
      </c>
      <c r="M247" s="2">
        <f t="shared" si="7"/>
        <v>-9.5234899241847248E-4</v>
      </c>
    </row>
    <row r="248" spans="1:13" x14ac:dyDescent="0.25">
      <c r="A248" t="s">
        <v>253</v>
      </c>
      <c r="K248" s="1" t="str">
        <f t="shared" si="6"/>
        <v>2006-01-01</v>
      </c>
      <c r="L248">
        <v>1280.079956</v>
      </c>
      <c r="M248" s="2">
        <f t="shared" si="7"/>
        <v>2.5466771348641615E-2</v>
      </c>
    </row>
    <row r="249" spans="1:13" x14ac:dyDescent="0.25">
      <c r="A249" t="s">
        <v>254</v>
      </c>
      <c r="K249" s="1" t="str">
        <f t="shared" si="6"/>
        <v>2006-02-01</v>
      </c>
      <c r="L249">
        <v>1280.660034</v>
      </c>
      <c r="M249" s="2">
        <f t="shared" si="7"/>
        <v>4.5315763072539816E-4</v>
      </c>
    </row>
    <row r="250" spans="1:13" x14ac:dyDescent="0.25">
      <c r="A250" t="s">
        <v>255</v>
      </c>
      <c r="K250" s="1" t="str">
        <f t="shared" si="6"/>
        <v>2006-03-01</v>
      </c>
      <c r="L250">
        <v>1294.869995</v>
      </c>
      <c r="M250" s="2">
        <f t="shared" si="7"/>
        <v>1.1095810459249567E-2</v>
      </c>
    </row>
    <row r="251" spans="1:13" x14ac:dyDescent="0.25">
      <c r="A251" t="s">
        <v>256</v>
      </c>
      <c r="K251" s="1" t="str">
        <f t="shared" si="6"/>
        <v>2006-04-01</v>
      </c>
      <c r="L251">
        <v>1310.6099850000001</v>
      </c>
      <c r="M251" s="2">
        <f t="shared" si="7"/>
        <v>1.2155652737941391E-2</v>
      </c>
    </row>
    <row r="252" spans="1:13" x14ac:dyDescent="0.25">
      <c r="A252" t="s">
        <v>257</v>
      </c>
      <c r="K252" s="1" t="str">
        <f t="shared" si="6"/>
        <v>2006-05-01</v>
      </c>
      <c r="L252">
        <v>1270.089966</v>
      </c>
      <c r="M252" s="2">
        <f t="shared" si="7"/>
        <v>-3.0916916141150885E-2</v>
      </c>
    </row>
    <row r="253" spans="1:13" x14ac:dyDescent="0.25">
      <c r="A253" t="s">
        <v>258</v>
      </c>
      <c r="K253" s="1" t="str">
        <f t="shared" si="6"/>
        <v>2006-06-01</v>
      </c>
      <c r="L253">
        <v>1270.1999510000001</v>
      </c>
      <c r="M253" s="2">
        <f t="shared" si="7"/>
        <v>8.6596227782509416E-5</v>
      </c>
    </row>
    <row r="254" spans="1:13" x14ac:dyDescent="0.25">
      <c r="A254" t="s">
        <v>259</v>
      </c>
      <c r="K254" s="1" t="str">
        <f t="shared" si="6"/>
        <v>2006-07-01</v>
      </c>
      <c r="L254">
        <v>1276.660034</v>
      </c>
      <c r="M254" s="2">
        <f t="shared" si="7"/>
        <v>5.0858787979908282E-3</v>
      </c>
    </row>
    <row r="255" spans="1:13" x14ac:dyDescent="0.25">
      <c r="A255" t="s">
        <v>260</v>
      </c>
      <c r="K255" s="1" t="str">
        <f t="shared" si="6"/>
        <v>2006-08-01</v>
      </c>
      <c r="L255">
        <v>1303.8199460000001</v>
      </c>
      <c r="M255" s="2">
        <f t="shared" si="7"/>
        <v>2.1274193032348121E-2</v>
      </c>
    </row>
    <row r="256" spans="1:13" x14ac:dyDescent="0.25">
      <c r="A256" t="s">
        <v>261</v>
      </c>
      <c r="K256" s="1" t="str">
        <f t="shared" si="6"/>
        <v>2006-09-01</v>
      </c>
      <c r="L256">
        <v>1335.849976</v>
      </c>
      <c r="M256" s="2">
        <f t="shared" si="7"/>
        <v>2.4566298512509466E-2</v>
      </c>
    </row>
    <row r="257" spans="1:13" x14ac:dyDescent="0.25">
      <c r="A257" t="s">
        <v>262</v>
      </c>
      <c r="K257" s="1" t="str">
        <f t="shared" si="6"/>
        <v>2006-10-01</v>
      </c>
      <c r="L257">
        <v>1377.9399410000001</v>
      </c>
      <c r="M257" s="2">
        <f t="shared" si="7"/>
        <v>3.1508002961554205E-2</v>
      </c>
    </row>
    <row r="258" spans="1:13" x14ac:dyDescent="0.25">
      <c r="A258" t="s">
        <v>263</v>
      </c>
      <c r="K258" s="1" t="str">
        <f t="shared" si="6"/>
        <v>2006-11-01</v>
      </c>
      <c r="L258">
        <v>1400.630005</v>
      </c>
      <c r="M258" s="2">
        <f t="shared" si="7"/>
        <v>1.6466656727820217E-2</v>
      </c>
    </row>
    <row r="259" spans="1:13" x14ac:dyDescent="0.25">
      <c r="A259" t="s">
        <v>264</v>
      </c>
      <c r="K259" s="1" t="str">
        <f t="shared" ref="K259:K322" si="8">LEFT(A259,10)</f>
        <v>2006-12-01</v>
      </c>
      <c r="L259">
        <v>1418.3000489999999</v>
      </c>
      <c r="M259" s="2">
        <f t="shared" si="7"/>
        <v>1.2615782852659851E-2</v>
      </c>
    </row>
    <row r="260" spans="1:13" x14ac:dyDescent="0.25">
      <c r="A260" t="s">
        <v>265</v>
      </c>
      <c r="K260" s="1" t="str">
        <f t="shared" si="8"/>
        <v>2007-01-01</v>
      </c>
      <c r="L260">
        <v>1438.23999</v>
      </c>
      <c r="M260" s="2">
        <f t="shared" ref="M260:M323" si="9">(L260/L259)-1</f>
        <v>1.4059042735039773E-2</v>
      </c>
    </row>
    <row r="261" spans="1:13" x14ac:dyDescent="0.25">
      <c r="A261" t="s">
        <v>266</v>
      </c>
      <c r="K261" s="1" t="str">
        <f t="shared" si="8"/>
        <v>2007-02-01</v>
      </c>
      <c r="L261">
        <v>1406.8199460000001</v>
      </c>
      <c r="M261" s="2">
        <f t="shared" si="9"/>
        <v>-2.1846176033528231E-2</v>
      </c>
    </row>
    <row r="262" spans="1:13" x14ac:dyDescent="0.25">
      <c r="A262" t="s">
        <v>267</v>
      </c>
      <c r="K262" s="1" t="str">
        <f t="shared" si="8"/>
        <v>2007-03-01</v>
      </c>
      <c r="L262">
        <v>1420.8599850000001</v>
      </c>
      <c r="M262" s="2">
        <f t="shared" si="9"/>
        <v>9.9799828968305526E-3</v>
      </c>
    </row>
    <row r="263" spans="1:13" x14ac:dyDescent="0.25">
      <c r="A263" t="s">
        <v>268</v>
      </c>
      <c r="K263" s="1" t="str">
        <f t="shared" si="8"/>
        <v>2007-04-01</v>
      </c>
      <c r="L263">
        <v>1482.369995</v>
      </c>
      <c r="M263" s="2">
        <f t="shared" si="9"/>
        <v>4.3290690602424187E-2</v>
      </c>
    </row>
    <row r="264" spans="1:13" x14ac:dyDescent="0.25">
      <c r="A264" t="s">
        <v>269</v>
      </c>
      <c r="K264" s="1" t="str">
        <f t="shared" si="8"/>
        <v>2007-05-01</v>
      </c>
      <c r="L264">
        <v>1530.619995</v>
      </c>
      <c r="M264" s="2">
        <f t="shared" si="9"/>
        <v>3.254922870993493E-2</v>
      </c>
    </row>
    <row r="265" spans="1:13" x14ac:dyDescent="0.25">
      <c r="A265" t="s">
        <v>270</v>
      </c>
      <c r="K265" s="1" t="str">
        <f t="shared" si="8"/>
        <v>2007-06-01</v>
      </c>
      <c r="L265">
        <v>1503.349976</v>
      </c>
      <c r="M265" s="2">
        <f t="shared" si="9"/>
        <v>-1.7816322202167556E-2</v>
      </c>
    </row>
    <row r="266" spans="1:13" x14ac:dyDescent="0.25">
      <c r="A266" t="s">
        <v>271</v>
      </c>
      <c r="K266" s="1" t="str">
        <f t="shared" si="8"/>
        <v>2007-07-01</v>
      </c>
      <c r="L266">
        <v>1455.2700199999999</v>
      </c>
      <c r="M266" s="2">
        <f t="shared" si="9"/>
        <v>-3.1981878316802548E-2</v>
      </c>
    </row>
    <row r="267" spans="1:13" x14ac:dyDescent="0.25">
      <c r="A267" t="s">
        <v>272</v>
      </c>
      <c r="K267" s="1" t="str">
        <f t="shared" si="8"/>
        <v>2007-08-01</v>
      </c>
      <c r="L267">
        <v>1473.98999</v>
      </c>
      <c r="M267" s="2">
        <f t="shared" si="9"/>
        <v>1.2863571531556817E-2</v>
      </c>
    </row>
    <row r="268" spans="1:13" x14ac:dyDescent="0.25">
      <c r="A268" t="s">
        <v>273</v>
      </c>
      <c r="K268" s="1" t="str">
        <f t="shared" si="8"/>
        <v>2007-09-01</v>
      </c>
      <c r="L268">
        <v>1526.75</v>
      </c>
      <c r="M268" s="2">
        <f t="shared" si="9"/>
        <v>3.5794008343299488E-2</v>
      </c>
    </row>
    <row r="269" spans="1:13" x14ac:dyDescent="0.25">
      <c r="A269" t="s">
        <v>274</v>
      </c>
      <c r="K269" s="1" t="str">
        <f t="shared" si="8"/>
        <v>2007-10-01</v>
      </c>
      <c r="L269">
        <v>1549.380005</v>
      </c>
      <c r="M269" s="2">
        <f t="shared" si="9"/>
        <v>1.4822338300311211E-2</v>
      </c>
    </row>
    <row r="270" spans="1:13" x14ac:dyDescent="0.25">
      <c r="A270" t="s">
        <v>275</v>
      </c>
      <c r="K270" s="1" t="str">
        <f t="shared" si="8"/>
        <v>2007-11-01</v>
      </c>
      <c r="L270">
        <v>1481.1400149999999</v>
      </c>
      <c r="M270" s="2">
        <f t="shared" si="9"/>
        <v>-4.4043417224814418E-2</v>
      </c>
    </row>
    <row r="271" spans="1:13" x14ac:dyDescent="0.25">
      <c r="A271" t="s">
        <v>276</v>
      </c>
      <c r="K271" s="1" t="str">
        <f t="shared" si="8"/>
        <v>2007-12-01</v>
      </c>
      <c r="L271">
        <v>1468.3599850000001</v>
      </c>
      <c r="M271" s="2">
        <f t="shared" si="9"/>
        <v>-8.6285090339686121E-3</v>
      </c>
    </row>
    <row r="272" spans="1:13" x14ac:dyDescent="0.25">
      <c r="A272" t="s">
        <v>277</v>
      </c>
      <c r="K272" s="1" t="str">
        <f t="shared" si="8"/>
        <v>2008-01-01</v>
      </c>
      <c r="L272">
        <v>1378.5500489999999</v>
      </c>
      <c r="M272" s="2">
        <f t="shared" si="9"/>
        <v>-6.116343193593643E-2</v>
      </c>
    </row>
    <row r="273" spans="1:13" x14ac:dyDescent="0.25">
      <c r="A273" t="s">
        <v>278</v>
      </c>
      <c r="K273" s="1" t="str">
        <f t="shared" si="8"/>
        <v>2008-02-01</v>
      </c>
      <c r="L273">
        <v>1330.630005</v>
      </c>
      <c r="M273" s="2">
        <f t="shared" si="9"/>
        <v>-3.4761192772624461E-2</v>
      </c>
    </row>
    <row r="274" spans="1:13" x14ac:dyDescent="0.25">
      <c r="A274" t="s">
        <v>279</v>
      </c>
      <c r="K274" s="1" t="str">
        <f t="shared" si="8"/>
        <v>2008-03-01</v>
      </c>
      <c r="L274">
        <v>1322.6999510000001</v>
      </c>
      <c r="M274" s="2">
        <f t="shared" si="9"/>
        <v>-5.9596236145298409E-3</v>
      </c>
    </row>
    <row r="275" spans="1:13" x14ac:dyDescent="0.25">
      <c r="A275" t="s">
        <v>280</v>
      </c>
      <c r="K275" s="1" t="str">
        <f t="shared" si="8"/>
        <v>2008-04-01</v>
      </c>
      <c r="L275">
        <v>1385.589966</v>
      </c>
      <c r="M275" s="2">
        <f t="shared" si="9"/>
        <v>4.7546697913198877E-2</v>
      </c>
    </row>
    <row r="276" spans="1:13" x14ac:dyDescent="0.25">
      <c r="A276" t="s">
        <v>281</v>
      </c>
      <c r="K276" s="1" t="str">
        <f t="shared" si="8"/>
        <v>2008-05-01</v>
      </c>
      <c r="L276">
        <v>1400.380005</v>
      </c>
      <c r="M276" s="2">
        <f t="shared" si="9"/>
        <v>1.0674181657577053E-2</v>
      </c>
    </row>
    <row r="277" spans="1:13" x14ac:dyDescent="0.25">
      <c r="A277" t="s">
        <v>282</v>
      </c>
      <c r="K277" s="1" t="str">
        <f t="shared" si="8"/>
        <v>2008-06-01</v>
      </c>
      <c r="L277">
        <v>1280</v>
      </c>
      <c r="M277" s="2">
        <f t="shared" si="9"/>
        <v>-8.5962384902803612E-2</v>
      </c>
    </row>
    <row r="278" spans="1:13" x14ac:dyDescent="0.25">
      <c r="A278" t="s">
        <v>283</v>
      </c>
      <c r="K278" s="1" t="str">
        <f t="shared" si="8"/>
        <v>2008-07-01</v>
      </c>
      <c r="L278">
        <v>1267.380005</v>
      </c>
      <c r="M278" s="2">
        <f t="shared" si="9"/>
        <v>-9.8593710937500134E-3</v>
      </c>
    </row>
    <row r="279" spans="1:13" x14ac:dyDescent="0.25">
      <c r="A279" t="s">
        <v>284</v>
      </c>
      <c r="K279" s="1" t="str">
        <f t="shared" si="8"/>
        <v>2008-08-01</v>
      </c>
      <c r="L279">
        <v>1282.829956</v>
      </c>
      <c r="M279" s="2">
        <f t="shared" si="9"/>
        <v>1.2190464532380041E-2</v>
      </c>
    </row>
    <row r="280" spans="1:13" x14ac:dyDescent="0.25">
      <c r="A280" t="s">
        <v>285</v>
      </c>
      <c r="K280" s="1" t="str">
        <f t="shared" si="8"/>
        <v>2008-09-01</v>
      </c>
      <c r="L280">
        <v>1166.3599850000001</v>
      </c>
      <c r="M280" s="2">
        <f t="shared" si="9"/>
        <v>-9.0791433779084607E-2</v>
      </c>
    </row>
    <row r="281" spans="1:13" x14ac:dyDescent="0.25">
      <c r="A281" t="s">
        <v>286</v>
      </c>
      <c r="K281" s="1" t="str">
        <f t="shared" si="8"/>
        <v>2008-10-01</v>
      </c>
      <c r="L281">
        <v>968.75</v>
      </c>
      <c r="M281" s="2">
        <f t="shared" si="9"/>
        <v>-0.1694245237674199</v>
      </c>
    </row>
    <row r="282" spans="1:13" x14ac:dyDescent="0.25">
      <c r="A282" t="s">
        <v>287</v>
      </c>
      <c r="K282" s="1" t="str">
        <f t="shared" si="8"/>
        <v>2008-11-01</v>
      </c>
      <c r="L282">
        <v>896.23999000000003</v>
      </c>
      <c r="M282" s="2">
        <f t="shared" si="9"/>
        <v>-7.4849042580645175E-2</v>
      </c>
    </row>
    <row r="283" spans="1:13" x14ac:dyDescent="0.25">
      <c r="A283" t="s">
        <v>288</v>
      </c>
      <c r="K283" s="1" t="str">
        <f t="shared" si="8"/>
        <v>2008-12-01</v>
      </c>
      <c r="L283">
        <v>903.25</v>
      </c>
      <c r="M283" s="2">
        <f t="shared" si="9"/>
        <v>7.8215768970539834E-3</v>
      </c>
    </row>
    <row r="284" spans="1:13" x14ac:dyDescent="0.25">
      <c r="A284" t="s">
        <v>289</v>
      </c>
      <c r="K284" s="1" t="str">
        <f t="shared" si="8"/>
        <v>2009-01-01</v>
      </c>
      <c r="L284">
        <v>825.88000499999998</v>
      </c>
      <c r="M284" s="2">
        <f t="shared" si="9"/>
        <v>-8.5657342928314395E-2</v>
      </c>
    </row>
    <row r="285" spans="1:13" x14ac:dyDescent="0.25">
      <c r="A285" t="s">
        <v>290</v>
      </c>
      <c r="K285" s="1" t="str">
        <f t="shared" si="8"/>
        <v>2009-02-01</v>
      </c>
      <c r="L285">
        <v>735.09002699999996</v>
      </c>
      <c r="M285" s="2">
        <f t="shared" si="9"/>
        <v>-0.10993119757149228</v>
      </c>
    </row>
    <row r="286" spans="1:13" x14ac:dyDescent="0.25">
      <c r="A286" t="s">
        <v>291</v>
      </c>
      <c r="K286" s="1" t="str">
        <f t="shared" si="8"/>
        <v>2009-03-01</v>
      </c>
      <c r="L286">
        <v>797.86999500000002</v>
      </c>
      <c r="M286" s="2">
        <f t="shared" si="9"/>
        <v>8.540446162249471E-2</v>
      </c>
    </row>
    <row r="287" spans="1:13" x14ac:dyDescent="0.25">
      <c r="A287" t="s">
        <v>292</v>
      </c>
      <c r="K287" s="1" t="str">
        <f t="shared" si="8"/>
        <v>2009-04-01</v>
      </c>
      <c r="L287">
        <v>872.80999799999995</v>
      </c>
      <c r="M287" s="2">
        <f t="shared" si="9"/>
        <v>9.3925079862164695E-2</v>
      </c>
    </row>
    <row r="288" spans="1:13" x14ac:dyDescent="0.25">
      <c r="A288" t="s">
        <v>293</v>
      </c>
      <c r="K288" s="1" t="str">
        <f t="shared" si="8"/>
        <v>2009-05-01</v>
      </c>
      <c r="L288">
        <v>919.14001499999995</v>
      </c>
      <c r="M288" s="2">
        <f t="shared" si="9"/>
        <v>5.3081446255385467E-2</v>
      </c>
    </row>
    <row r="289" spans="1:13" x14ac:dyDescent="0.25">
      <c r="A289" t="s">
        <v>294</v>
      </c>
      <c r="K289" s="1" t="str">
        <f t="shared" si="8"/>
        <v>2009-06-01</v>
      </c>
      <c r="L289">
        <v>919.32000700000003</v>
      </c>
      <c r="M289" s="2">
        <f t="shared" si="9"/>
        <v>1.9582653030303376E-4</v>
      </c>
    </row>
    <row r="290" spans="1:13" x14ac:dyDescent="0.25">
      <c r="A290" t="s">
        <v>295</v>
      </c>
      <c r="K290" s="1" t="str">
        <f t="shared" si="8"/>
        <v>2009-07-01</v>
      </c>
      <c r="L290">
        <v>987.47997999999995</v>
      </c>
      <c r="M290" s="2">
        <f t="shared" si="9"/>
        <v>7.4141727016716619E-2</v>
      </c>
    </row>
    <row r="291" spans="1:13" x14ac:dyDescent="0.25">
      <c r="A291" t="s">
        <v>296</v>
      </c>
      <c r="K291" s="1" t="str">
        <f t="shared" si="8"/>
        <v>2009-08-01</v>
      </c>
      <c r="L291">
        <v>1020.619995</v>
      </c>
      <c r="M291" s="2">
        <f t="shared" si="9"/>
        <v>3.3560189240494864E-2</v>
      </c>
    </row>
    <row r="292" spans="1:13" x14ac:dyDescent="0.25">
      <c r="A292" t="s">
        <v>297</v>
      </c>
      <c r="K292" s="1" t="str">
        <f t="shared" si="8"/>
        <v>2009-09-01</v>
      </c>
      <c r="L292">
        <v>1057.079956</v>
      </c>
      <c r="M292" s="2">
        <f t="shared" si="9"/>
        <v>3.5723345788458705E-2</v>
      </c>
    </row>
    <row r="293" spans="1:13" x14ac:dyDescent="0.25">
      <c r="A293" t="s">
        <v>298</v>
      </c>
      <c r="K293" s="1" t="str">
        <f t="shared" si="8"/>
        <v>2009-10-01</v>
      </c>
      <c r="L293">
        <v>1036.1899410000001</v>
      </c>
      <c r="M293" s="2">
        <f t="shared" si="9"/>
        <v>-1.9762000860415463E-2</v>
      </c>
    </row>
    <row r="294" spans="1:13" x14ac:dyDescent="0.25">
      <c r="A294" t="s">
        <v>299</v>
      </c>
      <c r="K294" s="1" t="str">
        <f t="shared" si="8"/>
        <v>2009-11-01</v>
      </c>
      <c r="L294">
        <v>1095.630005</v>
      </c>
      <c r="M294" s="2">
        <f t="shared" si="9"/>
        <v>5.736406198137356E-2</v>
      </c>
    </row>
    <row r="295" spans="1:13" x14ac:dyDescent="0.25">
      <c r="A295" t="s">
        <v>300</v>
      </c>
      <c r="K295" s="1" t="str">
        <f t="shared" si="8"/>
        <v>2009-12-01</v>
      </c>
      <c r="L295">
        <v>1115.099976</v>
      </c>
      <c r="M295" s="2">
        <f t="shared" si="9"/>
        <v>1.7770571188400419E-2</v>
      </c>
    </row>
    <row r="296" spans="1:13" x14ac:dyDescent="0.25">
      <c r="A296" t="s">
        <v>301</v>
      </c>
      <c r="K296" s="1" t="str">
        <f t="shared" si="8"/>
        <v>2010-01-01</v>
      </c>
      <c r="L296">
        <v>1073.869995</v>
      </c>
      <c r="M296" s="2">
        <f t="shared" si="9"/>
        <v>-3.6974246154947377E-2</v>
      </c>
    </row>
    <row r="297" spans="1:13" x14ac:dyDescent="0.25">
      <c r="A297" t="s">
        <v>302</v>
      </c>
      <c r="K297" s="1" t="str">
        <f t="shared" si="8"/>
        <v>2010-02-01</v>
      </c>
      <c r="L297">
        <v>1104.48999</v>
      </c>
      <c r="M297" s="2">
        <f t="shared" si="9"/>
        <v>2.8513688940531301E-2</v>
      </c>
    </row>
    <row r="298" spans="1:13" x14ac:dyDescent="0.25">
      <c r="A298" t="s">
        <v>303</v>
      </c>
      <c r="K298" s="1" t="str">
        <f t="shared" si="8"/>
        <v>2010-03-01</v>
      </c>
      <c r="L298">
        <v>1169.4300539999999</v>
      </c>
      <c r="M298" s="2">
        <f t="shared" si="9"/>
        <v>5.8796426031891835E-2</v>
      </c>
    </row>
    <row r="299" spans="1:13" x14ac:dyDescent="0.25">
      <c r="A299" t="s">
        <v>304</v>
      </c>
      <c r="K299" s="1" t="str">
        <f t="shared" si="8"/>
        <v>2010-04-01</v>
      </c>
      <c r="L299">
        <v>1186.6899410000001</v>
      </c>
      <c r="M299" s="2">
        <f t="shared" si="9"/>
        <v>1.4759229883791081E-2</v>
      </c>
    </row>
    <row r="300" spans="1:13" x14ac:dyDescent="0.25">
      <c r="A300" t="s">
        <v>305</v>
      </c>
      <c r="K300" s="1" t="str">
        <f t="shared" si="8"/>
        <v>2010-05-01</v>
      </c>
      <c r="L300">
        <v>1089.410034</v>
      </c>
      <c r="M300" s="2">
        <f t="shared" si="9"/>
        <v>-8.1975841910334468E-2</v>
      </c>
    </row>
    <row r="301" spans="1:13" x14ac:dyDescent="0.25">
      <c r="A301" t="s">
        <v>306</v>
      </c>
      <c r="K301" s="1" t="str">
        <f t="shared" si="8"/>
        <v>2010-06-01</v>
      </c>
      <c r="L301">
        <v>1030.709961</v>
      </c>
      <c r="M301" s="2">
        <f t="shared" si="9"/>
        <v>-5.3882442026415123E-2</v>
      </c>
    </row>
    <row r="302" spans="1:13" x14ac:dyDescent="0.25">
      <c r="A302" t="s">
        <v>307</v>
      </c>
      <c r="K302" s="1" t="str">
        <f t="shared" si="8"/>
        <v>2010-07-01</v>
      </c>
      <c r="L302">
        <v>1101.599976</v>
      </c>
      <c r="M302" s="2">
        <f t="shared" si="9"/>
        <v>6.8777849911552336E-2</v>
      </c>
    </row>
    <row r="303" spans="1:13" x14ac:dyDescent="0.25">
      <c r="A303" t="s">
        <v>308</v>
      </c>
      <c r="K303" s="1" t="str">
        <f t="shared" si="8"/>
        <v>2010-08-01</v>
      </c>
      <c r="L303">
        <v>1049.329956</v>
      </c>
      <c r="M303" s="2">
        <f t="shared" si="9"/>
        <v>-4.7449184040287196E-2</v>
      </c>
    </row>
    <row r="304" spans="1:13" x14ac:dyDescent="0.25">
      <c r="A304" t="s">
        <v>309</v>
      </c>
      <c r="K304" s="1" t="str">
        <f t="shared" si="8"/>
        <v>2010-09-01</v>
      </c>
      <c r="L304">
        <v>1141.1999510000001</v>
      </c>
      <c r="M304" s="2">
        <f t="shared" si="9"/>
        <v>8.7551102944020132E-2</v>
      </c>
    </row>
    <row r="305" spans="1:13" x14ac:dyDescent="0.25">
      <c r="A305" t="s">
        <v>310</v>
      </c>
      <c r="K305" s="1" t="str">
        <f t="shared" si="8"/>
        <v>2010-10-01</v>
      </c>
      <c r="L305">
        <v>1183.26001</v>
      </c>
      <c r="M305" s="2">
        <f t="shared" si="9"/>
        <v>3.6855994397076541E-2</v>
      </c>
    </row>
    <row r="306" spans="1:13" x14ac:dyDescent="0.25">
      <c r="A306" t="s">
        <v>311</v>
      </c>
      <c r="K306" s="1" t="str">
        <f t="shared" si="8"/>
        <v>2010-11-01</v>
      </c>
      <c r="L306">
        <v>1180.5500489999999</v>
      </c>
      <c r="M306" s="2">
        <f t="shared" si="9"/>
        <v>-2.2902497989432113E-3</v>
      </c>
    </row>
    <row r="307" spans="1:13" x14ac:dyDescent="0.25">
      <c r="A307" t="s">
        <v>312</v>
      </c>
      <c r="K307" s="1" t="str">
        <f t="shared" si="8"/>
        <v>2010-12-01</v>
      </c>
      <c r="L307">
        <v>1257.6400149999999</v>
      </c>
      <c r="M307" s="2">
        <f t="shared" si="9"/>
        <v>6.5300040489854716E-2</v>
      </c>
    </row>
    <row r="308" spans="1:13" x14ac:dyDescent="0.25">
      <c r="A308" t="s">
        <v>313</v>
      </c>
      <c r="K308" s="1" t="str">
        <f t="shared" si="8"/>
        <v>2011-01-01</v>
      </c>
      <c r="L308">
        <v>1286.119995</v>
      </c>
      <c r="M308" s="2">
        <f t="shared" si="9"/>
        <v>2.2645573980086819E-2</v>
      </c>
    </row>
    <row r="309" spans="1:13" x14ac:dyDescent="0.25">
      <c r="A309" t="s">
        <v>314</v>
      </c>
      <c r="K309" s="1" t="str">
        <f t="shared" si="8"/>
        <v>2011-02-01</v>
      </c>
      <c r="L309">
        <v>1327.219971</v>
      </c>
      <c r="M309" s="2">
        <f t="shared" si="9"/>
        <v>3.1956564052952219E-2</v>
      </c>
    </row>
    <row r="310" spans="1:13" x14ac:dyDescent="0.25">
      <c r="A310" t="s">
        <v>315</v>
      </c>
      <c r="K310" s="1" t="str">
        <f t="shared" si="8"/>
        <v>2011-03-01</v>
      </c>
      <c r="L310">
        <v>1325.829956</v>
      </c>
      <c r="M310" s="2">
        <f t="shared" si="9"/>
        <v>-1.0473132038185673E-3</v>
      </c>
    </row>
    <row r="311" spans="1:13" x14ac:dyDescent="0.25">
      <c r="A311" t="s">
        <v>316</v>
      </c>
      <c r="K311" s="1" t="str">
        <f t="shared" si="8"/>
        <v>2011-04-01</v>
      </c>
      <c r="L311">
        <v>1363.6099850000001</v>
      </c>
      <c r="M311" s="2">
        <f t="shared" si="9"/>
        <v>2.8495380443795071E-2</v>
      </c>
    </row>
    <row r="312" spans="1:13" x14ac:dyDescent="0.25">
      <c r="A312" t="s">
        <v>317</v>
      </c>
      <c r="K312" s="1" t="str">
        <f t="shared" si="8"/>
        <v>2011-05-01</v>
      </c>
      <c r="L312">
        <v>1345.1999510000001</v>
      </c>
      <c r="M312" s="2">
        <f t="shared" si="9"/>
        <v>-1.3500952766930641E-2</v>
      </c>
    </row>
    <row r="313" spans="1:13" x14ac:dyDescent="0.25">
      <c r="A313" t="s">
        <v>318</v>
      </c>
      <c r="K313" s="1" t="str">
        <f t="shared" si="8"/>
        <v>2011-06-01</v>
      </c>
      <c r="L313">
        <v>1320.6400149999999</v>
      </c>
      <c r="M313" s="2">
        <f t="shared" si="9"/>
        <v>-1.825746126569705E-2</v>
      </c>
    </row>
    <row r="314" spans="1:13" x14ac:dyDescent="0.25">
      <c r="A314" t="s">
        <v>319</v>
      </c>
      <c r="K314" s="1" t="str">
        <f t="shared" si="8"/>
        <v>2011-07-01</v>
      </c>
      <c r="L314">
        <v>1292.280029</v>
      </c>
      <c r="M314" s="2">
        <f t="shared" si="9"/>
        <v>-2.1474425791952023E-2</v>
      </c>
    </row>
    <row r="315" spans="1:13" x14ac:dyDescent="0.25">
      <c r="A315" t="s">
        <v>320</v>
      </c>
      <c r="K315" s="1" t="str">
        <f t="shared" si="8"/>
        <v>2011-08-01</v>
      </c>
      <c r="L315">
        <v>1218.8900149999999</v>
      </c>
      <c r="M315" s="2">
        <f t="shared" si="9"/>
        <v>-5.6791107463597612E-2</v>
      </c>
    </row>
    <row r="316" spans="1:13" x14ac:dyDescent="0.25">
      <c r="A316" t="s">
        <v>321</v>
      </c>
      <c r="K316" s="1" t="str">
        <f t="shared" si="8"/>
        <v>2011-09-01</v>
      </c>
      <c r="L316">
        <v>1131.420044</v>
      </c>
      <c r="M316" s="2">
        <f t="shared" si="9"/>
        <v>-7.1761988303760127E-2</v>
      </c>
    </row>
    <row r="317" spans="1:13" x14ac:dyDescent="0.25">
      <c r="A317" t="s">
        <v>322</v>
      </c>
      <c r="K317" s="1" t="str">
        <f t="shared" si="8"/>
        <v>2011-10-01</v>
      </c>
      <c r="L317">
        <v>1253.3000489999999</v>
      </c>
      <c r="M317" s="2">
        <f t="shared" si="9"/>
        <v>0.10772303853581011</v>
      </c>
    </row>
    <row r="318" spans="1:13" x14ac:dyDescent="0.25">
      <c r="A318" t="s">
        <v>323</v>
      </c>
      <c r="K318" s="1" t="str">
        <f t="shared" si="8"/>
        <v>2011-11-01</v>
      </c>
      <c r="L318">
        <v>1246.959961</v>
      </c>
      <c r="M318" s="2">
        <f t="shared" si="9"/>
        <v>-5.0587151935872487E-3</v>
      </c>
    </row>
    <row r="319" spans="1:13" x14ac:dyDescent="0.25">
      <c r="A319" t="s">
        <v>324</v>
      </c>
      <c r="K319" s="1" t="str">
        <f t="shared" si="8"/>
        <v>2011-12-01</v>
      </c>
      <c r="L319">
        <v>1257.599976</v>
      </c>
      <c r="M319" s="2">
        <f t="shared" si="9"/>
        <v>8.532763948144062E-3</v>
      </c>
    </row>
    <row r="320" spans="1:13" x14ac:dyDescent="0.25">
      <c r="A320" t="s">
        <v>325</v>
      </c>
      <c r="K320" s="1" t="str">
        <f t="shared" si="8"/>
        <v>2012-01-01</v>
      </c>
      <c r="L320">
        <v>1312.410034</v>
      </c>
      <c r="M320" s="2">
        <f t="shared" si="9"/>
        <v>4.3583062218506274E-2</v>
      </c>
    </row>
    <row r="321" spans="1:13" x14ac:dyDescent="0.25">
      <c r="A321" t="s">
        <v>326</v>
      </c>
      <c r="K321" s="1" t="str">
        <f t="shared" si="8"/>
        <v>2012-02-01</v>
      </c>
      <c r="L321">
        <v>1365.6800539999999</v>
      </c>
      <c r="M321" s="2">
        <f t="shared" si="9"/>
        <v>4.0589464130841746E-2</v>
      </c>
    </row>
    <row r="322" spans="1:13" x14ac:dyDescent="0.25">
      <c r="A322" t="s">
        <v>327</v>
      </c>
      <c r="K322" s="1" t="str">
        <f t="shared" si="8"/>
        <v>2012-03-01</v>
      </c>
      <c r="L322">
        <v>1408.469971</v>
      </c>
      <c r="M322" s="2">
        <f t="shared" si="9"/>
        <v>3.1332314530530647E-2</v>
      </c>
    </row>
    <row r="323" spans="1:13" x14ac:dyDescent="0.25">
      <c r="A323" t="s">
        <v>328</v>
      </c>
      <c r="K323" s="1" t="str">
        <f t="shared" ref="K323:K386" si="10">LEFT(A323,10)</f>
        <v>2012-04-01</v>
      </c>
      <c r="L323">
        <v>1397.910034</v>
      </c>
      <c r="M323" s="2">
        <f t="shared" si="9"/>
        <v>-7.4974527092703802E-3</v>
      </c>
    </row>
    <row r="324" spans="1:13" x14ac:dyDescent="0.25">
      <c r="A324" t="s">
        <v>329</v>
      </c>
      <c r="K324" s="1" t="str">
        <f t="shared" si="10"/>
        <v>2012-05-01</v>
      </c>
      <c r="L324">
        <v>1310.329956</v>
      </c>
      <c r="M324" s="2">
        <f t="shared" ref="M324:M387" si="11">(L324/L323)-1</f>
        <v>-6.265072563317764E-2</v>
      </c>
    </row>
    <row r="325" spans="1:13" x14ac:dyDescent="0.25">
      <c r="A325" t="s">
        <v>330</v>
      </c>
      <c r="K325" s="1" t="str">
        <f t="shared" si="10"/>
        <v>2012-06-01</v>
      </c>
      <c r="L325">
        <v>1362.160034</v>
      </c>
      <c r="M325" s="2">
        <f t="shared" si="11"/>
        <v>3.9554982134591521E-2</v>
      </c>
    </row>
    <row r="326" spans="1:13" x14ac:dyDescent="0.25">
      <c r="A326" t="s">
        <v>331</v>
      </c>
      <c r="K326" s="1" t="str">
        <f t="shared" si="10"/>
        <v>2012-07-01</v>
      </c>
      <c r="L326">
        <v>1379.3199460000001</v>
      </c>
      <c r="M326" s="2">
        <f t="shared" si="11"/>
        <v>1.2597574126154365E-2</v>
      </c>
    </row>
    <row r="327" spans="1:13" x14ac:dyDescent="0.25">
      <c r="A327" t="s">
        <v>332</v>
      </c>
      <c r="K327" s="1" t="str">
        <f t="shared" si="10"/>
        <v>2012-08-01</v>
      </c>
      <c r="L327">
        <v>1406.579956</v>
      </c>
      <c r="M327" s="2">
        <f t="shared" si="11"/>
        <v>1.9763369680148246E-2</v>
      </c>
    </row>
    <row r="328" spans="1:13" x14ac:dyDescent="0.25">
      <c r="A328" t="s">
        <v>333</v>
      </c>
      <c r="K328" s="1" t="str">
        <f t="shared" si="10"/>
        <v>2012-09-01</v>
      </c>
      <c r="L328">
        <v>1440.670044</v>
      </c>
      <c r="M328" s="2">
        <f t="shared" si="11"/>
        <v>2.4236153696477025E-2</v>
      </c>
    </row>
    <row r="329" spans="1:13" x14ac:dyDescent="0.25">
      <c r="A329" t="s">
        <v>334</v>
      </c>
      <c r="K329" s="1" t="str">
        <f t="shared" si="10"/>
        <v>2012-10-01</v>
      </c>
      <c r="L329">
        <v>1412.160034</v>
      </c>
      <c r="M329" s="2">
        <f t="shared" si="11"/>
        <v>-1.9789409878227415E-2</v>
      </c>
    </row>
    <row r="330" spans="1:13" x14ac:dyDescent="0.25">
      <c r="A330" t="s">
        <v>335</v>
      </c>
      <c r="K330" s="1" t="str">
        <f t="shared" si="10"/>
        <v>2012-11-01</v>
      </c>
      <c r="L330">
        <v>1416.1800539999999</v>
      </c>
      <c r="M330" s="2">
        <f t="shared" si="11"/>
        <v>2.8467170173434031E-3</v>
      </c>
    </row>
    <row r="331" spans="1:13" x14ac:dyDescent="0.25">
      <c r="A331" t="s">
        <v>336</v>
      </c>
      <c r="K331" s="1" t="str">
        <f t="shared" si="10"/>
        <v>2012-12-01</v>
      </c>
      <c r="L331">
        <v>1426.1899410000001</v>
      </c>
      <c r="M331" s="2">
        <f t="shared" si="11"/>
        <v>7.068230463864511E-3</v>
      </c>
    </row>
    <row r="332" spans="1:13" x14ac:dyDescent="0.25">
      <c r="A332" t="s">
        <v>337</v>
      </c>
      <c r="K332" s="1" t="str">
        <f t="shared" si="10"/>
        <v>2013-01-01</v>
      </c>
      <c r="L332">
        <v>1498.1099850000001</v>
      </c>
      <c r="M332" s="2">
        <f t="shared" si="11"/>
        <v>5.0428096519578469E-2</v>
      </c>
    </row>
    <row r="333" spans="1:13" x14ac:dyDescent="0.25">
      <c r="A333" t="s">
        <v>338</v>
      </c>
      <c r="K333" s="1" t="str">
        <f t="shared" si="10"/>
        <v>2013-02-01</v>
      </c>
      <c r="L333">
        <v>1514.6800539999999</v>
      </c>
      <c r="M333" s="2">
        <f t="shared" si="11"/>
        <v>1.1060649195259176E-2</v>
      </c>
    </row>
    <row r="334" spans="1:13" x14ac:dyDescent="0.25">
      <c r="A334" t="s">
        <v>339</v>
      </c>
      <c r="K334" s="1" t="str">
        <f t="shared" si="10"/>
        <v>2013-03-01</v>
      </c>
      <c r="L334">
        <v>1569.1899410000001</v>
      </c>
      <c r="M334" s="2">
        <f t="shared" si="11"/>
        <v>3.5987723516956116E-2</v>
      </c>
    </row>
    <row r="335" spans="1:13" x14ac:dyDescent="0.25">
      <c r="A335" t="s">
        <v>340</v>
      </c>
      <c r="K335" s="1" t="str">
        <f t="shared" si="10"/>
        <v>2013-04-01</v>
      </c>
      <c r="L335">
        <v>1597.5699460000001</v>
      </c>
      <c r="M335" s="2">
        <f t="shared" si="11"/>
        <v>1.8085767859252311E-2</v>
      </c>
    </row>
    <row r="336" spans="1:13" x14ac:dyDescent="0.25">
      <c r="A336" t="s">
        <v>341</v>
      </c>
      <c r="K336" s="1" t="str">
        <f t="shared" si="10"/>
        <v>2013-05-01</v>
      </c>
      <c r="L336">
        <v>1630.73999</v>
      </c>
      <c r="M336" s="2">
        <f t="shared" si="11"/>
        <v>2.0762811721046104E-2</v>
      </c>
    </row>
    <row r="337" spans="1:13" x14ac:dyDescent="0.25">
      <c r="A337" t="s">
        <v>342</v>
      </c>
      <c r="K337" s="1" t="str">
        <f t="shared" si="10"/>
        <v>2013-06-01</v>
      </c>
      <c r="L337">
        <v>1606.280029</v>
      </c>
      <c r="M337" s="2">
        <f t="shared" si="11"/>
        <v>-1.4999301636062778E-2</v>
      </c>
    </row>
    <row r="338" spans="1:13" x14ac:dyDescent="0.25">
      <c r="A338" t="s">
        <v>343</v>
      </c>
      <c r="K338" s="1" t="str">
        <f t="shared" si="10"/>
        <v>2013-07-01</v>
      </c>
      <c r="L338">
        <v>1685.7299800000001</v>
      </c>
      <c r="M338" s="2">
        <f t="shared" si="11"/>
        <v>4.9462079815224991E-2</v>
      </c>
    </row>
    <row r="339" spans="1:13" x14ac:dyDescent="0.25">
      <c r="A339" t="s">
        <v>344</v>
      </c>
      <c r="K339" s="1" t="str">
        <f t="shared" si="10"/>
        <v>2013-08-01</v>
      </c>
      <c r="L339">
        <v>1632.969971</v>
      </c>
      <c r="M339" s="2">
        <f t="shared" si="11"/>
        <v>-3.1298019033866864E-2</v>
      </c>
    </row>
    <row r="340" spans="1:13" x14ac:dyDescent="0.25">
      <c r="A340" t="s">
        <v>345</v>
      </c>
      <c r="K340" s="1" t="str">
        <f t="shared" si="10"/>
        <v>2013-09-01</v>
      </c>
      <c r="L340">
        <v>1681.5500489999999</v>
      </c>
      <c r="M340" s="2">
        <f t="shared" si="11"/>
        <v>2.9749523177239112E-2</v>
      </c>
    </row>
    <row r="341" spans="1:13" x14ac:dyDescent="0.25">
      <c r="A341" t="s">
        <v>346</v>
      </c>
      <c r="K341" s="1" t="str">
        <f t="shared" si="10"/>
        <v>2013-10-01</v>
      </c>
      <c r="L341">
        <v>1756.540039</v>
      </c>
      <c r="M341" s="2">
        <f t="shared" si="11"/>
        <v>4.4595752618006079E-2</v>
      </c>
    </row>
    <row r="342" spans="1:13" x14ac:dyDescent="0.25">
      <c r="A342" t="s">
        <v>347</v>
      </c>
      <c r="K342" s="1" t="str">
        <f t="shared" si="10"/>
        <v>2013-11-01</v>
      </c>
      <c r="L342">
        <v>1805.8100589999999</v>
      </c>
      <c r="M342" s="2">
        <f t="shared" si="11"/>
        <v>2.8049471635186451E-2</v>
      </c>
    </row>
    <row r="343" spans="1:13" x14ac:dyDescent="0.25">
      <c r="A343" t="s">
        <v>348</v>
      </c>
      <c r="K343" s="1" t="str">
        <f t="shared" si="10"/>
        <v>2013-12-01</v>
      </c>
      <c r="L343">
        <v>1848.3599850000001</v>
      </c>
      <c r="M343" s="2">
        <f t="shared" si="11"/>
        <v>2.356279155049279E-2</v>
      </c>
    </row>
    <row r="344" spans="1:13" x14ac:dyDescent="0.25">
      <c r="A344" t="s">
        <v>349</v>
      </c>
      <c r="K344" s="1" t="str">
        <f t="shared" si="10"/>
        <v>2014-01-01</v>
      </c>
      <c r="L344">
        <v>1782.589966</v>
      </c>
      <c r="M344" s="2">
        <f t="shared" si="11"/>
        <v>-3.5582905675162646E-2</v>
      </c>
    </row>
    <row r="345" spans="1:13" x14ac:dyDescent="0.25">
      <c r="A345" t="s">
        <v>350</v>
      </c>
      <c r="K345" s="1" t="str">
        <f t="shared" si="10"/>
        <v>2014-02-01</v>
      </c>
      <c r="L345">
        <v>1859.4499510000001</v>
      </c>
      <c r="M345" s="2">
        <f t="shared" si="11"/>
        <v>4.3117029976595278E-2</v>
      </c>
    </row>
    <row r="346" spans="1:13" x14ac:dyDescent="0.25">
      <c r="A346" t="s">
        <v>351</v>
      </c>
      <c r="K346" s="1" t="str">
        <f t="shared" si="10"/>
        <v>2014-03-01</v>
      </c>
      <c r="L346">
        <v>1872.339966</v>
      </c>
      <c r="M346" s="2">
        <f t="shared" si="11"/>
        <v>6.9321656079357474E-3</v>
      </c>
    </row>
    <row r="347" spans="1:13" x14ac:dyDescent="0.25">
      <c r="A347" t="s">
        <v>352</v>
      </c>
      <c r="K347" s="1" t="str">
        <f t="shared" si="10"/>
        <v>2014-04-01</v>
      </c>
      <c r="L347">
        <v>1883.9499510000001</v>
      </c>
      <c r="M347" s="2">
        <f t="shared" si="11"/>
        <v>6.2007889650528281E-3</v>
      </c>
    </row>
    <row r="348" spans="1:13" x14ac:dyDescent="0.25">
      <c r="A348" t="s">
        <v>353</v>
      </c>
      <c r="K348" s="1" t="str">
        <f t="shared" si="10"/>
        <v>2014-05-01</v>
      </c>
      <c r="L348">
        <v>1923.5699460000001</v>
      </c>
      <c r="M348" s="2">
        <f t="shared" si="11"/>
        <v>2.1030280012996005E-2</v>
      </c>
    </row>
    <row r="349" spans="1:13" x14ac:dyDescent="0.25">
      <c r="A349" t="s">
        <v>354</v>
      </c>
      <c r="K349" s="1" t="str">
        <f t="shared" si="10"/>
        <v>2014-06-01</v>
      </c>
      <c r="L349">
        <v>1960.2299800000001</v>
      </c>
      <c r="M349" s="2">
        <f t="shared" si="11"/>
        <v>1.9058331658920569E-2</v>
      </c>
    </row>
    <row r="350" spans="1:13" x14ac:dyDescent="0.25">
      <c r="A350" t="s">
        <v>355</v>
      </c>
      <c r="K350" s="1" t="str">
        <f t="shared" si="10"/>
        <v>2014-07-01</v>
      </c>
      <c r="L350">
        <v>1930.670044</v>
      </c>
      <c r="M350" s="2">
        <f t="shared" si="11"/>
        <v>-1.5079830581919862E-2</v>
      </c>
    </row>
    <row r="351" spans="1:13" x14ac:dyDescent="0.25">
      <c r="A351" t="s">
        <v>356</v>
      </c>
      <c r="K351" s="1" t="str">
        <f t="shared" si="10"/>
        <v>2014-08-01</v>
      </c>
      <c r="L351">
        <v>2003.369995</v>
      </c>
      <c r="M351" s="2">
        <f t="shared" si="11"/>
        <v>3.7655295489735119E-2</v>
      </c>
    </row>
    <row r="352" spans="1:13" x14ac:dyDescent="0.25">
      <c r="A352" t="s">
        <v>357</v>
      </c>
      <c r="K352" s="1" t="str">
        <f t="shared" si="10"/>
        <v>2014-09-01</v>
      </c>
      <c r="L352">
        <v>1972.290039</v>
      </c>
      <c r="M352" s="2">
        <f t="shared" si="11"/>
        <v>-1.5513837223063764E-2</v>
      </c>
    </row>
    <row r="353" spans="1:13" x14ac:dyDescent="0.25">
      <c r="A353" t="s">
        <v>358</v>
      </c>
      <c r="K353" s="1" t="str">
        <f t="shared" si="10"/>
        <v>2014-10-01</v>
      </c>
      <c r="L353">
        <v>2018.0500489999999</v>
      </c>
      <c r="M353" s="2">
        <f t="shared" si="11"/>
        <v>2.3201460786772321E-2</v>
      </c>
    </row>
    <row r="354" spans="1:13" x14ac:dyDescent="0.25">
      <c r="A354" t="s">
        <v>359</v>
      </c>
      <c r="K354" s="1" t="str">
        <f t="shared" si="10"/>
        <v>2014-11-01</v>
      </c>
      <c r="L354">
        <v>2067.5600589999999</v>
      </c>
      <c r="M354" s="2">
        <f t="shared" si="11"/>
        <v>2.4533588760364822E-2</v>
      </c>
    </row>
    <row r="355" spans="1:13" x14ac:dyDescent="0.25">
      <c r="A355" t="s">
        <v>360</v>
      </c>
      <c r="K355" s="1" t="str">
        <f t="shared" si="10"/>
        <v>2014-12-01</v>
      </c>
      <c r="L355">
        <v>2058.8999020000001</v>
      </c>
      <c r="M355" s="2">
        <f t="shared" si="11"/>
        <v>-4.1885878779204244E-3</v>
      </c>
    </row>
    <row r="356" spans="1:13" x14ac:dyDescent="0.25">
      <c r="A356" t="s">
        <v>361</v>
      </c>
      <c r="K356" s="1" t="str">
        <f t="shared" si="10"/>
        <v>2015-01-01</v>
      </c>
      <c r="L356">
        <v>1994.98999</v>
      </c>
      <c r="M356" s="2">
        <f t="shared" si="11"/>
        <v>-3.1040805790470194E-2</v>
      </c>
    </row>
    <row r="357" spans="1:13" x14ac:dyDescent="0.25">
      <c r="A357" t="s">
        <v>362</v>
      </c>
      <c r="K357" s="1" t="str">
        <f t="shared" si="10"/>
        <v>2015-02-01</v>
      </c>
      <c r="L357">
        <v>2104.5</v>
      </c>
      <c r="M357" s="2">
        <f t="shared" si="11"/>
        <v>5.4892511014553946E-2</v>
      </c>
    </row>
    <row r="358" spans="1:13" x14ac:dyDescent="0.25">
      <c r="A358" t="s">
        <v>363</v>
      </c>
      <c r="K358" s="1" t="str">
        <f t="shared" si="10"/>
        <v>2015-03-01</v>
      </c>
      <c r="L358">
        <v>2067.889893</v>
      </c>
      <c r="M358" s="2">
        <f t="shared" si="11"/>
        <v>-1.739610691375626E-2</v>
      </c>
    </row>
    <row r="359" spans="1:13" x14ac:dyDescent="0.25">
      <c r="A359" t="s">
        <v>364</v>
      </c>
      <c r="K359" s="1" t="str">
        <f t="shared" si="10"/>
        <v>2015-04-01</v>
      </c>
      <c r="L359">
        <v>2085.51001</v>
      </c>
      <c r="M359" s="2">
        <f t="shared" si="11"/>
        <v>8.5208197301247512E-3</v>
      </c>
    </row>
    <row r="360" spans="1:13" x14ac:dyDescent="0.25">
      <c r="A360" t="s">
        <v>365</v>
      </c>
      <c r="K360" s="1" t="str">
        <f t="shared" si="10"/>
        <v>2015-05-01</v>
      </c>
      <c r="L360">
        <v>2107.389893</v>
      </c>
      <c r="M360" s="2">
        <f t="shared" si="11"/>
        <v>1.0491382393316817E-2</v>
      </c>
    </row>
    <row r="361" spans="1:13" x14ac:dyDescent="0.25">
      <c r="A361" t="s">
        <v>366</v>
      </c>
      <c r="K361" s="1" t="str">
        <f t="shared" si="10"/>
        <v>2015-06-01</v>
      </c>
      <c r="L361">
        <v>2063.110107</v>
      </c>
      <c r="M361" s="2">
        <f t="shared" si="11"/>
        <v>-2.1011672375900514E-2</v>
      </c>
    </row>
    <row r="362" spans="1:13" x14ac:dyDescent="0.25">
      <c r="A362" t="s">
        <v>367</v>
      </c>
      <c r="K362" s="1" t="str">
        <f t="shared" si="10"/>
        <v>2015-07-01</v>
      </c>
      <c r="L362">
        <v>2103.8400879999999</v>
      </c>
      <c r="M362" s="2">
        <f t="shared" si="11"/>
        <v>1.9742029696721453E-2</v>
      </c>
    </row>
    <row r="363" spans="1:13" x14ac:dyDescent="0.25">
      <c r="A363" t="s">
        <v>368</v>
      </c>
      <c r="K363" s="1" t="str">
        <f t="shared" si="10"/>
        <v>2015-08-01</v>
      </c>
      <c r="L363">
        <v>1972.1800539999999</v>
      </c>
      <c r="M363" s="2">
        <f t="shared" si="11"/>
        <v>-6.2580818167202845E-2</v>
      </c>
    </row>
    <row r="364" spans="1:13" x14ac:dyDescent="0.25">
      <c r="A364" t="s">
        <v>369</v>
      </c>
      <c r="K364" s="1" t="str">
        <f t="shared" si="10"/>
        <v>2015-09-01</v>
      </c>
      <c r="L364">
        <v>1920.030029</v>
      </c>
      <c r="M364" s="2">
        <f t="shared" si="11"/>
        <v>-2.6442831573227132E-2</v>
      </c>
    </row>
    <row r="365" spans="1:13" x14ac:dyDescent="0.25">
      <c r="A365" t="s">
        <v>370</v>
      </c>
      <c r="K365" s="1" t="str">
        <f t="shared" si="10"/>
        <v>2015-10-01</v>
      </c>
      <c r="L365">
        <v>2079.360107</v>
      </c>
      <c r="M365" s="2">
        <f t="shared" si="11"/>
        <v>8.2983117760394132E-2</v>
      </c>
    </row>
    <row r="366" spans="1:13" x14ac:dyDescent="0.25">
      <c r="A366" t="s">
        <v>371</v>
      </c>
      <c r="K366" s="1" t="str">
        <f t="shared" si="10"/>
        <v>2015-11-01</v>
      </c>
      <c r="L366">
        <v>2080.4099120000001</v>
      </c>
      <c r="M366" s="2">
        <f t="shared" si="11"/>
        <v>5.0486926072412786E-4</v>
      </c>
    </row>
    <row r="367" spans="1:13" x14ac:dyDescent="0.25">
      <c r="A367" t="s">
        <v>372</v>
      </c>
      <c r="K367" s="1" t="str">
        <f t="shared" si="10"/>
        <v>2015-12-01</v>
      </c>
      <c r="L367">
        <v>2043.9399410000001</v>
      </c>
      <c r="M367" s="2">
        <f t="shared" si="11"/>
        <v>-1.7530185176314439E-2</v>
      </c>
    </row>
    <row r="368" spans="1:13" x14ac:dyDescent="0.25">
      <c r="A368" t="s">
        <v>373</v>
      </c>
      <c r="K368" s="1" t="str">
        <f t="shared" si="10"/>
        <v>2016-01-01</v>
      </c>
      <c r="L368">
        <v>1940.23999</v>
      </c>
      <c r="M368" s="2">
        <f t="shared" si="11"/>
        <v>-5.073532197294639E-2</v>
      </c>
    </row>
    <row r="369" spans="1:13" x14ac:dyDescent="0.25">
      <c r="A369" t="s">
        <v>374</v>
      </c>
      <c r="K369" s="1" t="str">
        <f t="shared" si="10"/>
        <v>2016-02-01</v>
      </c>
      <c r="L369">
        <v>1932.2299800000001</v>
      </c>
      <c r="M369" s="2">
        <f t="shared" si="11"/>
        <v>-4.1283604302990717E-3</v>
      </c>
    </row>
    <row r="370" spans="1:13" x14ac:dyDescent="0.25">
      <c r="A370" t="s">
        <v>375</v>
      </c>
      <c r="K370" s="1" t="str">
        <f t="shared" si="10"/>
        <v>2016-03-01</v>
      </c>
      <c r="L370">
        <v>2059.73999</v>
      </c>
      <c r="M370" s="2">
        <f t="shared" si="11"/>
        <v>6.5991114577365062E-2</v>
      </c>
    </row>
    <row r="371" spans="1:13" x14ac:dyDescent="0.25">
      <c r="A371" t="s">
        <v>376</v>
      </c>
      <c r="K371" s="1" t="str">
        <f t="shared" si="10"/>
        <v>2016-04-01</v>
      </c>
      <c r="L371">
        <v>2065.3000489999999</v>
      </c>
      <c r="M371" s="2">
        <f t="shared" si="11"/>
        <v>2.6993984808731941E-3</v>
      </c>
    </row>
    <row r="372" spans="1:13" x14ac:dyDescent="0.25">
      <c r="A372" t="s">
        <v>377</v>
      </c>
      <c r="K372" s="1" t="str">
        <f t="shared" si="10"/>
        <v>2016-05-01</v>
      </c>
      <c r="L372">
        <v>2096.9499510000001</v>
      </c>
      <c r="M372" s="2">
        <f t="shared" si="11"/>
        <v>1.5324602357572603E-2</v>
      </c>
    </row>
    <row r="373" spans="1:13" x14ac:dyDescent="0.25">
      <c r="A373" t="s">
        <v>378</v>
      </c>
      <c r="K373" s="1" t="str">
        <f t="shared" si="10"/>
        <v>2016-06-01</v>
      </c>
      <c r="L373">
        <v>2098.860107</v>
      </c>
      <c r="M373" s="2">
        <f t="shared" si="11"/>
        <v>9.1092112097812539E-4</v>
      </c>
    </row>
    <row r="374" spans="1:13" x14ac:dyDescent="0.25">
      <c r="A374" t="s">
        <v>379</v>
      </c>
      <c r="K374" s="1" t="str">
        <f t="shared" si="10"/>
        <v>2016-07-01</v>
      </c>
      <c r="L374">
        <v>2173.6000979999999</v>
      </c>
      <c r="M374" s="2">
        <f t="shared" si="11"/>
        <v>3.5609801125254359E-2</v>
      </c>
    </row>
    <row r="375" spans="1:13" x14ac:dyDescent="0.25">
      <c r="A375" t="s">
        <v>380</v>
      </c>
      <c r="K375" s="1" t="str">
        <f t="shared" si="10"/>
        <v>2016-08-01</v>
      </c>
      <c r="L375">
        <v>2170.9499510000001</v>
      </c>
      <c r="M375" s="2">
        <f t="shared" si="11"/>
        <v>-1.2192431360480427E-3</v>
      </c>
    </row>
    <row r="376" spans="1:13" x14ac:dyDescent="0.25">
      <c r="A376" t="s">
        <v>381</v>
      </c>
      <c r="K376" s="1" t="str">
        <f t="shared" si="10"/>
        <v>2016-09-01</v>
      </c>
      <c r="L376">
        <v>2168.2700199999999</v>
      </c>
      <c r="M376" s="2">
        <f t="shared" si="11"/>
        <v>-1.2344508443253854E-3</v>
      </c>
    </row>
    <row r="377" spans="1:13" x14ac:dyDescent="0.25">
      <c r="A377" t="s">
        <v>382</v>
      </c>
      <c r="K377" s="1" t="str">
        <f t="shared" si="10"/>
        <v>2016-10-01</v>
      </c>
      <c r="L377">
        <v>2126.1499020000001</v>
      </c>
      <c r="M377" s="2">
        <f t="shared" si="11"/>
        <v>-1.9425679279557517E-2</v>
      </c>
    </row>
    <row r="378" spans="1:13" x14ac:dyDescent="0.25">
      <c r="A378" t="s">
        <v>383</v>
      </c>
      <c r="K378" s="1" t="str">
        <f t="shared" si="10"/>
        <v>2016-11-01</v>
      </c>
      <c r="L378">
        <v>2198.8100589999999</v>
      </c>
      <c r="M378" s="2">
        <f t="shared" si="11"/>
        <v>3.4174522187570444E-2</v>
      </c>
    </row>
    <row r="379" spans="1:13" x14ac:dyDescent="0.25">
      <c r="A379" t="s">
        <v>384</v>
      </c>
      <c r="K379" s="1" t="str">
        <f t="shared" si="10"/>
        <v>2016-12-01</v>
      </c>
      <c r="L379">
        <v>2238.830078</v>
      </c>
      <c r="M379" s="2">
        <f t="shared" si="11"/>
        <v>1.8200762196895148E-2</v>
      </c>
    </row>
    <row r="380" spans="1:13" x14ac:dyDescent="0.25">
      <c r="A380" t="s">
        <v>385</v>
      </c>
      <c r="K380" s="1" t="str">
        <f t="shared" si="10"/>
        <v>2017-01-01</v>
      </c>
      <c r="L380">
        <v>2278.8701169999999</v>
      </c>
      <c r="M380" s="2">
        <f t="shared" si="11"/>
        <v>1.7884358171464498E-2</v>
      </c>
    </row>
    <row r="381" spans="1:13" x14ac:dyDescent="0.25">
      <c r="A381" t="s">
        <v>386</v>
      </c>
      <c r="K381" s="1" t="str">
        <f t="shared" si="10"/>
        <v>2017-02-01</v>
      </c>
      <c r="L381">
        <v>2363.639893</v>
      </c>
      <c r="M381" s="2">
        <f t="shared" si="11"/>
        <v>3.7198160337279074E-2</v>
      </c>
    </row>
    <row r="382" spans="1:13" x14ac:dyDescent="0.25">
      <c r="A382" t="s">
        <v>387</v>
      </c>
      <c r="K382" s="1" t="str">
        <f t="shared" si="10"/>
        <v>2017-03-01</v>
      </c>
      <c r="L382">
        <v>2362.719971</v>
      </c>
      <c r="M382" s="2">
        <f t="shared" si="11"/>
        <v>-3.8919718808450021E-4</v>
      </c>
    </row>
    <row r="383" spans="1:13" x14ac:dyDescent="0.25">
      <c r="A383" t="s">
        <v>388</v>
      </c>
      <c r="K383" s="1" t="str">
        <f t="shared" si="10"/>
        <v>2017-04-01</v>
      </c>
      <c r="L383">
        <v>2384.1999510000001</v>
      </c>
      <c r="M383" s="2">
        <f t="shared" si="11"/>
        <v>9.0912085493182193E-3</v>
      </c>
    </row>
    <row r="384" spans="1:13" x14ac:dyDescent="0.25">
      <c r="A384" t="s">
        <v>389</v>
      </c>
      <c r="K384" s="1" t="str">
        <f t="shared" si="10"/>
        <v>2017-05-01</v>
      </c>
      <c r="L384">
        <v>2411.8000489999999</v>
      </c>
      <c r="M384" s="2">
        <f t="shared" si="11"/>
        <v>1.157625139134133E-2</v>
      </c>
    </row>
    <row r="385" spans="1:13" x14ac:dyDescent="0.25">
      <c r="A385" t="s">
        <v>390</v>
      </c>
      <c r="K385" s="1" t="str">
        <f t="shared" si="10"/>
        <v>2017-06-01</v>
      </c>
      <c r="L385">
        <v>2423.4099120000001</v>
      </c>
      <c r="M385" s="2">
        <f t="shared" si="11"/>
        <v>4.8137750908554544E-3</v>
      </c>
    </row>
    <row r="386" spans="1:13" x14ac:dyDescent="0.25">
      <c r="A386" t="s">
        <v>391</v>
      </c>
      <c r="K386" s="1" t="str">
        <f t="shared" si="10"/>
        <v>2017-07-01</v>
      </c>
      <c r="L386">
        <v>2470.3000489999999</v>
      </c>
      <c r="M386" s="2">
        <f t="shared" si="11"/>
        <v>1.9348826118030571E-2</v>
      </c>
    </row>
    <row r="387" spans="1:13" x14ac:dyDescent="0.25">
      <c r="A387" t="s">
        <v>392</v>
      </c>
      <c r="K387" s="1" t="str">
        <f t="shared" ref="K387:K422" si="12">LEFT(A387,10)</f>
        <v>2017-08-01</v>
      </c>
      <c r="L387">
        <v>2471.6499020000001</v>
      </c>
      <c r="M387" s="2">
        <f t="shared" si="11"/>
        <v>5.4643281108557318E-4</v>
      </c>
    </row>
    <row r="388" spans="1:13" x14ac:dyDescent="0.25">
      <c r="A388" t="s">
        <v>393</v>
      </c>
      <c r="K388" s="1" t="str">
        <f t="shared" si="12"/>
        <v>2017-09-01</v>
      </c>
      <c r="L388">
        <v>2519.360107</v>
      </c>
      <c r="M388" s="2">
        <f t="shared" ref="M388:M422" si="13">(L388/L387)-1</f>
        <v>1.9302978533243698E-2</v>
      </c>
    </row>
    <row r="389" spans="1:13" x14ac:dyDescent="0.25">
      <c r="A389" t="s">
        <v>394</v>
      </c>
      <c r="K389" s="1" t="str">
        <f t="shared" si="12"/>
        <v>2017-10-01</v>
      </c>
      <c r="L389">
        <v>2575.26001</v>
      </c>
      <c r="M389" s="2">
        <f t="shared" si="13"/>
        <v>2.218813533034969E-2</v>
      </c>
    </row>
    <row r="390" spans="1:13" x14ac:dyDescent="0.25">
      <c r="A390" t="s">
        <v>395</v>
      </c>
      <c r="K390" s="1" t="str">
        <f t="shared" si="12"/>
        <v>2017-11-01</v>
      </c>
      <c r="L390">
        <v>2584.8400879999999</v>
      </c>
      <c r="M390" s="2">
        <f t="shared" si="13"/>
        <v>3.7200430103365711E-3</v>
      </c>
    </row>
    <row r="391" spans="1:13" x14ac:dyDescent="0.25">
      <c r="A391" t="s">
        <v>396</v>
      </c>
      <c r="K391" s="1" t="str">
        <f t="shared" si="12"/>
        <v>2017-12-01</v>
      </c>
      <c r="L391">
        <v>2673.610107</v>
      </c>
      <c r="M391" s="2">
        <f t="shared" si="13"/>
        <v>3.4342557364422932E-2</v>
      </c>
    </row>
    <row r="392" spans="1:13" x14ac:dyDescent="0.25">
      <c r="A392" t="s">
        <v>397</v>
      </c>
      <c r="K392" s="1" t="str">
        <f t="shared" si="12"/>
        <v>2018-01-01</v>
      </c>
      <c r="L392">
        <v>2823.8100589999999</v>
      </c>
      <c r="M392" s="2">
        <f t="shared" si="13"/>
        <v>5.6178704444133087E-2</v>
      </c>
    </row>
    <row r="393" spans="1:13" x14ac:dyDescent="0.25">
      <c r="A393" t="s">
        <v>398</v>
      </c>
      <c r="K393" s="1" t="str">
        <f t="shared" si="12"/>
        <v>2018-02-01</v>
      </c>
      <c r="L393">
        <v>2713.830078</v>
      </c>
      <c r="M393" s="2">
        <f t="shared" si="13"/>
        <v>-3.8947372061896912E-2</v>
      </c>
    </row>
    <row r="394" spans="1:13" x14ac:dyDescent="0.25">
      <c r="A394" t="s">
        <v>399</v>
      </c>
      <c r="K394" s="1" t="str">
        <f t="shared" si="12"/>
        <v>2018-03-01</v>
      </c>
      <c r="L394">
        <v>2640.8701169999999</v>
      </c>
      <c r="M394" s="2">
        <f t="shared" si="13"/>
        <v>-2.6884498624825115E-2</v>
      </c>
    </row>
    <row r="395" spans="1:13" x14ac:dyDescent="0.25">
      <c r="A395" t="s">
        <v>400</v>
      </c>
      <c r="K395" s="1" t="str">
        <f t="shared" si="12"/>
        <v>2018-04-01</v>
      </c>
      <c r="L395">
        <v>2648.0500489999999</v>
      </c>
      <c r="M395" s="2">
        <f t="shared" si="13"/>
        <v>2.718775131643536E-3</v>
      </c>
    </row>
    <row r="396" spans="1:13" x14ac:dyDescent="0.25">
      <c r="A396" t="s">
        <v>401</v>
      </c>
      <c r="K396" s="1" t="str">
        <f t="shared" si="12"/>
        <v>2018-05-01</v>
      </c>
      <c r="L396">
        <v>2705.2700199999999</v>
      </c>
      <c r="M396" s="2">
        <f t="shared" si="13"/>
        <v>2.1608341965291933E-2</v>
      </c>
    </row>
    <row r="397" spans="1:13" x14ac:dyDescent="0.25">
      <c r="A397" t="s">
        <v>402</v>
      </c>
      <c r="K397" s="1" t="str">
        <f t="shared" si="12"/>
        <v>2018-06-01</v>
      </c>
      <c r="L397">
        <v>2718.3701169999999</v>
      </c>
      <c r="M397" s="2">
        <f t="shared" si="13"/>
        <v>4.8424360241865472E-3</v>
      </c>
    </row>
    <row r="398" spans="1:13" x14ac:dyDescent="0.25">
      <c r="A398" t="s">
        <v>403</v>
      </c>
      <c r="K398" s="1" t="str">
        <f t="shared" si="12"/>
        <v>2018-07-01</v>
      </c>
      <c r="L398">
        <v>2816.290039</v>
      </c>
      <c r="M398" s="2">
        <f t="shared" si="13"/>
        <v>3.6021556221367268E-2</v>
      </c>
    </row>
    <row r="399" spans="1:13" x14ac:dyDescent="0.25">
      <c r="A399" t="s">
        <v>404</v>
      </c>
      <c r="K399" s="1" t="str">
        <f t="shared" si="12"/>
        <v>2018-08-01</v>
      </c>
      <c r="L399">
        <v>2901.5200199999999</v>
      </c>
      <c r="M399" s="2">
        <f t="shared" si="13"/>
        <v>3.0263211466054596E-2</v>
      </c>
    </row>
    <row r="400" spans="1:13" x14ac:dyDescent="0.25">
      <c r="A400" t="s">
        <v>405</v>
      </c>
      <c r="K400" s="1" t="str">
        <f t="shared" si="12"/>
        <v>2018-09-01</v>
      </c>
      <c r="L400">
        <v>2913.9799800000001</v>
      </c>
      <c r="M400" s="2">
        <f t="shared" si="13"/>
        <v>4.2942871026614426E-3</v>
      </c>
    </row>
    <row r="401" spans="1:13" x14ac:dyDescent="0.25">
      <c r="A401" t="s">
        <v>406</v>
      </c>
      <c r="K401" s="1" t="str">
        <f t="shared" si="12"/>
        <v>2018-10-01</v>
      </c>
      <c r="L401">
        <v>2711.73999</v>
      </c>
      <c r="M401" s="2">
        <f t="shared" si="13"/>
        <v>-6.9403356024429486E-2</v>
      </c>
    </row>
    <row r="402" spans="1:13" x14ac:dyDescent="0.25">
      <c r="A402" t="s">
        <v>407</v>
      </c>
      <c r="K402" s="1" t="str">
        <f t="shared" si="12"/>
        <v>2018-11-01</v>
      </c>
      <c r="L402">
        <v>2760.169922</v>
      </c>
      <c r="M402" s="2">
        <f t="shared" si="13"/>
        <v>1.7859356788848979E-2</v>
      </c>
    </row>
    <row r="403" spans="1:13" x14ac:dyDescent="0.25">
      <c r="A403" t="s">
        <v>408</v>
      </c>
      <c r="K403" s="1" t="str">
        <f t="shared" si="12"/>
        <v>2018-12-01</v>
      </c>
      <c r="L403">
        <v>2506.8500979999999</v>
      </c>
      <c r="M403" s="2">
        <f t="shared" si="13"/>
        <v>-9.1776894596563907E-2</v>
      </c>
    </row>
    <row r="404" spans="1:13" x14ac:dyDescent="0.25">
      <c r="A404" t="s">
        <v>409</v>
      </c>
      <c r="K404" s="1" t="str">
        <f t="shared" si="12"/>
        <v>2019-01-01</v>
      </c>
      <c r="L404">
        <v>2704.1000979999999</v>
      </c>
      <c r="M404" s="2">
        <f t="shared" si="13"/>
        <v>7.8684401655036762E-2</v>
      </c>
    </row>
    <row r="405" spans="1:13" x14ac:dyDescent="0.25">
      <c r="A405" t="s">
        <v>410</v>
      </c>
      <c r="K405" s="1" t="str">
        <f t="shared" si="12"/>
        <v>2019-02-01</v>
      </c>
      <c r="L405">
        <v>2784.48999</v>
      </c>
      <c r="M405" s="2">
        <f t="shared" si="13"/>
        <v>2.9728889126352298E-2</v>
      </c>
    </row>
    <row r="406" spans="1:13" x14ac:dyDescent="0.25">
      <c r="A406" t="s">
        <v>411</v>
      </c>
      <c r="K406" s="1" t="str">
        <f t="shared" si="12"/>
        <v>2019-03-01</v>
      </c>
      <c r="L406">
        <v>2834.3999020000001</v>
      </c>
      <c r="M406" s="2">
        <f t="shared" si="13"/>
        <v>1.7924256211817147E-2</v>
      </c>
    </row>
    <row r="407" spans="1:13" x14ac:dyDescent="0.25">
      <c r="A407" t="s">
        <v>412</v>
      </c>
      <c r="K407" s="1" t="str">
        <f t="shared" si="12"/>
        <v>2019-04-01</v>
      </c>
      <c r="L407">
        <v>2945.830078</v>
      </c>
      <c r="M407" s="2">
        <f t="shared" si="13"/>
        <v>3.9313498395682656E-2</v>
      </c>
    </row>
    <row r="408" spans="1:13" x14ac:dyDescent="0.25">
      <c r="A408" t="s">
        <v>413</v>
      </c>
      <c r="K408" s="1" t="str">
        <f t="shared" si="12"/>
        <v>2019-05-01</v>
      </c>
      <c r="L408">
        <v>2752.0600589999999</v>
      </c>
      <c r="M408" s="2">
        <f t="shared" si="13"/>
        <v>-6.577773118928687E-2</v>
      </c>
    </row>
    <row r="409" spans="1:13" x14ac:dyDescent="0.25">
      <c r="A409" t="s">
        <v>414</v>
      </c>
      <c r="K409" s="1" t="str">
        <f t="shared" si="12"/>
        <v>2019-06-01</v>
      </c>
      <c r="L409">
        <v>2941.76001</v>
      </c>
      <c r="M409" s="2">
        <f t="shared" si="13"/>
        <v>6.8930163925612131E-2</v>
      </c>
    </row>
    <row r="410" spans="1:13" x14ac:dyDescent="0.25">
      <c r="A410" t="s">
        <v>415</v>
      </c>
      <c r="K410" s="1" t="str">
        <f t="shared" si="12"/>
        <v>2019-07-01</v>
      </c>
      <c r="L410">
        <v>2980.3798830000001</v>
      </c>
      <c r="M410" s="2">
        <f t="shared" si="13"/>
        <v>1.3128152149977756E-2</v>
      </c>
    </row>
    <row r="411" spans="1:13" x14ac:dyDescent="0.25">
      <c r="A411" t="s">
        <v>416</v>
      </c>
      <c r="K411" s="1" t="str">
        <f t="shared" si="12"/>
        <v>2019-08-01</v>
      </c>
      <c r="L411">
        <v>2926.459961</v>
      </c>
      <c r="M411" s="2">
        <f t="shared" si="13"/>
        <v>-1.8091627281326739E-2</v>
      </c>
    </row>
    <row r="412" spans="1:13" x14ac:dyDescent="0.25">
      <c r="A412" t="s">
        <v>417</v>
      </c>
      <c r="K412" s="1" t="str">
        <f t="shared" si="12"/>
        <v>2019-09-01</v>
      </c>
      <c r="L412">
        <v>2976.73999</v>
      </c>
      <c r="M412" s="2">
        <f t="shared" si="13"/>
        <v>1.7181177829208583E-2</v>
      </c>
    </row>
    <row r="413" spans="1:13" x14ac:dyDescent="0.25">
      <c r="A413" t="s">
        <v>418</v>
      </c>
      <c r="K413" s="1" t="str">
        <f t="shared" si="12"/>
        <v>2019-10-01</v>
      </c>
      <c r="L413">
        <v>3037.5600589999999</v>
      </c>
      <c r="M413" s="2">
        <f t="shared" si="13"/>
        <v>2.0431770730503063E-2</v>
      </c>
    </row>
    <row r="414" spans="1:13" x14ac:dyDescent="0.25">
      <c r="A414" t="s">
        <v>419</v>
      </c>
      <c r="K414" s="1" t="str">
        <f t="shared" si="12"/>
        <v>2019-11-01</v>
      </c>
      <c r="L414">
        <v>3140.9799800000001</v>
      </c>
      <c r="M414" s="2">
        <f t="shared" si="13"/>
        <v>3.4047037421886195E-2</v>
      </c>
    </row>
    <row r="415" spans="1:13" x14ac:dyDescent="0.25">
      <c r="A415" t="s">
        <v>420</v>
      </c>
      <c r="K415" s="1" t="str">
        <f t="shared" si="12"/>
        <v>2019-12-01</v>
      </c>
      <c r="L415">
        <v>3230.780029</v>
      </c>
      <c r="M415" s="2">
        <f t="shared" si="13"/>
        <v>2.8589818964716907E-2</v>
      </c>
    </row>
    <row r="416" spans="1:13" x14ac:dyDescent="0.25">
      <c r="A416" t="s">
        <v>421</v>
      </c>
      <c r="K416" s="1" t="str">
        <f t="shared" si="12"/>
        <v>2020-01-01</v>
      </c>
      <c r="L416">
        <v>3225.5200199999999</v>
      </c>
      <c r="M416" s="2">
        <f t="shared" si="13"/>
        <v>-1.6280925822201864E-3</v>
      </c>
    </row>
    <row r="417" spans="1:13" x14ac:dyDescent="0.25">
      <c r="A417" t="s">
        <v>422</v>
      </c>
      <c r="K417" s="1" t="str">
        <f t="shared" si="12"/>
        <v>2020-02-01</v>
      </c>
      <c r="L417">
        <v>2954.219971</v>
      </c>
      <c r="M417" s="2">
        <f t="shared" si="13"/>
        <v>-8.411048367946572E-2</v>
      </c>
    </row>
    <row r="418" spans="1:13" x14ac:dyDescent="0.25">
      <c r="A418" t="s">
        <v>423</v>
      </c>
      <c r="K418" s="1" t="str">
        <f t="shared" si="12"/>
        <v>2020-03-01</v>
      </c>
      <c r="L418">
        <v>2584.5900879999999</v>
      </c>
      <c r="M418" s="2">
        <f t="shared" si="13"/>
        <v>-0.12511928245982329</v>
      </c>
    </row>
    <row r="419" spans="1:13" x14ac:dyDescent="0.25">
      <c r="A419" t="s">
        <v>424</v>
      </c>
      <c r="K419" s="1" t="str">
        <f t="shared" si="12"/>
        <v>2020-04-01</v>
      </c>
      <c r="L419">
        <v>2912.429932</v>
      </c>
      <c r="M419" s="2">
        <f t="shared" si="13"/>
        <v>0.12684403825663826</v>
      </c>
    </row>
    <row r="420" spans="1:13" x14ac:dyDescent="0.25">
      <c r="A420" t="s">
        <v>425</v>
      </c>
      <c r="K420" s="1" t="str">
        <f t="shared" si="12"/>
        <v>2020-05-01</v>
      </c>
      <c r="L420">
        <v>3044.3100589999999</v>
      </c>
      <c r="M420" s="2">
        <f t="shared" si="13"/>
        <v>4.5281819676065593E-2</v>
      </c>
    </row>
    <row r="421" spans="1:13" x14ac:dyDescent="0.25">
      <c r="A421" t="s">
        <v>426</v>
      </c>
      <c r="K421" s="1" t="str">
        <f t="shared" si="12"/>
        <v>2020-06-01</v>
      </c>
      <c r="L421">
        <v>3100.290039</v>
      </c>
      <c r="M421" s="2">
        <f t="shared" si="13"/>
        <v>1.8388396357494674E-2</v>
      </c>
    </row>
    <row r="422" spans="1:13" x14ac:dyDescent="0.25">
      <c r="A422" t="s">
        <v>847</v>
      </c>
      <c r="K422" s="1" t="str">
        <f t="shared" si="12"/>
        <v>2020-07-01</v>
      </c>
      <c r="L422">
        <v>3271.1201169999999</v>
      </c>
      <c r="M422" s="2">
        <f t="shared" si="13"/>
        <v>5.5101321441235696E-2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tabColor theme="8" tint="0.79998168889431442"/>
  </sheetPr>
  <dimension ref="A1:D13"/>
  <sheetViews>
    <sheetView workbookViewId="0">
      <selection activeCell="D10" sqref="D10"/>
    </sheetView>
  </sheetViews>
  <sheetFormatPr defaultColWidth="8.85546875" defaultRowHeight="15" x14ac:dyDescent="0.25"/>
  <cols>
    <col min="1" max="1" width="8.85546875" style="3"/>
    <col min="2" max="2" width="16.5703125" style="3" customWidth="1"/>
    <col min="3" max="3" width="18.85546875" style="3" bestFit="1" customWidth="1"/>
    <col min="4" max="4" width="12.42578125" style="3" bestFit="1" customWidth="1"/>
    <col min="5" max="16384" width="8.85546875" style="3"/>
  </cols>
  <sheetData>
    <row r="1" spans="1:4" ht="15.75" thickBot="1" x14ac:dyDescent="0.3">
      <c r="A1" s="43" t="str">
        <f>_xlfn.CONCAT("If you invest ",ROUND(D5,0)," ",D10," for ",ROUND(D4/12,1), " years on the ", C12," index. By the time of expected retirement, you accumulate ",ROUND(-D6,0)," ",D10,". This fortune enable you to withdraw ",ROUND(D9,0)," ",D10," every month for ",ROUND(D8,0)," months, i.e. ",ROUND(D8/12,1)," years.")</f>
        <v>If you invest 392 USD for 34 years on the Nasdaq index. By the time of expected retirement, you accumulate 36806 USD. This fortune enable you to withdraw 1295 USD every month for 25 months, i.e. 2,1 years.</v>
      </c>
    </row>
    <row r="2" spans="1:4" x14ac:dyDescent="0.25">
      <c r="B2" s="66" t="s">
        <v>859</v>
      </c>
      <c r="C2" s="67"/>
      <c r="D2" s="68"/>
    </row>
    <row r="3" spans="1:4" x14ac:dyDescent="0.25">
      <c r="B3" s="30" t="s">
        <v>853</v>
      </c>
      <c r="C3" s="21"/>
      <c r="D3" s="22"/>
    </row>
    <row r="4" spans="1:4" x14ac:dyDescent="0.25">
      <c r="B4" s="30"/>
      <c r="C4" s="21" t="s">
        <v>854</v>
      </c>
      <c r="D4" s="39">
        <v>408</v>
      </c>
    </row>
    <row r="5" spans="1:4" x14ac:dyDescent="0.25">
      <c r="B5" s="30"/>
      <c r="C5" s="21" t="s">
        <v>855</v>
      </c>
      <c r="D5" s="40">
        <f>PMT(D12,D4,D6)</f>
        <v>392.2190371706518</v>
      </c>
    </row>
    <row r="6" spans="1:4" x14ac:dyDescent="0.25">
      <c r="B6" s="30"/>
      <c r="C6" s="21" t="s">
        <v>856</v>
      </c>
      <c r="D6" s="38">
        <f>FV(D12,D8,D9)</f>
        <v>-36805.515965881306</v>
      </c>
    </row>
    <row r="7" spans="1:4" x14ac:dyDescent="0.25">
      <c r="B7" s="30" t="s">
        <v>857</v>
      </c>
      <c r="C7" s="21"/>
      <c r="D7" s="39"/>
    </row>
    <row r="8" spans="1:4" x14ac:dyDescent="0.25">
      <c r="B8" s="30"/>
      <c r="C8" s="21" t="s">
        <v>854</v>
      </c>
      <c r="D8" s="38">
        <v>25</v>
      </c>
    </row>
    <row r="9" spans="1:4" x14ac:dyDescent="0.25">
      <c r="B9" s="30"/>
      <c r="C9" s="21" t="s">
        <v>858</v>
      </c>
      <c r="D9" s="38">
        <v>1295</v>
      </c>
    </row>
    <row r="10" spans="1:4" x14ac:dyDescent="0.25">
      <c r="B10" s="30" t="s">
        <v>1304</v>
      </c>
      <c r="C10" s="21"/>
      <c r="D10" s="41" t="s">
        <v>1305</v>
      </c>
    </row>
    <row r="11" spans="1:4" x14ac:dyDescent="0.25">
      <c r="B11" s="30" t="s">
        <v>862</v>
      </c>
      <c r="C11" s="21"/>
      <c r="D11" s="22"/>
    </row>
    <row r="12" spans="1:4" ht="15.75" thickBot="1" x14ac:dyDescent="0.3">
      <c r="B12" s="31"/>
      <c r="C12" s="32" t="s">
        <v>881</v>
      </c>
      <c r="D12" s="42">
        <v>1.0506689637164033E-2</v>
      </c>
    </row>
    <row r="13" spans="1:4" x14ac:dyDescent="0.25">
      <c r="D13" s="37"/>
    </row>
  </sheetData>
  <mergeCells count="1">
    <mergeCell ref="B2:D2"/>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tabColor theme="8" tint="0.59999389629810485"/>
  </sheetPr>
  <dimension ref="A1:M422"/>
  <sheetViews>
    <sheetView workbookViewId="0">
      <selection activeCell="D10" sqref="D10"/>
    </sheetView>
  </sheetViews>
  <sheetFormatPr defaultColWidth="8.85546875" defaultRowHeight="15" x14ac:dyDescent="0.25"/>
  <cols>
    <col min="1" max="1" width="8.85546875" style="3"/>
    <col min="2" max="2" width="15.7109375" style="3" customWidth="1"/>
    <col min="3" max="3" width="18.85546875" style="3" bestFit="1" customWidth="1"/>
    <col min="4" max="4" width="14.28515625" style="3" bestFit="1" customWidth="1"/>
    <col min="5" max="16384" width="8.85546875" style="3"/>
  </cols>
  <sheetData>
    <row r="1" spans="1:13" ht="15.75" thickBot="1" x14ac:dyDescent="0.3">
      <c r="A1" s="43" t="str">
        <f>_xlfn.CONCAT("If you invest ",D5," ",D10," for ",ROUND(D4/12,1), " years on the ", C12," index. By the time of expected retirement, you accumulate ",ROUND(-D6,0)," ",D10,". This fortune enable you to withdraw ",ROUND(D9,0)," ",D10," every month for ",ROUND(D8,0)," months, i.e. ",ROUND(D8/12,1)," years.")</f>
        <v>If you invest 494 EUR for 30 years on the DJI index. By the time of expected retirement, you accumulate 1054003 EUR. This fortune enable you to withdraw 1122 EUR every month for 267 months, i.e. 22,3 years.</v>
      </c>
    </row>
    <row r="2" spans="1:13" x14ac:dyDescent="0.25">
      <c r="B2" s="66" t="s">
        <v>860</v>
      </c>
      <c r="C2" s="67"/>
      <c r="D2" s="68"/>
    </row>
    <row r="3" spans="1:13" x14ac:dyDescent="0.25">
      <c r="B3" s="30" t="s">
        <v>853</v>
      </c>
      <c r="C3" s="21"/>
      <c r="D3" s="22"/>
      <c r="M3" s="35"/>
    </row>
    <row r="4" spans="1:13" x14ac:dyDescent="0.25">
      <c r="B4" s="30"/>
      <c r="C4" s="21" t="s">
        <v>854</v>
      </c>
      <c r="D4" s="39">
        <v>360</v>
      </c>
      <c r="M4" s="35"/>
    </row>
    <row r="5" spans="1:13" x14ac:dyDescent="0.25">
      <c r="B5" s="30"/>
      <c r="C5" s="21" t="s">
        <v>855</v>
      </c>
      <c r="D5" s="39">
        <v>494</v>
      </c>
      <c r="M5" s="35"/>
    </row>
    <row r="6" spans="1:13" x14ac:dyDescent="0.25">
      <c r="B6" s="30"/>
      <c r="C6" s="21" t="s">
        <v>856</v>
      </c>
      <c r="D6" s="38">
        <f>FV(D12,D4,D5,,1)</f>
        <v>-1054002.7364464784</v>
      </c>
      <c r="M6" s="35"/>
    </row>
    <row r="7" spans="1:13" x14ac:dyDescent="0.25">
      <c r="B7" s="30" t="s">
        <v>857</v>
      </c>
      <c r="C7" s="21"/>
      <c r="D7" s="39"/>
      <c r="M7" s="35"/>
    </row>
    <row r="8" spans="1:13" x14ac:dyDescent="0.25">
      <c r="B8" s="30"/>
      <c r="C8" s="21" t="s">
        <v>854</v>
      </c>
      <c r="D8" s="40">
        <f>-NPER(D12,D9,-D6)</f>
        <v>267.33193269508575</v>
      </c>
      <c r="M8" s="35"/>
    </row>
    <row r="9" spans="1:13" x14ac:dyDescent="0.25">
      <c r="B9" s="30"/>
      <c r="C9" s="21" t="s">
        <v>858</v>
      </c>
      <c r="D9" s="38">
        <v>1122</v>
      </c>
      <c r="M9" s="35"/>
    </row>
    <row r="10" spans="1:13" x14ac:dyDescent="0.25">
      <c r="B10" s="30" t="s">
        <v>1304</v>
      </c>
      <c r="C10" s="21"/>
      <c r="D10" s="41" t="s">
        <v>1306</v>
      </c>
      <c r="M10" s="35"/>
    </row>
    <row r="11" spans="1:13" x14ac:dyDescent="0.25">
      <c r="B11" s="30" t="s">
        <v>4</v>
      </c>
      <c r="C11" s="21"/>
      <c r="D11" s="22"/>
      <c r="M11" s="35"/>
    </row>
    <row r="12" spans="1:13" ht="15.75" thickBot="1" x14ac:dyDescent="0.3">
      <c r="B12" s="31"/>
      <c r="C12" s="32" t="s">
        <v>850</v>
      </c>
      <c r="D12" s="42">
        <v>8.0753412546213238E-3</v>
      </c>
      <c r="M12" s="35"/>
    </row>
    <row r="13" spans="1:13" x14ac:dyDescent="0.25">
      <c r="D13" s="37"/>
      <c r="M13" s="35"/>
    </row>
    <row r="14" spans="1:13" x14ac:dyDescent="0.25">
      <c r="M14" s="35"/>
    </row>
    <row r="15" spans="1:13" x14ac:dyDescent="0.25">
      <c r="M15" s="35"/>
    </row>
    <row r="16" spans="1:13" x14ac:dyDescent="0.25">
      <c r="M16" s="35"/>
    </row>
    <row r="17" spans="13:13" x14ac:dyDescent="0.25">
      <c r="M17" s="35"/>
    </row>
    <row r="18" spans="13:13" x14ac:dyDescent="0.25">
      <c r="M18" s="35"/>
    </row>
    <row r="19" spans="13:13" x14ac:dyDescent="0.25">
      <c r="M19" s="35"/>
    </row>
    <row r="20" spans="13:13" x14ac:dyDescent="0.25">
      <c r="M20" s="35"/>
    </row>
    <row r="21" spans="13:13" x14ac:dyDescent="0.25">
      <c r="M21" s="35"/>
    </row>
    <row r="22" spans="13:13" x14ac:dyDescent="0.25">
      <c r="M22" s="35"/>
    </row>
    <row r="23" spans="13:13" x14ac:dyDescent="0.25">
      <c r="M23" s="35"/>
    </row>
    <row r="24" spans="13:13" x14ac:dyDescent="0.25">
      <c r="M24" s="35"/>
    </row>
    <row r="25" spans="13:13" x14ac:dyDescent="0.25">
      <c r="M25" s="35"/>
    </row>
    <row r="26" spans="13:13" x14ac:dyDescent="0.25">
      <c r="M26" s="35"/>
    </row>
    <row r="27" spans="13:13" x14ac:dyDescent="0.25">
      <c r="M27" s="35"/>
    </row>
    <row r="28" spans="13:13" x14ac:dyDescent="0.25">
      <c r="M28" s="35"/>
    </row>
    <row r="29" spans="13:13" x14ac:dyDescent="0.25">
      <c r="M29" s="35"/>
    </row>
    <row r="30" spans="13:13" x14ac:dyDescent="0.25">
      <c r="M30" s="35"/>
    </row>
    <row r="31" spans="13:13" x14ac:dyDescent="0.25">
      <c r="M31" s="35"/>
    </row>
    <row r="32" spans="13:13" x14ac:dyDescent="0.25">
      <c r="M32" s="35"/>
    </row>
    <row r="33" spans="13:13" x14ac:dyDescent="0.25">
      <c r="M33" s="35"/>
    </row>
    <row r="34" spans="13:13" x14ac:dyDescent="0.25">
      <c r="M34" s="35"/>
    </row>
    <row r="35" spans="13:13" x14ac:dyDescent="0.25">
      <c r="M35" s="35"/>
    </row>
    <row r="36" spans="13:13" x14ac:dyDescent="0.25">
      <c r="M36" s="35"/>
    </row>
    <row r="37" spans="13:13" x14ac:dyDescent="0.25">
      <c r="M37" s="35"/>
    </row>
    <row r="38" spans="13:13" x14ac:dyDescent="0.25">
      <c r="M38" s="35"/>
    </row>
    <row r="39" spans="13:13" x14ac:dyDescent="0.25">
      <c r="M39" s="35"/>
    </row>
    <row r="40" spans="13:13" x14ac:dyDescent="0.25">
      <c r="M40" s="35"/>
    </row>
    <row r="41" spans="13:13" x14ac:dyDescent="0.25">
      <c r="M41" s="35"/>
    </row>
    <row r="42" spans="13:13" x14ac:dyDescent="0.25">
      <c r="M42" s="35"/>
    </row>
    <row r="43" spans="13:13" x14ac:dyDescent="0.25">
      <c r="M43" s="35"/>
    </row>
    <row r="44" spans="13:13" x14ac:dyDescent="0.25">
      <c r="M44" s="35"/>
    </row>
    <row r="45" spans="13:13" x14ac:dyDescent="0.25">
      <c r="M45" s="35"/>
    </row>
    <row r="46" spans="13:13" x14ac:dyDescent="0.25">
      <c r="M46" s="35"/>
    </row>
    <row r="47" spans="13:13" x14ac:dyDescent="0.25">
      <c r="M47" s="35"/>
    </row>
    <row r="48" spans="13:13" x14ac:dyDescent="0.25">
      <c r="M48" s="35"/>
    </row>
    <row r="49" spans="13:13" x14ac:dyDescent="0.25">
      <c r="M49" s="35"/>
    </row>
    <row r="50" spans="13:13" x14ac:dyDescent="0.25">
      <c r="M50" s="35"/>
    </row>
    <row r="51" spans="13:13" x14ac:dyDescent="0.25">
      <c r="M51" s="35"/>
    </row>
    <row r="52" spans="13:13" x14ac:dyDescent="0.25">
      <c r="M52" s="35"/>
    </row>
    <row r="53" spans="13:13" x14ac:dyDescent="0.25">
      <c r="M53" s="35"/>
    </row>
    <row r="54" spans="13:13" x14ac:dyDescent="0.25">
      <c r="M54" s="35"/>
    </row>
    <row r="55" spans="13:13" x14ac:dyDescent="0.25">
      <c r="M55" s="35"/>
    </row>
    <row r="56" spans="13:13" x14ac:dyDescent="0.25">
      <c r="M56" s="35"/>
    </row>
    <row r="57" spans="13:13" x14ac:dyDescent="0.25">
      <c r="M57" s="35"/>
    </row>
    <row r="58" spans="13:13" x14ac:dyDescent="0.25">
      <c r="M58" s="35"/>
    </row>
    <row r="59" spans="13:13" x14ac:dyDescent="0.25">
      <c r="M59" s="35"/>
    </row>
    <row r="60" spans="13:13" x14ac:dyDescent="0.25">
      <c r="M60" s="35"/>
    </row>
    <row r="61" spans="13:13" x14ac:dyDescent="0.25">
      <c r="M61" s="35"/>
    </row>
    <row r="62" spans="13:13" x14ac:dyDescent="0.25">
      <c r="M62" s="35"/>
    </row>
    <row r="63" spans="13:13" x14ac:dyDescent="0.25">
      <c r="M63" s="35"/>
    </row>
    <row r="64" spans="13:13" x14ac:dyDescent="0.25">
      <c r="M64" s="35"/>
    </row>
    <row r="65" spans="13:13" x14ac:dyDescent="0.25">
      <c r="M65" s="35"/>
    </row>
    <row r="66" spans="13:13" x14ac:dyDescent="0.25">
      <c r="M66" s="35"/>
    </row>
    <row r="67" spans="13:13" x14ac:dyDescent="0.25">
      <c r="M67" s="35"/>
    </row>
    <row r="68" spans="13:13" x14ac:dyDescent="0.25">
      <c r="M68" s="35"/>
    </row>
    <row r="69" spans="13:13" x14ac:dyDescent="0.25">
      <c r="M69" s="35"/>
    </row>
    <row r="70" spans="13:13" x14ac:dyDescent="0.25">
      <c r="M70" s="35"/>
    </row>
    <row r="71" spans="13:13" x14ac:dyDescent="0.25">
      <c r="M71" s="35"/>
    </row>
    <row r="72" spans="13:13" x14ac:dyDescent="0.25">
      <c r="M72" s="35"/>
    </row>
    <row r="73" spans="13:13" x14ac:dyDescent="0.25">
      <c r="M73" s="35"/>
    </row>
    <row r="74" spans="13:13" x14ac:dyDescent="0.25">
      <c r="M74" s="35"/>
    </row>
    <row r="75" spans="13:13" x14ac:dyDescent="0.25">
      <c r="M75" s="35"/>
    </row>
    <row r="76" spans="13:13" x14ac:dyDescent="0.25">
      <c r="M76" s="35"/>
    </row>
    <row r="77" spans="13:13" x14ac:dyDescent="0.25">
      <c r="M77" s="35"/>
    </row>
    <row r="78" spans="13:13" x14ac:dyDescent="0.25">
      <c r="M78" s="35"/>
    </row>
    <row r="79" spans="13:13" x14ac:dyDescent="0.25">
      <c r="M79" s="35"/>
    </row>
    <row r="80" spans="13:13" x14ac:dyDescent="0.25">
      <c r="M80" s="35"/>
    </row>
    <row r="81" spans="13:13" x14ac:dyDescent="0.25">
      <c r="M81" s="35"/>
    </row>
    <row r="82" spans="13:13" x14ac:dyDescent="0.25">
      <c r="M82" s="35"/>
    </row>
    <row r="83" spans="13:13" x14ac:dyDescent="0.25">
      <c r="M83" s="35"/>
    </row>
    <row r="84" spans="13:13" x14ac:dyDescent="0.25">
      <c r="M84" s="35"/>
    </row>
    <row r="85" spans="13:13" x14ac:dyDescent="0.25">
      <c r="M85" s="35"/>
    </row>
    <row r="86" spans="13:13" x14ac:dyDescent="0.25">
      <c r="M86" s="35"/>
    </row>
    <row r="87" spans="13:13" x14ac:dyDescent="0.25">
      <c r="M87" s="35"/>
    </row>
    <row r="88" spans="13:13" x14ac:dyDescent="0.25">
      <c r="M88" s="35"/>
    </row>
    <row r="89" spans="13:13" x14ac:dyDescent="0.25">
      <c r="M89" s="35"/>
    </row>
    <row r="90" spans="13:13" x14ac:dyDescent="0.25">
      <c r="M90" s="35"/>
    </row>
    <row r="91" spans="13:13" x14ac:dyDescent="0.25">
      <c r="M91" s="35"/>
    </row>
    <row r="92" spans="13:13" x14ac:dyDescent="0.25">
      <c r="M92" s="35"/>
    </row>
    <row r="93" spans="13:13" x14ac:dyDescent="0.25">
      <c r="M93" s="35"/>
    </row>
    <row r="94" spans="13:13" x14ac:dyDescent="0.25">
      <c r="M94" s="35"/>
    </row>
    <row r="95" spans="13:13" x14ac:dyDescent="0.25">
      <c r="M95" s="35"/>
    </row>
    <row r="96" spans="13:13" x14ac:dyDescent="0.25">
      <c r="M96" s="35"/>
    </row>
    <row r="97" spans="13:13" x14ac:dyDescent="0.25">
      <c r="M97" s="35"/>
    </row>
    <row r="98" spans="13:13" x14ac:dyDescent="0.25">
      <c r="M98" s="35"/>
    </row>
    <row r="99" spans="13:13" x14ac:dyDescent="0.25">
      <c r="M99" s="35"/>
    </row>
    <row r="100" spans="13:13" x14ac:dyDescent="0.25">
      <c r="M100" s="35"/>
    </row>
    <row r="101" spans="13:13" x14ac:dyDescent="0.25">
      <c r="M101" s="35"/>
    </row>
    <row r="102" spans="13:13" x14ac:dyDescent="0.25">
      <c r="M102" s="35"/>
    </row>
    <row r="103" spans="13:13" x14ac:dyDescent="0.25">
      <c r="M103" s="35"/>
    </row>
    <row r="104" spans="13:13" x14ac:dyDescent="0.25">
      <c r="M104" s="35"/>
    </row>
    <row r="105" spans="13:13" x14ac:dyDescent="0.25">
      <c r="M105" s="35"/>
    </row>
    <row r="106" spans="13:13" x14ac:dyDescent="0.25">
      <c r="M106" s="35"/>
    </row>
    <row r="107" spans="13:13" x14ac:dyDescent="0.25">
      <c r="M107" s="35"/>
    </row>
    <row r="108" spans="13:13" x14ac:dyDescent="0.25">
      <c r="M108" s="35"/>
    </row>
    <row r="109" spans="13:13" x14ac:dyDescent="0.25">
      <c r="M109" s="35"/>
    </row>
    <row r="110" spans="13:13" x14ac:dyDescent="0.25">
      <c r="M110" s="35"/>
    </row>
    <row r="111" spans="13:13" x14ac:dyDescent="0.25">
      <c r="M111" s="35"/>
    </row>
    <row r="112" spans="13:13" x14ac:dyDescent="0.25">
      <c r="M112" s="35"/>
    </row>
    <row r="113" spans="13:13" x14ac:dyDescent="0.25">
      <c r="M113" s="35"/>
    </row>
    <row r="114" spans="13:13" x14ac:dyDescent="0.25">
      <c r="M114" s="35"/>
    </row>
    <row r="115" spans="13:13" x14ac:dyDescent="0.25">
      <c r="M115" s="35"/>
    </row>
    <row r="116" spans="13:13" x14ac:dyDescent="0.25">
      <c r="M116" s="35"/>
    </row>
    <row r="117" spans="13:13" x14ac:dyDescent="0.25">
      <c r="M117" s="35"/>
    </row>
    <row r="118" spans="13:13" x14ac:dyDescent="0.25">
      <c r="M118" s="35"/>
    </row>
    <row r="119" spans="13:13" x14ac:dyDescent="0.25">
      <c r="M119" s="35"/>
    </row>
    <row r="120" spans="13:13" x14ac:dyDescent="0.25">
      <c r="M120" s="35"/>
    </row>
    <row r="121" spans="13:13" x14ac:dyDescent="0.25">
      <c r="M121" s="35"/>
    </row>
    <row r="122" spans="13:13" x14ac:dyDescent="0.25">
      <c r="M122" s="35"/>
    </row>
    <row r="123" spans="13:13" x14ac:dyDescent="0.25">
      <c r="M123" s="35"/>
    </row>
    <row r="124" spans="13:13" x14ac:dyDescent="0.25">
      <c r="M124" s="35"/>
    </row>
    <row r="125" spans="13:13" x14ac:dyDescent="0.25">
      <c r="M125" s="35"/>
    </row>
    <row r="126" spans="13:13" x14ac:dyDescent="0.25">
      <c r="M126" s="35"/>
    </row>
    <row r="127" spans="13:13" x14ac:dyDescent="0.25">
      <c r="M127" s="35"/>
    </row>
    <row r="128" spans="13:13" x14ac:dyDescent="0.25">
      <c r="M128" s="35"/>
    </row>
    <row r="129" spans="13:13" x14ac:dyDescent="0.25">
      <c r="M129" s="35"/>
    </row>
    <row r="130" spans="13:13" x14ac:dyDescent="0.25">
      <c r="M130" s="35"/>
    </row>
    <row r="131" spans="13:13" x14ac:dyDescent="0.25">
      <c r="M131" s="35"/>
    </row>
    <row r="132" spans="13:13" x14ac:dyDescent="0.25">
      <c r="M132" s="35"/>
    </row>
    <row r="133" spans="13:13" x14ac:dyDescent="0.25">
      <c r="M133" s="35"/>
    </row>
    <row r="134" spans="13:13" x14ac:dyDescent="0.25">
      <c r="M134" s="35"/>
    </row>
    <row r="135" spans="13:13" x14ac:dyDescent="0.25">
      <c r="M135" s="35"/>
    </row>
    <row r="136" spans="13:13" x14ac:dyDescent="0.25">
      <c r="M136" s="35"/>
    </row>
    <row r="137" spans="13:13" x14ac:dyDescent="0.25">
      <c r="M137" s="35"/>
    </row>
    <row r="138" spans="13:13" x14ac:dyDescent="0.25">
      <c r="M138" s="35"/>
    </row>
    <row r="139" spans="13:13" x14ac:dyDescent="0.25">
      <c r="M139" s="35"/>
    </row>
    <row r="140" spans="13:13" x14ac:dyDescent="0.25">
      <c r="M140" s="35"/>
    </row>
    <row r="141" spans="13:13" x14ac:dyDescent="0.25">
      <c r="M141" s="35"/>
    </row>
    <row r="142" spans="13:13" x14ac:dyDescent="0.25">
      <c r="M142" s="35"/>
    </row>
    <row r="143" spans="13:13" x14ac:dyDescent="0.25">
      <c r="M143" s="35"/>
    </row>
    <row r="144" spans="13:13" x14ac:dyDescent="0.25">
      <c r="M144" s="35"/>
    </row>
    <row r="145" spans="13:13" x14ac:dyDescent="0.25">
      <c r="M145" s="35"/>
    </row>
    <row r="146" spans="13:13" x14ac:dyDescent="0.25">
      <c r="M146" s="35"/>
    </row>
    <row r="147" spans="13:13" x14ac:dyDescent="0.25">
      <c r="M147" s="35"/>
    </row>
    <row r="148" spans="13:13" x14ac:dyDescent="0.25">
      <c r="M148" s="35"/>
    </row>
    <row r="149" spans="13:13" x14ac:dyDescent="0.25">
      <c r="M149" s="35"/>
    </row>
    <row r="150" spans="13:13" x14ac:dyDescent="0.25">
      <c r="M150" s="35"/>
    </row>
    <row r="151" spans="13:13" x14ac:dyDescent="0.25">
      <c r="M151" s="35"/>
    </row>
    <row r="152" spans="13:13" x14ac:dyDescent="0.25">
      <c r="M152" s="35"/>
    </row>
    <row r="153" spans="13:13" x14ac:dyDescent="0.25">
      <c r="M153" s="35"/>
    </row>
    <row r="154" spans="13:13" x14ac:dyDescent="0.25">
      <c r="M154" s="35"/>
    </row>
    <row r="155" spans="13:13" x14ac:dyDescent="0.25">
      <c r="M155" s="35"/>
    </row>
    <row r="156" spans="13:13" x14ac:dyDescent="0.25">
      <c r="M156" s="35"/>
    </row>
    <row r="157" spans="13:13" x14ac:dyDescent="0.25">
      <c r="M157" s="35"/>
    </row>
    <row r="158" spans="13:13" x14ac:dyDescent="0.25">
      <c r="M158" s="35"/>
    </row>
    <row r="159" spans="13:13" x14ac:dyDescent="0.25">
      <c r="M159" s="35"/>
    </row>
    <row r="160" spans="13:13" x14ac:dyDescent="0.25">
      <c r="M160" s="35"/>
    </row>
    <row r="161" spans="13:13" x14ac:dyDescent="0.25">
      <c r="M161" s="35"/>
    </row>
    <row r="162" spans="13:13" x14ac:dyDescent="0.25">
      <c r="M162" s="35"/>
    </row>
    <row r="163" spans="13:13" x14ac:dyDescent="0.25">
      <c r="M163" s="35"/>
    </row>
    <row r="164" spans="13:13" x14ac:dyDescent="0.25">
      <c r="M164" s="35"/>
    </row>
    <row r="165" spans="13:13" x14ac:dyDescent="0.25">
      <c r="M165" s="35"/>
    </row>
    <row r="166" spans="13:13" x14ac:dyDescent="0.25">
      <c r="M166" s="35"/>
    </row>
    <row r="167" spans="13:13" x14ac:dyDescent="0.25">
      <c r="M167" s="35"/>
    </row>
    <row r="168" spans="13:13" x14ac:dyDescent="0.25">
      <c r="M168" s="35"/>
    </row>
    <row r="169" spans="13:13" x14ac:dyDescent="0.25">
      <c r="M169" s="35"/>
    </row>
    <row r="170" spans="13:13" x14ac:dyDescent="0.25">
      <c r="M170" s="35"/>
    </row>
    <row r="171" spans="13:13" x14ac:dyDescent="0.25">
      <c r="M171" s="35"/>
    </row>
    <row r="172" spans="13:13" x14ac:dyDescent="0.25">
      <c r="M172" s="35"/>
    </row>
    <row r="173" spans="13:13" x14ac:dyDescent="0.25">
      <c r="M173" s="35"/>
    </row>
    <row r="174" spans="13:13" x14ac:dyDescent="0.25">
      <c r="M174" s="35"/>
    </row>
    <row r="175" spans="13:13" x14ac:dyDescent="0.25">
      <c r="M175" s="35"/>
    </row>
    <row r="176" spans="13:13" x14ac:dyDescent="0.25">
      <c r="M176" s="35"/>
    </row>
    <row r="177" spans="13:13" x14ac:dyDescent="0.25">
      <c r="M177" s="35"/>
    </row>
    <row r="178" spans="13:13" x14ac:dyDescent="0.25">
      <c r="M178" s="35"/>
    </row>
    <row r="179" spans="13:13" x14ac:dyDescent="0.25">
      <c r="M179" s="35"/>
    </row>
    <row r="180" spans="13:13" x14ac:dyDescent="0.25">
      <c r="M180" s="35"/>
    </row>
    <row r="181" spans="13:13" x14ac:dyDescent="0.25">
      <c r="M181" s="35"/>
    </row>
    <row r="182" spans="13:13" x14ac:dyDescent="0.25">
      <c r="M182" s="35"/>
    </row>
    <row r="183" spans="13:13" x14ac:dyDescent="0.25">
      <c r="M183" s="35"/>
    </row>
    <row r="184" spans="13:13" x14ac:dyDescent="0.25">
      <c r="M184" s="35"/>
    </row>
    <row r="185" spans="13:13" x14ac:dyDescent="0.25">
      <c r="M185" s="35"/>
    </row>
    <row r="186" spans="13:13" x14ac:dyDescent="0.25">
      <c r="M186" s="35"/>
    </row>
    <row r="187" spans="13:13" x14ac:dyDescent="0.25">
      <c r="M187" s="35"/>
    </row>
    <row r="188" spans="13:13" x14ac:dyDescent="0.25">
      <c r="M188" s="35"/>
    </row>
    <row r="189" spans="13:13" x14ac:dyDescent="0.25">
      <c r="M189" s="35"/>
    </row>
    <row r="190" spans="13:13" x14ac:dyDescent="0.25">
      <c r="M190" s="35"/>
    </row>
    <row r="191" spans="13:13" x14ac:dyDescent="0.25">
      <c r="M191" s="35"/>
    </row>
    <row r="192" spans="13:13" x14ac:dyDescent="0.25">
      <c r="M192" s="35"/>
    </row>
    <row r="193" spans="13:13" x14ac:dyDescent="0.25">
      <c r="M193" s="35"/>
    </row>
    <row r="194" spans="13:13" x14ac:dyDescent="0.25">
      <c r="M194" s="35"/>
    </row>
    <row r="195" spans="13:13" x14ac:dyDescent="0.25">
      <c r="M195" s="35"/>
    </row>
    <row r="196" spans="13:13" x14ac:dyDescent="0.25">
      <c r="M196" s="35"/>
    </row>
    <row r="197" spans="13:13" x14ac:dyDescent="0.25">
      <c r="M197" s="35"/>
    </row>
    <row r="198" spans="13:13" x14ac:dyDescent="0.25">
      <c r="M198" s="35"/>
    </row>
    <row r="199" spans="13:13" x14ac:dyDescent="0.25">
      <c r="M199" s="35"/>
    </row>
    <row r="200" spans="13:13" x14ac:dyDescent="0.25">
      <c r="M200" s="35"/>
    </row>
    <row r="201" spans="13:13" x14ac:dyDescent="0.25">
      <c r="M201" s="35"/>
    </row>
    <row r="202" spans="13:13" x14ac:dyDescent="0.25">
      <c r="M202" s="35"/>
    </row>
    <row r="203" spans="13:13" x14ac:dyDescent="0.25">
      <c r="M203" s="35"/>
    </row>
    <row r="204" spans="13:13" x14ac:dyDescent="0.25">
      <c r="M204" s="35"/>
    </row>
    <row r="205" spans="13:13" x14ac:dyDescent="0.25">
      <c r="M205" s="35"/>
    </row>
    <row r="206" spans="13:13" x14ac:dyDescent="0.25">
      <c r="M206" s="35"/>
    </row>
    <row r="207" spans="13:13" x14ac:dyDescent="0.25">
      <c r="M207" s="35"/>
    </row>
    <row r="208" spans="13:13" x14ac:dyDescent="0.25">
      <c r="M208" s="35"/>
    </row>
    <row r="209" spans="13:13" x14ac:dyDescent="0.25">
      <c r="M209" s="35"/>
    </row>
    <row r="210" spans="13:13" x14ac:dyDescent="0.25">
      <c r="M210" s="35"/>
    </row>
    <row r="211" spans="13:13" x14ac:dyDescent="0.25">
      <c r="M211" s="35"/>
    </row>
    <row r="212" spans="13:13" x14ac:dyDescent="0.25">
      <c r="M212" s="35"/>
    </row>
    <row r="213" spans="13:13" x14ac:dyDescent="0.25">
      <c r="M213" s="35"/>
    </row>
    <row r="214" spans="13:13" x14ac:dyDescent="0.25">
      <c r="M214" s="35"/>
    </row>
    <row r="215" spans="13:13" x14ac:dyDescent="0.25">
      <c r="M215" s="35"/>
    </row>
    <row r="216" spans="13:13" x14ac:dyDescent="0.25">
      <c r="M216" s="35"/>
    </row>
    <row r="217" spans="13:13" x14ac:dyDescent="0.25">
      <c r="M217" s="35"/>
    </row>
    <row r="218" spans="13:13" x14ac:dyDescent="0.25">
      <c r="M218" s="35"/>
    </row>
    <row r="219" spans="13:13" x14ac:dyDescent="0.25">
      <c r="M219" s="35"/>
    </row>
    <row r="220" spans="13:13" x14ac:dyDescent="0.25">
      <c r="M220" s="35"/>
    </row>
    <row r="221" spans="13:13" x14ac:dyDescent="0.25">
      <c r="M221" s="35"/>
    </row>
    <row r="222" spans="13:13" x14ac:dyDescent="0.25">
      <c r="M222" s="35"/>
    </row>
    <row r="223" spans="13:13" x14ac:dyDescent="0.25">
      <c r="M223" s="35"/>
    </row>
    <row r="224" spans="13:13" x14ac:dyDescent="0.25">
      <c r="M224" s="35"/>
    </row>
    <row r="225" spans="13:13" x14ac:dyDescent="0.25">
      <c r="M225" s="35"/>
    </row>
    <row r="226" spans="13:13" x14ac:dyDescent="0.25">
      <c r="M226" s="35"/>
    </row>
    <row r="227" spans="13:13" x14ac:dyDescent="0.25">
      <c r="M227" s="35"/>
    </row>
    <row r="228" spans="13:13" x14ac:dyDescent="0.25">
      <c r="M228" s="35"/>
    </row>
    <row r="229" spans="13:13" x14ac:dyDescent="0.25">
      <c r="M229" s="35"/>
    </row>
    <row r="230" spans="13:13" x14ac:dyDescent="0.25">
      <c r="M230" s="35"/>
    </row>
    <row r="231" spans="13:13" x14ac:dyDescent="0.25">
      <c r="M231" s="35"/>
    </row>
    <row r="232" spans="13:13" x14ac:dyDescent="0.25">
      <c r="M232" s="35"/>
    </row>
    <row r="233" spans="13:13" x14ac:dyDescent="0.25">
      <c r="M233" s="35"/>
    </row>
    <row r="234" spans="13:13" x14ac:dyDescent="0.25">
      <c r="M234" s="35"/>
    </row>
    <row r="235" spans="13:13" x14ac:dyDescent="0.25">
      <c r="M235" s="35"/>
    </row>
    <row r="236" spans="13:13" x14ac:dyDescent="0.25">
      <c r="M236" s="35"/>
    </row>
    <row r="237" spans="13:13" x14ac:dyDescent="0.25">
      <c r="M237" s="35"/>
    </row>
    <row r="238" spans="13:13" x14ac:dyDescent="0.25">
      <c r="M238" s="35"/>
    </row>
    <row r="239" spans="13:13" x14ac:dyDescent="0.25">
      <c r="M239" s="35"/>
    </row>
    <row r="240" spans="13:13" x14ac:dyDescent="0.25">
      <c r="M240" s="35"/>
    </row>
    <row r="241" spans="13:13" x14ac:dyDescent="0.25">
      <c r="M241" s="35"/>
    </row>
    <row r="242" spans="13:13" x14ac:dyDescent="0.25">
      <c r="M242" s="35"/>
    </row>
    <row r="243" spans="13:13" x14ac:dyDescent="0.25">
      <c r="M243" s="35"/>
    </row>
    <row r="244" spans="13:13" x14ac:dyDescent="0.25">
      <c r="M244" s="35"/>
    </row>
    <row r="245" spans="13:13" x14ac:dyDescent="0.25">
      <c r="M245" s="35"/>
    </row>
    <row r="246" spans="13:13" x14ac:dyDescent="0.25">
      <c r="M246" s="35"/>
    </row>
    <row r="247" spans="13:13" x14ac:dyDescent="0.25">
      <c r="M247" s="35"/>
    </row>
    <row r="248" spans="13:13" x14ac:dyDescent="0.25">
      <c r="M248" s="35"/>
    </row>
    <row r="249" spans="13:13" x14ac:dyDescent="0.25">
      <c r="M249" s="35"/>
    </row>
    <row r="250" spans="13:13" x14ac:dyDescent="0.25">
      <c r="M250" s="35"/>
    </row>
    <row r="251" spans="13:13" x14ac:dyDescent="0.25">
      <c r="M251" s="35"/>
    </row>
    <row r="252" spans="13:13" x14ac:dyDescent="0.25">
      <c r="M252" s="35"/>
    </row>
    <row r="253" spans="13:13" x14ac:dyDescent="0.25">
      <c r="M253" s="35"/>
    </row>
    <row r="254" spans="13:13" x14ac:dyDescent="0.25">
      <c r="M254" s="35"/>
    </row>
    <row r="255" spans="13:13" x14ac:dyDescent="0.25">
      <c r="M255" s="35"/>
    </row>
    <row r="256" spans="13:13" x14ac:dyDescent="0.25">
      <c r="M256" s="35"/>
    </row>
    <row r="257" spans="13:13" x14ac:dyDescent="0.25">
      <c r="M257" s="35"/>
    </row>
    <row r="258" spans="13:13" x14ac:dyDescent="0.25">
      <c r="M258" s="35"/>
    </row>
    <row r="259" spans="13:13" x14ac:dyDescent="0.25">
      <c r="M259" s="35"/>
    </row>
    <row r="260" spans="13:13" x14ac:dyDescent="0.25">
      <c r="M260" s="35"/>
    </row>
    <row r="261" spans="13:13" x14ac:dyDescent="0.25">
      <c r="M261" s="35"/>
    </row>
    <row r="262" spans="13:13" x14ac:dyDescent="0.25">
      <c r="M262" s="35"/>
    </row>
    <row r="263" spans="13:13" x14ac:dyDescent="0.25">
      <c r="M263" s="35"/>
    </row>
    <row r="264" spans="13:13" x14ac:dyDescent="0.25">
      <c r="M264" s="35"/>
    </row>
    <row r="265" spans="13:13" x14ac:dyDescent="0.25">
      <c r="M265" s="35"/>
    </row>
    <row r="266" spans="13:13" x14ac:dyDescent="0.25">
      <c r="M266" s="35"/>
    </row>
    <row r="267" spans="13:13" x14ac:dyDescent="0.25">
      <c r="M267" s="35"/>
    </row>
    <row r="268" spans="13:13" x14ac:dyDescent="0.25">
      <c r="M268" s="35"/>
    </row>
    <row r="269" spans="13:13" x14ac:dyDescent="0.25">
      <c r="M269" s="35"/>
    </row>
    <row r="270" spans="13:13" x14ac:dyDescent="0.25">
      <c r="M270" s="35"/>
    </row>
    <row r="271" spans="13:13" x14ac:dyDescent="0.25">
      <c r="M271" s="35"/>
    </row>
    <row r="272" spans="13:13" x14ac:dyDescent="0.25">
      <c r="M272" s="35"/>
    </row>
    <row r="273" spans="13:13" x14ac:dyDescent="0.25">
      <c r="M273" s="35"/>
    </row>
    <row r="274" spans="13:13" x14ac:dyDescent="0.25">
      <c r="M274" s="35"/>
    </row>
    <row r="275" spans="13:13" x14ac:dyDescent="0.25">
      <c r="M275" s="35"/>
    </row>
    <row r="276" spans="13:13" x14ac:dyDescent="0.25">
      <c r="M276" s="35"/>
    </row>
    <row r="277" spans="13:13" x14ac:dyDescent="0.25">
      <c r="M277" s="35"/>
    </row>
    <row r="278" spans="13:13" x14ac:dyDescent="0.25">
      <c r="M278" s="35"/>
    </row>
    <row r="279" spans="13:13" x14ac:dyDescent="0.25">
      <c r="M279" s="35"/>
    </row>
    <row r="280" spans="13:13" x14ac:dyDescent="0.25">
      <c r="M280" s="35"/>
    </row>
    <row r="281" spans="13:13" x14ac:dyDescent="0.25">
      <c r="M281" s="35"/>
    </row>
    <row r="282" spans="13:13" x14ac:dyDescent="0.25">
      <c r="M282" s="35"/>
    </row>
    <row r="283" spans="13:13" x14ac:dyDescent="0.25">
      <c r="M283" s="35"/>
    </row>
    <row r="284" spans="13:13" x14ac:dyDescent="0.25">
      <c r="M284" s="35"/>
    </row>
    <row r="285" spans="13:13" x14ac:dyDescent="0.25">
      <c r="M285" s="35"/>
    </row>
    <row r="286" spans="13:13" x14ac:dyDescent="0.25">
      <c r="M286" s="35"/>
    </row>
    <row r="287" spans="13:13" x14ac:dyDescent="0.25">
      <c r="M287" s="35"/>
    </row>
    <row r="288" spans="13:13" x14ac:dyDescent="0.25">
      <c r="M288" s="35"/>
    </row>
    <row r="289" spans="13:13" x14ac:dyDescent="0.25">
      <c r="M289" s="35"/>
    </row>
    <row r="290" spans="13:13" x14ac:dyDescent="0.25">
      <c r="M290" s="35"/>
    </row>
    <row r="291" spans="13:13" x14ac:dyDescent="0.25">
      <c r="M291" s="35"/>
    </row>
    <row r="292" spans="13:13" x14ac:dyDescent="0.25">
      <c r="M292" s="35"/>
    </row>
    <row r="293" spans="13:13" x14ac:dyDescent="0.25">
      <c r="M293" s="35"/>
    </row>
    <row r="294" spans="13:13" x14ac:dyDescent="0.25">
      <c r="M294" s="35"/>
    </row>
    <row r="295" spans="13:13" x14ac:dyDescent="0.25">
      <c r="M295" s="35"/>
    </row>
    <row r="296" spans="13:13" x14ac:dyDescent="0.25">
      <c r="M296" s="35"/>
    </row>
    <row r="297" spans="13:13" x14ac:dyDescent="0.25">
      <c r="M297" s="35"/>
    </row>
    <row r="298" spans="13:13" x14ac:dyDescent="0.25">
      <c r="M298" s="35"/>
    </row>
    <row r="299" spans="13:13" x14ac:dyDescent="0.25">
      <c r="M299" s="35"/>
    </row>
    <row r="300" spans="13:13" x14ac:dyDescent="0.25">
      <c r="M300" s="35"/>
    </row>
    <row r="301" spans="13:13" x14ac:dyDescent="0.25">
      <c r="M301" s="35"/>
    </row>
    <row r="302" spans="13:13" x14ac:dyDescent="0.25">
      <c r="M302" s="35"/>
    </row>
    <row r="303" spans="13:13" x14ac:dyDescent="0.25">
      <c r="M303" s="35"/>
    </row>
    <row r="304" spans="13:13" x14ac:dyDescent="0.25">
      <c r="M304" s="35"/>
    </row>
    <row r="305" spans="13:13" x14ac:dyDescent="0.25">
      <c r="M305" s="35"/>
    </row>
    <row r="306" spans="13:13" x14ac:dyDescent="0.25">
      <c r="M306" s="35"/>
    </row>
    <row r="307" spans="13:13" x14ac:dyDescent="0.25">
      <c r="M307" s="35"/>
    </row>
    <row r="308" spans="13:13" x14ac:dyDescent="0.25">
      <c r="M308" s="35"/>
    </row>
    <row r="309" spans="13:13" x14ac:dyDescent="0.25">
      <c r="M309" s="35"/>
    </row>
    <row r="310" spans="13:13" x14ac:dyDescent="0.25">
      <c r="M310" s="35"/>
    </row>
    <row r="311" spans="13:13" x14ac:dyDescent="0.25">
      <c r="M311" s="35"/>
    </row>
    <row r="312" spans="13:13" x14ac:dyDescent="0.25">
      <c r="M312" s="35"/>
    </row>
    <row r="313" spans="13:13" x14ac:dyDescent="0.25">
      <c r="M313" s="35"/>
    </row>
    <row r="314" spans="13:13" x14ac:dyDescent="0.25">
      <c r="M314" s="35"/>
    </row>
    <row r="315" spans="13:13" x14ac:dyDescent="0.25">
      <c r="M315" s="35"/>
    </row>
    <row r="316" spans="13:13" x14ac:dyDescent="0.25">
      <c r="M316" s="35"/>
    </row>
    <row r="317" spans="13:13" x14ac:dyDescent="0.25">
      <c r="M317" s="35"/>
    </row>
    <row r="318" spans="13:13" x14ac:dyDescent="0.25">
      <c r="M318" s="35"/>
    </row>
    <row r="319" spans="13:13" x14ac:dyDescent="0.25">
      <c r="M319" s="35"/>
    </row>
    <row r="320" spans="13:13" x14ac:dyDescent="0.25">
      <c r="M320" s="35"/>
    </row>
    <row r="321" spans="13:13" x14ac:dyDescent="0.25">
      <c r="M321" s="35"/>
    </row>
    <row r="322" spans="13:13" x14ac:dyDescent="0.25">
      <c r="M322" s="35"/>
    </row>
    <row r="323" spans="13:13" x14ac:dyDescent="0.25">
      <c r="M323" s="35"/>
    </row>
    <row r="324" spans="13:13" x14ac:dyDescent="0.25">
      <c r="M324" s="35"/>
    </row>
    <row r="325" spans="13:13" x14ac:dyDescent="0.25">
      <c r="M325" s="35"/>
    </row>
    <row r="326" spans="13:13" x14ac:dyDescent="0.25">
      <c r="M326" s="35"/>
    </row>
    <row r="327" spans="13:13" x14ac:dyDescent="0.25">
      <c r="M327" s="35"/>
    </row>
    <row r="328" spans="13:13" x14ac:dyDescent="0.25">
      <c r="M328" s="35"/>
    </row>
    <row r="329" spans="13:13" x14ac:dyDescent="0.25">
      <c r="M329" s="35"/>
    </row>
    <row r="330" spans="13:13" x14ac:dyDescent="0.25">
      <c r="M330" s="35"/>
    </row>
    <row r="331" spans="13:13" x14ac:dyDescent="0.25">
      <c r="M331" s="35"/>
    </row>
    <row r="332" spans="13:13" x14ac:dyDescent="0.25">
      <c r="M332" s="35"/>
    </row>
    <row r="333" spans="13:13" x14ac:dyDescent="0.25">
      <c r="M333" s="35"/>
    </row>
    <row r="334" spans="13:13" x14ac:dyDescent="0.25">
      <c r="M334" s="35"/>
    </row>
    <row r="335" spans="13:13" x14ac:dyDescent="0.25">
      <c r="M335" s="35"/>
    </row>
    <row r="336" spans="13:13" x14ac:dyDescent="0.25">
      <c r="M336" s="35"/>
    </row>
    <row r="337" spans="13:13" x14ac:dyDescent="0.25">
      <c r="M337" s="35"/>
    </row>
    <row r="338" spans="13:13" x14ac:dyDescent="0.25">
      <c r="M338" s="35"/>
    </row>
    <row r="339" spans="13:13" x14ac:dyDescent="0.25">
      <c r="M339" s="35"/>
    </row>
    <row r="340" spans="13:13" x14ac:dyDescent="0.25">
      <c r="M340" s="35"/>
    </row>
    <row r="341" spans="13:13" x14ac:dyDescent="0.25">
      <c r="M341" s="35"/>
    </row>
    <row r="342" spans="13:13" x14ac:dyDescent="0.25">
      <c r="M342" s="35"/>
    </row>
    <row r="343" spans="13:13" x14ac:dyDescent="0.25">
      <c r="M343" s="35"/>
    </row>
    <row r="344" spans="13:13" x14ac:dyDescent="0.25">
      <c r="M344" s="35"/>
    </row>
    <row r="345" spans="13:13" x14ac:dyDescent="0.25">
      <c r="M345" s="35"/>
    </row>
    <row r="346" spans="13:13" x14ac:dyDescent="0.25">
      <c r="M346" s="35"/>
    </row>
    <row r="347" spans="13:13" x14ac:dyDescent="0.25">
      <c r="M347" s="35"/>
    </row>
    <row r="348" spans="13:13" x14ac:dyDescent="0.25">
      <c r="M348" s="35"/>
    </row>
    <row r="349" spans="13:13" x14ac:dyDescent="0.25">
      <c r="M349" s="35"/>
    </row>
    <row r="350" spans="13:13" x14ac:dyDescent="0.25">
      <c r="M350" s="35"/>
    </row>
    <row r="351" spans="13:13" x14ac:dyDescent="0.25">
      <c r="M351" s="35"/>
    </row>
    <row r="352" spans="13:13" x14ac:dyDescent="0.25">
      <c r="M352" s="35"/>
    </row>
    <row r="353" spans="13:13" x14ac:dyDescent="0.25">
      <c r="M353" s="35"/>
    </row>
    <row r="354" spans="13:13" x14ac:dyDescent="0.25">
      <c r="M354" s="35"/>
    </row>
    <row r="355" spans="13:13" x14ac:dyDescent="0.25">
      <c r="M355" s="35"/>
    </row>
    <row r="356" spans="13:13" x14ac:dyDescent="0.25">
      <c r="M356" s="35"/>
    </row>
    <row r="357" spans="13:13" x14ac:dyDescent="0.25">
      <c r="M357" s="35"/>
    </row>
    <row r="358" spans="13:13" x14ac:dyDescent="0.25">
      <c r="M358" s="35"/>
    </row>
    <row r="359" spans="13:13" x14ac:dyDescent="0.25">
      <c r="M359" s="35"/>
    </row>
    <row r="360" spans="13:13" x14ac:dyDescent="0.25">
      <c r="M360" s="35"/>
    </row>
    <row r="361" spans="13:13" x14ac:dyDescent="0.25">
      <c r="M361" s="35"/>
    </row>
    <row r="362" spans="13:13" x14ac:dyDescent="0.25">
      <c r="M362" s="35"/>
    </row>
    <row r="363" spans="13:13" x14ac:dyDescent="0.25">
      <c r="M363" s="35"/>
    </row>
    <row r="364" spans="13:13" x14ac:dyDescent="0.25">
      <c r="M364" s="35"/>
    </row>
    <row r="365" spans="13:13" x14ac:dyDescent="0.25">
      <c r="M365" s="35"/>
    </row>
    <row r="366" spans="13:13" x14ac:dyDescent="0.25">
      <c r="M366" s="35"/>
    </row>
    <row r="367" spans="13:13" x14ac:dyDescent="0.25">
      <c r="M367" s="35"/>
    </row>
    <row r="368" spans="13:13" x14ac:dyDescent="0.25">
      <c r="M368" s="35"/>
    </row>
    <row r="369" spans="13:13" x14ac:dyDescent="0.25">
      <c r="M369" s="35"/>
    </row>
    <row r="370" spans="13:13" x14ac:dyDescent="0.25">
      <c r="M370" s="35"/>
    </row>
    <row r="371" spans="13:13" x14ac:dyDescent="0.25">
      <c r="M371" s="35"/>
    </row>
    <row r="372" spans="13:13" x14ac:dyDescent="0.25">
      <c r="M372" s="35"/>
    </row>
    <row r="373" spans="13:13" x14ac:dyDescent="0.25">
      <c r="M373" s="35"/>
    </row>
    <row r="374" spans="13:13" x14ac:dyDescent="0.25">
      <c r="M374" s="35"/>
    </row>
    <row r="375" spans="13:13" x14ac:dyDescent="0.25">
      <c r="M375" s="35"/>
    </row>
    <row r="376" spans="13:13" x14ac:dyDescent="0.25">
      <c r="M376" s="35"/>
    </row>
    <row r="377" spans="13:13" x14ac:dyDescent="0.25">
      <c r="M377" s="35"/>
    </row>
    <row r="378" spans="13:13" x14ac:dyDescent="0.25">
      <c r="M378" s="35"/>
    </row>
    <row r="379" spans="13:13" x14ac:dyDescent="0.25">
      <c r="M379" s="35"/>
    </row>
    <row r="380" spans="13:13" x14ac:dyDescent="0.25">
      <c r="M380" s="35"/>
    </row>
    <row r="381" spans="13:13" x14ac:dyDescent="0.25">
      <c r="M381" s="35"/>
    </row>
    <row r="382" spans="13:13" x14ac:dyDescent="0.25">
      <c r="M382" s="35"/>
    </row>
    <row r="383" spans="13:13" x14ac:dyDescent="0.25">
      <c r="M383" s="35"/>
    </row>
    <row r="384" spans="13:13" x14ac:dyDescent="0.25">
      <c r="M384" s="35"/>
    </row>
    <row r="385" spans="13:13" x14ac:dyDescent="0.25">
      <c r="M385" s="35"/>
    </row>
    <row r="386" spans="13:13" x14ac:dyDescent="0.25">
      <c r="M386" s="35"/>
    </row>
    <row r="387" spans="13:13" x14ac:dyDescent="0.25">
      <c r="M387" s="35"/>
    </row>
    <row r="388" spans="13:13" x14ac:dyDescent="0.25">
      <c r="M388" s="35"/>
    </row>
    <row r="389" spans="13:13" x14ac:dyDescent="0.25">
      <c r="M389" s="35"/>
    </row>
    <row r="390" spans="13:13" x14ac:dyDescent="0.25">
      <c r="M390" s="35"/>
    </row>
    <row r="391" spans="13:13" x14ac:dyDescent="0.25">
      <c r="M391" s="35"/>
    </row>
    <row r="392" spans="13:13" x14ac:dyDescent="0.25">
      <c r="M392" s="35"/>
    </row>
    <row r="393" spans="13:13" x14ac:dyDescent="0.25">
      <c r="M393" s="35"/>
    </row>
    <row r="394" spans="13:13" x14ac:dyDescent="0.25">
      <c r="M394" s="35"/>
    </row>
    <row r="395" spans="13:13" x14ac:dyDescent="0.25">
      <c r="M395" s="35"/>
    </row>
    <row r="396" spans="13:13" x14ac:dyDescent="0.25">
      <c r="M396" s="35"/>
    </row>
    <row r="397" spans="13:13" x14ac:dyDescent="0.25">
      <c r="M397" s="35"/>
    </row>
    <row r="398" spans="13:13" x14ac:dyDescent="0.25">
      <c r="M398" s="35"/>
    </row>
    <row r="399" spans="13:13" x14ac:dyDescent="0.25">
      <c r="M399" s="35"/>
    </row>
    <row r="400" spans="13:13" x14ac:dyDescent="0.25">
      <c r="M400" s="35"/>
    </row>
    <row r="401" spans="13:13" x14ac:dyDescent="0.25">
      <c r="M401" s="35"/>
    </row>
    <row r="402" spans="13:13" x14ac:dyDescent="0.25">
      <c r="M402" s="35"/>
    </row>
    <row r="403" spans="13:13" x14ac:dyDescent="0.25">
      <c r="M403" s="35"/>
    </row>
    <row r="404" spans="13:13" x14ac:dyDescent="0.25">
      <c r="M404" s="35"/>
    </row>
    <row r="405" spans="13:13" x14ac:dyDescent="0.25">
      <c r="M405" s="35"/>
    </row>
    <row r="406" spans="13:13" x14ac:dyDescent="0.25">
      <c r="M406" s="35"/>
    </row>
    <row r="407" spans="13:13" x14ac:dyDescent="0.25">
      <c r="M407" s="35"/>
    </row>
    <row r="408" spans="13:13" x14ac:dyDescent="0.25">
      <c r="M408" s="35"/>
    </row>
    <row r="409" spans="13:13" x14ac:dyDescent="0.25">
      <c r="M409" s="35"/>
    </row>
    <row r="410" spans="13:13" x14ac:dyDescent="0.25">
      <c r="M410" s="35"/>
    </row>
    <row r="411" spans="13:13" x14ac:dyDescent="0.25">
      <c r="M411" s="35"/>
    </row>
    <row r="412" spans="13:13" x14ac:dyDescent="0.25">
      <c r="M412" s="35"/>
    </row>
    <row r="413" spans="13:13" x14ac:dyDescent="0.25">
      <c r="M413" s="35"/>
    </row>
    <row r="414" spans="13:13" x14ac:dyDescent="0.25">
      <c r="M414" s="35"/>
    </row>
    <row r="415" spans="13:13" x14ac:dyDescent="0.25">
      <c r="M415" s="35"/>
    </row>
    <row r="416" spans="13:13" x14ac:dyDescent="0.25">
      <c r="M416" s="35"/>
    </row>
    <row r="417" spans="13:13" x14ac:dyDescent="0.25">
      <c r="M417" s="35"/>
    </row>
    <row r="418" spans="13:13" x14ac:dyDescent="0.25">
      <c r="M418" s="35"/>
    </row>
    <row r="419" spans="13:13" x14ac:dyDescent="0.25">
      <c r="M419" s="35"/>
    </row>
    <row r="420" spans="13:13" x14ac:dyDescent="0.25">
      <c r="M420" s="35"/>
    </row>
    <row r="421" spans="13:13" x14ac:dyDescent="0.25">
      <c r="M421" s="35"/>
    </row>
    <row r="422" spans="13:13" x14ac:dyDescent="0.25">
      <c r="M422" s="35"/>
    </row>
  </sheetData>
  <mergeCells count="1">
    <mergeCell ref="B2:D2"/>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tabColor theme="8" tint="0.39997558519241921"/>
  </sheetPr>
  <dimension ref="A1:D13"/>
  <sheetViews>
    <sheetView workbookViewId="0">
      <selection activeCell="C53" sqref="C53"/>
    </sheetView>
  </sheetViews>
  <sheetFormatPr defaultColWidth="8.85546875" defaultRowHeight="15" x14ac:dyDescent="0.25"/>
  <cols>
    <col min="1" max="1" width="8.85546875" style="3" customWidth="1"/>
    <col min="2" max="2" width="15.5703125" style="3" customWidth="1"/>
    <col min="3" max="3" width="18.85546875" style="3" bestFit="1" customWidth="1"/>
    <col min="4" max="4" width="12.42578125" style="3" bestFit="1" customWidth="1"/>
    <col min="5" max="16384" width="8.85546875" style="3"/>
  </cols>
  <sheetData>
    <row r="1" spans="1:4" ht="15.75" thickBot="1" x14ac:dyDescent="0.3">
      <c r="A1" s="43" t="e">
        <f>_xlfn.CONCAT("If you invest ",ROUND(D5,0)," ",D10," for ",ROUND(D4/12,1), " years on the ", C12," index. By the time of expected retirement, you accumulate ",ROUND(-D6,0)," ",D10,". This fortune enable you to withdraw ",ROUND(D9,0)," ",D10," every month for ",ROUND(D8,0)," months, i.e. ",ROUND(D8/12,1)," years.")</f>
        <v>#DIV/0!</v>
      </c>
    </row>
    <row r="2" spans="1:4" x14ac:dyDescent="0.25">
      <c r="B2" s="66" t="s">
        <v>861</v>
      </c>
      <c r="C2" s="67"/>
      <c r="D2" s="68"/>
    </row>
    <row r="3" spans="1:4" x14ac:dyDescent="0.25">
      <c r="B3" s="30" t="s">
        <v>853</v>
      </c>
      <c r="C3" s="21"/>
      <c r="D3" s="22"/>
    </row>
    <row r="4" spans="1:4" x14ac:dyDescent="0.25">
      <c r="B4" s="30"/>
      <c r="C4" s="21" t="s">
        <v>854</v>
      </c>
      <c r="D4" s="47" t="e">
        <f>NPER(D12,D5,,D6)</f>
        <v>#DIV/0!</v>
      </c>
    </row>
    <row r="5" spans="1:4" x14ac:dyDescent="0.25">
      <c r="B5" s="30"/>
      <c r="C5" s="21" t="s">
        <v>855</v>
      </c>
      <c r="D5" s="38">
        <v>437</v>
      </c>
    </row>
    <row r="6" spans="1:4" x14ac:dyDescent="0.25">
      <c r="B6" s="30"/>
      <c r="C6" s="21" t="s">
        <v>856</v>
      </c>
      <c r="D6" s="38" t="e">
        <f>FV(D12,D8,D9)</f>
        <v>#DIV/0!</v>
      </c>
    </row>
    <row r="7" spans="1:4" x14ac:dyDescent="0.25">
      <c r="B7" s="30" t="s">
        <v>857</v>
      </c>
      <c r="C7" s="21"/>
      <c r="D7" s="39"/>
    </row>
    <row r="8" spans="1:4" x14ac:dyDescent="0.25">
      <c r="A8" s="36"/>
      <c r="B8" s="30"/>
      <c r="C8" s="21" t="s">
        <v>854</v>
      </c>
      <c r="D8" s="38">
        <v>25</v>
      </c>
    </row>
    <row r="9" spans="1:4" x14ac:dyDescent="0.25">
      <c r="B9" s="30"/>
      <c r="C9" s="21" t="s">
        <v>858</v>
      </c>
      <c r="D9" s="38">
        <v>1187</v>
      </c>
    </row>
    <row r="10" spans="1:4" x14ac:dyDescent="0.25">
      <c r="B10" s="30" t="s">
        <v>1304</v>
      </c>
      <c r="C10" s="21"/>
      <c r="D10" s="46" t="s">
        <v>1305</v>
      </c>
    </row>
    <row r="11" spans="1:4" x14ac:dyDescent="0.25">
      <c r="B11" s="30" t="s">
        <v>4</v>
      </c>
      <c r="C11" s="21"/>
      <c r="D11" s="22"/>
    </row>
    <row r="12" spans="1:4" ht="15.75" thickBot="1" x14ac:dyDescent="0.3">
      <c r="B12" s="31"/>
      <c r="C12" s="32" t="s">
        <v>1307</v>
      </c>
      <c r="D12" s="42" t="e">
        <v>#DIV/0!</v>
      </c>
    </row>
    <row r="13" spans="1:4" x14ac:dyDescent="0.25">
      <c r="D13" s="37"/>
    </row>
  </sheetData>
  <mergeCells count="1">
    <mergeCell ref="B2:D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tabColor theme="8" tint="-0.249977111117893"/>
  </sheetPr>
  <dimension ref="A1:D13"/>
  <sheetViews>
    <sheetView workbookViewId="0">
      <selection activeCell="A2" sqref="A2"/>
    </sheetView>
  </sheetViews>
  <sheetFormatPr defaultColWidth="8.85546875" defaultRowHeight="15" x14ac:dyDescent="0.25"/>
  <cols>
    <col min="1" max="1" width="8.85546875" style="3"/>
    <col min="2" max="2" width="16.28515625" style="3" customWidth="1"/>
    <col min="3" max="3" width="18.85546875" style="3" bestFit="1" customWidth="1"/>
    <col min="4" max="4" width="12.42578125" style="3" bestFit="1" customWidth="1"/>
    <col min="5" max="16384" width="8.85546875" style="3"/>
  </cols>
  <sheetData>
    <row r="1" spans="1:4" ht="15.75" thickBot="1" x14ac:dyDescent="0.3">
      <c r="A1" s="43" t="str">
        <f>_xlfn.CONCAT("If you invest ",ROUND(D5,0)," ",D10," for ",ROUND(D4/12,1), " years on the ", C12," index. By the time of expected retirement, you accumulate ",ROUND(-D6,0)," ",D10,". This fortune enable you to withdraw ",ROUND(D9,0)," ",D10," every month for ",ROUND(D8,0)," months, i.e. ",ROUND(D8/12,1)," years.")</f>
        <v>If you invest 309 EUR for 39 years on the Gold Dec 20 index. By the time of expected retirement, you accumulate 2277815 EUR. This fortune enable you to withdraw 94066 EUR every month for 22 months, i.e. 1,8 years.</v>
      </c>
    </row>
    <row r="2" spans="1:4" x14ac:dyDescent="0.25">
      <c r="B2" s="66" t="s">
        <v>880</v>
      </c>
      <c r="C2" s="67"/>
      <c r="D2" s="68"/>
    </row>
    <row r="3" spans="1:4" x14ac:dyDescent="0.25">
      <c r="B3" s="30" t="s">
        <v>853</v>
      </c>
      <c r="C3" s="21"/>
      <c r="D3" s="22"/>
    </row>
    <row r="4" spans="1:4" x14ac:dyDescent="0.25">
      <c r="B4" s="30"/>
      <c r="C4" s="21" t="s">
        <v>854</v>
      </c>
      <c r="D4" s="39">
        <v>468</v>
      </c>
    </row>
    <row r="5" spans="1:4" x14ac:dyDescent="0.25">
      <c r="B5" s="44"/>
      <c r="C5" s="21" t="s">
        <v>855</v>
      </c>
      <c r="D5" s="38">
        <v>309</v>
      </c>
    </row>
    <row r="6" spans="1:4" x14ac:dyDescent="0.25">
      <c r="B6" s="44"/>
      <c r="C6" s="21" t="s">
        <v>856</v>
      </c>
      <c r="D6" s="38">
        <f>FV(D12,D4,D5,,1)</f>
        <v>-2277814.7210497842</v>
      </c>
    </row>
    <row r="7" spans="1:4" x14ac:dyDescent="0.25">
      <c r="B7" s="44" t="s">
        <v>857</v>
      </c>
      <c r="C7" s="21"/>
      <c r="D7" s="39"/>
    </row>
    <row r="8" spans="1:4" x14ac:dyDescent="0.25">
      <c r="B8" s="44"/>
      <c r="C8" s="21" t="s">
        <v>854</v>
      </c>
      <c r="D8" s="38">
        <v>22</v>
      </c>
    </row>
    <row r="9" spans="1:4" x14ac:dyDescent="0.25">
      <c r="B9" s="44"/>
      <c r="C9" s="21" t="s">
        <v>858</v>
      </c>
      <c r="D9" s="45">
        <f>PMT(D12,D8,,D6,)</f>
        <v>94066.305827027682</v>
      </c>
    </row>
    <row r="10" spans="1:4" x14ac:dyDescent="0.25">
      <c r="B10" s="30" t="s">
        <v>1304</v>
      </c>
      <c r="C10" s="21"/>
      <c r="D10" s="41" t="s">
        <v>1306</v>
      </c>
    </row>
    <row r="11" spans="1:4" x14ac:dyDescent="0.25">
      <c r="B11" s="30" t="s">
        <v>4</v>
      </c>
      <c r="C11" s="21"/>
      <c r="D11" s="22"/>
    </row>
    <row r="12" spans="1:4" ht="15.75" thickBot="1" x14ac:dyDescent="0.3">
      <c r="B12" s="31"/>
      <c r="C12" s="32" t="s">
        <v>1307</v>
      </c>
      <c r="D12" s="42">
        <v>9.0220278313601823E-3</v>
      </c>
    </row>
    <row r="13" spans="1:4" x14ac:dyDescent="0.25">
      <c r="D13" s="37"/>
    </row>
  </sheetData>
  <mergeCells count="1">
    <mergeCell ref="B2:D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Cover Sheet</vt:lpstr>
      <vt:lpstr>Documentation</vt:lpstr>
      <vt:lpstr>Retirement Income Calculator</vt:lpstr>
      <vt:lpstr>Microsoft</vt:lpstr>
      <vt:lpstr>Apple</vt:lpstr>
      <vt:lpstr>Gold Dec 20</vt:lpstr>
      <vt:lpstr>Nasdaq</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2020-08-10T19:17:22Z</dcterms:modified>
</cp:coreProperties>
</file>