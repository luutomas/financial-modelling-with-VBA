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epl\OneDrive\Dokumenty\School\financial-modelling-with-VBA\"/>
    </mc:Choice>
  </mc:AlternateContent>
  <xr:revisionPtr revIDLastSave="0" documentId="13_ncr:1_{8E1312C7-A9E8-438E-858E-9D66A5910931}" xr6:coauthVersionLast="45" xr6:coauthVersionMax="45" xr10:uidLastSave="{00000000-0000-0000-0000-000000000000}"/>
  <bookViews>
    <workbookView xWindow="-120" yWindow="-120" windowWidth="29040" windowHeight="15990" xr2:uid="{010FAFBA-36AA-4242-AAF6-B8A6A840039F}"/>
  </bookViews>
  <sheets>
    <sheet name="Cover Sheet" sheetId="1" r:id="rId1"/>
    <sheet name="Documentaion" sheetId="4" r:id="rId2"/>
    <sheet name="Retirement Income Calculator" sheetId="2" r:id="rId3"/>
    <sheet name="Stock Prices Links" sheetId="3" r:id="rId4"/>
    <sheet name="Mini_Dow_Jones" sheetId="7" r:id="rId5"/>
    <sheet name="E_Mini_S&amp;P_500" sheetId="6" r:id="rId6"/>
    <sheet name="Calculation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5" l="1"/>
  <c r="F4" i="5" s="1"/>
  <c r="C5" i="5" s="1"/>
  <c r="E5" i="5" s="1"/>
  <c r="E3" i="5"/>
  <c r="F3" i="5" s="1"/>
  <c r="C4" i="5" s="1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2" i="7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2" i="6"/>
  <c r="F5" i="5" l="1"/>
  <c r="C6" i="5" s="1"/>
  <c r="E6" i="5" l="1"/>
  <c r="F6" i="5" s="1"/>
  <c r="C7" i="5" s="1"/>
  <c r="E7" i="5" l="1"/>
  <c r="F7" i="5" s="1"/>
  <c r="C8" i="5" s="1"/>
  <c r="E8" i="5" l="1"/>
  <c r="F8" i="5" s="1"/>
  <c r="C9" i="5" s="1"/>
  <c r="E9" i="5" l="1"/>
  <c r="F9" i="5" s="1"/>
  <c r="C10" i="5" s="1"/>
  <c r="E10" i="5" l="1"/>
  <c r="F10" i="5" s="1"/>
  <c r="C11" i="5" s="1"/>
  <c r="E11" i="5" l="1"/>
  <c r="F11" i="5" s="1"/>
  <c r="C12" i="5" s="1"/>
  <c r="E12" i="5" l="1"/>
  <c r="F12" i="5" s="1"/>
  <c r="C13" i="5" s="1"/>
  <c r="E13" i="5" l="1"/>
  <c r="F13" i="5" s="1"/>
  <c r="C14" i="5" s="1"/>
  <c r="E14" i="5" l="1"/>
  <c r="F14" i="5" s="1"/>
  <c r="C15" i="5" s="1"/>
  <c r="E15" i="5" l="1"/>
  <c r="F15" i="5" s="1"/>
  <c r="C16" i="5" s="1"/>
  <c r="E16" i="5" l="1"/>
  <c r="F16" i="5" s="1"/>
  <c r="C17" i="5" s="1"/>
  <c r="E17" i="5" l="1"/>
  <c r="F17" i="5" s="1"/>
  <c r="C18" i="5" s="1"/>
  <c r="E18" i="5" l="1"/>
  <c r="F18" i="5" s="1"/>
  <c r="C19" i="5" s="1"/>
  <c r="E19" i="5" l="1"/>
  <c r="F19" i="5" s="1"/>
  <c r="C20" i="5" s="1"/>
  <c r="E20" i="5" l="1"/>
  <c r="F20" i="5" s="1"/>
  <c r="C21" i="5" s="1"/>
  <c r="E21" i="5" l="1"/>
  <c r="F21" i="5" s="1"/>
  <c r="C22" i="5" s="1"/>
  <c r="E22" i="5" l="1"/>
  <c r="F22" i="5" s="1"/>
  <c r="C23" i="5" s="1"/>
  <c r="E23" i="5" l="1"/>
  <c r="F23" i="5" s="1"/>
  <c r="C24" i="5" s="1"/>
  <c r="E24" i="5" l="1"/>
  <c r="F24" i="5" s="1"/>
  <c r="C25" i="5" s="1"/>
  <c r="E25" i="5" l="1"/>
  <c r="F25" i="5" s="1"/>
  <c r="C26" i="5" s="1"/>
  <c r="E26" i="5" l="1"/>
  <c r="F26" i="5" s="1"/>
  <c r="C27" i="5" s="1"/>
  <c r="E27" i="5" s="1"/>
  <c r="F27" i="5" l="1"/>
  <c r="C28" i="5" s="1"/>
  <c r="E28" i="5" l="1"/>
  <c r="F28" i="5"/>
  <c r="C29" i="5" s="1"/>
  <c r="E29" i="5" s="1"/>
  <c r="F29" i="5" s="1"/>
  <c r="C30" i="5" s="1"/>
  <c r="E30" i="5" s="1"/>
  <c r="F30" i="5" s="1"/>
  <c r="C31" i="5" s="1"/>
  <c r="E31" i="5" s="1"/>
  <c r="F31" i="5" s="1"/>
  <c r="C32" i="5" s="1"/>
  <c r="E32" i="5" l="1"/>
  <c r="F32" i="5"/>
  <c r="C33" i="5" s="1"/>
  <c r="E33" i="5" l="1"/>
  <c r="F33" i="5" s="1"/>
  <c r="C34" i="5" s="1"/>
  <c r="E34" i="5" l="1"/>
  <c r="F34" i="5" s="1"/>
  <c r="C35" i="5" s="1"/>
  <c r="E35" i="5" s="1"/>
  <c r="F35" i="5" s="1"/>
  <c r="C36" i="5" s="1"/>
  <c r="E36" i="5" l="1"/>
  <c r="F36" i="5"/>
  <c r="C37" i="5" s="1"/>
  <c r="E37" i="5" l="1"/>
  <c r="F37" i="5"/>
  <c r="C38" i="5" s="1"/>
  <c r="E38" i="5" s="1"/>
  <c r="F38" i="5" s="1"/>
  <c r="C39" i="5" s="1"/>
  <c r="E39" i="5" s="1"/>
  <c r="F39" i="5" s="1"/>
  <c r="C40" i="5" s="1"/>
  <c r="E40" i="5" l="1"/>
  <c r="F40" i="5" s="1"/>
  <c r="C41" i="5" s="1"/>
  <c r="E41" i="5" l="1"/>
  <c r="F41" i="5"/>
  <c r="C42" i="5" s="1"/>
  <c r="E42" i="5" l="1"/>
  <c r="F42" i="5"/>
  <c r="C43" i="5" s="1"/>
  <c r="E43" i="5" s="1"/>
  <c r="F43" i="5" s="1"/>
  <c r="C44" i="5" s="1"/>
  <c r="E44" i="5" l="1"/>
  <c r="F44" i="5" s="1"/>
  <c r="C45" i="5" s="1"/>
  <c r="E45" i="5" l="1"/>
  <c r="F45" i="5"/>
  <c r="C46" i="5" s="1"/>
  <c r="E46" i="5" s="1"/>
  <c r="F46" i="5" s="1"/>
  <c r="C47" i="5" s="1"/>
  <c r="E47" i="5" s="1"/>
  <c r="F47" i="5" s="1"/>
  <c r="C48" i="5" s="1"/>
  <c r="E48" i="5" l="1"/>
  <c r="F48" i="5"/>
  <c r="C49" i="5" s="1"/>
  <c r="E49" i="5" l="1"/>
  <c r="F49" i="5"/>
  <c r="C50" i="5" s="1"/>
  <c r="E50" i="5" l="1"/>
  <c r="F50" i="5"/>
</calcChain>
</file>

<file path=xl/sharedStrings.xml><?xml version="1.0" encoding="utf-8"?>
<sst xmlns="http://schemas.openxmlformats.org/spreadsheetml/2006/main" count="1157" uniqueCount="1116">
  <si>
    <t>https://query1.finance.yahoo.com/v7/finance/download/RTY=F?period1=1564303690&amp;period2=1595926090&amp;interval=1d&amp;events=history</t>
  </si>
  <si>
    <t>Link</t>
  </si>
  <si>
    <t>Stock</t>
  </si>
  <si>
    <t>https://query1.finance.yahoo.com/v7/finance/download/ES=F?period1=1564473119&amp;period2=1596095519&amp;interval=1d&amp;events=history</t>
  </si>
  <si>
    <t>E_Mini_S&amp;P_500</t>
  </si>
  <si>
    <t>Mini_Dow_Jones</t>
  </si>
  <si>
    <t>Month</t>
  </si>
  <si>
    <t>Beginning balance</t>
  </si>
  <si>
    <t>-</t>
  </si>
  <si>
    <t>Date,Open,High,Low,Close,Adj Close,Volume</t>
  </si>
  <si>
    <t>2019-07-30,3022.250000,3027.500000,3001.500000,3012.250000,3012.250000,823572</t>
  </si>
  <si>
    <t>2019-07-31,3016.250000,3020.750000,2958.000000,2982.250000,2982.250000,1182050</t>
  </si>
  <si>
    <t>2019-08-01,2970.250000,3014.250000,2944.500000,2952.000000,2952.000000,1951108</t>
  </si>
  <si>
    <t>2019-08-02,2950.250000,2961.000000,2913.500000,2932.500000,2932.500000,2736926</t>
  </si>
  <si>
    <t>2019-08-04,2929.250000,2931.750000,2925.250000,2926.750000,2926.750000,1074260</t>
  </si>
  <si>
    <t>2019-08-05,2929.250000,2933.500000,2820.500000,2830.000000,2830.000000,2447014</t>
  </si>
  <si>
    <t>2019-08-06,2816.250000,2883.750000,2775.750000,2876.000000,2876.000000,3072122</t>
  </si>
  <si>
    <t>2019-08-07,2873.750000,2891.500000,2823.250000,2880.500000,2880.500000,2601037</t>
  </si>
  <si>
    <t>2019-08-08,2879.000000,2940.750000,2870.500000,2940.000000,2940.000000,2680813</t>
  </si>
  <si>
    <t>2019-08-09,2928.000000,2935.750000,2899.000000,2919.750000,2919.750000,1800667</t>
  </si>
  <si>
    <t>2019-08-11,2918.750000,2926.500000,2914.500000,2916.500000,2916.500000,902330</t>
  </si>
  <si>
    <t>2019-08-12,2918.750000,2931.000000,2872.500000,2880.250000,2880.250000,2026304</t>
  </si>
  <si>
    <t>2019-08-13,2882.250000,2944.250000,2866.750000,2932.000000,2932.000000,1710875</t>
  </si>
  <si>
    <t>2019-08-14,2931.000000,2936.500000,2835.750000,2840.750000,2840.750000,2184012</t>
  </si>
  <si>
    <t>2019-08-15,2836.000000,2871.750000,2817.750000,2848.500000,2848.500000,2786308</t>
  </si>
  <si>
    <t>2019-08-16,2851.000000,2894.750000,2849.500000,2891.500000,2891.500000,2495340</t>
  </si>
  <si>
    <t>2019-08-18,2893.000000,2907.750000,2892.500000,2903.750000,2903.750000,1808239</t>
  </si>
  <si>
    <t>2019-08-19,2893.000000,2932.250000,2892.500000,2923.750000,2923.750000,1631175</t>
  </si>
  <si>
    <t>2019-08-20,2921.250000,2932.250000,2894.250000,2898.250000,2898.250000,1285798</t>
  </si>
  <si>
    <t>2019-08-21,2893.250000,2932.500000,2893.000000,2929.250000,2929.250000,1475214</t>
  </si>
  <si>
    <t>2019-08-22,2931.250000,2939.750000,2904.250000,2922.250000,2922.250000,1180368</t>
  </si>
  <si>
    <t>2019-08-23,2920.250000,2936.750000,2834.000000,2855.500000,2855.500000,1470309</t>
  </si>
  <si>
    <t>2019-08-25,2831.000000,2831.250000,2810.250000,2824.250000,2824.250000,6057749</t>
  </si>
  <si>
    <t>2019-08-26,2831.000000,2888.500000,2810.250000,2883.250000,2883.250000,2864662</t>
  </si>
  <si>
    <t>2019-08-27,2882.750000,2899.500000,2860.000000,2865.500000,2865.500000,1850231</t>
  </si>
  <si>
    <t>2019-08-28,2866.250000,2890.500000,2851.750000,2889.750000,2889.750000,1528362</t>
  </si>
  <si>
    <t>2019-08-29,2883.250000,2930.750000,2875.250000,2926.750000,2926.750000,1489617</t>
  </si>
  <si>
    <t>2019-08-30,2923.250000,2946.500000,2913.250000,2924.750000,2924.750000,1489670</t>
  </si>
  <si>
    <t>2019-09-01,2901.000000,2910.000000,2895.250000,2909.750000,2909.750000,2099663</t>
  </si>
  <si>
    <t>2019-09-03,2901.000000,2926.500000,2889.000000,2906.000000,2906.000000,1642516</t>
  </si>
  <si>
    <t>2019-09-04,2903.000000,2939.500000,2902.000000,2938.500000,2938.500000,1999829</t>
  </si>
  <si>
    <t>2019-09-05,2938.000000,2986.500000,2936.500000,2972.000000,2972.000000,1252834</t>
  </si>
  <si>
    <t>2019-09-06,2970.750000,2988.250000,2970.250000,2980.750000,2980.750000,1669999</t>
  </si>
  <si>
    <t>2019-09-08,2980.250000,2985.500000,2980.000000,2982.000000,2982.000000,703090</t>
  </si>
  <si>
    <t>2019-09-09,2980.250000,2991.500000,2969.500000,2978.250000,2978.250000,1182287</t>
  </si>
  <si>
    <t>2019-09-10,2979.250000,2985.000000,2957.250000,2978.500000,2978.500000,1199935</t>
  </si>
  <si>
    <t>2019-09-11,2979.000000,3004.250000,2972.000000,3002.000000,3002.000000,1493346</t>
  </si>
  <si>
    <t>2019-09-12,3003.000000,3021.750000,3001.000000,3011.750000,3011.750000,1423833</t>
  </si>
  <si>
    <t>2019-09-13,3010.000000,3023.750000,3003.500000,3006.500000,3006.500000,1745651</t>
  </si>
  <si>
    <t>2019-09-15,2993.500000,2997.500000,2985.250000,2989.000000,2989.000000,2233154</t>
  </si>
  <si>
    <t>2019-09-16,2993.500000,3003.250000,2981.250000,2999.000000,2999.000000,1275710</t>
  </si>
  <si>
    <t>2019-09-17,3001.750000,3006.500000,2991.500000,3005.500000,3005.500000,1197095</t>
  </si>
  <si>
    <t>2019-09-18,3006.000000,3011.000000,2978.500000,3006.250000,3006.250000,1096388</t>
  </si>
  <si>
    <t>2019-09-19,3008.000000,3022.250000,2988.750000,3006.000000,3006.000000,637344</t>
  </si>
  <si>
    <t>2019-09-20,3005.500000,3015.500000,3001.750000,3013.610107,3013.610107,372849</t>
  </si>
  <si>
    <t>2019-09-22,2995.750000,3008.250000,2995.750000,3002.750000,3002.750000,2239870</t>
  </si>
  <si>
    <t>2019-09-23,2995.750000,3008.250000,2982.000000,2997.000000,2997.000000,1476593</t>
  </si>
  <si>
    <t>2019-09-24,3001.000000,3012.250000,2958.500000,2970.250000,2970.250000,1044218</t>
  </si>
  <si>
    <t>2019-09-25,2971.000000,2991.750000,2953.750000,2986.250000,2986.250000,1936806</t>
  </si>
  <si>
    <t>2019-09-26,2985.750000,2995.000000,2964.250000,2980.500000,2980.500000,1501723</t>
  </si>
  <si>
    <t>2019-09-27,2979.750000,2993.000000,2946.250000,2963.750000,2963.750000,1351351</t>
  </si>
  <si>
    <t>2019-09-29,2976.000000,2980.250000,2965.500000,2970.500000,2970.500000,1628438</t>
  </si>
  <si>
    <t>2019-09-30,2976.000000,2986.250000,2964.500000,2978.500000,2978.500000,1673557</t>
  </si>
  <si>
    <t>2019-10-01,2984.000000,2994.500000,2937.000000,2937.750000,2937.750000,1155807</t>
  </si>
  <si>
    <t>2019-10-02,2942.250000,2949.000000,2874.000000,2880.500000,2880.500000,1601531</t>
  </si>
  <si>
    <t>2019-10-03,2883.750000,2912.500000,2855.000000,2911.750000,2911.750000,2126769</t>
  </si>
  <si>
    <t>2019-10-04,2911.500000,2953.250000,2896.750000,2951.000000,2951.000000,2037970</t>
  </si>
  <si>
    <t>2019-10-06,2929.750000,2942.750000,2928.000000,2941.750000,2941.750000,1947134</t>
  </si>
  <si>
    <t>2019-10-07,2929.750000,2959.500000,2928.000000,2937.500000,2937.500000,1497975</t>
  </si>
  <si>
    <t>2019-10-08,2934.500000,2950.000000,2890.500000,2892.500000,2892.500000,1266872</t>
  </si>
  <si>
    <t>2019-10-09,2893.500000,2934.250000,2888.250000,2919.000000,2919.000000,1865325</t>
  </si>
  <si>
    <t>2019-10-10,2920.500000,2954.000000,2881.750000,2941.000000,2941.000000,1305749</t>
  </si>
  <si>
    <t>2019-10-11,2949.000000,2994.000000,2941.750000,2970.750000,2970.750000,1577766</t>
  </si>
  <si>
    <t>2019-10-13,2968.000000,2981.750000,2967.500000,2979.500000,2979.500000,1268636</t>
  </si>
  <si>
    <t>2019-10-14,2968.000000,2982.500000,2953.750000,2965.500000,2965.500000,1743810</t>
  </si>
  <si>
    <t>2019-10-15,2966.750000,3003.250000,2966.500000,2997.750000,2997.750000,833670</t>
  </si>
  <si>
    <t>2019-10-16,2996.500000,2997.750000,2984.750000,2991.500000,2991.500000,1181207</t>
  </si>
  <si>
    <t>2019-10-17,2992.250000,3008.000000,2985.250000,2998.000000,2998.000000,1148118</t>
  </si>
  <si>
    <t>2019-10-18,2997.750000,3001.250000,2975.000000,2988.250000,2988.250000,1121748</t>
  </si>
  <si>
    <t>2019-10-20,2984.750000,2991.000000,2983.750000,2990.250000,2990.250000,1093450</t>
  </si>
  <si>
    <t>2019-10-21,2984.750000,3007.500000,2983.750000,3006.500000,3006.500000,1335276</t>
  </si>
  <si>
    <t>2019-10-22,3006.500000,3014.250000,2988.250000,2994.500000,2994.500000,886557</t>
  </si>
  <si>
    <t>2019-10-23,2992.000000,3006.000000,2982.000000,3005.750000,3005.750000,1125601</t>
  </si>
  <si>
    <t>2019-10-24,3006.000000,3015.250000,2998.750000,3004.250000,3004.250000,1055958</t>
  </si>
  <si>
    <t>2019-10-25,3003.750000,3026.500000,3000.000000,3020.250000,3020.250000,1061278</t>
  </si>
  <si>
    <t>2019-10-27,3023.000000,3026.000000,3022.750000,3024.250000,3024.250000,855745</t>
  </si>
  <si>
    <t>2019-10-28,3023.000000,3042.750000,3022.750000,3036.250000,3036.250000,1098391</t>
  </si>
  <si>
    <t>2019-10-29,3038.250000,3046.250000,3029.500000,3035.750000,3035.750000,1041931</t>
  </si>
  <si>
    <t>2019-10-30,3036.500000,3055.000000,3023.250000,3047.750000,3047.750000,1040149</t>
  </si>
  <si>
    <t>2019-10-31,3051.750000,3052.000000,3020.250000,3035.750000,3035.750000,1179153</t>
  </si>
  <si>
    <t>2019-11-01,3036.000000,3065.000000,3033.000000,3063.250000,3063.250000,1766536</t>
  </si>
  <si>
    <t>2019-11-03,3064.750000,3069.000000,3064.750000,3068.500000,3068.500000,344425</t>
  </si>
  <si>
    <t>2019-11-04,3064.750000,3083.750000,3064.750000,3075.750000,3075.750000,1279508</t>
  </si>
  <si>
    <t>2019-11-05,3076.750000,3085.750000,3069.750000,3072.000000,3072.000000,1179714</t>
  </si>
  <si>
    <t>2019-11-06,3071.500000,3078.000000,3063.000000,3075.500000,3075.500000,1124217</t>
  </si>
  <si>
    <t>2019-11-07,3077.250000,3097.000000,3070.250000,3086.000000,3086.000000,1076833</t>
  </si>
  <si>
    <t>2019-11-08,3086.250000,3092.500000,3072.500000,3090.500000,3090.500000,1353330</t>
  </si>
  <si>
    <t>2019-11-10,3090.500000,3092.250000,3089.250000,3089.750000,3089.750000,216949</t>
  </si>
  <si>
    <t>2019-11-11,3090.500000,3092.250000,3074.500000,3087.500000,3087.500000,1080147</t>
  </si>
  <si>
    <t>2019-11-12,3087.750000,3102.000000,3081.250000,3092.000000,3092.000000,844597</t>
  </si>
  <si>
    <t>2019-11-13,3091.250000,3097.000000,3075.750000,3095.500000,3095.500000,1101243</t>
  </si>
  <si>
    <t>2019-11-14,3096.250000,3099.750000,3081.750000,3097.000000,3097.000000,1251057</t>
  </si>
  <si>
    <t>2019-11-15,3097.000000,3119.500000,3095.750000,3118.250000,3118.250000,1105353</t>
  </si>
  <si>
    <t>2019-11-17,3119.000000,3119.250000,3114.000000,3114.000000,3114.000000,327904</t>
  </si>
  <si>
    <t>2019-11-18,3119.000000,3127.750000,3111.000000,3121.750000,3121.750000,1251167</t>
  </si>
  <si>
    <t>2019-11-19,3121.500000,3132.500000,3112.750000,3118.500000,3118.500000,1034214</t>
  </si>
  <si>
    <t>2019-11-20,3116.500000,3118.500000,3090.750000,3109.000000,3109.000000,1195901</t>
  </si>
  <si>
    <t>2019-11-21,3097.250000,3114.500000,3091.250000,3104.000000,3104.000000,1693828</t>
  </si>
  <si>
    <t>2019-11-22,3104.000000,3114.500000,3097.750000,3111.500000,3111.500000,1434552</t>
  </si>
  <si>
    <t>2019-11-24,3119.000000,3121.000000,3116.500000,3118.250000,3118.250000,378247</t>
  </si>
  <si>
    <t>2019-11-25,3119.000000,3133.500000,3116.500000,3132.750000,3132.750000,995416</t>
  </si>
  <si>
    <t>2019-11-26,3131.250000,3145.000000,3128.000000,3143.750000,3143.750000,947831</t>
  </si>
  <si>
    <t>2019-11-27,3143.750000,3155.000000,3141.750000,3153.750000,3153.750000,1068011</t>
  </si>
  <si>
    <t>2019-11-29,null,null,null,null,null,null</t>
  </si>
  <si>
    <t>2019-12-01,3146.250000,3148.000000,3144.250000,3146.000000,3146.000000,321852</t>
  </si>
  <si>
    <t>2019-12-02,3146.250000,3158.000000,3110.250000,3114.250000,3114.250000,902189</t>
  </si>
  <si>
    <t>2019-12-03,3114.250000,3121.750000,3069.500000,3091.000000,3091.000000,1927030</t>
  </si>
  <si>
    <t>2019-12-04,3091.750000,3119.500000,3081.750000,3111.000000,3111.000000,2146620</t>
  </si>
  <si>
    <t>2019-12-05,3111.000000,3124.750000,3103.250000,3117.750000,3117.750000,1485940</t>
  </si>
  <si>
    <t>2019-12-06,3117.750000,3151.000000,3117.000000,3146.000000,3146.000000,1318780</t>
  </si>
  <si>
    <t>2019-12-08,3146.500000,3148.500000,3146.000000,3146.750000,3146.750000,208071</t>
  </si>
  <si>
    <t>2019-12-09,3146.500000,3149.500000,3131.250000,3134.500000,3134.500000,1300299</t>
  </si>
  <si>
    <t>2019-12-10,3133.500000,3143.000000,3116.250000,3136.000000,3136.000000,1145426</t>
  </si>
  <si>
    <t>2019-12-11,3135.500000,3144.500000,3129.500000,3143.000000,3143.000000,1425723</t>
  </si>
  <si>
    <t>2019-12-12,3144.000000,3177.500000,3137.250000,3168.000000,3168.000000,1225764</t>
  </si>
  <si>
    <t>2019-12-13,3175.750000,3185.000000,3156.750000,3172.000000,3172.000000,2379008</t>
  </si>
  <si>
    <t>2019-12-15,3176.500000,3177.250000,3173.750000,3176.250000,3176.250000,278836</t>
  </si>
  <si>
    <t>2019-12-16,3176.500000,3198.750000,3173.750000,3194.250000,3194.250000,1834941</t>
  </si>
  <si>
    <t>2019-12-17,3192.500000,3199.250000,3187.750000,3192.000000,3192.000000,1413219</t>
  </si>
  <si>
    <t>2019-12-18,3189.500000,3199.000000,3188.500000,3194.750000,3194.750000,1032120</t>
  </si>
  <si>
    <t>2019-12-19,3195.000000,3209.000000,3190.250000,3207.000000,3207.000000,582632</t>
  </si>
  <si>
    <t>2019-12-20,3208.500000,3231.020020,3204.250000,3231.020020,3231.020020,433420</t>
  </si>
  <si>
    <t>2019-12-22,3227.000000,3229.000000,3224.750000,3228.250000,3228.250000,215181</t>
  </si>
  <si>
    <t>2019-12-23,3227.000000,3234.250000,3224.250000,3227.250000,3227.250000,1320006</t>
  </si>
  <si>
    <t>2019-12-24,null,null,null,null,null,null</t>
  </si>
  <si>
    <t>2019-12-26,3227.500000,3244.750000,3227.000000,3244.500000,3244.500000,297971</t>
  </si>
  <si>
    <t>2019-12-27,3242.000000,3254.000000,3235.500000,3237.500000,3237.500000,464639</t>
  </si>
  <si>
    <t>2019-12-29,3238.250000,3241.250000,3238.000000,3240.750000,3240.750000,205702</t>
  </si>
  <si>
    <t>2019-12-30,3238.250000,3244.250000,3217.250000,3223.500000,3223.500000,984389</t>
  </si>
  <si>
    <t>2019-12-31,3223.250000,3236.250000,3213.000000,3231.000000,3231.000000,1124598</t>
  </si>
  <si>
    <t>2020-01-02,3237.000000,3261.750000,3234.250000,3259.000000,3259.000000,1157924</t>
  </si>
  <si>
    <t>2020-01-03,3261.000000,3263.500000,3206.750000,3235.500000,3235.500000,1416241</t>
  </si>
  <si>
    <t>2020-01-05,3220.250000,3223.750000,3216.250000,3222.500000,3222.500000,1101400</t>
  </si>
  <si>
    <t>2020-01-06,3220.250000,3249.500000,3208.750000,3243.500000,3243.500000,1755057</t>
  </si>
  <si>
    <t>2020-01-07,3243.500000,3254.500000,3226.000000,3235.250000,3235.250000,1502748</t>
  </si>
  <si>
    <t>2020-01-08,3231.750000,3267.750000,3181.000000,3260.250000,3260.250000,1293494</t>
  </si>
  <si>
    <t>2020-01-09,3261.250000,3276.750000,3257.750000,3276.000000,3276.000000,2279138</t>
  </si>
  <si>
    <t>2020-01-10,3275.500000,3287.000000,3260.750000,3264.750000,3264.750000,1297679</t>
  </si>
  <si>
    <t>2020-01-12,3265.750000,3271.500000,3265.500000,3269.500000,3269.500000,332775</t>
  </si>
  <si>
    <t>2020-01-13,3265.750000,3291.000000,3265.500000,3289.750000,3289.750000,1533121</t>
  </si>
  <si>
    <t>2020-01-14,3289.250000,3296.750000,3275.250000,3288.000000,3288.000000,1008998</t>
  </si>
  <si>
    <t>2020-01-15,3287.750000,3299.000000,3277.750000,3293.750000,3293.750000,1694799</t>
  </si>
  <si>
    <t>2020-01-16,3294.250000,3318.000000,3294.000000,3316.500000,3316.500000,1468347</t>
  </si>
  <si>
    <t>2020-01-17,3316.750000,3330.250000,3316.000000,3325.000000,3325.000000,1335246</t>
  </si>
  <si>
    <t>2020-01-19,3325.000000,3326.500000,3323.250000,3326.500000,3326.500000,291095</t>
  </si>
  <si>
    <t>2020-01-21,3325.000000,3329.750000,3307.250000,3319.500000,3319.500000,1312253</t>
  </si>
  <si>
    <t>2020-01-22,3321.250000,3337.500000,3315.250000,3319.750000,3319.750000,1573187</t>
  </si>
  <si>
    <t>2020-01-23,3317.250000,3327.000000,3301.250000,3326.000000,3326.000000,1505107</t>
  </si>
  <si>
    <t>2020-01-24,3326.500000,3337.000000,3280.500000,3293.500000,3293.500000,1717046</t>
  </si>
  <si>
    <t>2020-01-26,3269.750000,3269.750000,3252.250000,3256.500000,3256.500000,2768505</t>
  </si>
  <si>
    <t>2020-01-27,3269.750000,3269.750000,3233.000000,3239.500000,3239.500000,2515168</t>
  </si>
  <si>
    <t>2020-01-28,3239.500000,3285.000000,3238.750000,3278.250000,3278.250000,2581636</t>
  </si>
  <si>
    <t>2020-01-29,3281.750000,3292.750000,3265.250000,3272.500000,3272.500000,1910878</t>
  </si>
  <si>
    <t>2020-01-30,3271.500000,3295.250000,3239.750000,3289.750000,3289.750000,1665382</t>
  </si>
  <si>
    <t>2020-01-31,3292.000000,3297.500000,3212.750000,3224.000000,3224.000000,2421276</t>
  </si>
  <si>
    <t>2020-02-02,3222.750000,3236.250000,3222.000000,3233.000000,3233.000000,1619113</t>
  </si>
  <si>
    <t>2020-02-03,3222.750000,3267.250000,3222.000000,3245.500000,3245.500000,3152069</t>
  </si>
  <si>
    <t>2020-02-04,3244.250000,3305.250000,3236.000000,3299.500000,3299.500000,1919477</t>
  </si>
  <si>
    <t>2020-02-05,3300.250000,3338.000000,3288.250000,3335.000000,3335.000000,1698403</t>
  </si>
  <si>
    <t>2020-02-06,3337.000000,3357.750000,3332.500000,3345.250000,3345.250000,2046111</t>
  </si>
  <si>
    <t>2020-02-07,3349.000000,3350.000000,3320.750000,3325.500000,3325.500000,1462323</t>
  </si>
  <si>
    <t>2020-02-09,3322.250000,3329.250000,3303.500000,3313.250000,3313.250000,1033468</t>
  </si>
  <si>
    <t>2020-02-10,3322.250000,3353.500000,3303.500000,3353.000000,3353.000000,1698940</t>
  </si>
  <si>
    <t>2020-02-11,3351.000000,3374.500000,3349.250000,3357.500000,3357.500000,1399815</t>
  </si>
  <si>
    <t>2020-02-12,3360.500000,3381.500000,3355.500000,3380.500000,3380.500000,1486164</t>
  </si>
  <si>
    <t>2020-02-13,3381.250000,3384.750000,3348.500000,3377.500000,3377.500000,1229231</t>
  </si>
  <si>
    <t>2020-02-14,3379.500000,3388.500000,3365.250000,3381.000000,3381.000000,1772784</t>
  </si>
  <si>
    <t>2020-02-16,3382.250000,3389.500000,3382.000000,3387.750000,3387.750000,518469</t>
  </si>
  <si>
    <t>2020-02-18,3382.250000,3392.500000,3355.250000,3369.250000,3369.250000,1334897</t>
  </si>
  <si>
    <t>2020-02-19,3372.000000,3393.750000,3370.750000,3387.250000,3387.250000,1735931</t>
  </si>
  <si>
    <t>2020-02-20,3391.750000,3397.500000,3339.250000,3369.250000,3369.250000,1163426</t>
  </si>
  <si>
    <t>2020-02-21,3367.000000,3369.250000,3328.000000,3339.250000,3339.250000,2073749</t>
  </si>
  <si>
    <t>2020-02-23,3309.000000,3312.000000,3289.500000,3299.250000,3299.250000,3553955</t>
  </si>
  <si>
    <t>2020-02-24,3309.000000,3312.000000,3213.750000,3226.250000,3226.250000,2293728</t>
  </si>
  <si>
    <t>2020-02-25,3223.000000,3259.500000,3117.250000,3132.500000,3132.500000,3636687</t>
  </si>
  <si>
    <t>2020-02-26,3138.000000,3182.000000,3091.000000,3110.250000,3110.250000,4375530</t>
  </si>
  <si>
    <t>2020-02-27,3100.250000,3117.000000,2952.250000,3110.250000,3110.250000,4572181</t>
  </si>
  <si>
    <t>2020-02-28,2950.000000,2994.250000,2853.250000,2956.899902,2956.899902,5450283</t>
  </si>
  <si>
    <t>2020-03-01,2950.000000,2996.000000,2853.250000,2957.000000,2957.000000,5499126</t>
  </si>
  <si>
    <t>2020-03-02,2900.000000,3093.250000,2889.250000,2951.100098,2951.100098,3515977</t>
  </si>
  <si>
    <t>2020-03-03,3077.000000,3137.000000,2973.000000,3065.100098,3065.100098,3617838</t>
  </si>
  <si>
    <t>2020-03-04,2988.250000,3129.500000,2976.500000,2997.100098,2997.100098,2456513</t>
  </si>
  <si>
    <t>2020-03-05,3109.250000,3113.750000,2996.500000,3114.699951,3114.699951,2649868</t>
  </si>
  <si>
    <t>2020-03-06,3024.250000,3037.000000,2898.000000,3015.500000,3015.500000,2992638</t>
  </si>
  <si>
    <t>2020-03-08,3024.250000,3037.000000,2898.000000,3015.500000,3015.500000,3010973</t>
  </si>
  <si>
    <t>2020-03-09,2916.000000,2916.000000,2715.000000,2964.100098,2964.100098,2490454</t>
  </si>
  <si>
    <t>2020-03-10,2733.000000,2884.750000,2695.250000,2747.699951,2747.699951,3273594</t>
  </si>
  <si>
    <t>2020-03-11,2859.500000,2869.500000,2702.750000,2865.750000,2865.750000,2824963</t>
  </si>
  <si>
    <t>2020-03-12,2738.000000,2774.000000,2442.500000,2740.300049,2740.300049,4207725</t>
  </si>
  <si>
    <t>2020-03-13,2429.500000,2707.750000,2393.500000,2468.899902,2468.899902,3244207</t>
  </si>
  <si>
    <t>2020-03-15,2429.500000,2707.750000,2393.500000,2468.899902,2468.899902,3295273</t>
  </si>
  <si>
    <t>2020-03-16,2631.500000,2652.000000,2350.000000,2683.899902,2683.899902,3415781</t>
  </si>
  <si>
    <t>2020-03-17,2498.000000,2554.500000,2352.000000,2408.000000,2408.000000,1041038635</t>
  </si>
  <si>
    <t>2020-03-18,2467.500000,2486.250000,2262.000000,2485.500000,2485.500000,3085714</t>
  </si>
  <si>
    <t>2020-03-19,2402.500000,2460.000000,2275.000000,2401.399902,2401.399902,3022652</t>
  </si>
  <si>
    <t>2020-03-20,2351.000000,2499.000000,2280.000000,2389.000000,2389.000000,2885909</t>
  </si>
  <si>
    <t>2020-03-22,2220.250000,2229.000000,2174.000000,2203.250000,2203.250000,3590572</t>
  </si>
  <si>
    <t>2020-03-23,2198.250000,2384.250000,2174.500000,2254.750000,2254.750000,1042420481</t>
  </si>
  <si>
    <t>2020-03-24,2281.250000,2470.000000,2275.250000,2421.500000,2421.500000,811587901</t>
  </si>
  <si>
    <t>2020-03-25,2406.000000,2560.750000,2386.000000,2466.250000,2466.250000,1008036031</t>
  </si>
  <si>
    <t>2020-03-26,2454.500000,2629.000000,2402.250000,2625.750000,2625.750000,773148858</t>
  </si>
  <si>
    <t>2020-03-27,2577.500000,2605.000000,2505.250000,2520.000000,2520.000000,727579677</t>
  </si>
  <si>
    <t>2020-03-29,2459.000000,2498.250000,2445.000000,2489.000000,2489.000000,6659472</t>
  </si>
  <si>
    <t>2020-03-30,2513.750000,2624.500000,2495.000000,2615.250000,2615.250000,659157598</t>
  </si>
  <si>
    <t>2020-03-31,2616.500000,2635.750000,2536.500000,2540.500000,2540.500000,642583856</t>
  </si>
  <si>
    <t>2020-04-01,2527.750000,2528.500000,2434.250000,2469.000000,2469.000000,683036593</t>
  </si>
  <si>
    <t>2020-04-02,2482.000000,2525.000000,2424.750000,2504.000000,2504.000000,693697507</t>
  </si>
  <si>
    <t>2020-04-03,2491.250000,2529.500000,2449.000000,2480.250000,2480.250000,541247437</t>
  </si>
  <si>
    <t>2020-04-05,null,null,null,null,null,null</t>
  </si>
  <si>
    <t>2020-04-06,2566.500000,2668.500000,2562.750000,2658.000000,2658.000000,657204558</t>
  </si>
  <si>
    <t>2020-04-07,2645.500000,2750.000000,2623.500000,2644.500000,2644.500000,2424771</t>
  </si>
  <si>
    <t>2020-04-08,2645.750000,2752.250000,2627.250000,2748.250000,2748.250000,622342295</t>
  </si>
  <si>
    <t>2020-04-09,2734.000000,2809.500000,2701.000000,2787.000000,2787.000000,795403080</t>
  </si>
  <si>
    <t>2020-04-12,2811.000000,2819.500000,2717.250000,2745.000000,2745.000000,5900789</t>
  </si>
  <si>
    <t>2020-04-13,2739.750000,2779.250000,2711.000000,2766.500000,2766.500000,521309825</t>
  </si>
  <si>
    <t>2020-04-14,2796.000000,2846.000000,2780.500000,2834.000000,2834.000000,554888738</t>
  </si>
  <si>
    <t>2020-04-15,2827.250000,2834.750000,2750.500000,2754.250000,2754.250000,612070725</t>
  </si>
  <si>
    <t>2020-04-16,2759.750000,2885.000000,2754.750000,2866.500000,2866.500000,607589198</t>
  </si>
  <si>
    <t>2020-04-17,2875.750000,2884.000000,2821.000000,2869.000000,2869.000000,710239176</t>
  </si>
  <si>
    <t>2020-04-19,2847.000000,2853.500000,2843.250000,2847.500000,2847.500000,2642540</t>
  </si>
  <si>
    <t>2020-04-20,2871.250000,2874.000000,2804.250000,2816.500000,2816.500000,544973213</t>
  </si>
  <si>
    <t>2020-04-21,2789.500000,2807.750000,2717.250000,2739.750000,2739.750000,687206246</t>
  </si>
  <si>
    <t>2020-04-22,2737.250000,2808.000000,2717.250000,2732.000000,2732.000000,1329965</t>
  </si>
  <si>
    <t>2020-04-23,2792.250000,2836.750000,2764.250000,2770.000000,2770.000000,525074385</t>
  </si>
  <si>
    <t>2020-04-24,2766.000000,2835.000000,2755.250000,2828.000000,2828.000000,425629105</t>
  </si>
  <si>
    <t>2020-04-26,2824.500000,2825.000000,2812.750000,2818.750000,2818.750000,2334769</t>
  </si>
  <si>
    <t>2020-04-27,2844.000000,2881.250000,2842.250000,2867.000000,2867.000000,436296648</t>
  </si>
  <si>
    <t>2020-04-28,2856.750000,2913.500000,2851.000000,2872.500000,2872.500000,539830796</t>
  </si>
  <si>
    <t>2020-04-29,2870.500000,2947.250000,2860.750000,2867.250000,2867.250000,1653334</t>
  </si>
  <si>
    <t>2020-04-30,2956.500000,2965.000000,2883.250000,2941.000000,2941.000000,1910259</t>
  </si>
  <si>
    <t>2020-05-01,2871.500000,2879.750000,2811.750000,2902.500000,2902.500000,1576620</t>
  </si>
  <si>
    <t>2020-05-03,2789.000000,2797.000000,2773.000000,2776.500000,2776.500000,5184704</t>
  </si>
  <si>
    <t>2020-05-04,2789.000000,2835.750000,2771.000000,2821.750000,2821.750000,1463030</t>
  </si>
  <si>
    <t>2020-05-05,2841.750000,2889.750000,2832.500000,2866.750000,2866.750000,479993775</t>
  </si>
  <si>
    <t>2020-05-06,2860.250000,2886.250000,2823.000000,2833.000000,2833.000000,488372067</t>
  </si>
  <si>
    <t>2020-05-07,2850.000000,2895.000000,2847.750000,2884.500000,2884.500000,513776851</t>
  </si>
  <si>
    <t>2020-05-08,2914.000000,2933.000000,2895.750000,2930.500000,2930.500000,442676975</t>
  </si>
  <si>
    <t>2020-05-10,2920.750000,2939.000000,2916.000000,2936.000000,2936.000000,2371940</t>
  </si>
  <si>
    <t>2020-05-11,2942.000000,2945.000000,2889.750000,2915.250000,2915.250000,539960758</t>
  </si>
  <si>
    <t>2020-05-12,2903.750000,2938.750000,2827.500000,2829.750000,2829.750000,553067975</t>
  </si>
  <si>
    <t>2020-05-13,2853.750000,2876.750000,2786.000000,2818.250000,2818.250000,821690749</t>
  </si>
  <si>
    <t>2020-05-14,2812.750000,2853.750000,2760.500000,2851.000000,2851.000000,847995927</t>
  </si>
  <si>
    <t>2020-05-15,2847.500000,2863.500000,2809.500000,2854.750000,2854.750000,658489566</t>
  </si>
  <si>
    <t>2020-05-17,2859.750000,2873.750000,2850.000000,2870.500000,2870.500000,2388133</t>
  </si>
  <si>
    <t>2020-05-18,2879.000000,2964.750000,2874.000000,2947.750000,2947.750000,583529325</t>
  </si>
  <si>
    <t>2020-05-19,2939.750000,2976.250000,2908.500000,2923.500000,2923.500000,533539783</t>
  </si>
  <si>
    <t>2020-05-20,2935.500000,2975.750000,2925.000000,2964.500000,2964.500000,510923513</t>
  </si>
  <si>
    <t>2020-05-21,2951.250000,2973.000000,2933.000000,2948.750000,2948.750000,528441446</t>
  </si>
  <si>
    <t>2020-05-22,2919.500000,2957.500000,2903.750000,2956.250000,2956.250000,517293864</t>
  </si>
  <si>
    <t>2020-05-24,2965.500000,2967.750000,2962.250000,2967.500000,2967.500000,738853</t>
  </si>
  <si>
    <t>2020-05-26,2948.500000,3019.750000,2947.500000,2953.000000,2953.000000,1738664</t>
  </si>
  <si>
    <t>2020-05-27,2994.000000,3036.750000,2965.500000,2994.500000,2994.500000,2044070</t>
  </si>
  <si>
    <t>2020-05-28,3035.000000,3065.500000,3019.500000,3035.500000,3035.500000,1847194</t>
  </si>
  <si>
    <t>2020-05-29,3036.000000,3058.250000,2992.000000,3038.000000,3038.000000,2188085</t>
  </si>
  <si>
    <t>2020-05-31,3029.750000,3034.750000,3008.000000,3021.500000,3021.500000,3752735</t>
  </si>
  <si>
    <t>2020-06-01,3029.750000,3059.000000,3008.000000,3042.000000,3042.000000,1244715</t>
  </si>
  <si>
    <t>2020-06-02,3052.750000,3078.250000,3035.000000,3054.000000,3054.000000,1408491</t>
  </si>
  <si>
    <t>2020-06-03,3078.000000,3129.500000,3074.250000,3077.000000,3077.000000,1569767</t>
  </si>
  <si>
    <t>2020-06-04,3117.750000,3126.750000,3087.500000,3117.750000,3117.750000,1793659</t>
  </si>
  <si>
    <t>2020-06-05,3113.250000,3210.500000,3106.500000,3110.500000,3110.500000,2341981</t>
  </si>
  <si>
    <t>2020-06-07,3192.500000,3211.500000,3187.500000,3209.250000,3209.250000,2494301</t>
  </si>
  <si>
    <t>2020-06-08,3192.500000,3231.250000,3183.250000,3186.750000,3186.750000,1553691</t>
  </si>
  <si>
    <t>2020-06-09,3227.750000,3231.000000,3190.000000,3227.500000,3227.500000,1653312</t>
  </si>
  <si>
    <t>2020-06-10,3204.750000,3227.250000,3179.750000,3205.500000,3205.500000,1945448</t>
  </si>
  <si>
    <t>2020-06-11,3183.750000,3188.500000,2996.250000,3186.000000,3186.000000,3457643</t>
  </si>
  <si>
    <t>2020-06-12,3011.750000,3087.750000,2982.000000,3010.250000,3010.250000,2790013</t>
  </si>
  <si>
    <t>2020-06-14,2992.750000,3008.750000,2980.750000,3000.750000,3000.750000,2658953</t>
  </si>
  <si>
    <t>2020-06-15,2983.250000,3068.250000,2923.750000,3023.750000,3023.750000,2949179</t>
  </si>
  <si>
    <t>2020-06-16,3065.250000,3156.250000,3060.250000,3062.000000,3062.000000,2968612</t>
  </si>
  <si>
    <t>2020-06-17,3111.750000,3147.000000,3094.500000,3118.250000,3118.250000,1816949</t>
  </si>
  <si>
    <t>2020-06-18,3104.000000,3120.000000,3064.500000,3107.000000,3107.000000,1606617</t>
  </si>
  <si>
    <t>2020-06-19,3096.750000,3144.750000,3057.500000,3098.000000,3098.000000,1880280</t>
  </si>
  <si>
    <t>2020-06-21,3040.250000,3055.750000,3027.250000,3053.250000,3053.250000,4008510</t>
  </si>
  <si>
    <t>2020-06-22,3040.250000,3113.750000,3027.250000,3059.500000,3059.500000,1350325</t>
  </si>
  <si>
    <t>2020-06-23,3111.750000,3145.750000,3060.000000,3110.750000,3110.750000,1501896</t>
  </si>
  <si>
    <t>2020-06-24,3113.250000,3128.500000,3019.750000,3118.500000,3118.500000,2336572</t>
  </si>
  <si>
    <t>2020-06-25,3046.750000,3079.500000,3005.000000,3049.000000,3049.000000,1916495</t>
  </si>
  <si>
    <t>2020-06-26,3071.250000,3082.000000,2992.500000,3070.750000,3070.750000,2134690</t>
  </si>
  <si>
    <t>2020-06-28,2986.250000,3004.250000,2983.500000,3002.750000,3002.750000,3532799</t>
  </si>
  <si>
    <t>2020-06-29,2986.250000,3048.750000,2983.500000,3007.000000,3007.000000,1539138</t>
  </si>
  <si>
    <t>2020-06-30,3046.000000,3101.250000,3030.250000,3047.750000,3047.750000,1639752</t>
  </si>
  <si>
    <t>2020-07-01,3085.250000,3117.750000,3062.750000,3090.250000,3090.250000,1495163</t>
  </si>
  <si>
    <t>2020-07-02,3101.750000,3156.500000,3095.500000,3103.000000,3103.000000,1505910</t>
  </si>
  <si>
    <t>2020-07-05,3121.250000,3134.500000,3115.500000,3134.250000,3134.250000,1476642</t>
  </si>
  <si>
    <t>2020-07-06,3121.250000,3174.500000,3121.250000,3129.000000,3129.000000,1221231</t>
  </si>
  <si>
    <t>2020-07-07,3170.000000,3184.000000,3132.500000,3172.000000,3172.000000,1302206</t>
  </si>
  <si>
    <t>2020-07-08,3135.250000,3164.000000,3125.500000,3136.500000,3136.500000,1482315</t>
  </si>
  <si>
    <t>2020-07-09,3166.250000,3170.750000,3105.250000,3163.500000,3163.500000,1852744</t>
  </si>
  <si>
    <t>2020-07-10,3142.250000,3179.500000,3111.500000,3141.000000,3141.000000,1377397</t>
  </si>
  <si>
    <t>2020-07-12,3183.500000,3199.000000,3183.500000,3190.000000,3190.000000,2686372</t>
  </si>
  <si>
    <t>2020-07-13,3183.500000,3226.250000,3140.500000,3178.500000,3178.500000,2018528</t>
  </si>
  <si>
    <t>2020-07-14,3150.750000,3214.750000,3119.000000,3205.500000,3205.500000,764195426</t>
  </si>
  <si>
    <t>2020-07-15,3207.500000,3233.250000,3192.000000,3219.000000,3219.000000,652107210</t>
  </si>
  <si>
    <t>2020-07-16,3205.250000,3212.000000,3188.500000,3202.500000,3202.500000,524694228</t>
  </si>
  <si>
    <t>2020-07-17,3203.750000,3225.250000,3195.000000,3213.750000,3213.750000,422278366</t>
  </si>
  <si>
    <t>2020-07-19,3214.500000,3222.000000,3212.250000,3221.000000,3221.000000,1428748</t>
  </si>
  <si>
    <t>2020-07-20,3205.000000,3250.500000,3190.250000,3243.000000,3243.000000,485629149</t>
  </si>
  <si>
    <t>2020-07-21,3250.000000,3273.250000,3239.250000,3257.500000,3257.500000,484354138</t>
  </si>
  <si>
    <t>2020-07-22,3262.750000,3271.750000,3227.250000,3264.750000,3264.750000,463132391</t>
  </si>
  <si>
    <t>2020-07-23,3266.250000,3284.500000,3214.250000,3234.000000,3234.000000,477496799</t>
  </si>
  <si>
    <t>2020-07-24,3216.750000,3224.750000,3191.500000,3203.500000,3203.500000,598083711</t>
  </si>
  <si>
    <t>2020-07-26,3210.750000,3213.500000,3192.000000,3201.000000,3201.000000,2329517</t>
  </si>
  <si>
    <t>2020-07-27,3220.250000,3238.000000,3207.250000,3236.500000,3236.500000,441505097</t>
  </si>
  <si>
    <t>2020-07-28,3234.250000,3238.250000,3208.000000,3217.250000,3217.250000,462139027</t>
  </si>
  <si>
    <t>2020-07-29,3211.500000,3257.000000,3204.250000,3251.250000,3251.250000,334791643</t>
  </si>
  <si>
    <t>2020-07-30,3248.500000,3248.500000,3210.750000,3222.000000,3222.000000,51711264</t>
  </si>
  <si>
    <t>Date</t>
  </si>
  <si>
    <t>Closing Price</t>
  </si>
  <si>
    <t>3012.250000</t>
  </si>
  <si>
    <t>2982.250000</t>
  </si>
  <si>
    <t>2952.000000</t>
  </si>
  <si>
    <t>2932.500000</t>
  </si>
  <si>
    <t>2926.750000</t>
  </si>
  <si>
    <t>2830.000000</t>
  </si>
  <si>
    <t>2876.000000</t>
  </si>
  <si>
    <t>2880.500000</t>
  </si>
  <si>
    <t>2940.000000</t>
  </si>
  <si>
    <t>2919.750000</t>
  </si>
  <si>
    <t>2916.500000</t>
  </si>
  <si>
    <t>2880.250000</t>
  </si>
  <si>
    <t>2932.000000</t>
  </si>
  <si>
    <t>2840.750000</t>
  </si>
  <si>
    <t>2848.500000</t>
  </si>
  <si>
    <t>2891.500000</t>
  </si>
  <si>
    <t>2903.750000</t>
  </si>
  <si>
    <t>2923.750000</t>
  </si>
  <si>
    <t>2898.250000</t>
  </si>
  <si>
    <t>2929.250000</t>
  </si>
  <si>
    <t>2922.250000</t>
  </si>
  <si>
    <t>2855.500000</t>
  </si>
  <si>
    <t>2824.250000</t>
  </si>
  <si>
    <t>2883.250000</t>
  </si>
  <si>
    <t>2865.500000</t>
  </si>
  <si>
    <t>2889.750000</t>
  </si>
  <si>
    <t>2924.750000</t>
  </si>
  <si>
    <t>2909.750000</t>
  </si>
  <si>
    <t>2906.000000</t>
  </si>
  <si>
    <t>2938.500000</t>
  </si>
  <si>
    <t>2972.000000</t>
  </si>
  <si>
    <t>2980.750000</t>
  </si>
  <si>
    <t>2982.000000</t>
  </si>
  <si>
    <t>2978.250000</t>
  </si>
  <si>
    <t>2978.500000</t>
  </si>
  <si>
    <t>3002.000000</t>
  </si>
  <si>
    <t>3011.750000</t>
  </si>
  <si>
    <t>3006.500000</t>
  </si>
  <si>
    <t>2989.000000</t>
  </si>
  <si>
    <t>2999.000000</t>
  </si>
  <si>
    <t>3005.500000</t>
  </si>
  <si>
    <t>3006.250000</t>
  </si>
  <si>
    <t>3006.000000</t>
  </si>
  <si>
    <t>3013.610107</t>
  </si>
  <si>
    <t>3002.750000</t>
  </si>
  <si>
    <t>2997.000000</t>
  </si>
  <si>
    <t>2970.250000</t>
  </si>
  <si>
    <t>2986.250000</t>
  </si>
  <si>
    <t>2980.500000</t>
  </si>
  <si>
    <t>2963.750000</t>
  </si>
  <si>
    <t>2970.500000</t>
  </si>
  <si>
    <t>2937.750000</t>
  </si>
  <si>
    <t>2911.750000</t>
  </si>
  <si>
    <t>2951.000000</t>
  </si>
  <si>
    <t>2941.750000</t>
  </si>
  <si>
    <t>2937.500000</t>
  </si>
  <si>
    <t>2892.500000</t>
  </si>
  <si>
    <t>2919.000000</t>
  </si>
  <si>
    <t>2941.000000</t>
  </si>
  <si>
    <t>2970.750000</t>
  </si>
  <si>
    <t>2979.500000</t>
  </si>
  <si>
    <t>2965.500000</t>
  </si>
  <si>
    <t>2997.750000</t>
  </si>
  <si>
    <t>2991.500000</t>
  </si>
  <si>
    <t>2998.000000</t>
  </si>
  <si>
    <t>2988.250000</t>
  </si>
  <si>
    <t>2990.250000</t>
  </si>
  <si>
    <t>2994.500000</t>
  </si>
  <si>
    <t>3005.750000</t>
  </si>
  <si>
    <t>3004.250000</t>
  </si>
  <si>
    <t>3020.250000</t>
  </si>
  <si>
    <t>3024.250000</t>
  </si>
  <si>
    <t>3036.250000</t>
  </si>
  <si>
    <t>3035.750000</t>
  </si>
  <si>
    <t>3047.750000</t>
  </si>
  <si>
    <t>3063.250000</t>
  </si>
  <si>
    <t>3068.500000</t>
  </si>
  <si>
    <t>3075.750000</t>
  </si>
  <si>
    <t>3072.000000</t>
  </si>
  <si>
    <t>3075.500000</t>
  </si>
  <si>
    <t>3086.000000</t>
  </si>
  <si>
    <t>3090.500000</t>
  </si>
  <si>
    <t>3089.750000</t>
  </si>
  <si>
    <t>3087.500000</t>
  </si>
  <si>
    <t>3092.000000</t>
  </si>
  <si>
    <t>3095.500000</t>
  </si>
  <si>
    <t>3097.000000</t>
  </si>
  <si>
    <t>3118.250000</t>
  </si>
  <si>
    <t>3114.000000</t>
  </si>
  <si>
    <t>3121.750000</t>
  </si>
  <si>
    <t>3118.500000</t>
  </si>
  <si>
    <t>3109.000000</t>
  </si>
  <si>
    <t>3104.000000</t>
  </si>
  <si>
    <t>3111.500000</t>
  </si>
  <si>
    <t>3132.750000</t>
  </si>
  <si>
    <t>3143.750000</t>
  </si>
  <si>
    <t>3153.750000</t>
  </si>
  <si>
    <t>null</t>
  </si>
  <si>
    <t>3146.000000</t>
  </si>
  <si>
    <t>3114.250000</t>
  </si>
  <si>
    <t>3091.000000</t>
  </si>
  <si>
    <t>3111.000000</t>
  </si>
  <si>
    <t>3117.750000</t>
  </si>
  <si>
    <t>3146.750000</t>
  </si>
  <si>
    <t>3134.500000</t>
  </si>
  <si>
    <t>3136.000000</t>
  </si>
  <si>
    <t>3143.000000</t>
  </si>
  <si>
    <t>3168.000000</t>
  </si>
  <si>
    <t>3172.000000</t>
  </si>
  <si>
    <t>3176.250000</t>
  </si>
  <si>
    <t>3194.250000</t>
  </si>
  <si>
    <t>3192.000000</t>
  </si>
  <si>
    <t>3194.750000</t>
  </si>
  <si>
    <t>3207.000000</t>
  </si>
  <si>
    <t>3231.020020</t>
  </si>
  <si>
    <t>3228.250000</t>
  </si>
  <si>
    <t>3227.250000</t>
  </si>
  <si>
    <t>3244.500000</t>
  </si>
  <si>
    <t>3237.500000</t>
  </si>
  <si>
    <t>3240.750000</t>
  </si>
  <si>
    <t>3223.500000</t>
  </si>
  <si>
    <t>3231.000000</t>
  </si>
  <si>
    <t>3259.000000</t>
  </si>
  <si>
    <t>3235.500000</t>
  </si>
  <si>
    <t>3222.500000</t>
  </si>
  <si>
    <t>3243.500000</t>
  </si>
  <si>
    <t>3235.250000</t>
  </si>
  <si>
    <t>3260.250000</t>
  </si>
  <si>
    <t>3276.000000</t>
  </si>
  <si>
    <t>3264.750000</t>
  </si>
  <si>
    <t>3269.500000</t>
  </si>
  <si>
    <t>3289.750000</t>
  </si>
  <si>
    <t>3288.000000</t>
  </si>
  <si>
    <t>3293.750000</t>
  </si>
  <si>
    <t>3316.500000</t>
  </si>
  <si>
    <t>3325.000000</t>
  </si>
  <si>
    <t>3326.500000</t>
  </si>
  <si>
    <t>3319.500000</t>
  </si>
  <si>
    <t>3319.750000</t>
  </si>
  <si>
    <t>3326.000000</t>
  </si>
  <si>
    <t>3293.500000</t>
  </si>
  <si>
    <t>3256.500000</t>
  </si>
  <si>
    <t>3239.500000</t>
  </si>
  <si>
    <t>3278.250000</t>
  </si>
  <si>
    <t>3272.500000</t>
  </si>
  <si>
    <t>3224.000000</t>
  </si>
  <si>
    <t>3233.000000</t>
  </si>
  <si>
    <t>3245.500000</t>
  </si>
  <si>
    <t>3299.500000</t>
  </si>
  <si>
    <t>3335.000000</t>
  </si>
  <si>
    <t>3345.250000</t>
  </si>
  <si>
    <t>3325.500000</t>
  </si>
  <si>
    <t>3313.250000</t>
  </si>
  <si>
    <t>3353.000000</t>
  </si>
  <si>
    <t>3357.500000</t>
  </si>
  <si>
    <t>3380.500000</t>
  </si>
  <si>
    <t>3377.500000</t>
  </si>
  <si>
    <t>3381.000000</t>
  </si>
  <si>
    <t>3387.750000</t>
  </si>
  <si>
    <t>3369.250000</t>
  </si>
  <si>
    <t>3387.250000</t>
  </si>
  <si>
    <t>3339.250000</t>
  </si>
  <si>
    <t>3299.250000</t>
  </si>
  <si>
    <t>3226.250000</t>
  </si>
  <si>
    <t>3132.500000</t>
  </si>
  <si>
    <t>3110.250000</t>
  </si>
  <si>
    <t>2956.899902</t>
  </si>
  <si>
    <t>2957.000000</t>
  </si>
  <si>
    <t>2951.100098</t>
  </si>
  <si>
    <t>3065.100098</t>
  </si>
  <si>
    <t>2997.100098</t>
  </si>
  <si>
    <t>3114.699951</t>
  </si>
  <si>
    <t>3015.500000</t>
  </si>
  <si>
    <t>2964.100098</t>
  </si>
  <si>
    <t>2747.699951</t>
  </si>
  <si>
    <t>2865.750000</t>
  </si>
  <si>
    <t>2740.300049</t>
  </si>
  <si>
    <t>2468.899902</t>
  </si>
  <si>
    <t>2683.899902</t>
  </si>
  <si>
    <t>2408.000000</t>
  </si>
  <si>
    <t>2485.500000</t>
  </si>
  <si>
    <t>2401.399902</t>
  </si>
  <si>
    <t>2389.000000</t>
  </si>
  <si>
    <t>2203.250000</t>
  </si>
  <si>
    <t>2254.750000</t>
  </si>
  <si>
    <t>2421.500000</t>
  </si>
  <si>
    <t>2466.250000</t>
  </si>
  <si>
    <t>2625.750000</t>
  </si>
  <si>
    <t>2520.000000</t>
  </si>
  <si>
    <t>2489.000000</t>
  </si>
  <si>
    <t>2615.250000</t>
  </si>
  <si>
    <t>2540.500000</t>
  </si>
  <si>
    <t>2469.000000</t>
  </si>
  <si>
    <t>2504.000000</t>
  </si>
  <si>
    <t>2480.250000</t>
  </si>
  <si>
    <t>2658.000000</t>
  </si>
  <si>
    <t>2644.500000</t>
  </si>
  <si>
    <t>2748.250000</t>
  </si>
  <si>
    <t>2787.000000</t>
  </si>
  <si>
    <t>2745.000000</t>
  </si>
  <si>
    <t>2766.500000</t>
  </si>
  <si>
    <t>2834.000000</t>
  </si>
  <si>
    <t>2754.250000</t>
  </si>
  <si>
    <t>2866.500000</t>
  </si>
  <si>
    <t>2869.000000</t>
  </si>
  <si>
    <t>2847.500000</t>
  </si>
  <si>
    <t>2816.500000</t>
  </si>
  <si>
    <t>2739.750000</t>
  </si>
  <si>
    <t>2732.000000</t>
  </si>
  <si>
    <t>2770.000000</t>
  </si>
  <si>
    <t>2828.000000</t>
  </si>
  <si>
    <t>2818.750000</t>
  </si>
  <si>
    <t>2867.000000</t>
  </si>
  <si>
    <t>2872.500000</t>
  </si>
  <si>
    <t>2867.250000</t>
  </si>
  <si>
    <t>2902.500000</t>
  </si>
  <si>
    <t>2776.500000</t>
  </si>
  <si>
    <t>2821.750000</t>
  </si>
  <si>
    <t>2866.750000</t>
  </si>
  <si>
    <t>2833.000000</t>
  </si>
  <si>
    <t>2884.500000</t>
  </si>
  <si>
    <t>2930.500000</t>
  </si>
  <si>
    <t>2936.000000</t>
  </si>
  <si>
    <t>2915.250000</t>
  </si>
  <si>
    <t>2829.750000</t>
  </si>
  <si>
    <t>2818.250000</t>
  </si>
  <si>
    <t>2851.000000</t>
  </si>
  <si>
    <t>2854.750000</t>
  </si>
  <si>
    <t>2870.500000</t>
  </si>
  <si>
    <t>2947.750000</t>
  </si>
  <si>
    <t>2923.500000</t>
  </si>
  <si>
    <t>2964.500000</t>
  </si>
  <si>
    <t>2948.750000</t>
  </si>
  <si>
    <t>2956.250000</t>
  </si>
  <si>
    <t>2967.500000</t>
  </si>
  <si>
    <t>2953.000000</t>
  </si>
  <si>
    <t>3035.500000</t>
  </si>
  <si>
    <t>3038.000000</t>
  </si>
  <si>
    <t>3021.500000</t>
  </si>
  <si>
    <t>3042.000000</t>
  </si>
  <si>
    <t>3054.000000</t>
  </si>
  <si>
    <t>3077.000000</t>
  </si>
  <si>
    <t>3110.500000</t>
  </si>
  <si>
    <t>3209.250000</t>
  </si>
  <si>
    <t>3186.750000</t>
  </si>
  <si>
    <t>3227.500000</t>
  </si>
  <si>
    <t>3205.500000</t>
  </si>
  <si>
    <t>3186.000000</t>
  </si>
  <si>
    <t>3010.250000</t>
  </si>
  <si>
    <t>3000.750000</t>
  </si>
  <si>
    <t>3023.750000</t>
  </si>
  <si>
    <t>3062.000000</t>
  </si>
  <si>
    <t>3107.000000</t>
  </si>
  <si>
    <t>3098.000000</t>
  </si>
  <si>
    <t>3053.250000</t>
  </si>
  <si>
    <t>3059.500000</t>
  </si>
  <si>
    <t>3110.750000</t>
  </si>
  <si>
    <t>3049.000000</t>
  </si>
  <si>
    <t>3070.750000</t>
  </si>
  <si>
    <t>3007.000000</t>
  </si>
  <si>
    <t>3090.250000</t>
  </si>
  <si>
    <t>3103.000000</t>
  </si>
  <si>
    <t>3134.250000</t>
  </si>
  <si>
    <t>3129.000000</t>
  </si>
  <si>
    <t>3136.500000</t>
  </si>
  <si>
    <t>3163.500000</t>
  </si>
  <si>
    <t>3141.000000</t>
  </si>
  <si>
    <t>3190.000000</t>
  </si>
  <si>
    <t>3178.500000</t>
  </si>
  <si>
    <t>3219.000000</t>
  </si>
  <si>
    <t>3202.500000</t>
  </si>
  <si>
    <t>3213.750000</t>
  </si>
  <si>
    <t>3221.000000</t>
  </si>
  <si>
    <t>3243.000000</t>
  </si>
  <si>
    <t>3257.500000</t>
  </si>
  <si>
    <t>3234.000000</t>
  </si>
  <si>
    <t>3203.500000</t>
  </si>
  <si>
    <t>3201.000000</t>
  </si>
  <si>
    <t>3236.500000</t>
  </si>
  <si>
    <t>3217.250000</t>
  </si>
  <si>
    <t>3251.250000</t>
  </si>
  <si>
    <t>3222.000000</t>
  </si>
  <si>
    <t>2019-09-23,1567.900024,1570.400024,1552.300049,1568.900024,1568.900024,36466337</t>
  </si>
  <si>
    <t>2019-09-24,1566.099976,1568.500000,1530.300049,1539.400024,1539.400024,48457133</t>
  </si>
  <si>
    <t>2019-09-25,1540.800049,1556.500000,1529.400024,1552.699951,1552.699951,48700536</t>
  </si>
  <si>
    <t>2019-09-26,1551.199951,1558.599976,1531.599976,1537.000000,1537.000000,40671255</t>
  </si>
  <si>
    <t>2019-09-27,1534.599976,1544.500000,1516.599976,1525.900024,1525.900024,40287842</t>
  </si>
  <si>
    <t>2019-09-29,1529.800049,1532.599976,1525.300049,1527.800049,1527.800049,99695</t>
  </si>
  <si>
    <t>2019-09-30,1531.900024,1534.199951,1519.500000,1527.699951,1527.699951,34917206</t>
  </si>
  <si>
    <t>2019-10-01,1531.699951,1545.000000,1491.199951,1497.500000,1497.500000,54732437</t>
  </si>
  <si>
    <t>2019-10-02,1498.599976,1498.900024,1468.500000,1480.599976,1480.599976,53619117</t>
  </si>
  <si>
    <t>2019-10-03,1481.599976,1489.199951,1459.000000,1484.400024,1484.400024,50009453</t>
  </si>
  <si>
    <t>2019-10-04,1484.400024,1502.400024,1477.699951,1500.400024,1500.400024,37054788</t>
  </si>
  <si>
    <t>2019-10-06,1490.699951,1495.699951,1487.500000,1494.300049,1494.300049,112171</t>
  </si>
  <si>
    <t>2019-10-07,1492.699951,1510.500000,1491.000000,1499.199951,1499.199951,32301749</t>
  </si>
  <si>
    <t>2019-10-08,1503.900024,1505.400024,1470.500000,1473.699951,1473.699951,43524155</t>
  </si>
  <si>
    <t>2019-10-09,1478.699951,1490.900024,1462.699951,1467.199951,1467.199951,30625959</t>
  </si>
  <si>
    <t>2019-10-10,1479.300049,1497.599976,1476.199951,1491.300049,1491.300049,44314475</t>
  </si>
  <si>
    <t>2019-10-11,1493.699951,1529.800049,1492.699951,1512.900024,1512.900024,50843193</t>
  </si>
  <si>
    <t>2019-10-13,1510.400024,1519.900024,1510.400024,1518.400024,1518.400024,41370</t>
  </si>
  <si>
    <t>2019-10-14,1516.500000,1517.800049,1500.800049,1510.400024,1510.400024,23887321</t>
  </si>
  <si>
    <t>2019-10-15,1509.500000,1531.400024,1507.699951,1523.699951,1523.699951,28769469</t>
  </si>
  <si>
    <t>2019-10-16,1520.199951,1532.599976,1517.199951,1523.099976,1523.099976,26002660</t>
  </si>
  <si>
    <t>2019-10-17,1523.599976,1545.000000,1521.300049,1541.500000,1541.500000,31234019</t>
  </si>
  <si>
    <t>2019-10-18,1539.699951,1544.699951,1524.300049,1537.300049,1537.300049,29125706</t>
  </si>
  <si>
    <t>2019-10-20,1534.699951,1538.900024,1534.199951,1538.300049,1538.300049,46672</t>
  </si>
  <si>
    <t>2019-10-21,1542.099976,1559.900024,1538.699951,1551.699951,1551.699951,32807436</t>
  </si>
  <si>
    <t>2019-10-22,1555.500000,1560.300049,1547.099976,1550.000000,1550.000000,24131543</t>
  </si>
  <si>
    <t>2019-10-23,1548.699951,1558.000000,1545.199951,1555.800049,1555.800049,22121339</t>
  </si>
  <si>
    <t>2019-10-24,1554.900024,1560.000000,1544.099976,1549.300049,1549.300049,25225940</t>
  </si>
  <si>
    <t>2019-10-25,1550.500000,1564.900024,1547.599976,1558.800049,1558.800049,22301488</t>
  </si>
  <si>
    <t>2019-10-27,1560.199951,1561.699951,1559.800049,1560.500000,1560.500000,32986</t>
  </si>
  <si>
    <t>2019-10-28,1560.800049,1579.599976,1559.699951,1574.300049,1574.300049,28217592</t>
  </si>
  <si>
    <t>2019-10-29,1573.300049,1582.900024,1568.000000,1577.300049,1577.300049,27722280</t>
  </si>
  <si>
    <t>2019-10-30,1576.000000,1579.699951,1562.099976,1573.699951,1573.699951,25049317</t>
  </si>
  <si>
    <t>2019-10-31,1574.199951,1575.800049,1551.099976,1561.900024,1561.900024,35147514</t>
  </si>
  <si>
    <t>2019-11-01,1565.599976,1591.000000,1563.300049,1589.599976,1589.599976,36091156</t>
  </si>
  <si>
    <t>2019-11-03,1589.699951,1594.000000,1589.699951,1593.300049,1593.300049,15062</t>
  </si>
  <si>
    <t>2019-11-04,1593.599976,1605.800049,1592.199951,1601.099976,1601.099976,33569190</t>
  </si>
  <si>
    <t>2019-11-05,1600.000000,1613.400024,1598.199951,1599.199951,1599.199951,36773769</t>
  </si>
  <si>
    <t>2019-11-06,1597.500000,1602.400024,1586.900024,1592.099976,1592.099976,32141805</t>
  </si>
  <si>
    <t>2019-11-07,1591.400024,1610.599976,1590.400024,1595.500000,1595.500000,37945466</t>
  </si>
  <si>
    <t>2019-11-08,1591.199951,1601.300049,1588.699951,1600.500000,1600.500000,30974000</t>
  </si>
  <si>
    <t>2019-11-10,1600.099976,1600.599976,1599.099976,1599.300049,1599.300049,3557</t>
  </si>
  <si>
    <t>2019-11-11,1594.300049,1597.800049,1587.199951,1596.099976,1596.099976,26545414</t>
  </si>
  <si>
    <t>2019-11-12,1596.400024,1607.199951,1593.099976,1594.099976,1594.099976,27775269</t>
  </si>
  <si>
    <t>2019-11-13,1590.800049,1594.000000,1579.699951,1592.599976,1592.599976,37232915</t>
  </si>
  <si>
    <t>2019-11-14,1590.800049,1597.099976,1585.800049,1590.000000,1590.000000,31428078</t>
  </si>
  <si>
    <t>2019-11-15,1597.199951,1600.800049,1591.300049,1597.500000,1597.500000,30661727</t>
  </si>
  <si>
    <t>2019-11-17,1598.400024,1598.400024,1594.000000,1594.300049,1594.300049,13200</t>
  </si>
  <si>
    <t>2019-11-18,1594.900024,1601.199951,1587.000000,1590.900024,1590.900024,29376538</t>
  </si>
  <si>
    <t>2019-11-19,1593.400024,1605.000000,1590.699951,1595.400024,1595.400024,32000282</t>
  </si>
  <si>
    <t>2019-11-20,1595.000000,1603.800049,1580.199951,1591.900024,1591.900024,40599754</t>
  </si>
  <si>
    <t>2019-11-21,1590.400024,1599.000000,1579.400024,1583.900024,1583.900024,41294773</t>
  </si>
  <si>
    <t>2019-11-22,1586.500000,1592.800049,1580.599976,1591.599976,1591.599976,34611365</t>
  </si>
  <si>
    <t>2019-11-24,1595.400024,1597.000000,1594.599976,1595.400024,1595.400024,27389</t>
  </si>
  <si>
    <t>2019-11-25,1595.599976,1625.500000,1594.099976,1623.300049,1623.300049,34593024</t>
  </si>
  <si>
    <t>2019-11-26,1624.800049,1632.599976,1619.800049,1627.000000,1627.000000,35791694</t>
  </si>
  <si>
    <t>2019-11-27,1627.500000,1636.400024,1625.900024,1629.900024,1629.900024,28270418</t>
  </si>
  <si>
    <t>2019-12-01,1625.099976,1627.800049,1625.099976,1627.099976,1627.099976,37837</t>
  </si>
  <si>
    <t>2019-12-02,1630.099976,1635.400024,1605.500000,1607.900024,1607.900024,44603997</t>
  </si>
  <si>
    <t>2019-12-03,1613.800049,1614.500000,1587.500000,1605.800049,1605.800049,49499174</t>
  </si>
  <si>
    <t>2019-12-04,1606.199951,1618.500000,1599.099976,1613.300049,1613.300049,36017059</t>
  </si>
  <si>
    <t>2019-12-05,1613.699951,1622.699951,1610.599976,1617.500000,1617.500000,31638345</t>
  </si>
  <si>
    <t>2019-12-06,1618.800049,1640.300049,1616.800049,1636.699951,1636.699951,37326015</t>
  </si>
  <si>
    <t>2019-12-08,1636.599976,1637.699951,1635.900024,1636.000000,1636.000000,20002</t>
  </si>
  <si>
    <t>2019-12-09,1632.199951,1637.800049,1628.599976,1630.500000,1630.500000,25393230</t>
  </si>
  <si>
    <t>2019-12-10,1630.900024,1636.000000,1619.099976,1632.500000,1632.500000,31258461</t>
  </si>
  <si>
    <t>2019-12-11,1632.099976,1637.599976,1626.400024,1635.800049,1635.800049,26872611</t>
  </si>
  <si>
    <t>2019-12-12,1635.900024,1657.099976,1628.199951,1654.300049,1654.300049,54417972</t>
  </si>
  <si>
    <t>2019-12-13,1653.099976,1660.199951,1631.400024,1644.300049,1644.300049,76268323</t>
  </si>
  <si>
    <t>2019-12-15,1645.500000,1647.400024,1641.900024,1645.400024,1645.400024,23751</t>
  </si>
  <si>
    <t>2019-12-16,1645.199951,1664.199951,1643.699951,1654.699951,1654.699951,63273940</t>
  </si>
  <si>
    <t>2019-12-17,1655.500000,1661.300049,1647.099976,1660.300049,1660.300049,46599440</t>
  </si>
  <si>
    <t>2019-12-18,1660.300049,1669.000000,1655.099976,1667.500000,1667.500000,39514601</t>
  </si>
  <si>
    <t>2019-12-19,1665.800049,1674.199951,1660.900024,1673.599976,1673.599976,27595386</t>
  </si>
  <si>
    <t>2019-12-20,1672.599976,1679.699951,1666.500000,1672.699951,1672.699951,28886650</t>
  </si>
  <si>
    <t>2019-12-22,1673.800049,1675.500000,1673.099976,1675.199951,1675.199951,29863</t>
  </si>
  <si>
    <t>2019-12-23,1676.300049,1677.800049,1667.800049,1674.900024,1674.900024,8062543</t>
  </si>
  <si>
    <t>2019-12-26,null,null,null,null,null,null</t>
  </si>
  <si>
    <t>2019-12-27,1684.400024,1687.800049,1668.500000,1669.000000,1669.000000,28381822</t>
  </si>
  <si>
    <t>2019-12-29,1669.500000,1672.500000,1669.500000,1672.300049,1672.300049,35676</t>
  </si>
  <si>
    <t>2019-12-30,1673.800049,1675.900024,1659.400024,1668.900024,1668.900024,32206149</t>
  </si>
  <si>
    <t>2019-12-31,1670.800049,1676.900024,1660.599976,1674.099976,1674.099976,29536724</t>
  </si>
  <si>
    <t>2020-01-02,1675.699951,1684.800049,1654.599976,1672.699951,1672.699951,49217231</t>
  </si>
  <si>
    <t>2020-01-03,1655.500000,1666.400024,1639.699951,1661.900024,1661.900024,60115614</t>
  </si>
  <si>
    <t>2020-01-05,1653.199951,1655.599976,1651.199951,1655.400024,1655.400024,127797</t>
  </si>
  <si>
    <t>2020-01-06,1658.099976,1667.900024,1646.599976,1662.599976,1662.599976,45561199</t>
  </si>
  <si>
    <t>2020-01-07,1667.900024,1669.400024,1635.300049,1640.199951,1640.199951,40361713</t>
  </si>
  <si>
    <t>2020-01-08,1650.300049,1672.300049,1649.099976,1669.199951,1669.199951,72255642</t>
  </si>
  <si>
    <t>2020-01-09,1669.599976,1676.599976,1664.300049,1668.599976,1668.599976,35833974</t>
  </si>
  <si>
    <t>2020-01-10,1670.800049,1672.000000,1653.400024,1657.599976,1657.599976,42347309</t>
  </si>
  <si>
    <t>2020-01-12,1657.000000,1661.400024,1657.000000,1659.400024,1659.400024,70939</t>
  </si>
  <si>
    <t>2020-01-13,1662.699951,1672.900024,1652.000000,1672.699951,1672.699951,36124445</t>
  </si>
  <si>
    <t>2020-01-14,1669.500000,1687.400024,1660.900024,1673.900024,1673.900024,51890707</t>
  </si>
  <si>
    <t>2020-01-15,1672.199951,1691.199951,1671.000000,1689.099976,1689.099976,43480265</t>
  </si>
  <si>
    <t>2020-01-16,1689.800049,1711.199951,1689.699951,1708.800049,1708.800049,55348575</t>
  </si>
  <si>
    <t>2020-01-17,1707.199951,1715.099976,1698.099976,1698.699951,1698.699951,40574435</t>
  </si>
  <si>
    <t>2020-01-19,1698.900024,1701.900024,1698.400024,1701.800049,1701.800049,32391</t>
  </si>
  <si>
    <t>2020-01-21,1692.900024,1696.400024,1683.199951,1687.099976,1687.099976,56347533</t>
  </si>
  <si>
    <t>2020-01-22,1694.000000,1697.099976,1680.400024,1682.099976,1682.099976,39897644</t>
  </si>
  <si>
    <t>2020-01-23,1682.199951,1690.300049,1664.900024,1687.599976,1687.599976,44887030</t>
  </si>
  <si>
    <t>2020-01-24,1688.699951,1694.300049,1652.500000,1662.900024,1662.900024,51832129</t>
  </si>
  <si>
    <t>2020-01-26,1651.099976,1652.199951,1641.000000,1644.000000,1644.000000,239259</t>
  </si>
  <si>
    <t>2020-01-27,1648.099976,1655.199951,1634.300049,1647.699951,1647.699951,74668026</t>
  </si>
  <si>
    <t>2020-01-28,1652.699951,1664.300049,1646.599976,1657.599976,1657.599976,52610821</t>
  </si>
  <si>
    <t>2020-01-29,1662.400024,1665.699951,1646.199951,1650.000000,1650.000000,41176021</t>
  </si>
  <si>
    <t>2020-01-30,1639.000000,1651.599976,1628.699951,1647.500000,1647.500000,56113958</t>
  </si>
  <si>
    <t>2020-01-31,1651.000000,1651.000000,1609.099976,1616.500000,1616.500000,60107537</t>
  </si>
  <si>
    <t>2020-02-02,1613.500000,1620.900024,1613.500000,1618.400024,1618.400024,62750</t>
  </si>
  <si>
    <t>2020-02-03,1626.500000,1639.000000,1619.800049,1631.300049,1631.300049,54103234</t>
  </si>
  <si>
    <t>2020-02-04,1641.300049,1662.599976,1640.900024,1657.699951,1657.699951,47504270</t>
  </si>
  <si>
    <t>2020-02-05,1658.500000,1686.000000,1655.300049,1683.500000,1683.500000,47792122</t>
  </si>
  <si>
    <t>2020-02-06,1693.099976,1695.199951,1676.800049,1681.599976,1681.599976,38480812</t>
  </si>
  <si>
    <t>2020-02-07,1677.099976,1680.500000,1652.699951,1656.900024,1656.900024,45258889</t>
  </si>
  <si>
    <t>2020-02-09,1656.300049,1659.699951,1646.400024,1650.400024,1650.400024,83746</t>
  </si>
  <si>
    <t>2020-02-10,1656.800049,1669.599976,1653.300049,1668.500000,1668.500000,37116416</t>
  </si>
  <si>
    <t>2020-02-11,1675.099976,1688.500000,1670.199951,1679.800049,1679.800049,42557676</t>
  </si>
  <si>
    <t>2020-02-12,1681.699951,1691.900024,1681.300049,1687.699951,1687.699951,34394962</t>
  </si>
  <si>
    <t>2020-02-13,1683.400024,1698.000000,1673.199951,1693.599976,1693.599976,45175349</t>
  </si>
  <si>
    <t>2020-02-14,1701.099976,1701.699951,1681.800049,1687.199951,1687.199951,38493159</t>
  </si>
  <si>
    <t>2020-02-16,1687.599976,1691.900024,1687.599976,1691.300049,1691.300049,24038</t>
  </si>
  <si>
    <t>2020-02-18,1681.699951,1689.099976,1672.599976,1686.699951,1686.699951,55041012</t>
  </si>
  <si>
    <t>2020-02-19,1689.199951,1699.500000,1686.300049,1695.599976,1695.599976,33362152</t>
  </si>
  <si>
    <t>2020-02-20,1688.800049,1698.900024,1673.699951,1687.900024,1687.900024,54730420</t>
  </si>
  <si>
    <t>2020-02-21,1689.300049,1692.199951,1671.000000,1678.400024,1678.400024,57506020</t>
  </si>
  <si>
    <t>2020-02-23,1665.800049,1666.599976,1650.500000,1655.699951,1655.699951,225610</t>
  </si>
  <si>
    <t>2020-02-24,1652.500000,1653.900024,1618.000000,1632.500000,1632.500000,94005090</t>
  </si>
  <si>
    <t>2020-02-25,1642.099976,1645.500000,1566.300049,1582.199951,1582.199951,101952419</t>
  </si>
  <si>
    <t>2020-02-26,1585.000000,1591.599976,1541.800049,1547.800049,1547.800049,99794694</t>
  </si>
  <si>
    <t>2020-02-27,1523.800049,1556.699951,1474.800049,1490.000000,1490.000000,111386257</t>
  </si>
  <si>
    <t>2020-02-28,1479.199951,1498.900024,1444.000000,1494.300049,1494.300049,147751255</t>
  </si>
  <si>
    <t>2020-03-01,1454.500000,1461.900024,1446.400024,1453.000000,1453.000000,199041</t>
  </si>
  <si>
    <t>2020-03-02,1486.099976,1520.099976,1451.300049,1510.599976,1510.599976,124414166</t>
  </si>
  <si>
    <t>2020-03-03,1507.300049,1548.000000,1468.400024,1476.099976,1476.099976,101718407</t>
  </si>
  <si>
    <t>2020-03-04,1496.099976,1530.199951,1490.400024,1518.099976,1518.099976,75962071</t>
  </si>
  <si>
    <t>2020-03-05,1511.199951,1517.900024,1459.599976,1480.400024,1480.400024,66440751</t>
  </si>
  <si>
    <t>2020-03-06,1459.300049,1468.900024,1414.400024,1444.900024,1444.900024,80169756</t>
  </si>
  <si>
    <t>2020-03-08,1419.800049,1419.800049,1376.099976,1376.099976,1376.099976,505428</t>
  </si>
  <si>
    <t>2020-03-09,1376.099976,1376.599976,1289.500000,1341.900024,1341.900024,46649676</t>
  </si>
  <si>
    <t>2020-03-10,1349.099976,1373.800049,1283.699951,1319.400024,1319.400024,100858050</t>
  </si>
  <si>
    <t>2020-03-11,1313.099976,1326.099976,1244.699951,1257.900024,1257.900024,88908651</t>
  </si>
  <si>
    <t>2020-03-12,1201.000000,1226.800049,1084.099976,1092.699951,1092.699951,99423112</t>
  </si>
  <si>
    <t>2020-03-13,1074.400024,1217.300049,1074.400024,1199.699951,1199.699951,83998491</t>
  </si>
  <si>
    <t>2020-03-15,1174.699951,1188.599976,1138.099976,1138.099976,1138.099976,149962</t>
  </si>
  <si>
    <t>2020-03-16,1138.099976,1138.099976,973.700012,1041.099976,1041.099976,68866266</t>
  </si>
  <si>
    <t>2020-03-17,1043.500000,1107.500000,1000.700012,1052.400024,1052.400024,77764157</t>
  </si>
  <si>
    <t>2020-03-18,1034.699951,1068.599976,959.099976,1033.900024,1033.900024,50747320</t>
  </si>
  <si>
    <t>2020-03-19,953.900024,1073.500000,951.700012,1016.299988,1016.299988,94207759</t>
  </si>
  <si>
    <t>2020-03-20,1029.500000,1100.699951,994.299988,997.799988,997.799988,80435752</t>
  </si>
  <si>
    <t>2020-03-22,979.000000,979.000000,962.400024,962.400024,962.400024,26420</t>
  </si>
  <si>
    <t>2020-03-23,969.900024,1063.800049,958.900024,1015.500000,1015.500000,64687806</t>
  </si>
  <si>
    <t>2020-03-24,1028.099976,1109.599976,1024.199951,1087.099976,1087.099976,66840908</t>
  </si>
  <si>
    <t>2020-03-25,1073.199951,1145.099976,1062.800049,1095.500000,1095.500000,73963523</t>
  </si>
  <si>
    <t>2020-03-26,1089.599976,1180.300049,1069.000000,1166.599976,1166.599976,67142215</t>
  </si>
  <si>
    <t>2020-03-27,1151.900024,1164.099976,1111.800049,1120.099976,1120.099976,53571161</t>
  </si>
  <si>
    <t>2020-03-29,1095.000000,1117.800049,1086.300049,1116.599976,1116.599976,380006</t>
  </si>
  <si>
    <t>2020-03-30,1130.000000,1158.699951,1111.900024,1154.300049,1154.300049,48520806</t>
  </si>
  <si>
    <t>2020-03-31,1155.099976,1166.900024,1120.099976,1120.599976,1120.599976,41238395</t>
  </si>
  <si>
    <t>2020-04-01,1113.500000,1113.500000,1059.199951,1074.599976,1074.599976,55049699</t>
  </si>
  <si>
    <t>2020-04-02,1082.099976,1108.099976,1049.800049,1074.099976,1074.099976,52955471</t>
  </si>
  <si>
    <t>2020-04-03,1066.800049,1084.599976,1029.699951,1050.300049,1050.300049,42710980</t>
  </si>
  <si>
    <t>2020-04-06,1090.199951,1138.000000,1088.099976,1128.000000,1128.000000,50139708</t>
  </si>
  <si>
    <t>2020-04-07,1113.599976,1190.400024,1113.599976,1130.400024,1130.400024,66226473</t>
  </si>
  <si>
    <t>2020-04-08,1126.699951,1197.300049,1117.800049,1188.900024,1188.900024,46198629</t>
  </si>
  <si>
    <t>2020-04-09,1180.000000,1250.900024,1167.699951,1248.900024,1248.900024,77440421</t>
  </si>
  <si>
    <t>2020-04-12,1265.000000,1265.599976,1213.000000,1221.900024,1221.900024,478254</t>
  </si>
  <si>
    <t>2020-04-13,1220.099976,1239.599976,1195.099976,1219.699951,1219.699951,42645993</t>
  </si>
  <si>
    <t>2020-04-14,1237.500000,1253.800049,1217.800049,1231.599976,1231.599976,45320898</t>
  </si>
  <si>
    <t>2020-04-15,1224.800049,1229.099976,1169.099976,1171.699951,1171.699951,49209055</t>
  </si>
  <si>
    <t>2020-04-16,1173.400024,1232.300049,1148.500000,1232.300049,1232.300049,57867526</t>
  </si>
  <si>
    <t>2020-04-17,1232.300049,1232.300049,1204.400024,1222.099976,1222.099976,52360606</t>
  </si>
  <si>
    <t>2020-04-19,1211.000000,1213.900024,1206.800049,1211.000000,1211.000000,230571</t>
  </si>
  <si>
    <t>2020-04-20,1225.599976,1233.500000,1190.800049,1212.300049,1212.300049,45391799</t>
  </si>
  <si>
    <t>2020-04-21,1194.900024,1205.800049,1164.599976,1188.000000,1188.000000,54028068</t>
  </si>
  <si>
    <t>2020-04-22,1182.000000,1213.900024,1175.699951,1187.000000,1187.000000,39331146</t>
  </si>
  <si>
    <t>2020-04-23,1188.500000,1233.099976,1188.500000,1197.099976,1197.099976,44043577</t>
  </si>
  <si>
    <t>2020-04-24,1194.500000,1237.400024,1189.000000,1224.900024,1224.900024,36130944</t>
  </si>
  <si>
    <t>2020-04-26,1221.400024,1226.300049,1217.800049,1221.599976,1221.599976,278233</t>
  </si>
  <si>
    <t>2020-04-27,1242.500000,1289.300049,1240.500000,1278.500000,1278.500000,57569584</t>
  </si>
  <si>
    <t>2020-04-28,1267.699951,1320.699951,1264.800049,1303.000000,1303.000000,66823802</t>
  </si>
  <si>
    <t>2020-04-29,1313.800049,1374.000000,1305.000000,1364.199951,1364.199951,66469435</t>
  </si>
  <si>
    <t>2020-04-30,1366.099976,1370.599976,1283.000000,1288.400024,1288.400024,68096229</t>
  </si>
  <si>
    <t>2020-05-01,1286.500000,1290.199951,1236.500000,1253.000000,1253.000000,49963714</t>
  </si>
  <si>
    <t>2020-05-03,1236.800049,1241.199951,1220.099976,1222.800049,1222.800049,392391</t>
  </si>
  <si>
    <t>2020-05-04,1245.099976,1263.400024,1226.400024,1260.199951,1260.199951,53235882</t>
  </si>
  <si>
    <t>2020-05-05,1269.699951,1303.699951,1262.000000,1274.199951,1274.199951,50570054</t>
  </si>
  <si>
    <t>2020-05-06,1265.400024,1286.400024,1262.699951,1278.099976,1278.099976,6992932</t>
  </si>
  <si>
    <t>2020-05-07,1264.300049,1289.000000,1261.400024,1284.500000,1284.500000,47897337</t>
  </si>
  <si>
    <t>2020-05-08,1304.599976,1330.800049,1295.000000,1330.800049,1330.800049,46653180</t>
  </si>
  <si>
    <t>2020-05-10,1327.099976,1336.099976,1318.000000,1334.500000,1334.500000,183357</t>
  </si>
  <si>
    <t>2020-05-11,1337.400024,1339.500000,1297.300049,1311.599976,1311.599976,54429901</t>
  </si>
  <si>
    <t>2020-05-12,1304.599976,1332.099976,1250.000000,1250.599976,1250.599976,54277479</t>
  </si>
  <si>
    <t>2020-05-13,1263.800049,1279.500000,1208.099976,1235.800049,1235.800049,80493474</t>
  </si>
  <si>
    <t>2020-05-14,1227.599976,1241.699951,1174.900024,1241.099976,1241.099976,88875765</t>
  </si>
  <si>
    <t>2020-05-15,1234.500000,1259.099976,1212.599976,1252.900024,1252.900024,64611348</t>
  </si>
  <si>
    <t>2020-05-17,1254.099976,1273.099976,1247.500000,1268.900024,1268.900024,504434</t>
  </si>
  <si>
    <t>2020-05-18,1275.699951,1338.199951,1270.500000,1333.599976,1333.599976,81820873</t>
  </si>
  <si>
    <t>2020-05-19,1324.599976,1350.699951,1297.500000,1311.000000,1311.000000,57196662</t>
  </si>
  <si>
    <t>2020-05-20,1321.300049,1354.199951,1315.199951,1343.900024,1343.900024,64944822</t>
  </si>
  <si>
    <t>2020-05-21,1332.800049,1355.000000,1327.000000,1352.400024,1352.400024,48968304</t>
  </si>
  <si>
    <t>2020-05-22,1328.699951,1357.500000,1315.900024,1356.000000,1356.000000,53298905</t>
  </si>
  <si>
    <t>2020-05-24,1362.000000,1365.599976,1359.699951,1364.699951,1364.699951,72697</t>
  </si>
  <si>
    <t>2020-05-26,1390.400024,1410.099976,1386.599976,1393.500000,1393.500000,80444615</t>
  </si>
  <si>
    <t>2020-05-27,1410.300049,1442.800049,1377.400024,1441.099976,1441.099976,79758255</t>
  </si>
  <si>
    <t>2020-05-28,1437.000000,1453.000000,1393.900024,1401.000000,1401.000000,75628130</t>
  </si>
  <si>
    <t>2020-05-29,1397.800049,1407.900024,1368.300049,1406.300049,1406.300049,69377887</t>
  </si>
  <si>
    <t>2020-05-31,1378.500000,1383.699951,1377.300049,1383.099976,1383.099976,105672</t>
  </si>
  <si>
    <t>2020-06-01,1393.900024,1421.099976,1381.000000,1391.199951,1391.199951,53712284</t>
  </si>
  <si>
    <t>2020-06-02,1397.599976,1425.199951,1395.099976,1423.800049,1423.800049,55569978</t>
  </si>
  <si>
    <t>2020-06-03,1425.199951,1465.199951,1424.400024,1458.199951,1458.199951,58270979</t>
  </si>
  <si>
    <t>2020-06-04,1445.699951,1460.000000,1427.300049,1451.699951,1451.699951,66274501</t>
  </si>
  <si>
    <t>2020-06-05,1465.699951,1527.800049,1463.699951,1502.300049,1502.300049,88539156</t>
  </si>
  <si>
    <t>2020-06-07,1506.000000,1525.000000,1502.400024,1523.800049,1523.800049,257328</t>
  </si>
  <si>
    <t>2020-06-08,1511.300049,1539.400024,1501.000000,1535.900024,1535.900024,58145828</t>
  </si>
  <si>
    <t>2020-06-09,1533.800049,1538.699951,1495.199951,1515.400024,1515.400024,68381448</t>
  </si>
  <si>
    <t>2020-06-10,1521.500000,1524.000000,1442.699951,1443.000000,1443.000000,66877861</t>
  </si>
  <si>
    <t>2020-06-11,1433.199951,1436.199951,1350.900024,1374.599976,1374.599976,109744523</t>
  </si>
  <si>
    <t>2020-06-12,1384.900024,1415.400024,1345.699951,1380.500000,1380.500000,71522481</t>
  </si>
  <si>
    <t>2020-06-14,1359.099976,1369.699951,1343.800049,1352.500000,1352.500000,403869</t>
  </si>
  <si>
    <t>2020-06-15,1356.500000,1436.800049,1318.599976,1433.099976,1433.099976,105085216</t>
  </si>
  <si>
    <t>2020-06-16,1449.400024,1484.900024,1417.900024,1454.400024,1454.400024,79268561</t>
  </si>
  <si>
    <t>2020-06-17,1441.699951,1470.900024,1412.900024,1413.699951,1413.699951,63596822</t>
  </si>
  <si>
    <t>2020-06-18,1414.800049,1439.099976,1402.000000,1432.199951,1432.199951,59682975</t>
  </si>
  <si>
    <t>2020-06-19,1422.800049,1451.199951,1400.500000,1403.599976,1403.599976,54622304</t>
  </si>
  <si>
    <t>2020-06-21,1392.800049,1401.699951,1383.400024,1401.099976,1401.099976,472239</t>
  </si>
  <si>
    <t>2020-06-22,1415.400024,1441.500000,1393.800049,1440.000000,1440.000000,48149834</t>
  </si>
  <si>
    <t>2020-06-23,1433.300049,1459.500000,1424.000000,1433.800049,1433.800049,50477982</t>
  </si>
  <si>
    <t>2020-06-24,1434.300049,1441.699951,1368.099976,1389.300049,1389.300049,64098933</t>
  </si>
  <si>
    <t>2020-06-25,1383.599976,1413.400024,1363.599976,1409.599976,1409.599976,65850429</t>
  </si>
  <si>
    <t>2020-06-26,1405.699951,1412.699951,1369.500000,1373.000000,1373.000000,59302855</t>
  </si>
  <si>
    <t>2020-06-28,1362.199951,1375.400024,1359.599976,1374.400024,1374.400024,366879</t>
  </si>
  <si>
    <t>2020-06-29,1377.099976,1428.500000,1372.099976,1424.500000,1424.500000,81265793</t>
  </si>
  <si>
    <t>2020-06-30,1422.500000,1441.699951,1406.500000,1431.800049,1431.800049,54309678</t>
  </si>
  <si>
    <t>2020-07-01,1429.699951,1450.800049,1415.099976,1425.300049,1425.300049,72338519</t>
  </si>
  <si>
    <t>2020-07-02,1424.800049,1458.099976,1421.599976,1433.000000,1433.000000,55051989</t>
  </si>
  <si>
    <t>2020-07-05,1424.199951,1438.000000,1421.500000,1436.699951,1436.699951,118463</t>
  </si>
  <si>
    <t>2020-07-06,1457.900024,1466.400024,1421.500000,1445.699951,1445.699951,56195504</t>
  </si>
  <si>
    <t>2020-07-07,1435.699951,1439.500000,1409.400024,1414.099976,1414.099976,52744810</t>
  </si>
  <si>
    <t>2020-07-08,1412.699951,1429.599976,1395.199951,1425.800049,1425.800049,59217188</t>
  </si>
  <si>
    <t>2020-07-09,1422.000000,1428.099976,1376.400024,1400.599976,1400.599976,62293292</t>
  </si>
  <si>
    <t>2020-07-10,1394.900024,1423.800049,1373.599976,1422.199951,1422.199951,60519418</t>
  </si>
  <si>
    <t>2020-07-12,1423.000000,1438.300049,1421.699951,1428.900024,1428.900024,362829</t>
  </si>
  <si>
    <t>2020-07-13,1432.099976,1451.300049,1396.599976,1409.000000,1409.000000,56894128</t>
  </si>
  <si>
    <t>2020-07-14,1401.500000,1448.300049,1390.300049,1445.800049,1445.800049,78799508</t>
  </si>
  <si>
    <t>2020-07-15,1442.699951,1485.500000,1436.099976,1485.300049,1485.300049,86406496</t>
  </si>
  <si>
    <t>2020-07-16,1473.400024,1475.300049,1462.500000,1470.800049,1470.800049,5563073</t>
  </si>
  <si>
    <t>2020-07-17,1465.000000,1481.599976,1459.500000,1468.800049,1468.800049,42454274</t>
  </si>
  <si>
    <t>2020-07-19,1469.000000,1472.300049,1466.000000,1471.000000,1471.000000,73249</t>
  </si>
  <si>
    <t>2020-07-20,1463.400024,1473.500000,1453.699951,1465.000000,1465.000000,43958254</t>
  </si>
  <si>
    <t>2020-07-21,1467.199951,1496.599976,1466.300049,1488.099976,1488.099976,56211456</t>
  </si>
  <si>
    <t>2020-07-22,1492.900024,1492.900024,1465.099976,1487.000000,1487.000000,44525377</t>
  </si>
  <si>
    <t>2020-07-23,1488.699951,1507.500000,1472.099976,1490.500000,1490.500000,44519773</t>
  </si>
  <si>
    <t>2020-07-24,1483.699951,1487.900024,1460.300049,1463.099976,1463.099976,51667093</t>
  </si>
  <si>
    <t>2020-07-26,1466.400024,1471.199951,1456.199951,1461.199951,1461.199951,245648</t>
  </si>
  <si>
    <t>2020-07-27,1473.300049,1484.699951,1458.900024,1483.699951,1483.699951,38923203</t>
  </si>
  <si>
    <t>2020-07-28,1481.300049,1485.699951,1464.800049,1471.099976,1471.099976,38916101</t>
  </si>
  <si>
    <t>1568.900024</t>
  </si>
  <si>
    <t>1539.400024</t>
  </si>
  <si>
    <t>1552.699951</t>
  </si>
  <si>
    <t>1537.000000</t>
  </si>
  <si>
    <t>1525.900024</t>
  </si>
  <si>
    <t>1527.800049</t>
  </si>
  <si>
    <t>1527.699951</t>
  </si>
  <si>
    <t>1497.500000</t>
  </si>
  <si>
    <t>1480.599976</t>
  </si>
  <si>
    <t>1484.400024</t>
  </si>
  <si>
    <t>1500.400024</t>
  </si>
  <si>
    <t>1494.300049</t>
  </si>
  <si>
    <t>1499.199951</t>
  </si>
  <si>
    <t>1473.699951</t>
  </si>
  <si>
    <t>1467.199951</t>
  </si>
  <si>
    <t>1491.300049</t>
  </si>
  <si>
    <t>1512.900024</t>
  </si>
  <si>
    <t>1518.400024</t>
  </si>
  <si>
    <t>1510.400024</t>
  </si>
  <si>
    <t>1523.699951</t>
  </si>
  <si>
    <t>1523.099976</t>
  </si>
  <si>
    <t>1541.500000</t>
  </si>
  <si>
    <t>1537.300049</t>
  </si>
  <si>
    <t>1538.300049</t>
  </si>
  <si>
    <t>1551.699951</t>
  </si>
  <si>
    <t>1550.000000</t>
  </si>
  <si>
    <t>1555.800049</t>
  </si>
  <si>
    <t>1549.300049</t>
  </si>
  <si>
    <t>1558.800049</t>
  </si>
  <si>
    <t>1560.500000</t>
  </si>
  <si>
    <t>1574.300049</t>
  </si>
  <si>
    <t>1577.300049</t>
  </si>
  <si>
    <t>1573.699951</t>
  </si>
  <si>
    <t>1561.900024</t>
  </si>
  <si>
    <t>1589.599976</t>
  </si>
  <si>
    <t>1593.300049</t>
  </si>
  <si>
    <t>1601.099976</t>
  </si>
  <si>
    <t>1599.199951</t>
  </si>
  <si>
    <t>1592.099976</t>
  </si>
  <si>
    <t>1595.500000</t>
  </si>
  <si>
    <t>1600.500000</t>
  </si>
  <si>
    <t>1599.300049</t>
  </si>
  <si>
    <t>1596.099976</t>
  </si>
  <si>
    <t>1594.099976</t>
  </si>
  <si>
    <t>1592.599976</t>
  </si>
  <si>
    <t>1590.000000</t>
  </si>
  <si>
    <t>1597.500000</t>
  </si>
  <si>
    <t>1594.300049</t>
  </si>
  <si>
    <t>1590.900024</t>
  </si>
  <si>
    <t>1595.400024</t>
  </si>
  <si>
    <t>1591.900024</t>
  </si>
  <si>
    <t>1583.900024</t>
  </si>
  <si>
    <t>1591.599976</t>
  </si>
  <si>
    <t>1623.300049</t>
  </si>
  <si>
    <t>1627.000000</t>
  </si>
  <si>
    <t>1629.900024</t>
  </si>
  <si>
    <t>1627.099976</t>
  </si>
  <si>
    <t>1607.900024</t>
  </si>
  <si>
    <t>1605.800049</t>
  </si>
  <si>
    <t>1613.300049</t>
  </si>
  <si>
    <t>1617.500000</t>
  </si>
  <si>
    <t>1636.699951</t>
  </si>
  <si>
    <t>1636.000000</t>
  </si>
  <si>
    <t>1630.500000</t>
  </si>
  <si>
    <t>1632.500000</t>
  </si>
  <si>
    <t>1635.800049</t>
  </si>
  <si>
    <t>1654.300049</t>
  </si>
  <si>
    <t>1644.300049</t>
  </si>
  <si>
    <t>1645.400024</t>
  </si>
  <si>
    <t>1654.699951</t>
  </si>
  <si>
    <t>1660.300049</t>
  </si>
  <si>
    <t>1667.500000</t>
  </si>
  <si>
    <t>1673.599976</t>
  </si>
  <si>
    <t>1672.699951</t>
  </si>
  <si>
    <t>1675.199951</t>
  </si>
  <si>
    <t>1674.900024</t>
  </si>
  <si>
    <t>1669.000000</t>
  </si>
  <si>
    <t>1672.300049</t>
  </si>
  <si>
    <t>1668.900024</t>
  </si>
  <si>
    <t>1674.099976</t>
  </si>
  <si>
    <t>1661.900024</t>
  </si>
  <si>
    <t>1655.400024</t>
  </si>
  <si>
    <t>1662.599976</t>
  </si>
  <si>
    <t>1640.199951</t>
  </si>
  <si>
    <t>1669.199951</t>
  </si>
  <si>
    <t>1668.599976</t>
  </si>
  <si>
    <t>1657.599976</t>
  </si>
  <si>
    <t>1659.400024</t>
  </si>
  <si>
    <t>1673.900024</t>
  </si>
  <si>
    <t>1689.099976</t>
  </si>
  <si>
    <t>1708.800049</t>
  </si>
  <si>
    <t>1698.699951</t>
  </si>
  <si>
    <t>1701.800049</t>
  </si>
  <si>
    <t>1687.099976</t>
  </si>
  <si>
    <t>1682.099976</t>
  </si>
  <si>
    <t>1687.599976</t>
  </si>
  <si>
    <t>1662.900024</t>
  </si>
  <si>
    <t>1644.000000</t>
  </si>
  <si>
    <t>1647.699951</t>
  </si>
  <si>
    <t>1650.000000</t>
  </si>
  <si>
    <t>1647.500000</t>
  </si>
  <si>
    <t>1616.500000</t>
  </si>
  <si>
    <t>1618.400024</t>
  </si>
  <si>
    <t>1631.300049</t>
  </si>
  <si>
    <t>1657.699951</t>
  </si>
  <si>
    <t>1683.500000</t>
  </si>
  <si>
    <t>1681.599976</t>
  </si>
  <si>
    <t>1656.900024</t>
  </si>
  <si>
    <t>1650.400024</t>
  </si>
  <si>
    <t>1668.500000</t>
  </si>
  <si>
    <t>1679.800049</t>
  </si>
  <si>
    <t>1687.699951</t>
  </si>
  <si>
    <t>1693.599976</t>
  </si>
  <si>
    <t>1687.199951</t>
  </si>
  <si>
    <t>1691.300049</t>
  </si>
  <si>
    <t>1686.699951</t>
  </si>
  <si>
    <t>1695.599976</t>
  </si>
  <si>
    <t>1687.900024</t>
  </si>
  <si>
    <t>1678.400024</t>
  </si>
  <si>
    <t>1655.699951</t>
  </si>
  <si>
    <t>1582.199951</t>
  </si>
  <si>
    <t>1547.800049</t>
  </si>
  <si>
    <t>1490.000000</t>
  </si>
  <si>
    <t>1453.000000</t>
  </si>
  <si>
    <t>1510.599976</t>
  </si>
  <si>
    <t>1476.099976</t>
  </si>
  <si>
    <t>1518.099976</t>
  </si>
  <si>
    <t>1480.400024</t>
  </si>
  <si>
    <t>1444.900024</t>
  </si>
  <si>
    <t>1376.099976</t>
  </si>
  <si>
    <t>1341.900024</t>
  </si>
  <si>
    <t>1319.400024</t>
  </si>
  <si>
    <t>1257.900024</t>
  </si>
  <si>
    <t>1092.699951</t>
  </si>
  <si>
    <t>1199.699951</t>
  </si>
  <si>
    <t>1138.099976</t>
  </si>
  <si>
    <t>1041.099976</t>
  </si>
  <si>
    <t>1052.400024</t>
  </si>
  <si>
    <t>1033.900024</t>
  </si>
  <si>
    <t>1016.299988</t>
  </si>
  <si>
    <t>997.799988</t>
  </si>
  <si>
    <t>962.400024</t>
  </si>
  <si>
    <t>1015.500000</t>
  </si>
  <si>
    <t>1087.099976</t>
  </si>
  <si>
    <t>1095.500000</t>
  </si>
  <si>
    <t>1166.599976</t>
  </si>
  <si>
    <t>1120.099976</t>
  </si>
  <si>
    <t>1116.599976</t>
  </si>
  <si>
    <t>1154.300049</t>
  </si>
  <si>
    <t>1120.599976</t>
  </si>
  <si>
    <t>1074.599976</t>
  </si>
  <si>
    <t>1074.099976</t>
  </si>
  <si>
    <t>1050.300049</t>
  </si>
  <si>
    <t>1128.000000</t>
  </si>
  <si>
    <t>1130.400024</t>
  </si>
  <si>
    <t>1188.900024</t>
  </si>
  <si>
    <t>1248.900024</t>
  </si>
  <si>
    <t>1221.900024</t>
  </si>
  <si>
    <t>1219.699951</t>
  </si>
  <si>
    <t>1231.599976</t>
  </si>
  <si>
    <t>1171.699951</t>
  </si>
  <si>
    <t>1232.300049</t>
  </si>
  <si>
    <t>1222.099976</t>
  </si>
  <si>
    <t>1211.000000</t>
  </si>
  <si>
    <t>1212.300049</t>
  </si>
  <si>
    <t>1188.000000</t>
  </si>
  <si>
    <t>1187.000000</t>
  </si>
  <si>
    <t>1197.099976</t>
  </si>
  <si>
    <t>1224.900024</t>
  </si>
  <si>
    <t>1221.599976</t>
  </si>
  <si>
    <t>1278.500000</t>
  </si>
  <si>
    <t>1303.000000</t>
  </si>
  <si>
    <t>1364.199951</t>
  </si>
  <si>
    <t>1288.400024</t>
  </si>
  <si>
    <t>1253.000000</t>
  </si>
  <si>
    <t>1222.800049</t>
  </si>
  <si>
    <t>1260.199951</t>
  </si>
  <si>
    <t>1274.199951</t>
  </si>
  <si>
    <t>1278.099976</t>
  </si>
  <si>
    <t>1284.500000</t>
  </si>
  <si>
    <t>1330.800049</t>
  </si>
  <si>
    <t>1334.500000</t>
  </si>
  <si>
    <t>1311.599976</t>
  </si>
  <si>
    <t>1250.599976</t>
  </si>
  <si>
    <t>1235.800049</t>
  </si>
  <si>
    <t>1241.099976</t>
  </si>
  <si>
    <t>1252.900024</t>
  </si>
  <si>
    <t>1268.900024</t>
  </si>
  <si>
    <t>1333.599976</t>
  </si>
  <si>
    <t>1311.000000</t>
  </si>
  <si>
    <t>1343.900024</t>
  </si>
  <si>
    <t>1352.400024</t>
  </si>
  <si>
    <t>1356.000000</t>
  </si>
  <si>
    <t>1364.699951</t>
  </si>
  <si>
    <t>1393.500000</t>
  </si>
  <si>
    <t>1441.099976</t>
  </si>
  <si>
    <t>1401.000000</t>
  </si>
  <si>
    <t>1406.300049</t>
  </si>
  <si>
    <t>1383.099976</t>
  </si>
  <si>
    <t>1391.199951</t>
  </si>
  <si>
    <t>1423.800049</t>
  </si>
  <si>
    <t>1458.199951</t>
  </si>
  <si>
    <t>1451.699951</t>
  </si>
  <si>
    <t>1502.300049</t>
  </si>
  <si>
    <t>1523.800049</t>
  </si>
  <si>
    <t>1535.900024</t>
  </si>
  <si>
    <t>1515.400024</t>
  </si>
  <si>
    <t>1443.000000</t>
  </si>
  <si>
    <t>1374.599976</t>
  </si>
  <si>
    <t>1380.500000</t>
  </si>
  <si>
    <t>1352.500000</t>
  </si>
  <si>
    <t>1433.099976</t>
  </si>
  <si>
    <t>1454.400024</t>
  </si>
  <si>
    <t>1413.699951</t>
  </si>
  <si>
    <t>1432.199951</t>
  </si>
  <si>
    <t>1403.599976</t>
  </si>
  <si>
    <t>1401.099976</t>
  </si>
  <si>
    <t>1440.000000</t>
  </si>
  <si>
    <t>1433.800049</t>
  </si>
  <si>
    <t>1389.300049</t>
  </si>
  <si>
    <t>1409.599976</t>
  </si>
  <si>
    <t>1373.000000</t>
  </si>
  <si>
    <t>1374.400024</t>
  </si>
  <si>
    <t>1424.500000</t>
  </si>
  <si>
    <t>1431.800049</t>
  </si>
  <si>
    <t>1425.300049</t>
  </si>
  <si>
    <t>1433.000000</t>
  </si>
  <si>
    <t>1436.699951</t>
  </si>
  <si>
    <t>1445.699951</t>
  </si>
  <si>
    <t>1414.099976</t>
  </si>
  <si>
    <t>1425.800049</t>
  </si>
  <si>
    <t>1400.599976</t>
  </si>
  <si>
    <t>1422.199951</t>
  </si>
  <si>
    <t>1428.900024</t>
  </si>
  <si>
    <t>1409.000000</t>
  </si>
  <si>
    <t>1445.800049</t>
  </si>
  <si>
    <t>1485.300049</t>
  </si>
  <si>
    <t>1470.800049</t>
  </si>
  <si>
    <t>1468.800049</t>
  </si>
  <si>
    <t>1471.000000</t>
  </si>
  <si>
    <t>1465.000000</t>
  </si>
  <si>
    <t>1488.099976</t>
  </si>
  <si>
    <t>1487.000000</t>
  </si>
  <si>
    <t>1490.500000</t>
  </si>
  <si>
    <t>1463.099976</t>
  </si>
  <si>
    <t>1461.199951</t>
  </si>
  <si>
    <t>1483.699951</t>
  </si>
  <si>
    <t>1471.099976</t>
  </si>
  <si>
    <t>Interest</t>
  </si>
  <si>
    <t>Ending Balance</t>
  </si>
  <si>
    <t>Saving</t>
  </si>
  <si>
    <t>end work</t>
  </si>
  <si>
    <t>retirement</t>
  </si>
  <si>
    <t>Parameters</t>
  </si>
  <si>
    <t>Beginning of period</t>
  </si>
  <si>
    <t>Year of retirement</t>
  </si>
  <si>
    <t>End of selected year</t>
  </si>
  <si>
    <t>???</t>
  </si>
  <si>
    <t>Time spent in retirement</t>
  </si>
  <si>
    <t>retirement year + t</t>
  </si>
  <si>
    <t>Financial Independence, Retire Early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</si>
</sst>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9" fontId="0" fillId="0" borderId="0" xfId="1" applyFont="1"/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57150</xdr:rowOff>
        </xdr:from>
        <xdr:to>
          <xdr:col>4</xdr:col>
          <xdr:colOff>476250</xdr:colOff>
          <xdr:row>6</xdr:row>
          <xdr:rowOff>66675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</xdr:row>
          <xdr:rowOff>152400</xdr:rowOff>
        </xdr:from>
        <xdr:to>
          <xdr:col>9</xdr:col>
          <xdr:colOff>209550</xdr:colOff>
          <xdr:row>5</xdr:row>
          <xdr:rowOff>104775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348A-E1ED-4994-A334-D8EE510772E9}">
  <sheetPr codeName="Sheet1"/>
  <dimension ref="A1:Q2"/>
  <sheetViews>
    <sheetView tabSelected="1" workbookViewId="0">
      <selection activeCell="A3" sqref="A3"/>
    </sheetView>
  </sheetViews>
  <sheetFormatPr defaultRowHeight="15" x14ac:dyDescent="0.25"/>
  <sheetData>
    <row r="1" spans="1:17" x14ac:dyDescent="0.25">
      <c r="A1" s="3" t="s">
        <v>1115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</sheetData>
  <mergeCells count="1">
    <mergeCell ref="A1:Q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0129-178C-4CD9-AA08-CC634FE6D8DA}">
  <sheetPr codeName="Sheet4"/>
  <dimension ref="A1"/>
  <sheetViews>
    <sheetView workbookViewId="0">
      <selection activeCell="F24" sqref="F2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C7AB-4F16-4BCB-AC79-17E507DDC100}">
  <sheetPr codeName="Sheet2"/>
  <dimension ref="A1"/>
  <sheetViews>
    <sheetView workbookViewId="0">
      <selection activeCell="G26" sqref="G26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5</xdr:col>
                <xdr:colOff>457200</xdr:colOff>
                <xdr:row>2</xdr:row>
                <xdr:rowOff>152400</xdr:rowOff>
              </from>
              <to>
                <xdr:col>9</xdr:col>
                <xdr:colOff>209550</xdr:colOff>
                <xdr:row>5</xdr:row>
                <xdr:rowOff>85725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1</xdr:col>
                <xdr:colOff>57150</xdr:colOff>
                <xdr:row>2</xdr:row>
                <xdr:rowOff>57150</xdr:rowOff>
              </from>
              <to>
                <xdr:col>4</xdr:col>
                <xdr:colOff>476250</xdr:colOff>
                <xdr:row>6</xdr:row>
                <xdr:rowOff>38100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61CB-8C21-4004-BC76-CA2830B0E2AA}">
  <sheetPr codeName="Sheet3"/>
  <dimension ref="A1:B307"/>
  <sheetViews>
    <sheetView workbookViewId="0">
      <selection activeCell="B25" sqref="B25"/>
    </sheetView>
  </sheetViews>
  <sheetFormatPr defaultRowHeight="15" x14ac:dyDescent="0.25"/>
  <cols>
    <col min="1" max="1" width="47.85546875" customWidth="1"/>
    <col min="2" max="2" width="32.5703125" customWidth="1"/>
  </cols>
  <sheetData>
    <row r="1" spans="1:2" x14ac:dyDescent="0.25">
      <c r="A1" t="s">
        <v>2</v>
      </c>
      <c r="B1" t="s">
        <v>1</v>
      </c>
    </row>
    <row r="2" spans="1:2" x14ac:dyDescent="0.25">
      <c r="A2" s="1" t="s">
        <v>4</v>
      </c>
      <c r="B2" t="s">
        <v>3</v>
      </c>
    </row>
    <row r="3" spans="1:2" x14ac:dyDescent="0.25">
      <c r="A3" s="1" t="s">
        <v>5</v>
      </c>
      <c r="B3" t="s">
        <v>0</v>
      </c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850D8-C274-4A01-BB41-E3546B63FBA8}">
  <sheetPr codeName="Sheet7"/>
  <dimension ref="A1:L307"/>
  <sheetViews>
    <sheetView topLeftCell="A241" workbookViewId="0">
      <selection activeCell="K259" sqref="K259"/>
    </sheetView>
  </sheetViews>
  <sheetFormatPr defaultRowHeight="15" x14ac:dyDescent="0.25"/>
  <cols>
    <col min="11" max="11" width="10.28515625" bestFit="1" customWidth="1"/>
    <col min="12" max="12" width="11.5703125" bestFit="1" customWidth="1"/>
  </cols>
  <sheetData>
    <row r="1" spans="1:12" x14ac:dyDescent="0.25">
      <c r="A1" t="s">
        <v>9</v>
      </c>
      <c r="K1" t="s">
        <v>316</v>
      </c>
      <c r="L1" t="s">
        <v>317</v>
      </c>
    </row>
    <row r="2" spans="1:12" x14ac:dyDescent="0.25">
      <c r="A2" t="s">
        <v>600</v>
      </c>
      <c r="K2" s="1" t="str">
        <f>LEFT(A2,10)</f>
        <v>2019-09-23</v>
      </c>
      <c r="L2" t="s">
        <v>855</v>
      </c>
    </row>
    <row r="3" spans="1:12" x14ac:dyDescent="0.25">
      <c r="A3" t="s">
        <v>601</v>
      </c>
      <c r="K3" s="1" t="str">
        <f t="shared" ref="K3:K66" si="0">LEFT(A3,10)</f>
        <v>2019-09-24</v>
      </c>
      <c r="L3" t="s">
        <v>856</v>
      </c>
    </row>
    <row r="4" spans="1:12" x14ac:dyDescent="0.25">
      <c r="A4" t="s">
        <v>602</v>
      </c>
      <c r="K4" s="1" t="str">
        <f t="shared" si="0"/>
        <v>2019-09-25</v>
      </c>
      <c r="L4" t="s">
        <v>857</v>
      </c>
    </row>
    <row r="5" spans="1:12" x14ac:dyDescent="0.25">
      <c r="A5" t="s">
        <v>603</v>
      </c>
      <c r="K5" s="1" t="str">
        <f t="shared" si="0"/>
        <v>2019-09-26</v>
      </c>
      <c r="L5" t="s">
        <v>858</v>
      </c>
    </row>
    <row r="6" spans="1:12" x14ac:dyDescent="0.25">
      <c r="A6" t="s">
        <v>604</v>
      </c>
      <c r="K6" s="1" t="str">
        <f t="shared" si="0"/>
        <v>2019-09-27</v>
      </c>
      <c r="L6" t="s">
        <v>859</v>
      </c>
    </row>
    <row r="7" spans="1:12" x14ac:dyDescent="0.25">
      <c r="A7" t="s">
        <v>605</v>
      </c>
      <c r="K7" s="1" t="str">
        <f t="shared" si="0"/>
        <v>2019-09-29</v>
      </c>
      <c r="L7" t="s">
        <v>860</v>
      </c>
    </row>
    <row r="8" spans="1:12" x14ac:dyDescent="0.25">
      <c r="A8" t="s">
        <v>606</v>
      </c>
      <c r="K8" s="1" t="str">
        <f t="shared" si="0"/>
        <v>2019-09-30</v>
      </c>
      <c r="L8" t="s">
        <v>861</v>
      </c>
    </row>
    <row r="9" spans="1:12" x14ac:dyDescent="0.25">
      <c r="A9" t="s">
        <v>607</v>
      </c>
      <c r="K9" s="1" t="str">
        <f t="shared" si="0"/>
        <v>2019-10-01</v>
      </c>
      <c r="L9" t="s">
        <v>862</v>
      </c>
    </row>
    <row r="10" spans="1:12" x14ac:dyDescent="0.25">
      <c r="A10" t="s">
        <v>608</v>
      </c>
      <c r="K10" s="1" t="str">
        <f t="shared" si="0"/>
        <v>2019-10-02</v>
      </c>
      <c r="L10" t="s">
        <v>863</v>
      </c>
    </row>
    <row r="11" spans="1:12" x14ac:dyDescent="0.25">
      <c r="A11" t="s">
        <v>609</v>
      </c>
      <c r="K11" s="1" t="str">
        <f t="shared" si="0"/>
        <v>2019-10-03</v>
      </c>
      <c r="L11" t="s">
        <v>864</v>
      </c>
    </row>
    <row r="12" spans="1:12" x14ac:dyDescent="0.25">
      <c r="A12" t="s">
        <v>610</v>
      </c>
      <c r="K12" s="1" t="str">
        <f t="shared" si="0"/>
        <v>2019-10-04</v>
      </c>
      <c r="L12" t="s">
        <v>865</v>
      </c>
    </row>
    <row r="13" spans="1:12" x14ac:dyDescent="0.25">
      <c r="A13" t="s">
        <v>611</v>
      </c>
      <c r="K13" s="1" t="str">
        <f t="shared" si="0"/>
        <v>2019-10-06</v>
      </c>
      <c r="L13" t="s">
        <v>866</v>
      </c>
    </row>
    <row r="14" spans="1:12" x14ac:dyDescent="0.25">
      <c r="A14" t="s">
        <v>612</v>
      </c>
      <c r="K14" s="1" t="str">
        <f t="shared" si="0"/>
        <v>2019-10-07</v>
      </c>
      <c r="L14" t="s">
        <v>867</v>
      </c>
    </row>
    <row r="15" spans="1:12" x14ac:dyDescent="0.25">
      <c r="A15" t="s">
        <v>613</v>
      </c>
      <c r="K15" s="1" t="str">
        <f t="shared" si="0"/>
        <v>2019-10-08</v>
      </c>
      <c r="L15" t="s">
        <v>868</v>
      </c>
    </row>
    <row r="16" spans="1:12" x14ac:dyDescent="0.25">
      <c r="A16" t="s">
        <v>614</v>
      </c>
      <c r="K16" s="1" t="str">
        <f t="shared" si="0"/>
        <v>2019-10-09</v>
      </c>
      <c r="L16" t="s">
        <v>869</v>
      </c>
    </row>
    <row r="17" spans="1:12" x14ac:dyDescent="0.25">
      <c r="A17" t="s">
        <v>615</v>
      </c>
      <c r="K17" s="1" t="str">
        <f t="shared" si="0"/>
        <v>2019-10-10</v>
      </c>
      <c r="L17" t="s">
        <v>870</v>
      </c>
    </row>
    <row r="18" spans="1:12" x14ac:dyDescent="0.25">
      <c r="A18" t="s">
        <v>616</v>
      </c>
      <c r="K18" s="1" t="str">
        <f t="shared" si="0"/>
        <v>2019-10-11</v>
      </c>
      <c r="L18" t="s">
        <v>871</v>
      </c>
    </row>
    <row r="19" spans="1:12" x14ac:dyDescent="0.25">
      <c r="A19" t="s">
        <v>617</v>
      </c>
      <c r="K19" s="1" t="str">
        <f t="shared" si="0"/>
        <v>2019-10-13</v>
      </c>
      <c r="L19" t="s">
        <v>872</v>
      </c>
    </row>
    <row r="20" spans="1:12" x14ac:dyDescent="0.25">
      <c r="A20" t="s">
        <v>618</v>
      </c>
      <c r="K20" s="1" t="str">
        <f t="shared" si="0"/>
        <v>2019-10-14</v>
      </c>
      <c r="L20" t="s">
        <v>873</v>
      </c>
    </row>
    <row r="21" spans="1:12" x14ac:dyDescent="0.25">
      <c r="A21" t="s">
        <v>619</v>
      </c>
      <c r="K21" s="1" t="str">
        <f t="shared" si="0"/>
        <v>2019-10-15</v>
      </c>
      <c r="L21" t="s">
        <v>874</v>
      </c>
    </row>
    <row r="22" spans="1:12" x14ac:dyDescent="0.25">
      <c r="A22" t="s">
        <v>620</v>
      </c>
      <c r="K22" s="1" t="str">
        <f t="shared" si="0"/>
        <v>2019-10-16</v>
      </c>
      <c r="L22" t="s">
        <v>875</v>
      </c>
    </row>
    <row r="23" spans="1:12" x14ac:dyDescent="0.25">
      <c r="A23" t="s">
        <v>621</v>
      </c>
      <c r="K23" s="1" t="str">
        <f t="shared" si="0"/>
        <v>2019-10-17</v>
      </c>
      <c r="L23" t="s">
        <v>876</v>
      </c>
    </row>
    <row r="24" spans="1:12" x14ac:dyDescent="0.25">
      <c r="A24" t="s">
        <v>622</v>
      </c>
      <c r="K24" s="1" t="str">
        <f t="shared" si="0"/>
        <v>2019-10-18</v>
      </c>
      <c r="L24" t="s">
        <v>877</v>
      </c>
    </row>
    <row r="25" spans="1:12" x14ac:dyDescent="0.25">
      <c r="A25" t="s">
        <v>623</v>
      </c>
      <c r="K25" s="1" t="str">
        <f t="shared" si="0"/>
        <v>2019-10-20</v>
      </c>
      <c r="L25" t="s">
        <v>878</v>
      </c>
    </row>
    <row r="26" spans="1:12" x14ac:dyDescent="0.25">
      <c r="A26" t="s">
        <v>624</v>
      </c>
      <c r="K26" s="1" t="str">
        <f t="shared" si="0"/>
        <v>2019-10-21</v>
      </c>
      <c r="L26" t="s">
        <v>879</v>
      </c>
    </row>
    <row r="27" spans="1:12" x14ac:dyDescent="0.25">
      <c r="A27" t="s">
        <v>625</v>
      </c>
      <c r="K27" s="1" t="str">
        <f t="shared" si="0"/>
        <v>2019-10-22</v>
      </c>
      <c r="L27" t="s">
        <v>880</v>
      </c>
    </row>
    <row r="28" spans="1:12" x14ac:dyDescent="0.25">
      <c r="A28" t="s">
        <v>626</v>
      </c>
      <c r="K28" s="1" t="str">
        <f t="shared" si="0"/>
        <v>2019-10-23</v>
      </c>
      <c r="L28" t="s">
        <v>881</v>
      </c>
    </row>
    <row r="29" spans="1:12" x14ac:dyDescent="0.25">
      <c r="A29" t="s">
        <v>627</v>
      </c>
      <c r="K29" s="1" t="str">
        <f t="shared" si="0"/>
        <v>2019-10-24</v>
      </c>
      <c r="L29" t="s">
        <v>882</v>
      </c>
    </row>
    <row r="30" spans="1:12" x14ac:dyDescent="0.25">
      <c r="A30" t="s">
        <v>628</v>
      </c>
      <c r="K30" s="1" t="str">
        <f t="shared" si="0"/>
        <v>2019-10-25</v>
      </c>
      <c r="L30" t="s">
        <v>883</v>
      </c>
    </row>
    <row r="31" spans="1:12" x14ac:dyDescent="0.25">
      <c r="A31" t="s">
        <v>629</v>
      </c>
      <c r="K31" s="1" t="str">
        <f t="shared" si="0"/>
        <v>2019-10-27</v>
      </c>
      <c r="L31" t="s">
        <v>884</v>
      </c>
    </row>
    <row r="32" spans="1:12" x14ac:dyDescent="0.25">
      <c r="A32" t="s">
        <v>630</v>
      </c>
      <c r="K32" s="1" t="str">
        <f t="shared" si="0"/>
        <v>2019-10-28</v>
      </c>
      <c r="L32" t="s">
        <v>885</v>
      </c>
    </row>
    <row r="33" spans="1:12" x14ac:dyDescent="0.25">
      <c r="A33" t="s">
        <v>631</v>
      </c>
      <c r="K33" s="1" t="str">
        <f t="shared" si="0"/>
        <v>2019-10-29</v>
      </c>
      <c r="L33" t="s">
        <v>886</v>
      </c>
    </row>
    <row r="34" spans="1:12" x14ac:dyDescent="0.25">
      <c r="A34" t="s">
        <v>632</v>
      </c>
      <c r="K34" s="1" t="str">
        <f t="shared" si="0"/>
        <v>2019-10-30</v>
      </c>
      <c r="L34" t="s">
        <v>887</v>
      </c>
    </row>
    <row r="35" spans="1:12" x14ac:dyDescent="0.25">
      <c r="A35" t="s">
        <v>633</v>
      </c>
      <c r="K35" s="1" t="str">
        <f t="shared" si="0"/>
        <v>2019-10-31</v>
      </c>
      <c r="L35" t="s">
        <v>888</v>
      </c>
    </row>
    <row r="36" spans="1:12" x14ac:dyDescent="0.25">
      <c r="A36" t="s">
        <v>634</v>
      </c>
      <c r="K36" s="1" t="str">
        <f t="shared" si="0"/>
        <v>2019-11-01</v>
      </c>
      <c r="L36" t="s">
        <v>889</v>
      </c>
    </row>
    <row r="37" spans="1:12" x14ac:dyDescent="0.25">
      <c r="A37" t="s">
        <v>635</v>
      </c>
      <c r="K37" s="1" t="str">
        <f t="shared" si="0"/>
        <v>2019-11-03</v>
      </c>
      <c r="L37" t="s">
        <v>890</v>
      </c>
    </row>
    <row r="38" spans="1:12" x14ac:dyDescent="0.25">
      <c r="A38" t="s">
        <v>636</v>
      </c>
      <c r="K38" s="1" t="str">
        <f t="shared" si="0"/>
        <v>2019-11-04</v>
      </c>
      <c r="L38" t="s">
        <v>891</v>
      </c>
    </row>
    <row r="39" spans="1:12" x14ac:dyDescent="0.25">
      <c r="A39" t="s">
        <v>637</v>
      </c>
      <c r="K39" s="1" t="str">
        <f t="shared" si="0"/>
        <v>2019-11-05</v>
      </c>
      <c r="L39" t="s">
        <v>892</v>
      </c>
    </row>
    <row r="40" spans="1:12" x14ac:dyDescent="0.25">
      <c r="A40" t="s">
        <v>638</v>
      </c>
      <c r="K40" s="1" t="str">
        <f t="shared" si="0"/>
        <v>2019-11-06</v>
      </c>
      <c r="L40" t="s">
        <v>893</v>
      </c>
    </row>
    <row r="41" spans="1:12" x14ac:dyDescent="0.25">
      <c r="A41" t="s">
        <v>639</v>
      </c>
      <c r="K41" s="1" t="str">
        <f t="shared" si="0"/>
        <v>2019-11-07</v>
      </c>
      <c r="L41" t="s">
        <v>894</v>
      </c>
    </row>
    <row r="42" spans="1:12" x14ac:dyDescent="0.25">
      <c r="A42" t="s">
        <v>640</v>
      </c>
      <c r="K42" s="1" t="str">
        <f t="shared" si="0"/>
        <v>2019-11-08</v>
      </c>
      <c r="L42" t="s">
        <v>895</v>
      </c>
    </row>
    <row r="43" spans="1:12" x14ac:dyDescent="0.25">
      <c r="A43" t="s">
        <v>641</v>
      </c>
      <c r="K43" s="1" t="str">
        <f t="shared" si="0"/>
        <v>2019-11-10</v>
      </c>
      <c r="L43" t="s">
        <v>896</v>
      </c>
    </row>
    <row r="44" spans="1:12" x14ac:dyDescent="0.25">
      <c r="A44" t="s">
        <v>642</v>
      </c>
      <c r="K44" s="1" t="str">
        <f t="shared" si="0"/>
        <v>2019-11-11</v>
      </c>
      <c r="L44" t="s">
        <v>897</v>
      </c>
    </row>
    <row r="45" spans="1:12" x14ac:dyDescent="0.25">
      <c r="A45" t="s">
        <v>643</v>
      </c>
      <c r="K45" s="1" t="str">
        <f t="shared" si="0"/>
        <v>2019-11-12</v>
      </c>
      <c r="L45" t="s">
        <v>898</v>
      </c>
    </row>
    <row r="46" spans="1:12" x14ac:dyDescent="0.25">
      <c r="A46" t="s">
        <v>644</v>
      </c>
      <c r="K46" s="1" t="str">
        <f t="shared" si="0"/>
        <v>2019-11-13</v>
      </c>
      <c r="L46" t="s">
        <v>899</v>
      </c>
    </row>
    <row r="47" spans="1:12" x14ac:dyDescent="0.25">
      <c r="A47" t="s">
        <v>645</v>
      </c>
      <c r="K47" s="1" t="str">
        <f t="shared" si="0"/>
        <v>2019-11-14</v>
      </c>
      <c r="L47" t="s">
        <v>900</v>
      </c>
    </row>
    <row r="48" spans="1:12" x14ac:dyDescent="0.25">
      <c r="A48" t="s">
        <v>646</v>
      </c>
      <c r="K48" s="1" t="str">
        <f t="shared" si="0"/>
        <v>2019-11-15</v>
      </c>
      <c r="L48" t="s">
        <v>901</v>
      </c>
    </row>
    <row r="49" spans="1:12" x14ac:dyDescent="0.25">
      <c r="A49" t="s">
        <v>647</v>
      </c>
      <c r="K49" s="1" t="str">
        <f t="shared" si="0"/>
        <v>2019-11-17</v>
      </c>
      <c r="L49" t="s">
        <v>902</v>
      </c>
    </row>
    <row r="50" spans="1:12" x14ac:dyDescent="0.25">
      <c r="A50" t="s">
        <v>648</v>
      </c>
      <c r="K50" s="1" t="str">
        <f t="shared" si="0"/>
        <v>2019-11-18</v>
      </c>
      <c r="L50" t="s">
        <v>903</v>
      </c>
    </row>
    <row r="51" spans="1:12" x14ac:dyDescent="0.25">
      <c r="A51" t="s">
        <v>649</v>
      </c>
      <c r="K51" s="1" t="str">
        <f t="shared" si="0"/>
        <v>2019-11-19</v>
      </c>
      <c r="L51" t="s">
        <v>904</v>
      </c>
    </row>
    <row r="52" spans="1:12" x14ac:dyDescent="0.25">
      <c r="A52" t="s">
        <v>650</v>
      </c>
      <c r="K52" s="1" t="str">
        <f t="shared" si="0"/>
        <v>2019-11-20</v>
      </c>
      <c r="L52" t="s">
        <v>905</v>
      </c>
    </row>
    <row r="53" spans="1:12" x14ac:dyDescent="0.25">
      <c r="A53" t="s">
        <v>651</v>
      </c>
      <c r="K53" s="1" t="str">
        <f t="shared" si="0"/>
        <v>2019-11-21</v>
      </c>
      <c r="L53" t="s">
        <v>906</v>
      </c>
    </row>
    <row r="54" spans="1:12" x14ac:dyDescent="0.25">
      <c r="A54" t="s">
        <v>652</v>
      </c>
      <c r="K54" s="1" t="str">
        <f t="shared" si="0"/>
        <v>2019-11-22</v>
      </c>
      <c r="L54" t="s">
        <v>907</v>
      </c>
    </row>
    <row r="55" spans="1:12" x14ac:dyDescent="0.25">
      <c r="A55" t="s">
        <v>653</v>
      </c>
      <c r="K55" s="1" t="str">
        <f t="shared" si="0"/>
        <v>2019-11-24</v>
      </c>
      <c r="L55" t="s">
        <v>904</v>
      </c>
    </row>
    <row r="56" spans="1:12" x14ac:dyDescent="0.25">
      <c r="A56" t="s">
        <v>654</v>
      </c>
      <c r="K56" s="1" t="str">
        <f t="shared" si="0"/>
        <v>2019-11-25</v>
      </c>
      <c r="L56" t="s">
        <v>908</v>
      </c>
    </row>
    <row r="57" spans="1:12" x14ac:dyDescent="0.25">
      <c r="A57" t="s">
        <v>655</v>
      </c>
      <c r="K57" s="1" t="str">
        <f t="shared" si="0"/>
        <v>2019-11-26</v>
      </c>
      <c r="L57" t="s">
        <v>909</v>
      </c>
    </row>
    <row r="58" spans="1:12" x14ac:dyDescent="0.25">
      <c r="A58" t="s">
        <v>656</v>
      </c>
      <c r="K58" s="1" t="str">
        <f t="shared" si="0"/>
        <v>2019-11-27</v>
      </c>
      <c r="L58" t="s">
        <v>910</v>
      </c>
    </row>
    <row r="59" spans="1:12" x14ac:dyDescent="0.25">
      <c r="A59" t="s">
        <v>113</v>
      </c>
      <c r="K59" s="1" t="str">
        <f t="shared" si="0"/>
        <v>2019-11-29</v>
      </c>
      <c r="L59" t="s">
        <v>415</v>
      </c>
    </row>
    <row r="60" spans="1:12" x14ac:dyDescent="0.25">
      <c r="A60" t="s">
        <v>657</v>
      </c>
      <c r="K60" s="1" t="str">
        <f t="shared" si="0"/>
        <v>2019-12-01</v>
      </c>
      <c r="L60" t="s">
        <v>911</v>
      </c>
    </row>
    <row r="61" spans="1:12" x14ac:dyDescent="0.25">
      <c r="A61" t="s">
        <v>658</v>
      </c>
      <c r="K61" s="1" t="str">
        <f t="shared" si="0"/>
        <v>2019-12-02</v>
      </c>
      <c r="L61" t="s">
        <v>912</v>
      </c>
    </row>
    <row r="62" spans="1:12" x14ac:dyDescent="0.25">
      <c r="A62" t="s">
        <v>659</v>
      </c>
      <c r="K62" s="1" t="str">
        <f t="shared" si="0"/>
        <v>2019-12-03</v>
      </c>
      <c r="L62" t="s">
        <v>913</v>
      </c>
    </row>
    <row r="63" spans="1:12" x14ac:dyDescent="0.25">
      <c r="A63" t="s">
        <v>660</v>
      </c>
      <c r="K63" s="1" t="str">
        <f t="shared" si="0"/>
        <v>2019-12-04</v>
      </c>
      <c r="L63" t="s">
        <v>914</v>
      </c>
    </row>
    <row r="64" spans="1:12" x14ac:dyDescent="0.25">
      <c r="A64" t="s">
        <v>661</v>
      </c>
      <c r="K64" s="1" t="str">
        <f t="shared" si="0"/>
        <v>2019-12-05</v>
      </c>
      <c r="L64" t="s">
        <v>915</v>
      </c>
    </row>
    <row r="65" spans="1:12" x14ac:dyDescent="0.25">
      <c r="A65" t="s">
        <v>662</v>
      </c>
      <c r="K65" s="1" t="str">
        <f t="shared" si="0"/>
        <v>2019-12-06</v>
      </c>
      <c r="L65" t="s">
        <v>916</v>
      </c>
    </row>
    <row r="66" spans="1:12" x14ac:dyDescent="0.25">
      <c r="A66" t="s">
        <v>663</v>
      </c>
      <c r="K66" s="1" t="str">
        <f t="shared" si="0"/>
        <v>2019-12-08</v>
      </c>
      <c r="L66" t="s">
        <v>917</v>
      </c>
    </row>
    <row r="67" spans="1:12" x14ac:dyDescent="0.25">
      <c r="A67" t="s">
        <v>664</v>
      </c>
      <c r="K67" s="1" t="str">
        <f t="shared" ref="K67:K130" si="1">LEFT(A67,10)</f>
        <v>2019-12-09</v>
      </c>
      <c r="L67" t="s">
        <v>918</v>
      </c>
    </row>
    <row r="68" spans="1:12" x14ac:dyDescent="0.25">
      <c r="A68" t="s">
        <v>665</v>
      </c>
      <c r="K68" s="1" t="str">
        <f t="shared" si="1"/>
        <v>2019-12-10</v>
      </c>
      <c r="L68" t="s">
        <v>919</v>
      </c>
    </row>
    <row r="69" spans="1:12" x14ac:dyDescent="0.25">
      <c r="A69" t="s">
        <v>666</v>
      </c>
      <c r="K69" s="1" t="str">
        <f t="shared" si="1"/>
        <v>2019-12-11</v>
      </c>
      <c r="L69" t="s">
        <v>920</v>
      </c>
    </row>
    <row r="70" spans="1:12" x14ac:dyDescent="0.25">
      <c r="A70" t="s">
        <v>667</v>
      </c>
      <c r="K70" s="1" t="str">
        <f t="shared" si="1"/>
        <v>2019-12-12</v>
      </c>
      <c r="L70" t="s">
        <v>921</v>
      </c>
    </row>
    <row r="71" spans="1:12" x14ac:dyDescent="0.25">
      <c r="A71" t="s">
        <v>668</v>
      </c>
      <c r="K71" s="1" t="str">
        <f t="shared" si="1"/>
        <v>2019-12-13</v>
      </c>
      <c r="L71" t="s">
        <v>922</v>
      </c>
    </row>
    <row r="72" spans="1:12" x14ac:dyDescent="0.25">
      <c r="A72" t="s">
        <v>669</v>
      </c>
      <c r="K72" s="1" t="str">
        <f t="shared" si="1"/>
        <v>2019-12-15</v>
      </c>
      <c r="L72" t="s">
        <v>923</v>
      </c>
    </row>
    <row r="73" spans="1:12" x14ac:dyDescent="0.25">
      <c r="A73" t="s">
        <v>670</v>
      </c>
      <c r="K73" s="1" t="str">
        <f t="shared" si="1"/>
        <v>2019-12-16</v>
      </c>
      <c r="L73" t="s">
        <v>924</v>
      </c>
    </row>
    <row r="74" spans="1:12" x14ac:dyDescent="0.25">
      <c r="A74" t="s">
        <v>671</v>
      </c>
      <c r="K74" s="1" t="str">
        <f t="shared" si="1"/>
        <v>2019-12-17</v>
      </c>
      <c r="L74" t="s">
        <v>925</v>
      </c>
    </row>
    <row r="75" spans="1:12" x14ac:dyDescent="0.25">
      <c r="A75" t="s">
        <v>672</v>
      </c>
      <c r="K75" s="1" t="str">
        <f t="shared" si="1"/>
        <v>2019-12-18</v>
      </c>
      <c r="L75" t="s">
        <v>926</v>
      </c>
    </row>
    <row r="76" spans="1:12" x14ac:dyDescent="0.25">
      <c r="A76" t="s">
        <v>673</v>
      </c>
      <c r="K76" s="1" t="str">
        <f t="shared" si="1"/>
        <v>2019-12-19</v>
      </c>
      <c r="L76" t="s">
        <v>927</v>
      </c>
    </row>
    <row r="77" spans="1:12" x14ac:dyDescent="0.25">
      <c r="A77" t="s">
        <v>674</v>
      </c>
      <c r="K77" s="1" t="str">
        <f t="shared" si="1"/>
        <v>2019-12-20</v>
      </c>
      <c r="L77" t="s">
        <v>928</v>
      </c>
    </row>
    <row r="78" spans="1:12" x14ac:dyDescent="0.25">
      <c r="A78" t="s">
        <v>675</v>
      </c>
      <c r="K78" s="1" t="str">
        <f t="shared" si="1"/>
        <v>2019-12-22</v>
      </c>
      <c r="L78" t="s">
        <v>929</v>
      </c>
    </row>
    <row r="79" spans="1:12" x14ac:dyDescent="0.25">
      <c r="A79" t="s">
        <v>676</v>
      </c>
      <c r="K79" s="1" t="str">
        <f t="shared" si="1"/>
        <v>2019-12-23</v>
      </c>
      <c r="L79" t="s">
        <v>930</v>
      </c>
    </row>
    <row r="80" spans="1:12" x14ac:dyDescent="0.25">
      <c r="A80" t="s">
        <v>134</v>
      </c>
      <c r="K80" s="1" t="str">
        <f t="shared" si="1"/>
        <v>2019-12-24</v>
      </c>
      <c r="L80" t="s">
        <v>415</v>
      </c>
    </row>
    <row r="81" spans="1:12" x14ac:dyDescent="0.25">
      <c r="A81" t="s">
        <v>677</v>
      </c>
      <c r="K81" s="1" t="str">
        <f t="shared" si="1"/>
        <v>2019-12-26</v>
      </c>
      <c r="L81" t="s">
        <v>415</v>
      </c>
    </row>
    <row r="82" spans="1:12" x14ac:dyDescent="0.25">
      <c r="A82" t="s">
        <v>678</v>
      </c>
      <c r="K82" s="1" t="str">
        <f t="shared" si="1"/>
        <v>2019-12-27</v>
      </c>
      <c r="L82" t="s">
        <v>931</v>
      </c>
    </row>
    <row r="83" spans="1:12" x14ac:dyDescent="0.25">
      <c r="A83" t="s">
        <v>679</v>
      </c>
      <c r="K83" s="1" t="str">
        <f t="shared" si="1"/>
        <v>2019-12-29</v>
      </c>
      <c r="L83" t="s">
        <v>932</v>
      </c>
    </row>
    <row r="84" spans="1:12" x14ac:dyDescent="0.25">
      <c r="A84" t="s">
        <v>680</v>
      </c>
      <c r="K84" s="1" t="str">
        <f t="shared" si="1"/>
        <v>2019-12-30</v>
      </c>
      <c r="L84" t="s">
        <v>933</v>
      </c>
    </row>
    <row r="85" spans="1:12" x14ac:dyDescent="0.25">
      <c r="A85" t="s">
        <v>681</v>
      </c>
      <c r="K85" s="1" t="str">
        <f t="shared" si="1"/>
        <v>2019-12-31</v>
      </c>
      <c r="L85" t="s">
        <v>934</v>
      </c>
    </row>
    <row r="86" spans="1:12" x14ac:dyDescent="0.25">
      <c r="A86" t="s">
        <v>682</v>
      </c>
      <c r="K86" s="1" t="str">
        <f t="shared" si="1"/>
        <v>2020-01-02</v>
      </c>
      <c r="L86" t="s">
        <v>928</v>
      </c>
    </row>
    <row r="87" spans="1:12" x14ac:dyDescent="0.25">
      <c r="A87" t="s">
        <v>683</v>
      </c>
      <c r="K87" s="1" t="str">
        <f t="shared" si="1"/>
        <v>2020-01-03</v>
      </c>
      <c r="L87" t="s">
        <v>935</v>
      </c>
    </row>
    <row r="88" spans="1:12" x14ac:dyDescent="0.25">
      <c r="A88" t="s">
        <v>684</v>
      </c>
      <c r="K88" s="1" t="str">
        <f t="shared" si="1"/>
        <v>2020-01-05</v>
      </c>
      <c r="L88" t="s">
        <v>936</v>
      </c>
    </row>
    <row r="89" spans="1:12" x14ac:dyDescent="0.25">
      <c r="A89" t="s">
        <v>685</v>
      </c>
      <c r="K89" s="1" t="str">
        <f t="shared" si="1"/>
        <v>2020-01-06</v>
      </c>
      <c r="L89" t="s">
        <v>937</v>
      </c>
    </row>
    <row r="90" spans="1:12" x14ac:dyDescent="0.25">
      <c r="A90" t="s">
        <v>686</v>
      </c>
      <c r="K90" s="1" t="str">
        <f t="shared" si="1"/>
        <v>2020-01-07</v>
      </c>
      <c r="L90" t="s">
        <v>938</v>
      </c>
    </row>
    <row r="91" spans="1:12" x14ac:dyDescent="0.25">
      <c r="A91" t="s">
        <v>687</v>
      </c>
      <c r="K91" s="1" t="str">
        <f t="shared" si="1"/>
        <v>2020-01-08</v>
      </c>
      <c r="L91" t="s">
        <v>939</v>
      </c>
    </row>
    <row r="92" spans="1:12" x14ac:dyDescent="0.25">
      <c r="A92" t="s">
        <v>688</v>
      </c>
      <c r="K92" s="1" t="str">
        <f t="shared" si="1"/>
        <v>2020-01-09</v>
      </c>
      <c r="L92" t="s">
        <v>940</v>
      </c>
    </row>
    <row r="93" spans="1:12" x14ac:dyDescent="0.25">
      <c r="A93" t="s">
        <v>689</v>
      </c>
      <c r="K93" s="1" t="str">
        <f t="shared" si="1"/>
        <v>2020-01-10</v>
      </c>
      <c r="L93" t="s">
        <v>941</v>
      </c>
    </row>
    <row r="94" spans="1:12" x14ac:dyDescent="0.25">
      <c r="A94" t="s">
        <v>690</v>
      </c>
      <c r="K94" s="1" t="str">
        <f t="shared" si="1"/>
        <v>2020-01-12</v>
      </c>
      <c r="L94" t="s">
        <v>942</v>
      </c>
    </row>
    <row r="95" spans="1:12" x14ac:dyDescent="0.25">
      <c r="A95" t="s">
        <v>691</v>
      </c>
      <c r="K95" s="1" t="str">
        <f t="shared" si="1"/>
        <v>2020-01-13</v>
      </c>
      <c r="L95" t="s">
        <v>928</v>
      </c>
    </row>
    <row r="96" spans="1:12" x14ac:dyDescent="0.25">
      <c r="A96" t="s">
        <v>692</v>
      </c>
      <c r="K96" s="1" t="str">
        <f t="shared" si="1"/>
        <v>2020-01-14</v>
      </c>
      <c r="L96" t="s">
        <v>943</v>
      </c>
    </row>
    <row r="97" spans="1:12" x14ac:dyDescent="0.25">
      <c r="A97" t="s">
        <v>693</v>
      </c>
      <c r="K97" s="1" t="str">
        <f t="shared" si="1"/>
        <v>2020-01-15</v>
      </c>
      <c r="L97" t="s">
        <v>944</v>
      </c>
    </row>
    <row r="98" spans="1:12" x14ac:dyDescent="0.25">
      <c r="A98" t="s">
        <v>694</v>
      </c>
      <c r="K98" s="1" t="str">
        <f t="shared" si="1"/>
        <v>2020-01-16</v>
      </c>
      <c r="L98" t="s">
        <v>945</v>
      </c>
    </row>
    <row r="99" spans="1:12" x14ac:dyDescent="0.25">
      <c r="A99" t="s">
        <v>695</v>
      </c>
      <c r="K99" s="1" t="str">
        <f t="shared" si="1"/>
        <v>2020-01-17</v>
      </c>
      <c r="L99" t="s">
        <v>946</v>
      </c>
    </row>
    <row r="100" spans="1:12" x14ac:dyDescent="0.25">
      <c r="A100" t="s">
        <v>696</v>
      </c>
      <c r="K100" s="1" t="str">
        <f t="shared" si="1"/>
        <v>2020-01-19</v>
      </c>
      <c r="L100" t="s">
        <v>947</v>
      </c>
    </row>
    <row r="101" spans="1:12" x14ac:dyDescent="0.25">
      <c r="A101" t="s">
        <v>697</v>
      </c>
      <c r="K101" s="1" t="str">
        <f t="shared" si="1"/>
        <v>2020-01-21</v>
      </c>
      <c r="L101" t="s">
        <v>948</v>
      </c>
    </row>
    <row r="102" spans="1:12" x14ac:dyDescent="0.25">
      <c r="A102" t="s">
        <v>698</v>
      </c>
      <c r="K102" s="1" t="str">
        <f t="shared" si="1"/>
        <v>2020-01-22</v>
      </c>
      <c r="L102" t="s">
        <v>949</v>
      </c>
    </row>
    <row r="103" spans="1:12" x14ac:dyDescent="0.25">
      <c r="A103" t="s">
        <v>699</v>
      </c>
      <c r="K103" s="1" t="str">
        <f t="shared" si="1"/>
        <v>2020-01-23</v>
      </c>
      <c r="L103" t="s">
        <v>950</v>
      </c>
    </row>
    <row r="104" spans="1:12" x14ac:dyDescent="0.25">
      <c r="A104" t="s">
        <v>700</v>
      </c>
      <c r="K104" s="1" t="str">
        <f t="shared" si="1"/>
        <v>2020-01-24</v>
      </c>
      <c r="L104" t="s">
        <v>951</v>
      </c>
    </row>
    <row r="105" spans="1:12" x14ac:dyDescent="0.25">
      <c r="A105" t="s">
        <v>701</v>
      </c>
      <c r="K105" s="1" t="str">
        <f t="shared" si="1"/>
        <v>2020-01-26</v>
      </c>
      <c r="L105" t="s">
        <v>952</v>
      </c>
    </row>
    <row r="106" spans="1:12" x14ac:dyDescent="0.25">
      <c r="A106" t="s">
        <v>702</v>
      </c>
      <c r="K106" s="1" t="str">
        <f t="shared" si="1"/>
        <v>2020-01-27</v>
      </c>
      <c r="L106" t="s">
        <v>953</v>
      </c>
    </row>
    <row r="107" spans="1:12" x14ac:dyDescent="0.25">
      <c r="A107" t="s">
        <v>703</v>
      </c>
      <c r="K107" s="1" t="str">
        <f t="shared" si="1"/>
        <v>2020-01-28</v>
      </c>
      <c r="L107" t="s">
        <v>941</v>
      </c>
    </row>
    <row r="108" spans="1:12" x14ac:dyDescent="0.25">
      <c r="A108" t="s">
        <v>704</v>
      </c>
      <c r="K108" s="1" t="str">
        <f t="shared" si="1"/>
        <v>2020-01-29</v>
      </c>
      <c r="L108" t="s">
        <v>954</v>
      </c>
    </row>
    <row r="109" spans="1:12" x14ac:dyDescent="0.25">
      <c r="A109" t="s">
        <v>705</v>
      </c>
      <c r="K109" s="1" t="str">
        <f t="shared" si="1"/>
        <v>2020-01-30</v>
      </c>
      <c r="L109" t="s">
        <v>955</v>
      </c>
    </row>
    <row r="110" spans="1:12" x14ac:dyDescent="0.25">
      <c r="A110" t="s">
        <v>706</v>
      </c>
      <c r="K110" s="1" t="str">
        <f t="shared" si="1"/>
        <v>2020-01-31</v>
      </c>
      <c r="L110" t="s">
        <v>956</v>
      </c>
    </row>
    <row r="111" spans="1:12" x14ac:dyDescent="0.25">
      <c r="A111" t="s">
        <v>707</v>
      </c>
      <c r="K111" s="1" t="str">
        <f t="shared" si="1"/>
        <v>2020-02-02</v>
      </c>
      <c r="L111" t="s">
        <v>957</v>
      </c>
    </row>
    <row r="112" spans="1:12" x14ac:dyDescent="0.25">
      <c r="A112" t="s">
        <v>708</v>
      </c>
      <c r="K112" s="1" t="str">
        <f t="shared" si="1"/>
        <v>2020-02-03</v>
      </c>
      <c r="L112" t="s">
        <v>958</v>
      </c>
    </row>
    <row r="113" spans="1:12" x14ac:dyDescent="0.25">
      <c r="A113" t="s">
        <v>709</v>
      </c>
      <c r="K113" s="1" t="str">
        <f t="shared" si="1"/>
        <v>2020-02-04</v>
      </c>
      <c r="L113" t="s">
        <v>959</v>
      </c>
    </row>
    <row r="114" spans="1:12" x14ac:dyDescent="0.25">
      <c r="A114" t="s">
        <v>710</v>
      </c>
      <c r="K114" s="1" t="str">
        <f t="shared" si="1"/>
        <v>2020-02-05</v>
      </c>
      <c r="L114" t="s">
        <v>960</v>
      </c>
    </row>
    <row r="115" spans="1:12" x14ac:dyDescent="0.25">
      <c r="A115" t="s">
        <v>711</v>
      </c>
      <c r="K115" s="1" t="str">
        <f t="shared" si="1"/>
        <v>2020-02-06</v>
      </c>
      <c r="L115" t="s">
        <v>961</v>
      </c>
    </row>
    <row r="116" spans="1:12" x14ac:dyDescent="0.25">
      <c r="A116" t="s">
        <v>712</v>
      </c>
      <c r="K116" s="1" t="str">
        <f t="shared" si="1"/>
        <v>2020-02-07</v>
      </c>
      <c r="L116" t="s">
        <v>962</v>
      </c>
    </row>
    <row r="117" spans="1:12" x14ac:dyDescent="0.25">
      <c r="A117" t="s">
        <v>713</v>
      </c>
      <c r="K117" s="1" t="str">
        <f t="shared" si="1"/>
        <v>2020-02-09</v>
      </c>
      <c r="L117" t="s">
        <v>963</v>
      </c>
    </row>
    <row r="118" spans="1:12" x14ac:dyDescent="0.25">
      <c r="A118" t="s">
        <v>714</v>
      </c>
      <c r="K118" s="1" t="str">
        <f t="shared" si="1"/>
        <v>2020-02-10</v>
      </c>
      <c r="L118" t="s">
        <v>964</v>
      </c>
    </row>
    <row r="119" spans="1:12" x14ac:dyDescent="0.25">
      <c r="A119" t="s">
        <v>715</v>
      </c>
      <c r="K119" s="1" t="str">
        <f t="shared" si="1"/>
        <v>2020-02-11</v>
      </c>
      <c r="L119" t="s">
        <v>965</v>
      </c>
    </row>
    <row r="120" spans="1:12" x14ac:dyDescent="0.25">
      <c r="A120" t="s">
        <v>716</v>
      </c>
      <c r="K120" s="1" t="str">
        <f t="shared" si="1"/>
        <v>2020-02-12</v>
      </c>
      <c r="L120" t="s">
        <v>966</v>
      </c>
    </row>
    <row r="121" spans="1:12" x14ac:dyDescent="0.25">
      <c r="A121" t="s">
        <v>717</v>
      </c>
      <c r="K121" s="1" t="str">
        <f t="shared" si="1"/>
        <v>2020-02-13</v>
      </c>
      <c r="L121" t="s">
        <v>967</v>
      </c>
    </row>
    <row r="122" spans="1:12" x14ac:dyDescent="0.25">
      <c r="A122" t="s">
        <v>718</v>
      </c>
      <c r="K122" s="1" t="str">
        <f t="shared" si="1"/>
        <v>2020-02-14</v>
      </c>
      <c r="L122" t="s">
        <v>968</v>
      </c>
    </row>
    <row r="123" spans="1:12" x14ac:dyDescent="0.25">
      <c r="A123" t="s">
        <v>719</v>
      </c>
      <c r="K123" s="1" t="str">
        <f t="shared" si="1"/>
        <v>2020-02-16</v>
      </c>
      <c r="L123" t="s">
        <v>969</v>
      </c>
    </row>
    <row r="124" spans="1:12" x14ac:dyDescent="0.25">
      <c r="A124" t="s">
        <v>720</v>
      </c>
      <c r="K124" s="1" t="str">
        <f t="shared" si="1"/>
        <v>2020-02-18</v>
      </c>
      <c r="L124" t="s">
        <v>970</v>
      </c>
    </row>
    <row r="125" spans="1:12" x14ac:dyDescent="0.25">
      <c r="A125" t="s">
        <v>721</v>
      </c>
      <c r="K125" s="1" t="str">
        <f t="shared" si="1"/>
        <v>2020-02-19</v>
      </c>
      <c r="L125" t="s">
        <v>971</v>
      </c>
    </row>
    <row r="126" spans="1:12" x14ac:dyDescent="0.25">
      <c r="A126" t="s">
        <v>722</v>
      </c>
      <c r="K126" s="1" t="str">
        <f t="shared" si="1"/>
        <v>2020-02-20</v>
      </c>
      <c r="L126" t="s">
        <v>972</v>
      </c>
    </row>
    <row r="127" spans="1:12" x14ac:dyDescent="0.25">
      <c r="A127" t="s">
        <v>723</v>
      </c>
      <c r="K127" s="1" t="str">
        <f t="shared" si="1"/>
        <v>2020-02-21</v>
      </c>
      <c r="L127" t="s">
        <v>973</v>
      </c>
    </row>
    <row r="128" spans="1:12" x14ac:dyDescent="0.25">
      <c r="A128" t="s">
        <v>724</v>
      </c>
      <c r="K128" s="1" t="str">
        <f t="shared" si="1"/>
        <v>2020-02-23</v>
      </c>
      <c r="L128" t="s">
        <v>974</v>
      </c>
    </row>
    <row r="129" spans="1:12" x14ac:dyDescent="0.25">
      <c r="A129" t="s">
        <v>725</v>
      </c>
      <c r="K129" s="1" t="str">
        <f t="shared" si="1"/>
        <v>2020-02-24</v>
      </c>
      <c r="L129" t="s">
        <v>919</v>
      </c>
    </row>
    <row r="130" spans="1:12" x14ac:dyDescent="0.25">
      <c r="A130" t="s">
        <v>726</v>
      </c>
      <c r="K130" s="1" t="str">
        <f t="shared" si="1"/>
        <v>2020-02-25</v>
      </c>
      <c r="L130" t="s">
        <v>975</v>
      </c>
    </row>
    <row r="131" spans="1:12" x14ac:dyDescent="0.25">
      <c r="A131" t="s">
        <v>727</v>
      </c>
      <c r="K131" s="1" t="str">
        <f t="shared" ref="K131:K194" si="2">LEFT(A131,10)</f>
        <v>2020-02-26</v>
      </c>
      <c r="L131" t="s">
        <v>976</v>
      </c>
    </row>
    <row r="132" spans="1:12" x14ac:dyDescent="0.25">
      <c r="A132" t="s">
        <v>728</v>
      </c>
      <c r="K132" s="1" t="str">
        <f t="shared" si="2"/>
        <v>2020-02-27</v>
      </c>
      <c r="L132" t="s">
        <v>977</v>
      </c>
    </row>
    <row r="133" spans="1:12" x14ac:dyDescent="0.25">
      <c r="A133" t="s">
        <v>729</v>
      </c>
      <c r="K133" s="1" t="str">
        <f t="shared" si="2"/>
        <v>2020-02-28</v>
      </c>
      <c r="L133" t="s">
        <v>866</v>
      </c>
    </row>
    <row r="134" spans="1:12" x14ac:dyDescent="0.25">
      <c r="A134" t="s">
        <v>730</v>
      </c>
      <c r="K134" s="1" t="str">
        <f t="shared" si="2"/>
        <v>2020-03-01</v>
      </c>
      <c r="L134" t="s">
        <v>978</v>
      </c>
    </row>
    <row r="135" spans="1:12" x14ac:dyDescent="0.25">
      <c r="A135" t="s">
        <v>731</v>
      </c>
      <c r="K135" s="1" t="str">
        <f t="shared" si="2"/>
        <v>2020-03-02</v>
      </c>
      <c r="L135" t="s">
        <v>979</v>
      </c>
    </row>
    <row r="136" spans="1:12" x14ac:dyDescent="0.25">
      <c r="A136" t="s">
        <v>732</v>
      </c>
      <c r="K136" s="1" t="str">
        <f t="shared" si="2"/>
        <v>2020-03-03</v>
      </c>
      <c r="L136" t="s">
        <v>980</v>
      </c>
    </row>
    <row r="137" spans="1:12" x14ac:dyDescent="0.25">
      <c r="A137" t="s">
        <v>733</v>
      </c>
      <c r="K137" s="1" t="str">
        <f t="shared" si="2"/>
        <v>2020-03-04</v>
      </c>
      <c r="L137" t="s">
        <v>981</v>
      </c>
    </row>
    <row r="138" spans="1:12" x14ac:dyDescent="0.25">
      <c r="A138" t="s">
        <v>734</v>
      </c>
      <c r="K138" s="1" t="str">
        <f t="shared" si="2"/>
        <v>2020-03-05</v>
      </c>
      <c r="L138" t="s">
        <v>982</v>
      </c>
    </row>
    <row r="139" spans="1:12" x14ac:dyDescent="0.25">
      <c r="A139" t="s">
        <v>735</v>
      </c>
      <c r="K139" s="1" t="str">
        <f t="shared" si="2"/>
        <v>2020-03-06</v>
      </c>
      <c r="L139" t="s">
        <v>983</v>
      </c>
    </row>
    <row r="140" spans="1:12" x14ac:dyDescent="0.25">
      <c r="A140" t="s">
        <v>736</v>
      </c>
      <c r="K140" s="1" t="str">
        <f t="shared" si="2"/>
        <v>2020-03-08</v>
      </c>
      <c r="L140" t="s">
        <v>984</v>
      </c>
    </row>
    <row r="141" spans="1:12" x14ac:dyDescent="0.25">
      <c r="A141" t="s">
        <v>737</v>
      </c>
      <c r="K141" s="1" t="str">
        <f t="shared" si="2"/>
        <v>2020-03-09</v>
      </c>
      <c r="L141" t="s">
        <v>985</v>
      </c>
    </row>
    <row r="142" spans="1:12" x14ac:dyDescent="0.25">
      <c r="A142" t="s">
        <v>738</v>
      </c>
      <c r="K142" s="1" t="str">
        <f t="shared" si="2"/>
        <v>2020-03-10</v>
      </c>
      <c r="L142" t="s">
        <v>986</v>
      </c>
    </row>
    <row r="143" spans="1:12" x14ac:dyDescent="0.25">
      <c r="A143" t="s">
        <v>739</v>
      </c>
      <c r="K143" s="1" t="str">
        <f t="shared" si="2"/>
        <v>2020-03-11</v>
      </c>
      <c r="L143" t="s">
        <v>987</v>
      </c>
    </row>
    <row r="144" spans="1:12" x14ac:dyDescent="0.25">
      <c r="A144" t="s">
        <v>740</v>
      </c>
      <c r="K144" s="1" t="str">
        <f t="shared" si="2"/>
        <v>2020-03-12</v>
      </c>
      <c r="L144" t="s">
        <v>988</v>
      </c>
    </row>
    <row r="145" spans="1:12" x14ac:dyDescent="0.25">
      <c r="A145" t="s">
        <v>741</v>
      </c>
      <c r="K145" s="1" t="str">
        <f t="shared" si="2"/>
        <v>2020-03-13</v>
      </c>
      <c r="L145" t="s">
        <v>989</v>
      </c>
    </row>
    <row r="146" spans="1:12" x14ac:dyDescent="0.25">
      <c r="A146" t="s">
        <v>742</v>
      </c>
      <c r="K146" s="1" t="str">
        <f t="shared" si="2"/>
        <v>2020-03-15</v>
      </c>
      <c r="L146" t="s">
        <v>990</v>
      </c>
    </row>
    <row r="147" spans="1:12" x14ac:dyDescent="0.25">
      <c r="A147" t="s">
        <v>743</v>
      </c>
      <c r="K147" s="1" t="str">
        <f t="shared" si="2"/>
        <v>2020-03-16</v>
      </c>
      <c r="L147" t="s">
        <v>991</v>
      </c>
    </row>
    <row r="148" spans="1:12" x14ac:dyDescent="0.25">
      <c r="A148" t="s">
        <v>744</v>
      </c>
      <c r="K148" s="1" t="str">
        <f t="shared" si="2"/>
        <v>2020-03-17</v>
      </c>
      <c r="L148" t="s">
        <v>992</v>
      </c>
    </row>
    <row r="149" spans="1:12" x14ac:dyDescent="0.25">
      <c r="A149" t="s">
        <v>745</v>
      </c>
      <c r="K149" s="1" t="str">
        <f t="shared" si="2"/>
        <v>2020-03-18</v>
      </c>
      <c r="L149" t="s">
        <v>993</v>
      </c>
    </row>
    <row r="150" spans="1:12" x14ac:dyDescent="0.25">
      <c r="A150" t="s">
        <v>746</v>
      </c>
      <c r="K150" s="1" t="str">
        <f t="shared" si="2"/>
        <v>2020-03-19</v>
      </c>
      <c r="L150" t="s">
        <v>994</v>
      </c>
    </row>
    <row r="151" spans="1:12" x14ac:dyDescent="0.25">
      <c r="A151" t="s">
        <v>747</v>
      </c>
      <c r="K151" s="1" t="str">
        <f t="shared" si="2"/>
        <v>2020-03-20</v>
      </c>
      <c r="L151" t="s">
        <v>995</v>
      </c>
    </row>
    <row r="152" spans="1:12" x14ac:dyDescent="0.25">
      <c r="A152" t="s">
        <v>748</v>
      </c>
      <c r="K152" s="1" t="str">
        <f t="shared" si="2"/>
        <v>2020-03-22</v>
      </c>
      <c r="L152" t="s">
        <v>996</v>
      </c>
    </row>
    <row r="153" spans="1:12" x14ac:dyDescent="0.25">
      <c r="A153" t="s">
        <v>749</v>
      </c>
      <c r="K153" s="1" t="str">
        <f t="shared" si="2"/>
        <v>2020-03-23</v>
      </c>
      <c r="L153" t="s">
        <v>997</v>
      </c>
    </row>
    <row r="154" spans="1:12" x14ac:dyDescent="0.25">
      <c r="A154" t="s">
        <v>750</v>
      </c>
      <c r="K154" s="1" t="str">
        <f t="shared" si="2"/>
        <v>2020-03-24</v>
      </c>
      <c r="L154" t="s">
        <v>998</v>
      </c>
    </row>
    <row r="155" spans="1:12" x14ac:dyDescent="0.25">
      <c r="A155" t="s">
        <v>751</v>
      </c>
      <c r="K155" s="1" t="str">
        <f t="shared" si="2"/>
        <v>2020-03-25</v>
      </c>
      <c r="L155" t="s">
        <v>999</v>
      </c>
    </row>
    <row r="156" spans="1:12" x14ac:dyDescent="0.25">
      <c r="A156" t="s">
        <v>752</v>
      </c>
      <c r="K156" s="1" t="str">
        <f t="shared" si="2"/>
        <v>2020-03-26</v>
      </c>
      <c r="L156" t="s">
        <v>1000</v>
      </c>
    </row>
    <row r="157" spans="1:12" x14ac:dyDescent="0.25">
      <c r="A157" t="s">
        <v>753</v>
      </c>
      <c r="K157" s="1" t="str">
        <f t="shared" si="2"/>
        <v>2020-03-27</v>
      </c>
      <c r="L157" t="s">
        <v>1001</v>
      </c>
    </row>
    <row r="158" spans="1:12" x14ac:dyDescent="0.25">
      <c r="A158" t="s">
        <v>754</v>
      </c>
      <c r="K158" s="1" t="str">
        <f t="shared" si="2"/>
        <v>2020-03-29</v>
      </c>
      <c r="L158" t="s">
        <v>1002</v>
      </c>
    </row>
    <row r="159" spans="1:12" x14ac:dyDescent="0.25">
      <c r="A159" t="s">
        <v>755</v>
      </c>
      <c r="K159" s="1" t="str">
        <f t="shared" si="2"/>
        <v>2020-03-30</v>
      </c>
      <c r="L159" t="s">
        <v>1003</v>
      </c>
    </row>
    <row r="160" spans="1:12" x14ac:dyDescent="0.25">
      <c r="A160" t="s">
        <v>756</v>
      </c>
      <c r="K160" s="1" t="str">
        <f t="shared" si="2"/>
        <v>2020-03-31</v>
      </c>
      <c r="L160" t="s">
        <v>1004</v>
      </c>
    </row>
    <row r="161" spans="1:12" x14ac:dyDescent="0.25">
      <c r="A161" t="s">
        <v>757</v>
      </c>
      <c r="K161" s="1" t="str">
        <f t="shared" si="2"/>
        <v>2020-04-01</v>
      </c>
      <c r="L161" t="s">
        <v>1005</v>
      </c>
    </row>
    <row r="162" spans="1:12" x14ac:dyDescent="0.25">
      <c r="A162" t="s">
        <v>758</v>
      </c>
      <c r="K162" s="1" t="str">
        <f t="shared" si="2"/>
        <v>2020-04-02</v>
      </c>
      <c r="L162" t="s">
        <v>1006</v>
      </c>
    </row>
    <row r="163" spans="1:12" x14ac:dyDescent="0.25">
      <c r="A163" t="s">
        <v>759</v>
      </c>
      <c r="K163" s="1" t="str">
        <f t="shared" si="2"/>
        <v>2020-04-03</v>
      </c>
      <c r="L163" t="s">
        <v>1007</v>
      </c>
    </row>
    <row r="164" spans="1:12" x14ac:dyDescent="0.25">
      <c r="A164" t="s">
        <v>218</v>
      </c>
      <c r="K164" s="1" t="str">
        <f t="shared" si="2"/>
        <v>2020-04-05</v>
      </c>
      <c r="L164" t="s">
        <v>415</v>
      </c>
    </row>
    <row r="165" spans="1:12" x14ac:dyDescent="0.25">
      <c r="A165" t="s">
        <v>760</v>
      </c>
      <c r="K165" s="1" t="str">
        <f t="shared" si="2"/>
        <v>2020-04-06</v>
      </c>
      <c r="L165" t="s">
        <v>1008</v>
      </c>
    </row>
    <row r="166" spans="1:12" x14ac:dyDescent="0.25">
      <c r="A166" t="s">
        <v>761</v>
      </c>
      <c r="K166" s="1" t="str">
        <f t="shared" si="2"/>
        <v>2020-04-07</v>
      </c>
      <c r="L166" t="s">
        <v>1009</v>
      </c>
    </row>
    <row r="167" spans="1:12" x14ac:dyDescent="0.25">
      <c r="A167" t="s">
        <v>762</v>
      </c>
      <c r="K167" s="1" t="str">
        <f t="shared" si="2"/>
        <v>2020-04-08</v>
      </c>
      <c r="L167" t="s">
        <v>1010</v>
      </c>
    </row>
    <row r="168" spans="1:12" x14ac:dyDescent="0.25">
      <c r="A168" t="s">
        <v>763</v>
      </c>
      <c r="K168" s="1" t="str">
        <f t="shared" si="2"/>
        <v>2020-04-09</v>
      </c>
      <c r="L168" t="s">
        <v>1011</v>
      </c>
    </row>
    <row r="169" spans="1:12" x14ac:dyDescent="0.25">
      <c r="A169" t="s">
        <v>764</v>
      </c>
      <c r="K169" s="1" t="str">
        <f t="shared" si="2"/>
        <v>2020-04-12</v>
      </c>
      <c r="L169" t="s">
        <v>1012</v>
      </c>
    </row>
    <row r="170" spans="1:12" x14ac:dyDescent="0.25">
      <c r="A170" t="s">
        <v>765</v>
      </c>
      <c r="K170" s="1" t="str">
        <f t="shared" si="2"/>
        <v>2020-04-13</v>
      </c>
      <c r="L170" t="s">
        <v>1013</v>
      </c>
    </row>
    <row r="171" spans="1:12" x14ac:dyDescent="0.25">
      <c r="A171" t="s">
        <v>766</v>
      </c>
      <c r="K171" s="1" t="str">
        <f t="shared" si="2"/>
        <v>2020-04-14</v>
      </c>
      <c r="L171" t="s">
        <v>1014</v>
      </c>
    </row>
    <row r="172" spans="1:12" x14ac:dyDescent="0.25">
      <c r="A172" t="s">
        <v>767</v>
      </c>
      <c r="K172" s="1" t="str">
        <f t="shared" si="2"/>
        <v>2020-04-15</v>
      </c>
      <c r="L172" t="s">
        <v>1015</v>
      </c>
    </row>
    <row r="173" spans="1:12" x14ac:dyDescent="0.25">
      <c r="A173" t="s">
        <v>768</v>
      </c>
      <c r="K173" s="1" t="str">
        <f t="shared" si="2"/>
        <v>2020-04-16</v>
      </c>
      <c r="L173" t="s">
        <v>1016</v>
      </c>
    </row>
    <row r="174" spans="1:12" x14ac:dyDescent="0.25">
      <c r="A174" t="s">
        <v>769</v>
      </c>
      <c r="K174" s="1" t="str">
        <f t="shared" si="2"/>
        <v>2020-04-17</v>
      </c>
      <c r="L174" t="s">
        <v>1017</v>
      </c>
    </row>
    <row r="175" spans="1:12" x14ac:dyDescent="0.25">
      <c r="A175" t="s">
        <v>770</v>
      </c>
      <c r="K175" s="1" t="str">
        <f t="shared" si="2"/>
        <v>2020-04-19</v>
      </c>
      <c r="L175" t="s">
        <v>1018</v>
      </c>
    </row>
    <row r="176" spans="1:12" x14ac:dyDescent="0.25">
      <c r="A176" t="s">
        <v>771</v>
      </c>
      <c r="K176" s="1" t="str">
        <f t="shared" si="2"/>
        <v>2020-04-20</v>
      </c>
      <c r="L176" t="s">
        <v>1019</v>
      </c>
    </row>
    <row r="177" spans="1:12" x14ac:dyDescent="0.25">
      <c r="A177" t="s">
        <v>772</v>
      </c>
      <c r="K177" s="1" t="str">
        <f t="shared" si="2"/>
        <v>2020-04-21</v>
      </c>
      <c r="L177" t="s">
        <v>1020</v>
      </c>
    </row>
    <row r="178" spans="1:12" x14ac:dyDescent="0.25">
      <c r="A178" t="s">
        <v>773</v>
      </c>
      <c r="K178" s="1" t="str">
        <f t="shared" si="2"/>
        <v>2020-04-22</v>
      </c>
      <c r="L178" t="s">
        <v>1021</v>
      </c>
    </row>
    <row r="179" spans="1:12" x14ac:dyDescent="0.25">
      <c r="A179" t="s">
        <v>774</v>
      </c>
      <c r="K179" s="1" t="str">
        <f t="shared" si="2"/>
        <v>2020-04-23</v>
      </c>
      <c r="L179" t="s">
        <v>1022</v>
      </c>
    </row>
    <row r="180" spans="1:12" x14ac:dyDescent="0.25">
      <c r="A180" t="s">
        <v>775</v>
      </c>
      <c r="K180" s="1" t="str">
        <f t="shared" si="2"/>
        <v>2020-04-24</v>
      </c>
      <c r="L180" t="s">
        <v>1023</v>
      </c>
    </row>
    <row r="181" spans="1:12" x14ac:dyDescent="0.25">
      <c r="A181" t="s">
        <v>776</v>
      </c>
      <c r="K181" s="1" t="str">
        <f t="shared" si="2"/>
        <v>2020-04-26</v>
      </c>
      <c r="L181" t="s">
        <v>1024</v>
      </c>
    </row>
    <row r="182" spans="1:12" x14ac:dyDescent="0.25">
      <c r="A182" t="s">
        <v>777</v>
      </c>
      <c r="K182" s="1" t="str">
        <f t="shared" si="2"/>
        <v>2020-04-27</v>
      </c>
      <c r="L182" t="s">
        <v>1025</v>
      </c>
    </row>
    <row r="183" spans="1:12" x14ac:dyDescent="0.25">
      <c r="A183" t="s">
        <v>778</v>
      </c>
      <c r="K183" s="1" t="str">
        <f t="shared" si="2"/>
        <v>2020-04-28</v>
      </c>
      <c r="L183" t="s">
        <v>1026</v>
      </c>
    </row>
    <row r="184" spans="1:12" x14ac:dyDescent="0.25">
      <c r="A184" t="s">
        <v>779</v>
      </c>
      <c r="K184" s="1" t="str">
        <f t="shared" si="2"/>
        <v>2020-04-29</v>
      </c>
      <c r="L184" t="s">
        <v>1027</v>
      </c>
    </row>
    <row r="185" spans="1:12" x14ac:dyDescent="0.25">
      <c r="A185" t="s">
        <v>780</v>
      </c>
      <c r="K185" s="1" t="str">
        <f t="shared" si="2"/>
        <v>2020-04-30</v>
      </c>
      <c r="L185" t="s">
        <v>1028</v>
      </c>
    </row>
    <row r="186" spans="1:12" x14ac:dyDescent="0.25">
      <c r="A186" t="s">
        <v>781</v>
      </c>
      <c r="K186" s="1" t="str">
        <f t="shared" si="2"/>
        <v>2020-05-01</v>
      </c>
      <c r="L186" t="s">
        <v>1029</v>
      </c>
    </row>
    <row r="187" spans="1:12" x14ac:dyDescent="0.25">
      <c r="A187" t="s">
        <v>782</v>
      </c>
      <c r="K187" s="1" t="str">
        <f t="shared" si="2"/>
        <v>2020-05-03</v>
      </c>
      <c r="L187" t="s">
        <v>1030</v>
      </c>
    </row>
    <row r="188" spans="1:12" x14ac:dyDescent="0.25">
      <c r="A188" t="s">
        <v>783</v>
      </c>
      <c r="K188" s="1" t="str">
        <f t="shared" si="2"/>
        <v>2020-05-04</v>
      </c>
      <c r="L188" t="s">
        <v>1031</v>
      </c>
    </row>
    <row r="189" spans="1:12" x14ac:dyDescent="0.25">
      <c r="A189" t="s">
        <v>784</v>
      </c>
      <c r="K189" s="1" t="str">
        <f t="shared" si="2"/>
        <v>2020-05-05</v>
      </c>
      <c r="L189" t="s">
        <v>1032</v>
      </c>
    </row>
    <row r="190" spans="1:12" x14ac:dyDescent="0.25">
      <c r="A190" t="s">
        <v>785</v>
      </c>
      <c r="K190" s="1" t="str">
        <f t="shared" si="2"/>
        <v>2020-05-06</v>
      </c>
      <c r="L190" t="s">
        <v>1033</v>
      </c>
    </row>
    <row r="191" spans="1:12" x14ac:dyDescent="0.25">
      <c r="A191" t="s">
        <v>786</v>
      </c>
      <c r="K191" s="1" t="str">
        <f t="shared" si="2"/>
        <v>2020-05-07</v>
      </c>
      <c r="L191" t="s">
        <v>1034</v>
      </c>
    </row>
    <row r="192" spans="1:12" x14ac:dyDescent="0.25">
      <c r="A192" t="s">
        <v>787</v>
      </c>
      <c r="K192" s="1" t="str">
        <f t="shared" si="2"/>
        <v>2020-05-08</v>
      </c>
      <c r="L192" t="s">
        <v>1035</v>
      </c>
    </row>
    <row r="193" spans="1:12" x14ac:dyDescent="0.25">
      <c r="A193" t="s">
        <v>788</v>
      </c>
      <c r="K193" s="1" t="str">
        <f t="shared" si="2"/>
        <v>2020-05-10</v>
      </c>
      <c r="L193" t="s">
        <v>1036</v>
      </c>
    </row>
    <row r="194" spans="1:12" x14ac:dyDescent="0.25">
      <c r="A194" t="s">
        <v>789</v>
      </c>
      <c r="K194" s="1" t="str">
        <f t="shared" si="2"/>
        <v>2020-05-11</v>
      </c>
      <c r="L194" t="s">
        <v>1037</v>
      </c>
    </row>
    <row r="195" spans="1:12" x14ac:dyDescent="0.25">
      <c r="A195" t="s">
        <v>790</v>
      </c>
      <c r="K195" s="1" t="str">
        <f t="shared" ref="K195:K258" si="3">LEFT(A195,10)</f>
        <v>2020-05-12</v>
      </c>
      <c r="L195" t="s">
        <v>1038</v>
      </c>
    </row>
    <row r="196" spans="1:12" x14ac:dyDescent="0.25">
      <c r="A196" t="s">
        <v>791</v>
      </c>
      <c r="K196" s="1" t="str">
        <f t="shared" si="3"/>
        <v>2020-05-13</v>
      </c>
      <c r="L196" t="s">
        <v>1039</v>
      </c>
    </row>
    <row r="197" spans="1:12" x14ac:dyDescent="0.25">
      <c r="A197" t="s">
        <v>792</v>
      </c>
      <c r="K197" s="1" t="str">
        <f t="shared" si="3"/>
        <v>2020-05-14</v>
      </c>
      <c r="L197" t="s">
        <v>1040</v>
      </c>
    </row>
    <row r="198" spans="1:12" x14ac:dyDescent="0.25">
      <c r="A198" t="s">
        <v>793</v>
      </c>
      <c r="K198" s="1" t="str">
        <f t="shared" si="3"/>
        <v>2020-05-15</v>
      </c>
      <c r="L198" t="s">
        <v>1041</v>
      </c>
    </row>
    <row r="199" spans="1:12" x14ac:dyDescent="0.25">
      <c r="A199" t="s">
        <v>794</v>
      </c>
      <c r="K199" s="1" t="str">
        <f t="shared" si="3"/>
        <v>2020-05-17</v>
      </c>
      <c r="L199" t="s">
        <v>1042</v>
      </c>
    </row>
    <row r="200" spans="1:12" x14ac:dyDescent="0.25">
      <c r="A200" t="s">
        <v>795</v>
      </c>
      <c r="K200" s="1" t="str">
        <f t="shared" si="3"/>
        <v>2020-05-18</v>
      </c>
      <c r="L200" t="s">
        <v>1043</v>
      </c>
    </row>
    <row r="201" spans="1:12" x14ac:dyDescent="0.25">
      <c r="A201" t="s">
        <v>796</v>
      </c>
      <c r="K201" s="1" t="str">
        <f t="shared" si="3"/>
        <v>2020-05-19</v>
      </c>
      <c r="L201" t="s">
        <v>1044</v>
      </c>
    </row>
    <row r="202" spans="1:12" x14ac:dyDescent="0.25">
      <c r="A202" t="s">
        <v>797</v>
      </c>
      <c r="K202" s="1" t="str">
        <f t="shared" si="3"/>
        <v>2020-05-20</v>
      </c>
      <c r="L202" t="s">
        <v>1045</v>
      </c>
    </row>
    <row r="203" spans="1:12" x14ac:dyDescent="0.25">
      <c r="A203" t="s">
        <v>798</v>
      </c>
      <c r="K203" s="1" t="str">
        <f t="shared" si="3"/>
        <v>2020-05-21</v>
      </c>
      <c r="L203" t="s">
        <v>1046</v>
      </c>
    </row>
    <row r="204" spans="1:12" x14ac:dyDescent="0.25">
      <c r="A204" t="s">
        <v>799</v>
      </c>
      <c r="K204" s="1" t="str">
        <f t="shared" si="3"/>
        <v>2020-05-22</v>
      </c>
      <c r="L204" t="s">
        <v>1047</v>
      </c>
    </row>
    <row r="205" spans="1:12" x14ac:dyDescent="0.25">
      <c r="A205" t="s">
        <v>800</v>
      </c>
      <c r="K205" s="1" t="str">
        <f t="shared" si="3"/>
        <v>2020-05-24</v>
      </c>
      <c r="L205" t="s">
        <v>1048</v>
      </c>
    </row>
    <row r="206" spans="1:12" x14ac:dyDescent="0.25">
      <c r="A206" t="s">
        <v>801</v>
      </c>
      <c r="K206" s="1" t="str">
        <f t="shared" si="3"/>
        <v>2020-05-26</v>
      </c>
      <c r="L206" t="s">
        <v>1049</v>
      </c>
    </row>
    <row r="207" spans="1:12" x14ac:dyDescent="0.25">
      <c r="A207" t="s">
        <v>802</v>
      </c>
      <c r="K207" s="1" t="str">
        <f t="shared" si="3"/>
        <v>2020-05-27</v>
      </c>
      <c r="L207" t="s">
        <v>1050</v>
      </c>
    </row>
    <row r="208" spans="1:12" x14ac:dyDescent="0.25">
      <c r="A208" t="s">
        <v>803</v>
      </c>
      <c r="K208" s="1" t="str">
        <f t="shared" si="3"/>
        <v>2020-05-28</v>
      </c>
      <c r="L208" t="s">
        <v>1051</v>
      </c>
    </row>
    <row r="209" spans="1:12" x14ac:dyDescent="0.25">
      <c r="A209" t="s">
        <v>804</v>
      </c>
      <c r="K209" s="1" t="str">
        <f t="shared" si="3"/>
        <v>2020-05-29</v>
      </c>
      <c r="L209" t="s">
        <v>1052</v>
      </c>
    </row>
    <row r="210" spans="1:12" x14ac:dyDescent="0.25">
      <c r="A210" t="s">
        <v>805</v>
      </c>
      <c r="K210" s="1" t="str">
        <f t="shared" si="3"/>
        <v>2020-05-31</v>
      </c>
      <c r="L210" t="s">
        <v>1053</v>
      </c>
    </row>
    <row r="211" spans="1:12" x14ac:dyDescent="0.25">
      <c r="A211" t="s">
        <v>806</v>
      </c>
      <c r="K211" s="1" t="str">
        <f t="shared" si="3"/>
        <v>2020-06-01</v>
      </c>
      <c r="L211" t="s">
        <v>1054</v>
      </c>
    </row>
    <row r="212" spans="1:12" x14ac:dyDescent="0.25">
      <c r="A212" t="s">
        <v>807</v>
      </c>
      <c r="K212" s="1" t="str">
        <f t="shared" si="3"/>
        <v>2020-06-02</v>
      </c>
      <c r="L212" t="s">
        <v>1055</v>
      </c>
    </row>
    <row r="213" spans="1:12" x14ac:dyDescent="0.25">
      <c r="A213" t="s">
        <v>808</v>
      </c>
      <c r="K213" s="1" t="str">
        <f t="shared" si="3"/>
        <v>2020-06-03</v>
      </c>
      <c r="L213" t="s">
        <v>1056</v>
      </c>
    </row>
    <row r="214" spans="1:12" x14ac:dyDescent="0.25">
      <c r="A214" t="s">
        <v>809</v>
      </c>
      <c r="K214" s="1" t="str">
        <f t="shared" si="3"/>
        <v>2020-06-04</v>
      </c>
      <c r="L214" t="s">
        <v>1057</v>
      </c>
    </row>
    <row r="215" spans="1:12" x14ac:dyDescent="0.25">
      <c r="A215" t="s">
        <v>810</v>
      </c>
      <c r="K215" s="1" t="str">
        <f t="shared" si="3"/>
        <v>2020-06-05</v>
      </c>
      <c r="L215" t="s">
        <v>1058</v>
      </c>
    </row>
    <row r="216" spans="1:12" x14ac:dyDescent="0.25">
      <c r="A216" t="s">
        <v>811</v>
      </c>
      <c r="K216" s="1" t="str">
        <f t="shared" si="3"/>
        <v>2020-06-07</v>
      </c>
      <c r="L216" t="s">
        <v>1059</v>
      </c>
    </row>
    <row r="217" spans="1:12" x14ac:dyDescent="0.25">
      <c r="A217" t="s">
        <v>812</v>
      </c>
      <c r="K217" s="1" t="str">
        <f t="shared" si="3"/>
        <v>2020-06-08</v>
      </c>
      <c r="L217" t="s">
        <v>1060</v>
      </c>
    </row>
    <row r="218" spans="1:12" x14ac:dyDescent="0.25">
      <c r="A218" t="s">
        <v>813</v>
      </c>
      <c r="K218" s="1" t="str">
        <f t="shared" si="3"/>
        <v>2020-06-09</v>
      </c>
      <c r="L218" t="s">
        <v>1061</v>
      </c>
    </row>
    <row r="219" spans="1:12" x14ac:dyDescent="0.25">
      <c r="A219" t="s">
        <v>814</v>
      </c>
      <c r="K219" s="1" t="str">
        <f t="shared" si="3"/>
        <v>2020-06-10</v>
      </c>
      <c r="L219" t="s">
        <v>1062</v>
      </c>
    </row>
    <row r="220" spans="1:12" x14ac:dyDescent="0.25">
      <c r="A220" t="s">
        <v>815</v>
      </c>
      <c r="K220" s="1" t="str">
        <f t="shared" si="3"/>
        <v>2020-06-11</v>
      </c>
      <c r="L220" t="s">
        <v>1063</v>
      </c>
    </row>
    <row r="221" spans="1:12" x14ac:dyDescent="0.25">
      <c r="A221" t="s">
        <v>816</v>
      </c>
      <c r="K221" s="1" t="str">
        <f t="shared" si="3"/>
        <v>2020-06-12</v>
      </c>
      <c r="L221" t="s">
        <v>1064</v>
      </c>
    </row>
    <row r="222" spans="1:12" x14ac:dyDescent="0.25">
      <c r="A222" t="s">
        <v>817</v>
      </c>
      <c r="K222" s="1" t="str">
        <f t="shared" si="3"/>
        <v>2020-06-14</v>
      </c>
      <c r="L222" t="s">
        <v>1065</v>
      </c>
    </row>
    <row r="223" spans="1:12" x14ac:dyDescent="0.25">
      <c r="A223" t="s">
        <v>818</v>
      </c>
      <c r="K223" s="1" t="str">
        <f t="shared" si="3"/>
        <v>2020-06-15</v>
      </c>
      <c r="L223" t="s">
        <v>1066</v>
      </c>
    </row>
    <row r="224" spans="1:12" x14ac:dyDescent="0.25">
      <c r="A224" t="s">
        <v>819</v>
      </c>
      <c r="K224" s="1" t="str">
        <f t="shared" si="3"/>
        <v>2020-06-16</v>
      </c>
      <c r="L224" t="s">
        <v>1067</v>
      </c>
    </row>
    <row r="225" spans="1:12" x14ac:dyDescent="0.25">
      <c r="A225" t="s">
        <v>820</v>
      </c>
      <c r="K225" s="1" t="str">
        <f t="shared" si="3"/>
        <v>2020-06-17</v>
      </c>
      <c r="L225" t="s">
        <v>1068</v>
      </c>
    </row>
    <row r="226" spans="1:12" x14ac:dyDescent="0.25">
      <c r="A226" t="s">
        <v>821</v>
      </c>
      <c r="K226" s="1" t="str">
        <f t="shared" si="3"/>
        <v>2020-06-18</v>
      </c>
      <c r="L226" t="s">
        <v>1069</v>
      </c>
    </row>
    <row r="227" spans="1:12" x14ac:dyDescent="0.25">
      <c r="A227" t="s">
        <v>822</v>
      </c>
      <c r="K227" s="1" t="str">
        <f t="shared" si="3"/>
        <v>2020-06-19</v>
      </c>
      <c r="L227" t="s">
        <v>1070</v>
      </c>
    </row>
    <row r="228" spans="1:12" x14ac:dyDescent="0.25">
      <c r="A228" t="s">
        <v>823</v>
      </c>
      <c r="K228" s="1" t="str">
        <f t="shared" si="3"/>
        <v>2020-06-21</v>
      </c>
      <c r="L228" t="s">
        <v>1071</v>
      </c>
    </row>
    <row r="229" spans="1:12" x14ac:dyDescent="0.25">
      <c r="A229" t="s">
        <v>824</v>
      </c>
      <c r="K229" s="1" t="str">
        <f t="shared" si="3"/>
        <v>2020-06-22</v>
      </c>
      <c r="L229" t="s">
        <v>1072</v>
      </c>
    </row>
    <row r="230" spans="1:12" x14ac:dyDescent="0.25">
      <c r="A230" t="s">
        <v>825</v>
      </c>
      <c r="K230" s="1" t="str">
        <f t="shared" si="3"/>
        <v>2020-06-23</v>
      </c>
      <c r="L230" t="s">
        <v>1073</v>
      </c>
    </row>
    <row r="231" spans="1:12" x14ac:dyDescent="0.25">
      <c r="A231" t="s">
        <v>826</v>
      </c>
      <c r="K231" s="1" t="str">
        <f t="shared" si="3"/>
        <v>2020-06-24</v>
      </c>
      <c r="L231" t="s">
        <v>1074</v>
      </c>
    </row>
    <row r="232" spans="1:12" x14ac:dyDescent="0.25">
      <c r="A232" t="s">
        <v>827</v>
      </c>
      <c r="K232" s="1" t="str">
        <f t="shared" si="3"/>
        <v>2020-06-25</v>
      </c>
      <c r="L232" t="s">
        <v>1075</v>
      </c>
    </row>
    <row r="233" spans="1:12" x14ac:dyDescent="0.25">
      <c r="A233" t="s">
        <v>828</v>
      </c>
      <c r="K233" s="1" t="str">
        <f t="shared" si="3"/>
        <v>2020-06-26</v>
      </c>
      <c r="L233" t="s">
        <v>1076</v>
      </c>
    </row>
    <row r="234" spans="1:12" x14ac:dyDescent="0.25">
      <c r="A234" t="s">
        <v>829</v>
      </c>
      <c r="K234" s="1" t="str">
        <f t="shared" si="3"/>
        <v>2020-06-28</v>
      </c>
      <c r="L234" t="s">
        <v>1077</v>
      </c>
    </row>
    <row r="235" spans="1:12" x14ac:dyDescent="0.25">
      <c r="A235" t="s">
        <v>830</v>
      </c>
      <c r="K235" s="1" t="str">
        <f t="shared" si="3"/>
        <v>2020-06-29</v>
      </c>
      <c r="L235" t="s">
        <v>1078</v>
      </c>
    </row>
    <row r="236" spans="1:12" x14ac:dyDescent="0.25">
      <c r="A236" t="s">
        <v>831</v>
      </c>
      <c r="K236" s="1" t="str">
        <f t="shared" si="3"/>
        <v>2020-06-30</v>
      </c>
      <c r="L236" t="s">
        <v>1079</v>
      </c>
    </row>
    <row r="237" spans="1:12" x14ac:dyDescent="0.25">
      <c r="A237" t="s">
        <v>832</v>
      </c>
      <c r="K237" s="1" t="str">
        <f t="shared" si="3"/>
        <v>2020-07-01</v>
      </c>
      <c r="L237" t="s">
        <v>1080</v>
      </c>
    </row>
    <row r="238" spans="1:12" x14ac:dyDescent="0.25">
      <c r="A238" t="s">
        <v>833</v>
      </c>
      <c r="K238" s="1" t="str">
        <f t="shared" si="3"/>
        <v>2020-07-02</v>
      </c>
      <c r="L238" t="s">
        <v>1081</v>
      </c>
    </row>
    <row r="239" spans="1:12" x14ac:dyDescent="0.25">
      <c r="A239" t="s">
        <v>834</v>
      </c>
      <c r="K239" s="1" t="str">
        <f t="shared" si="3"/>
        <v>2020-07-05</v>
      </c>
      <c r="L239" t="s">
        <v>1082</v>
      </c>
    </row>
    <row r="240" spans="1:12" x14ac:dyDescent="0.25">
      <c r="A240" t="s">
        <v>835</v>
      </c>
      <c r="K240" s="1" t="str">
        <f t="shared" si="3"/>
        <v>2020-07-06</v>
      </c>
      <c r="L240" t="s">
        <v>1083</v>
      </c>
    </row>
    <row r="241" spans="1:12" x14ac:dyDescent="0.25">
      <c r="A241" t="s">
        <v>836</v>
      </c>
      <c r="K241" s="1" t="str">
        <f t="shared" si="3"/>
        <v>2020-07-07</v>
      </c>
      <c r="L241" t="s">
        <v>1084</v>
      </c>
    </row>
    <row r="242" spans="1:12" x14ac:dyDescent="0.25">
      <c r="A242" t="s">
        <v>837</v>
      </c>
      <c r="K242" s="1" t="str">
        <f t="shared" si="3"/>
        <v>2020-07-08</v>
      </c>
      <c r="L242" t="s">
        <v>1085</v>
      </c>
    </row>
    <row r="243" spans="1:12" x14ac:dyDescent="0.25">
      <c r="A243" t="s">
        <v>838</v>
      </c>
      <c r="K243" s="1" t="str">
        <f t="shared" si="3"/>
        <v>2020-07-09</v>
      </c>
      <c r="L243" t="s">
        <v>1086</v>
      </c>
    </row>
    <row r="244" spans="1:12" x14ac:dyDescent="0.25">
      <c r="A244" t="s">
        <v>839</v>
      </c>
      <c r="K244" s="1" t="str">
        <f t="shared" si="3"/>
        <v>2020-07-10</v>
      </c>
      <c r="L244" t="s">
        <v>1087</v>
      </c>
    </row>
    <row r="245" spans="1:12" x14ac:dyDescent="0.25">
      <c r="A245" t="s">
        <v>840</v>
      </c>
      <c r="K245" s="1" t="str">
        <f t="shared" si="3"/>
        <v>2020-07-12</v>
      </c>
      <c r="L245" t="s">
        <v>1088</v>
      </c>
    </row>
    <row r="246" spans="1:12" x14ac:dyDescent="0.25">
      <c r="A246" t="s">
        <v>841</v>
      </c>
      <c r="K246" s="1" t="str">
        <f t="shared" si="3"/>
        <v>2020-07-13</v>
      </c>
      <c r="L246" t="s">
        <v>1089</v>
      </c>
    </row>
    <row r="247" spans="1:12" x14ac:dyDescent="0.25">
      <c r="A247" t="s">
        <v>842</v>
      </c>
      <c r="K247" s="1" t="str">
        <f t="shared" si="3"/>
        <v>2020-07-14</v>
      </c>
      <c r="L247" t="s">
        <v>1090</v>
      </c>
    </row>
    <row r="248" spans="1:12" x14ac:dyDescent="0.25">
      <c r="A248" t="s">
        <v>843</v>
      </c>
      <c r="K248" s="1" t="str">
        <f t="shared" si="3"/>
        <v>2020-07-15</v>
      </c>
      <c r="L248" t="s">
        <v>1091</v>
      </c>
    </row>
    <row r="249" spans="1:12" x14ac:dyDescent="0.25">
      <c r="A249" t="s">
        <v>844</v>
      </c>
      <c r="K249" s="1" t="str">
        <f t="shared" si="3"/>
        <v>2020-07-16</v>
      </c>
      <c r="L249" t="s">
        <v>1092</v>
      </c>
    </row>
    <row r="250" spans="1:12" x14ac:dyDescent="0.25">
      <c r="A250" t="s">
        <v>845</v>
      </c>
      <c r="K250" s="1" t="str">
        <f t="shared" si="3"/>
        <v>2020-07-17</v>
      </c>
      <c r="L250" t="s">
        <v>1093</v>
      </c>
    </row>
    <row r="251" spans="1:12" x14ac:dyDescent="0.25">
      <c r="A251" t="s">
        <v>846</v>
      </c>
      <c r="K251" s="1" t="str">
        <f t="shared" si="3"/>
        <v>2020-07-19</v>
      </c>
      <c r="L251" t="s">
        <v>1094</v>
      </c>
    </row>
    <row r="252" spans="1:12" x14ac:dyDescent="0.25">
      <c r="A252" t="s">
        <v>847</v>
      </c>
      <c r="K252" s="1" t="str">
        <f t="shared" si="3"/>
        <v>2020-07-20</v>
      </c>
      <c r="L252" t="s">
        <v>1095</v>
      </c>
    </row>
    <row r="253" spans="1:12" x14ac:dyDescent="0.25">
      <c r="A253" t="s">
        <v>848</v>
      </c>
      <c r="K253" s="1" t="str">
        <f t="shared" si="3"/>
        <v>2020-07-21</v>
      </c>
      <c r="L253" t="s">
        <v>1096</v>
      </c>
    </row>
    <row r="254" spans="1:12" x14ac:dyDescent="0.25">
      <c r="A254" t="s">
        <v>849</v>
      </c>
      <c r="K254" s="1" t="str">
        <f t="shared" si="3"/>
        <v>2020-07-22</v>
      </c>
      <c r="L254" t="s">
        <v>1097</v>
      </c>
    </row>
    <row r="255" spans="1:12" x14ac:dyDescent="0.25">
      <c r="A255" t="s">
        <v>850</v>
      </c>
      <c r="K255" s="1" t="str">
        <f t="shared" si="3"/>
        <v>2020-07-23</v>
      </c>
      <c r="L255" t="s">
        <v>1098</v>
      </c>
    </row>
    <row r="256" spans="1:12" x14ac:dyDescent="0.25">
      <c r="A256" t="s">
        <v>851</v>
      </c>
      <c r="K256" s="1" t="str">
        <f t="shared" si="3"/>
        <v>2020-07-24</v>
      </c>
      <c r="L256" t="s">
        <v>1099</v>
      </c>
    </row>
    <row r="257" spans="1:12" x14ac:dyDescent="0.25">
      <c r="A257" t="s">
        <v>852</v>
      </c>
      <c r="K257" s="1" t="str">
        <f t="shared" si="3"/>
        <v>2020-07-26</v>
      </c>
      <c r="L257" t="s">
        <v>1100</v>
      </c>
    </row>
    <row r="258" spans="1:12" x14ac:dyDescent="0.25">
      <c r="A258" t="s">
        <v>853</v>
      </c>
      <c r="K258" s="1" t="str">
        <f t="shared" si="3"/>
        <v>2020-07-27</v>
      </c>
      <c r="L258" t="s">
        <v>1101</v>
      </c>
    </row>
    <row r="259" spans="1:12" x14ac:dyDescent="0.25">
      <c r="A259" t="s">
        <v>854</v>
      </c>
      <c r="K259" s="1" t="str">
        <f t="shared" ref="K259:K307" si="4">LEFT(A259,10)</f>
        <v>2020-07-28</v>
      </c>
      <c r="L259" t="s">
        <v>1102</v>
      </c>
    </row>
    <row r="260" spans="1:12" x14ac:dyDescent="0.25">
      <c r="K260" s="1" t="str">
        <f t="shared" si="4"/>
        <v/>
      </c>
      <c r="L260" t="e">
        <v>#VALUE!</v>
      </c>
    </row>
    <row r="261" spans="1:12" x14ac:dyDescent="0.25">
      <c r="K261" s="1" t="str">
        <f t="shared" si="4"/>
        <v/>
      </c>
      <c r="L261" t="e">
        <v>#VALUE!</v>
      </c>
    </row>
    <row r="262" spans="1:12" x14ac:dyDescent="0.25">
      <c r="K262" s="1" t="str">
        <f t="shared" si="4"/>
        <v/>
      </c>
      <c r="L262" t="e">
        <v>#VALUE!</v>
      </c>
    </row>
    <row r="263" spans="1:12" x14ac:dyDescent="0.25">
      <c r="K263" s="1" t="str">
        <f t="shared" si="4"/>
        <v/>
      </c>
      <c r="L263" t="e">
        <v>#VALUE!</v>
      </c>
    </row>
    <row r="264" spans="1:12" x14ac:dyDescent="0.25">
      <c r="K264" s="1" t="str">
        <f t="shared" si="4"/>
        <v/>
      </c>
      <c r="L264" t="e">
        <v>#VALUE!</v>
      </c>
    </row>
    <row r="265" spans="1:12" x14ac:dyDescent="0.25">
      <c r="K265" s="1" t="str">
        <f t="shared" si="4"/>
        <v/>
      </c>
      <c r="L265" t="e">
        <v>#VALUE!</v>
      </c>
    </row>
    <row r="266" spans="1:12" x14ac:dyDescent="0.25">
      <c r="K266" s="1" t="str">
        <f t="shared" si="4"/>
        <v/>
      </c>
      <c r="L266" t="e">
        <v>#VALUE!</v>
      </c>
    </row>
    <row r="267" spans="1:12" x14ac:dyDescent="0.25">
      <c r="K267" s="1" t="str">
        <f t="shared" si="4"/>
        <v/>
      </c>
      <c r="L267" t="e">
        <v>#VALUE!</v>
      </c>
    </row>
    <row r="268" spans="1:12" x14ac:dyDescent="0.25">
      <c r="K268" s="1" t="str">
        <f t="shared" si="4"/>
        <v/>
      </c>
      <c r="L268" t="e">
        <v>#VALUE!</v>
      </c>
    </row>
    <row r="269" spans="1:12" x14ac:dyDescent="0.25">
      <c r="K269" s="1" t="str">
        <f t="shared" si="4"/>
        <v/>
      </c>
      <c r="L269" t="e">
        <v>#VALUE!</v>
      </c>
    </row>
    <row r="270" spans="1:12" x14ac:dyDescent="0.25">
      <c r="K270" s="1" t="str">
        <f t="shared" si="4"/>
        <v/>
      </c>
      <c r="L270" t="e">
        <v>#VALUE!</v>
      </c>
    </row>
    <row r="271" spans="1:12" x14ac:dyDescent="0.25">
      <c r="K271" s="1" t="str">
        <f t="shared" si="4"/>
        <v/>
      </c>
      <c r="L271" t="e">
        <v>#VALUE!</v>
      </c>
    </row>
    <row r="272" spans="1:12" x14ac:dyDescent="0.25">
      <c r="K272" s="1" t="str">
        <f t="shared" si="4"/>
        <v/>
      </c>
      <c r="L272" t="e">
        <v>#VALUE!</v>
      </c>
    </row>
    <row r="273" spans="11:12" x14ac:dyDescent="0.25">
      <c r="K273" s="1" t="str">
        <f t="shared" si="4"/>
        <v/>
      </c>
      <c r="L273" t="e">
        <v>#VALUE!</v>
      </c>
    </row>
    <row r="274" spans="11:12" x14ac:dyDescent="0.25">
      <c r="K274" s="1" t="str">
        <f t="shared" si="4"/>
        <v/>
      </c>
      <c r="L274" t="e">
        <v>#VALUE!</v>
      </c>
    </row>
    <row r="275" spans="11:12" x14ac:dyDescent="0.25">
      <c r="K275" s="1" t="str">
        <f t="shared" si="4"/>
        <v/>
      </c>
      <c r="L275" t="e">
        <v>#VALUE!</v>
      </c>
    </row>
    <row r="276" spans="11:12" x14ac:dyDescent="0.25">
      <c r="K276" s="1" t="str">
        <f t="shared" si="4"/>
        <v/>
      </c>
      <c r="L276" t="e">
        <v>#VALUE!</v>
      </c>
    </row>
    <row r="277" spans="11:12" x14ac:dyDescent="0.25">
      <c r="K277" s="1" t="str">
        <f t="shared" si="4"/>
        <v/>
      </c>
      <c r="L277" t="e">
        <v>#VALUE!</v>
      </c>
    </row>
    <row r="278" spans="11:12" x14ac:dyDescent="0.25">
      <c r="K278" s="1" t="str">
        <f t="shared" si="4"/>
        <v/>
      </c>
      <c r="L278" t="e">
        <v>#VALUE!</v>
      </c>
    </row>
    <row r="279" spans="11:12" x14ac:dyDescent="0.25">
      <c r="K279" s="1" t="str">
        <f t="shared" si="4"/>
        <v/>
      </c>
      <c r="L279" t="e">
        <v>#VALUE!</v>
      </c>
    </row>
    <row r="280" spans="11:12" x14ac:dyDescent="0.25">
      <c r="K280" s="1" t="str">
        <f t="shared" si="4"/>
        <v/>
      </c>
      <c r="L280" t="e">
        <v>#VALUE!</v>
      </c>
    </row>
    <row r="281" spans="11:12" x14ac:dyDescent="0.25">
      <c r="K281" s="1" t="str">
        <f t="shared" si="4"/>
        <v/>
      </c>
      <c r="L281" t="e">
        <v>#VALUE!</v>
      </c>
    </row>
    <row r="282" spans="11:12" x14ac:dyDescent="0.25">
      <c r="K282" s="1" t="str">
        <f t="shared" si="4"/>
        <v/>
      </c>
      <c r="L282" t="e">
        <v>#VALUE!</v>
      </c>
    </row>
    <row r="283" spans="11:12" x14ac:dyDescent="0.25">
      <c r="K283" s="1" t="str">
        <f t="shared" si="4"/>
        <v/>
      </c>
      <c r="L283" t="e">
        <v>#VALUE!</v>
      </c>
    </row>
    <row r="284" spans="11:12" x14ac:dyDescent="0.25">
      <c r="K284" s="1" t="str">
        <f t="shared" si="4"/>
        <v/>
      </c>
      <c r="L284" t="e">
        <v>#VALUE!</v>
      </c>
    </row>
    <row r="285" spans="11:12" x14ac:dyDescent="0.25">
      <c r="K285" s="1" t="str">
        <f t="shared" si="4"/>
        <v/>
      </c>
      <c r="L285" t="e">
        <v>#VALUE!</v>
      </c>
    </row>
    <row r="286" spans="11:12" x14ac:dyDescent="0.25">
      <c r="K286" s="1" t="str">
        <f t="shared" si="4"/>
        <v/>
      </c>
      <c r="L286" t="e">
        <v>#VALUE!</v>
      </c>
    </row>
    <row r="287" spans="11:12" x14ac:dyDescent="0.25">
      <c r="K287" s="1" t="str">
        <f t="shared" si="4"/>
        <v/>
      </c>
      <c r="L287" t="e">
        <v>#VALUE!</v>
      </c>
    </row>
    <row r="288" spans="11:12" x14ac:dyDescent="0.25">
      <c r="K288" s="1" t="str">
        <f t="shared" si="4"/>
        <v/>
      </c>
      <c r="L288" t="e">
        <v>#VALUE!</v>
      </c>
    </row>
    <row r="289" spans="11:12" x14ac:dyDescent="0.25">
      <c r="K289" s="1" t="str">
        <f t="shared" si="4"/>
        <v/>
      </c>
      <c r="L289" t="e">
        <v>#VALUE!</v>
      </c>
    </row>
    <row r="290" spans="11:12" x14ac:dyDescent="0.25">
      <c r="K290" s="1" t="str">
        <f t="shared" si="4"/>
        <v/>
      </c>
      <c r="L290" t="e">
        <v>#VALUE!</v>
      </c>
    </row>
    <row r="291" spans="11:12" x14ac:dyDescent="0.25">
      <c r="K291" s="1" t="str">
        <f t="shared" si="4"/>
        <v/>
      </c>
      <c r="L291" t="e">
        <v>#VALUE!</v>
      </c>
    </row>
    <row r="292" spans="11:12" x14ac:dyDescent="0.25">
      <c r="K292" s="1" t="str">
        <f t="shared" si="4"/>
        <v/>
      </c>
      <c r="L292" t="e">
        <v>#VALUE!</v>
      </c>
    </row>
    <row r="293" spans="11:12" x14ac:dyDescent="0.25">
      <c r="K293" s="1" t="str">
        <f t="shared" si="4"/>
        <v/>
      </c>
      <c r="L293" t="e">
        <v>#VALUE!</v>
      </c>
    </row>
    <row r="294" spans="11:12" x14ac:dyDescent="0.25">
      <c r="K294" s="1" t="str">
        <f t="shared" si="4"/>
        <v/>
      </c>
      <c r="L294" t="e">
        <v>#VALUE!</v>
      </c>
    </row>
    <row r="295" spans="11:12" x14ac:dyDescent="0.25">
      <c r="K295" s="1" t="str">
        <f t="shared" si="4"/>
        <v/>
      </c>
      <c r="L295" t="e">
        <v>#VALUE!</v>
      </c>
    </row>
    <row r="296" spans="11:12" x14ac:dyDescent="0.25">
      <c r="K296" s="1" t="str">
        <f t="shared" si="4"/>
        <v/>
      </c>
      <c r="L296" t="e">
        <v>#VALUE!</v>
      </c>
    </row>
    <row r="297" spans="11:12" x14ac:dyDescent="0.25">
      <c r="K297" s="1" t="str">
        <f t="shared" si="4"/>
        <v/>
      </c>
      <c r="L297" t="e">
        <v>#VALUE!</v>
      </c>
    </row>
    <row r="298" spans="11:12" x14ac:dyDescent="0.25">
      <c r="K298" s="1" t="str">
        <f t="shared" si="4"/>
        <v/>
      </c>
      <c r="L298" t="e">
        <v>#VALUE!</v>
      </c>
    </row>
    <row r="299" spans="11:12" x14ac:dyDescent="0.25">
      <c r="K299" s="1" t="str">
        <f t="shared" si="4"/>
        <v/>
      </c>
      <c r="L299" t="e">
        <v>#VALUE!</v>
      </c>
    </row>
    <row r="300" spans="11:12" x14ac:dyDescent="0.25">
      <c r="K300" s="1" t="str">
        <f t="shared" si="4"/>
        <v/>
      </c>
      <c r="L300" t="e">
        <v>#VALUE!</v>
      </c>
    </row>
    <row r="301" spans="11:12" x14ac:dyDescent="0.25">
      <c r="K301" s="1" t="str">
        <f t="shared" si="4"/>
        <v/>
      </c>
      <c r="L301" t="e">
        <v>#VALUE!</v>
      </c>
    </row>
    <row r="302" spans="11:12" x14ac:dyDescent="0.25">
      <c r="K302" s="1" t="str">
        <f t="shared" si="4"/>
        <v/>
      </c>
      <c r="L302" t="e">
        <v>#VALUE!</v>
      </c>
    </row>
    <row r="303" spans="11:12" x14ac:dyDescent="0.25">
      <c r="K303" s="1" t="str">
        <f t="shared" si="4"/>
        <v/>
      </c>
      <c r="L303" t="e">
        <v>#VALUE!</v>
      </c>
    </row>
    <row r="304" spans="11:12" x14ac:dyDescent="0.25">
      <c r="K304" s="1" t="str">
        <f t="shared" si="4"/>
        <v/>
      </c>
      <c r="L304" t="e">
        <v>#VALUE!</v>
      </c>
    </row>
    <row r="305" spans="11:12" x14ac:dyDescent="0.25">
      <c r="K305" s="1" t="str">
        <f t="shared" si="4"/>
        <v/>
      </c>
      <c r="L305" t="e">
        <v>#VALUE!</v>
      </c>
    </row>
    <row r="306" spans="11:12" x14ac:dyDescent="0.25">
      <c r="K306" s="1" t="str">
        <f t="shared" si="4"/>
        <v/>
      </c>
      <c r="L306" t="e">
        <v>#VALUE!</v>
      </c>
    </row>
    <row r="307" spans="11:12" x14ac:dyDescent="0.25">
      <c r="K307" s="1" t="str">
        <f t="shared" si="4"/>
        <v/>
      </c>
      <c r="L307" t="e"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00600-79DE-467F-9134-2B5DF40E869C}">
  <sheetPr codeName="Sheet6"/>
  <dimension ref="A1:L307"/>
  <sheetViews>
    <sheetView topLeftCell="A9" workbookViewId="0">
      <selection activeCell="K1" sqref="K1"/>
    </sheetView>
  </sheetViews>
  <sheetFormatPr defaultRowHeight="15" x14ac:dyDescent="0.25"/>
  <cols>
    <col min="11" max="11" width="10.28515625" bestFit="1" customWidth="1"/>
    <col min="12" max="12" width="11.5703125" bestFit="1" customWidth="1"/>
  </cols>
  <sheetData>
    <row r="1" spans="1:12" x14ac:dyDescent="0.25">
      <c r="A1" t="s">
        <v>9</v>
      </c>
      <c r="K1" t="s">
        <v>316</v>
      </c>
      <c r="L1" t="s">
        <v>317</v>
      </c>
    </row>
    <row r="2" spans="1:12" x14ac:dyDescent="0.25">
      <c r="A2" t="s">
        <v>10</v>
      </c>
      <c r="K2" s="1" t="str">
        <f>LEFT(A2,10)</f>
        <v>2019-07-30</v>
      </c>
      <c r="L2" t="s">
        <v>318</v>
      </c>
    </row>
    <row r="3" spans="1:12" x14ac:dyDescent="0.25">
      <c r="A3" t="s">
        <v>11</v>
      </c>
      <c r="K3" s="1" t="str">
        <f t="shared" ref="K3:K66" si="0">LEFT(A3,10)</f>
        <v>2019-07-31</v>
      </c>
      <c r="L3" t="s">
        <v>319</v>
      </c>
    </row>
    <row r="4" spans="1:12" x14ac:dyDescent="0.25">
      <c r="A4" t="s">
        <v>12</v>
      </c>
      <c r="K4" s="1" t="str">
        <f t="shared" si="0"/>
        <v>2019-08-01</v>
      </c>
      <c r="L4" t="s">
        <v>320</v>
      </c>
    </row>
    <row r="5" spans="1:12" x14ac:dyDescent="0.25">
      <c r="A5" t="s">
        <v>13</v>
      </c>
      <c r="K5" s="1" t="str">
        <f t="shared" si="0"/>
        <v>2019-08-02</v>
      </c>
      <c r="L5" t="s">
        <v>321</v>
      </c>
    </row>
    <row r="6" spans="1:12" x14ac:dyDescent="0.25">
      <c r="A6" t="s">
        <v>14</v>
      </c>
      <c r="K6" s="1" t="str">
        <f t="shared" si="0"/>
        <v>2019-08-04</v>
      </c>
      <c r="L6" t="s">
        <v>322</v>
      </c>
    </row>
    <row r="7" spans="1:12" x14ac:dyDescent="0.25">
      <c r="A7" t="s">
        <v>15</v>
      </c>
      <c r="K7" s="1" t="str">
        <f t="shared" si="0"/>
        <v>2019-08-05</v>
      </c>
      <c r="L7" t="s">
        <v>323</v>
      </c>
    </row>
    <row r="8" spans="1:12" x14ac:dyDescent="0.25">
      <c r="A8" t="s">
        <v>16</v>
      </c>
      <c r="K8" s="1" t="str">
        <f t="shared" si="0"/>
        <v>2019-08-06</v>
      </c>
      <c r="L8" t="s">
        <v>324</v>
      </c>
    </row>
    <row r="9" spans="1:12" x14ac:dyDescent="0.25">
      <c r="A9" t="s">
        <v>17</v>
      </c>
      <c r="K9" s="1" t="str">
        <f t="shared" si="0"/>
        <v>2019-08-07</v>
      </c>
      <c r="L9" t="s">
        <v>325</v>
      </c>
    </row>
    <row r="10" spans="1:12" x14ac:dyDescent="0.25">
      <c r="A10" t="s">
        <v>18</v>
      </c>
      <c r="K10" s="1" t="str">
        <f t="shared" si="0"/>
        <v>2019-08-08</v>
      </c>
      <c r="L10" t="s">
        <v>326</v>
      </c>
    </row>
    <row r="11" spans="1:12" x14ac:dyDescent="0.25">
      <c r="A11" t="s">
        <v>19</v>
      </c>
      <c r="K11" s="1" t="str">
        <f t="shared" si="0"/>
        <v>2019-08-09</v>
      </c>
      <c r="L11" t="s">
        <v>327</v>
      </c>
    </row>
    <row r="12" spans="1:12" x14ac:dyDescent="0.25">
      <c r="A12" t="s">
        <v>20</v>
      </c>
      <c r="K12" s="1" t="str">
        <f t="shared" si="0"/>
        <v>2019-08-11</v>
      </c>
      <c r="L12" t="s">
        <v>328</v>
      </c>
    </row>
    <row r="13" spans="1:12" x14ac:dyDescent="0.25">
      <c r="A13" t="s">
        <v>21</v>
      </c>
      <c r="K13" s="1" t="str">
        <f t="shared" si="0"/>
        <v>2019-08-12</v>
      </c>
      <c r="L13" t="s">
        <v>329</v>
      </c>
    </row>
    <row r="14" spans="1:12" x14ac:dyDescent="0.25">
      <c r="A14" t="s">
        <v>22</v>
      </c>
      <c r="K14" s="1" t="str">
        <f t="shared" si="0"/>
        <v>2019-08-13</v>
      </c>
      <c r="L14" t="s">
        <v>330</v>
      </c>
    </row>
    <row r="15" spans="1:12" x14ac:dyDescent="0.25">
      <c r="A15" t="s">
        <v>23</v>
      </c>
      <c r="K15" s="1" t="str">
        <f t="shared" si="0"/>
        <v>2019-08-14</v>
      </c>
      <c r="L15" t="s">
        <v>331</v>
      </c>
    </row>
    <row r="16" spans="1:12" x14ac:dyDescent="0.25">
      <c r="A16" t="s">
        <v>24</v>
      </c>
      <c r="K16" s="1" t="str">
        <f t="shared" si="0"/>
        <v>2019-08-15</v>
      </c>
      <c r="L16" t="s">
        <v>332</v>
      </c>
    </row>
    <row r="17" spans="1:12" x14ac:dyDescent="0.25">
      <c r="A17" t="s">
        <v>25</v>
      </c>
      <c r="K17" s="1" t="str">
        <f t="shared" si="0"/>
        <v>2019-08-16</v>
      </c>
      <c r="L17" t="s">
        <v>333</v>
      </c>
    </row>
    <row r="18" spans="1:12" x14ac:dyDescent="0.25">
      <c r="A18" t="s">
        <v>26</v>
      </c>
      <c r="K18" s="1" t="str">
        <f t="shared" si="0"/>
        <v>2019-08-18</v>
      </c>
      <c r="L18" t="s">
        <v>334</v>
      </c>
    </row>
    <row r="19" spans="1:12" x14ac:dyDescent="0.25">
      <c r="A19" t="s">
        <v>27</v>
      </c>
      <c r="K19" s="1" t="str">
        <f t="shared" si="0"/>
        <v>2019-08-19</v>
      </c>
      <c r="L19" t="s">
        <v>335</v>
      </c>
    </row>
    <row r="20" spans="1:12" x14ac:dyDescent="0.25">
      <c r="A20" t="s">
        <v>28</v>
      </c>
      <c r="K20" s="1" t="str">
        <f t="shared" si="0"/>
        <v>2019-08-20</v>
      </c>
      <c r="L20" t="s">
        <v>336</v>
      </c>
    </row>
    <row r="21" spans="1:12" x14ac:dyDescent="0.25">
      <c r="A21" t="s">
        <v>29</v>
      </c>
      <c r="K21" s="1" t="str">
        <f t="shared" si="0"/>
        <v>2019-08-21</v>
      </c>
      <c r="L21" t="s">
        <v>337</v>
      </c>
    </row>
    <row r="22" spans="1:12" x14ac:dyDescent="0.25">
      <c r="A22" t="s">
        <v>30</v>
      </c>
      <c r="K22" s="1" t="str">
        <f t="shared" si="0"/>
        <v>2019-08-22</v>
      </c>
      <c r="L22" t="s">
        <v>338</v>
      </c>
    </row>
    <row r="23" spans="1:12" x14ac:dyDescent="0.25">
      <c r="A23" t="s">
        <v>31</v>
      </c>
      <c r="K23" s="1" t="str">
        <f t="shared" si="0"/>
        <v>2019-08-23</v>
      </c>
      <c r="L23" t="s">
        <v>339</v>
      </c>
    </row>
    <row r="24" spans="1:12" x14ac:dyDescent="0.25">
      <c r="A24" t="s">
        <v>32</v>
      </c>
      <c r="K24" s="1" t="str">
        <f t="shared" si="0"/>
        <v>2019-08-25</v>
      </c>
      <c r="L24" t="s">
        <v>340</v>
      </c>
    </row>
    <row r="25" spans="1:12" x14ac:dyDescent="0.25">
      <c r="A25" t="s">
        <v>33</v>
      </c>
      <c r="K25" s="1" t="str">
        <f t="shared" si="0"/>
        <v>2019-08-26</v>
      </c>
      <c r="L25" t="s">
        <v>341</v>
      </c>
    </row>
    <row r="26" spans="1:12" x14ac:dyDescent="0.25">
      <c r="A26" t="s">
        <v>34</v>
      </c>
      <c r="K26" s="1" t="str">
        <f t="shared" si="0"/>
        <v>2019-08-27</v>
      </c>
      <c r="L26" t="s">
        <v>342</v>
      </c>
    </row>
    <row r="27" spans="1:12" x14ac:dyDescent="0.25">
      <c r="A27" t="s">
        <v>35</v>
      </c>
      <c r="K27" s="1" t="str">
        <f t="shared" si="0"/>
        <v>2019-08-28</v>
      </c>
      <c r="L27" t="s">
        <v>343</v>
      </c>
    </row>
    <row r="28" spans="1:12" x14ac:dyDescent="0.25">
      <c r="A28" t="s">
        <v>36</v>
      </c>
      <c r="K28" s="1" t="str">
        <f t="shared" si="0"/>
        <v>2019-08-29</v>
      </c>
      <c r="L28" t="s">
        <v>322</v>
      </c>
    </row>
    <row r="29" spans="1:12" x14ac:dyDescent="0.25">
      <c r="A29" t="s">
        <v>37</v>
      </c>
      <c r="K29" s="1" t="str">
        <f t="shared" si="0"/>
        <v>2019-08-30</v>
      </c>
      <c r="L29" t="s">
        <v>344</v>
      </c>
    </row>
    <row r="30" spans="1:12" x14ac:dyDescent="0.25">
      <c r="A30" t="s">
        <v>38</v>
      </c>
      <c r="K30" s="1" t="str">
        <f t="shared" si="0"/>
        <v>2019-09-01</v>
      </c>
      <c r="L30" t="s">
        <v>345</v>
      </c>
    </row>
    <row r="31" spans="1:12" x14ac:dyDescent="0.25">
      <c r="A31" t="s">
        <v>39</v>
      </c>
      <c r="K31" s="1" t="str">
        <f t="shared" si="0"/>
        <v>2019-09-03</v>
      </c>
      <c r="L31" t="s">
        <v>346</v>
      </c>
    </row>
    <row r="32" spans="1:12" x14ac:dyDescent="0.25">
      <c r="A32" t="s">
        <v>40</v>
      </c>
      <c r="K32" s="1" t="str">
        <f t="shared" si="0"/>
        <v>2019-09-04</v>
      </c>
      <c r="L32" t="s">
        <v>347</v>
      </c>
    </row>
    <row r="33" spans="1:12" x14ac:dyDescent="0.25">
      <c r="A33" t="s">
        <v>41</v>
      </c>
      <c r="K33" s="1" t="str">
        <f t="shared" si="0"/>
        <v>2019-09-05</v>
      </c>
      <c r="L33" t="s">
        <v>348</v>
      </c>
    </row>
    <row r="34" spans="1:12" x14ac:dyDescent="0.25">
      <c r="A34" t="s">
        <v>42</v>
      </c>
      <c r="K34" s="1" t="str">
        <f t="shared" si="0"/>
        <v>2019-09-06</v>
      </c>
      <c r="L34" t="s">
        <v>349</v>
      </c>
    </row>
    <row r="35" spans="1:12" x14ac:dyDescent="0.25">
      <c r="A35" t="s">
        <v>43</v>
      </c>
      <c r="K35" s="1" t="str">
        <f t="shared" si="0"/>
        <v>2019-09-08</v>
      </c>
      <c r="L35" t="s">
        <v>350</v>
      </c>
    </row>
    <row r="36" spans="1:12" x14ac:dyDescent="0.25">
      <c r="A36" t="s">
        <v>44</v>
      </c>
      <c r="K36" s="1" t="str">
        <f t="shared" si="0"/>
        <v>2019-09-09</v>
      </c>
      <c r="L36" t="s">
        <v>351</v>
      </c>
    </row>
    <row r="37" spans="1:12" x14ac:dyDescent="0.25">
      <c r="A37" t="s">
        <v>45</v>
      </c>
      <c r="K37" s="1" t="str">
        <f t="shared" si="0"/>
        <v>2019-09-10</v>
      </c>
      <c r="L37" t="s">
        <v>352</v>
      </c>
    </row>
    <row r="38" spans="1:12" x14ac:dyDescent="0.25">
      <c r="A38" t="s">
        <v>46</v>
      </c>
      <c r="K38" s="1" t="str">
        <f t="shared" si="0"/>
        <v>2019-09-11</v>
      </c>
      <c r="L38" t="s">
        <v>353</v>
      </c>
    </row>
    <row r="39" spans="1:12" x14ac:dyDescent="0.25">
      <c r="A39" t="s">
        <v>47</v>
      </c>
      <c r="K39" s="1" t="str">
        <f t="shared" si="0"/>
        <v>2019-09-12</v>
      </c>
      <c r="L39" t="s">
        <v>354</v>
      </c>
    </row>
    <row r="40" spans="1:12" x14ac:dyDescent="0.25">
      <c r="A40" t="s">
        <v>48</v>
      </c>
      <c r="K40" s="1" t="str">
        <f t="shared" si="0"/>
        <v>2019-09-13</v>
      </c>
      <c r="L40" t="s">
        <v>355</v>
      </c>
    </row>
    <row r="41" spans="1:12" x14ac:dyDescent="0.25">
      <c r="A41" t="s">
        <v>49</v>
      </c>
      <c r="K41" s="1" t="str">
        <f t="shared" si="0"/>
        <v>2019-09-15</v>
      </c>
      <c r="L41" t="s">
        <v>356</v>
      </c>
    </row>
    <row r="42" spans="1:12" x14ac:dyDescent="0.25">
      <c r="A42" t="s">
        <v>50</v>
      </c>
      <c r="K42" s="1" t="str">
        <f t="shared" si="0"/>
        <v>2019-09-16</v>
      </c>
      <c r="L42" t="s">
        <v>357</v>
      </c>
    </row>
    <row r="43" spans="1:12" x14ac:dyDescent="0.25">
      <c r="A43" t="s">
        <v>51</v>
      </c>
      <c r="K43" s="1" t="str">
        <f t="shared" si="0"/>
        <v>2019-09-17</v>
      </c>
      <c r="L43" t="s">
        <v>358</v>
      </c>
    </row>
    <row r="44" spans="1:12" x14ac:dyDescent="0.25">
      <c r="A44" t="s">
        <v>52</v>
      </c>
      <c r="K44" s="1" t="str">
        <f t="shared" si="0"/>
        <v>2019-09-18</v>
      </c>
      <c r="L44" t="s">
        <v>359</v>
      </c>
    </row>
    <row r="45" spans="1:12" x14ac:dyDescent="0.25">
      <c r="A45" t="s">
        <v>53</v>
      </c>
      <c r="K45" s="1" t="str">
        <f t="shared" si="0"/>
        <v>2019-09-19</v>
      </c>
      <c r="L45" t="s">
        <v>360</v>
      </c>
    </row>
    <row r="46" spans="1:12" x14ac:dyDescent="0.25">
      <c r="A46" t="s">
        <v>54</v>
      </c>
      <c r="K46" s="1" t="str">
        <f t="shared" si="0"/>
        <v>2019-09-20</v>
      </c>
      <c r="L46" t="s">
        <v>361</v>
      </c>
    </row>
    <row r="47" spans="1:12" x14ac:dyDescent="0.25">
      <c r="A47" t="s">
        <v>55</v>
      </c>
      <c r="K47" s="1" t="str">
        <f t="shared" si="0"/>
        <v>2019-09-22</v>
      </c>
      <c r="L47" t="s">
        <v>362</v>
      </c>
    </row>
    <row r="48" spans="1:12" x14ac:dyDescent="0.25">
      <c r="A48" t="s">
        <v>56</v>
      </c>
      <c r="K48" s="1" t="str">
        <f t="shared" si="0"/>
        <v>2019-09-23</v>
      </c>
      <c r="L48" t="s">
        <v>363</v>
      </c>
    </row>
    <row r="49" spans="1:12" x14ac:dyDescent="0.25">
      <c r="A49" t="s">
        <v>57</v>
      </c>
      <c r="K49" s="1" t="str">
        <f t="shared" si="0"/>
        <v>2019-09-24</v>
      </c>
      <c r="L49" t="s">
        <v>364</v>
      </c>
    </row>
    <row r="50" spans="1:12" x14ac:dyDescent="0.25">
      <c r="A50" t="s">
        <v>58</v>
      </c>
      <c r="K50" s="1" t="str">
        <f t="shared" si="0"/>
        <v>2019-09-25</v>
      </c>
      <c r="L50" t="s">
        <v>365</v>
      </c>
    </row>
    <row r="51" spans="1:12" x14ac:dyDescent="0.25">
      <c r="A51" t="s">
        <v>59</v>
      </c>
      <c r="K51" s="1" t="str">
        <f t="shared" si="0"/>
        <v>2019-09-26</v>
      </c>
      <c r="L51" t="s">
        <v>366</v>
      </c>
    </row>
    <row r="52" spans="1:12" x14ac:dyDescent="0.25">
      <c r="A52" t="s">
        <v>60</v>
      </c>
      <c r="K52" s="1" t="str">
        <f t="shared" si="0"/>
        <v>2019-09-27</v>
      </c>
      <c r="L52" t="s">
        <v>367</v>
      </c>
    </row>
    <row r="53" spans="1:12" x14ac:dyDescent="0.25">
      <c r="A53" t="s">
        <v>61</v>
      </c>
      <c r="K53" s="1" t="str">
        <f t="shared" si="0"/>
        <v>2019-09-29</v>
      </c>
      <c r="L53" t="s">
        <v>368</v>
      </c>
    </row>
    <row r="54" spans="1:12" x14ac:dyDescent="0.25">
      <c r="A54" t="s">
        <v>62</v>
      </c>
      <c r="K54" s="1" t="str">
        <f t="shared" si="0"/>
        <v>2019-09-30</v>
      </c>
      <c r="L54" t="s">
        <v>352</v>
      </c>
    </row>
    <row r="55" spans="1:12" x14ac:dyDescent="0.25">
      <c r="A55" t="s">
        <v>63</v>
      </c>
      <c r="K55" s="1" t="str">
        <f t="shared" si="0"/>
        <v>2019-10-01</v>
      </c>
      <c r="L55" t="s">
        <v>369</v>
      </c>
    </row>
    <row r="56" spans="1:12" x14ac:dyDescent="0.25">
      <c r="A56" t="s">
        <v>64</v>
      </c>
      <c r="K56" s="1" t="str">
        <f t="shared" si="0"/>
        <v>2019-10-02</v>
      </c>
      <c r="L56" t="s">
        <v>325</v>
      </c>
    </row>
    <row r="57" spans="1:12" x14ac:dyDescent="0.25">
      <c r="A57" t="s">
        <v>65</v>
      </c>
      <c r="K57" s="1" t="str">
        <f t="shared" si="0"/>
        <v>2019-10-03</v>
      </c>
      <c r="L57" t="s">
        <v>370</v>
      </c>
    </row>
    <row r="58" spans="1:12" x14ac:dyDescent="0.25">
      <c r="A58" t="s">
        <v>66</v>
      </c>
      <c r="K58" s="1" t="str">
        <f t="shared" si="0"/>
        <v>2019-10-04</v>
      </c>
      <c r="L58" t="s">
        <v>371</v>
      </c>
    </row>
    <row r="59" spans="1:12" x14ac:dyDescent="0.25">
      <c r="A59" t="s">
        <v>67</v>
      </c>
      <c r="K59" s="1" t="str">
        <f t="shared" si="0"/>
        <v>2019-10-06</v>
      </c>
      <c r="L59" t="s">
        <v>372</v>
      </c>
    </row>
    <row r="60" spans="1:12" x14ac:dyDescent="0.25">
      <c r="A60" t="s">
        <v>68</v>
      </c>
      <c r="K60" s="1" t="str">
        <f t="shared" si="0"/>
        <v>2019-10-07</v>
      </c>
      <c r="L60" t="s">
        <v>373</v>
      </c>
    </row>
    <row r="61" spans="1:12" x14ac:dyDescent="0.25">
      <c r="A61" t="s">
        <v>69</v>
      </c>
      <c r="K61" s="1" t="str">
        <f t="shared" si="0"/>
        <v>2019-10-08</v>
      </c>
      <c r="L61" t="s">
        <v>374</v>
      </c>
    </row>
    <row r="62" spans="1:12" x14ac:dyDescent="0.25">
      <c r="A62" t="s">
        <v>70</v>
      </c>
      <c r="K62" s="1" t="str">
        <f t="shared" si="0"/>
        <v>2019-10-09</v>
      </c>
      <c r="L62" t="s">
        <v>375</v>
      </c>
    </row>
    <row r="63" spans="1:12" x14ac:dyDescent="0.25">
      <c r="A63" t="s">
        <v>71</v>
      </c>
      <c r="K63" s="1" t="str">
        <f t="shared" si="0"/>
        <v>2019-10-10</v>
      </c>
      <c r="L63" t="s">
        <v>376</v>
      </c>
    </row>
    <row r="64" spans="1:12" x14ac:dyDescent="0.25">
      <c r="A64" t="s">
        <v>72</v>
      </c>
      <c r="K64" s="1" t="str">
        <f t="shared" si="0"/>
        <v>2019-10-11</v>
      </c>
      <c r="L64" t="s">
        <v>377</v>
      </c>
    </row>
    <row r="65" spans="1:12" x14ac:dyDescent="0.25">
      <c r="A65" t="s">
        <v>73</v>
      </c>
      <c r="K65" s="1" t="str">
        <f t="shared" si="0"/>
        <v>2019-10-13</v>
      </c>
      <c r="L65" t="s">
        <v>378</v>
      </c>
    </row>
    <row r="66" spans="1:12" x14ac:dyDescent="0.25">
      <c r="A66" t="s">
        <v>74</v>
      </c>
      <c r="K66" s="1" t="str">
        <f t="shared" si="0"/>
        <v>2019-10-14</v>
      </c>
      <c r="L66" t="s">
        <v>379</v>
      </c>
    </row>
    <row r="67" spans="1:12" x14ac:dyDescent="0.25">
      <c r="A67" t="s">
        <v>75</v>
      </c>
      <c r="K67" s="1" t="str">
        <f t="shared" ref="K67:K130" si="1">LEFT(A67,10)</f>
        <v>2019-10-15</v>
      </c>
      <c r="L67" t="s">
        <v>380</v>
      </c>
    </row>
    <row r="68" spans="1:12" x14ac:dyDescent="0.25">
      <c r="A68" t="s">
        <v>76</v>
      </c>
      <c r="K68" s="1" t="str">
        <f t="shared" si="1"/>
        <v>2019-10-16</v>
      </c>
      <c r="L68" t="s">
        <v>381</v>
      </c>
    </row>
    <row r="69" spans="1:12" x14ac:dyDescent="0.25">
      <c r="A69" t="s">
        <v>77</v>
      </c>
      <c r="K69" s="1" t="str">
        <f t="shared" si="1"/>
        <v>2019-10-17</v>
      </c>
      <c r="L69" t="s">
        <v>382</v>
      </c>
    </row>
    <row r="70" spans="1:12" x14ac:dyDescent="0.25">
      <c r="A70" t="s">
        <v>78</v>
      </c>
      <c r="K70" s="1" t="str">
        <f t="shared" si="1"/>
        <v>2019-10-18</v>
      </c>
      <c r="L70" t="s">
        <v>383</v>
      </c>
    </row>
    <row r="71" spans="1:12" x14ac:dyDescent="0.25">
      <c r="A71" t="s">
        <v>79</v>
      </c>
      <c r="K71" s="1" t="str">
        <f t="shared" si="1"/>
        <v>2019-10-20</v>
      </c>
      <c r="L71" t="s">
        <v>384</v>
      </c>
    </row>
    <row r="72" spans="1:12" x14ac:dyDescent="0.25">
      <c r="A72" t="s">
        <v>80</v>
      </c>
      <c r="K72" s="1" t="str">
        <f t="shared" si="1"/>
        <v>2019-10-21</v>
      </c>
      <c r="L72" t="s">
        <v>355</v>
      </c>
    </row>
    <row r="73" spans="1:12" x14ac:dyDescent="0.25">
      <c r="A73" t="s">
        <v>81</v>
      </c>
      <c r="K73" s="1" t="str">
        <f t="shared" si="1"/>
        <v>2019-10-22</v>
      </c>
      <c r="L73" t="s">
        <v>385</v>
      </c>
    </row>
    <row r="74" spans="1:12" x14ac:dyDescent="0.25">
      <c r="A74" t="s">
        <v>82</v>
      </c>
      <c r="K74" s="1" t="str">
        <f t="shared" si="1"/>
        <v>2019-10-23</v>
      </c>
      <c r="L74" t="s">
        <v>386</v>
      </c>
    </row>
    <row r="75" spans="1:12" x14ac:dyDescent="0.25">
      <c r="A75" t="s">
        <v>83</v>
      </c>
      <c r="K75" s="1" t="str">
        <f t="shared" si="1"/>
        <v>2019-10-24</v>
      </c>
      <c r="L75" t="s">
        <v>387</v>
      </c>
    </row>
    <row r="76" spans="1:12" x14ac:dyDescent="0.25">
      <c r="A76" t="s">
        <v>84</v>
      </c>
      <c r="K76" s="1" t="str">
        <f t="shared" si="1"/>
        <v>2019-10-25</v>
      </c>
      <c r="L76" t="s">
        <v>388</v>
      </c>
    </row>
    <row r="77" spans="1:12" x14ac:dyDescent="0.25">
      <c r="A77" t="s">
        <v>85</v>
      </c>
      <c r="K77" s="1" t="str">
        <f t="shared" si="1"/>
        <v>2019-10-27</v>
      </c>
      <c r="L77" t="s">
        <v>389</v>
      </c>
    </row>
    <row r="78" spans="1:12" x14ac:dyDescent="0.25">
      <c r="A78" t="s">
        <v>86</v>
      </c>
      <c r="K78" s="1" t="str">
        <f t="shared" si="1"/>
        <v>2019-10-28</v>
      </c>
      <c r="L78" t="s">
        <v>390</v>
      </c>
    </row>
    <row r="79" spans="1:12" x14ac:dyDescent="0.25">
      <c r="A79" t="s">
        <v>87</v>
      </c>
      <c r="K79" s="1" t="str">
        <f t="shared" si="1"/>
        <v>2019-10-29</v>
      </c>
      <c r="L79" t="s">
        <v>391</v>
      </c>
    </row>
    <row r="80" spans="1:12" x14ac:dyDescent="0.25">
      <c r="A80" t="s">
        <v>88</v>
      </c>
      <c r="K80" s="1" t="str">
        <f t="shared" si="1"/>
        <v>2019-10-30</v>
      </c>
      <c r="L80" t="s">
        <v>392</v>
      </c>
    </row>
    <row r="81" spans="1:12" x14ac:dyDescent="0.25">
      <c r="A81" t="s">
        <v>89</v>
      </c>
      <c r="K81" s="1" t="str">
        <f t="shared" si="1"/>
        <v>2019-10-31</v>
      </c>
      <c r="L81" t="s">
        <v>391</v>
      </c>
    </row>
    <row r="82" spans="1:12" x14ac:dyDescent="0.25">
      <c r="A82" t="s">
        <v>90</v>
      </c>
      <c r="K82" s="1" t="str">
        <f t="shared" si="1"/>
        <v>2019-11-01</v>
      </c>
      <c r="L82" t="s">
        <v>393</v>
      </c>
    </row>
    <row r="83" spans="1:12" x14ac:dyDescent="0.25">
      <c r="A83" t="s">
        <v>91</v>
      </c>
      <c r="K83" s="1" t="str">
        <f t="shared" si="1"/>
        <v>2019-11-03</v>
      </c>
      <c r="L83" t="s">
        <v>394</v>
      </c>
    </row>
    <row r="84" spans="1:12" x14ac:dyDescent="0.25">
      <c r="A84" t="s">
        <v>92</v>
      </c>
      <c r="K84" s="1" t="str">
        <f t="shared" si="1"/>
        <v>2019-11-04</v>
      </c>
      <c r="L84" t="s">
        <v>395</v>
      </c>
    </row>
    <row r="85" spans="1:12" x14ac:dyDescent="0.25">
      <c r="A85" t="s">
        <v>93</v>
      </c>
      <c r="K85" s="1" t="str">
        <f t="shared" si="1"/>
        <v>2019-11-05</v>
      </c>
      <c r="L85" t="s">
        <v>396</v>
      </c>
    </row>
    <row r="86" spans="1:12" x14ac:dyDescent="0.25">
      <c r="A86" t="s">
        <v>94</v>
      </c>
      <c r="K86" s="1" t="str">
        <f t="shared" si="1"/>
        <v>2019-11-06</v>
      </c>
      <c r="L86" t="s">
        <v>397</v>
      </c>
    </row>
    <row r="87" spans="1:12" x14ac:dyDescent="0.25">
      <c r="A87" t="s">
        <v>95</v>
      </c>
      <c r="K87" s="1" t="str">
        <f t="shared" si="1"/>
        <v>2019-11-07</v>
      </c>
      <c r="L87" t="s">
        <v>398</v>
      </c>
    </row>
    <row r="88" spans="1:12" x14ac:dyDescent="0.25">
      <c r="A88" t="s">
        <v>96</v>
      </c>
      <c r="K88" s="1" t="str">
        <f t="shared" si="1"/>
        <v>2019-11-08</v>
      </c>
      <c r="L88" t="s">
        <v>399</v>
      </c>
    </row>
    <row r="89" spans="1:12" x14ac:dyDescent="0.25">
      <c r="A89" t="s">
        <v>97</v>
      </c>
      <c r="K89" s="1" t="str">
        <f t="shared" si="1"/>
        <v>2019-11-10</v>
      </c>
      <c r="L89" t="s">
        <v>400</v>
      </c>
    </row>
    <row r="90" spans="1:12" x14ac:dyDescent="0.25">
      <c r="A90" t="s">
        <v>98</v>
      </c>
      <c r="K90" s="1" t="str">
        <f t="shared" si="1"/>
        <v>2019-11-11</v>
      </c>
      <c r="L90" t="s">
        <v>401</v>
      </c>
    </row>
    <row r="91" spans="1:12" x14ac:dyDescent="0.25">
      <c r="A91" t="s">
        <v>99</v>
      </c>
      <c r="K91" s="1" t="str">
        <f t="shared" si="1"/>
        <v>2019-11-12</v>
      </c>
      <c r="L91" t="s">
        <v>402</v>
      </c>
    </row>
    <row r="92" spans="1:12" x14ac:dyDescent="0.25">
      <c r="A92" t="s">
        <v>100</v>
      </c>
      <c r="K92" s="1" t="str">
        <f t="shared" si="1"/>
        <v>2019-11-13</v>
      </c>
      <c r="L92" t="s">
        <v>403</v>
      </c>
    </row>
    <row r="93" spans="1:12" x14ac:dyDescent="0.25">
      <c r="A93" t="s">
        <v>101</v>
      </c>
      <c r="K93" s="1" t="str">
        <f t="shared" si="1"/>
        <v>2019-11-14</v>
      </c>
      <c r="L93" t="s">
        <v>404</v>
      </c>
    </row>
    <row r="94" spans="1:12" x14ac:dyDescent="0.25">
      <c r="A94" t="s">
        <v>102</v>
      </c>
      <c r="K94" s="1" t="str">
        <f t="shared" si="1"/>
        <v>2019-11-15</v>
      </c>
      <c r="L94" t="s">
        <v>405</v>
      </c>
    </row>
    <row r="95" spans="1:12" x14ac:dyDescent="0.25">
      <c r="A95" t="s">
        <v>103</v>
      </c>
      <c r="K95" s="1" t="str">
        <f t="shared" si="1"/>
        <v>2019-11-17</v>
      </c>
      <c r="L95" t="s">
        <v>406</v>
      </c>
    </row>
    <row r="96" spans="1:12" x14ac:dyDescent="0.25">
      <c r="A96" t="s">
        <v>104</v>
      </c>
      <c r="K96" s="1" t="str">
        <f t="shared" si="1"/>
        <v>2019-11-18</v>
      </c>
      <c r="L96" t="s">
        <v>407</v>
      </c>
    </row>
    <row r="97" spans="1:12" x14ac:dyDescent="0.25">
      <c r="A97" t="s">
        <v>105</v>
      </c>
      <c r="K97" s="1" t="str">
        <f t="shared" si="1"/>
        <v>2019-11-19</v>
      </c>
      <c r="L97" t="s">
        <v>408</v>
      </c>
    </row>
    <row r="98" spans="1:12" x14ac:dyDescent="0.25">
      <c r="A98" t="s">
        <v>106</v>
      </c>
      <c r="K98" s="1" t="str">
        <f t="shared" si="1"/>
        <v>2019-11-20</v>
      </c>
      <c r="L98" t="s">
        <v>409</v>
      </c>
    </row>
    <row r="99" spans="1:12" x14ac:dyDescent="0.25">
      <c r="A99" t="s">
        <v>107</v>
      </c>
      <c r="K99" s="1" t="str">
        <f t="shared" si="1"/>
        <v>2019-11-21</v>
      </c>
      <c r="L99" t="s">
        <v>410</v>
      </c>
    </row>
    <row r="100" spans="1:12" x14ac:dyDescent="0.25">
      <c r="A100" t="s">
        <v>108</v>
      </c>
      <c r="K100" s="1" t="str">
        <f t="shared" si="1"/>
        <v>2019-11-22</v>
      </c>
      <c r="L100" t="s">
        <v>411</v>
      </c>
    </row>
    <row r="101" spans="1:12" x14ac:dyDescent="0.25">
      <c r="A101" t="s">
        <v>109</v>
      </c>
      <c r="K101" s="1" t="str">
        <f t="shared" si="1"/>
        <v>2019-11-24</v>
      </c>
      <c r="L101" t="s">
        <v>405</v>
      </c>
    </row>
    <row r="102" spans="1:12" x14ac:dyDescent="0.25">
      <c r="A102" t="s">
        <v>110</v>
      </c>
      <c r="K102" s="1" t="str">
        <f t="shared" si="1"/>
        <v>2019-11-25</v>
      </c>
      <c r="L102" t="s">
        <v>412</v>
      </c>
    </row>
    <row r="103" spans="1:12" x14ac:dyDescent="0.25">
      <c r="A103" t="s">
        <v>111</v>
      </c>
      <c r="K103" s="1" t="str">
        <f t="shared" si="1"/>
        <v>2019-11-26</v>
      </c>
      <c r="L103" t="s">
        <v>413</v>
      </c>
    </row>
    <row r="104" spans="1:12" x14ac:dyDescent="0.25">
      <c r="A104" t="s">
        <v>112</v>
      </c>
      <c r="K104" s="1" t="str">
        <f t="shared" si="1"/>
        <v>2019-11-27</v>
      </c>
      <c r="L104" t="s">
        <v>414</v>
      </c>
    </row>
    <row r="105" spans="1:12" x14ac:dyDescent="0.25">
      <c r="A105" t="s">
        <v>113</v>
      </c>
      <c r="K105" s="1" t="str">
        <f t="shared" si="1"/>
        <v>2019-11-29</v>
      </c>
      <c r="L105" t="s">
        <v>415</v>
      </c>
    </row>
    <row r="106" spans="1:12" x14ac:dyDescent="0.25">
      <c r="A106" t="s">
        <v>114</v>
      </c>
      <c r="K106" s="1" t="str">
        <f t="shared" si="1"/>
        <v>2019-12-01</v>
      </c>
      <c r="L106" t="s">
        <v>416</v>
      </c>
    </row>
    <row r="107" spans="1:12" x14ac:dyDescent="0.25">
      <c r="A107" t="s">
        <v>115</v>
      </c>
      <c r="K107" s="1" t="str">
        <f t="shared" si="1"/>
        <v>2019-12-02</v>
      </c>
      <c r="L107" t="s">
        <v>417</v>
      </c>
    </row>
    <row r="108" spans="1:12" x14ac:dyDescent="0.25">
      <c r="A108" t="s">
        <v>116</v>
      </c>
      <c r="K108" s="1" t="str">
        <f t="shared" si="1"/>
        <v>2019-12-03</v>
      </c>
      <c r="L108" t="s">
        <v>418</v>
      </c>
    </row>
    <row r="109" spans="1:12" x14ac:dyDescent="0.25">
      <c r="A109" t="s">
        <v>117</v>
      </c>
      <c r="K109" s="1" t="str">
        <f t="shared" si="1"/>
        <v>2019-12-04</v>
      </c>
      <c r="L109" t="s">
        <v>419</v>
      </c>
    </row>
    <row r="110" spans="1:12" x14ac:dyDescent="0.25">
      <c r="A110" t="s">
        <v>118</v>
      </c>
      <c r="K110" s="1" t="str">
        <f t="shared" si="1"/>
        <v>2019-12-05</v>
      </c>
      <c r="L110" t="s">
        <v>420</v>
      </c>
    </row>
    <row r="111" spans="1:12" x14ac:dyDescent="0.25">
      <c r="A111" t="s">
        <v>119</v>
      </c>
      <c r="K111" s="1" t="str">
        <f t="shared" si="1"/>
        <v>2019-12-06</v>
      </c>
      <c r="L111" t="s">
        <v>416</v>
      </c>
    </row>
    <row r="112" spans="1:12" x14ac:dyDescent="0.25">
      <c r="A112" t="s">
        <v>120</v>
      </c>
      <c r="K112" s="1" t="str">
        <f t="shared" si="1"/>
        <v>2019-12-08</v>
      </c>
      <c r="L112" t="s">
        <v>421</v>
      </c>
    </row>
    <row r="113" spans="1:12" x14ac:dyDescent="0.25">
      <c r="A113" t="s">
        <v>121</v>
      </c>
      <c r="K113" s="1" t="str">
        <f t="shared" si="1"/>
        <v>2019-12-09</v>
      </c>
      <c r="L113" t="s">
        <v>422</v>
      </c>
    </row>
    <row r="114" spans="1:12" x14ac:dyDescent="0.25">
      <c r="A114" t="s">
        <v>122</v>
      </c>
      <c r="K114" s="1" t="str">
        <f t="shared" si="1"/>
        <v>2019-12-10</v>
      </c>
      <c r="L114" t="s">
        <v>423</v>
      </c>
    </row>
    <row r="115" spans="1:12" x14ac:dyDescent="0.25">
      <c r="A115" t="s">
        <v>123</v>
      </c>
      <c r="K115" s="1" t="str">
        <f t="shared" si="1"/>
        <v>2019-12-11</v>
      </c>
      <c r="L115" t="s">
        <v>424</v>
      </c>
    </row>
    <row r="116" spans="1:12" x14ac:dyDescent="0.25">
      <c r="A116" t="s">
        <v>124</v>
      </c>
      <c r="K116" s="1" t="str">
        <f t="shared" si="1"/>
        <v>2019-12-12</v>
      </c>
      <c r="L116" t="s">
        <v>425</v>
      </c>
    </row>
    <row r="117" spans="1:12" x14ac:dyDescent="0.25">
      <c r="A117" t="s">
        <v>125</v>
      </c>
      <c r="K117" s="1" t="str">
        <f t="shared" si="1"/>
        <v>2019-12-13</v>
      </c>
      <c r="L117" t="s">
        <v>426</v>
      </c>
    </row>
    <row r="118" spans="1:12" x14ac:dyDescent="0.25">
      <c r="A118" t="s">
        <v>126</v>
      </c>
      <c r="K118" s="1" t="str">
        <f t="shared" si="1"/>
        <v>2019-12-15</v>
      </c>
      <c r="L118" t="s">
        <v>427</v>
      </c>
    </row>
    <row r="119" spans="1:12" x14ac:dyDescent="0.25">
      <c r="A119" t="s">
        <v>127</v>
      </c>
      <c r="K119" s="1" t="str">
        <f t="shared" si="1"/>
        <v>2019-12-16</v>
      </c>
      <c r="L119" t="s">
        <v>428</v>
      </c>
    </row>
    <row r="120" spans="1:12" x14ac:dyDescent="0.25">
      <c r="A120" t="s">
        <v>128</v>
      </c>
      <c r="K120" s="1" t="str">
        <f t="shared" si="1"/>
        <v>2019-12-17</v>
      </c>
      <c r="L120" t="s">
        <v>429</v>
      </c>
    </row>
    <row r="121" spans="1:12" x14ac:dyDescent="0.25">
      <c r="A121" t="s">
        <v>129</v>
      </c>
      <c r="K121" s="1" t="str">
        <f t="shared" si="1"/>
        <v>2019-12-18</v>
      </c>
      <c r="L121" t="s">
        <v>430</v>
      </c>
    </row>
    <row r="122" spans="1:12" x14ac:dyDescent="0.25">
      <c r="A122" t="s">
        <v>130</v>
      </c>
      <c r="K122" s="1" t="str">
        <f t="shared" si="1"/>
        <v>2019-12-19</v>
      </c>
      <c r="L122" t="s">
        <v>431</v>
      </c>
    </row>
    <row r="123" spans="1:12" x14ac:dyDescent="0.25">
      <c r="A123" t="s">
        <v>131</v>
      </c>
      <c r="K123" s="1" t="str">
        <f t="shared" si="1"/>
        <v>2019-12-20</v>
      </c>
      <c r="L123" t="s">
        <v>432</v>
      </c>
    </row>
    <row r="124" spans="1:12" x14ac:dyDescent="0.25">
      <c r="A124" t="s">
        <v>132</v>
      </c>
      <c r="K124" s="1" t="str">
        <f t="shared" si="1"/>
        <v>2019-12-22</v>
      </c>
      <c r="L124" t="s">
        <v>433</v>
      </c>
    </row>
    <row r="125" spans="1:12" x14ac:dyDescent="0.25">
      <c r="A125" t="s">
        <v>133</v>
      </c>
      <c r="K125" s="1" t="str">
        <f t="shared" si="1"/>
        <v>2019-12-23</v>
      </c>
      <c r="L125" t="s">
        <v>434</v>
      </c>
    </row>
    <row r="126" spans="1:12" x14ac:dyDescent="0.25">
      <c r="A126" t="s">
        <v>134</v>
      </c>
      <c r="K126" s="1" t="str">
        <f t="shared" si="1"/>
        <v>2019-12-24</v>
      </c>
      <c r="L126" t="s">
        <v>415</v>
      </c>
    </row>
    <row r="127" spans="1:12" x14ac:dyDescent="0.25">
      <c r="A127" t="s">
        <v>135</v>
      </c>
      <c r="K127" s="1" t="str">
        <f t="shared" si="1"/>
        <v>2019-12-26</v>
      </c>
      <c r="L127" t="s">
        <v>435</v>
      </c>
    </row>
    <row r="128" spans="1:12" x14ac:dyDescent="0.25">
      <c r="A128" t="s">
        <v>136</v>
      </c>
      <c r="K128" s="1" t="str">
        <f t="shared" si="1"/>
        <v>2019-12-27</v>
      </c>
      <c r="L128" t="s">
        <v>436</v>
      </c>
    </row>
    <row r="129" spans="1:12" x14ac:dyDescent="0.25">
      <c r="A129" t="s">
        <v>137</v>
      </c>
      <c r="K129" s="1" t="str">
        <f t="shared" si="1"/>
        <v>2019-12-29</v>
      </c>
      <c r="L129" t="s">
        <v>437</v>
      </c>
    </row>
    <row r="130" spans="1:12" x14ac:dyDescent="0.25">
      <c r="A130" t="s">
        <v>138</v>
      </c>
      <c r="K130" s="1" t="str">
        <f t="shared" si="1"/>
        <v>2019-12-30</v>
      </c>
      <c r="L130" t="s">
        <v>438</v>
      </c>
    </row>
    <row r="131" spans="1:12" x14ac:dyDescent="0.25">
      <c r="A131" t="s">
        <v>139</v>
      </c>
      <c r="K131" s="1" t="str">
        <f t="shared" ref="K131:K194" si="2">LEFT(A131,10)</f>
        <v>2019-12-31</v>
      </c>
      <c r="L131" t="s">
        <v>439</v>
      </c>
    </row>
    <row r="132" spans="1:12" x14ac:dyDescent="0.25">
      <c r="A132" t="s">
        <v>140</v>
      </c>
      <c r="K132" s="1" t="str">
        <f t="shared" si="2"/>
        <v>2020-01-02</v>
      </c>
      <c r="L132" t="s">
        <v>440</v>
      </c>
    </row>
    <row r="133" spans="1:12" x14ac:dyDescent="0.25">
      <c r="A133" t="s">
        <v>141</v>
      </c>
      <c r="K133" s="1" t="str">
        <f t="shared" si="2"/>
        <v>2020-01-03</v>
      </c>
      <c r="L133" t="s">
        <v>441</v>
      </c>
    </row>
    <row r="134" spans="1:12" x14ac:dyDescent="0.25">
      <c r="A134" t="s">
        <v>142</v>
      </c>
      <c r="K134" s="1" t="str">
        <f t="shared" si="2"/>
        <v>2020-01-05</v>
      </c>
      <c r="L134" t="s">
        <v>442</v>
      </c>
    </row>
    <row r="135" spans="1:12" x14ac:dyDescent="0.25">
      <c r="A135" t="s">
        <v>143</v>
      </c>
      <c r="K135" s="1" t="str">
        <f t="shared" si="2"/>
        <v>2020-01-06</v>
      </c>
      <c r="L135" t="s">
        <v>443</v>
      </c>
    </row>
    <row r="136" spans="1:12" x14ac:dyDescent="0.25">
      <c r="A136" t="s">
        <v>144</v>
      </c>
      <c r="K136" s="1" t="str">
        <f t="shared" si="2"/>
        <v>2020-01-07</v>
      </c>
      <c r="L136" t="s">
        <v>444</v>
      </c>
    </row>
    <row r="137" spans="1:12" x14ac:dyDescent="0.25">
      <c r="A137" t="s">
        <v>145</v>
      </c>
      <c r="K137" s="1" t="str">
        <f t="shared" si="2"/>
        <v>2020-01-08</v>
      </c>
      <c r="L137" t="s">
        <v>445</v>
      </c>
    </row>
    <row r="138" spans="1:12" x14ac:dyDescent="0.25">
      <c r="A138" t="s">
        <v>146</v>
      </c>
      <c r="K138" s="1" t="str">
        <f t="shared" si="2"/>
        <v>2020-01-09</v>
      </c>
      <c r="L138" t="s">
        <v>446</v>
      </c>
    </row>
    <row r="139" spans="1:12" x14ac:dyDescent="0.25">
      <c r="A139" t="s">
        <v>147</v>
      </c>
      <c r="K139" s="1" t="str">
        <f t="shared" si="2"/>
        <v>2020-01-10</v>
      </c>
      <c r="L139" t="s">
        <v>447</v>
      </c>
    </row>
    <row r="140" spans="1:12" x14ac:dyDescent="0.25">
      <c r="A140" t="s">
        <v>148</v>
      </c>
      <c r="K140" s="1" t="str">
        <f t="shared" si="2"/>
        <v>2020-01-12</v>
      </c>
      <c r="L140" t="s">
        <v>448</v>
      </c>
    </row>
    <row r="141" spans="1:12" x14ac:dyDescent="0.25">
      <c r="A141" t="s">
        <v>149</v>
      </c>
      <c r="K141" s="1" t="str">
        <f t="shared" si="2"/>
        <v>2020-01-13</v>
      </c>
      <c r="L141" t="s">
        <v>449</v>
      </c>
    </row>
    <row r="142" spans="1:12" x14ac:dyDescent="0.25">
      <c r="A142" t="s">
        <v>150</v>
      </c>
      <c r="K142" s="1" t="str">
        <f t="shared" si="2"/>
        <v>2020-01-14</v>
      </c>
      <c r="L142" t="s">
        <v>450</v>
      </c>
    </row>
    <row r="143" spans="1:12" x14ac:dyDescent="0.25">
      <c r="A143" t="s">
        <v>151</v>
      </c>
      <c r="K143" s="1" t="str">
        <f t="shared" si="2"/>
        <v>2020-01-15</v>
      </c>
      <c r="L143" t="s">
        <v>451</v>
      </c>
    </row>
    <row r="144" spans="1:12" x14ac:dyDescent="0.25">
      <c r="A144" t="s">
        <v>152</v>
      </c>
      <c r="K144" s="1" t="str">
        <f t="shared" si="2"/>
        <v>2020-01-16</v>
      </c>
      <c r="L144" t="s">
        <v>452</v>
      </c>
    </row>
    <row r="145" spans="1:12" x14ac:dyDescent="0.25">
      <c r="A145" t="s">
        <v>153</v>
      </c>
      <c r="K145" s="1" t="str">
        <f t="shared" si="2"/>
        <v>2020-01-17</v>
      </c>
      <c r="L145" t="s">
        <v>453</v>
      </c>
    </row>
    <row r="146" spans="1:12" x14ac:dyDescent="0.25">
      <c r="A146" t="s">
        <v>154</v>
      </c>
      <c r="K146" s="1" t="str">
        <f t="shared" si="2"/>
        <v>2020-01-19</v>
      </c>
      <c r="L146" t="s">
        <v>454</v>
      </c>
    </row>
    <row r="147" spans="1:12" x14ac:dyDescent="0.25">
      <c r="A147" t="s">
        <v>155</v>
      </c>
      <c r="K147" s="1" t="str">
        <f t="shared" si="2"/>
        <v>2020-01-21</v>
      </c>
      <c r="L147" t="s">
        <v>455</v>
      </c>
    </row>
    <row r="148" spans="1:12" x14ac:dyDescent="0.25">
      <c r="A148" t="s">
        <v>156</v>
      </c>
      <c r="K148" s="1" t="str">
        <f t="shared" si="2"/>
        <v>2020-01-22</v>
      </c>
      <c r="L148" t="s">
        <v>456</v>
      </c>
    </row>
    <row r="149" spans="1:12" x14ac:dyDescent="0.25">
      <c r="A149" t="s">
        <v>157</v>
      </c>
      <c r="K149" s="1" t="str">
        <f t="shared" si="2"/>
        <v>2020-01-23</v>
      </c>
      <c r="L149" t="s">
        <v>457</v>
      </c>
    </row>
    <row r="150" spans="1:12" x14ac:dyDescent="0.25">
      <c r="A150" t="s">
        <v>158</v>
      </c>
      <c r="K150" s="1" t="str">
        <f t="shared" si="2"/>
        <v>2020-01-24</v>
      </c>
      <c r="L150" t="s">
        <v>458</v>
      </c>
    </row>
    <row r="151" spans="1:12" x14ac:dyDescent="0.25">
      <c r="A151" t="s">
        <v>159</v>
      </c>
      <c r="K151" s="1" t="str">
        <f t="shared" si="2"/>
        <v>2020-01-26</v>
      </c>
      <c r="L151" t="s">
        <v>459</v>
      </c>
    </row>
    <row r="152" spans="1:12" x14ac:dyDescent="0.25">
      <c r="A152" t="s">
        <v>160</v>
      </c>
      <c r="K152" s="1" t="str">
        <f t="shared" si="2"/>
        <v>2020-01-27</v>
      </c>
      <c r="L152" t="s">
        <v>460</v>
      </c>
    </row>
    <row r="153" spans="1:12" x14ac:dyDescent="0.25">
      <c r="A153" t="s">
        <v>161</v>
      </c>
      <c r="K153" s="1" t="str">
        <f t="shared" si="2"/>
        <v>2020-01-28</v>
      </c>
      <c r="L153" t="s">
        <v>461</v>
      </c>
    </row>
    <row r="154" spans="1:12" x14ac:dyDescent="0.25">
      <c r="A154" t="s">
        <v>162</v>
      </c>
      <c r="K154" s="1" t="str">
        <f t="shared" si="2"/>
        <v>2020-01-29</v>
      </c>
      <c r="L154" t="s">
        <v>462</v>
      </c>
    </row>
    <row r="155" spans="1:12" x14ac:dyDescent="0.25">
      <c r="A155" t="s">
        <v>163</v>
      </c>
      <c r="K155" s="1" t="str">
        <f t="shared" si="2"/>
        <v>2020-01-30</v>
      </c>
      <c r="L155" t="s">
        <v>449</v>
      </c>
    </row>
    <row r="156" spans="1:12" x14ac:dyDescent="0.25">
      <c r="A156" t="s">
        <v>164</v>
      </c>
      <c r="K156" s="1" t="str">
        <f t="shared" si="2"/>
        <v>2020-01-31</v>
      </c>
      <c r="L156" t="s">
        <v>463</v>
      </c>
    </row>
    <row r="157" spans="1:12" x14ac:dyDescent="0.25">
      <c r="A157" t="s">
        <v>165</v>
      </c>
      <c r="K157" s="1" t="str">
        <f t="shared" si="2"/>
        <v>2020-02-02</v>
      </c>
      <c r="L157" t="s">
        <v>464</v>
      </c>
    </row>
    <row r="158" spans="1:12" x14ac:dyDescent="0.25">
      <c r="A158" t="s">
        <v>166</v>
      </c>
      <c r="K158" s="1" t="str">
        <f t="shared" si="2"/>
        <v>2020-02-03</v>
      </c>
      <c r="L158" t="s">
        <v>465</v>
      </c>
    </row>
    <row r="159" spans="1:12" x14ac:dyDescent="0.25">
      <c r="A159" t="s">
        <v>167</v>
      </c>
      <c r="K159" s="1" t="str">
        <f t="shared" si="2"/>
        <v>2020-02-04</v>
      </c>
      <c r="L159" t="s">
        <v>466</v>
      </c>
    </row>
    <row r="160" spans="1:12" x14ac:dyDescent="0.25">
      <c r="A160" t="s">
        <v>168</v>
      </c>
      <c r="K160" s="1" t="str">
        <f t="shared" si="2"/>
        <v>2020-02-05</v>
      </c>
      <c r="L160" t="s">
        <v>467</v>
      </c>
    </row>
    <row r="161" spans="1:12" x14ac:dyDescent="0.25">
      <c r="A161" t="s">
        <v>169</v>
      </c>
      <c r="K161" s="1" t="str">
        <f t="shared" si="2"/>
        <v>2020-02-06</v>
      </c>
      <c r="L161" t="s">
        <v>468</v>
      </c>
    </row>
    <row r="162" spans="1:12" x14ac:dyDescent="0.25">
      <c r="A162" t="s">
        <v>170</v>
      </c>
      <c r="K162" s="1" t="str">
        <f t="shared" si="2"/>
        <v>2020-02-07</v>
      </c>
      <c r="L162" t="s">
        <v>469</v>
      </c>
    </row>
    <row r="163" spans="1:12" x14ac:dyDescent="0.25">
      <c r="A163" t="s">
        <v>171</v>
      </c>
      <c r="K163" s="1" t="str">
        <f t="shared" si="2"/>
        <v>2020-02-09</v>
      </c>
      <c r="L163" t="s">
        <v>470</v>
      </c>
    </row>
    <row r="164" spans="1:12" x14ac:dyDescent="0.25">
      <c r="A164" t="s">
        <v>172</v>
      </c>
      <c r="K164" s="1" t="str">
        <f t="shared" si="2"/>
        <v>2020-02-10</v>
      </c>
      <c r="L164" t="s">
        <v>471</v>
      </c>
    </row>
    <row r="165" spans="1:12" x14ac:dyDescent="0.25">
      <c r="A165" t="s">
        <v>173</v>
      </c>
      <c r="K165" s="1" t="str">
        <f t="shared" si="2"/>
        <v>2020-02-11</v>
      </c>
      <c r="L165" t="s">
        <v>472</v>
      </c>
    </row>
    <row r="166" spans="1:12" x14ac:dyDescent="0.25">
      <c r="A166" t="s">
        <v>174</v>
      </c>
      <c r="K166" s="1" t="str">
        <f t="shared" si="2"/>
        <v>2020-02-12</v>
      </c>
      <c r="L166" t="s">
        <v>473</v>
      </c>
    </row>
    <row r="167" spans="1:12" x14ac:dyDescent="0.25">
      <c r="A167" t="s">
        <v>175</v>
      </c>
      <c r="K167" s="1" t="str">
        <f t="shared" si="2"/>
        <v>2020-02-13</v>
      </c>
      <c r="L167" t="s">
        <v>474</v>
      </c>
    </row>
    <row r="168" spans="1:12" x14ac:dyDescent="0.25">
      <c r="A168" t="s">
        <v>176</v>
      </c>
      <c r="K168" s="1" t="str">
        <f t="shared" si="2"/>
        <v>2020-02-14</v>
      </c>
      <c r="L168" t="s">
        <v>475</v>
      </c>
    </row>
    <row r="169" spans="1:12" x14ac:dyDescent="0.25">
      <c r="A169" t="s">
        <v>177</v>
      </c>
      <c r="K169" s="1" t="str">
        <f t="shared" si="2"/>
        <v>2020-02-16</v>
      </c>
      <c r="L169" t="s">
        <v>476</v>
      </c>
    </row>
    <row r="170" spans="1:12" x14ac:dyDescent="0.25">
      <c r="A170" t="s">
        <v>178</v>
      </c>
      <c r="K170" s="1" t="str">
        <f t="shared" si="2"/>
        <v>2020-02-18</v>
      </c>
      <c r="L170" t="s">
        <v>477</v>
      </c>
    </row>
    <row r="171" spans="1:12" x14ac:dyDescent="0.25">
      <c r="A171" t="s">
        <v>179</v>
      </c>
      <c r="K171" s="1" t="str">
        <f t="shared" si="2"/>
        <v>2020-02-19</v>
      </c>
      <c r="L171" t="s">
        <v>478</v>
      </c>
    </row>
    <row r="172" spans="1:12" x14ac:dyDescent="0.25">
      <c r="A172" t="s">
        <v>180</v>
      </c>
      <c r="K172" s="1" t="str">
        <f t="shared" si="2"/>
        <v>2020-02-20</v>
      </c>
      <c r="L172" t="s">
        <v>477</v>
      </c>
    </row>
    <row r="173" spans="1:12" x14ac:dyDescent="0.25">
      <c r="A173" t="s">
        <v>181</v>
      </c>
      <c r="K173" s="1" t="str">
        <f t="shared" si="2"/>
        <v>2020-02-21</v>
      </c>
      <c r="L173" t="s">
        <v>479</v>
      </c>
    </row>
    <row r="174" spans="1:12" x14ac:dyDescent="0.25">
      <c r="A174" t="s">
        <v>182</v>
      </c>
      <c r="K174" s="1" t="str">
        <f t="shared" si="2"/>
        <v>2020-02-23</v>
      </c>
      <c r="L174" t="s">
        <v>480</v>
      </c>
    </row>
    <row r="175" spans="1:12" x14ac:dyDescent="0.25">
      <c r="A175" t="s">
        <v>183</v>
      </c>
      <c r="K175" s="1" t="str">
        <f t="shared" si="2"/>
        <v>2020-02-24</v>
      </c>
      <c r="L175" t="s">
        <v>481</v>
      </c>
    </row>
    <row r="176" spans="1:12" x14ac:dyDescent="0.25">
      <c r="A176" t="s">
        <v>184</v>
      </c>
      <c r="K176" s="1" t="str">
        <f t="shared" si="2"/>
        <v>2020-02-25</v>
      </c>
      <c r="L176" t="s">
        <v>482</v>
      </c>
    </row>
    <row r="177" spans="1:12" x14ac:dyDescent="0.25">
      <c r="A177" t="s">
        <v>185</v>
      </c>
      <c r="K177" s="1" t="str">
        <f t="shared" si="2"/>
        <v>2020-02-26</v>
      </c>
      <c r="L177" t="s">
        <v>483</v>
      </c>
    </row>
    <row r="178" spans="1:12" x14ac:dyDescent="0.25">
      <c r="A178" t="s">
        <v>186</v>
      </c>
      <c r="K178" s="1" t="str">
        <f t="shared" si="2"/>
        <v>2020-02-27</v>
      </c>
      <c r="L178" t="s">
        <v>483</v>
      </c>
    </row>
    <row r="179" spans="1:12" x14ac:dyDescent="0.25">
      <c r="A179" t="s">
        <v>187</v>
      </c>
      <c r="K179" s="1" t="str">
        <f t="shared" si="2"/>
        <v>2020-02-28</v>
      </c>
      <c r="L179" t="s">
        <v>484</v>
      </c>
    </row>
    <row r="180" spans="1:12" x14ac:dyDescent="0.25">
      <c r="A180" t="s">
        <v>188</v>
      </c>
      <c r="K180" s="1" t="str">
        <f t="shared" si="2"/>
        <v>2020-03-01</v>
      </c>
      <c r="L180" t="s">
        <v>485</v>
      </c>
    </row>
    <row r="181" spans="1:12" x14ac:dyDescent="0.25">
      <c r="A181" t="s">
        <v>189</v>
      </c>
      <c r="K181" s="1" t="str">
        <f t="shared" si="2"/>
        <v>2020-03-02</v>
      </c>
      <c r="L181" t="s">
        <v>486</v>
      </c>
    </row>
    <row r="182" spans="1:12" x14ac:dyDescent="0.25">
      <c r="A182" t="s">
        <v>190</v>
      </c>
      <c r="K182" s="1" t="str">
        <f t="shared" si="2"/>
        <v>2020-03-03</v>
      </c>
      <c r="L182" t="s">
        <v>487</v>
      </c>
    </row>
    <row r="183" spans="1:12" x14ac:dyDescent="0.25">
      <c r="A183" t="s">
        <v>191</v>
      </c>
      <c r="K183" s="1" t="str">
        <f t="shared" si="2"/>
        <v>2020-03-04</v>
      </c>
      <c r="L183" t="s">
        <v>488</v>
      </c>
    </row>
    <row r="184" spans="1:12" x14ac:dyDescent="0.25">
      <c r="A184" t="s">
        <v>192</v>
      </c>
      <c r="K184" s="1" t="str">
        <f t="shared" si="2"/>
        <v>2020-03-05</v>
      </c>
      <c r="L184" t="s">
        <v>489</v>
      </c>
    </row>
    <row r="185" spans="1:12" x14ac:dyDescent="0.25">
      <c r="A185" t="s">
        <v>193</v>
      </c>
      <c r="K185" s="1" t="str">
        <f t="shared" si="2"/>
        <v>2020-03-06</v>
      </c>
      <c r="L185" t="s">
        <v>490</v>
      </c>
    </row>
    <row r="186" spans="1:12" x14ac:dyDescent="0.25">
      <c r="A186" t="s">
        <v>194</v>
      </c>
      <c r="K186" s="1" t="str">
        <f t="shared" si="2"/>
        <v>2020-03-08</v>
      </c>
      <c r="L186" t="s">
        <v>490</v>
      </c>
    </row>
    <row r="187" spans="1:12" x14ac:dyDescent="0.25">
      <c r="A187" t="s">
        <v>195</v>
      </c>
      <c r="K187" s="1" t="str">
        <f t="shared" si="2"/>
        <v>2020-03-09</v>
      </c>
      <c r="L187" t="s">
        <v>491</v>
      </c>
    </row>
    <row r="188" spans="1:12" x14ac:dyDescent="0.25">
      <c r="A188" t="s">
        <v>196</v>
      </c>
      <c r="K188" s="1" t="str">
        <f t="shared" si="2"/>
        <v>2020-03-10</v>
      </c>
      <c r="L188" t="s">
        <v>492</v>
      </c>
    </row>
    <row r="189" spans="1:12" x14ac:dyDescent="0.25">
      <c r="A189" t="s">
        <v>197</v>
      </c>
      <c r="K189" s="1" t="str">
        <f t="shared" si="2"/>
        <v>2020-03-11</v>
      </c>
      <c r="L189" t="s">
        <v>493</v>
      </c>
    </row>
    <row r="190" spans="1:12" x14ac:dyDescent="0.25">
      <c r="A190" t="s">
        <v>198</v>
      </c>
      <c r="K190" s="1" t="str">
        <f t="shared" si="2"/>
        <v>2020-03-12</v>
      </c>
      <c r="L190" t="s">
        <v>494</v>
      </c>
    </row>
    <row r="191" spans="1:12" x14ac:dyDescent="0.25">
      <c r="A191" t="s">
        <v>199</v>
      </c>
      <c r="K191" s="1" t="str">
        <f t="shared" si="2"/>
        <v>2020-03-13</v>
      </c>
      <c r="L191" t="s">
        <v>495</v>
      </c>
    </row>
    <row r="192" spans="1:12" x14ac:dyDescent="0.25">
      <c r="A192" t="s">
        <v>200</v>
      </c>
      <c r="K192" s="1" t="str">
        <f t="shared" si="2"/>
        <v>2020-03-15</v>
      </c>
      <c r="L192" t="s">
        <v>495</v>
      </c>
    </row>
    <row r="193" spans="1:12" x14ac:dyDescent="0.25">
      <c r="A193" t="s">
        <v>201</v>
      </c>
      <c r="K193" s="1" t="str">
        <f t="shared" si="2"/>
        <v>2020-03-16</v>
      </c>
      <c r="L193" t="s">
        <v>496</v>
      </c>
    </row>
    <row r="194" spans="1:12" x14ac:dyDescent="0.25">
      <c r="A194" t="s">
        <v>202</v>
      </c>
      <c r="K194" s="1" t="str">
        <f t="shared" si="2"/>
        <v>2020-03-17</v>
      </c>
      <c r="L194" t="s">
        <v>497</v>
      </c>
    </row>
    <row r="195" spans="1:12" x14ac:dyDescent="0.25">
      <c r="A195" t="s">
        <v>203</v>
      </c>
      <c r="K195" s="1" t="str">
        <f t="shared" ref="K195:K258" si="3">LEFT(A195,10)</f>
        <v>2020-03-18</v>
      </c>
      <c r="L195" t="s">
        <v>498</v>
      </c>
    </row>
    <row r="196" spans="1:12" x14ac:dyDescent="0.25">
      <c r="A196" t="s">
        <v>204</v>
      </c>
      <c r="K196" s="1" t="str">
        <f t="shared" si="3"/>
        <v>2020-03-19</v>
      </c>
      <c r="L196" t="s">
        <v>499</v>
      </c>
    </row>
    <row r="197" spans="1:12" x14ac:dyDescent="0.25">
      <c r="A197" t="s">
        <v>205</v>
      </c>
      <c r="K197" s="1" t="str">
        <f t="shared" si="3"/>
        <v>2020-03-20</v>
      </c>
      <c r="L197" t="s">
        <v>500</v>
      </c>
    </row>
    <row r="198" spans="1:12" x14ac:dyDescent="0.25">
      <c r="A198" t="s">
        <v>206</v>
      </c>
      <c r="K198" s="1" t="str">
        <f t="shared" si="3"/>
        <v>2020-03-22</v>
      </c>
      <c r="L198" t="s">
        <v>501</v>
      </c>
    </row>
    <row r="199" spans="1:12" x14ac:dyDescent="0.25">
      <c r="A199" t="s">
        <v>207</v>
      </c>
      <c r="K199" s="1" t="str">
        <f t="shared" si="3"/>
        <v>2020-03-23</v>
      </c>
      <c r="L199" t="s">
        <v>502</v>
      </c>
    </row>
    <row r="200" spans="1:12" x14ac:dyDescent="0.25">
      <c r="A200" t="s">
        <v>208</v>
      </c>
      <c r="K200" s="1" t="str">
        <f t="shared" si="3"/>
        <v>2020-03-24</v>
      </c>
      <c r="L200" t="s">
        <v>503</v>
      </c>
    </row>
    <row r="201" spans="1:12" x14ac:dyDescent="0.25">
      <c r="A201" t="s">
        <v>209</v>
      </c>
      <c r="K201" s="1" t="str">
        <f t="shared" si="3"/>
        <v>2020-03-25</v>
      </c>
      <c r="L201" t="s">
        <v>504</v>
      </c>
    </row>
    <row r="202" spans="1:12" x14ac:dyDescent="0.25">
      <c r="A202" t="s">
        <v>210</v>
      </c>
      <c r="K202" s="1" t="str">
        <f t="shared" si="3"/>
        <v>2020-03-26</v>
      </c>
      <c r="L202" t="s">
        <v>505</v>
      </c>
    </row>
    <row r="203" spans="1:12" x14ac:dyDescent="0.25">
      <c r="A203" t="s">
        <v>211</v>
      </c>
      <c r="K203" s="1" t="str">
        <f t="shared" si="3"/>
        <v>2020-03-27</v>
      </c>
      <c r="L203" t="s">
        <v>506</v>
      </c>
    </row>
    <row r="204" spans="1:12" x14ac:dyDescent="0.25">
      <c r="A204" t="s">
        <v>212</v>
      </c>
      <c r="K204" s="1" t="str">
        <f t="shared" si="3"/>
        <v>2020-03-29</v>
      </c>
      <c r="L204" t="s">
        <v>507</v>
      </c>
    </row>
    <row r="205" spans="1:12" x14ac:dyDescent="0.25">
      <c r="A205" t="s">
        <v>213</v>
      </c>
      <c r="K205" s="1" t="str">
        <f t="shared" si="3"/>
        <v>2020-03-30</v>
      </c>
      <c r="L205" t="s">
        <v>508</v>
      </c>
    </row>
    <row r="206" spans="1:12" x14ac:dyDescent="0.25">
      <c r="A206" t="s">
        <v>214</v>
      </c>
      <c r="K206" s="1" t="str">
        <f t="shared" si="3"/>
        <v>2020-03-31</v>
      </c>
      <c r="L206" t="s">
        <v>509</v>
      </c>
    </row>
    <row r="207" spans="1:12" x14ac:dyDescent="0.25">
      <c r="A207" t="s">
        <v>215</v>
      </c>
      <c r="K207" s="1" t="str">
        <f t="shared" si="3"/>
        <v>2020-04-01</v>
      </c>
      <c r="L207" t="s">
        <v>510</v>
      </c>
    </row>
    <row r="208" spans="1:12" x14ac:dyDescent="0.25">
      <c r="A208" t="s">
        <v>216</v>
      </c>
      <c r="K208" s="1" t="str">
        <f t="shared" si="3"/>
        <v>2020-04-02</v>
      </c>
      <c r="L208" t="s">
        <v>511</v>
      </c>
    </row>
    <row r="209" spans="1:12" x14ac:dyDescent="0.25">
      <c r="A209" t="s">
        <v>217</v>
      </c>
      <c r="K209" s="1" t="str">
        <f t="shared" si="3"/>
        <v>2020-04-03</v>
      </c>
      <c r="L209" t="s">
        <v>512</v>
      </c>
    </row>
    <row r="210" spans="1:12" x14ac:dyDescent="0.25">
      <c r="A210" t="s">
        <v>218</v>
      </c>
      <c r="K210" s="1" t="str">
        <f t="shared" si="3"/>
        <v>2020-04-05</v>
      </c>
      <c r="L210" t="s">
        <v>415</v>
      </c>
    </row>
    <row r="211" spans="1:12" x14ac:dyDescent="0.25">
      <c r="A211" t="s">
        <v>219</v>
      </c>
      <c r="K211" s="1" t="str">
        <f t="shared" si="3"/>
        <v>2020-04-06</v>
      </c>
      <c r="L211" t="s">
        <v>513</v>
      </c>
    </row>
    <row r="212" spans="1:12" x14ac:dyDescent="0.25">
      <c r="A212" t="s">
        <v>220</v>
      </c>
      <c r="K212" s="1" t="str">
        <f t="shared" si="3"/>
        <v>2020-04-07</v>
      </c>
      <c r="L212" t="s">
        <v>514</v>
      </c>
    </row>
    <row r="213" spans="1:12" x14ac:dyDescent="0.25">
      <c r="A213" t="s">
        <v>221</v>
      </c>
      <c r="K213" s="1" t="str">
        <f t="shared" si="3"/>
        <v>2020-04-08</v>
      </c>
      <c r="L213" t="s">
        <v>515</v>
      </c>
    </row>
    <row r="214" spans="1:12" x14ac:dyDescent="0.25">
      <c r="A214" t="s">
        <v>222</v>
      </c>
      <c r="K214" s="1" t="str">
        <f t="shared" si="3"/>
        <v>2020-04-09</v>
      </c>
      <c r="L214" t="s">
        <v>516</v>
      </c>
    </row>
    <row r="215" spans="1:12" x14ac:dyDescent="0.25">
      <c r="A215" t="s">
        <v>223</v>
      </c>
      <c r="K215" s="1" t="str">
        <f t="shared" si="3"/>
        <v>2020-04-12</v>
      </c>
      <c r="L215" t="s">
        <v>517</v>
      </c>
    </row>
    <row r="216" spans="1:12" x14ac:dyDescent="0.25">
      <c r="A216" t="s">
        <v>224</v>
      </c>
      <c r="K216" s="1" t="str">
        <f t="shared" si="3"/>
        <v>2020-04-13</v>
      </c>
      <c r="L216" t="s">
        <v>518</v>
      </c>
    </row>
    <row r="217" spans="1:12" x14ac:dyDescent="0.25">
      <c r="A217" t="s">
        <v>225</v>
      </c>
      <c r="K217" s="1" t="str">
        <f t="shared" si="3"/>
        <v>2020-04-14</v>
      </c>
      <c r="L217" t="s">
        <v>519</v>
      </c>
    </row>
    <row r="218" spans="1:12" x14ac:dyDescent="0.25">
      <c r="A218" t="s">
        <v>226</v>
      </c>
      <c r="K218" s="1" t="str">
        <f t="shared" si="3"/>
        <v>2020-04-15</v>
      </c>
      <c r="L218" t="s">
        <v>520</v>
      </c>
    </row>
    <row r="219" spans="1:12" x14ac:dyDescent="0.25">
      <c r="A219" t="s">
        <v>227</v>
      </c>
      <c r="K219" s="1" t="str">
        <f t="shared" si="3"/>
        <v>2020-04-16</v>
      </c>
      <c r="L219" t="s">
        <v>521</v>
      </c>
    </row>
    <row r="220" spans="1:12" x14ac:dyDescent="0.25">
      <c r="A220" t="s">
        <v>228</v>
      </c>
      <c r="K220" s="1" t="str">
        <f t="shared" si="3"/>
        <v>2020-04-17</v>
      </c>
      <c r="L220" t="s">
        <v>522</v>
      </c>
    </row>
    <row r="221" spans="1:12" x14ac:dyDescent="0.25">
      <c r="A221" t="s">
        <v>229</v>
      </c>
      <c r="K221" s="1" t="str">
        <f t="shared" si="3"/>
        <v>2020-04-19</v>
      </c>
      <c r="L221" t="s">
        <v>523</v>
      </c>
    </row>
    <row r="222" spans="1:12" x14ac:dyDescent="0.25">
      <c r="A222" t="s">
        <v>230</v>
      </c>
      <c r="K222" s="1" t="str">
        <f t="shared" si="3"/>
        <v>2020-04-20</v>
      </c>
      <c r="L222" t="s">
        <v>524</v>
      </c>
    </row>
    <row r="223" spans="1:12" x14ac:dyDescent="0.25">
      <c r="A223" t="s">
        <v>231</v>
      </c>
      <c r="K223" s="1" t="str">
        <f t="shared" si="3"/>
        <v>2020-04-21</v>
      </c>
      <c r="L223" t="s">
        <v>525</v>
      </c>
    </row>
    <row r="224" spans="1:12" x14ac:dyDescent="0.25">
      <c r="A224" t="s">
        <v>232</v>
      </c>
      <c r="K224" s="1" t="str">
        <f t="shared" si="3"/>
        <v>2020-04-22</v>
      </c>
      <c r="L224" t="s">
        <v>526</v>
      </c>
    </row>
    <row r="225" spans="1:12" x14ac:dyDescent="0.25">
      <c r="A225" t="s">
        <v>233</v>
      </c>
      <c r="K225" s="1" t="str">
        <f t="shared" si="3"/>
        <v>2020-04-23</v>
      </c>
      <c r="L225" t="s">
        <v>527</v>
      </c>
    </row>
    <row r="226" spans="1:12" x14ac:dyDescent="0.25">
      <c r="A226" t="s">
        <v>234</v>
      </c>
      <c r="K226" s="1" t="str">
        <f t="shared" si="3"/>
        <v>2020-04-24</v>
      </c>
      <c r="L226" t="s">
        <v>528</v>
      </c>
    </row>
    <row r="227" spans="1:12" x14ac:dyDescent="0.25">
      <c r="A227" t="s">
        <v>235</v>
      </c>
      <c r="K227" s="1" t="str">
        <f t="shared" si="3"/>
        <v>2020-04-26</v>
      </c>
      <c r="L227" t="s">
        <v>529</v>
      </c>
    </row>
    <row r="228" spans="1:12" x14ac:dyDescent="0.25">
      <c r="A228" t="s">
        <v>236</v>
      </c>
      <c r="K228" s="1" t="str">
        <f t="shared" si="3"/>
        <v>2020-04-27</v>
      </c>
      <c r="L228" t="s">
        <v>530</v>
      </c>
    </row>
    <row r="229" spans="1:12" x14ac:dyDescent="0.25">
      <c r="A229" t="s">
        <v>237</v>
      </c>
      <c r="K229" s="1" t="str">
        <f t="shared" si="3"/>
        <v>2020-04-28</v>
      </c>
      <c r="L229" t="s">
        <v>531</v>
      </c>
    </row>
    <row r="230" spans="1:12" x14ac:dyDescent="0.25">
      <c r="A230" t="s">
        <v>238</v>
      </c>
      <c r="K230" s="1" t="str">
        <f t="shared" si="3"/>
        <v>2020-04-29</v>
      </c>
      <c r="L230" t="s">
        <v>532</v>
      </c>
    </row>
    <row r="231" spans="1:12" x14ac:dyDescent="0.25">
      <c r="A231" t="s">
        <v>239</v>
      </c>
      <c r="K231" s="1" t="str">
        <f t="shared" si="3"/>
        <v>2020-04-30</v>
      </c>
      <c r="L231" t="s">
        <v>376</v>
      </c>
    </row>
    <row r="232" spans="1:12" x14ac:dyDescent="0.25">
      <c r="A232" t="s">
        <v>240</v>
      </c>
      <c r="K232" s="1" t="str">
        <f t="shared" si="3"/>
        <v>2020-05-01</v>
      </c>
      <c r="L232" t="s">
        <v>533</v>
      </c>
    </row>
    <row r="233" spans="1:12" x14ac:dyDescent="0.25">
      <c r="A233" t="s">
        <v>241</v>
      </c>
      <c r="K233" s="1" t="str">
        <f t="shared" si="3"/>
        <v>2020-05-03</v>
      </c>
      <c r="L233" t="s">
        <v>534</v>
      </c>
    </row>
    <row r="234" spans="1:12" x14ac:dyDescent="0.25">
      <c r="A234" t="s">
        <v>242</v>
      </c>
      <c r="K234" s="1" t="str">
        <f t="shared" si="3"/>
        <v>2020-05-04</v>
      </c>
      <c r="L234" t="s">
        <v>535</v>
      </c>
    </row>
    <row r="235" spans="1:12" x14ac:dyDescent="0.25">
      <c r="A235" t="s">
        <v>243</v>
      </c>
      <c r="K235" s="1" t="str">
        <f t="shared" si="3"/>
        <v>2020-05-05</v>
      </c>
      <c r="L235" t="s">
        <v>536</v>
      </c>
    </row>
    <row r="236" spans="1:12" x14ac:dyDescent="0.25">
      <c r="A236" t="s">
        <v>244</v>
      </c>
      <c r="K236" s="1" t="str">
        <f t="shared" si="3"/>
        <v>2020-05-06</v>
      </c>
      <c r="L236" t="s">
        <v>537</v>
      </c>
    </row>
    <row r="237" spans="1:12" x14ac:dyDescent="0.25">
      <c r="A237" t="s">
        <v>245</v>
      </c>
      <c r="K237" s="1" t="str">
        <f t="shared" si="3"/>
        <v>2020-05-07</v>
      </c>
      <c r="L237" t="s">
        <v>538</v>
      </c>
    </row>
    <row r="238" spans="1:12" x14ac:dyDescent="0.25">
      <c r="A238" t="s">
        <v>246</v>
      </c>
      <c r="K238" s="1" t="str">
        <f t="shared" si="3"/>
        <v>2020-05-08</v>
      </c>
      <c r="L238" t="s">
        <v>539</v>
      </c>
    </row>
    <row r="239" spans="1:12" x14ac:dyDescent="0.25">
      <c r="A239" t="s">
        <v>247</v>
      </c>
      <c r="K239" s="1" t="str">
        <f t="shared" si="3"/>
        <v>2020-05-10</v>
      </c>
      <c r="L239" t="s">
        <v>540</v>
      </c>
    </row>
    <row r="240" spans="1:12" x14ac:dyDescent="0.25">
      <c r="A240" t="s">
        <v>248</v>
      </c>
      <c r="K240" s="1" t="str">
        <f t="shared" si="3"/>
        <v>2020-05-11</v>
      </c>
      <c r="L240" t="s">
        <v>541</v>
      </c>
    </row>
    <row r="241" spans="1:12" x14ac:dyDescent="0.25">
      <c r="A241" t="s">
        <v>249</v>
      </c>
      <c r="K241" s="1" t="str">
        <f t="shared" si="3"/>
        <v>2020-05-12</v>
      </c>
      <c r="L241" t="s">
        <v>542</v>
      </c>
    </row>
    <row r="242" spans="1:12" x14ac:dyDescent="0.25">
      <c r="A242" t="s">
        <v>250</v>
      </c>
      <c r="K242" s="1" t="str">
        <f t="shared" si="3"/>
        <v>2020-05-13</v>
      </c>
      <c r="L242" t="s">
        <v>543</v>
      </c>
    </row>
    <row r="243" spans="1:12" x14ac:dyDescent="0.25">
      <c r="A243" t="s">
        <v>251</v>
      </c>
      <c r="K243" s="1" t="str">
        <f t="shared" si="3"/>
        <v>2020-05-14</v>
      </c>
      <c r="L243" t="s">
        <v>544</v>
      </c>
    </row>
    <row r="244" spans="1:12" x14ac:dyDescent="0.25">
      <c r="A244" t="s">
        <v>252</v>
      </c>
      <c r="K244" s="1" t="str">
        <f t="shared" si="3"/>
        <v>2020-05-15</v>
      </c>
      <c r="L244" t="s">
        <v>545</v>
      </c>
    </row>
    <row r="245" spans="1:12" x14ac:dyDescent="0.25">
      <c r="A245" t="s">
        <v>253</v>
      </c>
      <c r="K245" s="1" t="str">
        <f t="shared" si="3"/>
        <v>2020-05-17</v>
      </c>
      <c r="L245" t="s">
        <v>546</v>
      </c>
    </row>
    <row r="246" spans="1:12" x14ac:dyDescent="0.25">
      <c r="A246" t="s">
        <v>254</v>
      </c>
      <c r="K246" s="1" t="str">
        <f t="shared" si="3"/>
        <v>2020-05-18</v>
      </c>
      <c r="L246" t="s">
        <v>547</v>
      </c>
    </row>
    <row r="247" spans="1:12" x14ac:dyDescent="0.25">
      <c r="A247" t="s">
        <v>255</v>
      </c>
      <c r="K247" s="1" t="str">
        <f t="shared" si="3"/>
        <v>2020-05-19</v>
      </c>
      <c r="L247" t="s">
        <v>548</v>
      </c>
    </row>
    <row r="248" spans="1:12" x14ac:dyDescent="0.25">
      <c r="A248" t="s">
        <v>256</v>
      </c>
      <c r="K248" s="1" t="str">
        <f t="shared" si="3"/>
        <v>2020-05-20</v>
      </c>
      <c r="L248" t="s">
        <v>549</v>
      </c>
    </row>
    <row r="249" spans="1:12" x14ac:dyDescent="0.25">
      <c r="A249" t="s">
        <v>257</v>
      </c>
      <c r="K249" s="1" t="str">
        <f t="shared" si="3"/>
        <v>2020-05-21</v>
      </c>
      <c r="L249" t="s">
        <v>550</v>
      </c>
    </row>
    <row r="250" spans="1:12" x14ac:dyDescent="0.25">
      <c r="A250" t="s">
        <v>258</v>
      </c>
      <c r="K250" s="1" t="str">
        <f t="shared" si="3"/>
        <v>2020-05-22</v>
      </c>
      <c r="L250" t="s">
        <v>551</v>
      </c>
    </row>
    <row r="251" spans="1:12" x14ac:dyDescent="0.25">
      <c r="A251" t="s">
        <v>259</v>
      </c>
      <c r="K251" s="1" t="str">
        <f t="shared" si="3"/>
        <v>2020-05-24</v>
      </c>
      <c r="L251" t="s">
        <v>552</v>
      </c>
    </row>
    <row r="252" spans="1:12" x14ac:dyDescent="0.25">
      <c r="A252" t="s">
        <v>260</v>
      </c>
      <c r="K252" s="1" t="str">
        <f t="shared" si="3"/>
        <v>2020-05-26</v>
      </c>
      <c r="L252" t="s">
        <v>553</v>
      </c>
    </row>
    <row r="253" spans="1:12" x14ac:dyDescent="0.25">
      <c r="A253" t="s">
        <v>261</v>
      </c>
      <c r="K253" s="1" t="str">
        <f t="shared" si="3"/>
        <v>2020-05-27</v>
      </c>
      <c r="L253" t="s">
        <v>385</v>
      </c>
    </row>
    <row r="254" spans="1:12" x14ac:dyDescent="0.25">
      <c r="A254" t="s">
        <v>262</v>
      </c>
      <c r="K254" s="1" t="str">
        <f t="shared" si="3"/>
        <v>2020-05-28</v>
      </c>
      <c r="L254" t="s">
        <v>554</v>
      </c>
    </row>
    <row r="255" spans="1:12" x14ac:dyDescent="0.25">
      <c r="A255" t="s">
        <v>263</v>
      </c>
      <c r="K255" s="1" t="str">
        <f t="shared" si="3"/>
        <v>2020-05-29</v>
      </c>
      <c r="L255" t="s">
        <v>555</v>
      </c>
    </row>
    <row r="256" spans="1:12" x14ac:dyDescent="0.25">
      <c r="A256" t="s">
        <v>264</v>
      </c>
      <c r="K256" s="1" t="str">
        <f t="shared" si="3"/>
        <v>2020-05-31</v>
      </c>
      <c r="L256" t="s">
        <v>556</v>
      </c>
    </row>
    <row r="257" spans="1:12" x14ac:dyDescent="0.25">
      <c r="A257" t="s">
        <v>265</v>
      </c>
      <c r="K257" s="1" t="str">
        <f t="shared" si="3"/>
        <v>2020-06-01</v>
      </c>
      <c r="L257" t="s">
        <v>557</v>
      </c>
    </row>
    <row r="258" spans="1:12" x14ac:dyDescent="0.25">
      <c r="A258" t="s">
        <v>266</v>
      </c>
      <c r="K258" s="1" t="str">
        <f t="shared" si="3"/>
        <v>2020-06-02</v>
      </c>
      <c r="L258" t="s">
        <v>558</v>
      </c>
    </row>
    <row r="259" spans="1:12" x14ac:dyDescent="0.25">
      <c r="A259" t="s">
        <v>267</v>
      </c>
      <c r="K259" s="1" t="str">
        <f t="shared" ref="K259:K307" si="4">LEFT(A259,10)</f>
        <v>2020-06-03</v>
      </c>
      <c r="L259" t="s">
        <v>559</v>
      </c>
    </row>
    <row r="260" spans="1:12" x14ac:dyDescent="0.25">
      <c r="A260" t="s">
        <v>268</v>
      </c>
      <c r="K260" s="1" t="str">
        <f t="shared" si="4"/>
        <v>2020-06-04</v>
      </c>
      <c r="L260" t="s">
        <v>420</v>
      </c>
    </row>
    <row r="261" spans="1:12" x14ac:dyDescent="0.25">
      <c r="A261" t="s">
        <v>269</v>
      </c>
      <c r="K261" s="1" t="str">
        <f t="shared" si="4"/>
        <v>2020-06-05</v>
      </c>
      <c r="L261" t="s">
        <v>560</v>
      </c>
    </row>
    <row r="262" spans="1:12" x14ac:dyDescent="0.25">
      <c r="A262" t="s">
        <v>270</v>
      </c>
      <c r="K262" s="1" t="str">
        <f t="shared" si="4"/>
        <v>2020-06-07</v>
      </c>
      <c r="L262" t="s">
        <v>561</v>
      </c>
    </row>
    <row r="263" spans="1:12" x14ac:dyDescent="0.25">
      <c r="A263" t="s">
        <v>271</v>
      </c>
      <c r="K263" s="1" t="str">
        <f t="shared" si="4"/>
        <v>2020-06-08</v>
      </c>
      <c r="L263" t="s">
        <v>562</v>
      </c>
    </row>
    <row r="264" spans="1:12" x14ac:dyDescent="0.25">
      <c r="A264" t="s">
        <v>272</v>
      </c>
      <c r="K264" s="1" t="str">
        <f t="shared" si="4"/>
        <v>2020-06-09</v>
      </c>
      <c r="L264" t="s">
        <v>563</v>
      </c>
    </row>
    <row r="265" spans="1:12" x14ac:dyDescent="0.25">
      <c r="A265" t="s">
        <v>273</v>
      </c>
      <c r="K265" s="1" t="str">
        <f t="shared" si="4"/>
        <v>2020-06-10</v>
      </c>
      <c r="L265" t="s">
        <v>564</v>
      </c>
    </row>
    <row r="266" spans="1:12" x14ac:dyDescent="0.25">
      <c r="A266" t="s">
        <v>274</v>
      </c>
      <c r="K266" s="1" t="str">
        <f t="shared" si="4"/>
        <v>2020-06-11</v>
      </c>
      <c r="L266" t="s">
        <v>565</v>
      </c>
    </row>
    <row r="267" spans="1:12" x14ac:dyDescent="0.25">
      <c r="A267" t="s">
        <v>275</v>
      </c>
      <c r="K267" s="1" t="str">
        <f t="shared" si="4"/>
        <v>2020-06-12</v>
      </c>
      <c r="L267" t="s">
        <v>566</v>
      </c>
    </row>
    <row r="268" spans="1:12" x14ac:dyDescent="0.25">
      <c r="A268" t="s">
        <v>276</v>
      </c>
      <c r="K268" s="1" t="str">
        <f t="shared" si="4"/>
        <v>2020-06-14</v>
      </c>
      <c r="L268" t="s">
        <v>567</v>
      </c>
    </row>
    <row r="269" spans="1:12" x14ac:dyDescent="0.25">
      <c r="A269" t="s">
        <v>277</v>
      </c>
      <c r="K269" s="1" t="str">
        <f t="shared" si="4"/>
        <v>2020-06-15</v>
      </c>
      <c r="L269" t="s">
        <v>568</v>
      </c>
    </row>
    <row r="270" spans="1:12" x14ac:dyDescent="0.25">
      <c r="A270" t="s">
        <v>278</v>
      </c>
      <c r="K270" s="1" t="str">
        <f t="shared" si="4"/>
        <v>2020-06-16</v>
      </c>
      <c r="L270" t="s">
        <v>569</v>
      </c>
    </row>
    <row r="271" spans="1:12" x14ac:dyDescent="0.25">
      <c r="A271" t="s">
        <v>279</v>
      </c>
      <c r="K271" s="1" t="str">
        <f t="shared" si="4"/>
        <v>2020-06-17</v>
      </c>
      <c r="L271" t="s">
        <v>405</v>
      </c>
    </row>
    <row r="272" spans="1:12" x14ac:dyDescent="0.25">
      <c r="A272" t="s">
        <v>280</v>
      </c>
      <c r="K272" s="1" t="str">
        <f t="shared" si="4"/>
        <v>2020-06-18</v>
      </c>
      <c r="L272" t="s">
        <v>570</v>
      </c>
    </row>
    <row r="273" spans="1:12" x14ac:dyDescent="0.25">
      <c r="A273" t="s">
        <v>281</v>
      </c>
      <c r="K273" s="1" t="str">
        <f t="shared" si="4"/>
        <v>2020-06-19</v>
      </c>
      <c r="L273" t="s">
        <v>571</v>
      </c>
    </row>
    <row r="274" spans="1:12" x14ac:dyDescent="0.25">
      <c r="A274" t="s">
        <v>282</v>
      </c>
      <c r="K274" s="1" t="str">
        <f t="shared" si="4"/>
        <v>2020-06-21</v>
      </c>
      <c r="L274" t="s">
        <v>572</v>
      </c>
    </row>
    <row r="275" spans="1:12" x14ac:dyDescent="0.25">
      <c r="A275" t="s">
        <v>283</v>
      </c>
      <c r="K275" s="1" t="str">
        <f t="shared" si="4"/>
        <v>2020-06-22</v>
      </c>
      <c r="L275" t="s">
        <v>573</v>
      </c>
    </row>
    <row r="276" spans="1:12" x14ac:dyDescent="0.25">
      <c r="A276" t="s">
        <v>284</v>
      </c>
      <c r="K276" s="1" t="str">
        <f t="shared" si="4"/>
        <v>2020-06-23</v>
      </c>
      <c r="L276" t="s">
        <v>574</v>
      </c>
    </row>
    <row r="277" spans="1:12" x14ac:dyDescent="0.25">
      <c r="A277" t="s">
        <v>285</v>
      </c>
      <c r="K277" s="1" t="str">
        <f t="shared" si="4"/>
        <v>2020-06-24</v>
      </c>
      <c r="L277" t="s">
        <v>408</v>
      </c>
    </row>
    <row r="278" spans="1:12" x14ac:dyDescent="0.25">
      <c r="A278" t="s">
        <v>286</v>
      </c>
      <c r="K278" s="1" t="str">
        <f t="shared" si="4"/>
        <v>2020-06-25</v>
      </c>
      <c r="L278" t="s">
        <v>575</v>
      </c>
    </row>
    <row r="279" spans="1:12" x14ac:dyDescent="0.25">
      <c r="A279" t="s">
        <v>287</v>
      </c>
      <c r="K279" s="1" t="str">
        <f t="shared" si="4"/>
        <v>2020-06-26</v>
      </c>
      <c r="L279" t="s">
        <v>576</v>
      </c>
    </row>
    <row r="280" spans="1:12" x14ac:dyDescent="0.25">
      <c r="A280" t="s">
        <v>288</v>
      </c>
      <c r="K280" s="1" t="str">
        <f t="shared" si="4"/>
        <v>2020-06-28</v>
      </c>
      <c r="L280" t="s">
        <v>362</v>
      </c>
    </row>
    <row r="281" spans="1:12" x14ac:dyDescent="0.25">
      <c r="A281" t="s">
        <v>289</v>
      </c>
      <c r="K281" s="1" t="str">
        <f t="shared" si="4"/>
        <v>2020-06-29</v>
      </c>
      <c r="L281" t="s">
        <v>577</v>
      </c>
    </row>
    <row r="282" spans="1:12" x14ac:dyDescent="0.25">
      <c r="A282" t="s">
        <v>290</v>
      </c>
      <c r="K282" s="1" t="str">
        <f t="shared" si="4"/>
        <v>2020-06-30</v>
      </c>
      <c r="L282" t="s">
        <v>392</v>
      </c>
    </row>
    <row r="283" spans="1:12" x14ac:dyDescent="0.25">
      <c r="A283" t="s">
        <v>291</v>
      </c>
      <c r="K283" s="1" t="str">
        <f t="shared" si="4"/>
        <v>2020-07-01</v>
      </c>
      <c r="L283" t="s">
        <v>578</v>
      </c>
    </row>
    <row r="284" spans="1:12" x14ac:dyDescent="0.25">
      <c r="A284" t="s">
        <v>292</v>
      </c>
      <c r="K284" s="1" t="str">
        <f t="shared" si="4"/>
        <v>2020-07-02</v>
      </c>
      <c r="L284" t="s">
        <v>579</v>
      </c>
    </row>
    <row r="285" spans="1:12" x14ac:dyDescent="0.25">
      <c r="A285" t="s">
        <v>293</v>
      </c>
      <c r="K285" s="1" t="str">
        <f t="shared" si="4"/>
        <v>2020-07-05</v>
      </c>
      <c r="L285" t="s">
        <v>580</v>
      </c>
    </row>
    <row r="286" spans="1:12" x14ac:dyDescent="0.25">
      <c r="A286" t="s">
        <v>294</v>
      </c>
      <c r="K286" s="1" t="str">
        <f t="shared" si="4"/>
        <v>2020-07-06</v>
      </c>
      <c r="L286" t="s">
        <v>581</v>
      </c>
    </row>
    <row r="287" spans="1:12" x14ac:dyDescent="0.25">
      <c r="A287" t="s">
        <v>295</v>
      </c>
      <c r="K287" s="1" t="str">
        <f t="shared" si="4"/>
        <v>2020-07-07</v>
      </c>
      <c r="L287" t="s">
        <v>426</v>
      </c>
    </row>
    <row r="288" spans="1:12" x14ac:dyDescent="0.25">
      <c r="A288" t="s">
        <v>296</v>
      </c>
      <c r="K288" s="1" t="str">
        <f t="shared" si="4"/>
        <v>2020-07-08</v>
      </c>
      <c r="L288" t="s">
        <v>582</v>
      </c>
    </row>
    <row r="289" spans="1:12" x14ac:dyDescent="0.25">
      <c r="A289" t="s">
        <v>297</v>
      </c>
      <c r="K289" s="1" t="str">
        <f t="shared" si="4"/>
        <v>2020-07-09</v>
      </c>
      <c r="L289" t="s">
        <v>583</v>
      </c>
    </row>
    <row r="290" spans="1:12" x14ac:dyDescent="0.25">
      <c r="A290" t="s">
        <v>298</v>
      </c>
      <c r="K290" s="1" t="str">
        <f t="shared" si="4"/>
        <v>2020-07-10</v>
      </c>
      <c r="L290" t="s">
        <v>584</v>
      </c>
    </row>
    <row r="291" spans="1:12" x14ac:dyDescent="0.25">
      <c r="A291" t="s">
        <v>299</v>
      </c>
      <c r="K291" s="1" t="str">
        <f t="shared" si="4"/>
        <v>2020-07-12</v>
      </c>
      <c r="L291" t="s">
        <v>585</v>
      </c>
    </row>
    <row r="292" spans="1:12" x14ac:dyDescent="0.25">
      <c r="A292" t="s">
        <v>300</v>
      </c>
      <c r="K292" s="1" t="str">
        <f t="shared" si="4"/>
        <v>2020-07-13</v>
      </c>
      <c r="L292" t="s">
        <v>586</v>
      </c>
    </row>
    <row r="293" spans="1:12" x14ac:dyDescent="0.25">
      <c r="A293" t="s">
        <v>301</v>
      </c>
      <c r="K293" s="1" t="str">
        <f t="shared" si="4"/>
        <v>2020-07-14</v>
      </c>
      <c r="L293" t="s">
        <v>564</v>
      </c>
    </row>
    <row r="294" spans="1:12" x14ac:dyDescent="0.25">
      <c r="A294" t="s">
        <v>302</v>
      </c>
      <c r="K294" s="1" t="str">
        <f t="shared" si="4"/>
        <v>2020-07-15</v>
      </c>
      <c r="L294" t="s">
        <v>587</v>
      </c>
    </row>
    <row r="295" spans="1:12" x14ac:dyDescent="0.25">
      <c r="A295" t="s">
        <v>303</v>
      </c>
      <c r="K295" s="1" t="str">
        <f t="shared" si="4"/>
        <v>2020-07-16</v>
      </c>
      <c r="L295" t="s">
        <v>588</v>
      </c>
    </row>
    <row r="296" spans="1:12" x14ac:dyDescent="0.25">
      <c r="A296" t="s">
        <v>304</v>
      </c>
      <c r="K296" s="1" t="str">
        <f t="shared" si="4"/>
        <v>2020-07-17</v>
      </c>
      <c r="L296" t="s">
        <v>589</v>
      </c>
    </row>
    <row r="297" spans="1:12" x14ac:dyDescent="0.25">
      <c r="A297" t="s">
        <v>305</v>
      </c>
      <c r="K297" s="1" t="str">
        <f t="shared" si="4"/>
        <v>2020-07-19</v>
      </c>
      <c r="L297" t="s">
        <v>590</v>
      </c>
    </row>
    <row r="298" spans="1:12" x14ac:dyDescent="0.25">
      <c r="A298" t="s">
        <v>306</v>
      </c>
      <c r="K298" s="1" t="str">
        <f t="shared" si="4"/>
        <v>2020-07-20</v>
      </c>
      <c r="L298" t="s">
        <v>591</v>
      </c>
    </row>
    <row r="299" spans="1:12" x14ac:dyDescent="0.25">
      <c r="A299" t="s">
        <v>307</v>
      </c>
      <c r="K299" s="1" t="str">
        <f t="shared" si="4"/>
        <v>2020-07-21</v>
      </c>
      <c r="L299" t="s">
        <v>592</v>
      </c>
    </row>
    <row r="300" spans="1:12" x14ac:dyDescent="0.25">
      <c r="A300" t="s">
        <v>308</v>
      </c>
      <c r="K300" s="1" t="str">
        <f t="shared" si="4"/>
        <v>2020-07-22</v>
      </c>
      <c r="L300" t="s">
        <v>447</v>
      </c>
    </row>
    <row r="301" spans="1:12" x14ac:dyDescent="0.25">
      <c r="A301" t="s">
        <v>309</v>
      </c>
      <c r="K301" s="1" t="str">
        <f t="shared" si="4"/>
        <v>2020-07-23</v>
      </c>
      <c r="L301" t="s">
        <v>593</v>
      </c>
    </row>
    <row r="302" spans="1:12" x14ac:dyDescent="0.25">
      <c r="A302" t="s">
        <v>310</v>
      </c>
      <c r="K302" s="1" t="str">
        <f t="shared" si="4"/>
        <v>2020-07-24</v>
      </c>
      <c r="L302" t="s">
        <v>594</v>
      </c>
    </row>
    <row r="303" spans="1:12" x14ac:dyDescent="0.25">
      <c r="A303" t="s">
        <v>311</v>
      </c>
      <c r="K303" s="1" t="str">
        <f t="shared" si="4"/>
        <v>2020-07-26</v>
      </c>
      <c r="L303" t="s">
        <v>595</v>
      </c>
    </row>
    <row r="304" spans="1:12" x14ac:dyDescent="0.25">
      <c r="A304" t="s">
        <v>312</v>
      </c>
      <c r="K304" s="1" t="str">
        <f t="shared" si="4"/>
        <v>2020-07-27</v>
      </c>
      <c r="L304" t="s">
        <v>596</v>
      </c>
    </row>
    <row r="305" spans="1:12" x14ac:dyDescent="0.25">
      <c r="A305" t="s">
        <v>313</v>
      </c>
      <c r="K305" s="1" t="str">
        <f t="shared" si="4"/>
        <v>2020-07-28</v>
      </c>
      <c r="L305" t="s">
        <v>597</v>
      </c>
    </row>
    <row r="306" spans="1:12" x14ac:dyDescent="0.25">
      <c r="A306" t="s">
        <v>314</v>
      </c>
      <c r="K306" s="1" t="str">
        <f t="shared" si="4"/>
        <v>2020-07-29</v>
      </c>
      <c r="L306" t="s">
        <v>598</v>
      </c>
    </row>
    <row r="307" spans="1:12" x14ac:dyDescent="0.25">
      <c r="A307" t="s">
        <v>315</v>
      </c>
      <c r="K307" s="1" t="str">
        <f t="shared" si="4"/>
        <v>2020-07-30</v>
      </c>
      <c r="L307" t="s">
        <v>599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EEA-68B6-49DB-BF14-437B348AE665}">
  <sheetPr codeName="Sheet5"/>
  <dimension ref="A1:P50"/>
  <sheetViews>
    <sheetView workbookViewId="0">
      <selection activeCell="E3" sqref="E3"/>
    </sheetView>
  </sheetViews>
  <sheetFormatPr defaultRowHeight="15" x14ac:dyDescent="0.25"/>
  <cols>
    <col min="1" max="1" width="10.7109375" bestFit="1" customWidth="1"/>
    <col min="2" max="2" width="6.85546875" bestFit="1" customWidth="1"/>
    <col min="3" max="3" width="17.42578125" bestFit="1" customWidth="1"/>
    <col min="4" max="4" width="6.7109375" bestFit="1" customWidth="1"/>
    <col min="5" max="5" width="12" bestFit="1" customWidth="1"/>
    <col min="6" max="6" width="14.42578125" bestFit="1" customWidth="1"/>
    <col min="14" max="14" width="23.5703125" bestFit="1" customWidth="1"/>
    <col min="16" max="16" width="19.140625" bestFit="1" customWidth="1"/>
  </cols>
  <sheetData>
    <row r="1" spans="2:16" x14ac:dyDescent="0.25">
      <c r="H1" s="2">
        <v>0.03</v>
      </c>
    </row>
    <row r="2" spans="2:16" x14ac:dyDescent="0.25">
      <c r="B2" t="s">
        <v>6</v>
      </c>
      <c r="C2" t="s">
        <v>7</v>
      </c>
      <c r="D2" t="s">
        <v>1105</v>
      </c>
      <c r="E2" t="s">
        <v>1103</v>
      </c>
      <c r="F2" t="s">
        <v>1104</v>
      </c>
    </row>
    <row r="3" spans="2:16" x14ac:dyDescent="0.25">
      <c r="B3">
        <v>1</v>
      </c>
      <c r="C3" t="s">
        <v>8</v>
      </c>
      <c r="D3">
        <v>10000</v>
      </c>
      <c r="E3">
        <f>$H$1*D3</f>
        <v>300</v>
      </c>
      <c r="F3">
        <f>SUM(C3:E3)</f>
        <v>10300</v>
      </c>
      <c r="N3" t="s">
        <v>1108</v>
      </c>
    </row>
    <row r="4" spans="2:16" x14ac:dyDescent="0.25">
      <c r="B4">
        <v>2</v>
      </c>
      <c r="C4">
        <f>F3</f>
        <v>10300</v>
      </c>
      <c r="D4">
        <v>10000</v>
      </c>
      <c r="E4">
        <f>$H$1*SUM(C4:D4)</f>
        <v>609</v>
      </c>
      <c r="F4">
        <f>SUM(C4:E4)</f>
        <v>20909</v>
      </c>
      <c r="N4" t="s">
        <v>1109</v>
      </c>
      <c r="P4" s="1">
        <v>44197</v>
      </c>
    </row>
    <row r="5" spans="2:16" x14ac:dyDescent="0.25">
      <c r="B5">
        <v>3</v>
      </c>
      <c r="C5">
        <f t="shared" ref="C5:C27" si="0">F4</f>
        <v>20909</v>
      </c>
      <c r="D5">
        <v>10000</v>
      </c>
      <c r="E5">
        <f t="shared" ref="E5:E26" si="1">$H$1*SUM(C5:D5)</f>
        <v>927.27</v>
      </c>
      <c r="F5">
        <f t="shared" ref="F5:F27" si="2">SUM(C5:E5)</f>
        <v>31836.27</v>
      </c>
      <c r="N5" t="s">
        <v>1110</v>
      </c>
      <c r="P5" t="s">
        <v>1111</v>
      </c>
    </row>
    <row r="6" spans="2:16" x14ac:dyDescent="0.25">
      <c r="B6">
        <v>4</v>
      </c>
      <c r="C6">
        <f t="shared" si="0"/>
        <v>31836.27</v>
      </c>
      <c r="D6">
        <v>10000</v>
      </c>
      <c r="E6">
        <f t="shared" si="1"/>
        <v>1255.0881000000002</v>
      </c>
      <c r="F6">
        <f t="shared" si="2"/>
        <v>43091.358100000005</v>
      </c>
      <c r="N6" t="s">
        <v>1103</v>
      </c>
      <c r="P6" t="s">
        <v>1112</v>
      </c>
    </row>
    <row r="7" spans="2:16" x14ac:dyDescent="0.25">
      <c r="B7">
        <v>5</v>
      </c>
      <c r="C7">
        <f t="shared" si="0"/>
        <v>43091.358100000005</v>
      </c>
      <c r="D7">
        <v>10000</v>
      </c>
      <c r="E7">
        <f t="shared" si="1"/>
        <v>1592.7407430000001</v>
      </c>
      <c r="F7">
        <f t="shared" si="2"/>
        <v>54684.098843000007</v>
      </c>
      <c r="N7" t="s">
        <v>1113</v>
      </c>
      <c r="P7" t="s">
        <v>1114</v>
      </c>
    </row>
    <row r="8" spans="2:16" x14ac:dyDescent="0.25">
      <c r="B8">
        <v>6</v>
      </c>
      <c r="C8">
        <f t="shared" si="0"/>
        <v>54684.098843000007</v>
      </c>
      <c r="D8">
        <v>10000</v>
      </c>
      <c r="E8">
        <f t="shared" si="1"/>
        <v>1940.5229652900002</v>
      </c>
      <c r="F8">
        <f t="shared" si="2"/>
        <v>66624.621808290001</v>
      </c>
    </row>
    <row r="9" spans="2:16" x14ac:dyDescent="0.25">
      <c r="B9">
        <v>7</v>
      </c>
      <c r="C9">
        <f t="shared" si="0"/>
        <v>66624.621808290001</v>
      </c>
      <c r="D9">
        <v>10000</v>
      </c>
      <c r="E9">
        <f t="shared" si="1"/>
        <v>2298.7386542486997</v>
      </c>
      <c r="F9">
        <f t="shared" si="2"/>
        <v>78923.360462538694</v>
      </c>
    </row>
    <row r="10" spans="2:16" x14ac:dyDescent="0.25">
      <c r="B10">
        <v>8</v>
      </c>
      <c r="C10">
        <f t="shared" si="0"/>
        <v>78923.360462538694</v>
      </c>
      <c r="D10">
        <v>10000</v>
      </c>
      <c r="E10">
        <f t="shared" si="1"/>
        <v>2667.7008138761607</v>
      </c>
      <c r="F10">
        <f t="shared" si="2"/>
        <v>91591.061276414854</v>
      </c>
    </row>
    <row r="11" spans="2:16" x14ac:dyDescent="0.25">
      <c r="B11">
        <v>9</v>
      </c>
      <c r="C11">
        <f t="shared" si="0"/>
        <v>91591.061276414854</v>
      </c>
      <c r="D11">
        <v>10000</v>
      </c>
      <c r="E11">
        <f t="shared" si="1"/>
        <v>3047.7318382924454</v>
      </c>
      <c r="F11">
        <f t="shared" si="2"/>
        <v>104638.7931147073</v>
      </c>
    </row>
    <row r="12" spans="2:16" x14ac:dyDescent="0.25">
      <c r="B12">
        <v>10</v>
      </c>
      <c r="C12">
        <f t="shared" si="0"/>
        <v>104638.7931147073</v>
      </c>
      <c r="D12">
        <v>10000</v>
      </c>
      <c r="E12">
        <f t="shared" si="1"/>
        <v>3439.1637934412188</v>
      </c>
      <c r="F12">
        <f t="shared" si="2"/>
        <v>118077.95690814851</v>
      </c>
    </row>
    <row r="13" spans="2:16" x14ac:dyDescent="0.25">
      <c r="B13">
        <v>11</v>
      </c>
      <c r="C13">
        <f t="shared" si="0"/>
        <v>118077.95690814851</v>
      </c>
      <c r="D13">
        <v>10000</v>
      </c>
      <c r="E13">
        <f t="shared" si="1"/>
        <v>3842.3387072444552</v>
      </c>
      <c r="F13">
        <f t="shared" si="2"/>
        <v>131920.29561539297</v>
      </c>
    </row>
    <row r="14" spans="2:16" x14ac:dyDescent="0.25">
      <c r="B14">
        <v>12</v>
      </c>
      <c r="C14">
        <f t="shared" si="0"/>
        <v>131920.29561539297</v>
      </c>
      <c r="D14">
        <v>10000</v>
      </c>
      <c r="E14">
        <f t="shared" si="1"/>
        <v>4257.6088684617889</v>
      </c>
      <c r="F14">
        <f t="shared" si="2"/>
        <v>146177.90448385477</v>
      </c>
    </row>
    <row r="15" spans="2:16" x14ac:dyDescent="0.25">
      <c r="B15">
        <v>13</v>
      </c>
      <c r="C15">
        <f t="shared" si="0"/>
        <v>146177.90448385477</v>
      </c>
      <c r="D15">
        <v>10000</v>
      </c>
      <c r="E15">
        <f t="shared" si="1"/>
        <v>4685.3371345156429</v>
      </c>
      <c r="F15">
        <f t="shared" si="2"/>
        <v>160863.2416183704</v>
      </c>
    </row>
    <row r="16" spans="2:16" x14ac:dyDescent="0.25">
      <c r="B16">
        <v>14</v>
      </c>
      <c r="C16">
        <f t="shared" si="0"/>
        <v>160863.2416183704</v>
      </c>
      <c r="D16">
        <v>10000</v>
      </c>
      <c r="E16">
        <f t="shared" si="1"/>
        <v>5125.8972485511122</v>
      </c>
      <c r="F16">
        <f t="shared" si="2"/>
        <v>175989.13886692151</v>
      </c>
    </row>
    <row r="17" spans="1:6" x14ac:dyDescent="0.25">
      <c r="B17">
        <v>15</v>
      </c>
      <c r="C17">
        <f t="shared" si="0"/>
        <v>175989.13886692151</v>
      </c>
      <c r="D17">
        <v>10000</v>
      </c>
      <c r="E17">
        <f t="shared" si="1"/>
        <v>5579.674166007645</v>
      </c>
      <c r="F17">
        <f t="shared" si="2"/>
        <v>191568.81303292915</v>
      </c>
    </row>
    <row r="18" spans="1:6" x14ac:dyDescent="0.25">
      <c r="B18">
        <v>16</v>
      </c>
      <c r="C18">
        <f t="shared" si="0"/>
        <v>191568.81303292915</v>
      </c>
      <c r="D18">
        <v>10000</v>
      </c>
      <c r="E18">
        <f t="shared" si="1"/>
        <v>6047.0643909878745</v>
      </c>
      <c r="F18">
        <f t="shared" si="2"/>
        <v>207615.87742391703</v>
      </c>
    </row>
    <row r="19" spans="1:6" x14ac:dyDescent="0.25">
      <c r="B19">
        <v>17</v>
      </c>
      <c r="C19">
        <f t="shared" si="0"/>
        <v>207615.87742391703</v>
      </c>
      <c r="D19">
        <v>10000</v>
      </c>
      <c r="E19">
        <f t="shared" si="1"/>
        <v>6528.4763227175108</v>
      </c>
      <c r="F19">
        <f t="shared" si="2"/>
        <v>224144.35374663453</v>
      </c>
    </row>
    <row r="20" spans="1:6" x14ac:dyDescent="0.25">
      <c r="B20">
        <v>18</v>
      </c>
      <c r="C20">
        <f t="shared" si="0"/>
        <v>224144.35374663453</v>
      </c>
      <c r="D20">
        <v>10000</v>
      </c>
      <c r="E20">
        <f t="shared" si="1"/>
        <v>7024.330612399036</v>
      </c>
      <c r="F20">
        <f t="shared" si="2"/>
        <v>241168.68435903356</v>
      </c>
    </row>
    <row r="21" spans="1:6" x14ac:dyDescent="0.25">
      <c r="B21">
        <v>19</v>
      </c>
      <c r="C21">
        <f t="shared" si="0"/>
        <v>241168.68435903356</v>
      </c>
      <c r="D21">
        <v>10000</v>
      </c>
      <c r="E21">
        <f t="shared" si="1"/>
        <v>7535.0605307710066</v>
      </c>
      <c r="F21">
        <f t="shared" si="2"/>
        <v>258703.74488980457</v>
      </c>
    </row>
    <row r="22" spans="1:6" x14ac:dyDescent="0.25">
      <c r="B22">
        <v>20</v>
      </c>
      <c r="C22">
        <f t="shared" si="0"/>
        <v>258703.74488980457</v>
      </c>
      <c r="D22">
        <v>10000</v>
      </c>
      <c r="E22">
        <f t="shared" si="1"/>
        <v>8061.1123466941372</v>
      </c>
      <c r="F22">
        <f t="shared" si="2"/>
        <v>276764.85723649873</v>
      </c>
    </row>
    <row r="23" spans="1:6" x14ac:dyDescent="0.25">
      <c r="B23">
        <v>21</v>
      </c>
      <c r="C23">
        <f t="shared" si="0"/>
        <v>276764.85723649873</v>
      </c>
      <c r="D23">
        <v>10000</v>
      </c>
      <c r="E23">
        <f t="shared" si="1"/>
        <v>8602.9457170949609</v>
      </c>
      <c r="F23">
        <f t="shared" si="2"/>
        <v>295367.80295359367</v>
      </c>
    </row>
    <row r="24" spans="1:6" x14ac:dyDescent="0.25">
      <c r="B24">
        <v>22</v>
      </c>
      <c r="C24">
        <f t="shared" si="0"/>
        <v>295367.80295359367</v>
      </c>
      <c r="D24">
        <v>10000</v>
      </c>
      <c r="E24">
        <f t="shared" si="1"/>
        <v>9161.0340886078102</v>
      </c>
      <c r="F24">
        <f t="shared" si="2"/>
        <v>314528.83704220149</v>
      </c>
    </row>
    <row r="25" spans="1:6" x14ac:dyDescent="0.25">
      <c r="B25">
        <v>23</v>
      </c>
      <c r="C25">
        <f t="shared" si="0"/>
        <v>314528.83704220149</v>
      </c>
      <c r="D25">
        <v>10000</v>
      </c>
      <c r="E25">
        <f t="shared" si="1"/>
        <v>9735.8651112660446</v>
      </c>
      <c r="F25">
        <f t="shared" si="2"/>
        <v>334264.70215346752</v>
      </c>
    </row>
    <row r="26" spans="1:6" x14ac:dyDescent="0.25">
      <c r="A26" t="s">
        <v>1106</v>
      </c>
      <c r="B26">
        <v>24</v>
      </c>
      <c r="C26">
        <f t="shared" si="0"/>
        <v>334264.70215346752</v>
      </c>
      <c r="D26">
        <v>10000</v>
      </c>
      <c r="E26">
        <f t="shared" si="1"/>
        <v>10327.941064604025</v>
      </c>
      <c r="F26">
        <f t="shared" si="2"/>
        <v>354592.64321807155</v>
      </c>
    </row>
    <row r="27" spans="1:6" x14ac:dyDescent="0.25">
      <c r="A27" t="s">
        <v>1107</v>
      </c>
      <c r="B27">
        <v>25</v>
      </c>
      <c r="C27">
        <f t="shared" si="0"/>
        <v>354592.64321807155</v>
      </c>
      <c r="D27">
        <v>-15000</v>
      </c>
      <c r="E27">
        <f>$H$1*SUM(C27:D27)</f>
        <v>10187.779296542147</v>
      </c>
      <c r="F27">
        <f t="shared" si="2"/>
        <v>349780.42251461372</v>
      </c>
    </row>
    <row r="28" spans="1:6" x14ac:dyDescent="0.25">
      <c r="B28">
        <v>26</v>
      </c>
      <c r="C28">
        <f t="shared" ref="C28:C50" si="3">F27</f>
        <v>349780.42251461372</v>
      </c>
      <c r="D28">
        <v>-15000</v>
      </c>
      <c r="E28">
        <f t="shared" ref="E28:E50" si="4">$H$1*SUM(C28:D28)</f>
        <v>10043.412675438411</v>
      </c>
      <c r="F28">
        <f t="shared" ref="F28:F50" si="5">SUM(C28:E28)</f>
        <v>344823.83519005211</v>
      </c>
    </row>
    <row r="29" spans="1:6" x14ac:dyDescent="0.25">
      <c r="B29">
        <v>27</v>
      </c>
      <c r="C29">
        <f t="shared" si="3"/>
        <v>344823.83519005211</v>
      </c>
      <c r="D29">
        <v>-15000</v>
      </c>
      <c r="E29">
        <f t="shared" si="4"/>
        <v>9894.715055701563</v>
      </c>
      <c r="F29">
        <f t="shared" si="5"/>
        <v>339718.55024575366</v>
      </c>
    </row>
    <row r="30" spans="1:6" x14ac:dyDescent="0.25">
      <c r="B30">
        <v>28</v>
      </c>
      <c r="C30">
        <f t="shared" si="3"/>
        <v>339718.55024575366</v>
      </c>
      <c r="D30">
        <v>-15000</v>
      </c>
      <c r="E30">
        <f t="shared" si="4"/>
        <v>9741.5565073726102</v>
      </c>
      <c r="F30">
        <f t="shared" si="5"/>
        <v>334460.10675312625</v>
      </c>
    </row>
    <row r="31" spans="1:6" x14ac:dyDescent="0.25">
      <c r="B31">
        <v>29</v>
      </c>
      <c r="C31">
        <f t="shared" si="3"/>
        <v>334460.10675312625</v>
      </c>
      <c r="D31">
        <v>-15000</v>
      </c>
      <c r="E31">
        <f t="shared" si="4"/>
        <v>9583.8032025937864</v>
      </c>
      <c r="F31">
        <f t="shared" si="5"/>
        <v>329043.90995572007</v>
      </c>
    </row>
    <row r="32" spans="1:6" x14ac:dyDescent="0.25">
      <c r="B32">
        <v>30</v>
      </c>
      <c r="C32">
        <f t="shared" si="3"/>
        <v>329043.90995572007</v>
      </c>
      <c r="D32">
        <v>-15000</v>
      </c>
      <c r="E32">
        <f t="shared" si="4"/>
        <v>9421.3172986716017</v>
      </c>
      <c r="F32">
        <f t="shared" si="5"/>
        <v>323465.22725439165</v>
      </c>
    </row>
    <row r="33" spans="2:6" x14ac:dyDescent="0.25">
      <c r="B33">
        <v>31</v>
      </c>
      <c r="C33">
        <f t="shared" si="3"/>
        <v>323465.22725439165</v>
      </c>
      <c r="D33">
        <v>-15000</v>
      </c>
      <c r="E33">
        <f t="shared" si="4"/>
        <v>9253.9568176317498</v>
      </c>
      <c r="F33">
        <f t="shared" si="5"/>
        <v>317719.18407202337</v>
      </c>
    </row>
    <row r="34" spans="2:6" x14ac:dyDescent="0.25">
      <c r="B34">
        <v>32</v>
      </c>
      <c r="C34">
        <f t="shared" si="3"/>
        <v>317719.18407202337</v>
      </c>
      <c r="D34">
        <v>-15000</v>
      </c>
      <c r="E34">
        <f t="shared" si="4"/>
        <v>9081.5755221607014</v>
      </c>
      <c r="F34">
        <f t="shared" si="5"/>
        <v>311800.75959418406</v>
      </c>
    </row>
    <row r="35" spans="2:6" x14ac:dyDescent="0.25">
      <c r="B35">
        <v>33</v>
      </c>
      <c r="C35">
        <f t="shared" si="3"/>
        <v>311800.75959418406</v>
      </c>
      <c r="D35">
        <v>-15000</v>
      </c>
      <c r="E35">
        <f t="shared" si="4"/>
        <v>8904.0227878255209</v>
      </c>
      <c r="F35">
        <f t="shared" si="5"/>
        <v>305704.78238200955</v>
      </c>
    </row>
    <row r="36" spans="2:6" x14ac:dyDescent="0.25">
      <c r="B36">
        <v>34</v>
      </c>
      <c r="C36">
        <f t="shared" si="3"/>
        <v>305704.78238200955</v>
      </c>
      <c r="D36">
        <v>-15000</v>
      </c>
      <c r="E36">
        <f t="shared" si="4"/>
        <v>8721.1434714602856</v>
      </c>
      <c r="F36">
        <f t="shared" si="5"/>
        <v>299425.92585346982</v>
      </c>
    </row>
    <row r="37" spans="2:6" x14ac:dyDescent="0.25">
      <c r="B37">
        <v>35</v>
      </c>
      <c r="C37">
        <f t="shared" si="3"/>
        <v>299425.92585346982</v>
      </c>
      <c r="D37">
        <v>-15000</v>
      </c>
      <c r="E37">
        <f t="shared" si="4"/>
        <v>8532.7777756040941</v>
      </c>
      <c r="F37">
        <f t="shared" si="5"/>
        <v>292958.70362907392</v>
      </c>
    </row>
    <row r="38" spans="2:6" x14ac:dyDescent="0.25">
      <c r="B38">
        <v>36</v>
      </c>
      <c r="C38">
        <f t="shared" si="3"/>
        <v>292958.70362907392</v>
      </c>
      <c r="D38">
        <v>-15000</v>
      </c>
      <c r="E38">
        <f t="shared" si="4"/>
        <v>8338.7611088722169</v>
      </c>
      <c r="F38">
        <f t="shared" si="5"/>
        <v>286297.46473794611</v>
      </c>
    </row>
    <row r="39" spans="2:6" x14ac:dyDescent="0.25">
      <c r="B39">
        <v>37</v>
      </c>
      <c r="C39">
        <f t="shared" si="3"/>
        <v>286297.46473794611</v>
      </c>
      <c r="D39">
        <v>-15000</v>
      </c>
      <c r="E39">
        <f t="shared" si="4"/>
        <v>8138.9239421383827</v>
      </c>
      <c r="F39">
        <f t="shared" si="5"/>
        <v>279436.38868008449</v>
      </c>
    </row>
    <row r="40" spans="2:6" x14ac:dyDescent="0.25">
      <c r="B40">
        <v>38</v>
      </c>
      <c r="C40">
        <f t="shared" si="3"/>
        <v>279436.38868008449</v>
      </c>
      <c r="D40">
        <v>-15000</v>
      </c>
      <c r="E40">
        <f t="shared" si="4"/>
        <v>7933.0916604025342</v>
      </c>
      <c r="F40">
        <f t="shared" si="5"/>
        <v>272369.48034048703</v>
      </c>
    </row>
    <row r="41" spans="2:6" x14ac:dyDescent="0.25">
      <c r="B41">
        <v>39</v>
      </c>
      <c r="C41">
        <f t="shared" si="3"/>
        <v>272369.48034048703</v>
      </c>
      <c r="D41">
        <v>-15000</v>
      </c>
      <c r="E41">
        <f t="shared" si="4"/>
        <v>7721.0844102146111</v>
      </c>
      <c r="F41">
        <f t="shared" si="5"/>
        <v>265090.56475070165</v>
      </c>
    </row>
    <row r="42" spans="2:6" x14ac:dyDescent="0.25">
      <c r="B42">
        <v>40</v>
      </c>
      <c r="C42">
        <f t="shared" si="3"/>
        <v>265090.56475070165</v>
      </c>
      <c r="D42">
        <v>-15000</v>
      </c>
      <c r="E42">
        <f t="shared" si="4"/>
        <v>7502.7169425210495</v>
      </c>
      <c r="F42">
        <f t="shared" si="5"/>
        <v>257593.2816932227</v>
      </c>
    </row>
    <row r="43" spans="2:6" x14ac:dyDescent="0.25">
      <c r="B43">
        <v>41</v>
      </c>
      <c r="C43">
        <f t="shared" si="3"/>
        <v>257593.2816932227</v>
      </c>
      <c r="D43">
        <v>-15000</v>
      </c>
      <c r="E43">
        <f t="shared" si="4"/>
        <v>7277.7984507966803</v>
      </c>
      <c r="F43">
        <f t="shared" si="5"/>
        <v>249871.08014401939</v>
      </c>
    </row>
    <row r="44" spans="2:6" x14ac:dyDescent="0.25">
      <c r="B44">
        <v>42</v>
      </c>
      <c r="C44">
        <f t="shared" si="3"/>
        <v>249871.08014401939</v>
      </c>
      <c r="D44">
        <v>-15000</v>
      </c>
      <c r="E44">
        <f t="shared" si="4"/>
        <v>7046.1324043205814</v>
      </c>
      <c r="F44">
        <f t="shared" si="5"/>
        <v>241917.21254833997</v>
      </c>
    </row>
    <row r="45" spans="2:6" x14ac:dyDescent="0.25">
      <c r="B45">
        <v>43</v>
      </c>
      <c r="C45">
        <f t="shared" si="3"/>
        <v>241917.21254833997</v>
      </c>
      <c r="D45">
        <v>-15000</v>
      </c>
      <c r="E45">
        <f t="shared" si="4"/>
        <v>6807.5163764501985</v>
      </c>
      <c r="F45">
        <f t="shared" si="5"/>
        <v>233724.72892479016</v>
      </c>
    </row>
    <row r="46" spans="2:6" x14ac:dyDescent="0.25">
      <c r="B46">
        <v>44</v>
      </c>
      <c r="C46">
        <f t="shared" si="3"/>
        <v>233724.72892479016</v>
      </c>
      <c r="D46">
        <v>-15000</v>
      </c>
      <c r="E46">
        <f t="shared" si="4"/>
        <v>6561.7418677437045</v>
      </c>
      <c r="F46">
        <f t="shared" si="5"/>
        <v>225286.47079253386</v>
      </c>
    </row>
    <row r="47" spans="2:6" x14ac:dyDescent="0.25">
      <c r="B47">
        <v>45</v>
      </c>
      <c r="C47">
        <f t="shared" si="3"/>
        <v>225286.47079253386</v>
      </c>
      <c r="D47">
        <v>-15000</v>
      </c>
      <c r="E47">
        <f t="shared" si="4"/>
        <v>6308.5941237760153</v>
      </c>
      <c r="F47">
        <f t="shared" si="5"/>
        <v>216595.06491630987</v>
      </c>
    </row>
    <row r="48" spans="2:6" x14ac:dyDescent="0.25">
      <c r="B48">
        <v>46</v>
      </c>
      <c r="C48">
        <f t="shared" si="3"/>
        <v>216595.06491630987</v>
      </c>
      <c r="D48">
        <v>-15000</v>
      </c>
      <c r="E48">
        <f t="shared" si="4"/>
        <v>6047.8519474892955</v>
      </c>
      <c r="F48">
        <f t="shared" si="5"/>
        <v>207642.91686379915</v>
      </c>
    </row>
    <row r="49" spans="2:6" x14ac:dyDescent="0.25">
      <c r="B49">
        <v>47</v>
      </c>
      <c r="C49">
        <f t="shared" si="3"/>
        <v>207642.91686379915</v>
      </c>
      <c r="D49">
        <v>-15000</v>
      </c>
      <c r="E49">
        <f t="shared" si="4"/>
        <v>5779.2875059139742</v>
      </c>
      <c r="F49">
        <f t="shared" si="5"/>
        <v>198422.20436971312</v>
      </c>
    </row>
    <row r="50" spans="2:6" x14ac:dyDescent="0.25">
      <c r="B50">
        <v>48</v>
      </c>
      <c r="C50">
        <f t="shared" si="3"/>
        <v>198422.20436971312</v>
      </c>
      <c r="D50">
        <v>-15000</v>
      </c>
      <c r="E50">
        <f t="shared" si="4"/>
        <v>5502.6661310913933</v>
      </c>
      <c r="F50">
        <f t="shared" si="5"/>
        <v>188924.87050080451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Cover Sheet</vt:lpstr>
      <vt:lpstr>Documentaion</vt:lpstr>
      <vt:lpstr>Retirement Income Calculator</vt:lpstr>
      <vt:lpstr>Stock Prices Links</vt:lpstr>
      <vt:lpstr>Mini_Dow_Jones</vt:lpstr>
      <vt:lpstr>E_Mini_S&amp;P_500</vt:lpstr>
      <vt:lpstr>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Černý</dc:creator>
  <cp:lastModifiedBy>Tiep Luu Danh</cp:lastModifiedBy>
  <dcterms:created xsi:type="dcterms:W3CDTF">2020-07-28T08:14:30Z</dcterms:created>
  <dcterms:modified xsi:type="dcterms:W3CDTF">2020-07-31T17:13:55Z</dcterms:modified>
</cp:coreProperties>
</file>