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anek\Documents\GitHub\financial-modelling-with-VBA\"/>
    </mc:Choice>
  </mc:AlternateContent>
  <xr:revisionPtr revIDLastSave="0" documentId="13_ncr:1_{299B0702-DF57-45E7-AFCE-870AB2FED349}" xr6:coauthVersionLast="45" xr6:coauthVersionMax="45" xr10:uidLastSave="{00000000-0000-0000-0000-000000000000}"/>
  <bookViews>
    <workbookView xWindow="-108" yWindow="-108" windowWidth="23256" windowHeight="12720" firstSheet="2" activeTab="4" xr2:uid="{010FAFBA-36AA-4242-AAF6-B8A6A840039F}"/>
  </bookViews>
  <sheets>
    <sheet name="Cover Sheet" sheetId="1" r:id="rId1"/>
    <sheet name="Documentaion" sheetId="4" r:id="rId2"/>
    <sheet name="Retirement Income Calculator" sheetId="2" r:id="rId3"/>
    <sheet name="Stock Prices Links" sheetId="3" r:id="rId4"/>
    <sheet name="DJI" sheetId="53" r:id="rId5"/>
    <sheet name="S&amp;P_500" sheetId="52" r:id="rId6"/>
    <sheet name="Calculation" sheetId="5" r:id="rId7"/>
    <sheet name="Goal Seek" sheetId="5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0" i="54" l="1"/>
  <c r="D23" i="54" s="1"/>
  <c r="P6" i="54"/>
  <c r="P9" i="54" s="1"/>
  <c r="K6" i="54"/>
  <c r="K9" i="54" s="1"/>
  <c r="D6" i="54"/>
  <c r="D9" i="54" s="1"/>
  <c r="M4" i="53" l="1"/>
  <c r="M5" i="53"/>
  <c r="M6" i="53"/>
  <c r="M7" i="53"/>
  <c r="M8" i="53"/>
  <c r="M9" i="53"/>
  <c r="M10" i="53"/>
  <c r="M11" i="53"/>
  <c r="M12" i="53"/>
  <c r="M13" i="53"/>
  <c r="M14" i="53"/>
  <c r="M15" i="53"/>
  <c r="M16" i="53"/>
  <c r="M17" i="53"/>
  <c r="M18" i="53"/>
  <c r="M19" i="53"/>
  <c r="M20" i="53"/>
  <c r="M21" i="53"/>
  <c r="M22" i="53"/>
  <c r="M23" i="53"/>
  <c r="M24" i="53"/>
  <c r="M25" i="53"/>
  <c r="M26" i="53"/>
  <c r="M27" i="53"/>
  <c r="M28" i="53"/>
  <c r="M29" i="53"/>
  <c r="M30" i="53"/>
  <c r="M31" i="53"/>
  <c r="M32" i="53"/>
  <c r="M33" i="53"/>
  <c r="M34" i="53"/>
  <c r="M35" i="53"/>
  <c r="M36" i="53"/>
  <c r="M37" i="53"/>
  <c r="M38" i="53"/>
  <c r="M39" i="53"/>
  <c r="M40" i="53"/>
  <c r="M41" i="53"/>
  <c r="M42" i="53"/>
  <c r="M43" i="53"/>
  <c r="M44" i="53"/>
  <c r="M45" i="53"/>
  <c r="M46" i="53"/>
  <c r="M47" i="53"/>
  <c r="M48" i="53"/>
  <c r="M49" i="53"/>
  <c r="M50" i="53"/>
  <c r="M51" i="53"/>
  <c r="M52" i="53"/>
  <c r="M53" i="53"/>
  <c r="M54" i="53"/>
  <c r="M55" i="53"/>
  <c r="M56" i="53"/>
  <c r="M57" i="53"/>
  <c r="M58" i="53"/>
  <c r="M59" i="53"/>
  <c r="M60" i="53"/>
  <c r="M61" i="53"/>
  <c r="M62" i="53"/>
  <c r="M63" i="53"/>
  <c r="M64" i="53"/>
  <c r="M65" i="53"/>
  <c r="M66" i="53"/>
  <c r="M67" i="53"/>
  <c r="M68" i="53"/>
  <c r="M69" i="53"/>
  <c r="M70" i="53"/>
  <c r="M71" i="53"/>
  <c r="M72" i="53"/>
  <c r="M73" i="53"/>
  <c r="M74" i="53"/>
  <c r="M75" i="53"/>
  <c r="M76" i="53"/>
  <c r="M77" i="53"/>
  <c r="M78" i="53"/>
  <c r="M79" i="53"/>
  <c r="M80" i="53"/>
  <c r="M81" i="53"/>
  <c r="M82" i="53"/>
  <c r="M83" i="53"/>
  <c r="M84" i="53"/>
  <c r="M85" i="53"/>
  <c r="M86" i="53"/>
  <c r="M87" i="53"/>
  <c r="M88" i="53"/>
  <c r="M89" i="53"/>
  <c r="M90" i="53"/>
  <c r="M91" i="53"/>
  <c r="M92" i="53"/>
  <c r="M93" i="53"/>
  <c r="M94" i="53"/>
  <c r="M95" i="53"/>
  <c r="M96" i="53"/>
  <c r="M97" i="53"/>
  <c r="M98" i="53"/>
  <c r="M99" i="53"/>
  <c r="M100" i="53"/>
  <c r="M101" i="53"/>
  <c r="M102" i="53"/>
  <c r="M103" i="53"/>
  <c r="M104" i="53"/>
  <c r="M105" i="53"/>
  <c r="M106" i="53"/>
  <c r="M107" i="53"/>
  <c r="M108" i="53"/>
  <c r="M109" i="53"/>
  <c r="M110" i="53"/>
  <c r="M111" i="53"/>
  <c r="M112" i="53"/>
  <c r="M113" i="53"/>
  <c r="M114" i="53"/>
  <c r="M115" i="53"/>
  <c r="M116" i="53"/>
  <c r="M117" i="53"/>
  <c r="M118" i="53"/>
  <c r="M119" i="53"/>
  <c r="M120" i="53"/>
  <c r="M121" i="53"/>
  <c r="M122" i="53"/>
  <c r="M123" i="53"/>
  <c r="M124" i="53"/>
  <c r="M125" i="53"/>
  <c r="M126" i="53"/>
  <c r="M127" i="53"/>
  <c r="M128" i="53"/>
  <c r="M129" i="53"/>
  <c r="M130" i="53"/>
  <c r="M131" i="53"/>
  <c r="M132" i="53"/>
  <c r="M133" i="53"/>
  <c r="M134" i="53"/>
  <c r="M135" i="53"/>
  <c r="M136" i="53"/>
  <c r="M137" i="53"/>
  <c r="M138" i="53"/>
  <c r="M139" i="53"/>
  <c r="M140" i="53"/>
  <c r="M141" i="53"/>
  <c r="M142" i="53"/>
  <c r="M143" i="53"/>
  <c r="M144" i="53"/>
  <c r="M145" i="53"/>
  <c r="M146" i="53"/>
  <c r="M147" i="53"/>
  <c r="M148" i="53"/>
  <c r="M149" i="53"/>
  <c r="M150" i="53"/>
  <c r="M151" i="53"/>
  <c r="M152" i="53"/>
  <c r="M153" i="53"/>
  <c r="M154" i="53"/>
  <c r="M155" i="53"/>
  <c r="M156" i="53"/>
  <c r="M157" i="53"/>
  <c r="M158" i="53"/>
  <c r="M159" i="53"/>
  <c r="M160" i="53"/>
  <c r="M161" i="53"/>
  <c r="M162" i="53"/>
  <c r="M163" i="53"/>
  <c r="M164" i="53"/>
  <c r="M165" i="53"/>
  <c r="M166" i="53"/>
  <c r="M167" i="53"/>
  <c r="M168" i="53"/>
  <c r="M169" i="53"/>
  <c r="M170" i="53"/>
  <c r="M171" i="53"/>
  <c r="M172" i="53"/>
  <c r="M173" i="53"/>
  <c r="M174" i="53"/>
  <c r="M175" i="53"/>
  <c r="M176" i="53"/>
  <c r="M177" i="53"/>
  <c r="M178" i="53"/>
  <c r="M179" i="53"/>
  <c r="M180" i="53"/>
  <c r="M181" i="53"/>
  <c r="M182" i="53"/>
  <c r="M183" i="53"/>
  <c r="M184" i="53"/>
  <c r="M185" i="53"/>
  <c r="M186" i="53"/>
  <c r="M187" i="53"/>
  <c r="M188" i="53"/>
  <c r="M189" i="53"/>
  <c r="M190" i="53"/>
  <c r="M191" i="53"/>
  <c r="M192" i="53"/>
  <c r="M193" i="53"/>
  <c r="M194" i="53"/>
  <c r="M195" i="53"/>
  <c r="M196" i="53"/>
  <c r="M197" i="53"/>
  <c r="M198" i="53"/>
  <c r="M199" i="53"/>
  <c r="M200" i="53"/>
  <c r="M201" i="53"/>
  <c r="M202" i="53"/>
  <c r="M203" i="53"/>
  <c r="M204" i="53"/>
  <c r="M205" i="53"/>
  <c r="M206" i="53"/>
  <c r="M207" i="53"/>
  <c r="M208" i="53"/>
  <c r="M209" i="53"/>
  <c r="M210" i="53"/>
  <c r="M211" i="53"/>
  <c r="M212" i="53"/>
  <c r="M213" i="53"/>
  <c r="M214" i="53"/>
  <c r="M215" i="53"/>
  <c r="M216" i="53"/>
  <c r="M217" i="53"/>
  <c r="M218" i="53"/>
  <c r="M219" i="53"/>
  <c r="M220" i="53"/>
  <c r="M221" i="53"/>
  <c r="M222" i="53"/>
  <c r="M223" i="53"/>
  <c r="M224" i="53"/>
  <c r="M225" i="53"/>
  <c r="M226" i="53"/>
  <c r="M227" i="53"/>
  <c r="M228" i="53"/>
  <c r="M229" i="53"/>
  <c r="M230" i="53"/>
  <c r="M231" i="53"/>
  <c r="M232" i="53"/>
  <c r="M233" i="53"/>
  <c r="M234" i="53"/>
  <c r="M235" i="53"/>
  <c r="M236" i="53"/>
  <c r="M237" i="53"/>
  <c r="M238" i="53"/>
  <c r="M239" i="53"/>
  <c r="M240" i="53"/>
  <c r="M241" i="53"/>
  <c r="M242" i="53"/>
  <c r="M243" i="53"/>
  <c r="M244" i="53"/>
  <c r="M245" i="53"/>
  <c r="M246" i="53"/>
  <c r="M247" i="53"/>
  <c r="M248" i="53"/>
  <c r="M249" i="53"/>
  <c r="M250" i="53"/>
  <c r="M251" i="53"/>
  <c r="M252" i="53"/>
  <c r="M253" i="53"/>
  <c r="M254" i="53"/>
  <c r="M255" i="53"/>
  <c r="M256" i="53"/>
  <c r="M257" i="53"/>
  <c r="M258" i="53"/>
  <c r="M259" i="53"/>
  <c r="M260" i="53"/>
  <c r="M261" i="53"/>
  <c r="M262" i="53"/>
  <c r="M263" i="53"/>
  <c r="M264" i="53"/>
  <c r="M265" i="53"/>
  <c r="M266" i="53"/>
  <c r="M267" i="53"/>
  <c r="M268" i="53"/>
  <c r="M269" i="53"/>
  <c r="M270" i="53"/>
  <c r="M271" i="53"/>
  <c r="M272" i="53"/>
  <c r="M273" i="53"/>
  <c r="M274" i="53"/>
  <c r="M275" i="53"/>
  <c r="M276" i="53"/>
  <c r="M277" i="53"/>
  <c r="M278" i="53"/>
  <c r="M279" i="53"/>
  <c r="M280" i="53"/>
  <c r="M281" i="53"/>
  <c r="M282" i="53"/>
  <c r="M283" i="53"/>
  <c r="M284" i="53"/>
  <c r="M285" i="53"/>
  <c r="M286" i="53"/>
  <c r="M287" i="53"/>
  <c r="M288" i="53"/>
  <c r="M289" i="53"/>
  <c r="M290" i="53"/>
  <c r="M291" i="53"/>
  <c r="M292" i="53"/>
  <c r="M293" i="53"/>
  <c r="M294" i="53"/>
  <c r="M295" i="53"/>
  <c r="M296" i="53"/>
  <c r="M297" i="53"/>
  <c r="M298" i="53"/>
  <c r="M299" i="53"/>
  <c r="M300" i="53"/>
  <c r="M301" i="53"/>
  <c r="M302" i="53"/>
  <c r="M303" i="53"/>
  <c r="M304" i="53"/>
  <c r="M305" i="53"/>
  <c r="M306" i="53"/>
  <c r="M307" i="53"/>
  <c r="M308" i="53"/>
  <c r="M309" i="53"/>
  <c r="M310" i="53"/>
  <c r="M311" i="53"/>
  <c r="M312" i="53"/>
  <c r="M313" i="53"/>
  <c r="M314" i="53"/>
  <c r="M315" i="53"/>
  <c r="M316" i="53"/>
  <c r="M317" i="53"/>
  <c r="M318" i="53"/>
  <c r="M319" i="53"/>
  <c r="M320" i="53"/>
  <c r="M321" i="53"/>
  <c r="M322" i="53"/>
  <c r="M323" i="53"/>
  <c r="M324" i="53"/>
  <c r="M325" i="53"/>
  <c r="M326" i="53"/>
  <c r="M327" i="53"/>
  <c r="M328" i="53"/>
  <c r="M329" i="53"/>
  <c r="M330" i="53"/>
  <c r="M331" i="53"/>
  <c r="M332" i="53"/>
  <c r="M333" i="53"/>
  <c r="M334" i="53"/>
  <c r="M335" i="53"/>
  <c r="M336" i="53"/>
  <c r="M337" i="53"/>
  <c r="M338" i="53"/>
  <c r="M339" i="53"/>
  <c r="M340" i="53"/>
  <c r="M341" i="53"/>
  <c r="M342" i="53"/>
  <c r="M343" i="53"/>
  <c r="M344" i="53"/>
  <c r="M345" i="53"/>
  <c r="M346" i="53"/>
  <c r="M347" i="53"/>
  <c r="M348" i="53"/>
  <c r="M349" i="53"/>
  <c r="M350" i="53"/>
  <c r="M351" i="53"/>
  <c r="M352" i="53"/>
  <c r="M353" i="53"/>
  <c r="M354" i="53"/>
  <c r="M355" i="53"/>
  <c r="M356" i="53"/>
  <c r="M357" i="53"/>
  <c r="M358" i="53"/>
  <c r="M359" i="53"/>
  <c r="M360" i="53"/>
  <c r="M361" i="53"/>
  <c r="M362" i="53"/>
  <c r="M363" i="53"/>
  <c r="M364" i="53"/>
  <c r="M365" i="53"/>
  <c r="M366" i="53"/>
  <c r="M367" i="53"/>
  <c r="M368" i="53"/>
  <c r="M369" i="53"/>
  <c r="M370" i="53"/>
  <c r="M371" i="53"/>
  <c r="M372" i="53"/>
  <c r="M373" i="53"/>
  <c r="M374" i="53"/>
  <c r="M375" i="53"/>
  <c r="M376" i="53"/>
  <c r="M377" i="53"/>
  <c r="M378" i="53"/>
  <c r="M379" i="53"/>
  <c r="M380" i="53"/>
  <c r="M381" i="53"/>
  <c r="M382" i="53"/>
  <c r="M383" i="53"/>
  <c r="M384" i="53"/>
  <c r="M385" i="53"/>
  <c r="M386" i="53"/>
  <c r="M387" i="53"/>
  <c r="M388" i="53"/>
  <c r="M389" i="53"/>
  <c r="M390" i="53"/>
  <c r="M391" i="53"/>
  <c r="M392" i="53"/>
  <c r="M393" i="53"/>
  <c r="M394" i="53"/>
  <c r="M395" i="53"/>
  <c r="M396" i="53"/>
  <c r="M397" i="53"/>
  <c r="M398" i="53"/>
  <c r="M399" i="53"/>
  <c r="M400" i="53"/>
  <c r="M401" i="53"/>
  <c r="M402" i="53"/>
  <c r="M403" i="53"/>
  <c r="M404" i="53"/>
  <c r="M405" i="53"/>
  <c r="M406" i="53"/>
  <c r="M407" i="53"/>
  <c r="M408" i="53"/>
  <c r="M409" i="53"/>
  <c r="M410" i="53"/>
  <c r="M411" i="53"/>
  <c r="M412" i="53"/>
  <c r="M413" i="53"/>
  <c r="M414" i="53"/>
  <c r="M415" i="53"/>
  <c r="M416" i="53"/>
  <c r="M417" i="53"/>
  <c r="M418" i="53"/>
  <c r="M419" i="53"/>
  <c r="M420" i="53"/>
  <c r="M421" i="53"/>
  <c r="M422" i="53"/>
  <c r="M3" i="53"/>
  <c r="J3" i="53"/>
  <c r="J4" i="53"/>
  <c r="J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36" i="53"/>
  <c r="J37" i="53"/>
  <c r="J38" i="53"/>
  <c r="J39" i="53"/>
  <c r="J40" i="53"/>
  <c r="J41" i="53"/>
  <c r="J42" i="53"/>
  <c r="J43" i="53"/>
  <c r="J44" i="53"/>
  <c r="J45" i="53"/>
  <c r="J46" i="53"/>
  <c r="J47" i="53"/>
  <c r="J48" i="53"/>
  <c r="J49" i="53"/>
  <c r="J50" i="53"/>
  <c r="J51" i="53"/>
  <c r="J52" i="53"/>
  <c r="J53" i="53"/>
  <c r="J54" i="53"/>
  <c r="J55" i="53"/>
  <c r="J56" i="53"/>
  <c r="J57" i="53"/>
  <c r="J58" i="53"/>
  <c r="J59" i="53"/>
  <c r="J60" i="53"/>
  <c r="J61" i="53"/>
  <c r="J62" i="53"/>
  <c r="J63" i="53"/>
  <c r="J64" i="53"/>
  <c r="J65" i="53"/>
  <c r="J66" i="53"/>
  <c r="J67" i="53"/>
  <c r="J68" i="53"/>
  <c r="J69" i="53"/>
  <c r="J70" i="53"/>
  <c r="J71" i="53"/>
  <c r="J72" i="53"/>
  <c r="J73" i="53"/>
  <c r="J74" i="53"/>
  <c r="J75" i="53"/>
  <c r="J76" i="53"/>
  <c r="J77" i="53"/>
  <c r="J78" i="53"/>
  <c r="J79" i="53"/>
  <c r="J80" i="53"/>
  <c r="J81" i="53"/>
  <c r="J82" i="53"/>
  <c r="J83" i="53"/>
  <c r="J84" i="53"/>
  <c r="J85" i="53"/>
  <c r="J86" i="53"/>
  <c r="J87" i="53"/>
  <c r="J88" i="53"/>
  <c r="J89" i="53"/>
  <c r="J90" i="53"/>
  <c r="J91" i="53"/>
  <c r="J92" i="53"/>
  <c r="J93" i="53"/>
  <c r="J94" i="53"/>
  <c r="J95" i="53"/>
  <c r="J96" i="53"/>
  <c r="J97" i="53"/>
  <c r="J98" i="53"/>
  <c r="J99" i="53"/>
  <c r="J100" i="53"/>
  <c r="J101" i="53"/>
  <c r="J102" i="53"/>
  <c r="J103" i="53"/>
  <c r="J104" i="53"/>
  <c r="J105" i="53"/>
  <c r="J106" i="53"/>
  <c r="J107" i="53"/>
  <c r="J108" i="53"/>
  <c r="J109" i="53"/>
  <c r="J110" i="53"/>
  <c r="J111" i="53"/>
  <c r="J112" i="53"/>
  <c r="J113" i="53"/>
  <c r="J114" i="53"/>
  <c r="J115" i="53"/>
  <c r="J116" i="53"/>
  <c r="J117" i="53"/>
  <c r="J118" i="53"/>
  <c r="J119" i="53"/>
  <c r="J120" i="53"/>
  <c r="J121" i="53"/>
  <c r="J122" i="53"/>
  <c r="J123" i="53"/>
  <c r="J124" i="53"/>
  <c r="J125" i="53"/>
  <c r="J126" i="53"/>
  <c r="J127" i="53"/>
  <c r="J128" i="53"/>
  <c r="J129" i="53"/>
  <c r="J130" i="53"/>
  <c r="J131" i="53"/>
  <c r="J132" i="53"/>
  <c r="J133" i="53"/>
  <c r="J134" i="53"/>
  <c r="J135" i="53"/>
  <c r="J136" i="53"/>
  <c r="J137" i="53"/>
  <c r="J138" i="53"/>
  <c r="J139" i="53"/>
  <c r="J140" i="53"/>
  <c r="J141" i="53"/>
  <c r="J142" i="53"/>
  <c r="J143" i="53"/>
  <c r="J144" i="53"/>
  <c r="J145" i="53"/>
  <c r="J146" i="53"/>
  <c r="J147" i="53"/>
  <c r="J148" i="53"/>
  <c r="J149" i="53"/>
  <c r="J150" i="53"/>
  <c r="J151" i="53"/>
  <c r="J152" i="53"/>
  <c r="J153" i="53"/>
  <c r="J154" i="53"/>
  <c r="J155" i="53"/>
  <c r="J156" i="53"/>
  <c r="J157" i="53"/>
  <c r="J158" i="53"/>
  <c r="J159" i="53"/>
  <c r="J160" i="53"/>
  <c r="J161" i="53"/>
  <c r="J162" i="53"/>
  <c r="J163" i="53"/>
  <c r="J164" i="53"/>
  <c r="J165" i="53"/>
  <c r="J166" i="53"/>
  <c r="J167" i="53"/>
  <c r="J168" i="53"/>
  <c r="J169" i="53"/>
  <c r="J170" i="53"/>
  <c r="J171" i="53"/>
  <c r="J172" i="53"/>
  <c r="J173" i="53"/>
  <c r="J174" i="53"/>
  <c r="J175" i="53"/>
  <c r="J176" i="53"/>
  <c r="J177" i="53"/>
  <c r="J178" i="53"/>
  <c r="J179" i="53"/>
  <c r="J180" i="53"/>
  <c r="J181" i="53"/>
  <c r="J182" i="53"/>
  <c r="J183" i="53"/>
  <c r="J184" i="53"/>
  <c r="J185" i="53"/>
  <c r="J186" i="53"/>
  <c r="J187" i="53"/>
  <c r="J188" i="53"/>
  <c r="J189" i="53"/>
  <c r="J190" i="53"/>
  <c r="J191" i="53"/>
  <c r="J192" i="53"/>
  <c r="J193" i="53"/>
  <c r="J194" i="53"/>
  <c r="J195" i="53"/>
  <c r="J196" i="53"/>
  <c r="J197" i="53"/>
  <c r="J198" i="53"/>
  <c r="J199" i="53"/>
  <c r="J200" i="53"/>
  <c r="J201" i="53"/>
  <c r="J202" i="53"/>
  <c r="J203" i="53"/>
  <c r="J204" i="53"/>
  <c r="J205" i="53"/>
  <c r="J206" i="53"/>
  <c r="J207" i="53"/>
  <c r="J208" i="53"/>
  <c r="J209" i="53"/>
  <c r="J210" i="53"/>
  <c r="J211" i="53"/>
  <c r="J212" i="53"/>
  <c r="J213" i="53"/>
  <c r="J214" i="53"/>
  <c r="J215" i="53"/>
  <c r="J216" i="53"/>
  <c r="J217" i="53"/>
  <c r="J218" i="53"/>
  <c r="J219" i="53"/>
  <c r="J220" i="53"/>
  <c r="J221" i="53"/>
  <c r="J222" i="53"/>
  <c r="J223" i="53"/>
  <c r="J224" i="53"/>
  <c r="J225" i="53"/>
  <c r="J226" i="53"/>
  <c r="J227" i="53"/>
  <c r="J228" i="53"/>
  <c r="J229" i="53"/>
  <c r="J230" i="53"/>
  <c r="J231" i="53"/>
  <c r="J232" i="53"/>
  <c r="J233" i="53"/>
  <c r="J234" i="53"/>
  <c r="J235" i="53"/>
  <c r="J236" i="53"/>
  <c r="J237" i="53"/>
  <c r="J238" i="53"/>
  <c r="J239" i="53"/>
  <c r="J240" i="53"/>
  <c r="J241" i="53"/>
  <c r="J242" i="53"/>
  <c r="J243" i="53"/>
  <c r="J244" i="53"/>
  <c r="J245" i="53"/>
  <c r="J246" i="53"/>
  <c r="J247" i="53"/>
  <c r="J248" i="53"/>
  <c r="J249" i="53"/>
  <c r="J250" i="53"/>
  <c r="J251" i="53"/>
  <c r="J252" i="53"/>
  <c r="J253" i="53"/>
  <c r="J254" i="53"/>
  <c r="J255" i="53"/>
  <c r="J256" i="53"/>
  <c r="J257" i="53"/>
  <c r="J258" i="53"/>
  <c r="J259" i="53"/>
  <c r="J260" i="53"/>
  <c r="J261" i="53"/>
  <c r="J262" i="53"/>
  <c r="J263" i="53"/>
  <c r="J264" i="53"/>
  <c r="J265" i="53"/>
  <c r="J266" i="53"/>
  <c r="J267" i="53"/>
  <c r="J268" i="53"/>
  <c r="J269" i="53"/>
  <c r="J270" i="53"/>
  <c r="J271" i="53"/>
  <c r="J272" i="53"/>
  <c r="J273" i="53"/>
  <c r="J274" i="53"/>
  <c r="J275" i="53"/>
  <c r="J276" i="53"/>
  <c r="J277" i="53"/>
  <c r="J278" i="53"/>
  <c r="J279" i="53"/>
  <c r="J280" i="53"/>
  <c r="J281" i="53"/>
  <c r="J282" i="53"/>
  <c r="J283" i="53"/>
  <c r="J284" i="53"/>
  <c r="J285" i="53"/>
  <c r="J286" i="53"/>
  <c r="J287" i="53"/>
  <c r="J288" i="53"/>
  <c r="J289" i="53"/>
  <c r="J290" i="53"/>
  <c r="J291" i="53"/>
  <c r="J292" i="53"/>
  <c r="J293" i="53"/>
  <c r="J294" i="53"/>
  <c r="J295" i="53"/>
  <c r="J296" i="53"/>
  <c r="J297" i="53"/>
  <c r="J298" i="53"/>
  <c r="J299" i="53"/>
  <c r="J300" i="53"/>
  <c r="J301" i="53"/>
  <c r="J302" i="53"/>
  <c r="J303" i="53"/>
  <c r="J304" i="53"/>
  <c r="J305" i="53"/>
  <c r="J306" i="53"/>
  <c r="J307" i="53"/>
  <c r="J308" i="53"/>
  <c r="J309" i="53"/>
  <c r="J310" i="53"/>
  <c r="J311" i="53"/>
  <c r="J312" i="53"/>
  <c r="J313" i="53"/>
  <c r="J314" i="53"/>
  <c r="J315" i="53"/>
  <c r="J316" i="53"/>
  <c r="J317" i="53"/>
  <c r="J318" i="53"/>
  <c r="J319" i="53"/>
  <c r="J320" i="53"/>
  <c r="J321" i="53"/>
  <c r="J322" i="53"/>
  <c r="J323" i="53"/>
  <c r="J324" i="53"/>
  <c r="J325" i="53"/>
  <c r="J326" i="53"/>
  <c r="J327" i="53"/>
  <c r="J328" i="53"/>
  <c r="J329" i="53"/>
  <c r="J330" i="53"/>
  <c r="J331" i="53"/>
  <c r="J332" i="53"/>
  <c r="J333" i="53"/>
  <c r="J334" i="53"/>
  <c r="J335" i="53"/>
  <c r="J336" i="53"/>
  <c r="J337" i="53"/>
  <c r="J338" i="53"/>
  <c r="J339" i="53"/>
  <c r="J340" i="53"/>
  <c r="J341" i="53"/>
  <c r="J342" i="53"/>
  <c r="J343" i="53"/>
  <c r="J344" i="53"/>
  <c r="J345" i="53"/>
  <c r="J346" i="53"/>
  <c r="J347" i="53"/>
  <c r="J348" i="53"/>
  <c r="J349" i="53"/>
  <c r="J350" i="53"/>
  <c r="J351" i="53"/>
  <c r="J352" i="53"/>
  <c r="J353" i="53"/>
  <c r="J354" i="53"/>
  <c r="J355" i="53"/>
  <c r="J356" i="53"/>
  <c r="J357" i="53"/>
  <c r="J358" i="53"/>
  <c r="J359" i="53"/>
  <c r="J360" i="53"/>
  <c r="J361" i="53"/>
  <c r="J362" i="53"/>
  <c r="J363" i="53"/>
  <c r="J364" i="53"/>
  <c r="J365" i="53"/>
  <c r="J366" i="53"/>
  <c r="J367" i="53"/>
  <c r="J368" i="53"/>
  <c r="J369" i="53"/>
  <c r="J370" i="53"/>
  <c r="J371" i="53"/>
  <c r="J372" i="53"/>
  <c r="J373" i="53"/>
  <c r="J374" i="53"/>
  <c r="J375" i="53"/>
  <c r="J376" i="53"/>
  <c r="J377" i="53"/>
  <c r="J378" i="53"/>
  <c r="J379" i="53"/>
  <c r="J380" i="53"/>
  <c r="J381" i="53"/>
  <c r="J382" i="53"/>
  <c r="J383" i="53"/>
  <c r="J384" i="53"/>
  <c r="J385" i="53"/>
  <c r="J386" i="53"/>
  <c r="J387" i="53"/>
  <c r="J388" i="53"/>
  <c r="J389" i="53"/>
  <c r="J390" i="53"/>
  <c r="J391" i="53"/>
  <c r="J392" i="53"/>
  <c r="J393" i="53"/>
  <c r="J394" i="53"/>
  <c r="J395" i="53"/>
  <c r="J396" i="53"/>
  <c r="J397" i="53"/>
  <c r="J398" i="53"/>
  <c r="J399" i="53"/>
  <c r="J400" i="53"/>
  <c r="J401" i="53"/>
  <c r="J402" i="53"/>
  <c r="J403" i="53"/>
  <c r="J404" i="53"/>
  <c r="J405" i="53"/>
  <c r="J406" i="53"/>
  <c r="J407" i="53"/>
  <c r="J408" i="53"/>
  <c r="J409" i="53"/>
  <c r="J410" i="53"/>
  <c r="J411" i="53"/>
  <c r="J412" i="53"/>
  <c r="J413" i="53"/>
  <c r="J414" i="53"/>
  <c r="J415" i="53"/>
  <c r="J416" i="53"/>
  <c r="J417" i="53"/>
  <c r="J418" i="53"/>
  <c r="J419" i="53"/>
  <c r="J420" i="53"/>
  <c r="J421" i="53"/>
  <c r="J422" i="53"/>
  <c r="J2" i="53"/>
  <c r="K3" i="53"/>
  <c r="K4" i="53"/>
  <c r="K5" i="53"/>
  <c r="K6" i="53"/>
  <c r="K7" i="53"/>
  <c r="K8" i="53"/>
  <c r="K9" i="53"/>
  <c r="K10" i="53"/>
  <c r="K11" i="53"/>
  <c r="K12" i="53"/>
  <c r="K13" i="53"/>
  <c r="K14" i="53"/>
  <c r="K15" i="53"/>
  <c r="K16" i="53"/>
  <c r="K17" i="53"/>
  <c r="K18" i="53"/>
  <c r="K19" i="53"/>
  <c r="K20" i="53"/>
  <c r="K21" i="53"/>
  <c r="K22" i="53"/>
  <c r="K23" i="53"/>
  <c r="K24" i="53"/>
  <c r="K25" i="53"/>
  <c r="K26" i="53"/>
  <c r="K27" i="53"/>
  <c r="K28" i="53"/>
  <c r="K29" i="53"/>
  <c r="K30" i="53"/>
  <c r="K31" i="53"/>
  <c r="K32" i="53"/>
  <c r="K33" i="53"/>
  <c r="K34" i="53"/>
  <c r="K35" i="53"/>
  <c r="K36" i="53"/>
  <c r="K37" i="53"/>
  <c r="K38" i="53"/>
  <c r="K39" i="53"/>
  <c r="K40" i="53"/>
  <c r="K41" i="53"/>
  <c r="K42" i="53"/>
  <c r="K43" i="53"/>
  <c r="K44" i="53"/>
  <c r="K45" i="53"/>
  <c r="K46" i="53"/>
  <c r="K47" i="53"/>
  <c r="K48" i="53"/>
  <c r="K49" i="53"/>
  <c r="K50" i="53"/>
  <c r="K51" i="53"/>
  <c r="K52" i="53"/>
  <c r="K53" i="53"/>
  <c r="K54" i="53"/>
  <c r="K55" i="53"/>
  <c r="K56" i="53"/>
  <c r="K57" i="53"/>
  <c r="K58" i="53"/>
  <c r="K59" i="53"/>
  <c r="K60" i="53"/>
  <c r="K61" i="53"/>
  <c r="K62" i="53"/>
  <c r="K63" i="53"/>
  <c r="K64" i="53"/>
  <c r="K65" i="53"/>
  <c r="K66" i="53"/>
  <c r="K67" i="53"/>
  <c r="K68" i="53"/>
  <c r="K69" i="53"/>
  <c r="K70" i="53"/>
  <c r="K71" i="53"/>
  <c r="K72" i="53"/>
  <c r="K73" i="53"/>
  <c r="K74" i="53"/>
  <c r="K75" i="53"/>
  <c r="K76" i="53"/>
  <c r="K77" i="53"/>
  <c r="K78" i="53"/>
  <c r="K79" i="53"/>
  <c r="K80" i="53"/>
  <c r="K81" i="53"/>
  <c r="K82" i="53"/>
  <c r="K83" i="53"/>
  <c r="K84" i="53"/>
  <c r="K85" i="53"/>
  <c r="K86" i="53"/>
  <c r="K87" i="53"/>
  <c r="K88" i="53"/>
  <c r="K89" i="53"/>
  <c r="K90" i="53"/>
  <c r="K91" i="53"/>
  <c r="K92" i="53"/>
  <c r="K93" i="53"/>
  <c r="K94" i="53"/>
  <c r="K95" i="53"/>
  <c r="K96" i="53"/>
  <c r="K97" i="53"/>
  <c r="K98" i="53"/>
  <c r="K99" i="53"/>
  <c r="K100" i="53"/>
  <c r="K101" i="53"/>
  <c r="K102" i="53"/>
  <c r="K103" i="53"/>
  <c r="K104" i="53"/>
  <c r="K105" i="53"/>
  <c r="K106" i="53"/>
  <c r="K107" i="53"/>
  <c r="K108" i="53"/>
  <c r="K109" i="53"/>
  <c r="K110" i="53"/>
  <c r="K111" i="53"/>
  <c r="K112" i="53"/>
  <c r="K113" i="53"/>
  <c r="K114" i="53"/>
  <c r="K115" i="53"/>
  <c r="K116" i="53"/>
  <c r="K117" i="53"/>
  <c r="K118" i="53"/>
  <c r="K119" i="53"/>
  <c r="K120" i="53"/>
  <c r="K121" i="53"/>
  <c r="K122" i="53"/>
  <c r="K123" i="53"/>
  <c r="K124" i="53"/>
  <c r="K125" i="53"/>
  <c r="K126" i="53"/>
  <c r="K127" i="53"/>
  <c r="K128" i="53"/>
  <c r="K129" i="53"/>
  <c r="K130" i="53"/>
  <c r="K131" i="53"/>
  <c r="K132" i="53"/>
  <c r="K133" i="53"/>
  <c r="K134" i="53"/>
  <c r="K135" i="53"/>
  <c r="K136" i="53"/>
  <c r="K137" i="53"/>
  <c r="K138" i="53"/>
  <c r="K139" i="53"/>
  <c r="K140" i="53"/>
  <c r="K141" i="53"/>
  <c r="K142" i="53"/>
  <c r="K143" i="53"/>
  <c r="K144" i="53"/>
  <c r="K145" i="53"/>
  <c r="K146" i="53"/>
  <c r="K147" i="53"/>
  <c r="K148" i="53"/>
  <c r="K149" i="53"/>
  <c r="K150" i="53"/>
  <c r="K151" i="53"/>
  <c r="K152" i="53"/>
  <c r="K153" i="53"/>
  <c r="K154" i="53"/>
  <c r="K155" i="53"/>
  <c r="K156" i="53"/>
  <c r="K157" i="53"/>
  <c r="K158" i="53"/>
  <c r="K159" i="53"/>
  <c r="K160" i="53"/>
  <c r="K161" i="53"/>
  <c r="K162" i="53"/>
  <c r="K163" i="53"/>
  <c r="K164" i="53"/>
  <c r="K165" i="53"/>
  <c r="K166" i="53"/>
  <c r="K167" i="53"/>
  <c r="K168" i="53"/>
  <c r="K169" i="53"/>
  <c r="K170" i="53"/>
  <c r="K171" i="53"/>
  <c r="K172" i="53"/>
  <c r="K173" i="53"/>
  <c r="K174" i="53"/>
  <c r="K175" i="53"/>
  <c r="K176" i="53"/>
  <c r="K177" i="53"/>
  <c r="K178" i="53"/>
  <c r="K179" i="53"/>
  <c r="K180" i="53"/>
  <c r="K181" i="53"/>
  <c r="K182" i="53"/>
  <c r="K183" i="53"/>
  <c r="K184" i="53"/>
  <c r="K185" i="53"/>
  <c r="K186" i="53"/>
  <c r="K187" i="53"/>
  <c r="K188" i="53"/>
  <c r="K189" i="53"/>
  <c r="K190" i="53"/>
  <c r="K191" i="53"/>
  <c r="K192" i="53"/>
  <c r="K193" i="53"/>
  <c r="K194" i="53"/>
  <c r="K195" i="53"/>
  <c r="K196" i="53"/>
  <c r="K197" i="53"/>
  <c r="K198" i="53"/>
  <c r="K199" i="53"/>
  <c r="K200" i="53"/>
  <c r="K201" i="53"/>
  <c r="K202" i="53"/>
  <c r="K203" i="53"/>
  <c r="K204" i="53"/>
  <c r="K205" i="53"/>
  <c r="K206" i="53"/>
  <c r="K207" i="53"/>
  <c r="K208" i="53"/>
  <c r="K209" i="53"/>
  <c r="K210" i="53"/>
  <c r="K211" i="53"/>
  <c r="K212" i="53"/>
  <c r="K213" i="53"/>
  <c r="K214" i="53"/>
  <c r="K215" i="53"/>
  <c r="K216" i="53"/>
  <c r="K217" i="53"/>
  <c r="K218" i="53"/>
  <c r="K219" i="53"/>
  <c r="K220" i="53"/>
  <c r="K221" i="53"/>
  <c r="K222" i="53"/>
  <c r="K223" i="53"/>
  <c r="K224" i="53"/>
  <c r="K225" i="53"/>
  <c r="K226" i="53"/>
  <c r="K227" i="53"/>
  <c r="K228" i="53"/>
  <c r="K229" i="53"/>
  <c r="K230" i="53"/>
  <c r="K231" i="53"/>
  <c r="K232" i="53"/>
  <c r="K233" i="53"/>
  <c r="K234" i="53"/>
  <c r="K235" i="53"/>
  <c r="K236" i="53"/>
  <c r="K237" i="53"/>
  <c r="K238" i="53"/>
  <c r="K239" i="53"/>
  <c r="K240" i="53"/>
  <c r="K241" i="53"/>
  <c r="K242" i="53"/>
  <c r="K243" i="53"/>
  <c r="K244" i="53"/>
  <c r="K245" i="53"/>
  <c r="K246" i="53"/>
  <c r="K247" i="53"/>
  <c r="K248" i="53"/>
  <c r="K249" i="53"/>
  <c r="K250" i="53"/>
  <c r="K251" i="53"/>
  <c r="K252" i="53"/>
  <c r="K253" i="53"/>
  <c r="K254" i="53"/>
  <c r="K255" i="53"/>
  <c r="K256" i="53"/>
  <c r="K257" i="53"/>
  <c r="K258" i="53"/>
  <c r="K259" i="53"/>
  <c r="K260" i="53"/>
  <c r="K261" i="53"/>
  <c r="K262" i="53"/>
  <c r="K263" i="53"/>
  <c r="K264" i="53"/>
  <c r="K265" i="53"/>
  <c r="K266" i="53"/>
  <c r="K267" i="53"/>
  <c r="K268" i="53"/>
  <c r="K269" i="53"/>
  <c r="K270" i="53"/>
  <c r="K271" i="53"/>
  <c r="K272" i="53"/>
  <c r="K273" i="53"/>
  <c r="K274" i="53"/>
  <c r="K275" i="53"/>
  <c r="K276" i="53"/>
  <c r="K277" i="53"/>
  <c r="K278" i="53"/>
  <c r="K279" i="53"/>
  <c r="K280" i="53"/>
  <c r="K281" i="53"/>
  <c r="K282" i="53"/>
  <c r="K283" i="53"/>
  <c r="K284" i="53"/>
  <c r="K285" i="53"/>
  <c r="K286" i="53"/>
  <c r="K287" i="53"/>
  <c r="K288" i="53"/>
  <c r="K289" i="53"/>
  <c r="K290" i="53"/>
  <c r="K291" i="53"/>
  <c r="K292" i="53"/>
  <c r="K293" i="53"/>
  <c r="K294" i="53"/>
  <c r="K295" i="53"/>
  <c r="K296" i="53"/>
  <c r="K297" i="53"/>
  <c r="K298" i="53"/>
  <c r="K299" i="53"/>
  <c r="K300" i="53"/>
  <c r="K301" i="53"/>
  <c r="K302" i="53"/>
  <c r="K303" i="53"/>
  <c r="K304" i="53"/>
  <c r="K305" i="53"/>
  <c r="K306" i="53"/>
  <c r="K307" i="53"/>
  <c r="K308" i="53"/>
  <c r="K309" i="53"/>
  <c r="K310" i="53"/>
  <c r="K311" i="53"/>
  <c r="K312" i="53"/>
  <c r="K313" i="53"/>
  <c r="K314" i="53"/>
  <c r="K315" i="53"/>
  <c r="K316" i="53"/>
  <c r="K317" i="53"/>
  <c r="K318" i="53"/>
  <c r="K319" i="53"/>
  <c r="K320" i="53"/>
  <c r="K321" i="53"/>
  <c r="K322" i="53"/>
  <c r="K323" i="53"/>
  <c r="K324" i="53"/>
  <c r="K325" i="53"/>
  <c r="K326" i="53"/>
  <c r="K327" i="53"/>
  <c r="K328" i="53"/>
  <c r="K329" i="53"/>
  <c r="K330" i="53"/>
  <c r="K331" i="53"/>
  <c r="K332" i="53"/>
  <c r="K333" i="53"/>
  <c r="K334" i="53"/>
  <c r="K335" i="53"/>
  <c r="K336" i="53"/>
  <c r="K337" i="53"/>
  <c r="K338" i="53"/>
  <c r="K339" i="53"/>
  <c r="K340" i="53"/>
  <c r="K341" i="53"/>
  <c r="K342" i="53"/>
  <c r="K343" i="53"/>
  <c r="K344" i="53"/>
  <c r="K345" i="53"/>
  <c r="K346" i="53"/>
  <c r="K347" i="53"/>
  <c r="K348" i="53"/>
  <c r="K349" i="53"/>
  <c r="K350" i="53"/>
  <c r="K351" i="53"/>
  <c r="K352" i="53"/>
  <c r="K353" i="53"/>
  <c r="K354" i="53"/>
  <c r="K355" i="53"/>
  <c r="K356" i="53"/>
  <c r="K357" i="53"/>
  <c r="K358" i="53"/>
  <c r="K359" i="53"/>
  <c r="K360" i="53"/>
  <c r="K361" i="53"/>
  <c r="K362" i="53"/>
  <c r="K363" i="53"/>
  <c r="K364" i="53"/>
  <c r="K365" i="53"/>
  <c r="K366" i="53"/>
  <c r="K367" i="53"/>
  <c r="K368" i="53"/>
  <c r="K369" i="53"/>
  <c r="K370" i="53"/>
  <c r="K371" i="53"/>
  <c r="K372" i="53"/>
  <c r="K373" i="53"/>
  <c r="K374" i="53"/>
  <c r="K375" i="53"/>
  <c r="K376" i="53"/>
  <c r="K377" i="53"/>
  <c r="K378" i="53"/>
  <c r="K379" i="53"/>
  <c r="K380" i="53"/>
  <c r="K381" i="53"/>
  <c r="K382" i="53"/>
  <c r="K383" i="53"/>
  <c r="K384" i="53"/>
  <c r="K385" i="53"/>
  <c r="K386" i="53"/>
  <c r="K387" i="53"/>
  <c r="K388" i="53"/>
  <c r="K389" i="53"/>
  <c r="K390" i="53"/>
  <c r="K391" i="53"/>
  <c r="K392" i="53"/>
  <c r="K393" i="53"/>
  <c r="K394" i="53"/>
  <c r="K395" i="53"/>
  <c r="K396" i="53"/>
  <c r="K397" i="53"/>
  <c r="K398" i="53"/>
  <c r="K399" i="53"/>
  <c r="K400" i="53"/>
  <c r="K401" i="53"/>
  <c r="K402" i="53"/>
  <c r="K403" i="53"/>
  <c r="K404" i="53"/>
  <c r="K405" i="53"/>
  <c r="K406" i="53"/>
  <c r="K407" i="53"/>
  <c r="K408" i="53"/>
  <c r="K409" i="53"/>
  <c r="K410" i="53"/>
  <c r="K411" i="53"/>
  <c r="K412" i="53"/>
  <c r="K413" i="53"/>
  <c r="K414" i="53"/>
  <c r="K415" i="53"/>
  <c r="K416" i="53"/>
  <c r="K417" i="53"/>
  <c r="K418" i="53"/>
  <c r="K419" i="53"/>
  <c r="K420" i="53"/>
  <c r="K421" i="53"/>
  <c r="K422" i="53"/>
  <c r="K2" i="53"/>
  <c r="M4" i="52"/>
  <c r="M5" i="52"/>
  <c r="M6" i="52"/>
  <c r="M7" i="52"/>
  <c r="M8" i="52"/>
  <c r="M9" i="52"/>
  <c r="M10" i="52"/>
  <c r="M11" i="52"/>
  <c r="M12" i="52"/>
  <c r="M13" i="52"/>
  <c r="M14" i="52"/>
  <c r="M15" i="52"/>
  <c r="M16" i="52"/>
  <c r="M17" i="52"/>
  <c r="M18" i="52"/>
  <c r="M19" i="52"/>
  <c r="M20" i="52"/>
  <c r="M21" i="52"/>
  <c r="M22" i="52"/>
  <c r="M23" i="52"/>
  <c r="M24" i="52"/>
  <c r="M25" i="52"/>
  <c r="M26" i="52"/>
  <c r="M27" i="52"/>
  <c r="M28" i="52"/>
  <c r="M29" i="52"/>
  <c r="M30" i="52"/>
  <c r="M31" i="52"/>
  <c r="M32" i="52"/>
  <c r="M33" i="52"/>
  <c r="M34" i="52"/>
  <c r="M35" i="52"/>
  <c r="M36" i="52"/>
  <c r="M37" i="52"/>
  <c r="M38" i="52"/>
  <c r="M39" i="52"/>
  <c r="M40" i="52"/>
  <c r="M41" i="52"/>
  <c r="M42" i="52"/>
  <c r="M43" i="52"/>
  <c r="M44" i="52"/>
  <c r="M45" i="52"/>
  <c r="M46" i="52"/>
  <c r="M47" i="52"/>
  <c r="M48" i="52"/>
  <c r="M49" i="52"/>
  <c r="M50" i="52"/>
  <c r="M51" i="52"/>
  <c r="M52" i="52"/>
  <c r="M53" i="52"/>
  <c r="M54" i="52"/>
  <c r="M55" i="52"/>
  <c r="M56" i="52"/>
  <c r="M57" i="52"/>
  <c r="M58" i="52"/>
  <c r="M59" i="52"/>
  <c r="M60" i="52"/>
  <c r="M61" i="52"/>
  <c r="M62" i="52"/>
  <c r="M63" i="52"/>
  <c r="M64" i="52"/>
  <c r="M65" i="52"/>
  <c r="M66" i="52"/>
  <c r="M67" i="52"/>
  <c r="M68" i="52"/>
  <c r="M69" i="52"/>
  <c r="M70" i="52"/>
  <c r="M71" i="52"/>
  <c r="M72" i="52"/>
  <c r="M73" i="52"/>
  <c r="M74" i="52"/>
  <c r="M75" i="52"/>
  <c r="M76" i="52"/>
  <c r="M77" i="52"/>
  <c r="M78" i="52"/>
  <c r="M79" i="52"/>
  <c r="M80" i="52"/>
  <c r="M81" i="52"/>
  <c r="M82" i="52"/>
  <c r="M83" i="52"/>
  <c r="M84" i="52"/>
  <c r="M85" i="52"/>
  <c r="M86" i="52"/>
  <c r="M87" i="52"/>
  <c r="M88" i="52"/>
  <c r="M89" i="52"/>
  <c r="M90" i="52"/>
  <c r="M91" i="52"/>
  <c r="M92" i="52"/>
  <c r="M93" i="52"/>
  <c r="M94" i="52"/>
  <c r="M95" i="52"/>
  <c r="M96" i="52"/>
  <c r="M97" i="52"/>
  <c r="M98" i="52"/>
  <c r="M99" i="52"/>
  <c r="M100" i="52"/>
  <c r="M101" i="52"/>
  <c r="M102" i="52"/>
  <c r="M103" i="52"/>
  <c r="M104" i="52"/>
  <c r="M105" i="52"/>
  <c r="M106" i="52"/>
  <c r="M107" i="52"/>
  <c r="M108" i="52"/>
  <c r="M109" i="52"/>
  <c r="M110" i="52"/>
  <c r="M111" i="52"/>
  <c r="M112" i="52"/>
  <c r="M113" i="52"/>
  <c r="M114" i="52"/>
  <c r="M115" i="52"/>
  <c r="M116" i="52"/>
  <c r="M117" i="52"/>
  <c r="M118" i="52"/>
  <c r="M119" i="52"/>
  <c r="M120" i="52"/>
  <c r="M121" i="52"/>
  <c r="M122" i="52"/>
  <c r="M123" i="52"/>
  <c r="M124" i="52"/>
  <c r="M125" i="52"/>
  <c r="M126" i="52"/>
  <c r="M127" i="52"/>
  <c r="M128" i="52"/>
  <c r="M129" i="52"/>
  <c r="M130" i="52"/>
  <c r="M131" i="52"/>
  <c r="M132" i="52"/>
  <c r="M133" i="52"/>
  <c r="M134" i="52"/>
  <c r="M135" i="52"/>
  <c r="M136" i="52"/>
  <c r="M137" i="52"/>
  <c r="M138" i="52"/>
  <c r="M139" i="52"/>
  <c r="M140" i="52"/>
  <c r="M141" i="52"/>
  <c r="M142" i="52"/>
  <c r="M143" i="52"/>
  <c r="M144" i="52"/>
  <c r="M145" i="52"/>
  <c r="M146" i="52"/>
  <c r="M147" i="52"/>
  <c r="M148" i="52"/>
  <c r="M149" i="52"/>
  <c r="M150" i="52"/>
  <c r="M151" i="52"/>
  <c r="M152" i="52"/>
  <c r="M153" i="52"/>
  <c r="M154" i="52"/>
  <c r="M155" i="52"/>
  <c r="M156" i="52"/>
  <c r="M157" i="52"/>
  <c r="M158" i="52"/>
  <c r="M159" i="52"/>
  <c r="M160" i="52"/>
  <c r="M161" i="52"/>
  <c r="M162" i="52"/>
  <c r="M163" i="52"/>
  <c r="M164" i="52"/>
  <c r="M165" i="52"/>
  <c r="M166" i="52"/>
  <c r="M167" i="52"/>
  <c r="M168" i="52"/>
  <c r="M169" i="52"/>
  <c r="M170" i="52"/>
  <c r="M171" i="52"/>
  <c r="M172" i="52"/>
  <c r="M173" i="52"/>
  <c r="M174" i="52"/>
  <c r="M175" i="52"/>
  <c r="M176" i="52"/>
  <c r="M177" i="52"/>
  <c r="M178" i="52"/>
  <c r="M179" i="52"/>
  <c r="M180" i="52"/>
  <c r="M181" i="52"/>
  <c r="M182" i="52"/>
  <c r="M183" i="52"/>
  <c r="M184" i="52"/>
  <c r="M185" i="52"/>
  <c r="M186" i="52"/>
  <c r="M187" i="52"/>
  <c r="M188" i="52"/>
  <c r="M189" i="52"/>
  <c r="M190" i="52"/>
  <c r="M191" i="52"/>
  <c r="M192" i="52"/>
  <c r="M193" i="52"/>
  <c r="M194" i="52"/>
  <c r="M195" i="52"/>
  <c r="M196" i="52"/>
  <c r="M197" i="52"/>
  <c r="M198" i="52"/>
  <c r="M199" i="52"/>
  <c r="M200" i="52"/>
  <c r="M201" i="52"/>
  <c r="M202" i="52"/>
  <c r="M203" i="52"/>
  <c r="M204" i="52"/>
  <c r="M205" i="52"/>
  <c r="M206" i="52"/>
  <c r="M207" i="52"/>
  <c r="M208" i="52"/>
  <c r="M209" i="52"/>
  <c r="M210" i="52"/>
  <c r="M211" i="52"/>
  <c r="M212" i="52"/>
  <c r="M213" i="52"/>
  <c r="M214" i="52"/>
  <c r="M215" i="52"/>
  <c r="M216" i="52"/>
  <c r="M217" i="52"/>
  <c r="M218" i="52"/>
  <c r="M219" i="52"/>
  <c r="M220" i="52"/>
  <c r="M221" i="52"/>
  <c r="M222" i="52"/>
  <c r="M223" i="52"/>
  <c r="M224" i="52"/>
  <c r="M225" i="52"/>
  <c r="M226" i="52"/>
  <c r="M227" i="52"/>
  <c r="M228" i="52"/>
  <c r="M229" i="52"/>
  <c r="M230" i="52"/>
  <c r="M231" i="52"/>
  <c r="M232" i="52"/>
  <c r="M233" i="52"/>
  <c r="M234" i="52"/>
  <c r="M235" i="52"/>
  <c r="M236" i="52"/>
  <c r="M237" i="52"/>
  <c r="M238" i="52"/>
  <c r="M239" i="52"/>
  <c r="M240" i="52"/>
  <c r="M241" i="52"/>
  <c r="M242" i="52"/>
  <c r="M243" i="52"/>
  <c r="M244" i="52"/>
  <c r="M245" i="52"/>
  <c r="M246" i="52"/>
  <c r="M247" i="52"/>
  <c r="M248" i="52"/>
  <c r="M249" i="52"/>
  <c r="M250" i="52"/>
  <c r="M251" i="52"/>
  <c r="M252" i="52"/>
  <c r="M253" i="52"/>
  <c r="M254" i="52"/>
  <c r="M255" i="52"/>
  <c r="M256" i="52"/>
  <c r="M257" i="52"/>
  <c r="M258" i="52"/>
  <c r="M259" i="52"/>
  <c r="M260" i="52"/>
  <c r="M261" i="52"/>
  <c r="M262" i="52"/>
  <c r="M263" i="52"/>
  <c r="M264" i="52"/>
  <c r="M265" i="52"/>
  <c r="M266" i="52"/>
  <c r="M267" i="52"/>
  <c r="M268" i="52"/>
  <c r="M269" i="52"/>
  <c r="M270" i="52"/>
  <c r="M271" i="52"/>
  <c r="M272" i="52"/>
  <c r="M273" i="52"/>
  <c r="M274" i="52"/>
  <c r="M275" i="52"/>
  <c r="M276" i="52"/>
  <c r="M277" i="52"/>
  <c r="M278" i="52"/>
  <c r="M279" i="52"/>
  <c r="M280" i="52"/>
  <c r="M281" i="52"/>
  <c r="M282" i="52"/>
  <c r="M283" i="52"/>
  <c r="M284" i="52"/>
  <c r="M285" i="52"/>
  <c r="M286" i="52"/>
  <c r="M287" i="52"/>
  <c r="M288" i="52"/>
  <c r="M289" i="52"/>
  <c r="M290" i="52"/>
  <c r="M291" i="52"/>
  <c r="M292" i="52"/>
  <c r="M293" i="52"/>
  <c r="M294" i="52"/>
  <c r="M295" i="52"/>
  <c r="M296" i="52"/>
  <c r="M297" i="52"/>
  <c r="M298" i="52"/>
  <c r="M299" i="52"/>
  <c r="M300" i="52"/>
  <c r="M301" i="52"/>
  <c r="M302" i="52"/>
  <c r="M303" i="52"/>
  <c r="M304" i="52"/>
  <c r="M305" i="52"/>
  <c r="M306" i="52"/>
  <c r="M307" i="52"/>
  <c r="M308" i="52"/>
  <c r="M309" i="52"/>
  <c r="M310" i="52"/>
  <c r="M311" i="52"/>
  <c r="M312" i="52"/>
  <c r="M313" i="52"/>
  <c r="M314" i="52"/>
  <c r="M315" i="52"/>
  <c r="M316" i="52"/>
  <c r="M317" i="52"/>
  <c r="M318" i="52"/>
  <c r="M319" i="52"/>
  <c r="M320" i="52"/>
  <c r="M321" i="52"/>
  <c r="M322" i="52"/>
  <c r="M323" i="52"/>
  <c r="M324" i="52"/>
  <c r="M325" i="52"/>
  <c r="M326" i="52"/>
  <c r="M327" i="52"/>
  <c r="M328" i="52"/>
  <c r="M329" i="52"/>
  <c r="M330" i="52"/>
  <c r="M331" i="52"/>
  <c r="M332" i="52"/>
  <c r="M333" i="52"/>
  <c r="M334" i="52"/>
  <c r="M335" i="52"/>
  <c r="M336" i="52"/>
  <c r="M337" i="52"/>
  <c r="M338" i="52"/>
  <c r="M339" i="52"/>
  <c r="M340" i="52"/>
  <c r="M341" i="52"/>
  <c r="M342" i="52"/>
  <c r="M343" i="52"/>
  <c r="M344" i="52"/>
  <c r="M345" i="52"/>
  <c r="M346" i="52"/>
  <c r="M347" i="52"/>
  <c r="M348" i="52"/>
  <c r="M349" i="52"/>
  <c r="M350" i="52"/>
  <c r="M351" i="52"/>
  <c r="M352" i="52"/>
  <c r="M353" i="52"/>
  <c r="M354" i="52"/>
  <c r="M355" i="52"/>
  <c r="M356" i="52"/>
  <c r="M357" i="52"/>
  <c r="M358" i="52"/>
  <c r="M359" i="52"/>
  <c r="M360" i="52"/>
  <c r="M361" i="52"/>
  <c r="M362" i="52"/>
  <c r="M363" i="52"/>
  <c r="M364" i="52"/>
  <c r="M365" i="52"/>
  <c r="M366" i="52"/>
  <c r="M367" i="52"/>
  <c r="M368" i="52"/>
  <c r="M369" i="52"/>
  <c r="M370" i="52"/>
  <c r="M371" i="52"/>
  <c r="M372" i="52"/>
  <c r="M373" i="52"/>
  <c r="M374" i="52"/>
  <c r="M375" i="52"/>
  <c r="M376" i="52"/>
  <c r="M377" i="52"/>
  <c r="M378" i="52"/>
  <c r="M379" i="52"/>
  <c r="M380" i="52"/>
  <c r="M381" i="52"/>
  <c r="M382" i="52"/>
  <c r="M383" i="52"/>
  <c r="M384" i="52"/>
  <c r="M385" i="52"/>
  <c r="M386" i="52"/>
  <c r="M387" i="52"/>
  <c r="M388" i="52"/>
  <c r="M389" i="52"/>
  <c r="M390" i="52"/>
  <c r="M391" i="52"/>
  <c r="M392" i="52"/>
  <c r="M393" i="52"/>
  <c r="M394" i="52"/>
  <c r="M395" i="52"/>
  <c r="M396" i="52"/>
  <c r="M397" i="52"/>
  <c r="M398" i="52"/>
  <c r="M399" i="52"/>
  <c r="M400" i="52"/>
  <c r="M401" i="52"/>
  <c r="M402" i="52"/>
  <c r="M403" i="52"/>
  <c r="M404" i="52"/>
  <c r="M405" i="52"/>
  <c r="M406" i="52"/>
  <c r="M407" i="52"/>
  <c r="M408" i="52"/>
  <c r="M409" i="52"/>
  <c r="M410" i="52"/>
  <c r="M411" i="52"/>
  <c r="M412" i="52"/>
  <c r="M413" i="52"/>
  <c r="M414" i="52"/>
  <c r="M415" i="52"/>
  <c r="M416" i="52"/>
  <c r="M417" i="52"/>
  <c r="M418" i="52"/>
  <c r="M419" i="52"/>
  <c r="M420" i="52"/>
  <c r="M421" i="52"/>
  <c r="M422" i="52"/>
  <c r="M3" i="52"/>
  <c r="J3" i="52"/>
  <c r="J4" i="52"/>
  <c r="J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36" i="52"/>
  <c r="J37" i="52"/>
  <c r="J38" i="52"/>
  <c r="J39" i="52"/>
  <c r="J40" i="52"/>
  <c r="J41" i="52"/>
  <c r="J42" i="52"/>
  <c r="J43" i="52"/>
  <c r="J44" i="52"/>
  <c r="J45" i="52"/>
  <c r="J46" i="52"/>
  <c r="J47" i="52"/>
  <c r="J48" i="52"/>
  <c r="J49" i="52"/>
  <c r="J50" i="52"/>
  <c r="J51" i="52"/>
  <c r="J52" i="52"/>
  <c r="J53" i="52"/>
  <c r="J54" i="52"/>
  <c r="J55" i="52"/>
  <c r="J56" i="52"/>
  <c r="J57" i="52"/>
  <c r="J58" i="52"/>
  <c r="J59" i="52"/>
  <c r="J60" i="52"/>
  <c r="J61" i="52"/>
  <c r="J62" i="52"/>
  <c r="J63" i="52"/>
  <c r="J64" i="52"/>
  <c r="J65" i="52"/>
  <c r="J66" i="52"/>
  <c r="J67" i="52"/>
  <c r="J68" i="52"/>
  <c r="J69" i="52"/>
  <c r="J70" i="52"/>
  <c r="J71" i="52"/>
  <c r="J72" i="52"/>
  <c r="J73" i="52"/>
  <c r="J74" i="52"/>
  <c r="J75" i="52"/>
  <c r="J76" i="52"/>
  <c r="J77" i="52"/>
  <c r="J78" i="52"/>
  <c r="J79" i="52"/>
  <c r="J80" i="52"/>
  <c r="J81" i="52"/>
  <c r="J82" i="52"/>
  <c r="J83" i="52"/>
  <c r="J84" i="52"/>
  <c r="J85" i="52"/>
  <c r="J86" i="52"/>
  <c r="J87" i="52"/>
  <c r="J88" i="52"/>
  <c r="J89" i="52"/>
  <c r="J90" i="52"/>
  <c r="J91" i="52"/>
  <c r="J92" i="52"/>
  <c r="J93" i="52"/>
  <c r="J94" i="52"/>
  <c r="J95" i="52"/>
  <c r="J96" i="52"/>
  <c r="J97" i="52"/>
  <c r="J98" i="52"/>
  <c r="J99" i="52"/>
  <c r="J100" i="52"/>
  <c r="J101" i="52"/>
  <c r="J102" i="52"/>
  <c r="J103" i="52"/>
  <c r="J104" i="52"/>
  <c r="J105" i="52"/>
  <c r="J106" i="52"/>
  <c r="J107" i="52"/>
  <c r="J108" i="52"/>
  <c r="J109" i="52"/>
  <c r="J110" i="52"/>
  <c r="J111" i="52"/>
  <c r="J112" i="52"/>
  <c r="J113" i="52"/>
  <c r="J114" i="52"/>
  <c r="J115" i="52"/>
  <c r="J116" i="52"/>
  <c r="J117" i="52"/>
  <c r="J118" i="52"/>
  <c r="J119" i="52"/>
  <c r="J120" i="52"/>
  <c r="J121" i="52"/>
  <c r="J122" i="52"/>
  <c r="J123" i="52"/>
  <c r="J124" i="52"/>
  <c r="J125" i="52"/>
  <c r="J126" i="52"/>
  <c r="J127" i="52"/>
  <c r="J128" i="52"/>
  <c r="J129" i="52"/>
  <c r="J130" i="52"/>
  <c r="J131" i="52"/>
  <c r="J132" i="52"/>
  <c r="J133" i="52"/>
  <c r="J134" i="52"/>
  <c r="J135" i="52"/>
  <c r="J136" i="52"/>
  <c r="J137" i="52"/>
  <c r="J138" i="52"/>
  <c r="J139" i="52"/>
  <c r="J140" i="52"/>
  <c r="J141" i="52"/>
  <c r="J142" i="52"/>
  <c r="J143" i="52"/>
  <c r="J144" i="52"/>
  <c r="J145" i="52"/>
  <c r="J146" i="52"/>
  <c r="J147" i="52"/>
  <c r="J148" i="52"/>
  <c r="J149" i="52"/>
  <c r="J150" i="52"/>
  <c r="J151" i="52"/>
  <c r="J152" i="52"/>
  <c r="J153" i="52"/>
  <c r="J154" i="52"/>
  <c r="J155" i="52"/>
  <c r="J156" i="52"/>
  <c r="J157" i="52"/>
  <c r="J158" i="52"/>
  <c r="J159" i="52"/>
  <c r="J160" i="52"/>
  <c r="J161" i="52"/>
  <c r="J162" i="52"/>
  <c r="J163" i="52"/>
  <c r="J164" i="52"/>
  <c r="J165" i="52"/>
  <c r="J166" i="52"/>
  <c r="J167" i="52"/>
  <c r="J168" i="52"/>
  <c r="J169" i="52"/>
  <c r="J170" i="52"/>
  <c r="J171" i="52"/>
  <c r="J172" i="52"/>
  <c r="J173" i="52"/>
  <c r="J174" i="52"/>
  <c r="J175" i="52"/>
  <c r="J176" i="52"/>
  <c r="J177" i="52"/>
  <c r="J178" i="52"/>
  <c r="J179" i="52"/>
  <c r="J180" i="52"/>
  <c r="J181" i="52"/>
  <c r="J182" i="52"/>
  <c r="J183" i="52"/>
  <c r="J184" i="52"/>
  <c r="J185" i="52"/>
  <c r="J186" i="52"/>
  <c r="J187" i="52"/>
  <c r="J188" i="52"/>
  <c r="J189" i="52"/>
  <c r="J190" i="52"/>
  <c r="J191" i="52"/>
  <c r="J192" i="52"/>
  <c r="J193" i="52"/>
  <c r="J194" i="52"/>
  <c r="J195" i="52"/>
  <c r="J196" i="52"/>
  <c r="J197" i="52"/>
  <c r="J198" i="52"/>
  <c r="J199" i="52"/>
  <c r="J200" i="52"/>
  <c r="J201" i="52"/>
  <c r="J202" i="52"/>
  <c r="J203" i="52"/>
  <c r="J204" i="52"/>
  <c r="J205" i="52"/>
  <c r="J206" i="52"/>
  <c r="J207" i="52"/>
  <c r="J208" i="52"/>
  <c r="J209" i="52"/>
  <c r="J210" i="52"/>
  <c r="J211" i="52"/>
  <c r="J212" i="52"/>
  <c r="J213" i="52"/>
  <c r="J214" i="52"/>
  <c r="J215" i="52"/>
  <c r="J216" i="52"/>
  <c r="J217" i="52"/>
  <c r="J218" i="52"/>
  <c r="J219" i="52"/>
  <c r="J220" i="52"/>
  <c r="J221" i="52"/>
  <c r="J222" i="52"/>
  <c r="J223" i="52"/>
  <c r="J224" i="52"/>
  <c r="J225" i="52"/>
  <c r="J226" i="52"/>
  <c r="J227" i="52"/>
  <c r="J228" i="52"/>
  <c r="J229" i="52"/>
  <c r="J230" i="52"/>
  <c r="J231" i="52"/>
  <c r="J232" i="52"/>
  <c r="J233" i="52"/>
  <c r="J234" i="52"/>
  <c r="J235" i="52"/>
  <c r="J236" i="52"/>
  <c r="J237" i="52"/>
  <c r="J238" i="52"/>
  <c r="J239" i="52"/>
  <c r="J240" i="52"/>
  <c r="J241" i="52"/>
  <c r="J242" i="52"/>
  <c r="J243" i="52"/>
  <c r="J244" i="52"/>
  <c r="J245" i="52"/>
  <c r="J246" i="52"/>
  <c r="J247" i="52"/>
  <c r="J248" i="52"/>
  <c r="J249" i="52"/>
  <c r="J250" i="52"/>
  <c r="J251" i="52"/>
  <c r="J252" i="52"/>
  <c r="J253" i="52"/>
  <c r="J254" i="52"/>
  <c r="J255" i="52"/>
  <c r="J256" i="52"/>
  <c r="J257" i="52"/>
  <c r="J258" i="52"/>
  <c r="J259" i="52"/>
  <c r="J260" i="52"/>
  <c r="J261" i="52"/>
  <c r="J262" i="52"/>
  <c r="J263" i="52"/>
  <c r="J264" i="52"/>
  <c r="J265" i="52"/>
  <c r="J266" i="52"/>
  <c r="J267" i="52"/>
  <c r="J268" i="52"/>
  <c r="J269" i="52"/>
  <c r="J270" i="52"/>
  <c r="J271" i="52"/>
  <c r="J272" i="52"/>
  <c r="J273" i="52"/>
  <c r="J274" i="52"/>
  <c r="J275" i="52"/>
  <c r="J276" i="52"/>
  <c r="J277" i="52"/>
  <c r="J278" i="52"/>
  <c r="J279" i="52"/>
  <c r="J280" i="52"/>
  <c r="J281" i="52"/>
  <c r="J282" i="52"/>
  <c r="J283" i="52"/>
  <c r="J284" i="52"/>
  <c r="J285" i="52"/>
  <c r="J286" i="52"/>
  <c r="J287" i="52"/>
  <c r="J288" i="52"/>
  <c r="J289" i="52"/>
  <c r="J290" i="52"/>
  <c r="J291" i="52"/>
  <c r="J292" i="52"/>
  <c r="J293" i="52"/>
  <c r="J294" i="52"/>
  <c r="J295" i="52"/>
  <c r="J296" i="52"/>
  <c r="J297" i="52"/>
  <c r="J298" i="52"/>
  <c r="J299" i="52"/>
  <c r="J300" i="52"/>
  <c r="J301" i="52"/>
  <c r="J302" i="52"/>
  <c r="J303" i="52"/>
  <c r="J304" i="52"/>
  <c r="J305" i="52"/>
  <c r="J306" i="52"/>
  <c r="J307" i="52"/>
  <c r="J308" i="52"/>
  <c r="J309" i="52"/>
  <c r="J310" i="52"/>
  <c r="J311" i="52"/>
  <c r="J312" i="52"/>
  <c r="J313" i="52"/>
  <c r="J314" i="52"/>
  <c r="J315" i="52"/>
  <c r="J316" i="52"/>
  <c r="J317" i="52"/>
  <c r="J318" i="52"/>
  <c r="J319" i="52"/>
  <c r="J320" i="52"/>
  <c r="J321" i="52"/>
  <c r="J322" i="52"/>
  <c r="J323" i="52"/>
  <c r="J324" i="52"/>
  <c r="J325" i="52"/>
  <c r="J326" i="52"/>
  <c r="J327" i="52"/>
  <c r="J328" i="52"/>
  <c r="J329" i="52"/>
  <c r="J330" i="52"/>
  <c r="J331" i="52"/>
  <c r="J332" i="52"/>
  <c r="J333" i="52"/>
  <c r="J334" i="52"/>
  <c r="J335" i="52"/>
  <c r="J336" i="52"/>
  <c r="J337" i="52"/>
  <c r="J338" i="52"/>
  <c r="J339" i="52"/>
  <c r="J340" i="52"/>
  <c r="J341" i="52"/>
  <c r="J342" i="52"/>
  <c r="J343" i="52"/>
  <c r="J344" i="52"/>
  <c r="J345" i="52"/>
  <c r="J346" i="52"/>
  <c r="J347" i="52"/>
  <c r="J348" i="52"/>
  <c r="J349" i="52"/>
  <c r="J350" i="52"/>
  <c r="J351" i="52"/>
  <c r="J352" i="52"/>
  <c r="J353" i="52"/>
  <c r="J354" i="52"/>
  <c r="J355" i="52"/>
  <c r="J356" i="52"/>
  <c r="J357" i="52"/>
  <c r="J358" i="52"/>
  <c r="J359" i="52"/>
  <c r="J360" i="52"/>
  <c r="J361" i="52"/>
  <c r="J362" i="52"/>
  <c r="J363" i="52"/>
  <c r="J364" i="52"/>
  <c r="J365" i="52"/>
  <c r="J366" i="52"/>
  <c r="J367" i="52"/>
  <c r="J368" i="52"/>
  <c r="J369" i="52"/>
  <c r="J370" i="52"/>
  <c r="J371" i="52"/>
  <c r="J372" i="52"/>
  <c r="J373" i="52"/>
  <c r="J374" i="52"/>
  <c r="J375" i="52"/>
  <c r="J376" i="52"/>
  <c r="J377" i="52"/>
  <c r="J378" i="52"/>
  <c r="J379" i="52"/>
  <c r="J380" i="52"/>
  <c r="J381" i="52"/>
  <c r="J382" i="52"/>
  <c r="J383" i="52"/>
  <c r="J384" i="52"/>
  <c r="J385" i="52"/>
  <c r="J386" i="52"/>
  <c r="J387" i="52"/>
  <c r="J388" i="52"/>
  <c r="J389" i="52"/>
  <c r="J390" i="52"/>
  <c r="J391" i="52"/>
  <c r="J392" i="52"/>
  <c r="J393" i="52"/>
  <c r="J394" i="52"/>
  <c r="J395" i="52"/>
  <c r="J396" i="52"/>
  <c r="J397" i="52"/>
  <c r="J398" i="52"/>
  <c r="J399" i="52"/>
  <c r="J400" i="52"/>
  <c r="J401" i="52"/>
  <c r="J402" i="52"/>
  <c r="J403" i="52"/>
  <c r="J404" i="52"/>
  <c r="J405" i="52"/>
  <c r="J406" i="52"/>
  <c r="J407" i="52"/>
  <c r="J408" i="52"/>
  <c r="J409" i="52"/>
  <c r="J410" i="52"/>
  <c r="J411" i="52"/>
  <c r="J412" i="52"/>
  <c r="J413" i="52"/>
  <c r="J414" i="52"/>
  <c r="J415" i="52"/>
  <c r="J416" i="52"/>
  <c r="J417" i="52"/>
  <c r="J418" i="52"/>
  <c r="J419" i="52"/>
  <c r="J420" i="52"/>
  <c r="J421" i="52"/>
  <c r="J422" i="52"/>
  <c r="J2" i="52"/>
  <c r="K3" i="52"/>
  <c r="K4" i="52"/>
  <c r="K5" i="52"/>
  <c r="K6" i="52"/>
  <c r="K7" i="52"/>
  <c r="K8" i="52"/>
  <c r="K9" i="52"/>
  <c r="K10" i="52"/>
  <c r="K11" i="52"/>
  <c r="K12" i="52"/>
  <c r="K13" i="52"/>
  <c r="K14" i="52"/>
  <c r="K15" i="52"/>
  <c r="K16" i="52"/>
  <c r="K17" i="52"/>
  <c r="K18" i="52"/>
  <c r="K19" i="52"/>
  <c r="K20" i="52"/>
  <c r="K21" i="52"/>
  <c r="K22" i="52"/>
  <c r="K23" i="52"/>
  <c r="K24" i="52"/>
  <c r="K25" i="52"/>
  <c r="K26" i="52"/>
  <c r="K27" i="52"/>
  <c r="K28" i="52"/>
  <c r="K29" i="52"/>
  <c r="K30" i="52"/>
  <c r="K31" i="52"/>
  <c r="K32" i="52"/>
  <c r="K33" i="52"/>
  <c r="K34" i="52"/>
  <c r="K35" i="52"/>
  <c r="K36" i="52"/>
  <c r="K37" i="52"/>
  <c r="K38" i="52"/>
  <c r="K39" i="52"/>
  <c r="K40" i="52"/>
  <c r="K41" i="52"/>
  <c r="K42" i="52"/>
  <c r="K43" i="52"/>
  <c r="K44" i="52"/>
  <c r="K45" i="52"/>
  <c r="K46" i="52"/>
  <c r="K47" i="52"/>
  <c r="K48" i="52"/>
  <c r="K49" i="52"/>
  <c r="K50" i="52"/>
  <c r="K51" i="52"/>
  <c r="K52" i="52"/>
  <c r="K53" i="52"/>
  <c r="K54" i="52"/>
  <c r="K55" i="52"/>
  <c r="K56" i="52"/>
  <c r="K57" i="52"/>
  <c r="K58" i="52"/>
  <c r="K59" i="52"/>
  <c r="K60" i="52"/>
  <c r="K61" i="52"/>
  <c r="K62" i="52"/>
  <c r="K63" i="52"/>
  <c r="K64" i="52"/>
  <c r="K65" i="52"/>
  <c r="K66" i="52"/>
  <c r="K67" i="52"/>
  <c r="K68" i="52"/>
  <c r="K69" i="52"/>
  <c r="K70" i="52"/>
  <c r="K71" i="52"/>
  <c r="K72" i="52"/>
  <c r="K73" i="52"/>
  <c r="K74" i="52"/>
  <c r="K75" i="52"/>
  <c r="K76" i="52"/>
  <c r="K77" i="52"/>
  <c r="K78" i="52"/>
  <c r="K79" i="52"/>
  <c r="K80" i="52"/>
  <c r="K81" i="52"/>
  <c r="K82" i="52"/>
  <c r="K83" i="52"/>
  <c r="K84" i="52"/>
  <c r="K85" i="52"/>
  <c r="K86" i="52"/>
  <c r="K87" i="52"/>
  <c r="K88" i="52"/>
  <c r="K89" i="52"/>
  <c r="K90" i="52"/>
  <c r="K91" i="52"/>
  <c r="K92" i="52"/>
  <c r="K93" i="52"/>
  <c r="K94" i="52"/>
  <c r="K95" i="52"/>
  <c r="K96" i="52"/>
  <c r="K97" i="52"/>
  <c r="K98" i="52"/>
  <c r="K99" i="52"/>
  <c r="K100" i="52"/>
  <c r="K101" i="52"/>
  <c r="K102" i="52"/>
  <c r="K103" i="52"/>
  <c r="K104" i="52"/>
  <c r="K105" i="52"/>
  <c r="K106" i="52"/>
  <c r="K107" i="52"/>
  <c r="K108" i="52"/>
  <c r="K109" i="52"/>
  <c r="K110" i="52"/>
  <c r="K111" i="52"/>
  <c r="K112" i="52"/>
  <c r="K113" i="52"/>
  <c r="K114" i="52"/>
  <c r="K115" i="52"/>
  <c r="K116" i="52"/>
  <c r="K117" i="52"/>
  <c r="K118" i="52"/>
  <c r="K119" i="52"/>
  <c r="K120" i="52"/>
  <c r="K121" i="52"/>
  <c r="K122" i="52"/>
  <c r="K123" i="52"/>
  <c r="K124" i="52"/>
  <c r="K125" i="52"/>
  <c r="K126" i="52"/>
  <c r="K127" i="52"/>
  <c r="K128" i="52"/>
  <c r="K129" i="52"/>
  <c r="K130" i="52"/>
  <c r="K131" i="52"/>
  <c r="K132" i="52"/>
  <c r="K133" i="52"/>
  <c r="K134" i="52"/>
  <c r="K135" i="52"/>
  <c r="K136" i="52"/>
  <c r="K137" i="52"/>
  <c r="K138" i="52"/>
  <c r="K139" i="52"/>
  <c r="K140" i="52"/>
  <c r="K141" i="52"/>
  <c r="K142" i="52"/>
  <c r="K143" i="52"/>
  <c r="K144" i="52"/>
  <c r="K145" i="52"/>
  <c r="K146" i="52"/>
  <c r="K147" i="52"/>
  <c r="K148" i="52"/>
  <c r="K149" i="52"/>
  <c r="K150" i="52"/>
  <c r="K151" i="52"/>
  <c r="K152" i="52"/>
  <c r="K153" i="52"/>
  <c r="K154" i="52"/>
  <c r="K155" i="52"/>
  <c r="K156" i="52"/>
  <c r="K157" i="52"/>
  <c r="K158" i="52"/>
  <c r="K159" i="52"/>
  <c r="K160" i="52"/>
  <c r="K161" i="52"/>
  <c r="K162" i="52"/>
  <c r="K163" i="52"/>
  <c r="K164" i="52"/>
  <c r="K165" i="52"/>
  <c r="K166" i="52"/>
  <c r="K167" i="52"/>
  <c r="K168" i="52"/>
  <c r="K169" i="52"/>
  <c r="K170" i="52"/>
  <c r="K171" i="52"/>
  <c r="K172" i="52"/>
  <c r="K173" i="52"/>
  <c r="K174" i="52"/>
  <c r="K175" i="52"/>
  <c r="K176" i="52"/>
  <c r="K177" i="52"/>
  <c r="K178" i="52"/>
  <c r="K179" i="52"/>
  <c r="K180" i="52"/>
  <c r="K181" i="52"/>
  <c r="K182" i="52"/>
  <c r="K183" i="52"/>
  <c r="K184" i="52"/>
  <c r="K185" i="52"/>
  <c r="K186" i="52"/>
  <c r="K187" i="52"/>
  <c r="K188" i="52"/>
  <c r="K189" i="52"/>
  <c r="K190" i="52"/>
  <c r="K191" i="52"/>
  <c r="K192" i="52"/>
  <c r="K193" i="52"/>
  <c r="K194" i="52"/>
  <c r="K195" i="52"/>
  <c r="K196" i="52"/>
  <c r="K197" i="52"/>
  <c r="K198" i="52"/>
  <c r="K199" i="52"/>
  <c r="K200" i="52"/>
  <c r="K201" i="52"/>
  <c r="K202" i="52"/>
  <c r="K203" i="52"/>
  <c r="K204" i="52"/>
  <c r="K205" i="52"/>
  <c r="K206" i="52"/>
  <c r="K207" i="52"/>
  <c r="K208" i="52"/>
  <c r="K209" i="52"/>
  <c r="K210" i="52"/>
  <c r="K211" i="52"/>
  <c r="K212" i="52"/>
  <c r="K213" i="52"/>
  <c r="K214" i="52"/>
  <c r="K215" i="52"/>
  <c r="K216" i="52"/>
  <c r="K217" i="52"/>
  <c r="K218" i="52"/>
  <c r="K219" i="52"/>
  <c r="K220" i="52"/>
  <c r="K221" i="52"/>
  <c r="K222" i="52"/>
  <c r="K223" i="52"/>
  <c r="K224" i="52"/>
  <c r="K225" i="52"/>
  <c r="K226" i="52"/>
  <c r="K227" i="52"/>
  <c r="K228" i="52"/>
  <c r="K229" i="52"/>
  <c r="K230" i="52"/>
  <c r="K231" i="52"/>
  <c r="K232" i="52"/>
  <c r="K233" i="52"/>
  <c r="K234" i="52"/>
  <c r="K235" i="52"/>
  <c r="K236" i="52"/>
  <c r="K237" i="52"/>
  <c r="K238" i="52"/>
  <c r="K239" i="52"/>
  <c r="K240" i="52"/>
  <c r="K241" i="52"/>
  <c r="K242" i="52"/>
  <c r="K243" i="52"/>
  <c r="K244" i="52"/>
  <c r="K245" i="52"/>
  <c r="K246" i="52"/>
  <c r="K247" i="52"/>
  <c r="K248" i="52"/>
  <c r="K249" i="52"/>
  <c r="K250" i="52"/>
  <c r="K251" i="52"/>
  <c r="K252" i="52"/>
  <c r="K253" i="52"/>
  <c r="K254" i="52"/>
  <c r="K255" i="52"/>
  <c r="K256" i="52"/>
  <c r="K257" i="52"/>
  <c r="K258" i="52"/>
  <c r="K259" i="52"/>
  <c r="K260" i="52"/>
  <c r="K261" i="52"/>
  <c r="K262" i="52"/>
  <c r="K263" i="52"/>
  <c r="K264" i="52"/>
  <c r="K265" i="52"/>
  <c r="K266" i="52"/>
  <c r="K267" i="52"/>
  <c r="K268" i="52"/>
  <c r="K269" i="52"/>
  <c r="K270" i="52"/>
  <c r="K271" i="52"/>
  <c r="K272" i="52"/>
  <c r="K273" i="52"/>
  <c r="K274" i="52"/>
  <c r="K275" i="52"/>
  <c r="K276" i="52"/>
  <c r="K277" i="52"/>
  <c r="K278" i="52"/>
  <c r="K279" i="52"/>
  <c r="K280" i="52"/>
  <c r="K281" i="52"/>
  <c r="K282" i="52"/>
  <c r="K283" i="52"/>
  <c r="K284" i="52"/>
  <c r="K285" i="52"/>
  <c r="K286" i="52"/>
  <c r="K287" i="52"/>
  <c r="K288" i="52"/>
  <c r="K289" i="52"/>
  <c r="K290" i="52"/>
  <c r="K291" i="52"/>
  <c r="K292" i="52"/>
  <c r="K293" i="52"/>
  <c r="K294" i="52"/>
  <c r="K295" i="52"/>
  <c r="K296" i="52"/>
  <c r="K297" i="52"/>
  <c r="K298" i="52"/>
  <c r="K299" i="52"/>
  <c r="K300" i="52"/>
  <c r="K301" i="52"/>
  <c r="K302" i="52"/>
  <c r="K303" i="52"/>
  <c r="K304" i="52"/>
  <c r="K305" i="52"/>
  <c r="K306" i="52"/>
  <c r="K307" i="52"/>
  <c r="K308" i="52"/>
  <c r="K309" i="52"/>
  <c r="K310" i="52"/>
  <c r="K311" i="52"/>
  <c r="K312" i="52"/>
  <c r="K313" i="52"/>
  <c r="K314" i="52"/>
  <c r="K315" i="52"/>
  <c r="K316" i="52"/>
  <c r="K317" i="52"/>
  <c r="K318" i="52"/>
  <c r="K319" i="52"/>
  <c r="K320" i="52"/>
  <c r="K321" i="52"/>
  <c r="K322" i="52"/>
  <c r="K323" i="52"/>
  <c r="K324" i="52"/>
  <c r="K325" i="52"/>
  <c r="K326" i="52"/>
  <c r="K327" i="52"/>
  <c r="K328" i="52"/>
  <c r="K329" i="52"/>
  <c r="K330" i="52"/>
  <c r="K331" i="52"/>
  <c r="K332" i="52"/>
  <c r="K333" i="52"/>
  <c r="K334" i="52"/>
  <c r="K335" i="52"/>
  <c r="K336" i="52"/>
  <c r="K337" i="52"/>
  <c r="K338" i="52"/>
  <c r="K339" i="52"/>
  <c r="K340" i="52"/>
  <c r="K341" i="52"/>
  <c r="K342" i="52"/>
  <c r="K343" i="52"/>
  <c r="K344" i="52"/>
  <c r="K345" i="52"/>
  <c r="K346" i="52"/>
  <c r="K347" i="52"/>
  <c r="K348" i="52"/>
  <c r="K349" i="52"/>
  <c r="K350" i="52"/>
  <c r="K351" i="52"/>
  <c r="K352" i="52"/>
  <c r="K353" i="52"/>
  <c r="K354" i="52"/>
  <c r="K355" i="52"/>
  <c r="K356" i="52"/>
  <c r="K357" i="52"/>
  <c r="K358" i="52"/>
  <c r="K359" i="52"/>
  <c r="K360" i="52"/>
  <c r="K361" i="52"/>
  <c r="K362" i="52"/>
  <c r="K363" i="52"/>
  <c r="K364" i="52"/>
  <c r="K365" i="52"/>
  <c r="K366" i="52"/>
  <c r="K367" i="52"/>
  <c r="K368" i="52"/>
  <c r="K369" i="52"/>
  <c r="K370" i="52"/>
  <c r="K371" i="52"/>
  <c r="K372" i="52"/>
  <c r="K373" i="52"/>
  <c r="K374" i="52"/>
  <c r="K375" i="52"/>
  <c r="K376" i="52"/>
  <c r="K377" i="52"/>
  <c r="K378" i="52"/>
  <c r="K379" i="52"/>
  <c r="K380" i="52"/>
  <c r="K381" i="52"/>
  <c r="K382" i="52"/>
  <c r="K383" i="52"/>
  <c r="K384" i="52"/>
  <c r="K385" i="52"/>
  <c r="K386" i="52"/>
  <c r="K387" i="52"/>
  <c r="K388" i="52"/>
  <c r="K389" i="52"/>
  <c r="K390" i="52"/>
  <c r="K391" i="52"/>
  <c r="K392" i="52"/>
  <c r="K393" i="52"/>
  <c r="K394" i="52"/>
  <c r="K395" i="52"/>
  <c r="K396" i="52"/>
  <c r="K397" i="52"/>
  <c r="K398" i="52"/>
  <c r="K399" i="52"/>
  <c r="K400" i="52"/>
  <c r="K401" i="52"/>
  <c r="K402" i="52"/>
  <c r="K403" i="52"/>
  <c r="K404" i="52"/>
  <c r="K405" i="52"/>
  <c r="K406" i="52"/>
  <c r="K407" i="52"/>
  <c r="K408" i="52"/>
  <c r="K409" i="52"/>
  <c r="K410" i="52"/>
  <c r="K411" i="52"/>
  <c r="K412" i="52"/>
  <c r="K413" i="52"/>
  <c r="K414" i="52"/>
  <c r="K415" i="52"/>
  <c r="K416" i="52"/>
  <c r="K417" i="52"/>
  <c r="K418" i="52"/>
  <c r="K419" i="52"/>
  <c r="K420" i="52"/>
  <c r="K421" i="52"/>
  <c r="K422" i="52"/>
  <c r="K2" i="52"/>
  <c r="Y17" i="5" l="1"/>
  <c r="V17" i="5"/>
  <c r="D53" i="5" l="1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51" i="5"/>
  <c r="D52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3" i="5"/>
  <c r="H3" i="5" s="1"/>
  <c r="I3" i="5" l="1"/>
  <c r="E4" i="5" s="1"/>
  <c r="H4" i="5" s="1"/>
  <c r="I4" i="5" l="1"/>
  <c r="E5" i="5" s="1"/>
  <c r="H5" i="5" s="1"/>
  <c r="I5" i="5" l="1"/>
  <c r="E6" i="5" s="1"/>
  <c r="H6" i="5" s="1"/>
  <c r="I6" i="5" l="1"/>
  <c r="E7" i="5" s="1"/>
  <c r="H7" i="5" s="1"/>
  <c r="I7" i="5" l="1"/>
  <c r="E8" i="5" s="1"/>
  <c r="H8" i="5" s="1"/>
  <c r="I8" i="5" l="1"/>
  <c r="E9" i="5" s="1"/>
  <c r="H9" i="5" s="1"/>
  <c r="I9" i="5" l="1"/>
  <c r="E10" i="5" s="1"/>
  <c r="H10" i="5" s="1"/>
  <c r="I10" i="5" l="1"/>
  <c r="E11" i="5" s="1"/>
  <c r="H11" i="5" s="1"/>
  <c r="I11" i="5" l="1"/>
  <c r="E12" i="5" s="1"/>
  <c r="H12" i="5" s="1"/>
  <c r="I12" i="5" l="1"/>
  <c r="E13" i="5" s="1"/>
  <c r="H13" i="5" s="1"/>
  <c r="I13" i="5" l="1"/>
  <c r="E14" i="5" s="1"/>
  <c r="H14" i="5" s="1"/>
  <c r="I14" i="5" l="1"/>
  <c r="E15" i="5" s="1"/>
  <c r="H15" i="5" s="1"/>
  <c r="I15" i="5" l="1"/>
  <c r="E16" i="5" s="1"/>
  <c r="H16" i="5" s="1"/>
  <c r="I16" i="5" l="1"/>
  <c r="E17" i="5" s="1"/>
  <c r="H17" i="5" s="1"/>
  <c r="I17" i="5" l="1"/>
  <c r="E18" i="5" s="1"/>
  <c r="H18" i="5" s="1"/>
  <c r="I18" i="5" l="1"/>
  <c r="E19" i="5" s="1"/>
  <c r="H19" i="5" s="1"/>
  <c r="I19" i="5" l="1"/>
  <c r="E20" i="5" s="1"/>
  <c r="H20" i="5" s="1"/>
  <c r="I20" i="5" l="1"/>
  <c r="E21" i="5" s="1"/>
  <c r="H21" i="5" s="1"/>
  <c r="I21" i="5" l="1"/>
  <c r="E22" i="5" s="1"/>
  <c r="H22" i="5" s="1"/>
  <c r="I22" i="5" l="1"/>
  <c r="E23" i="5" s="1"/>
  <c r="H23" i="5" s="1"/>
  <c r="I23" i="5" l="1"/>
  <c r="E24" i="5" s="1"/>
  <c r="H24" i="5" s="1"/>
  <c r="I24" i="5" l="1"/>
  <c r="E25" i="5" s="1"/>
  <c r="H25" i="5" s="1"/>
  <c r="I25" i="5" l="1"/>
  <c r="E26" i="5" s="1"/>
  <c r="H26" i="5" s="1"/>
  <c r="I26" i="5" l="1"/>
  <c r="E27" i="5" s="1"/>
  <c r="H27" i="5" s="1"/>
  <c r="I27" i="5" l="1"/>
  <c r="E28" i="5" s="1"/>
  <c r="H28" i="5" l="1"/>
  <c r="I28" i="5" s="1"/>
  <c r="E29" i="5" s="1"/>
  <c r="H29" i="5" l="1"/>
  <c r="I29" i="5" s="1"/>
  <c r="E30" i="5" s="1"/>
  <c r="H30" i="5" l="1"/>
  <c r="I30" i="5" s="1"/>
  <c r="E31" i="5" s="1"/>
  <c r="H31" i="5" l="1"/>
  <c r="I31" i="5" s="1"/>
  <c r="E32" i="5" s="1"/>
  <c r="H32" i="5" l="1"/>
  <c r="I32" i="5" s="1"/>
  <c r="E33" i="5" s="1"/>
  <c r="H33" i="5" l="1"/>
  <c r="I33" i="5" s="1"/>
  <c r="E34" i="5" s="1"/>
  <c r="H34" i="5" l="1"/>
  <c r="I34" i="5" s="1"/>
  <c r="E35" i="5" s="1"/>
  <c r="H35" i="5" l="1"/>
  <c r="I35" i="5" s="1"/>
  <c r="E36" i="5" s="1"/>
  <c r="H36" i="5" l="1"/>
  <c r="I36" i="5" s="1"/>
  <c r="E37" i="5" s="1"/>
  <c r="H37" i="5" l="1"/>
  <c r="I37" i="5" s="1"/>
  <c r="E38" i="5" s="1"/>
  <c r="H38" i="5" l="1"/>
  <c r="I38" i="5" s="1"/>
  <c r="E39" i="5" s="1"/>
  <c r="H39" i="5" l="1"/>
  <c r="I39" i="5" s="1"/>
  <c r="E40" i="5" s="1"/>
  <c r="H40" i="5" l="1"/>
  <c r="I40" i="5" s="1"/>
  <c r="E41" i="5" s="1"/>
  <c r="H41" i="5" l="1"/>
  <c r="I41" i="5" s="1"/>
  <c r="E42" i="5" s="1"/>
  <c r="H42" i="5" l="1"/>
  <c r="I42" i="5" s="1"/>
  <c r="E43" i="5" s="1"/>
  <c r="H43" i="5" l="1"/>
  <c r="I43" i="5" s="1"/>
  <c r="E44" i="5" s="1"/>
  <c r="H44" i="5" l="1"/>
  <c r="I44" i="5" s="1"/>
  <c r="E45" i="5" s="1"/>
  <c r="H45" i="5" l="1"/>
  <c r="I45" i="5" s="1"/>
  <c r="E46" i="5" s="1"/>
  <c r="H46" i="5" l="1"/>
  <c r="I46" i="5" s="1"/>
  <c r="E47" i="5" s="1"/>
  <c r="H47" i="5" l="1"/>
  <c r="I47" i="5" s="1"/>
  <c r="E48" i="5" s="1"/>
  <c r="H48" i="5" l="1"/>
  <c r="I48" i="5" s="1"/>
  <c r="E49" i="5" s="1"/>
  <c r="H49" i="5" l="1"/>
  <c r="I49" i="5" s="1"/>
  <c r="E50" i="5" s="1"/>
  <c r="H50" i="5" l="1"/>
  <c r="I50" i="5" s="1"/>
  <c r="E51" i="5" s="1"/>
  <c r="H51" i="5" l="1"/>
  <c r="I51" i="5" s="1"/>
  <c r="E52" i="5" s="1"/>
  <c r="H52" i="5" l="1"/>
  <c r="I52" i="5" s="1"/>
  <c r="E53" i="5" s="1"/>
  <c r="H53" i="5" l="1"/>
  <c r="I53" i="5" s="1"/>
  <c r="E54" i="5" s="1"/>
  <c r="H54" i="5" l="1"/>
  <c r="I54" i="5" s="1"/>
  <c r="E55" i="5" s="1"/>
  <c r="H55" i="5" l="1"/>
  <c r="I55" i="5" s="1"/>
  <c r="E56" i="5" s="1"/>
  <c r="H56" i="5" l="1"/>
  <c r="I56" i="5" s="1"/>
  <c r="E57" i="5" s="1"/>
  <c r="H57" i="5" l="1"/>
  <c r="I57" i="5" s="1"/>
  <c r="E58" i="5" s="1"/>
  <c r="H58" i="5" l="1"/>
  <c r="I58" i="5" s="1"/>
  <c r="E59" i="5" s="1"/>
  <c r="H59" i="5" l="1"/>
  <c r="I59" i="5" s="1"/>
  <c r="E60" i="5" s="1"/>
  <c r="H60" i="5" l="1"/>
  <c r="I60" i="5" s="1"/>
  <c r="E61" i="5" s="1"/>
  <c r="H61" i="5" l="1"/>
  <c r="I61" i="5" s="1"/>
  <c r="E62" i="5" s="1"/>
  <c r="H62" i="5" l="1"/>
  <c r="I62" i="5" s="1"/>
  <c r="E63" i="5" s="1"/>
  <c r="H63" i="5" l="1"/>
  <c r="I63" i="5" s="1"/>
  <c r="E64" i="5" s="1"/>
  <c r="H64" i="5" l="1"/>
  <c r="I64" i="5" s="1"/>
  <c r="E65" i="5" s="1"/>
  <c r="H65" i="5" l="1"/>
  <c r="I65" i="5" s="1"/>
  <c r="E66" i="5" s="1"/>
  <c r="H66" i="5" l="1"/>
  <c r="I66" i="5" s="1"/>
  <c r="E67" i="5" s="1"/>
  <c r="H67" i="5" l="1"/>
  <c r="I67" i="5" s="1"/>
  <c r="E68" i="5" s="1"/>
  <c r="H68" i="5" l="1"/>
  <c r="I68" i="5" s="1"/>
  <c r="E69" i="5" s="1"/>
  <c r="H69" i="5" l="1"/>
  <c r="I69" i="5" s="1"/>
  <c r="E70" i="5" s="1"/>
  <c r="H70" i="5" l="1"/>
  <c r="I70" i="5" s="1"/>
  <c r="E71" i="5" s="1"/>
  <c r="H71" i="5" l="1"/>
  <c r="I71" i="5" s="1"/>
  <c r="E72" i="5" s="1"/>
  <c r="H72" i="5" l="1"/>
  <c r="I72" i="5" s="1"/>
  <c r="E73" i="5" s="1"/>
  <c r="H73" i="5" l="1"/>
  <c r="I73" i="5" s="1"/>
  <c r="E74" i="5" s="1"/>
  <c r="H74" i="5" l="1"/>
  <c r="I74" i="5" s="1"/>
  <c r="E75" i="5" s="1"/>
  <c r="H75" i="5" l="1"/>
  <c r="I75" i="5" s="1"/>
  <c r="E76" i="5" s="1"/>
  <c r="H76" i="5" l="1"/>
  <c r="I76" i="5" s="1"/>
  <c r="E77" i="5" s="1"/>
  <c r="H77" i="5" l="1"/>
  <c r="I77" i="5" s="1"/>
  <c r="E78" i="5" s="1"/>
  <c r="H78" i="5" l="1"/>
  <c r="I78" i="5" s="1"/>
  <c r="E79" i="5" s="1"/>
  <c r="H79" i="5" l="1"/>
  <c r="I79" i="5" s="1"/>
  <c r="E80" i="5" s="1"/>
  <c r="H80" i="5" l="1"/>
  <c r="I80" i="5" s="1"/>
  <c r="E81" i="5" s="1"/>
  <c r="H81" i="5" l="1"/>
  <c r="I81" i="5" s="1"/>
  <c r="E82" i="5" s="1"/>
  <c r="H82" i="5" l="1"/>
  <c r="I82" i="5" s="1"/>
  <c r="E83" i="5" s="1"/>
  <c r="H83" i="5" l="1"/>
  <c r="I83" i="5" s="1"/>
  <c r="E84" i="5" s="1"/>
  <c r="H84" i="5" l="1"/>
  <c r="I84" i="5" s="1"/>
  <c r="E85" i="5" s="1"/>
  <c r="H85" i="5" l="1"/>
  <c r="I85" i="5" s="1"/>
  <c r="E86" i="5" s="1"/>
  <c r="H86" i="5" l="1"/>
  <c r="I86" i="5" s="1"/>
  <c r="E87" i="5" s="1"/>
  <c r="H87" i="5" l="1"/>
  <c r="I87" i="5" s="1"/>
  <c r="E88" i="5" s="1"/>
  <c r="H88" i="5" l="1"/>
  <c r="I88" i="5" s="1"/>
  <c r="E89" i="5" s="1"/>
  <c r="H89" i="5" l="1"/>
  <c r="I89" i="5" s="1"/>
  <c r="E90" i="5" s="1"/>
  <c r="H90" i="5" l="1"/>
  <c r="I90" i="5" s="1"/>
  <c r="E91" i="5" s="1"/>
  <c r="H91" i="5" l="1"/>
  <c r="I91" i="5" s="1"/>
  <c r="E92" i="5" s="1"/>
  <c r="H92" i="5" l="1"/>
  <c r="I92" i="5" s="1"/>
  <c r="E93" i="5" s="1"/>
  <c r="H93" i="5" l="1"/>
  <c r="I93" i="5" s="1"/>
  <c r="E94" i="5" s="1"/>
  <c r="H94" i="5" l="1"/>
  <c r="I94" i="5" s="1"/>
  <c r="E95" i="5" s="1"/>
  <c r="H95" i="5" l="1"/>
  <c r="I95" i="5" s="1"/>
  <c r="E96" i="5" s="1"/>
  <c r="H96" i="5" l="1"/>
  <c r="I96" i="5" s="1"/>
  <c r="E97" i="5" s="1"/>
  <c r="H97" i="5" l="1"/>
  <c r="I97" i="5" s="1"/>
  <c r="E98" i="5" s="1"/>
  <c r="H98" i="5" l="1"/>
  <c r="I98" i="5" s="1"/>
  <c r="E99" i="5" s="1"/>
  <c r="H99" i="5" l="1"/>
  <c r="I99" i="5" s="1"/>
  <c r="E100" i="5" s="1"/>
  <c r="H100" i="5" l="1"/>
  <c r="I100" i="5" s="1"/>
  <c r="E101" i="5" s="1"/>
  <c r="H101" i="5" l="1"/>
  <c r="I101" i="5" s="1"/>
  <c r="E102" i="5" s="1"/>
  <c r="H102" i="5" l="1"/>
  <c r="I102" i="5" s="1"/>
  <c r="E103" i="5" s="1"/>
  <c r="H103" i="5" l="1"/>
  <c r="I103" i="5" s="1"/>
  <c r="E104" i="5" s="1"/>
  <c r="H104" i="5" l="1"/>
  <c r="I104" i="5" s="1"/>
  <c r="E105" i="5" s="1"/>
  <c r="H105" i="5" l="1"/>
  <c r="I105" i="5" s="1"/>
  <c r="E106" i="5" s="1"/>
  <c r="H106" i="5" l="1"/>
  <c r="I106" i="5" s="1"/>
  <c r="E107" i="5" s="1"/>
  <c r="H107" i="5" l="1"/>
  <c r="I107" i="5" s="1"/>
  <c r="E108" i="5" s="1"/>
  <c r="H108" i="5" l="1"/>
  <c r="I108" i="5" s="1"/>
  <c r="E109" i="5" s="1"/>
  <c r="H109" i="5" l="1"/>
  <c r="I109" i="5" s="1"/>
  <c r="E110" i="5" s="1"/>
  <c r="H110" i="5" l="1"/>
  <c r="I110" i="5" s="1"/>
  <c r="E111" i="5" s="1"/>
  <c r="H111" i="5" l="1"/>
  <c r="I111" i="5" s="1"/>
  <c r="E112" i="5" s="1"/>
  <c r="H112" i="5" l="1"/>
  <c r="I112" i="5" s="1"/>
  <c r="E113" i="5" s="1"/>
  <c r="H113" i="5" l="1"/>
  <c r="I113" i="5" s="1"/>
  <c r="E114" i="5" s="1"/>
  <c r="H114" i="5" l="1"/>
  <c r="I114" i="5" s="1"/>
  <c r="E115" i="5" s="1"/>
  <c r="H115" i="5" l="1"/>
  <c r="I115" i="5" s="1"/>
  <c r="E116" i="5" s="1"/>
  <c r="H116" i="5" l="1"/>
  <c r="I116" i="5" s="1"/>
  <c r="E117" i="5" s="1"/>
  <c r="H117" i="5" l="1"/>
  <c r="I117" i="5" s="1"/>
  <c r="E118" i="5" s="1"/>
  <c r="H118" i="5" l="1"/>
  <c r="I118" i="5" s="1"/>
  <c r="E119" i="5" s="1"/>
  <c r="H119" i="5" l="1"/>
  <c r="I119" i="5" s="1"/>
  <c r="E120" i="5" s="1"/>
  <c r="H120" i="5" l="1"/>
  <c r="I120" i="5" s="1"/>
  <c r="E121" i="5" s="1"/>
  <c r="H121" i="5" l="1"/>
  <c r="I121" i="5" s="1"/>
  <c r="E122" i="5" s="1"/>
  <c r="H122" i="5" l="1"/>
  <c r="I122" i="5" s="1"/>
  <c r="E123" i="5" s="1"/>
  <c r="H123" i="5" l="1"/>
  <c r="I123" i="5" s="1"/>
  <c r="E124" i="5" s="1"/>
  <c r="H124" i="5" l="1"/>
  <c r="I124" i="5" s="1"/>
  <c r="E125" i="5" s="1"/>
  <c r="H125" i="5" l="1"/>
  <c r="I125" i="5" s="1"/>
  <c r="E126" i="5" s="1"/>
  <c r="H126" i="5" l="1"/>
  <c r="I126" i="5" s="1"/>
  <c r="E127" i="5" s="1"/>
  <c r="H127" i="5" l="1"/>
  <c r="I127" i="5" s="1"/>
  <c r="E128" i="5" s="1"/>
  <c r="H128" i="5" l="1"/>
  <c r="I128" i="5" s="1"/>
  <c r="E129" i="5" s="1"/>
  <c r="H129" i="5" l="1"/>
  <c r="I129" i="5" s="1"/>
  <c r="E130" i="5" s="1"/>
  <c r="H130" i="5" l="1"/>
  <c r="I130" i="5" s="1"/>
  <c r="E131" i="5" s="1"/>
  <c r="H131" i="5" l="1"/>
  <c r="I131" i="5" s="1"/>
  <c r="E132" i="5" s="1"/>
  <c r="H132" i="5" l="1"/>
  <c r="I132" i="5" s="1"/>
  <c r="E133" i="5" s="1"/>
  <c r="H133" i="5" l="1"/>
  <c r="I133" i="5" s="1"/>
  <c r="E134" i="5" s="1"/>
  <c r="H134" i="5" l="1"/>
  <c r="I134" i="5" s="1"/>
  <c r="E135" i="5" s="1"/>
  <c r="H135" i="5" l="1"/>
  <c r="I135" i="5" s="1"/>
  <c r="E136" i="5" s="1"/>
  <c r="H136" i="5" l="1"/>
  <c r="I136" i="5" s="1"/>
  <c r="E137" i="5" s="1"/>
  <c r="H137" i="5" l="1"/>
  <c r="I137" i="5" s="1"/>
  <c r="E138" i="5" s="1"/>
  <c r="H138" i="5" l="1"/>
  <c r="I138" i="5" s="1"/>
  <c r="E139" i="5" s="1"/>
  <c r="H139" i="5" l="1"/>
  <c r="I139" i="5" s="1"/>
  <c r="E140" i="5" s="1"/>
  <c r="H140" i="5" l="1"/>
  <c r="I140" i="5" s="1"/>
  <c r="E141" i="5" s="1"/>
  <c r="H141" i="5" l="1"/>
  <c r="I141" i="5" s="1"/>
  <c r="E142" i="5" s="1"/>
  <c r="H142" i="5" l="1"/>
  <c r="I142" i="5" s="1"/>
  <c r="E143" i="5" s="1"/>
  <c r="H143" i="5" l="1"/>
  <c r="I143" i="5" s="1"/>
  <c r="E144" i="5" s="1"/>
  <c r="H144" i="5" l="1"/>
  <c r="I144" i="5" s="1"/>
  <c r="E145" i="5" s="1"/>
  <c r="H145" i="5" l="1"/>
  <c r="I145" i="5" s="1"/>
  <c r="E146" i="5" s="1"/>
  <c r="H146" i="5" l="1"/>
  <c r="I146" i="5" s="1"/>
  <c r="E147" i="5" s="1"/>
  <c r="H147" i="5" l="1"/>
  <c r="I147" i="5" s="1"/>
  <c r="E148" i="5" s="1"/>
  <c r="H148" i="5" l="1"/>
  <c r="I148" i="5" s="1"/>
  <c r="E149" i="5" s="1"/>
  <c r="H149" i="5" l="1"/>
  <c r="I149" i="5" s="1"/>
  <c r="E150" i="5" s="1"/>
  <c r="H150" i="5" l="1"/>
  <c r="I150" i="5" s="1"/>
  <c r="E151" i="5" s="1"/>
  <c r="H151" i="5" l="1"/>
  <c r="I151" i="5" s="1"/>
  <c r="E152" i="5" s="1"/>
  <c r="H152" i="5" l="1"/>
  <c r="I152" i="5" s="1"/>
  <c r="E153" i="5" s="1"/>
  <c r="H153" i="5" l="1"/>
  <c r="I153" i="5" s="1"/>
  <c r="E154" i="5" s="1"/>
  <c r="H154" i="5" l="1"/>
  <c r="I154" i="5" s="1"/>
  <c r="E155" i="5" s="1"/>
  <c r="H155" i="5" l="1"/>
  <c r="I155" i="5" s="1"/>
  <c r="E156" i="5" s="1"/>
  <c r="H156" i="5" l="1"/>
  <c r="I156" i="5" s="1"/>
  <c r="E157" i="5" s="1"/>
  <c r="H157" i="5" l="1"/>
  <c r="I157" i="5" s="1"/>
  <c r="E158" i="5" s="1"/>
  <c r="H158" i="5" l="1"/>
  <c r="I158" i="5" s="1"/>
  <c r="E159" i="5" s="1"/>
  <c r="H159" i="5" l="1"/>
  <c r="I159" i="5" s="1"/>
  <c r="E160" i="5" s="1"/>
  <c r="H160" i="5" l="1"/>
  <c r="I160" i="5" s="1"/>
  <c r="E161" i="5" s="1"/>
  <c r="H161" i="5" l="1"/>
  <c r="I161" i="5" s="1"/>
  <c r="E162" i="5" s="1"/>
  <c r="H162" i="5" l="1"/>
  <c r="I162" i="5" s="1"/>
  <c r="E163" i="5" s="1"/>
  <c r="H163" i="5" l="1"/>
  <c r="I163" i="5" s="1"/>
  <c r="E164" i="5" s="1"/>
  <c r="H164" i="5" l="1"/>
  <c r="I164" i="5" s="1"/>
  <c r="E165" i="5" s="1"/>
  <c r="H165" i="5" l="1"/>
  <c r="I165" i="5" s="1"/>
  <c r="E166" i="5" s="1"/>
  <c r="H166" i="5" l="1"/>
  <c r="I166" i="5" s="1"/>
  <c r="E167" i="5" s="1"/>
  <c r="H167" i="5" l="1"/>
  <c r="I167" i="5" s="1"/>
  <c r="E168" i="5" s="1"/>
  <c r="H168" i="5" l="1"/>
  <c r="I168" i="5" s="1"/>
  <c r="E169" i="5" s="1"/>
  <c r="H169" i="5" l="1"/>
  <c r="I169" i="5" s="1"/>
  <c r="E170" i="5" s="1"/>
  <c r="H170" i="5" l="1"/>
  <c r="I170" i="5" s="1"/>
  <c r="E171" i="5" s="1"/>
  <c r="H171" i="5" l="1"/>
  <c r="I171" i="5" s="1"/>
  <c r="E172" i="5" s="1"/>
  <c r="H172" i="5" l="1"/>
  <c r="I172" i="5" s="1"/>
  <c r="E173" i="5" s="1"/>
  <c r="H173" i="5" l="1"/>
  <c r="I173" i="5" s="1"/>
  <c r="E174" i="5" s="1"/>
  <c r="H174" i="5" l="1"/>
  <c r="I174" i="5" s="1"/>
  <c r="E175" i="5" s="1"/>
  <c r="H175" i="5" l="1"/>
  <c r="I175" i="5" s="1"/>
  <c r="E176" i="5" s="1"/>
  <c r="H176" i="5" l="1"/>
  <c r="I176" i="5" s="1"/>
  <c r="E177" i="5" s="1"/>
  <c r="H177" i="5" l="1"/>
  <c r="I177" i="5" s="1"/>
  <c r="E178" i="5" s="1"/>
  <c r="H178" i="5" l="1"/>
  <c r="I178" i="5" s="1"/>
  <c r="E179" i="5" s="1"/>
  <c r="H179" i="5" l="1"/>
  <c r="I179" i="5" s="1"/>
  <c r="E180" i="5" s="1"/>
  <c r="H180" i="5" l="1"/>
  <c r="I180" i="5" s="1"/>
  <c r="E181" i="5" s="1"/>
  <c r="H181" i="5" l="1"/>
  <c r="I181" i="5" s="1"/>
  <c r="E182" i="5" s="1"/>
  <c r="H182" i="5" l="1"/>
  <c r="I182" i="5" s="1"/>
  <c r="E183" i="5" s="1"/>
  <c r="H183" i="5" l="1"/>
  <c r="I183" i="5" s="1"/>
  <c r="E184" i="5" s="1"/>
  <c r="H184" i="5" l="1"/>
  <c r="I184" i="5" s="1"/>
  <c r="E185" i="5" s="1"/>
  <c r="H185" i="5" l="1"/>
  <c r="I185" i="5" s="1"/>
  <c r="E186" i="5" s="1"/>
  <c r="H186" i="5" l="1"/>
  <c r="I186" i="5" s="1"/>
  <c r="E187" i="5" s="1"/>
  <c r="H187" i="5" l="1"/>
  <c r="I187" i="5" s="1"/>
  <c r="E188" i="5" s="1"/>
  <c r="H188" i="5" l="1"/>
  <c r="I188" i="5" s="1"/>
  <c r="E189" i="5" s="1"/>
  <c r="H189" i="5" l="1"/>
  <c r="I189" i="5" s="1"/>
  <c r="E190" i="5" s="1"/>
  <c r="H190" i="5" l="1"/>
  <c r="I190" i="5" s="1"/>
  <c r="E191" i="5" s="1"/>
  <c r="H191" i="5" l="1"/>
  <c r="I191" i="5" s="1"/>
  <c r="E192" i="5" s="1"/>
  <c r="H192" i="5" l="1"/>
  <c r="I192" i="5" s="1"/>
  <c r="E193" i="5" s="1"/>
  <c r="H193" i="5" l="1"/>
  <c r="I193" i="5" s="1"/>
  <c r="E194" i="5" s="1"/>
  <c r="H194" i="5" l="1"/>
  <c r="I194" i="5" s="1"/>
  <c r="E195" i="5" s="1"/>
  <c r="H195" i="5" l="1"/>
  <c r="I195" i="5" s="1"/>
  <c r="E196" i="5" s="1"/>
  <c r="H196" i="5" l="1"/>
  <c r="I196" i="5" s="1"/>
  <c r="E197" i="5" s="1"/>
  <c r="H197" i="5" l="1"/>
  <c r="I197" i="5" s="1"/>
  <c r="E198" i="5" s="1"/>
  <c r="H198" i="5" l="1"/>
  <c r="I198" i="5" s="1"/>
  <c r="E199" i="5" s="1"/>
  <c r="H199" i="5" l="1"/>
  <c r="I199" i="5" s="1"/>
  <c r="E200" i="5" s="1"/>
  <c r="H200" i="5" l="1"/>
  <c r="I200" i="5" s="1"/>
  <c r="E201" i="5" s="1"/>
  <c r="H201" i="5" l="1"/>
  <c r="I201" i="5" s="1"/>
  <c r="E202" i="5" s="1"/>
  <c r="H202" i="5" l="1"/>
  <c r="I202" i="5" s="1"/>
  <c r="E203" i="5" s="1"/>
  <c r="H203" i="5" l="1"/>
  <c r="I203" i="5" s="1"/>
  <c r="E204" i="5" s="1"/>
  <c r="H204" i="5" l="1"/>
  <c r="I204" i="5" s="1"/>
  <c r="E205" i="5" s="1"/>
  <c r="H205" i="5" l="1"/>
  <c r="I205" i="5" s="1"/>
  <c r="E206" i="5" s="1"/>
  <c r="H206" i="5" l="1"/>
  <c r="I206" i="5" s="1"/>
  <c r="E207" i="5" s="1"/>
  <c r="H207" i="5" l="1"/>
  <c r="I207" i="5" s="1"/>
  <c r="E208" i="5" s="1"/>
  <c r="H208" i="5" l="1"/>
  <c r="I208" i="5" s="1"/>
  <c r="E209" i="5" s="1"/>
  <c r="H209" i="5" l="1"/>
  <c r="I209" i="5" s="1"/>
  <c r="E210" i="5" s="1"/>
  <c r="H210" i="5" l="1"/>
  <c r="I210" i="5" s="1"/>
  <c r="E211" i="5" s="1"/>
  <c r="H211" i="5" l="1"/>
  <c r="I211" i="5" s="1"/>
  <c r="E212" i="5" s="1"/>
  <c r="H212" i="5" l="1"/>
  <c r="I212" i="5" s="1"/>
  <c r="E213" i="5" s="1"/>
  <c r="H213" i="5" l="1"/>
  <c r="I213" i="5" s="1"/>
  <c r="E214" i="5" s="1"/>
  <c r="H214" i="5" l="1"/>
  <c r="I214" i="5" s="1"/>
  <c r="E215" i="5" s="1"/>
  <c r="H215" i="5" l="1"/>
  <c r="I215" i="5" s="1"/>
  <c r="E216" i="5" s="1"/>
  <c r="H216" i="5" l="1"/>
  <c r="I216" i="5" s="1"/>
  <c r="E217" i="5" s="1"/>
  <c r="H217" i="5" l="1"/>
  <c r="I217" i="5" s="1"/>
  <c r="E218" i="5" s="1"/>
  <c r="H218" i="5" l="1"/>
  <c r="I218" i="5" s="1"/>
  <c r="E219" i="5" s="1"/>
  <c r="H219" i="5" l="1"/>
  <c r="I219" i="5" s="1"/>
  <c r="E220" i="5" s="1"/>
  <c r="H220" i="5" l="1"/>
  <c r="I220" i="5" s="1"/>
  <c r="E221" i="5" s="1"/>
  <c r="H221" i="5" l="1"/>
  <c r="I221" i="5" s="1"/>
  <c r="E222" i="5" s="1"/>
  <c r="H222" i="5" l="1"/>
  <c r="I222" i="5" s="1"/>
  <c r="E223" i="5" s="1"/>
  <c r="H223" i="5" l="1"/>
  <c r="I223" i="5" s="1"/>
  <c r="E224" i="5" s="1"/>
  <c r="H224" i="5" l="1"/>
  <c r="I224" i="5" s="1"/>
  <c r="E225" i="5" s="1"/>
  <c r="H225" i="5" l="1"/>
  <c r="I225" i="5" s="1"/>
  <c r="E226" i="5" s="1"/>
  <c r="H226" i="5" l="1"/>
  <c r="I226" i="5" s="1"/>
  <c r="E227" i="5" s="1"/>
  <c r="H227" i="5" l="1"/>
  <c r="I227" i="5" s="1"/>
  <c r="E228" i="5" s="1"/>
  <c r="H228" i="5" l="1"/>
  <c r="I228" i="5" s="1"/>
  <c r="E229" i="5" s="1"/>
  <c r="H229" i="5" l="1"/>
  <c r="I229" i="5" s="1"/>
  <c r="E230" i="5" s="1"/>
  <c r="H230" i="5" l="1"/>
  <c r="I230" i="5" s="1"/>
  <c r="E231" i="5" s="1"/>
  <c r="H231" i="5" l="1"/>
  <c r="I231" i="5" s="1"/>
  <c r="E232" i="5" s="1"/>
  <c r="H232" i="5" l="1"/>
  <c r="I232" i="5" s="1"/>
  <c r="E233" i="5" s="1"/>
  <c r="H233" i="5" l="1"/>
  <c r="I233" i="5" s="1"/>
  <c r="E234" i="5" s="1"/>
  <c r="H234" i="5" l="1"/>
  <c r="I234" i="5" s="1"/>
  <c r="E235" i="5" s="1"/>
  <c r="H235" i="5" l="1"/>
  <c r="I235" i="5" s="1"/>
  <c r="E236" i="5" s="1"/>
  <c r="H236" i="5" l="1"/>
  <c r="I236" i="5" s="1"/>
  <c r="E237" i="5" s="1"/>
  <c r="H237" i="5" l="1"/>
  <c r="I237" i="5" s="1"/>
  <c r="E238" i="5" s="1"/>
  <c r="H238" i="5" l="1"/>
  <c r="I238" i="5" s="1"/>
  <c r="E239" i="5" s="1"/>
  <c r="H239" i="5" l="1"/>
  <c r="I239" i="5" s="1"/>
  <c r="E240" i="5" s="1"/>
  <c r="H240" i="5" l="1"/>
  <c r="I240" i="5" s="1"/>
  <c r="E241" i="5" s="1"/>
  <c r="H241" i="5" l="1"/>
  <c r="I241" i="5" s="1"/>
  <c r="E242" i="5" s="1"/>
  <c r="H242" i="5" l="1"/>
  <c r="I242" i="5" s="1"/>
  <c r="E243" i="5" s="1"/>
  <c r="H243" i="5" l="1"/>
  <c r="I243" i="5" s="1"/>
  <c r="E244" i="5" s="1"/>
  <c r="H244" i="5" l="1"/>
  <c r="I244" i="5" s="1"/>
  <c r="E245" i="5" s="1"/>
  <c r="H245" i="5" l="1"/>
  <c r="I245" i="5" s="1"/>
  <c r="E246" i="5" s="1"/>
  <c r="H246" i="5" l="1"/>
  <c r="I246" i="5" s="1"/>
  <c r="E247" i="5" s="1"/>
  <c r="H247" i="5" l="1"/>
  <c r="I247" i="5" s="1"/>
  <c r="E248" i="5" s="1"/>
  <c r="H248" i="5" l="1"/>
  <c r="I248" i="5" s="1"/>
  <c r="E249" i="5" s="1"/>
  <c r="H249" i="5" l="1"/>
  <c r="I249" i="5" s="1"/>
  <c r="E250" i="5" s="1"/>
  <c r="H250" i="5" l="1"/>
  <c r="I250" i="5" s="1"/>
  <c r="E251" i="5" s="1"/>
  <c r="H251" i="5" l="1"/>
  <c r="I251" i="5" s="1"/>
  <c r="E252" i="5" s="1"/>
  <c r="H252" i="5" l="1"/>
  <c r="I252" i="5" s="1"/>
  <c r="E253" i="5" s="1"/>
  <c r="H253" i="5" l="1"/>
  <c r="I253" i="5" s="1"/>
  <c r="E254" i="5" s="1"/>
  <c r="H254" i="5" l="1"/>
  <c r="I254" i="5" s="1"/>
  <c r="E255" i="5" s="1"/>
  <c r="H255" i="5" l="1"/>
  <c r="I255" i="5" s="1"/>
  <c r="E256" i="5" s="1"/>
  <c r="H256" i="5" l="1"/>
  <c r="I256" i="5" s="1"/>
  <c r="E257" i="5" s="1"/>
  <c r="H257" i="5" l="1"/>
  <c r="I257" i="5" s="1"/>
  <c r="E258" i="5" s="1"/>
  <c r="H258" i="5" l="1"/>
  <c r="I258" i="5" s="1"/>
  <c r="E259" i="5" s="1"/>
  <c r="H259" i="5" l="1"/>
  <c r="I259" i="5" s="1"/>
  <c r="E260" i="5" s="1"/>
  <c r="H260" i="5" l="1"/>
  <c r="I260" i="5" s="1"/>
  <c r="E261" i="5" s="1"/>
  <c r="H261" i="5" l="1"/>
  <c r="I261" i="5" s="1"/>
  <c r="E262" i="5" s="1"/>
  <c r="H262" i="5" l="1"/>
  <c r="I262" i="5" s="1"/>
  <c r="E263" i="5" s="1"/>
  <c r="H263" i="5" l="1"/>
  <c r="I263" i="5" s="1"/>
  <c r="E264" i="5" s="1"/>
  <c r="H264" i="5" l="1"/>
  <c r="I264" i="5" s="1"/>
  <c r="E265" i="5" s="1"/>
  <c r="H265" i="5" l="1"/>
  <c r="I265" i="5" s="1"/>
  <c r="E266" i="5" s="1"/>
  <c r="H266" i="5" l="1"/>
  <c r="I266" i="5" s="1"/>
  <c r="E267" i="5" s="1"/>
  <c r="H267" i="5" l="1"/>
  <c r="I267" i="5" s="1"/>
  <c r="E268" i="5" s="1"/>
  <c r="H268" i="5" l="1"/>
  <c r="I268" i="5" s="1"/>
  <c r="E269" i="5" s="1"/>
  <c r="H269" i="5" l="1"/>
  <c r="I269" i="5" s="1"/>
  <c r="E270" i="5" s="1"/>
  <c r="H270" i="5" l="1"/>
  <c r="I270" i="5" s="1"/>
  <c r="E271" i="5" s="1"/>
  <c r="H271" i="5" l="1"/>
  <c r="I271" i="5" s="1"/>
  <c r="E272" i="5" s="1"/>
  <c r="H272" i="5" l="1"/>
  <c r="I272" i="5" s="1"/>
  <c r="E273" i="5" s="1"/>
  <c r="H273" i="5" l="1"/>
  <c r="I273" i="5" s="1"/>
  <c r="E274" i="5" s="1"/>
  <c r="H274" i="5" l="1"/>
  <c r="I274" i="5" s="1"/>
  <c r="E275" i="5" s="1"/>
  <c r="H275" i="5" l="1"/>
  <c r="I275" i="5" s="1"/>
  <c r="E276" i="5" s="1"/>
  <c r="H276" i="5" l="1"/>
  <c r="I276" i="5" s="1"/>
  <c r="E277" i="5" s="1"/>
  <c r="H277" i="5" l="1"/>
  <c r="I277" i="5" s="1"/>
  <c r="E278" i="5" s="1"/>
  <c r="H278" i="5" l="1"/>
  <c r="I278" i="5" s="1"/>
  <c r="E279" i="5" s="1"/>
  <c r="H279" i="5" l="1"/>
  <c r="I279" i="5" s="1"/>
  <c r="E280" i="5" s="1"/>
  <c r="H280" i="5" l="1"/>
  <c r="I280" i="5" s="1"/>
  <c r="E281" i="5" s="1"/>
  <c r="H281" i="5" l="1"/>
  <c r="I281" i="5" s="1"/>
  <c r="E282" i="5" s="1"/>
  <c r="H282" i="5" l="1"/>
  <c r="I282" i="5" s="1"/>
  <c r="E283" i="5" s="1"/>
  <c r="H283" i="5" l="1"/>
  <c r="I283" i="5" s="1"/>
  <c r="E284" i="5" s="1"/>
  <c r="H284" i="5" l="1"/>
  <c r="I284" i="5" s="1"/>
  <c r="E285" i="5" s="1"/>
  <c r="H285" i="5" l="1"/>
  <c r="I285" i="5" s="1"/>
  <c r="E286" i="5" s="1"/>
  <c r="H286" i="5" l="1"/>
  <c r="I286" i="5" s="1"/>
  <c r="E287" i="5" s="1"/>
  <c r="H287" i="5" l="1"/>
  <c r="I287" i="5" s="1"/>
  <c r="E288" i="5" s="1"/>
  <c r="H288" i="5" l="1"/>
  <c r="I288" i="5" s="1"/>
  <c r="E289" i="5" s="1"/>
  <c r="H289" i="5" l="1"/>
  <c r="I289" i="5" s="1"/>
  <c r="E290" i="5" s="1"/>
  <c r="H290" i="5" l="1"/>
  <c r="I290" i="5" s="1"/>
  <c r="E291" i="5" s="1"/>
  <c r="H291" i="5" l="1"/>
  <c r="I291" i="5" s="1"/>
  <c r="E292" i="5" s="1"/>
  <c r="H292" i="5" l="1"/>
  <c r="I292" i="5" s="1"/>
  <c r="E293" i="5" s="1"/>
  <c r="H293" i="5" l="1"/>
  <c r="I293" i="5" s="1"/>
  <c r="E294" i="5" s="1"/>
  <c r="H294" i="5" l="1"/>
  <c r="I294" i="5" s="1"/>
  <c r="E295" i="5" s="1"/>
  <c r="H295" i="5" l="1"/>
  <c r="I295" i="5" s="1"/>
  <c r="E296" i="5" s="1"/>
  <c r="H296" i="5" l="1"/>
  <c r="I296" i="5" s="1"/>
  <c r="E297" i="5" s="1"/>
  <c r="H297" i="5" l="1"/>
  <c r="I297" i="5" s="1"/>
  <c r="E298" i="5" s="1"/>
  <c r="H298" i="5" l="1"/>
  <c r="I298" i="5" s="1"/>
  <c r="E299" i="5" s="1"/>
  <c r="H299" i="5" l="1"/>
  <c r="I299" i="5" s="1"/>
  <c r="E300" i="5" s="1"/>
  <c r="H300" i="5" l="1"/>
  <c r="I300" i="5" s="1"/>
  <c r="E301" i="5" s="1"/>
  <c r="H301" i="5" l="1"/>
  <c r="I301" i="5" s="1"/>
  <c r="E302" i="5" s="1"/>
  <c r="H302" i="5" l="1"/>
  <c r="I302" i="5" s="1"/>
  <c r="E303" i="5" s="1"/>
  <c r="H303" i="5" l="1"/>
  <c r="I303" i="5" s="1"/>
  <c r="E304" i="5" s="1"/>
  <c r="H304" i="5" l="1"/>
  <c r="I304" i="5" s="1"/>
  <c r="E305" i="5" s="1"/>
  <c r="H305" i="5" l="1"/>
  <c r="I305" i="5" s="1"/>
  <c r="E306" i="5" s="1"/>
  <c r="H306" i="5" l="1"/>
  <c r="I306" i="5" s="1"/>
  <c r="E307" i="5" s="1"/>
  <c r="H307" i="5" l="1"/>
  <c r="I307" i="5" s="1"/>
  <c r="E308" i="5" s="1"/>
  <c r="H308" i="5" l="1"/>
  <c r="I308" i="5" s="1"/>
  <c r="E309" i="5" s="1"/>
  <c r="H309" i="5" l="1"/>
  <c r="I309" i="5" s="1"/>
  <c r="E310" i="5" s="1"/>
  <c r="H310" i="5" l="1"/>
  <c r="I310" i="5" s="1"/>
  <c r="E311" i="5" s="1"/>
  <c r="H311" i="5" l="1"/>
  <c r="I311" i="5" s="1"/>
  <c r="E312" i="5" s="1"/>
  <c r="H312" i="5" l="1"/>
  <c r="I312" i="5" s="1"/>
  <c r="E313" i="5" s="1"/>
  <c r="H313" i="5" l="1"/>
  <c r="I313" i="5" s="1"/>
  <c r="E314" i="5" s="1"/>
  <c r="H314" i="5" l="1"/>
  <c r="I314" i="5" s="1"/>
  <c r="E315" i="5" s="1"/>
  <c r="H315" i="5" l="1"/>
  <c r="I315" i="5" s="1"/>
  <c r="E316" i="5" s="1"/>
  <c r="H316" i="5" l="1"/>
  <c r="I316" i="5" s="1"/>
  <c r="E317" i="5" s="1"/>
  <c r="H317" i="5" l="1"/>
  <c r="I317" i="5" s="1"/>
  <c r="E318" i="5" s="1"/>
  <c r="H318" i="5" l="1"/>
  <c r="I318" i="5" s="1"/>
  <c r="E319" i="5" s="1"/>
  <c r="H319" i="5" l="1"/>
  <c r="I319" i="5" s="1"/>
  <c r="E320" i="5" s="1"/>
  <c r="H320" i="5" l="1"/>
  <c r="I320" i="5" s="1"/>
  <c r="E321" i="5" s="1"/>
  <c r="H321" i="5" l="1"/>
  <c r="I321" i="5" s="1"/>
  <c r="E322" i="5" s="1"/>
  <c r="H322" i="5" l="1"/>
  <c r="I322" i="5" s="1"/>
  <c r="E323" i="5" s="1"/>
  <c r="H323" i="5" l="1"/>
  <c r="I323" i="5" s="1"/>
  <c r="E324" i="5" s="1"/>
  <c r="H324" i="5" l="1"/>
  <c r="I324" i="5" s="1"/>
  <c r="E325" i="5" s="1"/>
  <c r="H325" i="5" l="1"/>
  <c r="I325" i="5" s="1"/>
  <c r="E326" i="5" s="1"/>
  <c r="H326" i="5" l="1"/>
  <c r="I326" i="5" s="1"/>
  <c r="E327" i="5" s="1"/>
  <c r="H327" i="5" l="1"/>
  <c r="I327" i="5" s="1"/>
  <c r="E328" i="5" s="1"/>
  <c r="H328" i="5" l="1"/>
  <c r="I328" i="5" s="1"/>
  <c r="E329" i="5" s="1"/>
  <c r="H329" i="5" l="1"/>
  <c r="I329" i="5" s="1"/>
  <c r="E330" i="5" s="1"/>
  <c r="H330" i="5" l="1"/>
  <c r="I330" i="5" s="1"/>
  <c r="E331" i="5" s="1"/>
  <c r="H331" i="5" l="1"/>
  <c r="I331" i="5" s="1"/>
  <c r="E332" i="5" s="1"/>
  <c r="H332" i="5" l="1"/>
  <c r="I332" i="5" s="1"/>
  <c r="E333" i="5" s="1"/>
  <c r="H333" i="5" l="1"/>
  <c r="I333" i="5" s="1"/>
  <c r="E334" i="5" s="1"/>
  <c r="H334" i="5" l="1"/>
  <c r="I334" i="5" s="1"/>
  <c r="E335" i="5" s="1"/>
  <c r="H335" i="5" l="1"/>
  <c r="I335" i="5" s="1"/>
  <c r="E336" i="5" s="1"/>
  <c r="H336" i="5" l="1"/>
  <c r="I336" i="5" s="1"/>
  <c r="E337" i="5" s="1"/>
  <c r="H337" i="5" l="1"/>
  <c r="I337" i="5" s="1"/>
  <c r="E338" i="5" s="1"/>
  <c r="H338" i="5" l="1"/>
  <c r="I338" i="5" s="1"/>
  <c r="E339" i="5" s="1"/>
  <c r="H339" i="5" l="1"/>
  <c r="I339" i="5" s="1"/>
  <c r="E340" i="5" s="1"/>
  <c r="H340" i="5" l="1"/>
  <c r="I340" i="5" s="1"/>
  <c r="E341" i="5" s="1"/>
  <c r="H341" i="5" l="1"/>
  <c r="I341" i="5" s="1"/>
  <c r="E342" i="5" s="1"/>
  <c r="H342" i="5" l="1"/>
  <c r="I342" i="5" s="1"/>
  <c r="E343" i="5" s="1"/>
  <c r="H343" i="5" l="1"/>
  <c r="I343" i="5" s="1"/>
  <c r="E344" i="5" s="1"/>
  <c r="H344" i="5" l="1"/>
  <c r="I344" i="5" s="1"/>
  <c r="E345" i="5" s="1"/>
  <c r="H345" i="5" l="1"/>
  <c r="I345" i="5" s="1"/>
  <c r="E346" i="5" s="1"/>
  <c r="H346" i="5" l="1"/>
  <c r="I346" i="5" s="1"/>
  <c r="E347" i="5" s="1"/>
  <c r="H347" i="5" l="1"/>
  <c r="I347" i="5" s="1"/>
  <c r="E348" i="5" s="1"/>
  <c r="H348" i="5" l="1"/>
  <c r="I348" i="5" s="1"/>
  <c r="E349" i="5" s="1"/>
  <c r="H349" i="5" l="1"/>
  <c r="I349" i="5" s="1"/>
  <c r="E350" i="5" s="1"/>
  <c r="H350" i="5" l="1"/>
  <c r="I350" i="5" s="1"/>
  <c r="E351" i="5" s="1"/>
  <c r="H351" i="5" l="1"/>
  <c r="I351" i="5" s="1"/>
  <c r="E352" i="5" s="1"/>
  <c r="H352" i="5" l="1"/>
  <c r="I352" i="5" s="1"/>
  <c r="E353" i="5" s="1"/>
  <c r="H353" i="5" l="1"/>
  <c r="I353" i="5" s="1"/>
  <c r="E354" i="5" s="1"/>
  <c r="H354" i="5" l="1"/>
  <c r="I354" i="5" s="1"/>
  <c r="E355" i="5" s="1"/>
  <c r="H355" i="5" l="1"/>
  <c r="I355" i="5" s="1"/>
  <c r="E356" i="5" s="1"/>
  <c r="H356" i="5" l="1"/>
  <c r="I356" i="5" s="1"/>
  <c r="E357" i="5" s="1"/>
  <c r="H357" i="5" l="1"/>
  <c r="I357" i="5" s="1"/>
  <c r="E358" i="5" s="1"/>
  <c r="H358" i="5" l="1"/>
  <c r="I358" i="5" s="1"/>
  <c r="E359" i="5" s="1"/>
  <c r="H359" i="5" l="1"/>
  <c r="I359" i="5" s="1"/>
  <c r="E360" i="5" s="1"/>
  <c r="H360" i="5" l="1"/>
  <c r="I360" i="5" s="1"/>
  <c r="E361" i="5" s="1"/>
  <c r="H361" i="5" l="1"/>
  <c r="I361" i="5" s="1"/>
  <c r="E362" i="5" s="1"/>
  <c r="H362" i="5" l="1"/>
  <c r="I362" i="5" s="1"/>
  <c r="E363" i="5" s="1"/>
  <c r="H363" i="5" l="1"/>
  <c r="I363" i="5" s="1"/>
  <c r="E364" i="5" s="1"/>
  <c r="H364" i="5" l="1"/>
  <c r="I364" i="5" s="1"/>
  <c r="E365" i="5" s="1"/>
  <c r="H365" i="5" l="1"/>
  <c r="I365" i="5" s="1"/>
  <c r="E366" i="5" s="1"/>
  <c r="H366" i="5" l="1"/>
  <c r="I366" i="5" s="1"/>
  <c r="E367" i="5" s="1"/>
  <c r="H367" i="5" l="1"/>
  <c r="I367" i="5" s="1"/>
  <c r="E368" i="5" s="1"/>
  <c r="H368" i="5" l="1"/>
  <c r="I368" i="5" s="1"/>
  <c r="E369" i="5" s="1"/>
  <c r="H369" i="5" l="1"/>
  <c r="I369" i="5" s="1"/>
  <c r="E370" i="5" s="1"/>
  <c r="H370" i="5" l="1"/>
  <c r="I370" i="5" s="1"/>
  <c r="E371" i="5" s="1"/>
  <c r="H371" i="5" l="1"/>
  <c r="I371" i="5" s="1"/>
  <c r="E372" i="5" s="1"/>
  <c r="H372" i="5" l="1"/>
  <c r="I372" i="5" s="1"/>
  <c r="E373" i="5" s="1"/>
  <c r="H373" i="5" l="1"/>
  <c r="I373" i="5" s="1"/>
  <c r="E374" i="5" s="1"/>
  <c r="H374" i="5" l="1"/>
  <c r="I374" i="5" s="1"/>
  <c r="E375" i="5" s="1"/>
  <c r="H375" i="5" l="1"/>
  <c r="I375" i="5" s="1"/>
  <c r="E376" i="5" s="1"/>
  <c r="H376" i="5" l="1"/>
  <c r="I376" i="5" s="1"/>
  <c r="E377" i="5" s="1"/>
  <c r="H377" i="5" l="1"/>
  <c r="I377" i="5" s="1"/>
  <c r="E378" i="5" s="1"/>
  <c r="H378" i="5" l="1"/>
  <c r="I378" i="5" s="1"/>
  <c r="E379" i="5" s="1"/>
  <c r="H379" i="5" l="1"/>
  <c r="I379" i="5" s="1"/>
  <c r="E380" i="5" s="1"/>
  <c r="H380" i="5" l="1"/>
  <c r="I380" i="5" s="1"/>
  <c r="E381" i="5" s="1"/>
  <c r="H381" i="5" l="1"/>
  <c r="I381" i="5" s="1"/>
  <c r="E382" i="5" s="1"/>
  <c r="H382" i="5" l="1"/>
  <c r="I382" i="5" s="1"/>
  <c r="E383" i="5" s="1"/>
  <c r="H383" i="5" l="1"/>
  <c r="I383" i="5" s="1"/>
  <c r="E384" i="5" s="1"/>
  <c r="H384" i="5" l="1"/>
  <c r="I384" i="5" s="1"/>
  <c r="E385" i="5" s="1"/>
  <c r="H385" i="5" l="1"/>
  <c r="I385" i="5" s="1"/>
  <c r="E386" i="5" s="1"/>
  <c r="H386" i="5" l="1"/>
  <c r="I386" i="5" s="1"/>
  <c r="E387" i="5" s="1"/>
  <c r="H387" i="5" l="1"/>
  <c r="I387" i="5" s="1"/>
  <c r="E388" i="5" s="1"/>
  <c r="H388" i="5" l="1"/>
  <c r="I388" i="5" s="1"/>
  <c r="E389" i="5" s="1"/>
  <c r="H389" i="5" l="1"/>
  <c r="I389" i="5" s="1"/>
  <c r="E390" i="5" s="1"/>
  <c r="H390" i="5" l="1"/>
  <c r="I390" i="5" s="1"/>
  <c r="E391" i="5" s="1"/>
  <c r="H391" i="5" l="1"/>
  <c r="I391" i="5" s="1"/>
  <c r="E392" i="5" s="1"/>
  <c r="H392" i="5" l="1"/>
  <c r="I392" i="5" s="1"/>
  <c r="E393" i="5" s="1"/>
  <c r="H393" i="5" l="1"/>
  <c r="I393" i="5" s="1"/>
  <c r="E394" i="5" s="1"/>
  <c r="H394" i="5" l="1"/>
  <c r="I394" i="5" s="1"/>
  <c r="E395" i="5" s="1"/>
  <c r="H395" i="5" l="1"/>
  <c r="I395" i="5" s="1"/>
  <c r="E396" i="5" s="1"/>
  <c r="H396" i="5" l="1"/>
  <c r="I396" i="5" s="1"/>
  <c r="E397" i="5" s="1"/>
  <c r="H397" i="5" l="1"/>
  <c r="I397" i="5" s="1"/>
  <c r="E398" i="5" s="1"/>
  <c r="H398" i="5" l="1"/>
  <c r="I398" i="5" s="1"/>
  <c r="E399" i="5" s="1"/>
  <c r="H399" i="5" l="1"/>
  <c r="I399" i="5" s="1"/>
  <c r="E400" i="5" s="1"/>
  <c r="H400" i="5" l="1"/>
  <c r="I400" i="5" s="1"/>
  <c r="E401" i="5" s="1"/>
  <c r="H401" i="5" l="1"/>
  <c r="I401" i="5" s="1"/>
  <c r="E402" i="5" s="1"/>
  <c r="H402" i="5" l="1"/>
  <c r="I402" i="5" s="1"/>
  <c r="E403" i="5" s="1"/>
  <c r="H403" i="5" l="1"/>
  <c r="I403" i="5" s="1"/>
  <c r="E404" i="5" s="1"/>
  <c r="H404" i="5" l="1"/>
  <c r="I404" i="5" s="1"/>
  <c r="E405" i="5" s="1"/>
  <c r="H405" i="5" l="1"/>
  <c r="I405" i="5" s="1"/>
  <c r="E406" i="5" s="1"/>
  <c r="H406" i="5" l="1"/>
  <c r="I406" i="5" s="1"/>
  <c r="E407" i="5" s="1"/>
  <c r="H407" i="5" l="1"/>
  <c r="I407" i="5" s="1"/>
  <c r="E408" i="5" s="1"/>
  <c r="H408" i="5" l="1"/>
  <c r="I408" i="5" s="1"/>
  <c r="E409" i="5" s="1"/>
  <c r="H409" i="5" l="1"/>
  <c r="I409" i="5" s="1"/>
  <c r="E410" i="5" s="1"/>
  <c r="H410" i="5" l="1"/>
  <c r="I410" i="5" s="1"/>
  <c r="E411" i="5" s="1"/>
  <c r="H411" i="5" l="1"/>
  <c r="I411" i="5" s="1"/>
  <c r="E412" i="5" s="1"/>
  <c r="H412" i="5" l="1"/>
  <c r="I412" i="5" s="1"/>
  <c r="E413" i="5" s="1"/>
  <c r="H413" i="5" l="1"/>
  <c r="I413" i="5" s="1"/>
  <c r="E414" i="5" s="1"/>
  <c r="H414" i="5" l="1"/>
  <c r="I414" i="5" s="1"/>
  <c r="E415" i="5" s="1"/>
  <c r="H415" i="5" l="1"/>
  <c r="I415" i="5" s="1"/>
  <c r="E416" i="5" s="1"/>
  <c r="H416" i="5" l="1"/>
  <c r="I416" i="5" s="1"/>
  <c r="E417" i="5" s="1"/>
  <c r="H417" i="5" l="1"/>
  <c r="I417" i="5" s="1"/>
  <c r="E418" i="5" s="1"/>
  <c r="H418" i="5" l="1"/>
  <c r="I418" i="5" s="1"/>
  <c r="E419" i="5" s="1"/>
  <c r="H419" i="5" l="1"/>
  <c r="I419" i="5" s="1"/>
  <c r="E420" i="5" s="1"/>
  <c r="H420" i="5" l="1"/>
  <c r="I420" i="5" s="1"/>
  <c r="E421" i="5" s="1"/>
  <c r="H421" i="5" l="1"/>
  <c r="I421" i="5" s="1"/>
  <c r="E422" i="5" s="1"/>
  <c r="H422" i="5" l="1"/>
  <c r="I422" i="5" s="1"/>
  <c r="E423" i="5" s="1"/>
  <c r="H423" i="5" l="1"/>
  <c r="I423" i="5" s="1"/>
  <c r="E424" i="5" s="1"/>
  <c r="H424" i="5" l="1"/>
  <c r="I424" i="5" s="1"/>
  <c r="E425" i="5" s="1"/>
  <c r="H425" i="5" l="1"/>
  <c r="I425" i="5" s="1"/>
  <c r="E426" i="5" s="1"/>
  <c r="H426" i="5" l="1"/>
  <c r="I426" i="5" s="1"/>
  <c r="E427" i="5" s="1"/>
  <c r="H427" i="5" l="1"/>
  <c r="I427" i="5" s="1"/>
  <c r="E428" i="5" s="1"/>
  <c r="H428" i="5" l="1"/>
  <c r="I428" i="5" s="1"/>
  <c r="E429" i="5" s="1"/>
  <c r="H429" i="5" l="1"/>
  <c r="I429" i="5" s="1"/>
  <c r="E430" i="5" s="1"/>
  <c r="H430" i="5" l="1"/>
  <c r="I430" i="5" s="1"/>
  <c r="E431" i="5" s="1"/>
  <c r="H431" i="5" l="1"/>
  <c r="I431" i="5" s="1"/>
  <c r="E432" i="5" s="1"/>
  <c r="H432" i="5" l="1"/>
  <c r="I432" i="5" s="1"/>
  <c r="E433" i="5" s="1"/>
  <c r="H433" i="5" l="1"/>
  <c r="I433" i="5" s="1"/>
  <c r="E434" i="5" s="1"/>
  <c r="H434" i="5" l="1"/>
  <c r="I434" i="5" s="1"/>
  <c r="E435" i="5" s="1"/>
  <c r="H435" i="5" l="1"/>
  <c r="I435" i="5" s="1"/>
  <c r="E436" i="5" s="1"/>
  <c r="H436" i="5" l="1"/>
  <c r="I436" i="5" s="1"/>
  <c r="E437" i="5" s="1"/>
  <c r="H437" i="5" l="1"/>
  <c r="I437" i="5" s="1"/>
  <c r="E438" i="5" s="1"/>
  <c r="H438" i="5" l="1"/>
  <c r="I438" i="5" s="1"/>
  <c r="E439" i="5" s="1"/>
  <c r="H439" i="5" l="1"/>
  <c r="I439" i="5" s="1"/>
  <c r="E440" i="5" s="1"/>
  <c r="H440" i="5" l="1"/>
  <c r="I440" i="5" s="1"/>
  <c r="E441" i="5" s="1"/>
  <c r="H441" i="5" l="1"/>
  <c r="I441" i="5" s="1"/>
  <c r="E442" i="5" s="1"/>
  <c r="H442" i="5" l="1"/>
  <c r="I442" i="5" s="1"/>
  <c r="E443" i="5" s="1"/>
  <c r="H443" i="5" l="1"/>
  <c r="I443" i="5" s="1"/>
  <c r="E444" i="5" s="1"/>
  <c r="H444" i="5" l="1"/>
  <c r="I444" i="5" s="1"/>
  <c r="E445" i="5" s="1"/>
  <c r="H445" i="5" l="1"/>
  <c r="I445" i="5" s="1"/>
  <c r="E446" i="5" s="1"/>
  <c r="H446" i="5" l="1"/>
  <c r="I446" i="5" s="1"/>
  <c r="E447" i="5" s="1"/>
  <c r="H447" i="5" l="1"/>
  <c r="I447" i="5" s="1"/>
  <c r="E448" i="5" s="1"/>
  <c r="H448" i="5" l="1"/>
  <c r="I448" i="5" s="1"/>
  <c r="E449" i="5" s="1"/>
  <c r="H449" i="5" l="1"/>
  <c r="I449" i="5" s="1"/>
  <c r="E450" i="5" s="1"/>
  <c r="H450" i="5" l="1"/>
  <c r="I450" i="5" s="1"/>
  <c r="E451" i="5" s="1"/>
  <c r="H451" i="5" l="1"/>
  <c r="I451" i="5" s="1"/>
  <c r="E452" i="5" s="1"/>
  <c r="H452" i="5" l="1"/>
  <c r="I452" i="5" s="1"/>
  <c r="E453" i="5" s="1"/>
  <c r="H453" i="5" l="1"/>
  <c r="I453" i="5" s="1"/>
  <c r="E454" i="5" s="1"/>
  <c r="H454" i="5" l="1"/>
  <c r="I454" i="5" s="1"/>
  <c r="E455" i="5" s="1"/>
  <c r="H455" i="5" l="1"/>
  <c r="I455" i="5" s="1"/>
  <c r="E456" i="5" s="1"/>
  <c r="H456" i="5" l="1"/>
  <c r="I456" i="5" s="1"/>
  <c r="E457" i="5" s="1"/>
  <c r="H457" i="5" l="1"/>
  <c r="I457" i="5" s="1"/>
  <c r="E458" i="5" s="1"/>
  <c r="H458" i="5" l="1"/>
  <c r="I458" i="5" s="1"/>
  <c r="E459" i="5" s="1"/>
  <c r="H459" i="5" l="1"/>
  <c r="I459" i="5" s="1"/>
  <c r="E460" i="5" s="1"/>
  <c r="H460" i="5" l="1"/>
  <c r="I460" i="5" s="1"/>
  <c r="E461" i="5" s="1"/>
  <c r="H461" i="5" l="1"/>
  <c r="I461" i="5" s="1"/>
  <c r="E462" i="5" s="1"/>
  <c r="H462" i="5" l="1"/>
  <c r="I462" i="5" s="1"/>
  <c r="E463" i="5" s="1"/>
  <c r="H463" i="5" l="1"/>
  <c r="I463" i="5" s="1"/>
  <c r="E464" i="5" s="1"/>
  <c r="H464" i="5" l="1"/>
  <c r="I464" i="5" s="1"/>
  <c r="E465" i="5" s="1"/>
  <c r="H465" i="5" l="1"/>
  <c r="I465" i="5" s="1"/>
  <c r="E466" i="5" s="1"/>
  <c r="H466" i="5" l="1"/>
  <c r="I466" i="5" s="1"/>
  <c r="E467" i="5" s="1"/>
  <c r="H467" i="5" l="1"/>
  <c r="I467" i="5" s="1"/>
  <c r="E468" i="5" s="1"/>
  <c r="H468" i="5" l="1"/>
  <c r="I468" i="5" s="1"/>
  <c r="E469" i="5" s="1"/>
  <c r="H469" i="5" l="1"/>
  <c r="I469" i="5" s="1"/>
  <c r="E470" i="5" s="1"/>
  <c r="H470" i="5" l="1"/>
  <c r="I470" i="5" s="1"/>
  <c r="E471" i="5" s="1"/>
  <c r="H471" i="5" l="1"/>
  <c r="I471" i="5" s="1"/>
  <c r="E472" i="5" s="1"/>
  <c r="H472" i="5" l="1"/>
  <c r="I472" i="5" s="1"/>
  <c r="E473" i="5" s="1"/>
  <c r="H473" i="5" l="1"/>
  <c r="I473" i="5" s="1"/>
  <c r="E474" i="5" s="1"/>
  <c r="H474" i="5" l="1"/>
  <c r="I474" i="5" s="1"/>
  <c r="E475" i="5" s="1"/>
  <c r="H475" i="5" l="1"/>
  <c r="I475" i="5" s="1"/>
  <c r="E476" i="5" s="1"/>
  <c r="H476" i="5" l="1"/>
  <c r="I476" i="5" s="1"/>
  <c r="E477" i="5" s="1"/>
  <c r="H477" i="5" l="1"/>
  <c r="I477" i="5" s="1"/>
  <c r="E478" i="5" s="1"/>
  <c r="H478" i="5" l="1"/>
  <c r="I478" i="5" s="1"/>
  <c r="E479" i="5" s="1"/>
  <c r="H479" i="5" l="1"/>
  <c r="I479" i="5" s="1"/>
  <c r="E480" i="5" s="1"/>
  <c r="H480" i="5" l="1"/>
  <c r="I480" i="5" s="1"/>
  <c r="E481" i="5" s="1"/>
  <c r="H481" i="5" l="1"/>
  <c r="I481" i="5" s="1"/>
  <c r="E482" i="5" s="1"/>
  <c r="H482" i="5" l="1"/>
  <c r="I482" i="5" s="1"/>
  <c r="E483" i="5" s="1"/>
  <c r="H483" i="5" l="1"/>
  <c r="I483" i="5" s="1"/>
  <c r="E484" i="5" s="1"/>
  <c r="H484" i="5" l="1"/>
  <c r="I484" i="5" s="1"/>
  <c r="E485" i="5" s="1"/>
  <c r="H485" i="5" l="1"/>
  <c r="I485" i="5" s="1"/>
  <c r="E486" i="5" s="1"/>
  <c r="H486" i="5" l="1"/>
  <c r="I486" i="5" s="1"/>
  <c r="E487" i="5" s="1"/>
  <c r="H487" i="5" l="1"/>
  <c r="I487" i="5" s="1"/>
  <c r="E488" i="5" s="1"/>
  <c r="H488" i="5" l="1"/>
  <c r="I488" i="5" s="1"/>
  <c r="E489" i="5" s="1"/>
  <c r="H489" i="5" l="1"/>
  <c r="I489" i="5" s="1"/>
  <c r="E490" i="5" s="1"/>
  <c r="H490" i="5" l="1"/>
  <c r="I490" i="5" s="1"/>
  <c r="E491" i="5" s="1"/>
  <c r="H491" i="5" l="1"/>
  <c r="I491" i="5" s="1"/>
  <c r="E492" i="5" s="1"/>
  <c r="H492" i="5" l="1"/>
  <c r="I492" i="5" s="1"/>
  <c r="E493" i="5" s="1"/>
  <c r="H493" i="5" l="1"/>
  <c r="I493" i="5" s="1"/>
  <c r="E494" i="5" s="1"/>
  <c r="H494" i="5" l="1"/>
  <c r="I494" i="5" s="1"/>
  <c r="E495" i="5" s="1"/>
  <c r="H495" i="5" l="1"/>
  <c r="I495" i="5" s="1"/>
  <c r="E496" i="5" s="1"/>
  <c r="H496" i="5" l="1"/>
  <c r="I496" i="5" s="1"/>
  <c r="E497" i="5" s="1"/>
  <c r="H497" i="5" l="1"/>
  <c r="I497" i="5" s="1"/>
  <c r="E498" i="5" s="1"/>
  <c r="H498" i="5" l="1"/>
  <c r="I498" i="5" s="1"/>
  <c r="E499" i="5" s="1"/>
  <c r="H499" i="5" l="1"/>
  <c r="I499" i="5" s="1"/>
  <c r="E500" i="5" s="1"/>
  <c r="H500" i="5" l="1"/>
  <c r="I500" i="5" s="1"/>
  <c r="E501" i="5" s="1"/>
  <c r="H501" i="5" l="1"/>
  <c r="I501" i="5" s="1"/>
  <c r="E502" i="5" s="1"/>
  <c r="H502" i="5" l="1"/>
  <c r="I502" i="5" s="1"/>
  <c r="E503" i="5" s="1"/>
  <c r="H503" i="5" l="1"/>
  <c r="I503" i="5" s="1"/>
  <c r="E504" i="5" s="1"/>
  <c r="H504" i="5" l="1"/>
  <c r="I504" i="5" s="1"/>
  <c r="E505" i="5" s="1"/>
  <c r="H505" i="5" l="1"/>
  <c r="I505" i="5" s="1"/>
  <c r="E506" i="5" s="1"/>
  <c r="H506" i="5" l="1"/>
  <c r="I506" i="5" s="1"/>
  <c r="E507" i="5" s="1"/>
  <c r="H507" i="5" l="1"/>
  <c r="I507" i="5" s="1"/>
  <c r="E508" i="5" s="1"/>
  <c r="H508" i="5" l="1"/>
  <c r="I508" i="5" s="1"/>
  <c r="E509" i="5" s="1"/>
  <c r="H509" i="5" l="1"/>
  <c r="I509" i="5" s="1"/>
  <c r="E510" i="5" s="1"/>
  <c r="H510" i="5" l="1"/>
  <c r="I510" i="5" s="1"/>
  <c r="E511" i="5" s="1"/>
  <c r="H511" i="5" l="1"/>
  <c r="I511" i="5" s="1"/>
  <c r="E512" i="5" s="1"/>
  <c r="H512" i="5" l="1"/>
  <c r="I512" i="5" s="1"/>
  <c r="E513" i="5" s="1"/>
  <c r="H513" i="5" l="1"/>
  <c r="I513" i="5" s="1"/>
  <c r="E514" i="5" s="1"/>
  <c r="H514" i="5" l="1"/>
  <c r="I514" i="5" s="1"/>
  <c r="E515" i="5" s="1"/>
  <c r="H515" i="5" l="1"/>
  <c r="I515" i="5" s="1"/>
  <c r="E516" i="5" s="1"/>
  <c r="H516" i="5" l="1"/>
  <c r="I516" i="5" s="1"/>
  <c r="E517" i="5" s="1"/>
  <c r="H517" i="5" l="1"/>
  <c r="I517" i="5" s="1"/>
  <c r="E518" i="5" s="1"/>
  <c r="H518" i="5" l="1"/>
  <c r="I518" i="5" s="1"/>
  <c r="E519" i="5" s="1"/>
  <c r="H519" i="5" l="1"/>
  <c r="I519" i="5" s="1"/>
  <c r="E520" i="5" s="1"/>
  <c r="H520" i="5" l="1"/>
  <c r="I520" i="5" s="1"/>
  <c r="E521" i="5" s="1"/>
  <c r="H521" i="5" l="1"/>
  <c r="I521" i="5" s="1"/>
  <c r="E522" i="5" s="1"/>
  <c r="H522" i="5" l="1"/>
  <c r="I522" i="5" s="1"/>
  <c r="E523" i="5" s="1"/>
  <c r="H523" i="5" l="1"/>
  <c r="I523" i="5" s="1"/>
  <c r="E524" i="5" s="1"/>
  <c r="H524" i="5" l="1"/>
  <c r="I524" i="5" s="1"/>
  <c r="E525" i="5" s="1"/>
  <c r="H525" i="5" l="1"/>
  <c r="I525" i="5" s="1"/>
  <c r="E526" i="5" s="1"/>
  <c r="H526" i="5" l="1"/>
  <c r="I526" i="5" s="1"/>
  <c r="E527" i="5" s="1"/>
  <c r="H527" i="5" l="1"/>
  <c r="I527" i="5" s="1"/>
  <c r="E528" i="5" s="1"/>
  <c r="H528" i="5" l="1"/>
  <c r="I528" i="5" s="1"/>
  <c r="E529" i="5" s="1"/>
  <c r="H529" i="5" l="1"/>
  <c r="I529" i="5" s="1"/>
  <c r="E530" i="5" s="1"/>
  <c r="H530" i="5" l="1"/>
  <c r="I530" i="5" s="1"/>
  <c r="E531" i="5" s="1"/>
  <c r="H531" i="5" l="1"/>
  <c r="I531" i="5" s="1"/>
  <c r="E532" i="5" s="1"/>
  <c r="H532" i="5" l="1"/>
  <c r="I532" i="5" s="1"/>
  <c r="E533" i="5" s="1"/>
  <c r="H533" i="5" l="1"/>
  <c r="I533" i="5" s="1"/>
  <c r="E534" i="5" s="1"/>
  <c r="H534" i="5" l="1"/>
  <c r="I534" i="5" s="1"/>
  <c r="E535" i="5" s="1"/>
  <c r="H535" i="5" l="1"/>
  <c r="I535" i="5" s="1"/>
  <c r="E536" i="5" s="1"/>
  <c r="H536" i="5" l="1"/>
  <c r="I536" i="5" s="1"/>
  <c r="E537" i="5" s="1"/>
  <c r="H537" i="5" l="1"/>
  <c r="I537" i="5" s="1"/>
  <c r="E538" i="5" s="1"/>
  <c r="H538" i="5" l="1"/>
  <c r="I538" i="5" s="1"/>
  <c r="E539" i="5" s="1"/>
  <c r="H539" i="5" l="1"/>
  <c r="I539" i="5" s="1"/>
  <c r="E540" i="5" s="1"/>
  <c r="H540" i="5" l="1"/>
  <c r="I540" i="5" s="1"/>
  <c r="E541" i="5" s="1"/>
  <c r="H541" i="5" l="1"/>
  <c r="I541" i="5" s="1"/>
  <c r="E542" i="5" s="1"/>
  <c r="H542" i="5" l="1"/>
  <c r="I542" i="5" s="1"/>
  <c r="E543" i="5" s="1"/>
  <c r="H543" i="5" l="1"/>
  <c r="I543" i="5" s="1"/>
  <c r="E544" i="5" s="1"/>
  <c r="H544" i="5" l="1"/>
  <c r="I544" i="5" s="1"/>
  <c r="E545" i="5" s="1"/>
  <c r="H545" i="5" l="1"/>
  <c r="I545" i="5" s="1"/>
  <c r="E546" i="5" s="1"/>
  <c r="H546" i="5" l="1"/>
  <c r="I546" i="5" s="1"/>
  <c r="E547" i="5" s="1"/>
  <c r="H547" i="5" l="1"/>
  <c r="I547" i="5" s="1"/>
  <c r="E548" i="5" s="1"/>
  <c r="H548" i="5" l="1"/>
  <c r="I548" i="5" s="1"/>
  <c r="E549" i="5" s="1"/>
  <c r="H549" i="5" l="1"/>
  <c r="I549" i="5" s="1"/>
  <c r="E550" i="5" s="1"/>
  <c r="H550" i="5" l="1"/>
  <c r="I550" i="5" s="1"/>
  <c r="E551" i="5" s="1"/>
  <c r="H551" i="5" l="1"/>
  <c r="I551" i="5" s="1"/>
  <c r="E552" i="5" s="1"/>
  <c r="H552" i="5" l="1"/>
  <c r="I552" i="5" s="1"/>
  <c r="E553" i="5" s="1"/>
  <c r="H553" i="5" l="1"/>
  <c r="I553" i="5" s="1"/>
  <c r="E554" i="5" s="1"/>
  <c r="H554" i="5" l="1"/>
  <c r="I554" i="5" s="1"/>
  <c r="E555" i="5" s="1"/>
  <c r="H555" i="5" l="1"/>
  <c r="I555" i="5" s="1"/>
  <c r="E556" i="5" s="1"/>
  <c r="H556" i="5" l="1"/>
  <c r="I556" i="5" s="1"/>
  <c r="E557" i="5" s="1"/>
  <c r="H557" i="5" l="1"/>
  <c r="I557" i="5" s="1"/>
  <c r="E558" i="5" s="1"/>
  <c r="H558" i="5" l="1"/>
  <c r="I558" i="5" s="1"/>
  <c r="E559" i="5" s="1"/>
  <c r="H559" i="5" l="1"/>
  <c r="I559" i="5" s="1"/>
  <c r="E560" i="5" s="1"/>
  <c r="H560" i="5" l="1"/>
  <c r="I560" i="5" s="1"/>
  <c r="E561" i="5" s="1"/>
  <c r="H561" i="5" l="1"/>
  <c r="I561" i="5" s="1"/>
  <c r="E562" i="5" s="1"/>
  <c r="H562" i="5" l="1"/>
  <c r="I562" i="5" s="1"/>
  <c r="E563" i="5" s="1"/>
  <c r="H563" i="5" l="1"/>
  <c r="I563" i="5" s="1"/>
  <c r="E564" i="5" s="1"/>
  <c r="H564" i="5" l="1"/>
  <c r="I564" i="5" s="1"/>
  <c r="E565" i="5" s="1"/>
  <c r="H565" i="5" l="1"/>
  <c r="I565" i="5" s="1"/>
  <c r="E566" i="5" s="1"/>
  <c r="H566" i="5" l="1"/>
  <c r="I566" i="5" s="1"/>
  <c r="E567" i="5" s="1"/>
  <c r="H567" i="5" l="1"/>
  <c r="I567" i="5" s="1"/>
  <c r="E568" i="5" s="1"/>
  <c r="H568" i="5" l="1"/>
  <c r="I568" i="5" s="1"/>
  <c r="E569" i="5" s="1"/>
  <c r="H569" i="5" l="1"/>
  <c r="I569" i="5" s="1"/>
  <c r="E570" i="5" s="1"/>
  <c r="H570" i="5" l="1"/>
  <c r="I570" i="5" s="1"/>
  <c r="E571" i="5" s="1"/>
  <c r="H571" i="5" l="1"/>
  <c r="I571" i="5" s="1"/>
  <c r="E572" i="5" s="1"/>
  <c r="H572" i="5" l="1"/>
  <c r="I572" i="5" s="1"/>
  <c r="E573" i="5" s="1"/>
  <c r="H573" i="5" l="1"/>
  <c r="I573" i="5" s="1"/>
  <c r="E574" i="5" s="1"/>
  <c r="H574" i="5" l="1"/>
  <c r="I574" i="5" s="1"/>
  <c r="E575" i="5" s="1"/>
  <c r="H575" i="5" l="1"/>
  <c r="I575" i="5" s="1"/>
  <c r="E576" i="5" s="1"/>
  <c r="H576" i="5" l="1"/>
  <c r="I576" i="5" s="1"/>
  <c r="E577" i="5" s="1"/>
  <c r="H577" i="5" l="1"/>
  <c r="I577" i="5" s="1"/>
  <c r="E578" i="5" s="1"/>
  <c r="H578" i="5" l="1"/>
  <c r="I578" i="5" s="1"/>
  <c r="E579" i="5" s="1"/>
  <c r="H579" i="5" l="1"/>
  <c r="I579" i="5" s="1"/>
  <c r="E580" i="5" s="1"/>
  <c r="H580" i="5" l="1"/>
  <c r="I580" i="5" s="1"/>
  <c r="E581" i="5" s="1"/>
  <c r="H581" i="5" l="1"/>
  <c r="I581" i="5" s="1"/>
  <c r="E582" i="5" s="1"/>
  <c r="H582" i="5" l="1"/>
  <c r="I582" i="5" s="1"/>
  <c r="E583" i="5" s="1"/>
  <c r="H583" i="5" l="1"/>
  <c r="I583" i="5" s="1"/>
  <c r="E584" i="5" s="1"/>
  <c r="H584" i="5" l="1"/>
  <c r="I584" i="5" s="1"/>
  <c r="E585" i="5" s="1"/>
  <c r="H585" i="5" l="1"/>
  <c r="I585" i="5" s="1"/>
  <c r="E586" i="5" s="1"/>
  <c r="H586" i="5" l="1"/>
  <c r="I586" i="5" s="1"/>
  <c r="E587" i="5" s="1"/>
  <c r="H587" i="5" l="1"/>
  <c r="I587" i="5" s="1"/>
  <c r="E588" i="5" s="1"/>
  <c r="H588" i="5" l="1"/>
  <c r="I588" i="5" s="1"/>
  <c r="E589" i="5" s="1"/>
  <c r="H589" i="5" l="1"/>
  <c r="I589" i="5" s="1"/>
  <c r="E590" i="5" s="1"/>
  <c r="H590" i="5" l="1"/>
  <c r="I590" i="5" s="1"/>
  <c r="E591" i="5" s="1"/>
  <c r="H591" i="5" l="1"/>
  <c r="I591" i="5" s="1"/>
  <c r="E592" i="5" s="1"/>
  <c r="H592" i="5" l="1"/>
  <c r="I592" i="5" s="1"/>
  <c r="E593" i="5" s="1"/>
  <c r="H593" i="5" l="1"/>
  <c r="I593" i="5" s="1"/>
  <c r="E594" i="5" s="1"/>
  <c r="H594" i="5" l="1"/>
  <c r="I594" i="5" s="1"/>
  <c r="E595" i="5" s="1"/>
  <c r="H595" i="5" l="1"/>
  <c r="I595" i="5" s="1"/>
  <c r="E596" i="5" s="1"/>
  <c r="H596" i="5" l="1"/>
  <c r="I596" i="5" s="1"/>
  <c r="E597" i="5" s="1"/>
  <c r="H597" i="5" l="1"/>
  <c r="I597" i="5" s="1"/>
  <c r="E598" i="5" s="1"/>
  <c r="H598" i="5" l="1"/>
  <c r="I598" i="5" s="1"/>
  <c r="E599" i="5" s="1"/>
  <c r="H599" i="5" l="1"/>
  <c r="I599" i="5" s="1"/>
  <c r="E600" i="5" s="1"/>
  <c r="H600" i="5" l="1"/>
  <c r="I600" i="5" s="1"/>
  <c r="E601" i="5" s="1"/>
  <c r="H601" i="5" l="1"/>
  <c r="I601" i="5" s="1"/>
  <c r="E602" i="5" s="1"/>
  <c r="H602" i="5" l="1"/>
  <c r="I602" i="5" s="1"/>
  <c r="E603" i="5" s="1"/>
  <c r="H603" i="5" l="1"/>
  <c r="I603" i="5" s="1"/>
  <c r="E604" i="5" s="1"/>
  <c r="H604" i="5" l="1"/>
  <c r="I604" i="5" s="1"/>
  <c r="E605" i="5" s="1"/>
  <c r="H605" i="5" l="1"/>
  <c r="I605" i="5" s="1"/>
  <c r="E606" i="5" s="1"/>
  <c r="H606" i="5" l="1"/>
  <c r="I606" i="5" s="1"/>
  <c r="E607" i="5" s="1"/>
  <c r="H607" i="5" l="1"/>
  <c r="I607" i="5" s="1"/>
  <c r="E608" i="5" s="1"/>
  <c r="H608" i="5" l="1"/>
  <c r="I608" i="5" s="1"/>
  <c r="E609" i="5" s="1"/>
  <c r="H609" i="5" l="1"/>
  <c r="I609" i="5" s="1"/>
  <c r="E610" i="5" s="1"/>
  <c r="H610" i="5" l="1"/>
  <c r="I610" i="5" s="1"/>
  <c r="E611" i="5" s="1"/>
  <c r="H611" i="5" l="1"/>
  <c r="I611" i="5" s="1"/>
  <c r="E612" i="5" s="1"/>
  <c r="H612" i="5" l="1"/>
  <c r="I612" i="5" s="1"/>
  <c r="E613" i="5" s="1"/>
  <c r="H613" i="5" l="1"/>
  <c r="I613" i="5" s="1"/>
  <c r="E614" i="5" s="1"/>
  <c r="H614" i="5" l="1"/>
  <c r="I614" i="5" s="1"/>
  <c r="E615" i="5" s="1"/>
  <c r="H615" i="5" l="1"/>
  <c r="I615" i="5" s="1"/>
  <c r="E616" i="5" s="1"/>
  <c r="H616" i="5" l="1"/>
  <c r="I616" i="5" s="1"/>
  <c r="E617" i="5" s="1"/>
  <c r="H617" i="5" l="1"/>
  <c r="I617" i="5" s="1"/>
  <c r="E618" i="5" s="1"/>
  <c r="H618" i="5" l="1"/>
  <c r="I618" i="5" s="1"/>
  <c r="E619" i="5" s="1"/>
  <c r="H619" i="5" l="1"/>
  <c r="I619" i="5" s="1"/>
  <c r="E620" i="5" s="1"/>
  <c r="H620" i="5" l="1"/>
  <c r="I620" i="5" s="1"/>
  <c r="E621" i="5" s="1"/>
  <c r="H621" i="5" l="1"/>
  <c r="I621" i="5" s="1"/>
  <c r="E622" i="5" s="1"/>
  <c r="H622" i="5" l="1"/>
  <c r="I622" i="5" s="1"/>
  <c r="E623" i="5" s="1"/>
  <c r="H623" i="5" l="1"/>
  <c r="I623" i="5" s="1"/>
  <c r="E624" i="5" s="1"/>
  <c r="H624" i="5" l="1"/>
  <c r="I624" i="5" s="1"/>
  <c r="E625" i="5" s="1"/>
  <c r="H625" i="5" l="1"/>
  <c r="I625" i="5" s="1"/>
  <c r="E626" i="5" s="1"/>
  <c r="H626" i="5" l="1"/>
  <c r="I626" i="5" s="1"/>
  <c r="E627" i="5" s="1"/>
  <c r="H627" i="5" l="1"/>
  <c r="I627" i="5" s="1"/>
  <c r="E628" i="5" s="1"/>
  <c r="H628" i="5" l="1"/>
  <c r="I628" i="5" s="1"/>
  <c r="E629" i="5" s="1"/>
  <c r="H629" i="5" l="1"/>
  <c r="I629" i="5" s="1"/>
  <c r="E630" i="5" s="1"/>
  <c r="H630" i="5" l="1"/>
  <c r="I630" i="5" s="1"/>
  <c r="E631" i="5" s="1"/>
  <c r="H631" i="5" l="1"/>
  <c r="I631" i="5" s="1"/>
  <c r="E632" i="5" s="1"/>
  <c r="H632" i="5" l="1"/>
  <c r="I632" i="5" s="1"/>
  <c r="E633" i="5" s="1"/>
  <c r="H633" i="5" l="1"/>
  <c r="I633" i="5" s="1"/>
  <c r="E634" i="5" s="1"/>
  <c r="H634" i="5" l="1"/>
  <c r="I634" i="5" s="1"/>
  <c r="E635" i="5" s="1"/>
  <c r="H635" i="5" l="1"/>
  <c r="I635" i="5" s="1"/>
  <c r="E636" i="5" s="1"/>
  <c r="H636" i="5" l="1"/>
  <c r="I636" i="5" s="1"/>
  <c r="E637" i="5" s="1"/>
  <c r="H637" i="5" l="1"/>
  <c r="I637" i="5" s="1"/>
  <c r="E638" i="5" s="1"/>
  <c r="H638" i="5" l="1"/>
  <c r="I638" i="5" s="1"/>
  <c r="E639" i="5" s="1"/>
  <c r="H639" i="5" l="1"/>
  <c r="I639" i="5" s="1"/>
  <c r="E640" i="5" s="1"/>
  <c r="H640" i="5" l="1"/>
  <c r="I640" i="5" s="1"/>
  <c r="E641" i="5" s="1"/>
  <c r="H641" i="5" l="1"/>
  <c r="I641" i="5" s="1"/>
  <c r="E642" i="5" s="1"/>
  <c r="H642" i="5" l="1"/>
  <c r="I642" i="5" s="1"/>
  <c r="E643" i="5" s="1"/>
  <c r="H643" i="5" l="1"/>
  <c r="I643" i="5" s="1"/>
  <c r="E644" i="5" s="1"/>
  <c r="H644" i="5" l="1"/>
  <c r="I644" i="5" s="1"/>
  <c r="E645" i="5" s="1"/>
  <c r="H645" i="5" l="1"/>
  <c r="I645" i="5" s="1"/>
  <c r="E646" i="5" s="1"/>
  <c r="H646" i="5" l="1"/>
  <c r="I646" i="5" s="1"/>
  <c r="E647" i="5" s="1"/>
  <c r="H647" i="5" l="1"/>
  <c r="I647" i="5" s="1"/>
  <c r="E648" i="5" s="1"/>
  <c r="H648" i="5" l="1"/>
  <c r="I648" i="5" s="1"/>
  <c r="E649" i="5" s="1"/>
  <c r="H649" i="5" l="1"/>
  <c r="I649" i="5" s="1"/>
  <c r="E650" i="5" s="1"/>
  <c r="H650" i="5" l="1"/>
  <c r="I650" i="5" s="1"/>
  <c r="E651" i="5" s="1"/>
  <c r="H651" i="5" l="1"/>
  <c r="I651" i="5" s="1"/>
  <c r="E652" i="5" s="1"/>
  <c r="H652" i="5" l="1"/>
  <c r="I652" i="5" s="1"/>
  <c r="E653" i="5" s="1"/>
  <c r="H653" i="5" l="1"/>
  <c r="I653" i="5" s="1"/>
  <c r="E654" i="5" s="1"/>
  <c r="H654" i="5" l="1"/>
  <c r="I654" i="5" s="1"/>
  <c r="E655" i="5" s="1"/>
  <c r="H655" i="5" l="1"/>
  <c r="I655" i="5" s="1"/>
  <c r="E656" i="5" s="1"/>
  <c r="H656" i="5" l="1"/>
  <c r="I656" i="5" s="1"/>
  <c r="E657" i="5" s="1"/>
  <c r="H657" i="5" l="1"/>
  <c r="I657" i="5" s="1"/>
  <c r="E658" i="5" s="1"/>
  <c r="H658" i="5" l="1"/>
  <c r="I658" i="5" s="1"/>
  <c r="E659" i="5" s="1"/>
  <c r="H659" i="5" l="1"/>
  <c r="I659" i="5" s="1"/>
  <c r="E660" i="5" s="1"/>
  <c r="H660" i="5" l="1"/>
  <c r="I660" i="5" s="1"/>
  <c r="E661" i="5" s="1"/>
  <c r="H661" i="5" l="1"/>
  <c r="I661" i="5" s="1"/>
  <c r="E662" i="5" s="1"/>
  <c r="H662" i="5" l="1"/>
  <c r="I662" i="5" s="1"/>
  <c r="E663" i="5" s="1"/>
  <c r="H663" i="5" l="1"/>
  <c r="I663" i="5" s="1"/>
  <c r="E664" i="5" s="1"/>
  <c r="H664" i="5" l="1"/>
  <c r="I664" i="5" s="1"/>
  <c r="E665" i="5" s="1"/>
  <c r="H665" i="5" l="1"/>
  <c r="I665" i="5" s="1"/>
  <c r="E666" i="5" s="1"/>
  <c r="H666" i="5" l="1"/>
  <c r="I666" i="5" s="1"/>
  <c r="E667" i="5" s="1"/>
  <c r="H667" i="5" l="1"/>
  <c r="I667" i="5" s="1"/>
  <c r="E668" i="5" s="1"/>
  <c r="H668" i="5" l="1"/>
  <c r="I668" i="5" s="1"/>
  <c r="E669" i="5" s="1"/>
  <c r="H669" i="5" l="1"/>
  <c r="I669" i="5" s="1"/>
  <c r="E670" i="5" s="1"/>
  <c r="H670" i="5" l="1"/>
  <c r="I670" i="5" s="1"/>
  <c r="E671" i="5" s="1"/>
  <c r="H671" i="5" l="1"/>
  <c r="I671" i="5" s="1"/>
  <c r="E672" i="5" s="1"/>
  <c r="H672" i="5" l="1"/>
  <c r="I672" i="5" s="1"/>
  <c r="E673" i="5" s="1"/>
  <c r="H673" i="5" l="1"/>
  <c r="I673" i="5" s="1"/>
  <c r="E674" i="5" s="1"/>
  <c r="H674" i="5" l="1"/>
  <c r="I674" i="5" s="1"/>
  <c r="E675" i="5" s="1"/>
  <c r="H675" i="5" l="1"/>
  <c r="I675" i="5" s="1"/>
  <c r="E676" i="5" s="1"/>
  <c r="H676" i="5" l="1"/>
  <c r="I676" i="5" s="1"/>
  <c r="E677" i="5" s="1"/>
  <c r="H677" i="5" l="1"/>
  <c r="I677" i="5" s="1"/>
  <c r="E678" i="5" s="1"/>
  <c r="H678" i="5" l="1"/>
  <c r="I678" i="5" s="1"/>
  <c r="E679" i="5" s="1"/>
  <c r="H679" i="5" l="1"/>
  <c r="I679" i="5" s="1"/>
  <c r="E680" i="5" s="1"/>
  <c r="H680" i="5" l="1"/>
  <c r="I680" i="5" s="1"/>
  <c r="E681" i="5" s="1"/>
  <c r="H681" i="5" l="1"/>
  <c r="I681" i="5" s="1"/>
  <c r="E682" i="5" s="1"/>
  <c r="H682" i="5" l="1"/>
  <c r="I682" i="5" s="1"/>
  <c r="E683" i="5" s="1"/>
  <c r="H683" i="5" l="1"/>
  <c r="I683" i="5" s="1"/>
  <c r="E684" i="5" s="1"/>
  <c r="H684" i="5" l="1"/>
  <c r="I684" i="5" s="1"/>
  <c r="E685" i="5" s="1"/>
  <c r="H685" i="5" l="1"/>
  <c r="I685" i="5" s="1"/>
  <c r="E686" i="5" s="1"/>
  <c r="H686" i="5" l="1"/>
  <c r="I686" i="5" s="1"/>
  <c r="E687" i="5" s="1"/>
  <c r="H687" i="5" l="1"/>
  <c r="I687" i="5" s="1"/>
  <c r="E688" i="5" s="1"/>
  <c r="H688" i="5" l="1"/>
  <c r="I688" i="5" s="1"/>
  <c r="E689" i="5" s="1"/>
  <c r="H689" i="5" l="1"/>
  <c r="I689" i="5" s="1"/>
  <c r="E690" i="5" s="1"/>
  <c r="H690" i="5" l="1"/>
  <c r="I690" i="5" s="1"/>
  <c r="E691" i="5" s="1"/>
  <c r="H691" i="5" l="1"/>
  <c r="I691" i="5" s="1"/>
  <c r="E692" i="5" s="1"/>
  <c r="H692" i="5" l="1"/>
  <c r="I692" i="5" s="1"/>
  <c r="E693" i="5" s="1"/>
  <c r="H693" i="5" l="1"/>
  <c r="I693" i="5" s="1"/>
  <c r="E694" i="5" s="1"/>
  <c r="H694" i="5" l="1"/>
  <c r="I694" i="5" s="1"/>
  <c r="E695" i="5" s="1"/>
  <c r="H695" i="5" l="1"/>
  <c r="I695" i="5" s="1"/>
  <c r="E696" i="5" s="1"/>
  <c r="H696" i="5" l="1"/>
  <c r="I696" i="5" s="1"/>
  <c r="E697" i="5" s="1"/>
  <c r="H697" i="5" l="1"/>
  <c r="I697" i="5" s="1"/>
  <c r="E698" i="5" s="1"/>
  <c r="H698" i="5" l="1"/>
  <c r="I698" i="5" s="1"/>
  <c r="E699" i="5" s="1"/>
  <c r="H699" i="5" l="1"/>
  <c r="I699" i="5" s="1"/>
  <c r="E700" i="5" s="1"/>
  <c r="H700" i="5" l="1"/>
  <c r="I700" i="5" s="1"/>
  <c r="E701" i="5" s="1"/>
  <c r="H701" i="5" l="1"/>
  <c r="I701" i="5" s="1"/>
  <c r="E702" i="5" s="1"/>
  <c r="H702" i="5" l="1"/>
  <c r="I702" i="5" s="1"/>
  <c r="E703" i="5" s="1"/>
  <c r="H703" i="5" l="1"/>
  <c r="I703" i="5" s="1"/>
  <c r="E704" i="5" s="1"/>
  <c r="H704" i="5" l="1"/>
  <c r="I704" i="5" s="1"/>
  <c r="E705" i="5" s="1"/>
  <c r="H705" i="5" l="1"/>
  <c r="I705" i="5" s="1"/>
  <c r="E706" i="5" s="1"/>
  <c r="H706" i="5" l="1"/>
  <c r="I706" i="5" s="1"/>
  <c r="E707" i="5" s="1"/>
  <c r="H707" i="5" l="1"/>
  <c r="I707" i="5" s="1"/>
  <c r="E708" i="5" s="1"/>
  <c r="H708" i="5" l="1"/>
  <c r="I708" i="5" s="1"/>
  <c r="E709" i="5" s="1"/>
  <c r="H709" i="5" l="1"/>
  <c r="I709" i="5" s="1"/>
  <c r="E710" i="5" s="1"/>
  <c r="H710" i="5" l="1"/>
  <c r="I710" i="5" s="1"/>
  <c r="E711" i="5" s="1"/>
  <c r="H711" i="5" l="1"/>
  <c r="I711" i="5" s="1"/>
  <c r="E712" i="5" s="1"/>
  <c r="H712" i="5" l="1"/>
  <c r="I712" i="5" s="1"/>
  <c r="E713" i="5" s="1"/>
  <c r="H713" i="5" l="1"/>
  <c r="I713" i="5" s="1"/>
  <c r="E714" i="5" s="1"/>
  <c r="H714" i="5" l="1"/>
  <c r="I714" i="5" s="1"/>
  <c r="E715" i="5" s="1"/>
  <c r="H715" i="5" l="1"/>
  <c r="I715" i="5" s="1"/>
  <c r="E716" i="5" s="1"/>
  <c r="H716" i="5" l="1"/>
  <c r="I716" i="5" s="1"/>
  <c r="E717" i="5" s="1"/>
  <c r="H717" i="5" l="1"/>
  <c r="I717" i="5" s="1"/>
  <c r="E718" i="5" s="1"/>
  <c r="H718" i="5" l="1"/>
  <c r="I718" i="5" s="1"/>
  <c r="E719" i="5" s="1"/>
  <c r="H719" i="5" l="1"/>
  <c r="I719" i="5" s="1"/>
  <c r="E720" i="5" s="1"/>
  <c r="H720" i="5" l="1"/>
  <c r="I720" i="5" s="1"/>
  <c r="E721" i="5" s="1"/>
  <c r="H721" i="5" l="1"/>
  <c r="I721" i="5" s="1"/>
  <c r="E722" i="5" s="1"/>
  <c r="H722" i="5" l="1"/>
  <c r="I722" i="5" s="1"/>
  <c r="E723" i="5" s="1"/>
  <c r="H723" i="5" l="1"/>
  <c r="I723" i="5" s="1"/>
  <c r="E724" i="5" s="1"/>
  <c r="H724" i="5" l="1"/>
  <c r="I724" i="5" s="1"/>
  <c r="E725" i="5" s="1"/>
  <c r="H725" i="5" l="1"/>
  <c r="I725" i="5" s="1"/>
  <c r="E726" i="5" s="1"/>
  <c r="H726" i="5" l="1"/>
  <c r="I726" i="5" s="1"/>
  <c r="E727" i="5" s="1"/>
  <c r="H727" i="5" l="1"/>
  <c r="I727" i="5" s="1"/>
  <c r="E728" i="5" s="1"/>
  <c r="H728" i="5" l="1"/>
  <c r="I728" i="5" s="1"/>
  <c r="E729" i="5" s="1"/>
  <c r="H729" i="5" l="1"/>
  <c r="I729" i="5" s="1"/>
  <c r="E730" i="5" s="1"/>
  <c r="H730" i="5" l="1"/>
  <c r="I730" i="5" s="1"/>
  <c r="E731" i="5" s="1"/>
  <c r="H731" i="5" l="1"/>
  <c r="I731" i="5" s="1"/>
  <c r="E732" i="5" s="1"/>
  <c r="H732" i="5" l="1"/>
  <c r="I732" i="5" s="1"/>
  <c r="E733" i="5" s="1"/>
  <c r="H733" i="5" l="1"/>
  <c r="I733" i="5" s="1"/>
  <c r="E734" i="5" s="1"/>
  <c r="H734" i="5" l="1"/>
  <c r="I734" i="5" s="1"/>
  <c r="E735" i="5" s="1"/>
  <c r="H735" i="5" l="1"/>
  <c r="I735" i="5" s="1"/>
  <c r="E736" i="5" s="1"/>
  <c r="H736" i="5" l="1"/>
  <c r="I736" i="5" s="1"/>
  <c r="E737" i="5" s="1"/>
  <c r="H737" i="5" l="1"/>
  <c r="I737" i="5" s="1"/>
  <c r="E738" i="5" s="1"/>
  <c r="H738" i="5" l="1"/>
  <c r="I738" i="5" s="1"/>
  <c r="E739" i="5" s="1"/>
  <c r="H739" i="5" l="1"/>
  <c r="I739" i="5" s="1"/>
  <c r="E740" i="5" s="1"/>
  <c r="H740" i="5" l="1"/>
  <c r="I740" i="5" s="1"/>
  <c r="E741" i="5" s="1"/>
  <c r="H741" i="5" l="1"/>
  <c r="I741" i="5" s="1"/>
  <c r="E742" i="5" s="1"/>
  <c r="H742" i="5" l="1"/>
  <c r="I742" i="5" s="1"/>
  <c r="E743" i="5" s="1"/>
  <c r="H743" i="5" l="1"/>
  <c r="I743" i="5" s="1"/>
  <c r="E744" i="5" s="1"/>
  <c r="H744" i="5" l="1"/>
  <c r="I744" i="5" s="1"/>
  <c r="E745" i="5" s="1"/>
  <c r="H745" i="5" l="1"/>
  <c r="I745" i="5" s="1"/>
  <c r="E746" i="5" s="1"/>
  <c r="H746" i="5" l="1"/>
  <c r="I746" i="5" s="1"/>
  <c r="E747" i="5" s="1"/>
  <c r="H747" i="5" l="1"/>
  <c r="I747" i="5" s="1"/>
  <c r="E748" i="5" s="1"/>
  <c r="H748" i="5" l="1"/>
  <c r="I748" i="5" s="1"/>
  <c r="E749" i="5" s="1"/>
  <c r="H749" i="5" l="1"/>
  <c r="I749" i="5" s="1"/>
  <c r="E750" i="5" s="1"/>
  <c r="H750" i="5" l="1"/>
  <c r="I750" i="5" s="1"/>
  <c r="E751" i="5" s="1"/>
  <c r="H751" i="5" l="1"/>
  <c r="I751" i="5" s="1"/>
  <c r="E752" i="5" s="1"/>
  <c r="H752" i="5" l="1"/>
  <c r="I752" i="5" s="1"/>
  <c r="E753" i="5" s="1"/>
  <c r="H753" i="5" l="1"/>
  <c r="I753" i="5" s="1"/>
  <c r="E754" i="5" s="1"/>
  <c r="H754" i="5" l="1"/>
  <c r="I754" i="5" s="1"/>
  <c r="E755" i="5" s="1"/>
  <c r="H755" i="5" l="1"/>
  <c r="I755" i="5" s="1"/>
  <c r="E756" i="5" s="1"/>
  <c r="H756" i="5" l="1"/>
  <c r="I756" i="5" s="1"/>
  <c r="E757" i="5" s="1"/>
  <c r="H757" i="5" l="1"/>
  <c r="I757" i="5" s="1"/>
  <c r="E758" i="5" s="1"/>
  <c r="H758" i="5" l="1"/>
  <c r="I758" i="5" s="1"/>
  <c r="E759" i="5" s="1"/>
  <c r="H759" i="5" l="1"/>
  <c r="I759" i="5" s="1"/>
  <c r="E760" i="5" s="1"/>
  <c r="H760" i="5" l="1"/>
  <c r="I760" i="5" s="1"/>
  <c r="E761" i="5" s="1"/>
  <c r="H761" i="5" l="1"/>
  <c r="I761" i="5" s="1"/>
  <c r="E762" i="5" s="1"/>
  <c r="H762" i="5" l="1"/>
  <c r="I762" i="5" s="1"/>
  <c r="E763" i="5" s="1"/>
  <c r="H763" i="5" l="1"/>
  <c r="I763" i="5" s="1"/>
  <c r="E764" i="5" s="1"/>
  <c r="H764" i="5" l="1"/>
  <c r="I764" i="5" s="1"/>
  <c r="E765" i="5" s="1"/>
  <c r="H765" i="5" l="1"/>
  <c r="I765" i="5" s="1"/>
  <c r="E766" i="5" s="1"/>
  <c r="H766" i="5" l="1"/>
  <c r="I766" i="5" s="1"/>
  <c r="E767" i="5" s="1"/>
  <c r="H767" i="5" l="1"/>
  <c r="I767" i="5" s="1"/>
  <c r="E768" i="5" s="1"/>
  <c r="H768" i="5" l="1"/>
  <c r="I768" i="5" s="1"/>
  <c r="E769" i="5" s="1"/>
  <c r="H769" i="5" l="1"/>
  <c r="I769" i="5" s="1"/>
  <c r="E770" i="5" s="1"/>
  <c r="H770" i="5" l="1"/>
  <c r="I770" i="5" s="1"/>
  <c r="E771" i="5" s="1"/>
  <c r="H771" i="5" l="1"/>
  <c r="I771" i="5" s="1"/>
  <c r="E772" i="5" s="1"/>
  <c r="H772" i="5" l="1"/>
  <c r="I772" i="5" s="1"/>
  <c r="E773" i="5" s="1"/>
  <c r="H773" i="5" l="1"/>
  <c r="I773" i="5" s="1"/>
  <c r="E774" i="5" s="1"/>
  <c r="H774" i="5" l="1"/>
  <c r="I774" i="5" s="1"/>
  <c r="E775" i="5" s="1"/>
  <c r="H775" i="5" l="1"/>
  <c r="I775" i="5" s="1"/>
  <c r="E776" i="5" s="1"/>
  <c r="H776" i="5" l="1"/>
  <c r="I776" i="5" s="1"/>
  <c r="E777" i="5" s="1"/>
  <c r="H777" i="5" l="1"/>
  <c r="I777" i="5" s="1"/>
  <c r="E778" i="5" s="1"/>
  <c r="H778" i="5" l="1"/>
  <c r="I778" i="5" s="1"/>
  <c r="E779" i="5" s="1"/>
  <c r="H779" i="5" l="1"/>
  <c r="I779" i="5" s="1"/>
  <c r="E780" i="5" s="1"/>
  <c r="H780" i="5" l="1"/>
  <c r="I780" i="5" s="1"/>
  <c r="E781" i="5" s="1"/>
  <c r="H781" i="5" l="1"/>
  <c r="I781" i="5" s="1"/>
  <c r="E782" i="5" s="1"/>
  <c r="H782" i="5" l="1"/>
  <c r="I782" i="5" s="1"/>
  <c r="E783" i="5" s="1"/>
  <c r="H783" i="5" l="1"/>
  <c r="I783" i="5" s="1"/>
  <c r="E784" i="5" s="1"/>
  <c r="H784" i="5" l="1"/>
  <c r="I784" i="5" s="1"/>
  <c r="E785" i="5" s="1"/>
  <c r="H785" i="5" l="1"/>
  <c r="I785" i="5" s="1"/>
  <c r="E786" i="5" s="1"/>
  <c r="H786" i="5" l="1"/>
  <c r="I786" i="5" s="1"/>
  <c r="E787" i="5" s="1"/>
  <c r="H787" i="5" l="1"/>
  <c r="I787" i="5" s="1"/>
  <c r="E788" i="5" s="1"/>
  <c r="H788" i="5" l="1"/>
  <c r="I788" i="5" s="1"/>
  <c r="E789" i="5" s="1"/>
  <c r="H789" i="5" l="1"/>
  <c r="I789" i="5" s="1"/>
  <c r="E790" i="5" s="1"/>
  <c r="H790" i="5" l="1"/>
  <c r="I790" i="5" s="1"/>
  <c r="E791" i="5" s="1"/>
  <c r="H791" i="5" l="1"/>
  <c r="I791" i="5" s="1"/>
  <c r="E792" i="5" s="1"/>
  <c r="H792" i="5" l="1"/>
  <c r="I792" i="5" s="1"/>
  <c r="E793" i="5" s="1"/>
  <c r="H793" i="5" l="1"/>
  <c r="I793" i="5" s="1"/>
  <c r="E794" i="5" s="1"/>
  <c r="H794" i="5" l="1"/>
  <c r="I794" i="5" s="1"/>
  <c r="E795" i="5" s="1"/>
  <c r="H795" i="5" l="1"/>
  <c r="I795" i="5" s="1"/>
  <c r="E796" i="5" s="1"/>
  <c r="H796" i="5" l="1"/>
  <c r="I796" i="5" s="1"/>
  <c r="E797" i="5" s="1"/>
  <c r="H797" i="5" l="1"/>
  <c r="I797" i="5" s="1"/>
  <c r="E798" i="5" s="1"/>
  <c r="H798" i="5" l="1"/>
  <c r="I798" i="5" s="1"/>
  <c r="E799" i="5" s="1"/>
  <c r="H799" i="5" l="1"/>
  <c r="I799" i="5" s="1"/>
  <c r="E800" i="5" s="1"/>
  <c r="H800" i="5" l="1"/>
  <c r="I800" i="5" s="1"/>
  <c r="E801" i="5" s="1"/>
  <c r="H801" i="5" l="1"/>
  <c r="I801" i="5" s="1"/>
  <c r="E802" i="5" s="1"/>
  <c r="H802" i="5" l="1"/>
  <c r="I802" i="5" s="1"/>
  <c r="E803" i="5" s="1"/>
  <c r="H803" i="5" l="1"/>
  <c r="I803" i="5" s="1"/>
  <c r="E804" i="5" s="1"/>
  <c r="H804" i="5" l="1"/>
  <c r="I804" i="5" s="1"/>
  <c r="E805" i="5" s="1"/>
  <c r="H805" i="5" l="1"/>
  <c r="I805" i="5" s="1"/>
  <c r="E806" i="5" s="1"/>
  <c r="H806" i="5" l="1"/>
  <c r="I806" i="5" s="1"/>
  <c r="E807" i="5" s="1"/>
  <c r="H807" i="5" l="1"/>
  <c r="I807" i="5" s="1"/>
  <c r="E808" i="5" s="1"/>
  <c r="H808" i="5" l="1"/>
  <c r="I808" i="5" s="1"/>
  <c r="E809" i="5" s="1"/>
  <c r="H809" i="5" l="1"/>
  <c r="I809" i="5" s="1"/>
  <c r="E810" i="5" s="1"/>
  <c r="H810" i="5" l="1"/>
  <c r="I810" i="5" s="1"/>
  <c r="E811" i="5" s="1"/>
  <c r="H811" i="5" l="1"/>
  <c r="I811" i="5" s="1"/>
  <c r="E812" i="5" s="1"/>
  <c r="H812" i="5" l="1"/>
  <c r="I812" i="5" s="1"/>
  <c r="E813" i="5" s="1"/>
  <c r="H813" i="5" l="1"/>
  <c r="I813" i="5" s="1"/>
  <c r="E814" i="5" s="1"/>
  <c r="H814" i="5" l="1"/>
  <c r="I814" i="5" s="1"/>
  <c r="E815" i="5" s="1"/>
  <c r="H815" i="5" l="1"/>
  <c r="I815" i="5" s="1"/>
  <c r="E816" i="5" s="1"/>
  <c r="H816" i="5" l="1"/>
  <c r="I816" i="5" s="1"/>
  <c r="E817" i="5" s="1"/>
  <c r="H817" i="5" l="1"/>
  <c r="I817" i="5" s="1"/>
  <c r="E818" i="5" s="1"/>
  <c r="H818" i="5" l="1"/>
  <c r="I818" i="5" s="1"/>
  <c r="E819" i="5" s="1"/>
  <c r="H819" i="5" l="1"/>
  <c r="I819" i="5" s="1"/>
  <c r="E820" i="5" s="1"/>
  <c r="H820" i="5" l="1"/>
  <c r="I820" i="5" s="1"/>
  <c r="E821" i="5" s="1"/>
  <c r="H821" i="5" l="1"/>
  <c r="I821" i="5" s="1"/>
  <c r="E822" i="5" s="1"/>
  <c r="H822" i="5" l="1"/>
  <c r="I822" i="5" s="1"/>
  <c r="E823" i="5" s="1"/>
  <c r="H823" i="5" l="1"/>
  <c r="I823" i="5" s="1"/>
  <c r="E824" i="5" s="1"/>
  <c r="H824" i="5" l="1"/>
  <c r="I824" i="5" s="1"/>
  <c r="E825" i="5" s="1"/>
  <c r="H825" i="5" l="1"/>
  <c r="I825" i="5" s="1"/>
  <c r="E826" i="5" s="1"/>
  <c r="H826" i="5" l="1"/>
  <c r="I826" i="5" s="1"/>
  <c r="E827" i="5" s="1"/>
  <c r="H827" i="5" l="1"/>
  <c r="I827" i="5" s="1"/>
  <c r="E828" i="5" s="1"/>
  <c r="H828" i="5" l="1"/>
  <c r="I828" i="5" s="1"/>
  <c r="E829" i="5" s="1"/>
  <c r="H829" i="5" l="1"/>
  <c r="I829" i="5" s="1"/>
  <c r="E830" i="5" s="1"/>
  <c r="H830" i="5" l="1"/>
  <c r="I830" i="5" s="1"/>
  <c r="E831" i="5" s="1"/>
  <c r="H831" i="5" l="1"/>
  <c r="I831" i="5" s="1"/>
  <c r="E832" i="5" s="1"/>
  <c r="H832" i="5" l="1"/>
  <c r="I832" i="5" s="1"/>
  <c r="E833" i="5" s="1"/>
  <c r="H833" i="5" l="1"/>
  <c r="I833" i="5" s="1"/>
  <c r="E834" i="5" s="1"/>
  <c r="H834" i="5" l="1"/>
  <c r="I834" i="5" s="1"/>
  <c r="E835" i="5" s="1"/>
  <c r="H835" i="5" l="1"/>
  <c r="I835" i="5" s="1"/>
  <c r="E836" i="5" s="1"/>
  <c r="H836" i="5" l="1"/>
  <c r="I836" i="5" s="1"/>
  <c r="E837" i="5" s="1"/>
  <c r="H837" i="5" l="1"/>
  <c r="I837" i="5" s="1"/>
  <c r="E838" i="5" s="1"/>
  <c r="H838" i="5" l="1"/>
  <c r="I838" i="5" s="1"/>
  <c r="E839" i="5" s="1"/>
  <c r="H839" i="5" l="1"/>
  <c r="I839" i="5" s="1"/>
  <c r="E840" i="5" s="1"/>
  <c r="H840" i="5" l="1"/>
  <c r="I840" i="5" s="1"/>
  <c r="E841" i="5" s="1"/>
  <c r="H841" i="5" l="1"/>
  <c r="I841" i="5" s="1"/>
  <c r="E842" i="5" s="1"/>
  <c r="H842" i="5" l="1"/>
  <c r="I842" i="5" s="1"/>
  <c r="E843" i="5" s="1"/>
  <c r="H843" i="5" l="1"/>
  <c r="I843" i="5" s="1"/>
  <c r="E844" i="5" s="1"/>
  <c r="H844" i="5" l="1"/>
  <c r="I844" i="5" s="1"/>
  <c r="E845" i="5" s="1"/>
  <c r="H845" i="5" l="1"/>
  <c r="I845" i="5" s="1"/>
  <c r="E846" i="5" s="1"/>
  <c r="H846" i="5" l="1"/>
  <c r="I846" i="5" s="1"/>
  <c r="E847" i="5" s="1"/>
  <c r="H847" i="5" l="1"/>
  <c r="I847" i="5" s="1"/>
  <c r="E848" i="5" s="1"/>
  <c r="H848" i="5" l="1"/>
  <c r="I848" i="5" s="1"/>
  <c r="E849" i="5" s="1"/>
  <c r="H849" i="5" l="1"/>
  <c r="I849" i="5" s="1"/>
  <c r="E850" i="5" s="1"/>
  <c r="H850" i="5" l="1"/>
  <c r="I850" i="5" s="1"/>
  <c r="E851" i="5" s="1"/>
  <c r="H851" i="5" l="1"/>
  <c r="I851" i="5" s="1"/>
  <c r="E852" i="5" s="1"/>
  <c r="H852" i="5" l="1"/>
  <c r="I852" i="5" s="1"/>
  <c r="E853" i="5" s="1"/>
  <c r="H853" i="5" l="1"/>
  <c r="I853" i="5" s="1"/>
  <c r="E854" i="5" s="1"/>
  <c r="H854" i="5" l="1"/>
  <c r="I854" i="5" s="1"/>
  <c r="E855" i="5" s="1"/>
  <c r="H855" i="5" l="1"/>
  <c r="I855" i="5" s="1"/>
  <c r="E856" i="5" s="1"/>
  <c r="H856" i="5" l="1"/>
  <c r="I856" i="5" s="1"/>
  <c r="E857" i="5" s="1"/>
  <c r="H857" i="5" l="1"/>
  <c r="I857" i="5" s="1"/>
  <c r="E858" i="5" s="1"/>
  <c r="H858" i="5" l="1"/>
  <c r="I858" i="5" s="1"/>
  <c r="E859" i="5" s="1"/>
  <c r="H859" i="5" l="1"/>
  <c r="I859" i="5" s="1"/>
  <c r="E860" i="5" s="1"/>
  <c r="H860" i="5" l="1"/>
  <c r="I860" i="5" s="1"/>
  <c r="E861" i="5" s="1"/>
  <c r="H861" i="5" l="1"/>
  <c r="I861" i="5" s="1"/>
  <c r="E862" i="5" s="1"/>
  <c r="H862" i="5" l="1"/>
  <c r="I862" i="5" s="1"/>
  <c r="E863" i="5" s="1"/>
  <c r="H863" i="5" l="1"/>
  <c r="I863" i="5" s="1"/>
  <c r="E864" i="5" s="1"/>
  <c r="H864" i="5" l="1"/>
  <c r="I864" i="5" s="1"/>
  <c r="E865" i="5" s="1"/>
  <c r="H865" i="5" l="1"/>
  <c r="I865" i="5" s="1"/>
  <c r="E866" i="5" s="1"/>
  <c r="H866" i="5" l="1"/>
  <c r="I866" i="5" s="1"/>
  <c r="E867" i="5" s="1"/>
  <c r="H867" i="5" l="1"/>
  <c r="I867" i="5" s="1"/>
  <c r="E868" i="5" s="1"/>
  <c r="H868" i="5" l="1"/>
  <c r="I868" i="5" s="1"/>
  <c r="E869" i="5" s="1"/>
  <c r="H869" i="5" l="1"/>
  <c r="I869" i="5" s="1"/>
  <c r="E870" i="5" s="1"/>
  <c r="H870" i="5" l="1"/>
  <c r="I870" i="5" s="1"/>
  <c r="E871" i="5" s="1"/>
  <c r="H871" i="5" l="1"/>
  <c r="I871" i="5" s="1"/>
  <c r="E872" i="5" s="1"/>
  <c r="H872" i="5" l="1"/>
  <c r="I872" i="5" s="1"/>
  <c r="E873" i="5" s="1"/>
  <c r="H873" i="5" l="1"/>
  <c r="I873" i="5" s="1"/>
  <c r="E874" i="5" s="1"/>
  <c r="H874" i="5" l="1"/>
  <c r="I874" i="5" s="1"/>
  <c r="E875" i="5" s="1"/>
  <c r="H875" i="5" l="1"/>
  <c r="I875" i="5" s="1"/>
  <c r="E876" i="5" s="1"/>
  <c r="H876" i="5" l="1"/>
  <c r="I876" i="5" s="1"/>
  <c r="E877" i="5" s="1"/>
  <c r="H877" i="5" l="1"/>
  <c r="I877" i="5" s="1"/>
  <c r="E878" i="5" s="1"/>
  <c r="H878" i="5" l="1"/>
  <c r="I878" i="5" s="1"/>
  <c r="E879" i="5" s="1"/>
  <c r="H879" i="5" l="1"/>
  <c r="I879" i="5" s="1"/>
  <c r="E880" i="5" s="1"/>
  <c r="H880" i="5" l="1"/>
  <c r="I880" i="5" s="1"/>
  <c r="E881" i="5" s="1"/>
  <c r="H881" i="5" l="1"/>
  <c r="I881" i="5" s="1"/>
  <c r="E882" i="5" s="1"/>
  <c r="H882" i="5" l="1"/>
  <c r="I882" i="5" s="1"/>
  <c r="E883" i="5" s="1"/>
  <c r="H883" i="5" l="1"/>
  <c r="I883" i="5" s="1"/>
  <c r="E884" i="5" s="1"/>
  <c r="H884" i="5" l="1"/>
  <c r="I884" i="5" s="1"/>
  <c r="E885" i="5" s="1"/>
  <c r="H885" i="5" l="1"/>
  <c r="I885" i="5" s="1"/>
  <c r="E886" i="5" s="1"/>
  <c r="H886" i="5" l="1"/>
  <c r="I886" i="5" s="1"/>
  <c r="E887" i="5" s="1"/>
  <c r="H887" i="5" l="1"/>
  <c r="I887" i="5" s="1"/>
  <c r="E888" i="5" s="1"/>
  <c r="H888" i="5" l="1"/>
  <c r="I888" i="5" s="1"/>
  <c r="E889" i="5" s="1"/>
  <c r="H889" i="5" l="1"/>
  <c r="I889" i="5" s="1"/>
  <c r="E890" i="5" s="1"/>
  <c r="H890" i="5" l="1"/>
  <c r="I890" i="5" s="1"/>
  <c r="E891" i="5" s="1"/>
  <c r="H891" i="5" l="1"/>
  <c r="I891" i="5" s="1"/>
  <c r="E892" i="5" s="1"/>
  <c r="H892" i="5" l="1"/>
  <c r="I892" i="5" s="1"/>
  <c r="E893" i="5" s="1"/>
  <c r="H893" i="5" l="1"/>
  <c r="I893" i="5" s="1"/>
  <c r="E894" i="5" s="1"/>
  <c r="H894" i="5" l="1"/>
  <c r="I894" i="5" s="1"/>
  <c r="E895" i="5" s="1"/>
  <c r="H895" i="5" l="1"/>
  <c r="I895" i="5" s="1"/>
  <c r="E896" i="5" s="1"/>
  <c r="H896" i="5" l="1"/>
  <c r="I896" i="5" s="1"/>
  <c r="E897" i="5" s="1"/>
  <c r="H897" i="5" l="1"/>
  <c r="I897" i="5" s="1"/>
  <c r="E898" i="5" s="1"/>
  <c r="H898" i="5" l="1"/>
  <c r="I898" i="5" s="1"/>
  <c r="E899" i="5" s="1"/>
  <c r="H899" i="5" l="1"/>
  <c r="I899" i="5" s="1"/>
  <c r="E900" i="5" s="1"/>
  <c r="H900" i="5" l="1"/>
  <c r="I900" i="5" s="1"/>
  <c r="E901" i="5" s="1"/>
  <c r="H901" i="5" l="1"/>
  <c r="I901" i="5" s="1"/>
  <c r="E902" i="5" s="1"/>
  <c r="H902" i="5" l="1"/>
  <c r="I902" i="5" s="1"/>
  <c r="E903" i="5" s="1"/>
  <c r="H903" i="5" l="1"/>
  <c r="I903" i="5" s="1"/>
  <c r="E904" i="5" s="1"/>
  <c r="H904" i="5" l="1"/>
  <c r="I904" i="5" s="1"/>
  <c r="E905" i="5" s="1"/>
  <c r="H905" i="5" l="1"/>
  <c r="I905" i="5" s="1"/>
  <c r="E906" i="5" s="1"/>
  <c r="H906" i="5" l="1"/>
  <c r="I906" i="5" s="1"/>
  <c r="E907" i="5" s="1"/>
  <c r="H907" i="5" l="1"/>
  <c r="I907" i="5" s="1"/>
  <c r="E908" i="5" s="1"/>
  <c r="H908" i="5" l="1"/>
  <c r="I908" i="5" s="1"/>
  <c r="E909" i="5" s="1"/>
  <c r="H909" i="5" l="1"/>
  <c r="I909" i="5" s="1"/>
  <c r="E910" i="5" s="1"/>
  <c r="H910" i="5" l="1"/>
  <c r="I910" i="5" s="1"/>
  <c r="E911" i="5" s="1"/>
  <c r="H911" i="5" l="1"/>
  <c r="I911" i="5" s="1"/>
  <c r="E912" i="5" s="1"/>
  <c r="H912" i="5" l="1"/>
  <c r="I912" i="5" s="1"/>
  <c r="E913" i="5" s="1"/>
  <c r="H913" i="5" l="1"/>
  <c r="I913" i="5" s="1"/>
  <c r="E914" i="5" s="1"/>
  <c r="H914" i="5" l="1"/>
  <c r="I914" i="5" s="1"/>
  <c r="E915" i="5" s="1"/>
  <c r="H915" i="5" l="1"/>
  <c r="I915" i="5" s="1"/>
  <c r="E916" i="5" s="1"/>
  <c r="H916" i="5" l="1"/>
  <c r="I916" i="5" s="1"/>
  <c r="E917" i="5" s="1"/>
  <c r="H917" i="5" l="1"/>
  <c r="I917" i="5" s="1"/>
  <c r="E918" i="5" s="1"/>
  <c r="H918" i="5" l="1"/>
  <c r="I918" i="5" s="1"/>
  <c r="E919" i="5" s="1"/>
  <c r="H919" i="5" l="1"/>
  <c r="I919" i="5" s="1"/>
  <c r="E920" i="5" s="1"/>
  <c r="H920" i="5" l="1"/>
  <c r="I920" i="5" s="1"/>
  <c r="E921" i="5" s="1"/>
  <c r="H921" i="5" l="1"/>
  <c r="I921" i="5" s="1"/>
  <c r="E922" i="5" s="1"/>
  <c r="H922" i="5" l="1"/>
  <c r="I922" i="5" s="1"/>
  <c r="E923" i="5" s="1"/>
  <c r="H923" i="5" l="1"/>
  <c r="I923" i="5" s="1"/>
  <c r="E924" i="5" s="1"/>
  <c r="H924" i="5" l="1"/>
  <c r="I924" i="5" s="1"/>
  <c r="E925" i="5" s="1"/>
  <c r="H925" i="5" l="1"/>
  <c r="I925" i="5" s="1"/>
  <c r="E926" i="5" s="1"/>
  <c r="H926" i="5" l="1"/>
  <c r="I926" i="5" s="1"/>
  <c r="E927" i="5" s="1"/>
  <c r="H927" i="5" l="1"/>
  <c r="I927" i="5" s="1"/>
  <c r="E928" i="5" s="1"/>
  <c r="H928" i="5" l="1"/>
  <c r="I928" i="5" s="1"/>
  <c r="E929" i="5" s="1"/>
  <c r="H929" i="5" l="1"/>
  <c r="I929" i="5" s="1"/>
  <c r="E930" i="5" s="1"/>
  <c r="H930" i="5" l="1"/>
  <c r="I930" i="5" s="1"/>
  <c r="E931" i="5" s="1"/>
  <c r="H931" i="5" l="1"/>
  <c r="I931" i="5" s="1"/>
  <c r="E932" i="5" s="1"/>
  <c r="H932" i="5" l="1"/>
  <c r="I932" i="5" s="1"/>
  <c r="E933" i="5" s="1"/>
  <c r="H933" i="5" l="1"/>
  <c r="I933" i="5" s="1"/>
  <c r="E934" i="5" s="1"/>
  <c r="H934" i="5" l="1"/>
  <c r="I934" i="5" s="1"/>
  <c r="E935" i="5" s="1"/>
  <c r="H935" i="5" l="1"/>
  <c r="I935" i="5" s="1"/>
  <c r="E936" i="5" s="1"/>
  <c r="H936" i="5" l="1"/>
  <c r="I936" i="5" s="1"/>
  <c r="E937" i="5" s="1"/>
  <c r="H937" i="5" l="1"/>
  <c r="I937" i="5" s="1"/>
  <c r="E938" i="5" s="1"/>
  <c r="H938" i="5" l="1"/>
  <c r="I938" i="5" s="1"/>
  <c r="E939" i="5" s="1"/>
  <c r="H939" i="5" l="1"/>
  <c r="I939" i="5" s="1"/>
  <c r="E940" i="5" s="1"/>
  <c r="H940" i="5" l="1"/>
  <c r="I940" i="5" s="1"/>
  <c r="E941" i="5" s="1"/>
  <c r="H941" i="5" l="1"/>
  <c r="I941" i="5" s="1"/>
  <c r="E942" i="5" s="1"/>
  <c r="H942" i="5" l="1"/>
  <c r="I942" i="5" s="1"/>
  <c r="E943" i="5" s="1"/>
  <c r="H943" i="5" l="1"/>
  <c r="I943" i="5" s="1"/>
  <c r="E944" i="5" s="1"/>
  <c r="H944" i="5" l="1"/>
  <c r="I944" i="5" s="1"/>
  <c r="E945" i="5" s="1"/>
  <c r="H945" i="5" l="1"/>
  <c r="I945" i="5" s="1"/>
  <c r="E946" i="5" s="1"/>
  <c r="H946" i="5" l="1"/>
  <c r="I946" i="5" s="1"/>
  <c r="E947" i="5" s="1"/>
  <c r="H947" i="5" l="1"/>
  <c r="I947" i="5" s="1"/>
  <c r="E948" i="5" s="1"/>
  <c r="H948" i="5" l="1"/>
  <c r="I948" i="5" s="1"/>
  <c r="E949" i="5" s="1"/>
  <c r="H949" i="5" l="1"/>
  <c r="I949" i="5" s="1"/>
  <c r="E950" i="5" s="1"/>
  <c r="H950" i="5" l="1"/>
  <c r="I950" i="5" s="1"/>
  <c r="E951" i="5" s="1"/>
  <c r="H951" i="5" l="1"/>
  <c r="I951" i="5" s="1"/>
  <c r="E952" i="5" s="1"/>
  <c r="H952" i="5" l="1"/>
  <c r="I952" i="5" s="1"/>
  <c r="E953" i="5" s="1"/>
  <c r="H953" i="5" l="1"/>
  <c r="I953" i="5" s="1"/>
  <c r="E954" i="5" s="1"/>
  <c r="H954" i="5" l="1"/>
  <c r="I954" i="5" s="1"/>
  <c r="E955" i="5" s="1"/>
  <c r="H955" i="5" l="1"/>
  <c r="I955" i="5" s="1"/>
  <c r="E956" i="5" s="1"/>
  <c r="H956" i="5" l="1"/>
  <c r="I956" i="5" s="1"/>
  <c r="E957" i="5" s="1"/>
  <c r="H957" i="5" l="1"/>
  <c r="I957" i="5" s="1"/>
  <c r="E958" i="5" s="1"/>
  <c r="H958" i="5" l="1"/>
  <c r="I958" i="5" s="1"/>
  <c r="E959" i="5" s="1"/>
  <c r="H959" i="5" l="1"/>
  <c r="I959" i="5" s="1"/>
  <c r="E960" i="5" s="1"/>
  <c r="H960" i="5" l="1"/>
  <c r="I960" i="5" s="1"/>
  <c r="E961" i="5" s="1"/>
  <c r="H961" i="5" l="1"/>
  <c r="I961" i="5" s="1"/>
  <c r="E962" i="5" s="1"/>
  <c r="H962" i="5" l="1"/>
  <c r="I962" i="5" s="1"/>
</calcChain>
</file>

<file path=xl/sharedStrings.xml><?xml version="1.0" encoding="utf-8"?>
<sst xmlns="http://schemas.openxmlformats.org/spreadsheetml/2006/main" count="1790" uniqueCount="1733">
  <si>
    <t>Link</t>
  </si>
  <si>
    <t>Stock</t>
  </si>
  <si>
    <t>Month</t>
  </si>
  <si>
    <t>Beginning balance</t>
  </si>
  <si>
    <t>-</t>
  </si>
  <si>
    <t>Date,Open,High,Low,Close,Adj Close,Volume</t>
  </si>
  <si>
    <t>Date</t>
  </si>
  <si>
    <t>Closing Price</t>
  </si>
  <si>
    <t>Interest</t>
  </si>
  <si>
    <t>Ending Balance</t>
  </si>
  <si>
    <t>Saving</t>
  </si>
  <si>
    <t>Parameters</t>
  </si>
  <si>
    <t>Beginning of period</t>
  </si>
  <si>
    <t>Year of retirement</t>
  </si>
  <si>
    <t>End of selected year</t>
  </si>
  <si>
    <t>???</t>
  </si>
  <si>
    <t>Time spent in retirement</t>
  </si>
  <si>
    <t>retirement year + t</t>
  </si>
  <si>
    <t>Financial Independence, Retire Early Calculator</t>
  </si>
  <si>
    <t>https://query1.finance.yahoo.com/v7/finance/download/%5EDJI?period1=489024000&amp;period2=1596153600&amp;interval=1mo&amp;events=history</t>
  </si>
  <si>
    <t>1985-07-01,191.850006,196.070007,189.300003,190.919998,190.919998,2463070000</t>
  </si>
  <si>
    <t>1985-08-01,190.919998,192.169998,186.100006,188.630005,188.630005,1923200000</t>
  </si>
  <si>
    <t>1985-09-01,188.630005,188.800003,179.449997,182.080002,182.080002,1860160000</t>
  </si>
  <si>
    <t>1985-10-01,182.059998,190.149994,181.160004,189.820007,189.820007,2543240000</t>
  </si>
  <si>
    <t>1985-11-01,189.820007,203.399994,189.369995,202.169998,202.169998,2445370000</t>
  </si>
  <si>
    <t>1985-12-01,202.169998,213.080002,200.100006,211.279999,211.279999,2804380000</t>
  </si>
  <si>
    <t>1986-01-01,211.279999,214.570007,202.600006,211.779999,211.779999,2879010000</t>
  </si>
  <si>
    <t>1986-02-01,211.779999,227.919998,210.820007,226.919998,226.919998,2899100000</t>
  </si>
  <si>
    <t>1986-03-01,226.919998,240.110001,222.179993,238.899994,238.899994,3214600000</t>
  </si>
  <si>
    <t>1986-04-01,238.899994,245.470001,226.300003,235.520004,235.520004,3240400000</t>
  </si>
  <si>
    <t>1986-05-01,235.520004,249.190002,232.259995,247.350006,247.350006,2680240000</t>
  </si>
  <si>
    <t>1986-06-01,246.039993,251.809998,238.229996,250.839996,250.839996,2649600000</t>
  </si>
  <si>
    <t>1986-07-01,250.669998,253.199997,233.070007,236.119995,236.119995,3029900000</t>
  </si>
  <si>
    <t>1986-08-01,236.119995,254.240005,231.919998,252.929993,252.929993,2701900000</t>
  </si>
  <si>
    <t>1986-09-01,252.929993,254.130005,228.080002,231.320007,231.320007,3166300000</t>
  </si>
  <si>
    <t>1986-10-01,231.320007,244.509995,231.320007,243.979996,243.979996,3016740000</t>
  </si>
  <si>
    <t>1986-11-01,243.970001,249.220001,235.509995,249.220001,249.220001,2940830000</t>
  </si>
  <si>
    <t>1986-12-01,249.220001,254.869995,241.279999,242.169998,242.169998,3260870000</t>
  </si>
  <si>
    <t>1987-01-01,242.169998,280.959991,242.169998,274.079987,274.079987,4040880000</t>
  </si>
  <si>
    <t>1987-02-01,274.079987,287.549988,273.160004,284.200012,284.200012,3485300000</t>
  </si>
  <si>
    <t>1987-03-01,284.170013,302.720001,282.299988,291.700012,291.700012,3965100000</t>
  </si>
  <si>
    <t>1987-04-01,291.589996,303.649994,275.670013,288.359985,288.359985,3931700000</t>
  </si>
  <si>
    <t>1987-05-01,286.989990,298.690002,277.010010,290.100006,290.100006,3417700000</t>
  </si>
  <si>
    <t>1987-06-01,290.119995,310.269989,286.929993,304.000000,304.000000,3595000000</t>
  </si>
  <si>
    <t>1987-07-01,303.989990,318.850006,302.529999,318.660004,318.660004,3966400000</t>
  </si>
  <si>
    <t>1987-08-01,318.619995,337.890015,314.510010,329.799988,329.799988,4062400000</t>
  </si>
  <si>
    <t>1987-09-01,329.809998,332.179993,308.559998,321.829987,321.829987,3723200000</t>
  </si>
  <si>
    <t>1987-10-01,321.829987,328.940002,216.460007,251.789993,251.789993,6094500000</t>
  </si>
  <si>
    <t>1987-11-01,251.729996,257.209991,225.750000,230.300003,230.300003,3589530000</t>
  </si>
  <si>
    <t>1987-12-01,230.320007,253.350006,221.240005,247.080002,247.080002,3926750000</t>
  </si>
  <si>
    <t>1988-01-01,247.100006,261.779999,240.169998,257.070007,257.070007,3494700000</t>
  </si>
  <si>
    <t>1988-02-01,257.049988,267.820007,247.820007,267.820007,267.820007,3693240000</t>
  </si>
  <si>
    <t>1988-03-01,267.820007,272.640015,256.070007,258.890015,258.890015,4052970000</t>
  </si>
  <si>
    <t>1988-04-01,258.890015,272.049988,254.710007,261.329987,261.329987,3260760000</t>
  </si>
  <si>
    <t>1988-05-01,261.359985,263.700012,248.850006,262.160004,262.160004,3231370000</t>
  </si>
  <si>
    <t>1988-06-01,262.160004,276.880005,262.100006,273.500000,273.500000,4306710000</t>
  </si>
  <si>
    <t>1988-07-01,273.500000,276.359985,262.480011,272.019989,272.019989,3338470000</t>
  </si>
  <si>
    <t>1988-08-01,272.029999,274.200012,256.529999,261.519989,261.519989,3327470000</t>
  </si>
  <si>
    <t>1988-09-01,261.519989,274.869995,256.980011,271.910004,271.910004,3059450000</t>
  </si>
  <si>
    <t>1988-10-01,271.890015,283.950012,268.839996,278.970001,278.970001,3415160000</t>
  </si>
  <si>
    <t>1988-11-01,278.970001,280.369995,262.850006,273.700012,273.700012,2822820000</t>
  </si>
  <si>
    <t>1988-12-01,273.679993,280.450012,270.470001,277.720001,277.720001,2844900000</t>
  </si>
  <si>
    <t>1989-01-01,277.720001,297.510010,273.809998,297.470001,297.470001,3532220000</t>
  </si>
  <si>
    <t>1989-02-01,297.470001,300.570007,286.260010,288.859985,288.859985,3216280000</t>
  </si>
  <si>
    <t>1989-03-01,288.859985,299.989990,286.459991,294.869995,294.869995,3504530000</t>
  </si>
  <si>
    <t>1989-04-01,294.869995,310.450012,294.350006,309.640015,309.640015,3237250000</t>
  </si>
  <si>
    <t>1989-05-01,309.640015,323.059998,304.059998,320.519989,320.519989,3747320000</t>
  </si>
  <si>
    <t>1989-06-01,320.510010,329.190002,314.380005,317.980011,317.980011,3966590000</t>
  </si>
  <si>
    <t>1989-07-01,317.980011,346.079987,317.260010,346.079987,346.079987,3249030000</t>
  </si>
  <si>
    <t>1989-08-01,346.079987,352.730011,339.000000,351.450012,351.450012,3949100000</t>
  </si>
  <si>
    <t>1989-09-01,351.450012,354.130005,341.369995,349.149994,349.149994,3035020000</t>
  </si>
  <si>
    <t>1989-10-01,349.149994,360.440002,327.119995,340.359985,340.359985,4012670000</t>
  </si>
  <si>
    <t>1989-11-01,340.359985,346.500000,330.910004,345.989990,345.989990,3032160000</t>
  </si>
  <si>
    <t>1989-12-01,346.010010,354.100006,339.630005,353.399994,353.399994,3213420000</t>
  </si>
  <si>
    <t>1990-01-01,353.399994,360.589996,319.829987,329.079987,329.079987,3793250000</t>
  </si>
  <si>
    <t>1990-02-01,329.079987,336.089996,322.100006,331.890015,331.890015,2961970000</t>
  </si>
  <si>
    <t>1990-03-01,331.890015,344.489990,331.079987,339.940002,339.940002,3283280000</t>
  </si>
  <si>
    <t>1990-04-01,339.940002,347.299988,327.760010,330.799988,330.799988,2801220000</t>
  </si>
  <si>
    <t>1990-05-01,330.799988,362.260010,330.799988,361.230011,361.230011,3596680000</t>
  </si>
  <si>
    <t>1990-06-01,361.260010,368.779999,351.230011,358.019989,358.019989,3226280000</t>
  </si>
  <si>
    <t>1990-07-01,358.019989,369.779999,350.089996,356.149994,356.149994,3373540000</t>
  </si>
  <si>
    <t>1990-08-01,356.149994,357.350006,306.179993,322.559998,322.559998,4020730000</t>
  </si>
  <si>
    <t>1990-09-01,322.559998,326.529999,295.980011,306.049988,306.049988,2687280000</t>
  </si>
  <si>
    <t>1990-10-01,306.100006,319.690002,294.510010,304.000000,304.000000,3671900000</t>
  </si>
  <si>
    <t>1990-11-01,303.989990,323.019989,301.609985,322.220001,322.220001,3149770000</t>
  </si>
  <si>
    <t>1990-12-01,322.230011,333.980011,321.970001,330.220001,330.220001,3116830000</t>
  </si>
  <si>
    <t>1991-01-01,330.200012,343.929993,309.350006,343.929993,343.929993,3660240000</t>
  </si>
  <si>
    <t>1991-02-01,343.910004,370.959991,340.369995,367.070007,367.070007,4303170000</t>
  </si>
  <si>
    <t>1991-03-01,367.070007,379.660004,363.730011,375.220001,375.220001,3927920000</t>
  </si>
  <si>
    <t>1991-04-01,375.220001,391.260010,370.269989,375.339996,375.339996,4017200000</t>
  </si>
  <si>
    <t>1991-05-01,375.350006,389.850006,365.829987,389.829987,389.829987,3739700000</t>
  </si>
  <si>
    <t>1991-06-01,389.809998,389.809998,367.980011,371.160004,371.160004,3258730000</t>
  </si>
  <si>
    <t>1991-07-01,371.179993,387.809998,370.920013,387.809998,387.809998,3481570000</t>
  </si>
  <si>
    <t>1991-08-01,387.809998,396.820007,374.089996,395.429993,395.429993,3713820000</t>
  </si>
  <si>
    <t>1991-09-01,395.429993,397.619995,382.769989,387.859985,387.859985,3260990000</t>
  </si>
  <si>
    <t>1991-10-01,387.859985,393.809998,376.109985,392.450012,392.450012,4082380000</t>
  </si>
  <si>
    <t>1991-11-01,392.459991,398.220001,371.630005,375.220001,375.220001,3737620000</t>
  </si>
  <si>
    <t>1991-12-01,375.109985,418.320007,371.359985,417.089996,417.089996,4155310000</t>
  </si>
  <si>
    <t>1992-01-01,417.029999,421.179993,408.640015,408.779999,408.779999,5286280000</t>
  </si>
  <si>
    <t>1992-02-01,408.790009,418.079987,406.339996,412.700012,412.700012,4267610000</t>
  </si>
  <si>
    <t>1992-03-01,412.679993,413.779999,401.940002,403.690002,403.690002,4066240000</t>
  </si>
  <si>
    <t>1992-04-01,403.670013,416.279999,392.410004,414.950012,414.950012,4315840000</t>
  </si>
  <si>
    <t>1992-05-01,414.950012,418.750000,409.850006,415.350006,415.350006,3643980000</t>
  </si>
  <si>
    <t>1992-06-01,415.350006,417.299988,399.920013,408.140015,408.140015,4259830000</t>
  </si>
  <si>
    <t>1992-07-01,408.200012,424.799988,407.200012,424.209991,424.209991,4265220000</t>
  </si>
  <si>
    <t>1992-08-01,424.190002,425.140015,408.299988,414.029999,414.029999,3653820000</t>
  </si>
  <si>
    <t>1992-09-01,414.029999,425.269989,412.709991,417.799988,417.799988,4023850000</t>
  </si>
  <si>
    <t>1992-10-01,417.799988,421.160004,396.799988,418.679993,418.679993,4507010000</t>
  </si>
  <si>
    <t>1992-11-01,418.660004,431.929993,415.579987,431.350006,431.350006,4148770000</t>
  </si>
  <si>
    <t>1992-12-01,431.350006,442.649994,428.609985,435.709991,435.709991,4876150000</t>
  </si>
  <si>
    <t>1993-01-01,435.700012,442.660004,426.880005,438.779999,438.779999,5280850000</t>
  </si>
  <si>
    <t>1993-02-01,438.779999,450.040009,428.250000,443.380005,443.380005,5442450000</t>
  </si>
  <si>
    <t>1993-03-01,443.380005,456.760010,441.070007,451.670013,451.670013,5766950000</t>
  </si>
  <si>
    <t>1993-04-01,451.670013,452.630005,432.299988,440.190002,440.190002,5853170000</t>
  </si>
  <si>
    <t>1993-05-01,440.190002,454.549988,436.859985,450.190002,450.190002,5108640000</t>
  </si>
  <si>
    <t>1993-06-01,450.230011,455.630005,442.500000,450.529999,450.529999,5544400000</t>
  </si>
  <si>
    <t>1993-07-01,450.540009,451.149994,441.399994,448.130005,448.130005,5308530000</t>
  </si>
  <si>
    <t>1993-08-01,448.130005,463.559998,446.940002,463.559998,463.559998,5506200000</t>
  </si>
  <si>
    <t>1993-09-01,463.549988,463.799988,449.640015,458.929993,458.929993,5552720000</t>
  </si>
  <si>
    <t>1993-10-01,458.929993,471.100006,456.399994,467.829987,467.829987,5940460000</t>
  </si>
  <si>
    <t>1993-11-01,467.829987,469.109985,454.359985,461.790009,461.790009,5876610000</t>
  </si>
  <si>
    <t>1993-12-01,461.929993,471.290009,461.450012,466.450012,466.450012,5791210000</t>
  </si>
  <si>
    <t>1994-01-01,466.510010,482.850006,464.359985,481.609985,481.609985,6627390000</t>
  </si>
  <si>
    <t>1994-02-01,481.600006,482.230011,464.260010,467.140015,467.140015,5853100000</t>
  </si>
  <si>
    <t>1994-03-01,467.190002,471.089996,436.160004,445.769989,445.769989,7225010000</t>
  </si>
  <si>
    <t>1994-04-01,445.660004,452.790009,435.859985,450.910004,450.910004,5735010000</t>
  </si>
  <si>
    <t>1994-05-01,450.910004,457.769989,440.779999,456.500000,456.500000,5675970000</t>
  </si>
  <si>
    <t>1994-06-01,456.500000,463.230011,439.829987,444.269989,444.269989,5852670000</t>
  </si>
  <si>
    <t>1994-07-01,444.269989,459.329987,443.579987,458.260010,458.260010,4980100000</t>
  </si>
  <si>
    <t>1994-08-01,458.279999,477.589996,456.079987,475.489990,475.489990,6398750000</t>
  </si>
  <si>
    <t>1994-09-01,475.489990,475.489990,458.470001,462.709991,462.709991,6152870000</t>
  </si>
  <si>
    <t>1994-10-01,462.690002,474.739990,449.269989,472.350006,472.350006,6344700000</t>
  </si>
  <si>
    <t>1994-11-01,472.260010,472.260010,444.179993,453.690002,453.690002,6251240000</t>
  </si>
  <si>
    <t>1994-12-01,453.549988,462.730011,442.880005,459.269989,459.269989,6351530000</t>
  </si>
  <si>
    <t>1995-01-01,459.209991,471.359985,457.200012,470.420013,470.420013,6852060000</t>
  </si>
  <si>
    <t>1995-02-01,470.420013,489.190002,469.290009,487.390015,487.390015,6330100000</t>
  </si>
  <si>
    <t>1995-03-01,487.390015,508.149994,479.700012,500.709991,500.709991,7792400000</t>
  </si>
  <si>
    <t>1995-04-01,500.700012,515.289978,500.200012,514.710022,514.710022,6307030000</t>
  </si>
  <si>
    <t>1995-05-01,514.760010,533.409973,513.030029,533.400024,533.400024,7555690000</t>
  </si>
  <si>
    <t>1995-06-01,533.400024,551.070007,526.000000,544.750000,544.750000,7555650000</t>
  </si>
  <si>
    <t>1995-07-01,544.750000,565.400024,542.510010,562.059998,562.059998,7307960000</t>
  </si>
  <si>
    <t>1995-08-01,562.059998,565.619995,553.039978,561.880005,561.880005,7146620000</t>
  </si>
  <si>
    <t>1995-09-01,561.880005,587.609985,561.010010,584.409973,584.409973,7052830000</t>
  </si>
  <si>
    <t>1995-10-01,584.409973,590.659973,571.549988,581.500000,581.500000,8043320000</t>
  </si>
  <si>
    <t>1995-11-01,581.500000,608.690002,581.039978,605.369995,605.369995,7602150000</t>
  </si>
  <si>
    <t>1995-12-01,605.369995,622.880005,605.049988,615.929993,615.929993,7697540000</t>
  </si>
  <si>
    <t>1996-01-01,615.929993,636.179993,597.289978,636.020020,636.020020,9188050000</t>
  </si>
  <si>
    <t>1996-02-01,636.020020,664.229980,633.710022,640.429993,640.429993,8749960000</t>
  </si>
  <si>
    <t>1996-03-01,640.429993,656.969971,627.630005,645.500000,645.500000,8984200000</t>
  </si>
  <si>
    <t>1996-04-01,645.500000,656.679993,624.140015,654.169983,654.169983,8875580000</t>
  </si>
  <si>
    <t>1996-05-01,654.169983,681.099976,630.070007,669.119995,669.119995,8921140000</t>
  </si>
  <si>
    <t>1996-06-01,669.119995,680.320007,658.750000,670.630005,670.630005,7930840000</t>
  </si>
  <si>
    <t>1996-07-01,670.630005,675.880005,605.880005,639.950012,639.950012,8849860000</t>
  </si>
  <si>
    <t>1996-08-01,639.950012,670.679993,639.489990,651.989990,651.989990,7380320000</t>
  </si>
  <si>
    <t>1996-09-01,651.989990,690.880005,643.969971,687.330017,687.330017,8064070000</t>
  </si>
  <si>
    <t>1996-10-01,687.309998,714.099976,684.440002,705.270020,705.270020,9703670000</t>
  </si>
  <si>
    <t>1996-11-01,705.270020,762.119995,701.299988,757.020020,757.020020,8763850000</t>
  </si>
  <si>
    <t>1996-12-01,757.020020,761.750000,716.690002,740.739990,740.739990,9089170000</t>
  </si>
  <si>
    <t>1997-01-01,740.739990,794.669983,729.549988,786.159973,786.159973,11635830000</t>
  </si>
  <si>
    <t>1997-02-01,786.159973,817.679993,773.429993,790.820007,790.820007,9715930000</t>
  </si>
  <si>
    <t>1997-03-01,790.820007,814.900024,756.130005,757.119995,757.119995,10120760000</t>
  </si>
  <si>
    <t>1997-04-01,757.119995,804.130005,733.539978,801.340027,801.340027,10454880000</t>
  </si>
  <si>
    <t>1997-05-01,801.340027,851.869995,793.210022,848.280029,848.280029,10106650000</t>
  </si>
  <si>
    <t>1997-06-01,848.280029,902.090027,838.820007,885.140015,885.140015,10857950000</t>
  </si>
  <si>
    <t>1997-07-01,885.140015,957.729980,884.539978,954.309998,954.309998,11958120000</t>
  </si>
  <si>
    <t>1997-08-01,954.289978,964.169983,893.340027,899.469971,899.469971,10606100000</t>
  </si>
  <si>
    <t>1997-09-01,899.469971,960.590027,899.469971,947.280029,947.280029,11383000000</t>
  </si>
  <si>
    <t>1997-10-01,947.280029,983.119995,855.270020,914.619995,914.619995,14017260000</t>
  </si>
  <si>
    <t>1997-11-01,914.619995,964.549988,900.609985,955.400024,955.400024,10173620000</t>
  </si>
  <si>
    <t>1997-12-01,955.400024,986.250000,924.919983,970.429993,970.429993,11958880000</t>
  </si>
  <si>
    <t>1998-01-01,970.429993,992.650024,912.830017,980.280029,980.280029,12733830000</t>
  </si>
  <si>
    <t>1998-02-01,980.280029,1051.660034,980.280029,1049.339966,1049.339966,11656550000</t>
  </si>
  <si>
    <t>1998-03-01,1049.339966,1113.069946,1030.869995,1101.750000,1101.750000,13719590000</t>
  </si>
  <si>
    <t>1998-04-01,1101.750000,1132.979980,1076.699951,1111.750000,1111.750000,13656060000</t>
  </si>
  <si>
    <t>1998-05-01,1111.750000,1130.520020,1074.390015,1090.819946,1090.819946,11477140000</t>
  </si>
  <si>
    <t>1998-06-01,1090.819946,1145.150024,1074.670044,1133.839966,1133.839966,13551970000</t>
  </si>
  <si>
    <t>1998-07-01,1133.839966,1190.579956,1114.300049,1120.670044,1120.670044,14194800000</t>
  </si>
  <si>
    <t>1998-08-01,1120.670044,1121.790039,957.280029,957.280029,957.280029,15071550000</t>
  </si>
  <si>
    <t>1998-09-01,957.280029,1066.109985,939.979980,1017.010010,1017.010010,16714080000</t>
  </si>
  <si>
    <t>1998-10-01,1017.010010,1103.780029,923.320007,1098.670044,1098.670044,18001650000</t>
  </si>
  <si>
    <t>1998-11-01,1098.670044,1192.969971,1098.670044,1163.630005,1163.630005,13451280000</t>
  </si>
  <si>
    <t>1998-12-01,1163.630005,1244.930054,1136.890015,1229.229980,1229.229980,15181450000</t>
  </si>
  <si>
    <t>1999-01-01,1229.229980,1280.369995,1205.459961,1279.640015,1279.640015,16213500000</t>
  </si>
  <si>
    <t>1999-02-01,1279.640015,1283.839966,1211.890015,1238.329956,1238.329956,14555860000</t>
  </si>
  <si>
    <t>1999-03-01,1238.329956,1323.819946,1216.030029,1286.369995,1286.369995,18002500000</t>
  </si>
  <si>
    <t>1999-04-01,1286.369995,1371.560059,1282.560059,1335.180054,1335.180054,18523200000</t>
  </si>
  <si>
    <t>1999-05-01,1335.180054,1375.979980,1277.310059,1301.839966,1301.839966,15880260000</t>
  </si>
  <si>
    <t>1999-06-01,1301.839966,1372.930054,1277.469971,1372.709961,1372.709961,16079170000</t>
  </si>
  <si>
    <t>1999-07-01,1372.709961,1420.329956,1328.489990,1328.719971,1328.719971,15332930000</t>
  </si>
  <si>
    <t>1999-08-01,1328.719971,1382.839966,1267.729980,1320.410034,1320.410034,15818550000</t>
  </si>
  <si>
    <t>1999-09-01,1320.410034,1361.390015,1256.260010,1282.709961,1282.709961,16438700000</t>
  </si>
  <si>
    <t>1999-10-01,1282.709961,1373.170044,1233.699951,1362.930054,1362.930054,18832000000</t>
  </si>
  <si>
    <t>1999-11-01,1362.930054,1425.310059,1346.410034,1388.910034,1388.910034,18384820000</t>
  </si>
  <si>
    <t>1999-12-01,1388.910034,1473.099976,1387.380005,1469.250000,1469.250000,19640690000</t>
  </si>
  <si>
    <t>2000-01-01,1469.250000,1478.000000,1350.140015,1394.459961,1394.459961,21494400000</t>
  </si>
  <si>
    <t>2000-02-01,1394.459961,1444.550049,1325.069946,1366.420044,1366.420044,20912000000</t>
  </si>
  <si>
    <t>2000-03-01,1366.420044,1552.869995,1346.619995,1498.579956,1498.579956,26156200000</t>
  </si>
  <si>
    <t>2000-04-01,1498.579956,1527.189941,1339.400024,1452.430054,1452.430054,20106460000</t>
  </si>
  <si>
    <t>2000-05-01,1452.430054,1481.510010,1361.089966,1420.599976,1420.599976,19898300000</t>
  </si>
  <si>
    <t>2000-06-01,1420.599976,1488.930054,1420.599976,1454.599976,1454.599976,21738300000</t>
  </si>
  <si>
    <t>2000-07-01,1454.599976,1517.319946,1413.890015,1430.829956,1430.829956,19089100000</t>
  </si>
  <si>
    <t>2000-08-01,1430.829956,1525.209961,1425.430054,1517.680054,1517.680054,20363700000</t>
  </si>
  <si>
    <t>2000-09-01,1517.680054,1530.089966,1419.439941,1436.510010,1436.510010,20838300000</t>
  </si>
  <si>
    <t>2000-10-01,1436.520020,1454.819946,1305.790039,1429.400024,1429.400024,25951400000</t>
  </si>
  <si>
    <t>2000-11-01,1429.400024,1438.459961,1294.900024,1314.949951,1314.949951,20532300000</t>
  </si>
  <si>
    <t>2000-12-01,1314.949951,1389.050049,1254.069946,1320.280029,1320.280029,23610800000</t>
  </si>
  <si>
    <t>2001-01-01,1320.280029,1383.369995,1274.619995,1366.010010,1366.010010,27829800000</t>
  </si>
  <si>
    <t>2001-02-01,1366.010010,1376.380005,1215.439941,1239.939941,1239.939941,21644400000</t>
  </si>
  <si>
    <t>2001-03-01,1239.939941,1267.420044,1081.189941,1160.329956,1160.329956,27806610000</t>
  </si>
  <si>
    <t>2001-04-01,1160.329956,1269.300049,1091.989990,1249.459961,1249.459961,25409990000</t>
  </si>
  <si>
    <t>2001-05-01,1249.459961,1315.930054,1232.000000,1255.819946,1255.819946,24525900000</t>
  </si>
  <si>
    <t>2001-06-01,1255.819946,1286.619995,1203.030029,1224.380005,1224.380005,24748030000</t>
  </si>
  <si>
    <t>2001-07-01,1224.420044,1239.780029,1165.540039,1211.229980,1211.229980,23793710000</t>
  </si>
  <si>
    <t>2001-08-01,1211.229980,1226.270020,1124.869995,1133.579956,1133.579956,23359200000</t>
  </si>
  <si>
    <t>2001-09-01,1133.579956,1155.400024,944.750000,1040.939941,1040.939941,25025290000</t>
  </si>
  <si>
    <t>2001-10-01,1040.939941,1110.609985,1026.760010,1059.780029,1059.780029,29951280000</t>
  </si>
  <si>
    <t>2001-11-01,1059.780029,1163.380005,1054.310059,1139.449951,1139.449951,26330000000</t>
  </si>
  <si>
    <t>2001-12-01,1139.449951,1173.619995,1114.530029,1148.079956,1148.079956,25128570000</t>
  </si>
  <si>
    <t>2002-01-01,1148.079956,1176.969971,1081.660034,1130.199951,1130.199951,29746200000</t>
  </si>
  <si>
    <t>2002-02-01,1130.199951,1130.199951,1074.359985,1106.729980,1106.729980,26047600000</t>
  </si>
  <si>
    <t>2002-03-01,1106.729980,1173.939941,1106.729980,1147.390015,1147.390015,26563200000</t>
  </si>
  <si>
    <t>2002-04-01,1147.390015,1147.839966,1063.459961,1076.920044,1076.920044,28568900000</t>
  </si>
  <si>
    <t>2002-05-01,1076.920044,1106.589966,1048.959961,1067.140015,1067.140015,26905500000</t>
  </si>
  <si>
    <t>2002-06-01,1067.140015,1070.739990,952.919983,989.820007,989.820007,29981510000</t>
  </si>
  <si>
    <t>2002-07-01,989.820007,994.460022,775.679993,911.619995,911.619995,42228720000</t>
  </si>
  <si>
    <t>2002-08-01,911.619995,965.000000,833.440002,916.070007,916.070007,29298400000</t>
  </si>
  <si>
    <t>2002-09-01,916.070007,924.020020,800.200012,815.280029,815.280029,27723710000</t>
  </si>
  <si>
    <t>2002-10-01,815.280029,907.440002,768.630005,885.760010,885.760010,37856310000</t>
  </si>
  <si>
    <t>2002-11-01,885.760010,941.820007,872.049988,936.309998,936.309998,29200960000</t>
  </si>
  <si>
    <t>2002-12-01,936.309998,954.280029,869.450012,879.820007,879.820007,25993640000</t>
  </si>
  <si>
    <t>2003-01-01,879.820007,935.049988,840.340027,855.700012,855.700012,30749580000</t>
  </si>
  <si>
    <t>2003-02-01,855.700012,864.640015,806.289978,841.150024,841.150024,25235300000</t>
  </si>
  <si>
    <t>2003-03-01,841.150024,895.900024,788.900024,848.179993,848.179993,30080030000</t>
  </si>
  <si>
    <t>2003-04-01,848.179993,924.239990,847.849976,916.919983,916.919983,29669610000</t>
  </si>
  <si>
    <t>2003-05-01,916.919983,965.380005,902.830017,963.590027,963.590027,30952100000</t>
  </si>
  <si>
    <t>2003-06-01,963.590027,1015.330017,963.590027,974.500000,974.500000,31219400000</t>
  </si>
  <si>
    <t>2003-07-01,974.500000,1015.409973,962.099976,990.309998,990.309998,31553200000</t>
  </si>
  <si>
    <t>2003-08-01,990.309998,1011.010010,960.840027,1008.010010,1008.010010,24881470000</t>
  </si>
  <si>
    <t>2003-09-01,1008.010010,1040.290039,990.359985,995.969971,995.969971,29940110000</t>
  </si>
  <si>
    <t>2003-10-01,995.969971,1053.790039,995.969971,1050.709961,1050.709961,32298500000</t>
  </si>
  <si>
    <t>2003-11-01,1050.709961,1063.650024,1031.199951,1058.199951,1058.199951,24463220000</t>
  </si>
  <si>
    <t>2003-12-01,1058.199951,1112.560059,1053.410034,1111.920044,1111.920044,27839130000</t>
  </si>
  <si>
    <t>2004-01-01,1111.920044,1155.380005,1105.079956,1131.130005,1131.130005,32820000000</t>
  </si>
  <si>
    <t>2004-02-01,1131.130005,1158.979980,1124.439941,1144.939941,1144.939941,27985600000</t>
  </si>
  <si>
    <t>2004-03-01,1144.939941,1163.229980,1087.160034,1126.209961,1126.209961,33597900000</t>
  </si>
  <si>
    <t>2004-04-01,1126.209961,1150.569946,1107.229980,1107.300049,1107.300049,31611900000</t>
  </si>
  <si>
    <t>2004-05-01,1107.300049,1127.739990,1076.319946,1120.680054,1120.680054,29326400000</t>
  </si>
  <si>
    <t>2004-06-01,1120.680054,1146.339966,1113.319946,1140.839966,1140.839966,27529500000</t>
  </si>
  <si>
    <t>2004-07-01,1140.839966,1140.839966,1078.780029,1101.719971,1101.719971,29285600000</t>
  </si>
  <si>
    <t>2004-08-01,1101.719971,1109.680054,1060.719971,1104.239990,1104.239990,26586800000</t>
  </si>
  <si>
    <t>2004-09-01,1104.239990,1131.540039,1099.180054,1114.579956,1114.579956,26829870000</t>
  </si>
  <si>
    <t>2004-10-01,1114.579956,1142.050049,1090.290039,1130.199951,1130.199951,31511000000</t>
  </si>
  <si>
    <t>2004-11-01,1130.199951,1188.459961,1127.599976,1173.819946,1173.819946,30460280000</t>
  </si>
  <si>
    <t>2004-12-01,1173.780029,1217.329956,1173.780029,1211.920044,1211.920044,31102500000</t>
  </si>
  <si>
    <t>2005-01-01,1211.920044,1217.800049,1163.750000,1181.270020,1181.270020,31498800000</t>
  </si>
  <si>
    <t>2005-02-01,1181.270020,1212.439941,1180.949951,1203.599976,1203.599976,29297410000</t>
  </si>
  <si>
    <t>2005-03-01,1203.599976,1229.109985,1163.689941,1180.589966,1180.589966,39014150000</t>
  </si>
  <si>
    <t>2005-04-01,1180.589966,1191.880005,1136.150024,1156.849976,1156.849976,43424270000</t>
  </si>
  <si>
    <t>2005-05-01,1156.849976,1199.560059,1146.180054,1191.500000,1191.500000,39321990000</t>
  </si>
  <si>
    <t>2005-06-01,1191.500000,1219.589966,1188.300049,1191.329956,1191.329956,40334040000</t>
  </si>
  <si>
    <t>2005-07-01,1191.329956,1245.150024,1183.550049,1234.180054,1234.180054,37464670000</t>
  </si>
  <si>
    <t>2005-08-01,1234.180054,1245.859985,1201.069946,1220.329956,1220.329956,42030090000</t>
  </si>
  <si>
    <t>2005-09-01,1220.329956,1243.130005,1205.349976,1228.810059,1228.810059,44777510000</t>
  </si>
  <si>
    <t>2005-10-01,1228.810059,1233.339966,1168.199951,1207.010010,1207.010010,49793790000</t>
  </si>
  <si>
    <t>2005-11-01,1207.010010,1270.640015,1201.069946,1249.479980,1249.479980,45102870000</t>
  </si>
  <si>
    <t>2005-12-01,1249.479980,1275.800049,1246.589966,1248.290039,1248.290039,41756130000</t>
  </si>
  <si>
    <t>2006-01-01,1248.290039,1294.900024,1245.739990,1280.079956,1280.079956,49211650000</t>
  </si>
  <si>
    <t>2006-02-01,1280.079956,1297.569946,1253.609985,1280.660034,1280.660034,42859940000</t>
  </si>
  <si>
    <t>2006-03-01,1280.660034,1310.880005,1268.420044,1294.869995,1294.869995,50905040000</t>
  </si>
  <si>
    <t>2006-04-01,1302.880005,1318.160034,1280.739990,1310.609985,1310.609985,43308430000</t>
  </si>
  <si>
    <t>2006-05-01,1310.609985,1326.699951,1245.339966,1270.089966,1270.089966,54312830000</t>
  </si>
  <si>
    <t>2006-06-01,1270.050049,1290.680054,1219.290039,1270.199951,1270.199951,54873260000</t>
  </si>
  <si>
    <t>2006-07-01,1270.060059,1280.420044,1224.540039,1276.660034,1276.660034,46348220000</t>
  </si>
  <si>
    <t>2006-08-01,1278.530029,1306.739990,1261.300049,1303.819946,1303.819946,50485620000</t>
  </si>
  <si>
    <t>2006-09-01,1303.800049,1340.280029,1290.930054,1335.849976,1335.849976,49001440000</t>
  </si>
  <si>
    <t>2006-10-01,1335.819946,1389.449951,1327.099976,1377.939941,1377.939941,56793620000</t>
  </si>
  <si>
    <t>2006-11-01,1377.760010,1407.890015,1360.979980,1400.630005,1400.630005,55343930000</t>
  </si>
  <si>
    <t>2006-12-01,1400.630005,1431.810059,1385.930054,1418.300049,1418.300049,47578780000</t>
  </si>
  <si>
    <t>2007-01-01,1418.030029,1441.609985,1403.969971,1438.239990,1438.239990,56686200000</t>
  </si>
  <si>
    <t>2007-02-01,1437.900024,1461.569946,1389.420044,1406.819946,1406.819946,51844990000</t>
  </si>
  <si>
    <t>2007-03-01,1406.800049,1438.890015,1363.979980,1420.859985,1420.859985,67622250000</t>
  </si>
  <si>
    <t>2007-04-01,1420.829956,1498.020020,1416.369995,1482.369995,1482.369995,57032470000</t>
  </si>
  <si>
    <t>2007-05-01,1482.369995,1535.560059,1476.699951,1530.619995,1530.619995,64958050000</t>
  </si>
  <si>
    <t>2007-06-01,1530.619995,1540.560059,1484.180054,1503.349976,1503.349976,65322800000</t>
  </si>
  <si>
    <t>2007-07-01,1504.660034,1555.900024,1454.250000,1455.270020,1455.270020,70337430000</t>
  </si>
  <si>
    <t>2007-08-01,1455.180054,1503.890015,1370.599976,1473.989990,1473.989990,91381760000</t>
  </si>
  <si>
    <t>2007-09-01,1473.959961,1538.739990,1439.290039,1526.750000,1526.750000,57809700000</t>
  </si>
  <si>
    <t>2007-10-01,1527.290039,1576.089966,1489.560059,1549.380005,1549.380005,76022580000</t>
  </si>
  <si>
    <t>2007-11-01,1545.790039,1545.790039,1406.099976,1481.140015,1481.140015,86246950000</t>
  </si>
  <si>
    <t>2007-12-01,1479.630005,1523.569946,1435.650024,1468.359985,1468.359985,64821670000</t>
  </si>
  <si>
    <t>2008-01-01,1467.969971,1471.770020,1270.050049,1378.550049,1378.550049,98475340000</t>
  </si>
  <si>
    <t>2008-02-01,1378.599976,1396.020020,1316.750000,1330.630005,1330.630005,78536130000</t>
  </si>
  <si>
    <t>2008-03-01,1330.449951,1359.680054,1256.979980,1322.699951,1322.699951,93189170000</t>
  </si>
  <si>
    <t>2008-04-01,1326.410034,1404.569946,1324.349976,1385.589966,1385.589966,85978630000</t>
  </si>
  <si>
    <t>2008-05-01,1385.969971,1440.239990,1373.069946,1400.380005,1400.380005,80990480000</t>
  </si>
  <si>
    <t>2008-06-01,1399.619995,1404.050049,1272.000000,1280.000000,1280.000000,96614040000</t>
  </si>
  <si>
    <t>2008-07-01,1276.689941,1292.170044,1200.439941,1267.380005,1267.380005,124980570000</t>
  </si>
  <si>
    <t>2008-08-01,1269.420044,1313.150024,1247.449951,1282.829956,1282.829956,86266010000</t>
  </si>
  <si>
    <t>2008-09-01,1287.829956,1303.040039,1106.420044,1166.359985,1166.359985,140007320000</t>
  </si>
  <si>
    <t>2008-10-01,1164.170044,1167.030029,839.799988,968.750000,968.750000,159823030000</t>
  </si>
  <si>
    <t>2008-11-01,968.669983,1007.510010,741.020020,896.239990,896.239990,115660210000</t>
  </si>
  <si>
    <t>2008-12-01,888.609985,918.849976,815.690002,903.250000,903.250000,112884470000</t>
  </si>
  <si>
    <t>2009-01-01,902.989990,943.849976,804.299988,825.880005,825.880005,112090640000</t>
  </si>
  <si>
    <t>2009-02-01,823.090027,875.010010,734.520020,735.090027,735.090027,124492210000</t>
  </si>
  <si>
    <t>2009-03-01,729.570007,832.979980,666.789978,797.869995,797.869995,161843640000</t>
  </si>
  <si>
    <t>2009-04-01,793.590027,888.700012,783.320007,872.809998,872.809998,138855320000</t>
  </si>
  <si>
    <t>2009-05-01,872.739990,930.169983,866.099976,919.140015,919.140015,131614940000</t>
  </si>
  <si>
    <t>2009-06-01,923.260010,956.229980,888.859985,919.320007,919.320007,112653150000</t>
  </si>
  <si>
    <t>2009-07-01,920.820007,996.679993,869.320007,987.479980,987.479980,106635790000</t>
  </si>
  <si>
    <t>2009-08-01,990.219971,1039.469971,978.510010,1020.619995,1020.619995,116059270000</t>
  </si>
  <si>
    <t>2009-09-01,1019.520020,1080.150024,991.969971,1057.079956,1057.079956,112295490000</t>
  </si>
  <si>
    <t>2009-10-01,1054.910034,1101.359985,1019.950012,1036.189941,1036.189941,113410990000</t>
  </si>
  <si>
    <t>2009-11-01,1036.180054,1113.689941,1029.380005,1095.630005,1095.630005,84981530000</t>
  </si>
  <si>
    <t>2009-12-01,1098.890015,1130.380005,1085.890015,1115.099976,1115.099976,89515330000</t>
  </si>
  <si>
    <t>2010-01-01,1116.560059,1150.449951,1071.589966,1073.869995,1073.869995,90947580000</t>
  </si>
  <si>
    <t>2010-02-01,1073.890015,1112.420044,1044.500000,1104.489990,1104.489990,84561340000</t>
  </si>
  <si>
    <t>2010-03-01,1105.359985,1180.689941,1105.359985,1169.430054,1169.430054,103683550000</t>
  </si>
  <si>
    <t>2010-04-01,1171.229980,1219.800049,1170.689941,1186.689941,1186.689941,116741910000</t>
  </si>
  <si>
    <t>2010-05-01,1188.579956,1205.130005,1040.780029,1089.410034,1089.410034,127662780000</t>
  </si>
  <si>
    <t>2010-06-01,1087.300049,1131.229980,1028.329956,1030.709961,1030.709961,110106750000</t>
  </si>
  <si>
    <t>2010-07-01,1031.099976,1120.949951,1010.909973,1101.599976,1101.599976,94778110000</t>
  </si>
  <si>
    <t>2010-08-01,1107.530029,1129.239990,1039.699951,1049.329956,1049.329956,85738250000</t>
  </si>
  <si>
    <t>2010-09-01,1049.719971,1157.160034,1049.719971,1141.199951,1141.199951,79589450000</t>
  </si>
  <si>
    <t>2010-10-01,1143.489990,1196.140015,1131.869995,1183.260010,1183.260010,89536270000</t>
  </si>
  <si>
    <t>2010-11-01,1185.709961,1227.079956,1173.000000,1180.550049,1180.550049,87151070000</t>
  </si>
  <si>
    <t>2010-12-01,1186.599976,1262.599976,1186.599976,1257.640015,1257.640015,80984530000</t>
  </si>
  <si>
    <t>2011-01-01,1257.619995,1302.670044,1257.619995,1286.119995,1286.119995,92164940000</t>
  </si>
  <si>
    <t>2011-02-01,1289.140015,1344.069946,1289.140015,1327.219971,1327.219971,59223660000</t>
  </si>
  <si>
    <t>2011-03-01,1328.640015,1332.280029,1249.050049,1325.829956,1325.829956,89507640000</t>
  </si>
  <si>
    <t>2011-04-01,1329.479980,1364.560059,1294.699951,1363.609985,1363.609985,77364810000</t>
  </si>
  <si>
    <t>2011-05-01,1365.209961,1370.579956,1311.800049,1345.199951,1345.199951,81708980000</t>
  </si>
  <si>
    <t>2011-06-01,1345.199951,1345.199951,1258.069946,1320.640015,1320.640015,86122730000</t>
  </si>
  <si>
    <t>2011-07-01,1320.640015,1356.479980,1282.859985,1292.280029,1292.280029,81102170000</t>
  </si>
  <si>
    <t>2011-08-01,1292.589966,1307.380005,1101.540039,1218.890015,1218.890015,108419170000</t>
  </si>
  <si>
    <t>2011-09-01,1219.119995,1229.290039,1114.219971,1131.420044,1131.420044,102786820000</t>
  </si>
  <si>
    <t>2011-10-01,1131.209961,1292.660034,1074.770020,1253.300049,1253.300049,98063670000</t>
  </si>
  <si>
    <t>2011-11-01,1251.000000,1277.550049,1158.660034,1246.959961,1246.959961,84275050000</t>
  </si>
  <si>
    <t>2011-12-01,1246.910034,1269.369995,1202.369995,1257.599976,1257.599976,74742430000</t>
  </si>
  <si>
    <t>2012-01-01,1258.859985,1333.469971,1258.859985,1312.410034,1312.410034,79567560000</t>
  </si>
  <si>
    <t>2012-02-01,1312.449951,1378.040039,1312.449951,1365.680054,1365.680054,78385710000</t>
  </si>
  <si>
    <t>2012-03-01,1365.900024,1419.150024,1340.030029,1408.469971,1408.469971,83899660000</t>
  </si>
  <si>
    <t>2012-04-01,1408.469971,1422.380005,1357.380005,1397.910034,1397.910034,74761710000</t>
  </si>
  <si>
    <t>2012-05-01,1397.859985,1415.319946,1291.979980,1310.329956,1310.329956,86920490000</t>
  </si>
  <si>
    <t>2012-06-01,1309.869995,1363.459961,1266.739990,1362.160034,1362.160034,81582440000</t>
  </si>
  <si>
    <t>2012-07-01,1362.329956,1391.739990,1325.410034,1379.319946,1379.319946,73103810000</t>
  </si>
  <si>
    <t>2012-08-01,1379.319946,1426.680054,1354.650024,1406.579956,1406.579956,70283810000</t>
  </si>
  <si>
    <t>2012-09-01,1406.540039,1474.510010,1396.560059,1440.670044,1440.670044,69784280000</t>
  </si>
  <si>
    <t>2012-10-01,1440.900024,1470.959961,1403.280029,1412.160034,1412.160034,71752320000</t>
  </si>
  <si>
    <t>2012-11-01,1412.199951,1434.270020,1343.349976,1416.180054,1416.180054,71489310000</t>
  </si>
  <si>
    <t>2012-12-01,1416.339966,1448.000000,1398.109985,1426.189941,1426.189941,66388180000</t>
  </si>
  <si>
    <t>2013-01-01,1426.189941,1509.939941,1426.189941,1498.109985,1498.109985,75848510000</t>
  </si>
  <si>
    <t>2013-02-01,1498.109985,1530.939941,1485.010010,1514.680054,1514.680054,69273480000</t>
  </si>
  <si>
    <t>2013-03-01,1514.680054,1570.280029,1501.479980,1569.189941,1569.189941,68527110000</t>
  </si>
  <si>
    <t>2013-04-01,1569.180054,1597.569946,1536.030029,1597.569946,1597.569946,77098000000</t>
  </si>
  <si>
    <t>2013-05-01,1597.550049,1687.180054,1581.280029,1630.739990,1630.739990,76447250000</t>
  </si>
  <si>
    <t>2013-06-01,1631.709961,1654.189941,1560.329956,1606.280029,1606.280029,74946790000</t>
  </si>
  <si>
    <t>2013-07-01,1609.780029,1698.780029,1604.569946,1685.729980,1685.729980,68106820000</t>
  </si>
  <si>
    <t>2013-08-01,1689.420044,1709.670044,1627.469971,1632.969971,1632.969971,64802810000</t>
  </si>
  <si>
    <t>2013-09-01,1635.949951,1729.859985,1633.410034,1681.550049,1681.550049,66174410000</t>
  </si>
  <si>
    <t>2013-10-01,1682.410034,1775.219971,1646.469971,1756.540039,1756.540039,76647400000</t>
  </si>
  <si>
    <t>2013-11-01,1758.699951,1813.550049,1746.199951,1805.810059,1805.810059,63628190000</t>
  </si>
  <si>
    <t>2013-12-01,1806.550049,1849.439941,1767.989990,1848.359985,1848.359985,64958820000</t>
  </si>
  <si>
    <t>2014-01-01,1845.859985,1850.839966,1770.449951,1782.589966,1782.589966,75871910000</t>
  </si>
  <si>
    <t>2014-02-01,1782.680054,1867.920044,1737.920044,1859.449951,1859.449951,69725590000</t>
  </si>
  <si>
    <t>2014-03-01,1857.680054,1883.969971,1834.439941,1872.339966,1872.339966,71885030000</t>
  </si>
  <si>
    <t>2014-04-01,1873.959961,1897.280029,1814.359985,1883.949951,1883.949951,71595810000</t>
  </si>
  <si>
    <t>2014-05-01,1884.390015,1924.030029,1859.790039,1923.569946,1923.569946,63623630000</t>
  </si>
  <si>
    <t>2014-06-01,1923.869995,1968.170044,1915.979980,1960.229980,1960.229980,63283380000</t>
  </si>
  <si>
    <t>2014-07-01,1962.290039,1991.390015,1930.670044,1930.670044,1930.670044,66524690000</t>
  </si>
  <si>
    <t>2014-08-01,1929.800049,2005.040039,1904.780029,2003.369995,2003.369995,58131140000</t>
  </si>
  <si>
    <t>2014-09-01,2004.069946,2019.260010,1964.040039,1972.290039,1972.290039,66706000000</t>
  </si>
  <si>
    <t>2014-10-01,1971.439941,2018.189941,1820.660034,2018.050049,2018.050049,93714040000</t>
  </si>
  <si>
    <t>2014-11-01,2018.209961,2075.760010,2001.010010,2067.560059,2067.560059,63600190000</t>
  </si>
  <si>
    <t>2014-12-01,2065.780029,2093.550049,1972.560059,2058.899902,2058.899902,80743820000</t>
  </si>
  <si>
    <t>2015-01-01,2058.899902,2072.360107,1988.119995,1994.989990,1994.989990,77330040000</t>
  </si>
  <si>
    <t>2015-02-01,1996.670044,2119.590088,1980.900024,2104.500000,2104.500000,68775560000</t>
  </si>
  <si>
    <t>2015-03-01,2105.229980,2117.520020,2039.689941,2067.889893,2067.889893,76675850000</t>
  </si>
  <si>
    <t>2015-04-01,2067.629883,2125.919922,2048.379883,2085.510010,2085.510010,72060940000</t>
  </si>
  <si>
    <t>2015-05-01,2087.379883,2134.719971,2067.929932,2107.389893,2107.389893,65187730000</t>
  </si>
  <si>
    <t>2015-06-01,2108.639893,2129.870117,2056.320068,2063.110107,2063.110107,73213980000</t>
  </si>
  <si>
    <t>2015-07-01,2067.000000,2132.820068,2044.020020,2103.840088,2103.840088,77920590000</t>
  </si>
  <si>
    <t>2015-08-01,2104.489990,2112.659912,1867.010010,1972.180054,1972.180054,84626790000</t>
  </si>
  <si>
    <t>2015-09-01,1970.089966,2020.859985,1871.910034,1920.030029,1920.030029,79989370000</t>
  </si>
  <si>
    <t>2015-10-01,1919.650024,2094.320068,1893.699951,2079.360107,2079.360107,85844900000</t>
  </si>
  <si>
    <t>2015-11-01,2080.760010,2116.479980,2019.390015,2080.409912,2080.409912,75943590000</t>
  </si>
  <si>
    <t>2015-12-01,2082.929932,2104.270020,1993.260010,2043.939941,2043.939941,83649260000</t>
  </si>
  <si>
    <t>2016-01-01,2038.199951,2038.199951,1812.290039,1940.239990,1940.239990,92409770000</t>
  </si>
  <si>
    <t>2016-02-01,1936.939941,1962.959961,1810.099976,1932.229980,1932.229980,93049560000</t>
  </si>
  <si>
    <t>2016-03-01,1937.089966,2072.209961,1937.089966,2059.739990,2059.739990,92639420000</t>
  </si>
  <si>
    <t>2016-04-01,2056.620117,2111.050049,2033.800049,2065.300049,2065.300049,81124990000</t>
  </si>
  <si>
    <t>2016-05-01,2067.169922,2103.479980,2025.910034,2096.949951,2096.949951,78883600000</t>
  </si>
  <si>
    <t>2016-06-01,2093.939941,2120.550049,1991.680054,2098.860107,2098.860107,86852700000</t>
  </si>
  <si>
    <t>2016-07-01,2099.340088,2177.090088,2074.020020,2173.600098,2173.600098,69530250000</t>
  </si>
  <si>
    <t>2016-08-01,2173.149902,2193.810059,2147.580078,2170.949951,2170.949951,75610310000</t>
  </si>
  <si>
    <t>2016-09-01,2171.330078,2187.870117,2119.120117,2168.270020,2168.270020,77270240000</t>
  </si>
  <si>
    <t>2016-10-01,2164.330078,2169.600098,2114.719971,2126.149902,2126.149902,73196630000</t>
  </si>
  <si>
    <t>2016-11-01,2128.679932,2214.100098,2083.790039,2198.810059,2198.810059,88299760000</t>
  </si>
  <si>
    <t>2016-12-01,2200.169922,2277.530029,2187.439941,2238.830078,2238.830078,75251240000</t>
  </si>
  <si>
    <t>2017-01-01,2251.570068,2300.989990,2245.129883,2278.870117,2278.870117,70483180000</t>
  </si>
  <si>
    <t>2017-02-01,2285.590088,2371.540039,2271.649902,2363.639893,2363.639893,69162420000</t>
  </si>
  <si>
    <t>2017-03-01,2380.129883,2400.979980,2322.250000,2362.719971,2362.719971,81547770000</t>
  </si>
  <si>
    <t>2017-04-01,2362.340088,2398.159912,2328.949951,2384.199951,2384.199951,65265670000</t>
  </si>
  <si>
    <t>2017-05-01,2388.500000,2418.709961,2352.719971,2411.800049,2411.800049,79607170000</t>
  </si>
  <si>
    <t>2017-06-01,2415.649902,2453.820068,2405.699951,2423.409912,2423.409912,81002490000</t>
  </si>
  <si>
    <t>2017-07-01,2431.389893,2484.040039,2407.699951,2470.300049,2470.300049,63169400000</t>
  </si>
  <si>
    <t>2017-08-01,2477.100098,2490.870117,2417.350098,2471.649902,2471.649902,70616030000</t>
  </si>
  <si>
    <t>2017-09-01,2474.419922,2519.439941,2446.550049,2519.360107,2519.360107,66337980000</t>
  </si>
  <si>
    <t>2017-10-01,2521.199951,2582.979980,2520.399902,2575.260010,2575.260010,70871570000</t>
  </si>
  <si>
    <t>2017-11-01,2583.209961,2657.739990,2557.449951,2584.840088,2584.840088,95142800000</t>
  </si>
  <si>
    <t>2017-12-01,2645.100098,2694.969971,2605.520020,2673.610107,2673.610107,65251190000</t>
  </si>
  <si>
    <t>2018-01-01,2683.729980,2872.870117,2682.360107,2823.810059,2823.810059,76860120000</t>
  </si>
  <si>
    <t>2018-02-01,2816.449951,2835.959961,2532.689941,2713.830078,2713.830078,79579410000</t>
  </si>
  <si>
    <t>2018-03-01,2715.219971,2801.899902,2585.889893,2640.870117,2640.870117,76369800000</t>
  </si>
  <si>
    <t>2018-04-01,2633.449951,2717.489990,2553.800049,2648.050049,2648.050049,69648590000</t>
  </si>
  <si>
    <t>2018-05-01,2642.959961,2742.239990,2594.620117,2705.270020,2705.270020,75617280000</t>
  </si>
  <si>
    <t>2018-06-01,2718.699951,2791.469971,2691.989990,2718.370117,2718.370117,77439710000</t>
  </si>
  <si>
    <t>2018-07-01,2704.949951,2848.030029,2698.949951,2816.290039,2816.290039,64542170000</t>
  </si>
  <si>
    <t>2018-08-01,2821.169922,2916.500000,2796.340088,2901.520020,2901.520020,69238220000</t>
  </si>
  <si>
    <t>2018-09-01,2896.959961,2940.909912,2864.120117,2913.979980,2913.979980,62492080000</t>
  </si>
  <si>
    <t>2018-10-01,2926.290039,2939.860107,2603.540039,2711.739990,2711.739990,91327930000</t>
  </si>
  <si>
    <t>2018-11-01,2717.580078,2815.149902,2631.090088,2760.169922,2760.169922,80080110000</t>
  </si>
  <si>
    <t>2018-12-01,2790.500000,2800.179932,2346.580078,2506.850098,2506.850098,83522570000</t>
  </si>
  <si>
    <t>2019-01-01,2476.959961,2708.949951,2443.959961,2704.100098,2704.100098,80401630000</t>
  </si>
  <si>
    <t>2019-02-01,2702.320068,2813.489990,2681.830078,2784.489990,2784.489990,70183430000</t>
  </si>
  <si>
    <t>2019-03-01,2798.219971,2860.310059,2722.270020,2834.399902,2834.399902,78596280000</t>
  </si>
  <si>
    <t>2019-04-01,2848.629883,2949.520020,2848.629883,2945.830078,2945.830078,69604840000</t>
  </si>
  <si>
    <t>2019-05-01,2952.330078,2954.129883,2750.520020,2752.060059,2752.060059,76860120000</t>
  </si>
  <si>
    <t>2019-06-01,2751.530029,2964.149902,2728.810059,2941.760010,2941.760010,70881390000</t>
  </si>
  <si>
    <t>2019-07-01,2971.409912,3027.979980,2952.219971,2980.379883,2980.379883,70349470000</t>
  </si>
  <si>
    <t>2019-08-01,2980.320068,3013.590088,2822.120117,2926.459961,2926.459961,79599440000</t>
  </si>
  <si>
    <t>2019-09-01,2909.010010,3021.989990,2891.850098,2976.739990,2976.739990,73992330000</t>
  </si>
  <si>
    <t>2019-10-01,2983.689941,3050.100098,2855.939941,3037.560059,3037.560059,77564550000</t>
  </si>
  <si>
    <t>2019-11-01,3050.719971,3154.260010,3050.719971,3140.979980,3140.979980,72179920000</t>
  </si>
  <si>
    <t>2019-12-01,3143.850098,3247.929932,3070.330078,3230.780029,3230.780029,72054000000</t>
  </si>
  <si>
    <t>2020-01-01,3244.669922,3337.770020,3214.639893,3225.520020,3225.520020,77104420000</t>
  </si>
  <si>
    <t>2020-02-01,3235.659912,3393.520020,2855.840088,2954.219971,2954.219971,84292270000</t>
  </si>
  <si>
    <t>2020-03-01,2974.280029,3136.719971,2191.860107,2584.590088,2584.590088,161801100000</t>
  </si>
  <si>
    <t>2020-04-01,2498.080078,2954.860107,2447.489990,2912.429932,2912.429932,123163450000</t>
  </si>
  <si>
    <t>2020-05-01,2869.090088,3068.669922,2766.639893,3044.310059,3044.310059,106799100000</t>
  </si>
  <si>
    <t>2020-06-01,3038.780029,3233.129883,2965.659912,3100.290039,3100.290039,131044000000</t>
  </si>
  <si>
    <t>1985-07-01,1334.010010,1372.199951,1313.400024,1347.449951,1347.449951,235130000</t>
  </si>
  <si>
    <t>1985-08-01,1350.020020,1361.900024,1303.650024,1334.010010,1334.010010,176010000</t>
  </si>
  <si>
    <t>1985-09-01,1333.670044,1348.229980,1283.709961,1328.630005,1328.630005,196960000</t>
  </si>
  <si>
    <t>1985-10-01,1329.640015,1384.630005,1315.189941,1374.310059,1374.310059,253060000</t>
  </si>
  <si>
    <t>1985-11-01,1372.130005,1486.930054,1367.780029,1472.130005,1472.130005,303580000</t>
  </si>
  <si>
    <t>1985-12-01,1471.329956,1570.869995,1450.339966,1546.670044,1546.670044,361820000</t>
  </si>
  <si>
    <t>1986-01-01,1546.219971,1582.910034,1491.739990,1570.989990,1570.989990,311020000</t>
  </si>
  <si>
    <t>1986-02-01,1570.530029,1732.569946,1564.329956,1709.060059,1709.060059,336860000</t>
  </si>
  <si>
    <t>1986-03-01,1706.189941,1849.739990,1663.069946,1818.609985,1818.609985,355900000</t>
  </si>
  <si>
    <t>1986-04-01,1822.079956,1870.160034,1712.520020,1783.979980,1783.979980,441280000</t>
  </si>
  <si>
    <t>1986-05-01,1777.900024,1898.219971,1746.530029,1876.709961,1876.709961,299610000</t>
  </si>
  <si>
    <t>1986-06-01,1874.189941,1908.619995,1816.069946,1892.719971,1892.719971,264770000</t>
  </si>
  <si>
    <t>1986-07-01,1889.760010,1922.670044,1741.560059,1775.310059,1775.310059,341490000</t>
  </si>
  <si>
    <t>1986-08-01,1775.310059,1918.589966,1730.599976,1898.339966,1898.339966,297880000</t>
  </si>
  <si>
    <t>1986-09-01,1903.260010,1933.349976,1732.989990,1767.579956,1767.579956,401220000</t>
  </si>
  <si>
    <t>1986-10-01,1775.030029,1894.689941,1761.250000,1877.709961,1877.709961,399830000</t>
  </si>
  <si>
    <t>1986-11-01,1880.619995,1926.459961,1797.099976,1914.229980,1914.229980,365620000</t>
  </si>
  <si>
    <t>1986-12-01,1900.170044,1971.739990,1880.479980,1895.949951,1895.949951,404320000</t>
  </si>
  <si>
    <t>1987-01-01,1900.589966,2214.570068,1897.359985,2158.040039,2158.040039,536660000</t>
  </si>
  <si>
    <t>1987-02-01,2152.979980,2266.449951,2134.419922,2223.989990,2223.989990,428960000</t>
  </si>
  <si>
    <t>1987-03-01,2228.209961,2399.570068,2209.080078,2304.689941,2304.689941,440920000</t>
  </si>
  <si>
    <t>1987-04-01,2277.129883,2428.409912,2180.540039,2286.360107,2286.360107,561360000</t>
  </si>
  <si>
    <t>1987-05-01,2282.239990,2380.770020,2188.530029,2291.570068,2291.570068,476490000</t>
  </si>
  <si>
    <t>1987-06-01,2309.620117,2466.040039,2260.620117,2418.530029,2418.530029,422990000</t>
  </si>
  <si>
    <t>1987-07-01,2410.080078,2588.330078,2391.260010,2572.070068,2572.070068,490720000</t>
  </si>
  <si>
    <t>1987-08-01,2547.830078,2746.649902,2525.989990,2662.949951,2662.949951,505680000</t>
  </si>
  <si>
    <t>1987-09-01,2666.770020,2695.469971,2468.989990,2596.280029,2596.280029,465230000</t>
  </si>
  <si>
    <t>1987-10-01,2601.500000,2662.370117,1616.209961,1993.530029,1993.530029,829250000</t>
  </si>
  <si>
    <t>1987-11-01,1972.650024,2027.520020,1795.260010,1833.550049,1833.550049,436510000</t>
  </si>
  <si>
    <t>1987-12-01,1860.250000,2019.560059,1733.920044,1938.829956,1938.829956,457110000</t>
  </si>
  <si>
    <t>1988-01-01,1952.589966,2075.270020,1845.989990,1958.219971,1958.219971,433000000</t>
  </si>
  <si>
    <t>1988-02-01,1972.810059,2078.080078,1878.150024,2071.620117,2071.620117,464340000</t>
  </si>
  <si>
    <t>1988-03-01,2074.929932,2110.909912,1951.260010,1988.060059,1988.060059,431700000</t>
  </si>
  <si>
    <t>1988-04-01,1989.890015,2121.350098,1968.000000,2032.329956,2032.329956,413590000</t>
  </si>
  <si>
    <t>1988-05-01,2032.160034,2071.949951,1921.579956,2031.119995,2031.119995,405210000</t>
  </si>
  <si>
    <t>1988-06-01,2029.339966,2169.100098,2021.339966,2141.709961,2141.709961,486100000</t>
  </si>
  <si>
    <t>1988-07-01,2144.909912,2169.449951,2047.300049,2128.729980,2128.729980,318910000</t>
  </si>
  <si>
    <t>1988-08-01,2126.239990,2151.850098,1978.660034,2031.650024,2031.650024,367390000</t>
  </si>
  <si>
    <t>1988-09-01,2023.109985,2140.290039,1988.439941,2112.909912,2112.909912,331310000</t>
  </si>
  <si>
    <t>1988-10-01,2110.770020,2195.060059,2082.330078,2148.649902,2148.649902,387840000</t>
  </si>
  <si>
    <t>1988-11-01,2145.090088,2185.989990,2026.670044,2114.510010,2114.510010,332270000</t>
  </si>
  <si>
    <t>1988-12-01,2110.949951,2193.750000,2075.389893,2168.570068,2168.570068,302480000</t>
  </si>
  <si>
    <t>1989-01-01,2163.209961,2350.179932,2127.139893,2342.320068,2342.320068,437810000</t>
  </si>
  <si>
    <t>1989-02-01,2334.290039,2369.290039,2232.139893,2258.389893,2258.389893,394580000</t>
  </si>
  <si>
    <t>1989-03-01,2267.320068,2351.070068,2234.459961,2293.620117,2293.620117,407630000</t>
  </si>
  <si>
    <t>1989-04-01,2296.189941,2433.100098,2282.070068,2418.800049,2418.800049,369260000</t>
  </si>
  <si>
    <t>1989-05-01,2402.489990,2521.629883,2356.300049,2480.149902,2480.149902,470970000</t>
  </si>
  <si>
    <t>1989-06-01,2477.669922,2544.949951,2412.939941,2440.060059,2440.060059,517370000</t>
  </si>
  <si>
    <t>1989-07-01,2448.790039,2668.250000,2431.530029,2660.659912,2660.659912,363700000</t>
  </si>
  <si>
    <t>1989-08-01,2665.969971,2758.729980,2426.330078,2737.270020,2737.270020,478330000</t>
  </si>
  <si>
    <t>1989-09-01,2732.330078,2768.239990,2636.780029,2692.820068,2692.820068,365600000</t>
  </si>
  <si>
    <t>1989-10-01,2692.820068,2809.080078,2496.929932,2645.080078,2645.080078,546520000</t>
  </si>
  <si>
    <t>1989-11-01,2640.570068,2718.219971,2563.110107,2706.270020,2706.270020,360280000</t>
  </si>
  <si>
    <t>1989-12-01,2712.669922,2784.770020,2658.699951,2753.199951,2753.199951,371300000</t>
  </si>
  <si>
    <t>1990-01-01,2748.719971,2834.040039,2513.060059,2590.540039,2590.540039,474840000</t>
  </si>
  <si>
    <t>1990-02-01,2594.139893,2674.320068,2540.989990,2627.250000,2627.250000,354130000</t>
  </si>
  <si>
    <t>1990-03-01,2621.620117,2775.000000,2607.879883,2707.209961,2707.209961,428150000</t>
  </si>
  <si>
    <t>1990-04-01,2684.010010,2793.469971,2627.699951,2656.760010,2656.760010,322230000</t>
  </si>
  <si>
    <t>1990-05-01,2668.459961,2908.209961,2651.350098,2876.659912,2876.659912,438950000</t>
  </si>
  <si>
    <t>1990-06-01,2900.969971,2956.929932,2821.530029,2880.689941,2880.689941,431010000</t>
  </si>
  <si>
    <t>1990-07-01,2883.169922,3024.260010,2833.169922,2905.199951,2905.199951,422380000</t>
  </si>
  <si>
    <t>1990-08-01,2909.899902,2931.189941,2459.409912,2614.360107,2614.360107,591380000</t>
  </si>
  <si>
    <t>1990-09-01,2590.840088,2665.350098,2367.820068,2452.479980,2452.479980,362900000</t>
  </si>
  <si>
    <t>1990-10-01,2474.250000,2565.350098,2344.310059,2442.330078,2442.330078,483000000</t>
  </si>
  <si>
    <t>1990-11-01,2441.830078,2581.189941,2415.590088,2559.649902,2559.649902,383280000</t>
  </si>
  <si>
    <t>1990-12-01,2572.270020,2662.620117,2534.649902,2633.659912,2633.659912,358840000</t>
  </si>
  <si>
    <t>1991-01-01,2627.229980,2747.280029,2447.030029,2736.389893,2736.389893,463830000</t>
  </si>
  <si>
    <t>1991-02-01,2735.389893,2955.199951,2694.310059,2882.179932,2882.179932,538640000</t>
  </si>
  <si>
    <t>1991-03-01,2859.649902,3017.820068,2829.209961,2913.860107,2913.860107,466850000</t>
  </si>
  <si>
    <t>1991-04-01,2901.979980,3030.449951,2848.510010,2887.870117,2887.870117,462060000</t>
  </si>
  <si>
    <t>1991-05-01,2901.479980,3044.500000,2834.530029,3027.500000,3027.500000,427100000</t>
  </si>
  <si>
    <t>1991-06-01,3023.030029,3057.469971,2879.250000,2906.750000,2906.750000,384160000</t>
  </si>
  <si>
    <t>1991-07-01,2925.540039,3039.580078,2897.360107,3024.820068,3024.820068,368370000</t>
  </si>
  <si>
    <t>1991-08-01,3022.800049,3068.649902,2836.310059,3043.600098,3043.600098,424680000</t>
  </si>
  <si>
    <t>1991-09-01,3042.040039,3066.639893,2963.100098,3016.770020,3016.770020,372770000</t>
  </si>
  <si>
    <t>1991-10-01,3026.159912,3091.010010,2925.540039,3069.100098,3069.100098,453990000</t>
  </si>
  <si>
    <t>1991-11-01,3075.360107,3091.909912,2861.139893,2894.679932,2894.679932,386040000</t>
  </si>
  <si>
    <t>1991-12-01,2866.280029,3204.610107,2832.290039,3168.830078,3168.830078,455170000</t>
  </si>
  <si>
    <t>1992-01-01,3152.100098,3299.189941,3139.310059,3223.399902,3223.399902,561160000</t>
  </si>
  <si>
    <t>1992-02-01,3223.399902,3293.379883,3207.959961,3267.699951,3267.699951,411150000</t>
  </si>
  <si>
    <t>1992-03-01,3267.699951,3299.639893,3188.280029,3235.500000,3235.500000,402410000</t>
  </si>
  <si>
    <t>1992-04-01,3235.500000,3366.500000,3161.229980,3359.100098,3359.100098,458300000</t>
  </si>
  <si>
    <t>1992-05-01,3359.100098,3440.669922,3324.020020,3396.899902,3396.899902,388240000</t>
  </si>
  <si>
    <t>1992-06-01,3396.899902,3422.280029,3254.050049,3318.500000,3318.500000,475360000</t>
  </si>
  <si>
    <t>1992-07-01,3318.800049,3402.959961,3266.530029,3393.800049,3393.800049,449770000</t>
  </si>
  <si>
    <t>1992-08-01,3393.800049,3399.989990,3207.100098,3257.399902,3257.399902,363380000</t>
  </si>
  <si>
    <t>1992-09-01,3257.399902,3376.489990,3242.760010,3271.699951,3271.699951,436570000</t>
  </si>
  <si>
    <t>1992-10-01,3271.699951,3280.850098,3095.790039,3226.300049,3226.300049,530760000</t>
  </si>
  <si>
    <t>1992-11-01,3226.300049,3308.409912,3184.669922,3305.199951,3305.199951,452340000</t>
  </si>
  <si>
    <t>1992-12-01,3305.199951,3352.709961,3248.159912,3301.110107,3301.110107,510650000</t>
  </si>
  <si>
    <t>1993-01-01,3301.100098,3320.830078,3231.949951,3310.000000,3310.000000,620010000</t>
  </si>
  <si>
    <t>1993-02-01,3310.000000,3456.729980,3266.800049,3370.810059,3370.810059,577510000</t>
  </si>
  <si>
    <t>1993-03-01,3370.800049,3482.120117,3343.260010,3435.110107,3435.110107,586100000</t>
  </si>
  <si>
    <t>1993-04-01,3435.100098,3481.580078,3363.790039,3427.550049,3427.550049,645990000</t>
  </si>
  <si>
    <t>1993-05-01,3439.399902,3565.070068,3415.330078,3527.429932,3527.429932,472660000</t>
  </si>
  <si>
    <t>1993-06-01,3527.399902,3569.780029,3462.659912,3516.080078,3516.080078,461140000</t>
  </si>
  <si>
    <t>1993-07-01,3516.100098,3583.500000,3449.899902,3539.469971,3539.469971,500980000</t>
  </si>
  <si>
    <t>1993-08-01,3539.500000,3663.830078,3536.959961,3651.250000,3651.250000,526610000</t>
  </si>
  <si>
    <t>1993-09-01,3651.300049,3655.719971,3507.060059,3555.120117,3555.120117,487790000</t>
  </si>
  <si>
    <t>1993-10-01,3555.100098,3708.820068,3553.719971,3680.590088,3680.590088,529130000</t>
  </si>
  <si>
    <t>1993-11-01,3680.600098,3717.760010,3600.669922,3683.949951,3683.949951,576680000</t>
  </si>
  <si>
    <t>1993-12-01,3685.100098,3799.919922,3685.060059,3754.090088,3754.090088,517250000</t>
  </si>
  <si>
    <t>1994-01-01,3754.100098,3985.959961,3742.810059,3978.360107,3978.360107,619530000</t>
  </si>
  <si>
    <t>1994-02-01,3978.399902,3982.020020,3632.020020,3832.020020,3832.020020,508560000</t>
  </si>
  <si>
    <t>1994-03-01,3832.000000,3895.939941,3559.090088,3635.959961,3635.959961,667490000</t>
  </si>
  <si>
    <t>1994-04-01,3634.500000,3710.840088,3552.469971,3681.689941,3681.689941,566680000</t>
  </si>
  <si>
    <t>1994-05-01,3681.699951,3772.790039,3623.100098,3758.370117,3758.370117,533470000</t>
  </si>
  <si>
    <t>1994-06-01,3758.399902,3823.389893,3610.399902,3624.959961,3624.959961,554560000</t>
  </si>
  <si>
    <t>1994-07-01,3625.000000,3770.000000,3623.020020,3764.500000,3764.500000,450610000</t>
  </si>
  <si>
    <t>1994-08-01,3764.500000,3939.320068,3736.330078,3913.419922,3913.419922,625170000</t>
  </si>
  <si>
    <t>1994-09-01,3913.100098,3992.639893,3820.310059,3843.189941,3843.189941,591450000</t>
  </si>
  <si>
    <t>1994-10-01,3843.199951,3949.840088,3747.969971,3908.120117,3908.120117,636250000</t>
  </si>
  <si>
    <t>1994-11-01,3907.780029,3907.780029,3638.629883,3739.229980,3739.229980,613270000</t>
  </si>
  <si>
    <t>1994-12-01,3739.199951,3866.399902,3655.110107,3834.439941,3834.439941,543610000</t>
  </si>
  <si>
    <t>1995-01-01,3834.399902,3936.719971,3817.260010,3843.860107,3843.860107,615760000</t>
  </si>
  <si>
    <t>1995-02-01,3843.899902,4021.229980,3831.409912,4011.050049,4011.050049,576090000</t>
  </si>
  <si>
    <t>1995-03-01,4011.100098,4198.839844,3945.689941,4157.689941,4157.689941,702540000</t>
  </si>
  <si>
    <t>1995-04-01,4157.700195,4328.529785,4155.959961,4321.270020,4321.270020,547570000</t>
  </si>
  <si>
    <t>1995-05-01,4321.299805,4465.140137,4301.560059,4465.140137,4465.140137,689940000</t>
  </si>
  <si>
    <t>1995-06-01,4465.100098,4593.100098,4406.689941,4556.100098,4556.100098,641520000</t>
  </si>
  <si>
    <t>1995-07-01,4556.100098,4747.209961,4551.250000,4708.470215,4708.470215,665580000</t>
  </si>
  <si>
    <t>1995-08-01,4708.500000,4754.959961,4570.850098,4610.560059,4610.560059,623030000</t>
  </si>
  <si>
    <t>1995-09-01,4610.200195,4816.540039,4607.029785,4789.080078,4789.080078,707190000</t>
  </si>
  <si>
    <t>1995-10-01,4789.799805,4816.899902,4659.740234,4755.479980,4755.479980,685570000</t>
  </si>
  <si>
    <t>1995-11-01,4753.700195,5118.930176,4744.640137,5074.490234,5074.490234,598970000</t>
  </si>
  <si>
    <t>1995-12-01,5075.600098,5235.620117,5051.729980,5117.120117,5117.120117,601160000</t>
  </si>
  <si>
    <t>1996-01-01,5115.700195,5408.669922,5014.520020,5395.299805,5395.299805,851030000</t>
  </si>
  <si>
    <t>1996-02-01,5394.899902,5659.399902,5348.339844,5485.620117,5485.620117,769130000</t>
  </si>
  <si>
    <t>1996-03-01,5488.200195,5709.970215,5424.200195,5587.140137,5587.140137,831070000</t>
  </si>
  <si>
    <t>1996-04-01,5588.600098,5697.689941,5415.529785,5569.080078,5569.080078,756530000</t>
  </si>
  <si>
    <t>1996-05-01,5567.600098,5796.100098,5342.200195,5643.180176,5643.180176,801900000</t>
  </si>
  <si>
    <t>1996-06-01,5643.899902,5742.540039,5580.379883,5654.629883,5654.629883,647790000</t>
  </si>
  <si>
    <t>1996-07-01,5654.600098,5733.310059,5182.319824,5528.910156,5528.910156,781850000</t>
  </si>
  <si>
    <t>1996-08-01,5528.899902,5739.020020,5524.100098,5616.209961,5616.209961,615820000</t>
  </si>
  <si>
    <t>1996-09-01,5611.799805,5929.890137,5561.459961,5882.169922,5882.169922,649320000</t>
  </si>
  <si>
    <t>1996-10-01,5878.399902,6133.729980,5861.669922,6029.379883,6029.379883,766260000</t>
  </si>
  <si>
    <t>1996-11-01,6027.100098,6589.529785,5998.819824,6521.700195,6521.700195,741560000</t>
  </si>
  <si>
    <t>1996-12-01,6520.600098,6587.049805,6236.049805,6448.270020,6448.270020,781180000</t>
  </si>
  <si>
    <t>1997-01-01,6447.500000,6906.600098,6352.830078,6813.089844,6813.089844,1003920000</t>
  </si>
  <si>
    <t>1997-02-01,6810.799805,7073.620117,6710.720215,6877.740234,6877.740234,765900000</t>
  </si>
  <si>
    <t>1997-03-01,6874.299805,7112.100098,6561.200195,6583.479980,6583.479980,962230000</t>
  </si>
  <si>
    <t>1997-04-01,6583.500000,7057.549805,6356.779785,7009.000000,7009.000000,1098930000</t>
  </si>
  <si>
    <t>1997-05-01,7008.990234,7394.950195,6913.470215,7331.000000,7331.000000,1046600000</t>
  </si>
  <si>
    <t>1997-06-01,7331.000000,7834.060059,7253.779785,7672.799805,7672.799805,1086740000</t>
  </si>
  <si>
    <t>1997-07-01,7678.000000,8282.769531,7667.359863,8222.599609,8222.599609,1265280000</t>
  </si>
  <si>
    <t>1997-08-01,8222.799805,8299.490234,7606.859863,7622.399902,7622.399902,1123190000</t>
  </si>
  <si>
    <t>1997-09-01,7631.700195,8035.629883,7580.850098,7945.299805,7945.299805,1212550000</t>
  </si>
  <si>
    <t>1997-10-01,7948.500000,8184.700195,6971.069824,7442.100098,7442.100098,1605030000</t>
  </si>
  <si>
    <t>1997-11-01,7445.799805,7881.069824,7349.990234,7823.100098,7823.100098,1068290000</t>
  </si>
  <si>
    <t>1997-12-01,7825.120117,8166.290039,7576.930176,7908.299805,7908.299805,1156060000</t>
  </si>
  <si>
    <t>1998-01-01,7910.200195,8035.540039,7443.410156,7906.500000,7906.500000,1324260000</t>
  </si>
  <si>
    <t>1998-02-01,7909.990234,8566.889648,7909.990234,8545.719727,8545.719727,1031480000</t>
  </si>
  <si>
    <t>1998-03-01,8544.469727,8959.240234,8405.719727,8799.809570,8799.809570,1191880000</t>
  </si>
  <si>
    <t>1998-04-01,8801.559570,9213.330078,8748.740234,9063.370117,9063.370117,1387960000</t>
  </si>
  <si>
    <t>1998-05-01,9066.610352,9261.910156,8788.099609,8899.950195,8899.950195,1075240000</t>
  </si>
  <si>
    <t>1998-06-01,8900.950195,9104.719727,8569.879883,8952.019531,8952.019531,1287570000</t>
  </si>
  <si>
    <t>1998-07-01,8958.990234,9367.839844,8816.089844,8883.290039,8883.290039,1413670000</t>
  </si>
  <si>
    <t>1998-08-01,8883.290039,8886.120117,7539.069824,7539.069824,7539.069824,1641660000</t>
  </si>
  <si>
    <t>1998-09-01,7545.759766,8182.470215,7400.299805,7842.620117,7842.620117,1897140000</t>
  </si>
  <si>
    <t>1998-10-01,7841.330078,8659.809570,7467.490234,8592.099609,8592.099609,1916330000</t>
  </si>
  <si>
    <t>1998-11-01,8595.700195,9380.200195,8595.700195,9116.549805,9116.549805,1389030000</t>
  </si>
  <si>
    <t>1998-12-01,9116.549805,9334.879883,8676.030273,9181.429688,9181.429688,1507520000</t>
  </si>
  <si>
    <t>1999-01-01,9184.009766,9647.959961,9063.259766,9358.830078,9358.830078,1746490000</t>
  </si>
  <si>
    <t>1999-02-01,9359.599609,9611.330078,9099.040039,9306.580078,9306.580078,1545220000</t>
  </si>
  <si>
    <t>1999-03-01,9307.389648,10085.309570,9211.230469,9786.160156,9786.160156,1993040000</t>
  </si>
  <si>
    <t>1999-04-01,9786.440430,10961.709961,9765.629883,10789.040039,10789.040039,2096500000</t>
  </si>
  <si>
    <t>1999-05-01,10789.040039,11130.669922,10434.259766,10559.740234,10559.740234,1842620000</t>
  </si>
  <si>
    <t>1999-06-01,10561.009766,11003.410156,10409.139648,10970.799805,10970.799805,1766990000</t>
  </si>
  <si>
    <t>1999-07-01,10966.049805,11252.269531,10647.860352,10655.150391,10655.150391,1672190000</t>
  </si>
  <si>
    <t>1999-08-01,10654.830078,11365.929688,10549.080078,10829.280273,10829.280273,1857760000</t>
  </si>
  <si>
    <t>1999-09-01,10828.440430,11142.410156,10081.129883,10336.950195,10336.950195,1751910000</t>
  </si>
  <si>
    <t>1999-10-01,10335.690430,10790.019531,9976.019531,10729.860352,10729.860352,2203030000</t>
  </si>
  <si>
    <t>1999-11-01,10730.780273,11112.769531,10536.269531,10877.809570,10877.809570,3250890000</t>
  </si>
  <si>
    <t>1999-12-01,10876.469727,11568.769531,10859.650391,11497.120117,11497.120117,3166150000</t>
  </si>
  <si>
    <t>2000-01-01,11501.849609,11750.280273,10701.639648,10940.530273,10940.530273,3854530000</t>
  </si>
  <si>
    <t>2000-02-01,10937.740234,11118.929688,9836.059570,10128.309570,10128.309570,3661120000</t>
  </si>
  <si>
    <t>2000-03-01,10128.110352,11234.650391,9731.809570,10921.919922,10921.919922,4754630000</t>
  </si>
  <si>
    <t>2000-04-01,10863.280273,11425.450195,10201.530273,10733.910156,10733.910156,4049750000</t>
  </si>
  <si>
    <t>2000-05-01,10749.419922,10971.240234,10258.809570,10522.330078,10522.330078,3816980000</t>
  </si>
  <si>
    <t>2000-06-01,10532.269531,10863.000000,10335.459961,10447.889648,10447.889648,3823590000</t>
  </si>
  <si>
    <t>2000-07-01,10450.360352,10874.629883,10393.089844,10521.980469,10521.980469,3248880000</t>
  </si>
  <si>
    <t>2000-08-01,10523.809570,11319.059570,10516.759766,11215.099609,11215.099609,3620730000</t>
  </si>
  <si>
    <t>2000-09-01,11219.540039,11401.190430,10567.320313,10650.919922,10650.919922,4639930000</t>
  </si>
  <si>
    <t>2000-10-01,10659.059570,10995.410156,9654.639648,10971.139648,10971.139648,6254820000</t>
  </si>
  <si>
    <t>2000-11-01,10966.209961,11006.500000,10292.389648,10414.490234,10414.490234,4680310000</t>
  </si>
  <si>
    <t>2000-12-01,10416.759766,10917.679688,10299.209961,10787.990234,10787.990234,5202580000</t>
  </si>
  <si>
    <t>2001-01-01,10790.919922,11028.000000,10468.040039,10887.360352,10887.360352,5825960000</t>
  </si>
  <si>
    <t>2001-02-01,10884.820313,11035.139648,10294.009766,10495.280273,10495.280273,4164820000</t>
  </si>
  <si>
    <t>2001-03-01,10493.250000,10859.500000,9106.540039,9878.780273,9878.780273,6086470000</t>
  </si>
  <si>
    <t>2001-04-01,9877.160156,10906.410156,9375.719727,10734.969727,10734.969727,5241100000</t>
  </si>
  <si>
    <t>2001-05-01,10734.049805,11350.049805,10673.219727,10911.940430,10911.940430,4518100000</t>
  </si>
  <si>
    <t>2001-06-01,10913.570313,11196.530273,10394.719727,10502.400391,10502.400391,4914500000</t>
  </si>
  <si>
    <t>2001-07-01,10504.950195,10679.120117,10120.889648,10522.809570,10522.809570,4605880000</t>
  </si>
  <si>
    <t>2001-08-01,10527.379883,10609.650391,9869.139648,9949.750000,9949.750000,4083400000</t>
  </si>
  <si>
    <t>2001-09-01,9946.980469,10182.379883,8062.339844,8847.559570,8847.559570,5555020000</t>
  </si>
  <si>
    <t>2001-10-01,8845.969727,9598.169922,8732.139648,9075.139648,9075.139648,5722030000</t>
  </si>
  <si>
    <t>2001-11-01,9087.450195,9992.790039,9014.459961,9851.559570,9851.559570,4722560000</t>
  </si>
  <si>
    <t>2001-12-01,9848.929688,10184.450195,9703.900391,10021.570313,10021.570313,4302710000</t>
  </si>
  <si>
    <t>2002-01-01,10021.709961,10300.150391,9529.459961,9920.000000,9920.000000,4955760000</t>
  </si>
  <si>
    <t>2002-02-01,9923.040039,10255.240234,9580.320313,10106.129883,10106.129883,4651890000</t>
  </si>
  <si>
    <t>2002-03-01,10111.040039,10673.099609,10111.040039,10403.940430,10403.940430,4589750000</t>
  </si>
  <si>
    <t>2002-04-01,10402.070313,10402.070313,9811.570313,9946.219727,9946.219727,5111860000</t>
  </si>
  <si>
    <t>2002-05-01,9944.900391,10353.429688,9802.230469,9925.250000,9925.250000,4800810000</t>
  </si>
  <si>
    <t>2002-06-01,9923.940430,9986.490234,8926.570313,9243.259766,9243.259766,5783720000</t>
  </si>
  <si>
    <t>2002-07-01,9239.250000,9410.379883,7532.660156,8736.589844,8736.589844,7714600000</t>
  </si>
  <si>
    <t>2002-08-01,8732.580078,9077.009766,8030.819824,8663.500000,8663.500000,5591350000</t>
  </si>
  <si>
    <t>2002-09-01,8659.269531,8726.900391,7460.779785,7591.930176,7591.930176,5601800000</t>
  </si>
  <si>
    <t>2002-10-01,7593.040039,8558.629883,7197.490234,8397.030273,8397.030273,7498850000</t>
  </si>
  <si>
    <t>2002-11-01,8395.639648,8950.330078,8298.679688,8896.089844,8896.089844,5410370000</t>
  </si>
  <si>
    <t>2002-12-01,8902.950195,9043.370117,8242.910156,8341.629883,8341.629883,4607200000</t>
  </si>
  <si>
    <t>2003-01-01,8342.379883,8869.290039,7917.160156,8053.810059,8053.810059,5426600000</t>
  </si>
  <si>
    <t>2003-02-01,8053.740234,8152.529785,7628.990234,7891.080078,7891.080078,4418320000</t>
  </si>
  <si>
    <t>2003-03-01,7890.240234,8522.179688,7416.640137,7992.129883,7992.129883,5616290000</t>
  </si>
  <si>
    <t>2003-04-01,7992.830078,8559.769531,7979.689941,8480.089844,8480.089844,5128590000</t>
  </si>
  <si>
    <t>2003-05-01,8478.480469,8868.330078,8340.230469,8850.259766,8850.259766,4686280000</t>
  </si>
  <si>
    <t>2003-06-01,8851.450195,9352.769531,8851.450195,8985.440430,8985.440430,4987850000</t>
  </si>
  <si>
    <t>2003-07-01,8983.660156,9361.400391,8871.200195,9233.799805,9233.799805,4911390000</t>
  </si>
  <si>
    <t>2003-08-01,9232.679688,9499.969727,8997.110352,9415.820313,9415.820313,3853760000</t>
  </si>
  <si>
    <t>2003-09-01,9416.669922,9686.080078,9230.469727,9275.059570,9275.059570,4385460000</t>
  </si>
  <si>
    <t>2003-10-01,9276.799805,9850.009766,9276.799805,9801.120117,9801.120117,4840970000</t>
  </si>
  <si>
    <t>2003-11-01,9802.459961,9903.570313,9585.500000,9782.459961,9782.459961,3548520000</t>
  </si>
  <si>
    <t>2003-12-01,9785.349609,10462.440430,9785.349609,10453.919922,10453.919922,4246080000</t>
  </si>
  <si>
    <t>2004-01-01,10452.740234,10705.179688,10367.410156,10488.070313,10488.070313,4380510000</t>
  </si>
  <si>
    <t>2004-02-01,10487.780273,10753.629883,10434.669922,10583.919922,10583.919922,3894640000</t>
  </si>
  <si>
    <t>2004-03-01,10582.250000,10695.549805,10007.490234,10357.700195,10357.700195,5009640000</t>
  </si>
  <si>
    <t>2004-04-01,10357.519531,10570.809570,10219.179688,10225.570313,10225.570313,4530000000</t>
  </si>
  <si>
    <t>2004-05-01,10227.269531,10386.320313,9852.190430,10188.450195,10188.450195,4016800000</t>
  </si>
  <si>
    <t>2004-06-01,10187.179688,10498.669922,10134.860352,10435.480469,10435.480469,4111110000</t>
  </si>
  <si>
    <t>2004-07-01,10434.000000,10448.089844,9913.919922,10139.709961,10139.709961,4452180000</t>
  </si>
  <si>
    <t>2004-08-01,10138.450195,10211.250000,9783.910156,10173.919922,10173.919922,3756550000</t>
  </si>
  <si>
    <t>2004-09-01,10170.120117,10363.360352,9977.919922,10080.269531,10080.269531,4638370000</t>
  </si>
  <si>
    <t>2004-10-01,10082.040039,10270.370117,9708.400391,10027.469727,10027.469727,5292920000</t>
  </si>
  <si>
    <t>2004-11-01,10028.730469,10602.849609,10010.150391,10428.019531,10428.019531,5666600000</t>
  </si>
  <si>
    <t>2004-12-01,10425.799805,10868.070313,10418.629883,10783.009766,10783.009766,5744730000</t>
  </si>
  <si>
    <t>2005-01-01,10783.750000,10867.389648,10368.610352,10489.940430,10489.940430,5424930000</t>
  </si>
  <si>
    <t>2005-02-01,10489.719727,10853.429688,10489.639648,10766.230469,10766.230469,5038600000</t>
  </si>
  <si>
    <t>2005-03-01,10769.040039,10984.459961,10396.240234,10503.759766,10503.759766,5820160000</t>
  </si>
  <si>
    <t>2005-04-01,10504.570313,10568.929688,10000.459961,10192.509766,10192.509766,5852240000</t>
  </si>
  <si>
    <t>2005-05-01,10192.000000,10560.809570,10075.549805,10467.480469,10467.480469,4843000000</t>
  </si>
  <si>
    <t>2005-06-01,10462.860352,10656.290039,10253.490234,10274.969727,10274.969727,5026730000</t>
  </si>
  <si>
    <t>2005-07-01,10273.589844,10717.730469,10175.400391,10640.910156,10640.910156,4821200000</t>
  </si>
  <si>
    <t>2005-08-01,10641.780273,10719.410156,10349.370117,10481.599609,10481.599609,5082400000</t>
  </si>
  <si>
    <t>2005-09-01,10481.440430,10701.809570,10350.959961,10568.700195,10568.700195,5229310000</t>
  </si>
  <si>
    <t>2005-10-01,10569.500000,10608.559570,10156.459961,10440.070313,10440.070313,5829060000</t>
  </si>
  <si>
    <t>2005-11-01,10440.070313,10959.790039,10388.759766,10805.870117,10805.870117,5385780000</t>
  </si>
  <si>
    <t>2005-12-01,10806.030273,10940.339844,10709.419922,10717.500000,10717.500000,5223910000</t>
  </si>
  <si>
    <t>2006-01-01,10718.299805,11047.759766,10661.150391,10864.860352,10864.860352,6552210000</t>
  </si>
  <si>
    <t>2006-02-01,10862.139648,11159.179688,10737.669922,10993.410156,10993.410156,5759090000</t>
  </si>
  <si>
    <t>2006-03-01,10993.250000,11334.959961,10922.730469,11109.320313,11109.320313,6680180000</t>
  </si>
  <si>
    <t>2006-04-01,11113.000000,11417.660156,11039.120117,11367.139648,11367.139648,5584020000</t>
  </si>
  <si>
    <t>2006-05-01,11367.780273,11670.190430,11030.469727,11168.309570,11168.309570,7360590000</t>
  </si>
  <si>
    <t>2006-06-01,11169.030273,11285.820313,10698.849609,11150.219727,11150.219727,6959660000</t>
  </si>
  <si>
    <t>2006-07-01,11149.339844,11257.080078,10683.320313,11185.679688,11185.679688,5548680000</t>
  </si>
  <si>
    <t>2006-08-01,11184.799805,11407.080078,11042.639648,11381.150391,11381.150391,4668650000</t>
  </si>
  <si>
    <t>2006-09-01,11382.750000,11741.990234,11323.839844,11679.070313,11679.070313,4494890000</t>
  </si>
  <si>
    <t>2006-10-01,11678.990234,12167.019531,11653.059570,12080.730469,12080.730469,5665820000</t>
  </si>
  <si>
    <t>2006-11-01,12080.250000,12361.000000,11965.309570,12221.929688,12221.929688,4722850000</t>
  </si>
  <si>
    <t>2006-12-01,12220.969727,12529.879883,12089.980469,12463.150391,12463.150391,4381310000</t>
  </si>
  <si>
    <t>2007-01-01,12459.540039,12657.019531,12337.370117,12621.690430,12621.690430,5075440000</t>
  </si>
  <si>
    <t>2007-02-01,12617.200195,12795.929688,12086.059570,12268.629883,12268.629883,4347420000</t>
  </si>
  <si>
    <t>2007-03-01,12268.629883,12511.049805,11939.610352,12354.349609,12354.349609,5633180000</t>
  </si>
  <si>
    <t>2007-04-01,12354.519531,13162.059570,12324.280273,13062.910156,13062.910156,4819810000</t>
  </si>
  <si>
    <t>2007-05-01,13062.750000,13673.070313,13041.299805,13627.639648,13627.639648,5039850000</t>
  </si>
  <si>
    <t>2007-06-01,13628.690430,13692.000000,13251.530273,13408.620117,13408.620117,5227620000</t>
  </si>
  <si>
    <t>2007-07-01,13409.599609,14021.950195,13199.790039,13211.990234,13211.990234,5512040000</t>
  </si>
  <si>
    <t>2007-08-01,13211.089844,13695.820313,12517.940430,13357.740234,13357.740234,6199120000</t>
  </si>
  <si>
    <t>2007-09-01,13358.389648,13924.809570,13021.929688,13895.629883,13895.629883,4328370000</t>
  </si>
  <si>
    <t>2007-10-01,13895.709961,14198.099609,13407.490234,13930.009766,13930.009766,5010920000</t>
  </si>
  <si>
    <t>2007-11-01,13924.160156,13924.160156,12724.089844,13371.719727,13371.719727,5980230000</t>
  </si>
  <si>
    <t>2007-12-01,13368.219727,13780.110352,13092.000000,13264.820313,13264.820313,4310320000</t>
  </si>
  <si>
    <t>2008-01-01,13261.820313,13279.540039,11634.820313,12650.360352,12650.360352,7459830000</t>
  </si>
  <si>
    <t>2008-02-01,12638.169922,12767.740234,12069.469727,12266.389648,12266.389648,5720360000</t>
  </si>
  <si>
    <t>2008-03-01,12264.360352,12622.070313,11731.599609,12262.889648,12262.889648,6229020000</t>
  </si>
  <si>
    <t>2008-04-01,12266.639648,13010.000000,12266.469727,12820.129883,12820.129883,5050840000</t>
  </si>
  <si>
    <t>2008-05-01,12818.339844,13136.690430,12442.589844,12638.320313,12638.320313,4530790000</t>
  </si>
  <si>
    <t>2008-06-01,12637.669922,12638.080078,11287.559570,11350.009766,11350.009766,5309950000</t>
  </si>
  <si>
    <t>2008-07-01,11344.639648,11698.169922,10827.709961,11378.019531,11378.019531,5551580000</t>
  </si>
  <si>
    <t>2008-08-01,11379.889648,11867.110352,11221.530273,11543.959961,11543.959961,3578210000</t>
  </si>
  <si>
    <t>2008-09-01,11545.629883,11790.169922,10365.450195,10850.660156,10850.660156,6302330000</t>
  </si>
  <si>
    <t>2008-10-01,10847.400391,10882.519531,7882.509766,9325.009766,9325.009766,8311580000</t>
  </si>
  <si>
    <t>2008-11-01,9326.040039,9653.950195,7449.379883,8829.040039,8829.040039,6262880000</t>
  </si>
  <si>
    <t>2008-12-01,8826.889648,9026.410156,8118.500000,8776.389648,8776.389648,5701870000</t>
  </si>
  <si>
    <t>2009-01-01,8772.250000,9088.059570,7909.029785,8000.859863,8000.859863,6261980000</t>
  </si>
  <si>
    <t>2009-02-01,8000.620117,8315.070313,7033.620117,7062.930176,7062.930176,7134360000</t>
  </si>
  <si>
    <t>2009-03-01,7056.479980,7931.330078,6469.950195,7608.919922,7608.919922,10561060000</t>
  </si>
  <si>
    <t>2009-04-01,7606.129883,8307.509766,7483.870117,8168.120117,8168.120117,7795900000</t>
  </si>
  <si>
    <t>2009-05-01,8167.410156,8591.929688,8099.310059,8500.330078,8500.330078,6734390000</t>
  </si>
  <si>
    <t>2009-06-01,8501.530273,8877.929688,8259.429688,8447.000000,8447.000000,5524080000</t>
  </si>
  <si>
    <t>2009-07-01,8447.530273,9246.429688,8087.189941,9171.610352,9171.610352,4902340000</t>
  </si>
  <si>
    <t>2009-08-01,9173.650391,9630.200195,9116.519531,9496.280273,9496.280273,4042210000</t>
  </si>
  <si>
    <t>2009-09-01,9492.320313,9917.990234,9252.929688,9712.280273,9712.280273,4478480000</t>
  </si>
  <si>
    <t>2009-10-01,9711.599609,10119.469727,9430.080078,9712.730469,9712.730469,5151150000</t>
  </si>
  <si>
    <t>2009-11-01,9712.129883,10495.610352,9678.950195,10344.839844,10344.839844,3813550000</t>
  </si>
  <si>
    <t>2009-12-01,10343.820313,10580.330078,10235.629883,10428.049805,10428.049805,4174040000</t>
  </si>
  <si>
    <t>2010-01-01,10430.690430,10729.889648,10043.750000,10067.330078,10067.330078,4424700000</t>
  </si>
  <si>
    <t>2010-02-01,10068.990234,10438.549805,9835.089844,10325.259766,10325.259766,4279660000</t>
  </si>
  <si>
    <t>2010-03-01,10326.099609,10955.480469,10326.099609,10856.629883,10856.629883,4388530000</t>
  </si>
  <si>
    <t>2010-04-01,10857.309570,11258.009766,10844.089844,11008.610352,11008.610352,4237550000</t>
  </si>
  <si>
    <t>2010-05-01,11009.599609,11177.669922,9774.480469,10136.629883,10136.629883,5605690000</t>
  </si>
  <si>
    <t>2010-06-01,10133.940430,10594.160156,9753.839844,9774.019531,9774.019531,4941680000</t>
  </si>
  <si>
    <t>2010-07-01,9773.269531,10584.990234,9614.320313,10465.940430,10465.940430,4243320000</t>
  </si>
  <si>
    <t>2010-08-01,10468.820313,10719.940430,9936.620117,10014.719727,10014.719727,4117550000</t>
  </si>
  <si>
    <t>2010-09-01,10016.009766,10948.879883,10016.009766,10788.049805,10788.049805,3764970000</t>
  </si>
  <si>
    <t>2010-10-01,10789.719727,11247.599609,10711.120117,11118.490234,11118.490234,3787250000</t>
  </si>
  <si>
    <t>2010-11-01,11120.299805,11451.530273,10929.280273,11006.019531,11006.019531,3808130000</t>
  </si>
  <si>
    <t>2010-12-01,11007.230469,11625.000000,11007.230469,11577.509766,11577.509766,3252900000</t>
  </si>
  <si>
    <t>2011-01-01,11577.429688,12020.519531,11573.870117,11891.929688,11891.929688,3681720000</t>
  </si>
  <si>
    <t>2011-02-01,11892.500000,12391.290039,11892.500000,12226.339844,12226.339844,3220480000</t>
  </si>
  <si>
    <t>2011-03-01,12226.490234,12383.459961,11555.480469,12319.730469,12319.730469,3851830000</t>
  </si>
  <si>
    <t>2011-04-01,12321.019531,12832.830078,12093.889648,12810.540039,12810.540039,3321090000</t>
  </si>
  <si>
    <t>2011-05-01,12810.160156,12876.000000,12309.519531,12569.790039,12569.790039,3578020000</t>
  </si>
  <si>
    <t>2011-06-01,12569.410156,12569.490234,11862.530273,12414.339844,12414.339844,3876460000</t>
  </si>
  <si>
    <t>2011-07-01,12414.339844,12753.889648,12083.450195,12143.240234,12143.240234,3092480000</t>
  </si>
  <si>
    <t>2011-08-01,12144.219727,12282.419922,10604.070313,11613.530273,11613.530273,6203230000</t>
  </si>
  <si>
    <t>2011-09-01,11613.299805,11716.839844,10597.139648,10913.379883,10913.379883,4396520000</t>
  </si>
  <si>
    <t>2011-10-01,10912.099609,12284.309570,10404.490234,11955.009766,11955.009766,3907730000</t>
  </si>
  <si>
    <t>2011-11-01,11951.530273,12187.509766,11231.429688,12045.679688,12045.679688,3263110000</t>
  </si>
  <si>
    <t>2011-12-01,12046.209961,12328.469727,11735.190430,12217.559570,12217.559570,3071480000</t>
  </si>
  <si>
    <t>2012-01-01,12221.190430,12841.950195,12221.190430,12632.910156,12632.910156,2981080000</t>
  </si>
  <si>
    <t>2012-02-01,12632.759766,13055.750000,12632.759766,12952.070313,12952.070313,2712170000</t>
  </si>
  <si>
    <t>2012-03-01,12952.290039,13289.080078,12734.860352,13212.040039,13212.040039,3203390000</t>
  </si>
  <si>
    <t>2012-04-01,13211.360352,13297.110352,12710.559570,13213.629883,13213.629883,2574900000</t>
  </si>
  <si>
    <t>2012-05-01,13214.160156,13338.660156,12311.559570,12393.450195,12393.450195,3050000000</t>
  </si>
  <si>
    <t>2012-06-01,12391.559570,12898.940430,12035.089844,12880.089844,12880.089844,2923670000</t>
  </si>
  <si>
    <t>2012-07-01,12879.709961,13128.639648,12492.250000,13008.679688,13008.679688,2578110000</t>
  </si>
  <si>
    <t>2012-08-01,13007.469727,13330.759766,12778.900391,13090.839844,13090.839844,2267280000</t>
  </si>
  <si>
    <t>2012-09-01,13092.150391,13653.240234,12977.089844,13437.129883,13437.129883,2701270000</t>
  </si>
  <si>
    <t>2012-10-01,13437.660156,13661.870117,13017.370117,13096.459961,13096.459961,2472600000</t>
  </si>
  <si>
    <t>2012-11-01,13099.190430,13290.750000,12471.490234,13025.580078,13025.580078,2683930000</t>
  </si>
  <si>
    <t>2012-12-01,13027.730469,13365.860352,12883.889648,13104.139648,13104.139648,2666750000</t>
  </si>
  <si>
    <t>2013-01-01,13104.299805,13969.990234,13104.299805,13860.580078,13860.580078,2786680000</t>
  </si>
  <si>
    <t>2013-02-01,13860.580078,14149.150391,13784.009766,14054.490234,14054.490234,2487580000</t>
  </si>
  <si>
    <t>2013-03-01,14054.490234,14585.099609,13937.599609,14578.540039,14578.540039,2546320000</t>
  </si>
  <si>
    <t>2013-04-01,14578.540039,14887.509766,14434.429688,14839.799805,14839.799805,2920230000</t>
  </si>
  <si>
    <t>2013-05-01,14839.799805,15542.400391,14687.049805,15115.570313,15115.570313,2771510000</t>
  </si>
  <si>
    <t>2013-06-01,15123.549805,15340.089844,14551.269531,14909.599609,14909.599609,2929040000</t>
  </si>
  <si>
    <t>2013-07-01,14911.599609,15634.320313,14858.929688,15499.540039,15499.540039,2623130000</t>
  </si>
  <si>
    <t>2013-08-01,15503.849609,15658.429688,14760.410156,14810.309570,14810.309570,2327660000</t>
  </si>
  <si>
    <t>2013-09-01,14801.549805,15709.580078,14777.480469,15129.669922,15129.669922,2371540000</t>
  </si>
  <si>
    <t>2013-10-01,15132.490234,15721.000000,14719.429688,15545.750000,15545.750000,2206620000</t>
  </si>
  <si>
    <t>2013-11-01,15558.009766,16174.509766,15522.179688,16086.410156,16086.410156,1820260000</t>
  </si>
  <si>
    <t>2013-12-01,16087.120117,16588.250000,15703.790039,16576.660156,16576.660156,2057160000</t>
  </si>
  <si>
    <t>2014-01-01,16572.169922,16573.070313,15617.549805,15698.849609,15698.849609,2177040000</t>
  </si>
  <si>
    <t>2014-02-01,15697.690430,16398.949219,15340.690430,16321.709961,16321.709961,2067820000</t>
  </si>
  <si>
    <t>2014-03-01,16321.709961,16505.699219,16046.990234,16457.660156,16457.660156,2095940000</t>
  </si>
  <si>
    <t>2014-04-01,16458.050781,16631.630859,16015.320313,16580.839844,16580.839844,1986960000</t>
  </si>
  <si>
    <t>2014-05-01,16580.259766,16735.509766,16341.299805,16717.169922,16717.169922,1643160000</t>
  </si>
  <si>
    <t>2014-06-01,16716.849609,16978.019531,16673.650391,16826.599609,16826.599609,1755480000</t>
  </si>
  <si>
    <t>2014-07-01,16828.529297,17151.560547,16563.300781,16563.300781,16563.300781,1690880000</t>
  </si>
  <si>
    <t>2014-08-01,16561.699219,17153.800781,16333.780273,17098.449219,17098.449219,1482600000</t>
  </si>
  <si>
    <t>2014-09-01,17097.419922,17350.640625,16934.429688,17042.900391,17042.900391,1870550000</t>
  </si>
  <si>
    <t>2014-10-01,17040.460938,17395.539063,15855.120117,17390.519531,17390.519531,2903240000</t>
  </si>
  <si>
    <t>2014-11-01,17390.900391,17894.830078,17278.359375,17828.240234,17828.240234,1516490000</t>
  </si>
  <si>
    <t>2014-12-01,17827.269531,18103.449219,17067.589844,17823.070313,17823.070313,2216900000</t>
  </si>
  <si>
    <t>2015-01-01,17823.070313,17951.779297,17136.300781,17164.949219,17164.949219,2173260000</t>
  </si>
  <si>
    <t>2015-02-01,17169.990234,18244.380859,17037.759766,18132.699219,18132.699219,1751250000</t>
  </si>
  <si>
    <t>2015-03-01,18134.050781,18288.630859,17579.269531,17776.119141,17776.119141,2470480000</t>
  </si>
  <si>
    <t>2015-04-01,17778.519531,18175.560547,17585.009766,17840.519531,17840.519531,2174880000</t>
  </si>
  <si>
    <t>2015-05-01,17859.269531,18351.359375,17733.119141,18010.679688,18010.679688,1832450000</t>
  </si>
  <si>
    <t>2015-06-01,18017.820313,18188.810547,17576.500000,17619.509766,17619.509766,2219240000</t>
  </si>
  <si>
    <t>2015-07-01,17638.119141,18137.119141,17399.169922,17689.859375,17689.859375,2034220000</t>
  </si>
  <si>
    <t>2015-08-01,17696.740234,17704.759766,15370.330078,16528.029297,16528.029297,2726340000</t>
  </si>
  <si>
    <t>2015-09-01,16528.029297,16933.429688,15942.370117,16284.700195,16284.700195,2724080000</t>
  </si>
  <si>
    <t>2015-10-01,16278.620117,17799.960938,16013.660156,17663.539063,17663.539063,2605470000</t>
  </si>
  <si>
    <t>2015-11-01,17672.619141,17977.849609,17210.429688,17719.919922,17719.919922,2334610000</t>
  </si>
  <si>
    <t>2015-12-01,17719.720703,17901.580078,17116.730469,17425.029297,17425.029297,2521440000</t>
  </si>
  <si>
    <t>2016-01-01,17405.480469,17405.480469,15450.559570,16466.300781,16466.300781,2844080000</t>
  </si>
  <si>
    <t>2016-02-01,16453.630859,16795.980469,15503.009766,16516.500000,16516.500000,2491810000</t>
  </si>
  <si>
    <t>2016-03-01,16545.669922,17790.109375,16545.669922,17685.089844,17685.089844,2407750000</t>
  </si>
  <si>
    <t>2016-04-01,17661.740234,18167.630859,17484.230469,17773.640625,17773.640625,2096650000</t>
  </si>
  <si>
    <t>2016-05-01,17783.779297,17934.609375,17331.070313,17787.199219,17787.199219,1879010000</t>
  </si>
  <si>
    <t>2016-06-01,17754.550781,18016.000000,17063.080078,17929.990234,17929.990234,2350020000</t>
  </si>
  <si>
    <t>2016-07-01,17924.240234,18622.009766,17713.449219,18432.240234,18432.240234,1816520000</t>
  </si>
  <si>
    <t>2016-08-01,18434.500000,18722.609375,18247.789063,18400.880859,18400.880859,1695750000</t>
  </si>
  <si>
    <t>2016-09-01,18396.570313,18551.539063,17992.210938,18308.150391,18308.150391,2101120000</t>
  </si>
  <si>
    <t>2016-10-01,18279.599609,18399.960938,17959.949219,18142.419922,18142.419922,1793690000</t>
  </si>
  <si>
    <t>2016-11-01,18158.240234,19225.289063,17883.560547,19123.580078,19123.580078,2107770000</t>
  </si>
  <si>
    <t>2016-12-01,19149.199219,19987.630859,19138.789063,19762.599609,19762.599609,5952470000</t>
  </si>
  <si>
    <t>2017-01-01,19872.859375,20125.580078,19677.939453,19864.089844,19864.089844,6482900000</t>
  </si>
  <si>
    <t>2017-02-01,19923.810547,20851.330078,19831.089844,20812.240234,20812.240234,6185580000</t>
  </si>
  <si>
    <t>2017-03-01,20957.289063,21169.109375,20412.800781,20663.220703,20663.220703,6941970000</t>
  </si>
  <si>
    <t>2017-04-01,20665.169922,21070.900391,20379.550781,20940.509766,20940.509766,5392630000</t>
  </si>
  <si>
    <t>2017-05-01,20962.730469,21112.320313,20553.449219,21008.650391,21008.650391,6613570000</t>
  </si>
  <si>
    <t>2017-06-01,21030.550781,21535.029297,20994.220703,21349.630859,21349.630859,7214590000</t>
  </si>
  <si>
    <t>2017-07-01,21392.300781,21929.800781,21279.300781,21891.119141,21891.119141,5569720000</t>
  </si>
  <si>
    <t>2017-08-01,21961.419922,22179.109375,21600.339844,21948.099609,21948.099609,6150060000</t>
  </si>
  <si>
    <t>2017-09-01,21981.769531,22419.509766,21709.630859,22405.089844,22405.089844,6342130000</t>
  </si>
  <si>
    <t>2017-10-01,22423.470703,23485.250000,22416.000000,23377.240234,23377.240234,7302910000</t>
  </si>
  <si>
    <t>2017-11-01,23442.900391,24327.820313,23242.750000,24272.349609,24272.349609,7335640000</t>
  </si>
  <si>
    <t>2017-12-01,24305.400391,24876.070313,23921.900391,24719.220703,24719.220703,6589890000</t>
  </si>
  <si>
    <t>2018-01-01,24809.349609,26616.710938,24741.699219,26149.390625,26149.390625,9116920000</t>
  </si>
  <si>
    <t>2018-02-01,26083.039063,26306.699219,23360.289063,25029.199219,25029.199219,9450250000</t>
  </si>
  <si>
    <t>2018-03-01,25024.039063,25449.150391,23509.060547,24103.109375,24103.109375,8873040000</t>
  </si>
  <si>
    <t>2018-04-01,24076.599609,24858.970703,23344.519531,24163.150391,24163.150391,8064550000</t>
  </si>
  <si>
    <t>2018-05-01,24117.289063,25086.490234,23531.310547,24415.839844,24415.839844,7278020000</t>
  </si>
  <si>
    <t>2018-06-01,24542.089844,25402.830078,23997.210938,24271.410156,24271.410156,7411110000</t>
  </si>
  <si>
    <t>2018-07-01,24161.529297,25587.240234,24077.560547,25415.189453,25415.189453,5408500000</t>
  </si>
  <si>
    <t>2018-08-01,25461.630859,26167.939453,24965.769531,25964.820313,25964.820313,5635410000</t>
  </si>
  <si>
    <t>2018-09-01,25916.070313,26769.160156,25754.320313,26458.310547,26458.310547,5262500000</t>
  </si>
  <si>
    <t>2018-10-01,26598.359375,26951.810547,24122.230469,25115.759766,25115.759766,8373350000</t>
  </si>
  <si>
    <t>2018-11-01,25142.080078,26277.820313,24268.740234,25538.460938,25538.460938,7226940000</t>
  </si>
  <si>
    <t>2018-12-01,25779.570313,25980.210938,21712.529297,23327.460938,23327.460938,8101540000</t>
  </si>
  <si>
    <t>2019-01-01,23058.609375,25109.619141,22638.410156,24999.669922,24999.669922,7189200000</t>
  </si>
  <si>
    <t>2019-02-01,25025.310547,26241.419922,24883.039063,25916.000000,25916.000000,5434540000</t>
  </si>
  <si>
    <t>2019-03-01,26019.669922,26155.980469,25208.000000,25928.679688,25928.679688,6734060000</t>
  </si>
  <si>
    <t>2019-04-01,26075.099609,26695.960938,26062.589844,26592.910156,26592.910156,5854600000</t>
  </si>
  <si>
    <t>2019-05-01,26639.060547,26689.390625,24809.509766,24815.039063,24815.039063,6358230000</t>
  </si>
  <si>
    <t>2019-06-01,24830.160156,26907.369141,24680.570313,26599.960938,26599.960938,5544390000</t>
  </si>
  <si>
    <t>2019-07-01,26805.859375,27398.679688,26616.210938,26864.269531,26864.269531,5207470000</t>
  </si>
  <si>
    <t>2019-08-01,26879.859375,27175.589844,25339.599609,26403.279297,26403.279297,8170730000</t>
  </si>
  <si>
    <t>2019-09-01,26198.259766,27306.730469,25978.220703,26916.830078,26916.830078,5045520000</t>
  </si>
  <si>
    <t>2019-10-01,26962.539063,27204.359375,25743.460938,27046.230469,27046.230469,5660960000</t>
  </si>
  <si>
    <t>2019-11-01,27142.949219,28174.970703,27142.949219,28051.410156,28051.410156,4925180000</t>
  </si>
  <si>
    <t>2019-12-01,28109.740234,28701.660156,27325.130859,28538.439453,28538.439453,5086880000</t>
  </si>
  <si>
    <t>2020-01-01,28638.970703,29373.619141,28169.529297,28256.029297,28256.029297,6170770000</t>
  </si>
  <si>
    <t>2020-02-01,28319.650391,29568.570313,24681.009766,25409.359375,25409.359375,6991990000</t>
  </si>
  <si>
    <t>2020-03-01,25590.509766,27102.339844,18213.650391,21917.160156,21917.160156,15521140000</t>
  </si>
  <si>
    <t>2020-04-01,21227.380859,24764.769531,20735.019531,24345.720703,24345.720703,9795600000</t>
  </si>
  <si>
    <t>2020-05-01,24120.779297,25758.789063,22789.619141,25383.109375,25383.109375,7940630000</t>
  </si>
  <si>
    <t>2020-06-01,25342.990234,27580.210938,24843.179688,25812.880859,25812.880859,9710480000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</si>
  <si>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</si>
  <si>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</si>
  <si>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</si>
  <si>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</si>
  <si>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</si>
  <si>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</si>
  <si>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</si>
  <si>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</si>
  <si>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</si>
  <si>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</si>
  <si>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</si>
  <si>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XII</t>
  </si>
  <si>
    <t>Period</t>
  </si>
  <si>
    <t>SnP interest</t>
  </si>
  <si>
    <t>DJI interest</t>
  </si>
  <si>
    <t>Withdrawal</t>
  </si>
  <si>
    <t>median</t>
  </si>
  <si>
    <t>2020-07-01,3105.919922,3279.989990,3101.169922,3271.120117,3271.120117,97197020000</t>
  </si>
  <si>
    <t>2020-07-01,25879.380859,27071.330078,25523.509766,26428.320313,26428.320313,8210370000</t>
  </si>
  <si>
    <t>S&amp;P_500</t>
  </si>
  <si>
    <t>DJI</t>
  </si>
  <si>
    <t>Change</t>
  </si>
  <si>
    <t>https://query1.finance.yahoo.com/v7/finance/download/%5EGSPC?period1=489024000&amp;period2=1593648000&amp;interval=1mo&amp;events=history</t>
  </si>
  <si>
    <t>190.919998</t>
  </si>
  <si>
    <t>188.630005</t>
  </si>
  <si>
    <t>182.080002</t>
  </si>
  <si>
    <t>189.820007</t>
  </si>
  <si>
    <t>202.169998</t>
  </si>
  <si>
    <t>211.279999</t>
  </si>
  <si>
    <t>211.779999</t>
  </si>
  <si>
    <t>226.919998</t>
  </si>
  <si>
    <t>238.899994</t>
  </si>
  <si>
    <t>235.520004</t>
  </si>
  <si>
    <t>247.350006</t>
  </si>
  <si>
    <t>250.839996</t>
  </si>
  <si>
    <t>236.119995</t>
  </si>
  <si>
    <t>252.929993</t>
  </si>
  <si>
    <t>231.320007</t>
  </si>
  <si>
    <t>243.979996</t>
  </si>
  <si>
    <t>249.220001</t>
  </si>
  <si>
    <t>242.169998</t>
  </si>
  <si>
    <t>274.079987</t>
  </si>
  <si>
    <t>284.200012</t>
  </si>
  <si>
    <t>291.700012</t>
  </si>
  <si>
    <t>288.359985</t>
  </si>
  <si>
    <t>290.100006</t>
  </si>
  <si>
    <t>304.000000</t>
  </si>
  <si>
    <t>318.660004</t>
  </si>
  <si>
    <t>329.799988</t>
  </si>
  <si>
    <t>321.829987</t>
  </si>
  <si>
    <t>251.789993</t>
  </si>
  <si>
    <t>230.300003</t>
  </si>
  <si>
    <t>247.080002</t>
  </si>
  <si>
    <t>257.070007</t>
  </si>
  <si>
    <t>267.820007</t>
  </si>
  <si>
    <t>258.890015</t>
  </si>
  <si>
    <t>261.329987</t>
  </si>
  <si>
    <t>262.160004</t>
  </si>
  <si>
    <t>273.500000</t>
  </si>
  <si>
    <t>272.019989</t>
  </si>
  <si>
    <t>261.519989</t>
  </si>
  <si>
    <t>271.910004</t>
  </si>
  <si>
    <t>278.970001</t>
  </si>
  <si>
    <t>273.700012</t>
  </si>
  <si>
    <t>277.720001</t>
  </si>
  <si>
    <t>297.470001</t>
  </si>
  <si>
    <t>288.859985</t>
  </si>
  <si>
    <t>294.869995</t>
  </si>
  <si>
    <t>309.640015</t>
  </si>
  <si>
    <t>320.519989</t>
  </si>
  <si>
    <t>317.980011</t>
  </si>
  <si>
    <t>346.079987</t>
  </si>
  <si>
    <t>351.450012</t>
  </si>
  <si>
    <t>349.149994</t>
  </si>
  <si>
    <t>340.359985</t>
  </si>
  <si>
    <t>345.989990</t>
  </si>
  <si>
    <t>353.399994</t>
  </si>
  <si>
    <t>329.079987</t>
  </si>
  <si>
    <t>331.890015</t>
  </si>
  <si>
    <t>339.940002</t>
  </si>
  <si>
    <t>330.799988</t>
  </si>
  <si>
    <t>361.230011</t>
  </si>
  <si>
    <t>358.019989</t>
  </si>
  <si>
    <t>356.149994</t>
  </si>
  <si>
    <t>322.559998</t>
  </si>
  <si>
    <t>306.049988</t>
  </si>
  <si>
    <t>322.220001</t>
  </si>
  <si>
    <t>330.220001</t>
  </si>
  <si>
    <t>343.929993</t>
  </si>
  <si>
    <t>367.070007</t>
  </si>
  <si>
    <t>375.220001</t>
  </si>
  <si>
    <t>375.339996</t>
  </si>
  <si>
    <t>389.829987</t>
  </si>
  <si>
    <t>371.160004</t>
  </si>
  <si>
    <t>387.809998</t>
  </si>
  <si>
    <t>395.429993</t>
  </si>
  <si>
    <t>387.859985</t>
  </si>
  <si>
    <t>392.450012</t>
  </si>
  <si>
    <t>417.089996</t>
  </si>
  <si>
    <t>408.779999</t>
  </si>
  <si>
    <t>412.700012</t>
  </si>
  <si>
    <t>403.690002</t>
  </si>
  <si>
    <t>414.950012</t>
  </si>
  <si>
    <t>415.350006</t>
  </si>
  <si>
    <t>408.140015</t>
  </si>
  <si>
    <t>424.209991</t>
  </si>
  <si>
    <t>414.029999</t>
  </si>
  <si>
    <t>417.799988</t>
  </si>
  <si>
    <t>418.679993</t>
  </si>
  <si>
    <t>431.350006</t>
  </si>
  <si>
    <t>435.709991</t>
  </si>
  <si>
    <t>438.779999</t>
  </si>
  <si>
    <t>443.380005</t>
  </si>
  <si>
    <t>451.670013</t>
  </si>
  <si>
    <t>440.190002</t>
  </si>
  <si>
    <t>450.190002</t>
  </si>
  <si>
    <t>450.529999</t>
  </si>
  <si>
    <t>448.130005</t>
  </si>
  <si>
    <t>463.559998</t>
  </si>
  <si>
    <t>458.929993</t>
  </si>
  <si>
    <t>467.829987</t>
  </si>
  <si>
    <t>461.790009</t>
  </si>
  <si>
    <t>466.450012</t>
  </si>
  <si>
    <t>481.609985</t>
  </si>
  <si>
    <t>467.140015</t>
  </si>
  <si>
    <t>445.769989</t>
  </si>
  <si>
    <t>450.910004</t>
  </si>
  <si>
    <t>456.500000</t>
  </si>
  <si>
    <t>444.269989</t>
  </si>
  <si>
    <t>458.260010</t>
  </si>
  <si>
    <t>475.489990</t>
  </si>
  <si>
    <t>462.709991</t>
  </si>
  <si>
    <t>472.350006</t>
  </si>
  <si>
    <t>453.690002</t>
  </si>
  <si>
    <t>459.269989</t>
  </si>
  <si>
    <t>470.420013</t>
  </si>
  <si>
    <t>487.390015</t>
  </si>
  <si>
    <t>500.709991</t>
  </si>
  <si>
    <t>514.710022</t>
  </si>
  <si>
    <t>533.400024</t>
  </si>
  <si>
    <t>544.750000</t>
  </si>
  <si>
    <t>562.059998</t>
  </si>
  <si>
    <t>561.880005</t>
  </si>
  <si>
    <t>584.409973</t>
  </si>
  <si>
    <t>581.500000</t>
  </si>
  <si>
    <t>605.369995</t>
  </si>
  <si>
    <t>615.929993</t>
  </si>
  <si>
    <t>636.020020</t>
  </si>
  <si>
    <t>640.429993</t>
  </si>
  <si>
    <t>645.500000</t>
  </si>
  <si>
    <t>654.169983</t>
  </si>
  <si>
    <t>669.119995</t>
  </si>
  <si>
    <t>670.630005</t>
  </si>
  <si>
    <t>639.950012</t>
  </si>
  <si>
    <t>651.989990</t>
  </si>
  <si>
    <t>687.330017</t>
  </si>
  <si>
    <t>705.270020</t>
  </si>
  <si>
    <t>757.020020</t>
  </si>
  <si>
    <t>740.739990</t>
  </si>
  <si>
    <t>786.159973</t>
  </si>
  <si>
    <t>790.820007</t>
  </si>
  <si>
    <t>757.119995</t>
  </si>
  <si>
    <t>801.340027</t>
  </si>
  <si>
    <t>848.280029</t>
  </si>
  <si>
    <t>885.140015</t>
  </si>
  <si>
    <t>954.309998</t>
  </si>
  <si>
    <t>899.469971</t>
  </si>
  <si>
    <t>947.280029</t>
  </si>
  <si>
    <t>914.619995</t>
  </si>
  <si>
    <t>955.400024</t>
  </si>
  <si>
    <t>970.429993</t>
  </si>
  <si>
    <t>980.280029</t>
  </si>
  <si>
    <t>1049.339966</t>
  </si>
  <si>
    <t>1101.750000</t>
  </si>
  <si>
    <t>1111.750000</t>
  </si>
  <si>
    <t>1090.819946</t>
  </si>
  <si>
    <t>1133.839966</t>
  </si>
  <si>
    <t>1120.670044</t>
  </si>
  <si>
    <t>957.280029</t>
  </si>
  <si>
    <t>1017.010010</t>
  </si>
  <si>
    <t>1098.670044</t>
  </si>
  <si>
    <t>1163.630005</t>
  </si>
  <si>
    <t>1229.229980</t>
  </si>
  <si>
    <t>1279.640015</t>
  </si>
  <si>
    <t>1238.329956</t>
  </si>
  <si>
    <t>1286.369995</t>
  </si>
  <si>
    <t>1335.180054</t>
  </si>
  <si>
    <t>1301.839966</t>
  </si>
  <si>
    <t>1372.709961</t>
  </si>
  <si>
    <t>1328.719971</t>
  </si>
  <si>
    <t>1320.410034</t>
  </si>
  <si>
    <t>1282.709961</t>
  </si>
  <si>
    <t>1362.930054</t>
  </si>
  <si>
    <t>1388.910034</t>
  </si>
  <si>
    <t>1469.250000</t>
  </si>
  <si>
    <t>1394.459961</t>
  </si>
  <si>
    <t>1366.420044</t>
  </si>
  <si>
    <t>1498.579956</t>
  </si>
  <si>
    <t>1452.430054</t>
  </si>
  <si>
    <t>1420.599976</t>
  </si>
  <si>
    <t>1454.599976</t>
  </si>
  <si>
    <t>1430.829956</t>
  </si>
  <si>
    <t>1517.680054</t>
  </si>
  <si>
    <t>1436.510010</t>
  </si>
  <si>
    <t>1429.400024</t>
  </si>
  <si>
    <t>1314.949951</t>
  </si>
  <si>
    <t>1320.280029</t>
  </si>
  <si>
    <t>1366.010010</t>
  </si>
  <si>
    <t>1239.939941</t>
  </si>
  <si>
    <t>1160.329956</t>
  </si>
  <si>
    <t>1249.459961</t>
  </si>
  <si>
    <t>1255.819946</t>
  </si>
  <si>
    <t>1224.380005</t>
  </si>
  <si>
    <t>1211.229980</t>
  </si>
  <si>
    <t>1133.579956</t>
  </si>
  <si>
    <t>1040.939941</t>
  </si>
  <si>
    <t>1059.780029</t>
  </si>
  <si>
    <t>1139.449951</t>
  </si>
  <si>
    <t>1148.079956</t>
  </si>
  <si>
    <t>1130.199951</t>
  </si>
  <si>
    <t>1106.729980</t>
  </si>
  <si>
    <t>1147.390015</t>
  </si>
  <si>
    <t>1076.920044</t>
  </si>
  <si>
    <t>1067.140015</t>
  </si>
  <si>
    <t>989.820007</t>
  </si>
  <si>
    <t>911.619995</t>
  </si>
  <si>
    <t>916.070007</t>
  </si>
  <si>
    <t>815.280029</t>
  </si>
  <si>
    <t>885.760010</t>
  </si>
  <si>
    <t>936.309998</t>
  </si>
  <si>
    <t>879.820007</t>
  </si>
  <si>
    <t>855.700012</t>
  </si>
  <si>
    <t>841.150024</t>
  </si>
  <si>
    <t>848.179993</t>
  </si>
  <si>
    <t>916.919983</t>
  </si>
  <si>
    <t>963.590027</t>
  </si>
  <si>
    <t>974.500000</t>
  </si>
  <si>
    <t>990.309998</t>
  </si>
  <si>
    <t>1008.010010</t>
  </si>
  <si>
    <t>995.969971</t>
  </si>
  <si>
    <t>1050.709961</t>
  </si>
  <si>
    <t>1058.199951</t>
  </si>
  <si>
    <t>1111.920044</t>
  </si>
  <si>
    <t>1131.130005</t>
  </si>
  <si>
    <t>1144.939941</t>
  </si>
  <si>
    <t>1126.209961</t>
  </si>
  <si>
    <t>1107.300049</t>
  </si>
  <si>
    <t>1120.680054</t>
  </si>
  <si>
    <t>1140.839966</t>
  </si>
  <si>
    <t>1101.719971</t>
  </si>
  <si>
    <t>1104.239990</t>
  </si>
  <si>
    <t>1114.579956</t>
  </si>
  <si>
    <t>1173.819946</t>
  </si>
  <si>
    <t>1211.920044</t>
  </si>
  <si>
    <t>1181.270020</t>
  </si>
  <si>
    <t>1203.599976</t>
  </si>
  <si>
    <t>1180.589966</t>
  </si>
  <si>
    <t>1156.849976</t>
  </si>
  <si>
    <t>1191.500000</t>
  </si>
  <si>
    <t>1191.329956</t>
  </si>
  <si>
    <t>1234.180054</t>
  </si>
  <si>
    <t>1220.329956</t>
  </si>
  <si>
    <t>1228.810059</t>
  </si>
  <si>
    <t>1207.010010</t>
  </si>
  <si>
    <t>1249.479980</t>
  </si>
  <si>
    <t>1248.290039</t>
  </si>
  <si>
    <t>1280.079956</t>
  </si>
  <si>
    <t>1280.660034</t>
  </si>
  <si>
    <t>1294.869995</t>
  </si>
  <si>
    <t>1310.609985</t>
  </si>
  <si>
    <t>1270.089966</t>
  </si>
  <si>
    <t>1270.199951</t>
  </si>
  <si>
    <t>1276.660034</t>
  </si>
  <si>
    <t>1303.819946</t>
  </si>
  <si>
    <t>1335.849976</t>
  </si>
  <si>
    <t>1377.939941</t>
  </si>
  <si>
    <t>1400.630005</t>
  </si>
  <si>
    <t>1418.300049</t>
  </si>
  <si>
    <t>1438.239990</t>
  </si>
  <si>
    <t>1406.819946</t>
  </si>
  <si>
    <t>1420.859985</t>
  </si>
  <si>
    <t>1482.369995</t>
  </si>
  <si>
    <t>1530.619995</t>
  </si>
  <si>
    <t>1503.349976</t>
  </si>
  <si>
    <t>1455.270020</t>
  </si>
  <si>
    <t>1473.989990</t>
  </si>
  <si>
    <t>1526.750000</t>
  </si>
  <si>
    <t>1549.380005</t>
  </si>
  <si>
    <t>1481.140015</t>
  </si>
  <si>
    <t>1468.359985</t>
  </si>
  <si>
    <t>1378.550049</t>
  </si>
  <si>
    <t>1330.630005</t>
  </si>
  <si>
    <t>1322.699951</t>
  </si>
  <si>
    <t>1385.589966</t>
  </si>
  <si>
    <t>1400.380005</t>
  </si>
  <si>
    <t>1280.000000</t>
  </si>
  <si>
    <t>1267.380005</t>
  </si>
  <si>
    <t>1282.829956</t>
  </si>
  <si>
    <t>1166.359985</t>
  </si>
  <si>
    <t>968.750000</t>
  </si>
  <si>
    <t>896.239990</t>
  </si>
  <si>
    <t>903.250000</t>
  </si>
  <si>
    <t>825.880005</t>
  </si>
  <si>
    <t>735.090027</t>
  </si>
  <si>
    <t>797.869995</t>
  </si>
  <si>
    <t>872.809998</t>
  </si>
  <si>
    <t>919.140015</t>
  </si>
  <si>
    <t>919.320007</t>
  </si>
  <si>
    <t>987.479980</t>
  </si>
  <si>
    <t>1020.619995</t>
  </si>
  <si>
    <t>1057.079956</t>
  </si>
  <si>
    <t>1036.189941</t>
  </si>
  <si>
    <t>1095.630005</t>
  </si>
  <si>
    <t>1115.099976</t>
  </si>
  <si>
    <t>1073.869995</t>
  </si>
  <si>
    <t>1104.489990</t>
  </si>
  <si>
    <t>1169.430054</t>
  </si>
  <si>
    <t>1186.689941</t>
  </si>
  <si>
    <t>1089.410034</t>
  </si>
  <si>
    <t>1030.709961</t>
  </si>
  <si>
    <t>1101.599976</t>
  </si>
  <si>
    <t>1049.329956</t>
  </si>
  <si>
    <t>1141.199951</t>
  </si>
  <si>
    <t>1183.260010</t>
  </si>
  <si>
    <t>1180.550049</t>
  </si>
  <si>
    <t>1257.640015</t>
  </si>
  <si>
    <t>1286.119995</t>
  </si>
  <si>
    <t>1327.219971</t>
  </si>
  <si>
    <t>1325.829956</t>
  </si>
  <si>
    <t>1363.609985</t>
  </si>
  <si>
    <t>1345.199951</t>
  </si>
  <si>
    <t>1320.640015</t>
  </si>
  <si>
    <t>1292.280029</t>
  </si>
  <si>
    <t>1218.890015</t>
  </si>
  <si>
    <t>1131.420044</t>
  </si>
  <si>
    <t>1253.300049</t>
  </si>
  <si>
    <t>1246.959961</t>
  </si>
  <si>
    <t>1257.599976</t>
  </si>
  <si>
    <t>1312.410034</t>
  </si>
  <si>
    <t>1365.680054</t>
  </si>
  <si>
    <t>1408.469971</t>
  </si>
  <si>
    <t>1397.910034</t>
  </si>
  <si>
    <t>1310.329956</t>
  </si>
  <si>
    <t>1362.160034</t>
  </si>
  <si>
    <t>1379.319946</t>
  </si>
  <si>
    <t>1406.579956</t>
  </si>
  <si>
    <t>1440.670044</t>
  </si>
  <si>
    <t>1412.160034</t>
  </si>
  <si>
    <t>1416.180054</t>
  </si>
  <si>
    <t>1426.189941</t>
  </si>
  <si>
    <t>1498.109985</t>
  </si>
  <si>
    <t>1514.680054</t>
  </si>
  <si>
    <t>1569.189941</t>
  </si>
  <si>
    <t>1597.569946</t>
  </si>
  <si>
    <t>1630.739990</t>
  </si>
  <si>
    <t>1606.280029</t>
  </si>
  <si>
    <t>1685.729980</t>
  </si>
  <si>
    <t>1632.969971</t>
  </si>
  <si>
    <t>1681.550049</t>
  </si>
  <si>
    <t>1756.540039</t>
  </si>
  <si>
    <t>1805.810059</t>
  </si>
  <si>
    <t>1848.359985</t>
  </si>
  <si>
    <t>1782.589966</t>
  </si>
  <si>
    <t>1859.449951</t>
  </si>
  <si>
    <t>1872.339966</t>
  </si>
  <si>
    <t>1883.949951</t>
  </si>
  <si>
    <t>1923.569946</t>
  </si>
  <si>
    <t>1960.229980</t>
  </si>
  <si>
    <t>1930.670044</t>
  </si>
  <si>
    <t>2003.369995</t>
  </si>
  <si>
    <t>1972.290039</t>
  </si>
  <si>
    <t>2018.050049</t>
  </si>
  <si>
    <t>2067.560059</t>
  </si>
  <si>
    <t>2058.899902</t>
  </si>
  <si>
    <t>1994.989990</t>
  </si>
  <si>
    <t>2104.500000</t>
  </si>
  <si>
    <t>2067.889893</t>
  </si>
  <si>
    <t>2085.510010</t>
  </si>
  <si>
    <t>2107.389893</t>
  </si>
  <si>
    <t>2063.110107</t>
  </si>
  <si>
    <t>2103.840088</t>
  </si>
  <si>
    <t>1972.180054</t>
  </si>
  <si>
    <t>1920.030029</t>
  </si>
  <si>
    <t>2079.360107</t>
  </si>
  <si>
    <t>2080.409912</t>
  </si>
  <si>
    <t>2043.939941</t>
  </si>
  <si>
    <t>1940.239990</t>
  </si>
  <si>
    <t>1932.229980</t>
  </si>
  <si>
    <t>2059.739990</t>
  </si>
  <si>
    <t>2065.300049</t>
  </si>
  <si>
    <t>2096.949951</t>
  </si>
  <si>
    <t>2098.860107</t>
  </si>
  <si>
    <t>2173.600098</t>
  </si>
  <si>
    <t>2170.949951</t>
  </si>
  <si>
    <t>2168.270020</t>
  </si>
  <si>
    <t>2126.149902</t>
  </si>
  <si>
    <t>2198.810059</t>
  </si>
  <si>
    <t>2238.830078</t>
  </si>
  <si>
    <t>2278.870117</t>
  </si>
  <si>
    <t>2363.639893</t>
  </si>
  <si>
    <t>2362.719971</t>
  </si>
  <si>
    <t>2384.199951</t>
  </si>
  <si>
    <t>2411.800049</t>
  </si>
  <si>
    <t>2423.409912</t>
  </si>
  <si>
    <t>2470.300049</t>
  </si>
  <si>
    <t>2471.649902</t>
  </si>
  <si>
    <t>2519.360107</t>
  </si>
  <si>
    <t>2575.260010</t>
  </si>
  <si>
    <t>2584.840088</t>
  </si>
  <si>
    <t>2673.610107</t>
  </si>
  <si>
    <t>2823.810059</t>
  </si>
  <si>
    <t>2713.830078</t>
  </si>
  <si>
    <t>2640.870117</t>
  </si>
  <si>
    <t>2648.050049</t>
  </si>
  <si>
    <t>2705.270020</t>
  </si>
  <si>
    <t>2718.370117</t>
  </si>
  <si>
    <t>2816.290039</t>
  </si>
  <si>
    <t>2901.520020</t>
  </si>
  <si>
    <t>2913.979980</t>
  </si>
  <si>
    <t>2711.739990</t>
  </si>
  <si>
    <t>2760.169922</t>
  </si>
  <si>
    <t>2506.850098</t>
  </si>
  <si>
    <t>2704.100098</t>
  </si>
  <si>
    <t>2784.489990</t>
  </si>
  <si>
    <t>2834.399902</t>
  </si>
  <si>
    <t>2945.830078</t>
  </si>
  <si>
    <t>2752.060059</t>
  </si>
  <si>
    <t>2941.760010</t>
  </si>
  <si>
    <t>2980.379883</t>
  </si>
  <si>
    <t>2926.459961</t>
  </si>
  <si>
    <t>2976.739990</t>
  </si>
  <si>
    <t>3037.560059</t>
  </si>
  <si>
    <t>3140.979980</t>
  </si>
  <si>
    <t>3230.780029</t>
  </si>
  <si>
    <t>3225.520020</t>
  </si>
  <si>
    <t>2954.219971</t>
  </si>
  <si>
    <t>2584.590088</t>
  </si>
  <si>
    <t>2912.429932</t>
  </si>
  <si>
    <t>3044.310059</t>
  </si>
  <si>
    <t>3100.290039</t>
  </si>
  <si>
    <t>3271.120117</t>
  </si>
  <si>
    <t>1347.449951</t>
  </si>
  <si>
    <t>1334.010010</t>
  </si>
  <si>
    <t>1328.630005</t>
  </si>
  <si>
    <t>1374.310059</t>
  </si>
  <si>
    <t>1472.130005</t>
  </si>
  <si>
    <t>1546.670044</t>
  </si>
  <si>
    <t>1570.989990</t>
  </si>
  <si>
    <t>1709.060059</t>
  </si>
  <si>
    <t>1818.609985</t>
  </si>
  <si>
    <t>1783.979980</t>
  </si>
  <si>
    <t>1876.709961</t>
  </si>
  <si>
    <t>1892.719971</t>
  </si>
  <si>
    <t>1775.310059</t>
  </si>
  <si>
    <t>1898.339966</t>
  </si>
  <si>
    <t>1767.579956</t>
  </si>
  <si>
    <t>1877.709961</t>
  </si>
  <si>
    <t>1914.229980</t>
  </si>
  <si>
    <t>1895.949951</t>
  </si>
  <si>
    <t>2158.040039</t>
  </si>
  <si>
    <t>2223.989990</t>
  </si>
  <si>
    <t>2304.689941</t>
  </si>
  <si>
    <t>2286.360107</t>
  </si>
  <si>
    <t>2291.570068</t>
  </si>
  <si>
    <t>2418.530029</t>
  </si>
  <si>
    <t>2572.070068</t>
  </si>
  <si>
    <t>2662.949951</t>
  </si>
  <si>
    <t>2596.280029</t>
  </si>
  <si>
    <t>1993.530029</t>
  </si>
  <si>
    <t>1833.550049</t>
  </si>
  <si>
    <t>1938.829956</t>
  </si>
  <si>
    <t>1958.219971</t>
  </si>
  <si>
    <t>2071.620117</t>
  </si>
  <si>
    <t>1988.060059</t>
  </si>
  <si>
    <t>2032.329956</t>
  </si>
  <si>
    <t>2031.119995</t>
  </si>
  <si>
    <t>2141.709961</t>
  </si>
  <si>
    <t>2128.729980</t>
  </si>
  <si>
    <t>2031.650024</t>
  </si>
  <si>
    <t>2112.909912</t>
  </si>
  <si>
    <t>2148.649902</t>
  </si>
  <si>
    <t>2114.510010</t>
  </si>
  <si>
    <t>2168.570068</t>
  </si>
  <si>
    <t>2342.320068</t>
  </si>
  <si>
    <t>2258.389893</t>
  </si>
  <si>
    <t>2293.620117</t>
  </si>
  <si>
    <t>2418.800049</t>
  </si>
  <si>
    <t>2480.149902</t>
  </si>
  <si>
    <t>2440.060059</t>
  </si>
  <si>
    <t>2660.659912</t>
  </si>
  <si>
    <t>2737.270020</t>
  </si>
  <si>
    <t>2692.820068</t>
  </si>
  <si>
    <t>2645.080078</t>
  </si>
  <si>
    <t>2706.270020</t>
  </si>
  <si>
    <t>2753.199951</t>
  </si>
  <si>
    <t>2590.540039</t>
  </si>
  <si>
    <t>2627.250000</t>
  </si>
  <si>
    <t>2707.209961</t>
  </si>
  <si>
    <t>2656.760010</t>
  </si>
  <si>
    <t>2876.659912</t>
  </si>
  <si>
    <t>2880.689941</t>
  </si>
  <si>
    <t>2905.199951</t>
  </si>
  <si>
    <t>2614.360107</t>
  </si>
  <si>
    <t>2452.479980</t>
  </si>
  <si>
    <t>2442.330078</t>
  </si>
  <si>
    <t>2559.649902</t>
  </si>
  <si>
    <t>2633.659912</t>
  </si>
  <si>
    <t>2736.389893</t>
  </si>
  <si>
    <t>2882.179932</t>
  </si>
  <si>
    <t>2913.860107</t>
  </si>
  <si>
    <t>2887.870117</t>
  </si>
  <si>
    <t>3027.500000</t>
  </si>
  <si>
    <t>2906.750000</t>
  </si>
  <si>
    <t>3024.820068</t>
  </si>
  <si>
    <t>3043.600098</t>
  </si>
  <si>
    <t>3016.770020</t>
  </si>
  <si>
    <t>3069.100098</t>
  </si>
  <si>
    <t>2894.679932</t>
  </si>
  <si>
    <t>3168.830078</t>
  </si>
  <si>
    <t>3223.399902</t>
  </si>
  <si>
    <t>3267.699951</t>
  </si>
  <si>
    <t>3235.500000</t>
  </si>
  <si>
    <t>3359.100098</t>
  </si>
  <si>
    <t>3396.899902</t>
  </si>
  <si>
    <t>3318.500000</t>
  </si>
  <si>
    <t>3393.800049</t>
  </si>
  <si>
    <t>3257.399902</t>
  </si>
  <si>
    <t>3271.699951</t>
  </si>
  <si>
    <t>3226.300049</t>
  </si>
  <si>
    <t>3305.199951</t>
  </si>
  <si>
    <t>3301.110107</t>
  </si>
  <si>
    <t>3310.000000</t>
  </si>
  <si>
    <t>3370.810059</t>
  </si>
  <si>
    <t>3435.110107</t>
  </si>
  <si>
    <t>3427.550049</t>
  </si>
  <si>
    <t>3527.429932</t>
  </si>
  <si>
    <t>3516.080078</t>
  </si>
  <si>
    <t>3539.469971</t>
  </si>
  <si>
    <t>3651.250000</t>
  </si>
  <si>
    <t>3555.120117</t>
  </si>
  <si>
    <t>3680.590088</t>
  </si>
  <si>
    <t>3683.949951</t>
  </si>
  <si>
    <t>3754.090088</t>
  </si>
  <si>
    <t>3978.360107</t>
  </si>
  <si>
    <t>3832.020020</t>
  </si>
  <si>
    <t>3635.959961</t>
  </si>
  <si>
    <t>3681.689941</t>
  </si>
  <si>
    <t>3758.370117</t>
  </si>
  <si>
    <t>3624.959961</t>
  </si>
  <si>
    <t>3764.500000</t>
  </si>
  <si>
    <t>3913.419922</t>
  </si>
  <si>
    <t>3843.189941</t>
  </si>
  <si>
    <t>3908.120117</t>
  </si>
  <si>
    <t>3739.229980</t>
  </si>
  <si>
    <t>3834.439941</t>
  </si>
  <si>
    <t>3843.860107</t>
  </si>
  <si>
    <t>4011.050049</t>
  </si>
  <si>
    <t>4157.689941</t>
  </si>
  <si>
    <t>4321.270020</t>
  </si>
  <si>
    <t>4465.140137</t>
  </si>
  <si>
    <t>4556.100098</t>
  </si>
  <si>
    <t>4708.470215</t>
  </si>
  <si>
    <t>4610.560059</t>
  </si>
  <si>
    <t>4789.080078</t>
  </si>
  <si>
    <t>4755.479980</t>
  </si>
  <si>
    <t>5074.490234</t>
  </si>
  <si>
    <t>5117.120117</t>
  </si>
  <si>
    <t>5395.299805</t>
  </si>
  <si>
    <t>5485.620117</t>
  </si>
  <si>
    <t>5587.140137</t>
  </si>
  <si>
    <t>5569.080078</t>
  </si>
  <si>
    <t>5643.180176</t>
  </si>
  <si>
    <t>5654.629883</t>
  </si>
  <si>
    <t>5528.910156</t>
  </si>
  <si>
    <t>5616.209961</t>
  </si>
  <si>
    <t>5882.169922</t>
  </si>
  <si>
    <t>6029.379883</t>
  </si>
  <si>
    <t>6521.700195</t>
  </si>
  <si>
    <t>6448.270020</t>
  </si>
  <si>
    <t>6813.089844</t>
  </si>
  <si>
    <t>6877.740234</t>
  </si>
  <si>
    <t>6583.479980</t>
  </si>
  <si>
    <t>7009.000000</t>
  </si>
  <si>
    <t>7331.000000</t>
  </si>
  <si>
    <t>7672.799805</t>
  </si>
  <si>
    <t>8222.599609</t>
  </si>
  <si>
    <t>7622.399902</t>
  </si>
  <si>
    <t>7945.299805</t>
  </si>
  <si>
    <t>7442.100098</t>
  </si>
  <si>
    <t>7823.100098</t>
  </si>
  <si>
    <t>7908.299805</t>
  </si>
  <si>
    <t>7906.500000</t>
  </si>
  <si>
    <t>8545.719727</t>
  </si>
  <si>
    <t>8799.809570</t>
  </si>
  <si>
    <t>9063.370117</t>
  </si>
  <si>
    <t>8899.950195</t>
  </si>
  <si>
    <t>8952.019531</t>
  </si>
  <si>
    <t>8883.290039</t>
  </si>
  <si>
    <t>7539.069824</t>
  </si>
  <si>
    <t>7842.620117</t>
  </si>
  <si>
    <t>8592.099609</t>
  </si>
  <si>
    <t>9116.549805</t>
  </si>
  <si>
    <t>9181.429688</t>
  </si>
  <si>
    <t>9358.830078</t>
  </si>
  <si>
    <t>9306.580078</t>
  </si>
  <si>
    <t>9786.160156</t>
  </si>
  <si>
    <t>10789.040039</t>
  </si>
  <si>
    <t>10559.740234</t>
  </si>
  <si>
    <t>10970.799805</t>
  </si>
  <si>
    <t>10655.150391</t>
  </si>
  <si>
    <t>10829.280273</t>
  </si>
  <si>
    <t>10336.950195</t>
  </si>
  <si>
    <t>10729.860352</t>
  </si>
  <si>
    <t>10877.809570</t>
  </si>
  <si>
    <t>11497.120117</t>
  </si>
  <si>
    <t>10940.530273</t>
  </si>
  <si>
    <t>10128.309570</t>
  </si>
  <si>
    <t>10921.919922</t>
  </si>
  <si>
    <t>10733.910156</t>
  </si>
  <si>
    <t>10522.330078</t>
  </si>
  <si>
    <t>10447.889648</t>
  </si>
  <si>
    <t>10521.980469</t>
  </si>
  <si>
    <t>11215.099609</t>
  </si>
  <si>
    <t>10650.919922</t>
  </si>
  <si>
    <t>10971.139648</t>
  </si>
  <si>
    <t>10414.490234</t>
  </si>
  <si>
    <t>10787.990234</t>
  </si>
  <si>
    <t>10887.360352</t>
  </si>
  <si>
    <t>10495.280273</t>
  </si>
  <si>
    <t>9878.780273</t>
  </si>
  <si>
    <t>10734.969727</t>
  </si>
  <si>
    <t>10911.940430</t>
  </si>
  <si>
    <t>10502.400391</t>
  </si>
  <si>
    <t>10522.809570</t>
  </si>
  <si>
    <t>9949.750000</t>
  </si>
  <si>
    <t>8847.559570</t>
  </si>
  <si>
    <t>9075.139648</t>
  </si>
  <si>
    <t>9851.559570</t>
  </si>
  <si>
    <t>10021.570313</t>
  </si>
  <si>
    <t>9920.000000</t>
  </si>
  <si>
    <t>10106.129883</t>
  </si>
  <si>
    <t>10403.940430</t>
  </si>
  <si>
    <t>9946.219727</t>
  </si>
  <si>
    <t>9925.250000</t>
  </si>
  <si>
    <t>9243.259766</t>
  </si>
  <si>
    <t>8736.589844</t>
  </si>
  <si>
    <t>8663.500000</t>
  </si>
  <si>
    <t>7591.930176</t>
  </si>
  <si>
    <t>8397.030273</t>
  </si>
  <si>
    <t>8896.089844</t>
  </si>
  <si>
    <t>8341.629883</t>
  </si>
  <si>
    <t>8053.810059</t>
  </si>
  <si>
    <t>7891.080078</t>
  </si>
  <si>
    <t>7992.129883</t>
  </si>
  <si>
    <t>8480.089844</t>
  </si>
  <si>
    <t>8850.259766</t>
  </si>
  <si>
    <t>8985.440430</t>
  </si>
  <si>
    <t>9233.799805</t>
  </si>
  <si>
    <t>9415.820313</t>
  </si>
  <si>
    <t>9275.059570</t>
  </si>
  <si>
    <t>9801.120117</t>
  </si>
  <si>
    <t>9782.459961</t>
  </si>
  <si>
    <t>10453.919922</t>
  </si>
  <si>
    <t>10488.070313</t>
  </si>
  <si>
    <t>10583.919922</t>
  </si>
  <si>
    <t>10357.700195</t>
  </si>
  <si>
    <t>10225.570313</t>
  </si>
  <si>
    <t>10188.450195</t>
  </si>
  <si>
    <t>10435.480469</t>
  </si>
  <si>
    <t>10139.709961</t>
  </si>
  <si>
    <t>10173.919922</t>
  </si>
  <si>
    <t>10080.269531</t>
  </si>
  <si>
    <t>10027.469727</t>
  </si>
  <si>
    <t>10428.019531</t>
  </si>
  <si>
    <t>10783.009766</t>
  </si>
  <si>
    <t>10489.940430</t>
  </si>
  <si>
    <t>10766.230469</t>
  </si>
  <si>
    <t>10503.759766</t>
  </si>
  <si>
    <t>10192.509766</t>
  </si>
  <si>
    <t>10467.480469</t>
  </si>
  <si>
    <t>10274.969727</t>
  </si>
  <si>
    <t>10640.910156</t>
  </si>
  <si>
    <t>10481.599609</t>
  </si>
  <si>
    <t>10568.700195</t>
  </si>
  <si>
    <t>10440.070313</t>
  </si>
  <si>
    <t>10805.870117</t>
  </si>
  <si>
    <t>10717.500000</t>
  </si>
  <si>
    <t>10864.860352</t>
  </si>
  <si>
    <t>10993.410156</t>
  </si>
  <si>
    <t>11109.320313</t>
  </si>
  <si>
    <t>11367.139648</t>
  </si>
  <si>
    <t>11168.309570</t>
  </si>
  <si>
    <t>11150.219727</t>
  </si>
  <si>
    <t>11185.679688</t>
  </si>
  <si>
    <t>11381.150391</t>
  </si>
  <si>
    <t>11679.070313</t>
  </si>
  <si>
    <t>12080.730469</t>
  </si>
  <si>
    <t>12221.929688</t>
  </si>
  <si>
    <t>12463.150391</t>
  </si>
  <si>
    <t>12621.690430</t>
  </si>
  <si>
    <t>12268.629883</t>
  </si>
  <si>
    <t>12354.349609</t>
  </si>
  <si>
    <t>13062.910156</t>
  </si>
  <si>
    <t>13627.639648</t>
  </si>
  <si>
    <t>13408.620117</t>
  </si>
  <si>
    <t>13211.990234</t>
  </si>
  <si>
    <t>13357.740234</t>
  </si>
  <si>
    <t>13895.629883</t>
  </si>
  <si>
    <t>13930.009766</t>
  </si>
  <si>
    <t>13371.719727</t>
  </si>
  <si>
    <t>13264.820313</t>
  </si>
  <si>
    <t>12650.360352</t>
  </si>
  <si>
    <t>12266.389648</t>
  </si>
  <si>
    <t>12262.889648</t>
  </si>
  <si>
    <t>12820.129883</t>
  </si>
  <si>
    <t>12638.320313</t>
  </si>
  <si>
    <t>11350.009766</t>
  </si>
  <si>
    <t>11378.019531</t>
  </si>
  <si>
    <t>11543.959961</t>
  </si>
  <si>
    <t>10850.660156</t>
  </si>
  <si>
    <t>9325.009766</t>
  </si>
  <si>
    <t>8829.040039</t>
  </si>
  <si>
    <t>8776.389648</t>
  </si>
  <si>
    <t>8000.859863</t>
  </si>
  <si>
    <t>7062.930176</t>
  </si>
  <si>
    <t>7608.919922</t>
  </si>
  <si>
    <t>8168.120117</t>
  </si>
  <si>
    <t>8500.330078</t>
  </si>
  <si>
    <t>8447.000000</t>
  </si>
  <si>
    <t>9171.610352</t>
  </si>
  <si>
    <t>9496.280273</t>
  </si>
  <si>
    <t>9712.280273</t>
  </si>
  <si>
    <t>9712.730469</t>
  </si>
  <si>
    <t>10344.839844</t>
  </si>
  <si>
    <t>10428.049805</t>
  </si>
  <si>
    <t>10067.330078</t>
  </si>
  <si>
    <t>10325.259766</t>
  </si>
  <si>
    <t>10856.629883</t>
  </si>
  <si>
    <t>11008.610352</t>
  </si>
  <si>
    <t>10136.629883</t>
  </si>
  <si>
    <t>9774.019531</t>
  </si>
  <si>
    <t>10465.940430</t>
  </si>
  <si>
    <t>10014.719727</t>
  </si>
  <si>
    <t>10788.049805</t>
  </si>
  <si>
    <t>11118.490234</t>
  </si>
  <si>
    <t>11006.019531</t>
  </si>
  <si>
    <t>11577.509766</t>
  </si>
  <si>
    <t>11891.929688</t>
  </si>
  <si>
    <t>12226.339844</t>
  </si>
  <si>
    <t>12319.730469</t>
  </si>
  <si>
    <t>12810.540039</t>
  </si>
  <si>
    <t>12569.790039</t>
  </si>
  <si>
    <t>12414.339844</t>
  </si>
  <si>
    <t>12143.240234</t>
  </si>
  <si>
    <t>11613.530273</t>
  </si>
  <si>
    <t>10913.379883</t>
  </si>
  <si>
    <t>11955.009766</t>
  </si>
  <si>
    <t>12045.679688</t>
  </si>
  <si>
    <t>12217.559570</t>
  </si>
  <si>
    <t>12632.910156</t>
  </si>
  <si>
    <t>12952.070313</t>
  </si>
  <si>
    <t>13212.040039</t>
  </si>
  <si>
    <t>13213.629883</t>
  </si>
  <si>
    <t>12393.450195</t>
  </si>
  <si>
    <t>12880.089844</t>
  </si>
  <si>
    <t>13008.679688</t>
  </si>
  <si>
    <t>13090.839844</t>
  </si>
  <si>
    <t>13437.129883</t>
  </si>
  <si>
    <t>13096.459961</t>
  </si>
  <si>
    <t>13025.580078</t>
  </si>
  <si>
    <t>13104.139648</t>
  </si>
  <si>
    <t>13860.580078</t>
  </si>
  <si>
    <t>14054.490234</t>
  </si>
  <si>
    <t>14578.540039</t>
  </si>
  <si>
    <t>14839.799805</t>
  </si>
  <si>
    <t>15115.570313</t>
  </si>
  <si>
    <t>14909.599609</t>
  </si>
  <si>
    <t>15499.540039</t>
  </si>
  <si>
    <t>14810.309570</t>
  </si>
  <si>
    <t>15129.669922</t>
  </si>
  <si>
    <t>15545.750000</t>
  </si>
  <si>
    <t>16086.410156</t>
  </si>
  <si>
    <t>16576.660156</t>
  </si>
  <si>
    <t>15698.849609</t>
  </si>
  <si>
    <t>16321.709961</t>
  </si>
  <si>
    <t>16457.660156</t>
  </si>
  <si>
    <t>16580.839844</t>
  </si>
  <si>
    <t>16717.169922</t>
  </si>
  <si>
    <t>16826.599609</t>
  </si>
  <si>
    <t>16563.300781</t>
  </si>
  <si>
    <t>17098.449219</t>
  </si>
  <si>
    <t>17042.900391</t>
  </si>
  <si>
    <t>17390.519531</t>
  </si>
  <si>
    <t>17828.240234</t>
  </si>
  <si>
    <t>17823.070313</t>
  </si>
  <si>
    <t>17164.949219</t>
  </si>
  <si>
    <t>18132.699219</t>
  </si>
  <si>
    <t>17776.119141</t>
  </si>
  <si>
    <t>17840.519531</t>
  </si>
  <si>
    <t>18010.679688</t>
  </si>
  <si>
    <t>17619.509766</t>
  </si>
  <si>
    <t>17689.859375</t>
  </si>
  <si>
    <t>16528.029297</t>
  </si>
  <si>
    <t>16284.700195</t>
  </si>
  <si>
    <t>17663.539063</t>
  </si>
  <si>
    <t>17719.919922</t>
  </si>
  <si>
    <t>17425.029297</t>
  </si>
  <si>
    <t>16466.300781</t>
  </si>
  <si>
    <t>16516.500000</t>
  </si>
  <si>
    <t>17685.089844</t>
  </si>
  <si>
    <t>17773.640625</t>
  </si>
  <si>
    <t>17787.199219</t>
  </si>
  <si>
    <t>17929.990234</t>
  </si>
  <si>
    <t>18432.240234</t>
  </si>
  <si>
    <t>18400.880859</t>
  </si>
  <si>
    <t>18308.150391</t>
  </si>
  <si>
    <t>18142.419922</t>
  </si>
  <si>
    <t>19123.580078</t>
  </si>
  <si>
    <t>19762.599609</t>
  </si>
  <si>
    <t>19864.089844</t>
  </si>
  <si>
    <t>20812.240234</t>
  </si>
  <si>
    <t>20663.220703</t>
  </si>
  <si>
    <t>20940.509766</t>
  </si>
  <si>
    <t>21008.650391</t>
  </si>
  <si>
    <t>21349.630859</t>
  </si>
  <si>
    <t>21891.119141</t>
  </si>
  <si>
    <t>21948.099609</t>
  </si>
  <si>
    <t>22405.089844</t>
  </si>
  <si>
    <t>23377.240234</t>
  </si>
  <si>
    <t>24272.349609</t>
  </si>
  <si>
    <t>24719.220703</t>
  </si>
  <si>
    <t>26149.390625</t>
  </si>
  <si>
    <t>25029.199219</t>
  </si>
  <si>
    <t>24103.109375</t>
  </si>
  <si>
    <t>24163.150391</t>
  </si>
  <si>
    <t>24415.839844</t>
  </si>
  <si>
    <t>24271.410156</t>
  </si>
  <si>
    <t>25415.189453</t>
  </si>
  <si>
    <t>25964.820313</t>
  </si>
  <si>
    <t>26458.310547</t>
  </si>
  <si>
    <t>25115.759766</t>
  </si>
  <si>
    <t>25538.460938</t>
  </si>
  <si>
    <t>23327.460938</t>
  </si>
  <si>
    <t>24999.669922</t>
  </si>
  <si>
    <t>25916.000000</t>
  </si>
  <si>
    <t>25928.679688</t>
  </si>
  <si>
    <t>26592.910156</t>
  </si>
  <si>
    <t>24815.039063</t>
  </si>
  <si>
    <t>26599.960938</t>
  </si>
  <si>
    <t>26864.269531</t>
  </si>
  <si>
    <t>26403.279297</t>
  </si>
  <si>
    <t>26916.830078</t>
  </si>
  <si>
    <t>27046.230469</t>
  </si>
  <si>
    <t>28051.410156</t>
  </si>
  <si>
    <t>28538.439453</t>
  </si>
  <si>
    <t>28256.029297</t>
  </si>
  <si>
    <t>25409.359375</t>
  </si>
  <si>
    <t>21917.160156</t>
  </si>
  <si>
    <t>24345.720703</t>
  </si>
  <si>
    <t>25383.109375</t>
  </si>
  <si>
    <t>25812.880859</t>
  </si>
  <si>
    <t>26428.320313</t>
  </si>
  <si>
    <t>Case 1 - monthly saving missing</t>
  </si>
  <si>
    <t>Case 2 - number of months missing</t>
  </si>
  <si>
    <t>Case 3 - number of retirement months missing</t>
  </si>
  <si>
    <t>Working period</t>
  </si>
  <si>
    <t># of months</t>
  </si>
  <si>
    <t>Montly saving</t>
  </si>
  <si>
    <t>accumulated capital</t>
  </si>
  <si>
    <t>Retirement</t>
  </si>
  <si>
    <t>Montly withdrawal</t>
  </si>
  <si>
    <t>SnP</t>
  </si>
  <si>
    <t>Case 4 - monthly withdrawal missing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</si>
</sst>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#,##0.00\ &quot;Kč&quot;;[Red]\-#,##0.00\ &quot;Kč&quot;"/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9" fontId="0" fillId="0" borderId="0" xfId="1" applyFont="1"/>
    <xf numFmtId="0" fontId="3" fillId="0" borderId="0" xfId="2"/>
    <xf numFmtId="2" fontId="0" fillId="0" borderId="0" xfId="0" applyNumberFormat="1"/>
    <xf numFmtId="0" fontId="0" fillId="0" borderId="0" xfId="0" applyAlignment="1">
      <alignment horizontal="left"/>
    </xf>
    <xf numFmtId="10" fontId="0" fillId="0" borderId="0" xfId="0" applyNumberFormat="1"/>
    <xf numFmtId="10" fontId="0" fillId="0" borderId="0" xfId="1" applyNumberFormat="1" applyFont="1"/>
    <xf numFmtId="0" fontId="2" fillId="0" borderId="0" xfId="0" applyFont="1" applyAlignment="1">
      <alignment horizontal="center"/>
    </xf>
    <xf numFmtId="8" fontId="0" fillId="0" borderId="0" xfId="0" applyNumberFormat="1"/>
    <xf numFmtId="9" fontId="0" fillId="0" borderId="0" xfId="0" applyNumberFormat="1"/>
    <xf numFmtId="164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60960</xdr:rowOff>
        </xdr:from>
        <xdr:to>
          <xdr:col>4</xdr:col>
          <xdr:colOff>480060</xdr:colOff>
          <xdr:row>6</xdr:row>
          <xdr:rowOff>76200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</xdr:row>
          <xdr:rowOff>152400</xdr:rowOff>
        </xdr:from>
        <xdr:to>
          <xdr:col>9</xdr:col>
          <xdr:colOff>213360</xdr:colOff>
          <xdr:row>5</xdr:row>
          <xdr:rowOff>106680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query1.finance.yahoo.com/v7/finance/download/%5EGSPC?period1=489024000&amp;period2=1593648000&amp;interval=1mo&amp;events=history" TargetMode="External"/><Relationship Id="rId1" Type="http://schemas.openxmlformats.org/officeDocument/2006/relationships/hyperlink" Target="https://query1.finance.yahoo.com/v7/finance/download/%5EDJI?period1=489024000&amp;period2=1596153600&amp;interval=1mo&amp;events=histor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A348A-E1ED-4994-A334-D8EE510772E9}">
  <sheetPr codeName="Sheet1"/>
  <dimension ref="A1:Q2"/>
  <sheetViews>
    <sheetView workbookViewId="0">
      <selection activeCell="D30" sqref="D30"/>
    </sheetView>
  </sheetViews>
  <sheetFormatPr defaultRowHeight="14.4" x14ac:dyDescent="0.3"/>
  <sheetData>
    <row r="1" spans="1:17" x14ac:dyDescent="0.3">
      <c r="A1" s="8" t="s">
        <v>18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</sheetData>
  <mergeCells count="1">
    <mergeCell ref="A1:Q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0129-178C-4CD9-AA08-CC634FE6D8DA}">
  <sheetPr codeName="Sheet4"/>
  <dimension ref="A1"/>
  <sheetViews>
    <sheetView workbookViewId="0">
      <selection activeCell="F24" sqref="F24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C7AB-4F16-4BCB-AC79-17E507DDC100}">
  <sheetPr codeName="Sheet2"/>
  <dimension ref="A1"/>
  <sheetViews>
    <sheetView workbookViewId="0">
      <selection activeCell="I14" sqref="I14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60960</xdr:colOff>
                <xdr:row>2</xdr:row>
                <xdr:rowOff>60960</xdr:rowOff>
              </from>
              <to>
                <xdr:col>4</xdr:col>
                <xdr:colOff>480060</xdr:colOff>
                <xdr:row>6</xdr:row>
                <xdr:rowOff>76200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5</xdr:col>
                <xdr:colOff>457200</xdr:colOff>
                <xdr:row>2</xdr:row>
                <xdr:rowOff>152400</xdr:rowOff>
              </from>
              <to>
                <xdr:col>9</xdr:col>
                <xdr:colOff>213360</xdr:colOff>
                <xdr:row>5</xdr:row>
                <xdr:rowOff>106680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061CB-8C21-4004-BC76-CA2830B0E2AA}">
  <sheetPr codeName="Sheet3"/>
  <dimension ref="A1:B307"/>
  <sheetViews>
    <sheetView workbookViewId="0">
      <selection activeCell="B3" sqref="B3"/>
    </sheetView>
  </sheetViews>
  <sheetFormatPr defaultRowHeight="14.4" x14ac:dyDescent="0.3"/>
  <cols>
    <col min="1" max="1" width="47.88671875" customWidth="1"/>
    <col min="2" max="2" width="32.5546875" customWidth="1"/>
  </cols>
  <sheetData>
    <row r="1" spans="1:2" x14ac:dyDescent="0.3">
      <c r="A1" t="s">
        <v>1</v>
      </c>
      <c r="B1" t="s">
        <v>0</v>
      </c>
    </row>
    <row r="2" spans="1:2" x14ac:dyDescent="0.3">
      <c r="A2" s="1" t="s">
        <v>879</v>
      </c>
      <c r="B2" s="3" t="s">
        <v>882</v>
      </c>
    </row>
    <row r="3" spans="1:2" x14ac:dyDescent="0.3">
      <c r="A3" s="1" t="s">
        <v>880</v>
      </c>
      <c r="B3" s="3" t="s">
        <v>19</v>
      </c>
    </row>
    <row r="4" spans="1:2" x14ac:dyDescent="0.3">
      <c r="A4" s="1"/>
    </row>
    <row r="5" spans="1:2" x14ac:dyDescent="0.3">
      <c r="A5" s="1"/>
    </row>
    <row r="6" spans="1:2" x14ac:dyDescent="0.3">
      <c r="A6" s="1"/>
    </row>
    <row r="7" spans="1:2" x14ac:dyDescent="0.3">
      <c r="A7" s="1"/>
    </row>
    <row r="8" spans="1:2" x14ac:dyDescent="0.3">
      <c r="A8" s="1"/>
    </row>
    <row r="9" spans="1:2" x14ac:dyDescent="0.3">
      <c r="A9" s="1"/>
    </row>
    <row r="10" spans="1:2" x14ac:dyDescent="0.3">
      <c r="A10" s="1"/>
    </row>
    <row r="11" spans="1:2" x14ac:dyDescent="0.3">
      <c r="A11" s="1"/>
    </row>
    <row r="12" spans="1:2" x14ac:dyDescent="0.3">
      <c r="A12" s="1"/>
    </row>
    <row r="13" spans="1:2" x14ac:dyDescent="0.3">
      <c r="A13" s="1"/>
    </row>
    <row r="14" spans="1:2" x14ac:dyDescent="0.3">
      <c r="A14" s="1"/>
    </row>
    <row r="15" spans="1:2" x14ac:dyDescent="0.3">
      <c r="A15" s="1"/>
    </row>
    <row r="16" spans="1:2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</sheetData>
  <hyperlinks>
    <hyperlink ref="B3" r:id="rId1" xr:uid="{1FBFD298-08D7-48E6-AB20-54A1692CC07E}"/>
    <hyperlink ref="B2" r:id="rId2" xr:uid="{B2D4A8A8-81A2-4AE4-A67E-B20FBDE168A6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7D6A2-0BD2-4123-A411-2F6A060C83BB}">
  <sheetPr codeName="Sheet13"/>
  <dimension ref="A1:M422"/>
  <sheetViews>
    <sheetView tabSelected="1" workbookViewId="0">
      <selection activeCell="J15" sqref="J15"/>
    </sheetView>
  </sheetViews>
  <sheetFormatPr defaultRowHeight="14.4" x14ac:dyDescent="0.3"/>
  <cols>
    <col min="11" max="11" width="10.33203125" bestFit="1" customWidth="1"/>
    <col min="12" max="12" width="12.5546875" bestFit="1" customWidth="1"/>
  </cols>
  <sheetData>
    <row r="1" spans="1:13" x14ac:dyDescent="0.3">
      <c r="A1" t="s">
        <v>5</v>
      </c>
      <c r="J1" t="s">
        <v>2</v>
      </c>
      <c r="K1" t="s">
        <v>6</v>
      </c>
      <c r="L1" t="s">
        <v>7</v>
      </c>
      <c r="M1" t="s">
        <v>881</v>
      </c>
    </row>
    <row r="2" spans="1:13" x14ac:dyDescent="0.3">
      <c r="A2" t="s">
        <v>440</v>
      </c>
      <c r="J2" t="str">
        <f>TEXT(K2,"mmm")</f>
        <v>VII</v>
      </c>
      <c r="K2" s="1" t="str">
        <f>LEFT(A2,10)</f>
        <v>1985-07-01</v>
      </c>
      <c r="L2" t="s">
        <v>1301</v>
      </c>
    </row>
    <row r="3" spans="1:13" x14ac:dyDescent="0.3">
      <c r="A3" t="s">
        <v>441</v>
      </c>
      <c r="J3" t="str">
        <f t="shared" ref="J3:J66" si="0">TEXT(K3,"mmm")</f>
        <v>VIII</v>
      </c>
      <c r="K3" s="1" t="str">
        <f t="shared" ref="K3:K66" si="1">LEFT(A3,10)</f>
        <v>1985-08-01</v>
      </c>
      <c r="L3" t="s">
        <v>1302</v>
      </c>
      <c r="M3" s="7" t="e">
        <f>(L3/L2)-1</f>
        <v>#VALUE!</v>
      </c>
    </row>
    <row r="4" spans="1:13" x14ac:dyDescent="0.3">
      <c r="A4" t="s">
        <v>442</v>
      </c>
      <c r="J4" t="str">
        <f t="shared" si="0"/>
        <v>IX</v>
      </c>
      <c r="K4" s="1" t="str">
        <f t="shared" si="1"/>
        <v>1985-09-01</v>
      </c>
      <c r="L4" t="s">
        <v>1303</v>
      </c>
      <c r="M4" s="7" t="e">
        <f t="shared" ref="M4:M67" si="2">(L4/L3)-1</f>
        <v>#VALUE!</v>
      </c>
    </row>
    <row r="5" spans="1:13" x14ac:dyDescent="0.3">
      <c r="A5" t="s">
        <v>443</v>
      </c>
      <c r="J5" t="str">
        <f t="shared" si="0"/>
        <v>X</v>
      </c>
      <c r="K5" s="1" t="str">
        <f t="shared" si="1"/>
        <v>1985-10-01</v>
      </c>
      <c r="L5" t="s">
        <v>1304</v>
      </c>
      <c r="M5" s="7" t="e">
        <f t="shared" si="2"/>
        <v>#VALUE!</v>
      </c>
    </row>
    <row r="6" spans="1:13" x14ac:dyDescent="0.3">
      <c r="A6" t="s">
        <v>444</v>
      </c>
      <c r="J6" t="str">
        <f t="shared" si="0"/>
        <v>XI</v>
      </c>
      <c r="K6" s="1" t="str">
        <f t="shared" si="1"/>
        <v>1985-11-01</v>
      </c>
      <c r="L6" t="s">
        <v>1305</v>
      </c>
      <c r="M6" s="7" t="e">
        <f t="shared" si="2"/>
        <v>#VALUE!</v>
      </c>
    </row>
    <row r="7" spans="1:13" x14ac:dyDescent="0.3">
      <c r="A7" t="s">
        <v>445</v>
      </c>
      <c r="J7" t="str">
        <f t="shared" si="0"/>
        <v>XII</v>
      </c>
      <c r="K7" s="1" t="str">
        <f t="shared" si="1"/>
        <v>1985-12-01</v>
      </c>
      <c r="L7" t="s">
        <v>1306</v>
      </c>
      <c r="M7" s="7" t="e">
        <f t="shared" si="2"/>
        <v>#VALUE!</v>
      </c>
    </row>
    <row r="8" spans="1:13" x14ac:dyDescent="0.3">
      <c r="A8" t="s">
        <v>446</v>
      </c>
      <c r="J8" t="str">
        <f t="shared" si="0"/>
        <v>I</v>
      </c>
      <c r="K8" s="1" t="str">
        <f t="shared" si="1"/>
        <v>1986-01-01</v>
      </c>
      <c r="L8" t="s">
        <v>1307</v>
      </c>
      <c r="M8" s="7" t="e">
        <f t="shared" si="2"/>
        <v>#VALUE!</v>
      </c>
    </row>
    <row r="9" spans="1:13" x14ac:dyDescent="0.3">
      <c r="A9" t="s">
        <v>447</v>
      </c>
      <c r="J9" t="str">
        <f t="shared" si="0"/>
        <v>II</v>
      </c>
      <c r="K9" s="1" t="str">
        <f t="shared" si="1"/>
        <v>1986-02-01</v>
      </c>
      <c r="L9" t="s">
        <v>1308</v>
      </c>
      <c r="M9" s="7" t="e">
        <f t="shared" si="2"/>
        <v>#VALUE!</v>
      </c>
    </row>
    <row r="10" spans="1:13" x14ac:dyDescent="0.3">
      <c r="A10" t="s">
        <v>448</v>
      </c>
      <c r="J10" t="str">
        <f t="shared" si="0"/>
        <v>III</v>
      </c>
      <c r="K10" s="1" t="str">
        <f t="shared" si="1"/>
        <v>1986-03-01</v>
      </c>
      <c r="L10" t="s">
        <v>1309</v>
      </c>
      <c r="M10" s="7" t="e">
        <f t="shared" si="2"/>
        <v>#VALUE!</v>
      </c>
    </row>
    <row r="11" spans="1:13" x14ac:dyDescent="0.3">
      <c r="A11" t="s">
        <v>449</v>
      </c>
      <c r="J11" t="str">
        <f t="shared" si="0"/>
        <v>IV</v>
      </c>
      <c r="K11" s="1" t="str">
        <f t="shared" si="1"/>
        <v>1986-04-01</v>
      </c>
      <c r="L11" t="s">
        <v>1310</v>
      </c>
      <c r="M11" s="7" t="e">
        <f t="shared" si="2"/>
        <v>#VALUE!</v>
      </c>
    </row>
    <row r="12" spans="1:13" x14ac:dyDescent="0.3">
      <c r="A12" t="s">
        <v>450</v>
      </c>
      <c r="J12" t="str">
        <f t="shared" si="0"/>
        <v>V</v>
      </c>
      <c r="K12" s="1" t="str">
        <f t="shared" si="1"/>
        <v>1986-05-01</v>
      </c>
      <c r="L12" t="s">
        <v>1311</v>
      </c>
      <c r="M12" s="7" t="e">
        <f t="shared" si="2"/>
        <v>#VALUE!</v>
      </c>
    </row>
    <row r="13" spans="1:13" x14ac:dyDescent="0.3">
      <c r="A13" t="s">
        <v>451</v>
      </c>
      <c r="J13" t="str">
        <f t="shared" si="0"/>
        <v>VI</v>
      </c>
      <c r="K13" s="1" t="str">
        <f t="shared" si="1"/>
        <v>1986-06-01</v>
      </c>
      <c r="L13" t="s">
        <v>1312</v>
      </c>
      <c r="M13" s="7" t="e">
        <f t="shared" si="2"/>
        <v>#VALUE!</v>
      </c>
    </row>
    <row r="14" spans="1:13" x14ac:dyDescent="0.3">
      <c r="A14" t="s">
        <v>452</v>
      </c>
      <c r="J14" t="str">
        <f t="shared" si="0"/>
        <v>VII</v>
      </c>
      <c r="K14" s="1" t="str">
        <f t="shared" si="1"/>
        <v>1986-07-01</v>
      </c>
      <c r="L14" t="s">
        <v>1313</v>
      </c>
      <c r="M14" s="7" t="e">
        <f t="shared" si="2"/>
        <v>#VALUE!</v>
      </c>
    </row>
    <row r="15" spans="1:13" x14ac:dyDescent="0.3">
      <c r="A15" t="s">
        <v>453</v>
      </c>
      <c r="J15" t="str">
        <f t="shared" si="0"/>
        <v>VIII</v>
      </c>
      <c r="K15" s="1" t="str">
        <f t="shared" si="1"/>
        <v>1986-08-01</v>
      </c>
      <c r="L15" t="s">
        <v>1314</v>
      </c>
      <c r="M15" s="7" t="e">
        <f t="shared" si="2"/>
        <v>#VALUE!</v>
      </c>
    </row>
    <row r="16" spans="1:13" x14ac:dyDescent="0.3">
      <c r="A16" t="s">
        <v>454</v>
      </c>
      <c r="J16" t="str">
        <f t="shared" si="0"/>
        <v>IX</v>
      </c>
      <c r="K16" s="1" t="str">
        <f t="shared" si="1"/>
        <v>1986-09-01</v>
      </c>
      <c r="L16" t="s">
        <v>1315</v>
      </c>
      <c r="M16" s="7" t="e">
        <f t="shared" si="2"/>
        <v>#VALUE!</v>
      </c>
    </row>
    <row r="17" spans="1:13" x14ac:dyDescent="0.3">
      <c r="A17" t="s">
        <v>455</v>
      </c>
      <c r="J17" t="str">
        <f t="shared" si="0"/>
        <v>X</v>
      </c>
      <c r="K17" s="1" t="str">
        <f t="shared" si="1"/>
        <v>1986-10-01</v>
      </c>
      <c r="L17" t="s">
        <v>1316</v>
      </c>
      <c r="M17" s="7" t="e">
        <f t="shared" si="2"/>
        <v>#VALUE!</v>
      </c>
    </row>
    <row r="18" spans="1:13" x14ac:dyDescent="0.3">
      <c r="A18" t="s">
        <v>456</v>
      </c>
      <c r="J18" t="str">
        <f t="shared" si="0"/>
        <v>XI</v>
      </c>
      <c r="K18" s="1" t="str">
        <f t="shared" si="1"/>
        <v>1986-11-01</v>
      </c>
      <c r="L18" t="s">
        <v>1317</v>
      </c>
      <c r="M18" s="7" t="e">
        <f t="shared" si="2"/>
        <v>#VALUE!</v>
      </c>
    </row>
    <row r="19" spans="1:13" x14ac:dyDescent="0.3">
      <c r="A19" t="s">
        <v>457</v>
      </c>
      <c r="J19" t="str">
        <f t="shared" si="0"/>
        <v>XII</v>
      </c>
      <c r="K19" s="1" t="str">
        <f t="shared" si="1"/>
        <v>1986-12-01</v>
      </c>
      <c r="L19" t="s">
        <v>1318</v>
      </c>
      <c r="M19" s="7" t="e">
        <f t="shared" si="2"/>
        <v>#VALUE!</v>
      </c>
    </row>
    <row r="20" spans="1:13" x14ac:dyDescent="0.3">
      <c r="A20" t="s">
        <v>458</v>
      </c>
      <c r="J20" t="str">
        <f t="shared" si="0"/>
        <v>I</v>
      </c>
      <c r="K20" s="1" t="str">
        <f t="shared" si="1"/>
        <v>1987-01-01</v>
      </c>
      <c r="L20" t="s">
        <v>1319</v>
      </c>
      <c r="M20" s="7" t="e">
        <f t="shared" si="2"/>
        <v>#VALUE!</v>
      </c>
    </row>
    <row r="21" spans="1:13" x14ac:dyDescent="0.3">
      <c r="A21" t="s">
        <v>459</v>
      </c>
      <c r="J21" t="str">
        <f t="shared" si="0"/>
        <v>II</v>
      </c>
      <c r="K21" s="1" t="str">
        <f t="shared" si="1"/>
        <v>1987-02-01</v>
      </c>
      <c r="L21" t="s">
        <v>1320</v>
      </c>
      <c r="M21" s="7" t="e">
        <f t="shared" si="2"/>
        <v>#VALUE!</v>
      </c>
    </row>
    <row r="22" spans="1:13" x14ac:dyDescent="0.3">
      <c r="A22" t="s">
        <v>460</v>
      </c>
      <c r="J22" t="str">
        <f t="shared" si="0"/>
        <v>III</v>
      </c>
      <c r="K22" s="1" t="str">
        <f t="shared" si="1"/>
        <v>1987-03-01</v>
      </c>
      <c r="L22" t="s">
        <v>1321</v>
      </c>
      <c r="M22" s="7" t="e">
        <f t="shared" si="2"/>
        <v>#VALUE!</v>
      </c>
    </row>
    <row r="23" spans="1:13" x14ac:dyDescent="0.3">
      <c r="A23" t="s">
        <v>461</v>
      </c>
      <c r="J23" t="str">
        <f t="shared" si="0"/>
        <v>IV</v>
      </c>
      <c r="K23" s="1" t="str">
        <f t="shared" si="1"/>
        <v>1987-04-01</v>
      </c>
      <c r="L23" t="s">
        <v>1322</v>
      </c>
      <c r="M23" s="7" t="e">
        <f t="shared" si="2"/>
        <v>#VALUE!</v>
      </c>
    </row>
    <row r="24" spans="1:13" x14ac:dyDescent="0.3">
      <c r="A24" t="s">
        <v>462</v>
      </c>
      <c r="J24" t="str">
        <f t="shared" si="0"/>
        <v>V</v>
      </c>
      <c r="K24" s="1" t="str">
        <f t="shared" si="1"/>
        <v>1987-05-01</v>
      </c>
      <c r="L24" t="s">
        <v>1323</v>
      </c>
      <c r="M24" s="7" t="e">
        <f t="shared" si="2"/>
        <v>#VALUE!</v>
      </c>
    </row>
    <row r="25" spans="1:13" x14ac:dyDescent="0.3">
      <c r="A25" t="s">
        <v>463</v>
      </c>
      <c r="J25" t="str">
        <f t="shared" si="0"/>
        <v>VI</v>
      </c>
      <c r="K25" s="1" t="str">
        <f t="shared" si="1"/>
        <v>1987-06-01</v>
      </c>
      <c r="L25" t="s">
        <v>1324</v>
      </c>
      <c r="M25" s="7" t="e">
        <f t="shared" si="2"/>
        <v>#VALUE!</v>
      </c>
    </row>
    <row r="26" spans="1:13" x14ac:dyDescent="0.3">
      <c r="A26" t="s">
        <v>464</v>
      </c>
      <c r="J26" t="str">
        <f t="shared" si="0"/>
        <v>VII</v>
      </c>
      <c r="K26" s="1" t="str">
        <f t="shared" si="1"/>
        <v>1987-07-01</v>
      </c>
      <c r="L26" t="s">
        <v>1325</v>
      </c>
      <c r="M26" s="7" t="e">
        <f t="shared" si="2"/>
        <v>#VALUE!</v>
      </c>
    </row>
    <row r="27" spans="1:13" x14ac:dyDescent="0.3">
      <c r="A27" t="s">
        <v>465</v>
      </c>
      <c r="J27" t="str">
        <f t="shared" si="0"/>
        <v>VIII</v>
      </c>
      <c r="K27" s="1" t="str">
        <f t="shared" si="1"/>
        <v>1987-08-01</v>
      </c>
      <c r="L27" t="s">
        <v>1326</v>
      </c>
      <c r="M27" s="7" t="e">
        <f t="shared" si="2"/>
        <v>#VALUE!</v>
      </c>
    </row>
    <row r="28" spans="1:13" x14ac:dyDescent="0.3">
      <c r="A28" t="s">
        <v>466</v>
      </c>
      <c r="J28" t="str">
        <f t="shared" si="0"/>
        <v>IX</v>
      </c>
      <c r="K28" s="1" t="str">
        <f t="shared" si="1"/>
        <v>1987-09-01</v>
      </c>
      <c r="L28" t="s">
        <v>1327</v>
      </c>
      <c r="M28" s="7" t="e">
        <f t="shared" si="2"/>
        <v>#VALUE!</v>
      </c>
    </row>
    <row r="29" spans="1:13" x14ac:dyDescent="0.3">
      <c r="A29" t="s">
        <v>467</v>
      </c>
      <c r="J29" t="str">
        <f t="shared" si="0"/>
        <v>X</v>
      </c>
      <c r="K29" s="1" t="str">
        <f t="shared" si="1"/>
        <v>1987-10-01</v>
      </c>
      <c r="L29" t="s">
        <v>1328</v>
      </c>
      <c r="M29" s="7" t="e">
        <f t="shared" si="2"/>
        <v>#VALUE!</v>
      </c>
    </row>
    <row r="30" spans="1:13" x14ac:dyDescent="0.3">
      <c r="A30" t="s">
        <v>468</v>
      </c>
      <c r="J30" t="str">
        <f t="shared" si="0"/>
        <v>XI</v>
      </c>
      <c r="K30" s="1" t="str">
        <f t="shared" si="1"/>
        <v>1987-11-01</v>
      </c>
      <c r="L30" t="s">
        <v>1329</v>
      </c>
      <c r="M30" s="7" t="e">
        <f t="shared" si="2"/>
        <v>#VALUE!</v>
      </c>
    </row>
    <row r="31" spans="1:13" x14ac:dyDescent="0.3">
      <c r="A31" t="s">
        <v>469</v>
      </c>
      <c r="J31" t="str">
        <f t="shared" si="0"/>
        <v>XII</v>
      </c>
      <c r="K31" s="1" t="str">
        <f t="shared" si="1"/>
        <v>1987-12-01</v>
      </c>
      <c r="L31" t="s">
        <v>1330</v>
      </c>
      <c r="M31" s="7" t="e">
        <f t="shared" si="2"/>
        <v>#VALUE!</v>
      </c>
    </row>
    <row r="32" spans="1:13" x14ac:dyDescent="0.3">
      <c r="A32" t="s">
        <v>470</v>
      </c>
      <c r="J32" t="str">
        <f t="shared" si="0"/>
        <v>I</v>
      </c>
      <c r="K32" s="1" t="str">
        <f t="shared" si="1"/>
        <v>1988-01-01</v>
      </c>
      <c r="L32" t="s">
        <v>1331</v>
      </c>
      <c r="M32" s="7" t="e">
        <f t="shared" si="2"/>
        <v>#VALUE!</v>
      </c>
    </row>
    <row r="33" spans="1:13" x14ac:dyDescent="0.3">
      <c r="A33" t="s">
        <v>471</v>
      </c>
      <c r="J33" t="str">
        <f t="shared" si="0"/>
        <v>II</v>
      </c>
      <c r="K33" s="1" t="str">
        <f t="shared" si="1"/>
        <v>1988-02-01</v>
      </c>
      <c r="L33" t="s">
        <v>1332</v>
      </c>
      <c r="M33" s="7" t="e">
        <f t="shared" si="2"/>
        <v>#VALUE!</v>
      </c>
    </row>
    <row r="34" spans="1:13" x14ac:dyDescent="0.3">
      <c r="A34" t="s">
        <v>472</v>
      </c>
      <c r="J34" t="str">
        <f t="shared" si="0"/>
        <v>III</v>
      </c>
      <c r="K34" s="1" t="str">
        <f t="shared" si="1"/>
        <v>1988-03-01</v>
      </c>
      <c r="L34" t="s">
        <v>1333</v>
      </c>
      <c r="M34" s="7" t="e">
        <f t="shared" si="2"/>
        <v>#VALUE!</v>
      </c>
    </row>
    <row r="35" spans="1:13" x14ac:dyDescent="0.3">
      <c r="A35" t="s">
        <v>473</v>
      </c>
      <c r="J35" t="str">
        <f t="shared" si="0"/>
        <v>IV</v>
      </c>
      <c r="K35" s="1" t="str">
        <f t="shared" si="1"/>
        <v>1988-04-01</v>
      </c>
      <c r="L35" t="s">
        <v>1334</v>
      </c>
      <c r="M35" s="7" t="e">
        <f t="shared" si="2"/>
        <v>#VALUE!</v>
      </c>
    </row>
    <row r="36" spans="1:13" x14ac:dyDescent="0.3">
      <c r="A36" t="s">
        <v>474</v>
      </c>
      <c r="J36" t="str">
        <f t="shared" si="0"/>
        <v>V</v>
      </c>
      <c r="K36" s="1" t="str">
        <f t="shared" si="1"/>
        <v>1988-05-01</v>
      </c>
      <c r="L36" t="s">
        <v>1335</v>
      </c>
      <c r="M36" s="7" t="e">
        <f t="shared" si="2"/>
        <v>#VALUE!</v>
      </c>
    </row>
    <row r="37" spans="1:13" x14ac:dyDescent="0.3">
      <c r="A37" t="s">
        <v>475</v>
      </c>
      <c r="J37" t="str">
        <f t="shared" si="0"/>
        <v>VI</v>
      </c>
      <c r="K37" s="1" t="str">
        <f t="shared" si="1"/>
        <v>1988-06-01</v>
      </c>
      <c r="L37" t="s">
        <v>1336</v>
      </c>
      <c r="M37" s="7" t="e">
        <f t="shared" si="2"/>
        <v>#VALUE!</v>
      </c>
    </row>
    <row r="38" spans="1:13" x14ac:dyDescent="0.3">
      <c r="A38" t="s">
        <v>476</v>
      </c>
      <c r="J38" t="str">
        <f t="shared" si="0"/>
        <v>VII</v>
      </c>
      <c r="K38" s="1" t="str">
        <f t="shared" si="1"/>
        <v>1988-07-01</v>
      </c>
      <c r="L38" t="s">
        <v>1337</v>
      </c>
      <c r="M38" s="7" t="e">
        <f t="shared" si="2"/>
        <v>#VALUE!</v>
      </c>
    </row>
    <row r="39" spans="1:13" x14ac:dyDescent="0.3">
      <c r="A39" t="s">
        <v>477</v>
      </c>
      <c r="J39" t="str">
        <f t="shared" si="0"/>
        <v>VIII</v>
      </c>
      <c r="K39" s="1" t="str">
        <f t="shared" si="1"/>
        <v>1988-08-01</v>
      </c>
      <c r="L39" t="s">
        <v>1338</v>
      </c>
      <c r="M39" s="7" t="e">
        <f t="shared" si="2"/>
        <v>#VALUE!</v>
      </c>
    </row>
    <row r="40" spans="1:13" x14ac:dyDescent="0.3">
      <c r="A40" t="s">
        <v>478</v>
      </c>
      <c r="J40" t="str">
        <f t="shared" si="0"/>
        <v>IX</v>
      </c>
      <c r="K40" s="1" t="str">
        <f t="shared" si="1"/>
        <v>1988-09-01</v>
      </c>
      <c r="L40" t="s">
        <v>1339</v>
      </c>
      <c r="M40" s="7" t="e">
        <f t="shared" si="2"/>
        <v>#VALUE!</v>
      </c>
    </row>
    <row r="41" spans="1:13" x14ac:dyDescent="0.3">
      <c r="A41" t="s">
        <v>479</v>
      </c>
      <c r="J41" t="str">
        <f t="shared" si="0"/>
        <v>X</v>
      </c>
      <c r="K41" s="1" t="str">
        <f t="shared" si="1"/>
        <v>1988-10-01</v>
      </c>
      <c r="L41" t="s">
        <v>1340</v>
      </c>
      <c r="M41" s="7" t="e">
        <f t="shared" si="2"/>
        <v>#VALUE!</v>
      </c>
    </row>
    <row r="42" spans="1:13" x14ac:dyDescent="0.3">
      <c r="A42" t="s">
        <v>480</v>
      </c>
      <c r="J42" t="str">
        <f t="shared" si="0"/>
        <v>XI</v>
      </c>
      <c r="K42" s="1" t="str">
        <f t="shared" si="1"/>
        <v>1988-11-01</v>
      </c>
      <c r="L42" t="s">
        <v>1341</v>
      </c>
      <c r="M42" s="7" t="e">
        <f t="shared" si="2"/>
        <v>#VALUE!</v>
      </c>
    </row>
    <row r="43" spans="1:13" x14ac:dyDescent="0.3">
      <c r="A43" t="s">
        <v>481</v>
      </c>
      <c r="J43" t="str">
        <f t="shared" si="0"/>
        <v>XII</v>
      </c>
      <c r="K43" s="1" t="str">
        <f t="shared" si="1"/>
        <v>1988-12-01</v>
      </c>
      <c r="L43" t="s">
        <v>1342</v>
      </c>
      <c r="M43" s="7" t="e">
        <f t="shared" si="2"/>
        <v>#VALUE!</v>
      </c>
    </row>
    <row r="44" spans="1:13" x14ac:dyDescent="0.3">
      <c r="A44" t="s">
        <v>482</v>
      </c>
      <c r="J44" t="str">
        <f t="shared" si="0"/>
        <v>I</v>
      </c>
      <c r="K44" s="1" t="str">
        <f t="shared" si="1"/>
        <v>1989-01-01</v>
      </c>
      <c r="L44" t="s">
        <v>1343</v>
      </c>
      <c r="M44" s="7" t="e">
        <f t="shared" si="2"/>
        <v>#VALUE!</v>
      </c>
    </row>
    <row r="45" spans="1:13" x14ac:dyDescent="0.3">
      <c r="A45" t="s">
        <v>483</v>
      </c>
      <c r="J45" t="str">
        <f t="shared" si="0"/>
        <v>II</v>
      </c>
      <c r="K45" s="1" t="str">
        <f t="shared" si="1"/>
        <v>1989-02-01</v>
      </c>
      <c r="L45" t="s">
        <v>1344</v>
      </c>
      <c r="M45" s="7" t="e">
        <f t="shared" si="2"/>
        <v>#VALUE!</v>
      </c>
    </row>
    <row r="46" spans="1:13" x14ac:dyDescent="0.3">
      <c r="A46" t="s">
        <v>484</v>
      </c>
      <c r="J46" t="str">
        <f t="shared" si="0"/>
        <v>III</v>
      </c>
      <c r="K46" s="1" t="str">
        <f t="shared" si="1"/>
        <v>1989-03-01</v>
      </c>
      <c r="L46" t="s">
        <v>1345</v>
      </c>
      <c r="M46" s="7" t="e">
        <f t="shared" si="2"/>
        <v>#VALUE!</v>
      </c>
    </row>
    <row r="47" spans="1:13" x14ac:dyDescent="0.3">
      <c r="A47" t="s">
        <v>485</v>
      </c>
      <c r="J47" t="str">
        <f t="shared" si="0"/>
        <v>IV</v>
      </c>
      <c r="K47" s="1" t="str">
        <f t="shared" si="1"/>
        <v>1989-04-01</v>
      </c>
      <c r="L47" t="s">
        <v>1346</v>
      </c>
      <c r="M47" s="7" t="e">
        <f t="shared" si="2"/>
        <v>#VALUE!</v>
      </c>
    </row>
    <row r="48" spans="1:13" x14ac:dyDescent="0.3">
      <c r="A48" t="s">
        <v>486</v>
      </c>
      <c r="J48" t="str">
        <f t="shared" si="0"/>
        <v>V</v>
      </c>
      <c r="K48" s="1" t="str">
        <f t="shared" si="1"/>
        <v>1989-05-01</v>
      </c>
      <c r="L48" t="s">
        <v>1347</v>
      </c>
      <c r="M48" s="7" t="e">
        <f t="shared" si="2"/>
        <v>#VALUE!</v>
      </c>
    </row>
    <row r="49" spans="1:13" x14ac:dyDescent="0.3">
      <c r="A49" t="s">
        <v>487</v>
      </c>
      <c r="J49" t="str">
        <f t="shared" si="0"/>
        <v>VI</v>
      </c>
      <c r="K49" s="1" t="str">
        <f t="shared" si="1"/>
        <v>1989-06-01</v>
      </c>
      <c r="L49" t="s">
        <v>1348</v>
      </c>
      <c r="M49" s="7" t="e">
        <f t="shared" si="2"/>
        <v>#VALUE!</v>
      </c>
    </row>
    <row r="50" spans="1:13" x14ac:dyDescent="0.3">
      <c r="A50" t="s">
        <v>488</v>
      </c>
      <c r="J50" t="str">
        <f t="shared" si="0"/>
        <v>VII</v>
      </c>
      <c r="K50" s="1" t="str">
        <f t="shared" si="1"/>
        <v>1989-07-01</v>
      </c>
      <c r="L50" t="s">
        <v>1349</v>
      </c>
      <c r="M50" s="7" t="e">
        <f t="shared" si="2"/>
        <v>#VALUE!</v>
      </c>
    </row>
    <row r="51" spans="1:13" x14ac:dyDescent="0.3">
      <c r="A51" t="s">
        <v>489</v>
      </c>
      <c r="J51" t="str">
        <f t="shared" si="0"/>
        <v>VIII</v>
      </c>
      <c r="K51" s="1" t="str">
        <f t="shared" si="1"/>
        <v>1989-08-01</v>
      </c>
      <c r="L51" t="s">
        <v>1350</v>
      </c>
      <c r="M51" s="7" t="e">
        <f t="shared" si="2"/>
        <v>#VALUE!</v>
      </c>
    </row>
    <row r="52" spans="1:13" x14ac:dyDescent="0.3">
      <c r="A52" t="s">
        <v>490</v>
      </c>
      <c r="J52" t="str">
        <f t="shared" si="0"/>
        <v>IX</v>
      </c>
      <c r="K52" s="1" t="str">
        <f t="shared" si="1"/>
        <v>1989-09-01</v>
      </c>
      <c r="L52" t="s">
        <v>1351</v>
      </c>
      <c r="M52" s="7" t="e">
        <f t="shared" si="2"/>
        <v>#VALUE!</v>
      </c>
    </row>
    <row r="53" spans="1:13" x14ac:dyDescent="0.3">
      <c r="A53" t="s">
        <v>491</v>
      </c>
      <c r="J53" t="str">
        <f t="shared" si="0"/>
        <v>X</v>
      </c>
      <c r="K53" s="1" t="str">
        <f t="shared" si="1"/>
        <v>1989-10-01</v>
      </c>
      <c r="L53" t="s">
        <v>1352</v>
      </c>
      <c r="M53" s="7" t="e">
        <f t="shared" si="2"/>
        <v>#VALUE!</v>
      </c>
    </row>
    <row r="54" spans="1:13" x14ac:dyDescent="0.3">
      <c r="A54" t="s">
        <v>492</v>
      </c>
      <c r="J54" t="str">
        <f t="shared" si="0"/>
        <v>XI</v>
      </c>
      <c r="K54" s="1" t="str">
        <f t="shared" si="1"/>
        <v>1989-11-01</v>
      </c>
      <c r="L54" t="s">
        <v>1353</v>
      </c>
      <c r="M54" s="7" t="e">
        <f t="shared" si="2"/>
        <v>#VALUE!</v>
      </c>
    </row>
    <row r="55" spans="1:13" x14ac:dyDescent="0.3">
      <c r="A55" t="s">
        <v>493</v>
      </c>
      <c r="J55" t="str">
        <f t="shared" si="0"/>
        <v>XII</v>
      </c>
      <c r="K55" s="1" t="str">
        <f t="shared" si="1"/>
        <v>1989-12-01</v>
      </c>
      <c r="L55" t="s">
        <v>1354</v>
      </c>
      <c r="M55" s="7" t="e">
        <f t="shared" si="2"/>
        <v>#VALUE!</v>
      </c>
    </row>
    <row r="56" spans="1:13" x14ac:dyDescent="0.3">
      <c r="A56" t="s">
        <v>494</v>
      </c>
      <c r="J56" t="str">
        <f t="shared" si="0"/>
        <v>I</v>
      </c>
      <c r="K56" s="1" t="str">
        <f t="shared" si="1"/>
        <v>1990-01-01</v>
      </c>
      <c r="L56" t="s">
        <v>1355</v>
      </c>
      <c r="M56" s="7" t="e">
        <f t="shared" si="2"/>
        <v>#VALUE!</v>
      </c>
    </row>
    <row r="57" spans="1:13" x14ac:dyDescent="0.3">
      <c r="A57" t="s">
        <v>495</v>
      </c>
      <c r="J57" t="str">
        <f t="shared" si="0"/>
        <v>II</v>
      </c>
      <c r="K57" s="1" t="str">
        <f t="shared" si="1"/>
        <v>1990-02-01</v>
      </c>
      <c r="L57" t="s">
        <v>1356</v>
      </c>
      <c r="M57" s="7" t="e">
        <f t="shared" si="2"/>
        <v>#VALUE!</v>
      </c>
    </row>
    <row r="58" spans="1:13" x14ac:dyDescent="0.3">
      <c r="A58" t="s">
        <v>496</v>
      </c>
      <c r="J58" t="str">
        <f t="shared" si="0"/>
        <v>III</v>
      </c>
      <c r="K58" s="1" t="str">
        <f t="shared" si="1"/>
        <v>1990-03-01</v>
      </c>
      <c r="L58" t="s">
        <v>1357</v>
      </c>
      <c r="M58" s="7" t="e">
        <f t="shared" si="2"/>
        <v>#VALUE!</v>
      </c>
    </row>
    <row r="59" spans="1:13" x14ac:dyDescent="0.3">
      <c r="A59" t="s">
        <v>497</v>
      </c>
      <c r="J59" t="str">
        <f t="shared" si="0"/>
        <v>IV</v>
      </c>
      <c r="K59" s="1" t="str">
        <f t="shared" si="1"/>
        <v>1990-04-01</v>
      </c>
      <c r="L59" t="s">
        <v>1358</v>
      </c>
      <c r="M59" s="7" t="e">
        <f t="shared" si="2"/>
        <v>#VALUE!</v>
      </c>
    </row>
    <row r="60" spans="1:13" x14ac:dyDescent="0.3">
      <c r="A60" t="s">
        <v>498</v>
      </c>
      <c r="J60" t="str">
        <f t="shared" si="0"/>
        <v>V</v>
      </c>
      <c r="K60" s="1" t="str">
        <f t="shared" si="1"/>
        <v>1990-05-01</v>
      </c>
      <c r="L60" t="s">
        <v>1359</v>
      </c>
      <c r="M60" s="7" t="e">
        <f t="shared" si="2"/>
        <v>#VALUE!</v>
      </c>
    </row>
    <row r="61" spans="1:13" x14ac:dyDescent="0.3">
      <c r="A61" t="s">
        <v>499</v>
      </c>
      <c r="J61" t="str">
        <f t="shared" si="0"/>
        <v>VI</v>
      </c>
      <c r="K61" s="1" t="str">
        <f t="shared" si="1"/>
        <v>1990-06-01</v>
      </c>
      <c r="L61" t="s">
        <v>1360</v>
      </c>
      <c r="M61" s="7" t="e">
        <f t="shared" si="2"/>
        <v>#VALUE!</v>
      </c>
    </row>
    <row r="62" spans="1:13" x14ac:dyDescent="0.3">
      <c r="A62" t="s">
        <v>500</v>
      </c>
      <c r="J62" t="str">
        <f t="shared" si="0"/>
        <v>VII</v>
      </c>
      <c r="K62" s="1" t="str">
        <f t="shared" si="1"/>
        <v>1990-07-01</v>
      </c>
      <c r="L62" t="s">
        <v>1361</v>
      </c>
      <c r="M62" s="7" t="e">
        <f t="shared" si="2"/>
        <v>#VALUE!</v>
      </c>
    </row>
    <row r="63" spans="1:13" x14ac:dyDescent="0.3">
      <c r="A63" t="s">
        <v>501</v>
      </c>
      <c r="J63" t="str">
        <f t="shared" si="0"/>
        <v>VIII</v>
      </c>
      <c r="K63" s="1" t="str">
        <f t="shared" si="1"/>
        <v>1990-08-01</v>
      </c>
      <c r="L63" t="s">
        <v>1362</v>
      </c>
      <c r="M63" s="7" t="e">
        <f t="shared" si="2"/>
        <v>#VALUE!</v>
      </c>
    </row>
    <row r="64" spans="1:13" x14ac:dyDescent="0.3">
      <c r="A64" t="s">
        <v>502</v>
      </c>
      <c r="J64" t="str">
        <f t="shared" si="0"/>
        <v>IX</v>
      </c>
      <c r="K64" s="1" t="str">
        <f t="shared" si="1"/>
        <v>1990-09-01</v>
      </c>
      <c r="L64" t="s">
        <v>1363</v>
      </c>
      <c r="M64" s="7" t="e">
        <f t="shared" si="2"/>
        <v>#VALUE!</v>
      </c>
    </row>
    <row r="65" spans="1:13" x14ac:dyDescent="0.3">
      <c r="A65" t="s">
        <v>503</v>
      </c>
      <c r="J65" t="str">
        <f t="shared" si="0"/>
        <v>X</v>
      </c>
      <c r="K65" s="1" t="str">
        <f t="shared" si="1"/>
        <v>1990-10-01</v>
      </c>
      <c r="L65" t="s">
        <v>1364</v>
      </c>
      <c r="M65" s="7" t="e">
        <f t="shared" si="2"/>
        <v>#VALUE!</v>
      </c>
    </row>
    <row r="66" spans="1:13" x14ac:dyDescent="0.3">
      <c r="A66" t="s">
        <v>504</v>
      </c>
      <c r="J66" t="str">
        <f t="shared" si="0"/>
        <v>XI</v>
      </c>
      <c r="K66" s="1" t="str">
        <f t="shared" si="1"/>
        <v>1990-11-01</v>
      </c>
      <c r="L66" t="s">
        <v>1365</v>
      </c>
      <c r="M66" s="7" t="e">
        <f t="shared" si="2"/>
        <v>#VALUE!</v>
      </c>
    </row>
    <row r="67" spans="1:13" x14ac:dyDescent="0.3">
      <c r="A67" t="s">
        <v>505</v>
      </c>
      <c r="J67" t="str">
        <f t="shared" ref="J67:J130" si="3">TEXT(K67,"mmm")</f>
        <v>XII</v>
      </c>
      <c r="K67" s="1" t="str">
        <f t="shared" ref="K67:K130" si="4">LEFT(A67,10)</f>
        <v>1990-12-01</v>
      </c>
      <c r="L67" t="s">
        <v>1366</v>
      </c>
      <c r="M67" s="7" t="e">
        <f t="shared" si="2"/>
        <v>#VALUE!</v>
      </c>
    </row>
    <row r="68" spans="1:13" x14ac:dyDescent="0.3">
      <c r="A68" t="s">
        <v>506</v>
      </c>
      <c r="J68" t="str">
        <f t="shared" si="3"/>
        <v>I</v>
      </c>
      <c r="K68" s="1" t="str">
        <f t="shared" si="4"/>
        <v>1991-01-01</v>
      </c>
      <c r="L68" t="s">
        <v>1367</v>
      </c>
      <c r="M68" s="7" t="e">
        <f t="shared" ref="M68:M131" si="5">(L68/L67)-1</f>
        <v>#VALUE!</v>
      </c>
    </row>
    <row r="69" spans="1:13" x14ac:dyDescent="0.3">
      <c r="A69" t="s">
        <v>507</v>
      </c>
      <c r="J69" t="str">
        <f t="shared" si="3"/>
        <v>II</v>
      </c>
      <c r="K69" s="1" t="str">
        <f t="shared" si="4"/>
        <v>1991-02-01</v>
      </c>
      <c r="L69" t="s">
        <v>1368</v>
      </c>
      <c r="M69" s="7" t="e">
        <f t="shared" si="5"/>
        <v>#VALUE!</v>
      </c>
    </row>
    <row r="70" spans="1:13" x14ac:dyDescent="0.3">
      <c r="A70" t="s">
        <v>508</v>
      </c>
      <c r="J70" t="str">
        <f t="shared" si="3"/>
        <v>III</v>
      </c>
      <c r="K70" s="1" t="str">
        <f t="shared" si="4"/>
        <v>1991-03-01</v>
      </c>
      <c r="L70" t="s">
        <v>1369</v>
      </c>
      <c r="M70" s="7" t="e">
        <f t="shared" si="5"/>
        <v>#VALUE!</v>
      </c>
    </row>
    <row r="71" spans="1:13" x14ac:dyDescent="0.3">
      <c r="A71" t="s">
        <v>509</v>
      </c>
      <c r="J71" t="str">
        <f t="shared" si="3"/>
        <v>IV</v>
      </c>
      <c r="K71" s="1" t="str">
        <f t="shared" si="4"/>
        <v>1991-04-01</v>
      </c>
      <c r="L71" t="s">
        <v>1370</v>
      </c>
      <c r="M71" s="7" t="e">
        <f t="shared" si="5"/>
        <v>#VALUE!</v>
      </c>
    </row>
    <row r="72" spans="1:13" x14ac:dyDescent="0.3">
      <c r="A72" t="s">
        <v>510</v>
      </c>
      <c r="J72" t="str">
        <f t="shared" si="3"/>
        <v>V</v>
      </c>
      <c r="K72" s="1" t="str">
        <f t="shared" si="4"/>
        <v>1991-05-01</v>
      </c>
      <c r="L72" t="s">
        <v>1371</v>
      </c>
      <c r="M72" s="7" t="e">
        <f t="shared" si="5"/>
        <v>#VALUE!</v>
      </c>
    </row>
    <row r="73" spans="1:13" x14ac:dyDescent="0.3">
      <c r="A73" t="s">
        <v>511</v>
      </c>
      <c r="J73" t="str">
        <f t="shared" si="3"/>
        <v>VI</v>
      </c>
      <c r="K73" s="1" t="str">
        <f t="shared" si="4"/>
        <v>1991-06-01</v>
      </c>
      <c r="L73" t="s">
        <v>1372</v>
      </c>
      <c r="M73" s="7" t="e">
        <f t="shared" si="5"/>
        <v>#VALUE!</v>
      </c>
    </row>
    <row r="74" spans="1:13" x14ac:dyDescent="0.3">
      <c r="A74" t="s">
        <v>512</v>
      </c>
      <c r="J74" t="str">
        <f t="shared" si="3"/>
        <v>VII</v>
      </c>
      <c r="K74" s="1" t="str">
        <f t="shared" si="4"/>
        <v>1991-07-01</v>
      </c>
      <c r="L74" t="s">
        <v>1373</v>
      </c>
      <c r="M74" s="7" t="e">
        <f t="shared" si="5"/>
        <v>#VALUE!</v>
      </c>
    </row>
    <row r="75" spans="1:13" x14ac:dyDescent="0.3">
      <c r="A75" t="s">
        <v>513</v>
      </c>
      <c r="J75" t="str">
        <f t="shared" si="3"/>
        <v>VIII</v>
      </c>
      <c r="K75" s="1" t="str">
        <f t="shared" si="4"/>
        <v>1991-08-01</v>
      </c>
      <c r="L75" t="s">
        <v>1374</v>
      </c>
      <c r="M75" s="7" t="e">
        <f t="shared" si="5"/>
        <v>#VALUE!</v>
      </c>
    </row>
    <row r="76" spans="1:13" x14ac:dyDescent="0.3">
      <c r="A76" t="s">
        <v>514</v>
      </c>
      <c r="J76" t="str">
        <f t="shared" si="3"/>
        <v>IX</v>
      </c>
      <c r="K76" s="1" t="str">
        <f t="shared" si="4"/>
        <v>1991-09-01</v>
      </c>
      <c r="L76" t="s">
        <v>1375</v>
      </c>
      <c r="M76" s="7" t="e">
        <f t="shared" si="5"/>
        <v>#VALUE!</v>
      </c>
    </row>
    <row r="77" spans="1:13" x14ac:dyDescent="0.3">
      <c r="A77" t="s">
        <v>515</v>
      </c>
      <c r="J77" t="str">
        <f t="shared" si="3"/>
        <v>X</v>
      </c>
      <c r="K77" s="1" t="str">
        <f t="shared" si="4"/>
        <v>1991-10-01</v>
      </c>
      <c r="L77" t="s">
        <v>1376</v>
      </c>
      <c r="M77" s="7" t="e">
        <f t="shared" si="5"/>
        <v>#VALUE!</v>
      </c>
    </row>
    <row r="78" spans="1:13" x14ac:dyDescent="0.3">
      <c r="A78" t="s">
        <v>516</v>
      </c>
      <c r="J78" t="str">
        <f t="shared" si="3"/>
        <v>XI</v>
      </c>
      <c r="K78" s="1" t="str">
        <f t="shared" si="4"/>
        <v>1991-11-01</v>
      </c>
      <c r="L78" t="s">
        <v>1377</v>
      </c>
      <c r="M78" s="7" t="e">
        <f t="shared" si="5"/>
        <v>#VALUE!</v>
      </c>
    </row>
    <row r="79" spans="1:13" x14ac:dyDescent="0.3">
      <c r="A79" t="s">
        <v>517</v>
      </c>
      <c r="J79" t="str">
        <f t="shared" si="3"/>
        <v>XII</v>
      </c>
      <c r="K79" s="1" t="str">
        <f t="shared" si="4"/>
        <v>1991-12-01</v>
      </c>
      <c r="L79" t="s">
        <v>1378</v>
      </c>
      <c r="M79" s="7" t="e">
        <f t="shared" si="5"/>
        <v>#VALUE!</v>
      </c>
    </row>
    <row r="80" spans="1:13" x14ac:dyDescent="0.3">
      <c r="A80" t="s">
        <v>518</v>
      </c>
      <c r="J80" t="str">
        <f t="shared" si="3"/>
        <v>I</v>
      </c>
      <c r="K80" s="1" t="str">
        <f t="shared" si="4"/>
        <v>1992-01-01</v>
      </c>
      <c r="L80" t="s">
        <v>1379</v>
      </c>
      <c r="M80" s="7" t="e">
        <f t="shared" si="5"/>
        <v>#VALUE!</v>
      </c>
    </row>
    <row r="81" spans="1:13" x14ac:dyDescent="0.3">
      <c r="A81" t="s">
        <v>519</v>
      </c>
      <c r="J81" t="str">
        <f t="shared" si="3"/>
        <v>II</v>
      </c>
      <c r="K81" s="1" t="str">
        <f t="shared" si="4"/>
        <v>1992-02-01</v>
      </c>
      <c r="L81" t="s">
        <v>1380</v>
      </c>
      <c r="M81" s="7" t="e">
        <f t="shared" si="5"/>
        <v>#VALUE!</v>
      </c>
    </row>
    <row r="82" spans="1:13" x14ac:dyDescent="0.3">
      <c r="A82" t="s">
        <v>520</v>
      </c>
      <c r="J82" t="str">
        <f t="shared" si="3"/>
        <v>III</v>
      </c>
      <c r="K82" s="1" t="str">
        <f t="shared" si="4"/>
        <v>1992-03-01</v>
      </c>
      <c r="L82" t="s">
        <v>1381</v>
      </c>
      <c r="M82" s="7" t="e">
        <f t="shared" si="5"/>
        <v>#VALUE!</v>
      </c>
    </row>
    <row r="83" spans="1:13" x14ac:dyDescent="0.3">
      <c r="A83" t="s">
        <v>521</v>
      </c>
      <c r="J83" t="str">
        <f t="shared" si="3"/>
        <v>IV</v>
      </c>
      <c r="K83" s="1" t="str">
        <f t="shared" si="4"/>
        <v>1992-04-01</v>
      </c>
      <c r="L83" t="s">
        <v>1382</v>
      </c>
      <c r="M83" s="7" t="e">
        <f t="shared" si="5"/>
        <v>#VALUE!</v>
      </c>
    </row>
    <row r="84" spans="1:13" x14ac:dyDescent="0.3">
      <c r="A84" t="s">
        <v>522</v>
      </c>
      <c r="J84" t="str">
        <f t="shared" si="3"/>
        <v>V</v>
      </c>
      <c r="K84" s="1" t="str">
        <f t="shared" si="4"/>
        <v>1992-05-01</v>
      </c>
      <c r="L84" t="s">
        <v>1383</v>
      </c>
      <c r="M84" s="7" t="e">
        <f t="shared" si="5"/>
        <v>#VALUE!</v>
      </c>
    </row>
    <row r="85" spans="1:13" x14ac:dyDescent="0.3">
      <c r="A85" t="s">
        <v>523</v>
      </c>
      <c r="J85" t="str">
        <f t="shared" si="3"/>
        <v>VI</v>
      </c>
      <c r="K85" s="1" t="str">
        <f t="shared" si="4"/>
        <v>1992-06-01</v>
      </c>
      <c r="L85" t="s">
        <v>1384</v>
      </c>
      <c r="M85" s="7" t="e">
        <f t="shared" si="5"/>
        <v>#VALUE!</v>
      </c>
    </row>
    <row r="86" spans="1:13" x14ac:dyDescent="0.3">
      <c r="A86" t="s">
        <v>524</v>
      </c>
      <c r="J86" t="str">
        <f t="shared" si="3"/>
        <v>VII</v>
      </c>
      <c r="K86" s="1" t="str">
        <f t="shared" si="4"/>
        <v>1992-07-01</v>
      </c>
      <c r="L86" t="s">
        <v>1385</v>
      </c>
      <c r="M86" s="7" t="e">
        <f t="shared" si="5"/>
        <v>#VALUE!</v>
      </c>
    </row>
    <row r="87" spans="1:13" x14ac:dyDescent="0.3">
      <c r="A87" t="s">
        <v>525</v>
      </c>
      <c r="J87" t="str">
        <f t="shared" si="3"/>
        <v>VIII</v>
      </c>
      <c r="K87" s="1" t="str">
        <f t="shared" si="4"/>
        <v>1992-08-01</v>
      </c>
      <c r="L87" t="s">
        <v>1386</v>
      </c>
      <c r="M87" s="7" t="e">
        <f t="shared" si="5"/>
        <v>#VALUE!</v>
      </c>
    </row>
    <row r="88" spans="1:13" x14ac:dyDescent="0.3">
      <c r="A88" t="s">
        <v>526</v>
      </c>
      <c r="J88" t="str">
        <f t="shared" si="3"/>
        <v>IX</v>
      </c>
      <c r="K88" s="1" t="str">
        <f t="shared" si="4"/>
        <v>1992-09-01</v>
      </c>
      <c r="L88" t="s">
        <v>1387</v>
      </c>
      <c r="M88" s="7" t="e">
        <f t="shared" si="5"/>
        <v>#VALUE!</v>
      </c>
    </row>
    <row r="89" spans="1:13" x14ac:dyDescent="0.3">
      <c r="A89" t="s">
        <v>527</v>
      </c>
      <c r="J89" t="str">
        <f t="shared" si="3"/>
        <v>X</v>
      </c>
      <c r="K89" s="1" t="str">
        <f t="shared" si="4"/>
        <v>1992-10-01</v>
      </c>
      <c r="L89" t="s">
        <v>1388</v>
      </c>
      <c r="M89" s="7" t="e">
        <f t="shared" si="5"/>
        <v>#VALUE!</v>
      </c>
    </row>
    <row r="90" spans="1:13" x14ac:dyDescent="0.3">
      <c r="A90" t="s">
        <v>528</v>
      </c>
      <c r="J90" t="str">
        <f t="shared" si="3"/>
        <v>XI</v>
      </c>
      <c r="K90" s="1" t="str">
        <f t="shared" si="4"/>
        <v>1992-11-01</v>
      </c>
      <c r="L90" t="s">
        <v>1389</v>
      </c>
      <c r="M90" s="7" t="e">
        <f t="shared" si="5"/>
        <v>#VALUE!</v>
      </c>
    </row>
    <row r="91" spans="1:13" x14ac:dyDescent="0.3">
      <c r="A91" t="s">
        <v>529</v>
      </c>
      <c r="J91" t="str">
        <f t="shared" si="3"/>
        <v>XII</v>
      </c>
      <c r="K91" s="1" t="str">
        <f t="shared" si="4"/>
        <v>1992-12-01</v>
      </c>
      <c r="L91" t="s">
        <v>1390</v>
      </c>
      <c r="M91" s="7" t="e">
        <f t="shared" si="5"/>
        <v>#VALUE!</v>
      </c>
    </row>
    <row r="92" spans="1:13" x14ac:dyDescent="0.3">
      <c r="A92" t="s">
        <v>530</v>
      </c>
      <c r="J92" t="str">
        <f t="shared" si="3"/>
        <v>I</v>
      </c>
      <c r="K92" s="1" t="str">
        <f t="shared" si="4"/>
        <v>1993-01-01</v>
      </c>
      <c r="L92" t="s">
        <v>1391</v>
      </c>
      <c r="M92" s="7" t="e">
        <f t="shared" si="5"/>
        <v>#VALUE!</v>
      </c>
    </row>
    <row r="93" spans="1:13" x14ac:dyDescent="0.3">
      <c r="A93" t="s">
        <v>531</v>
      </c>
      <c r="J93" t="str">
        <f t="shared" si="3"/>
        <v>II</v>
      </c>
      <c r="K93" s="1" t="str">
        <f t="shared" si="4"/>
        <v>1993-02-01</v>
      </c>
      <c r="L93" t="s">
        <v>1392</v>
      </c>
      <c r="M93" s="7" t="e">
        <f t="shared" si="5"/>
        <v>#VALUE!</v>
      </c>
    </row>
    <row r="94" spans="1:13" x14ac:dyDescent="0.3">
      <c r="A94" t="s">
        <v>532</v>
      </c>
      <c r="J94" t="str">
        <f t="shared" si="3"/>
        <v>III</v>
      </c>
      <c r="K94" s="1" t="str">
        <f t="shared" si="4"/>
        <v>1993-03-01</v>
      </c>
      <c r="L94" t="s">
        <v>1393</v>
      </c>
      <c r="M94" s="7" t="e">
        <f t="shared" si="5"/>
        <v>#VALUE!</v>
      </c>
    </row>
    <row r="95" spans="1:13" x14ac:dyDescent="0.3">
      <c r="A95" t="s">
        <v>533</v>
      </c>
      <c r="J95" t="str">
        <f t="shared" si="3"/>
        <v>IV</v>
      </c>
      <c r="K95" s="1" t="str">
        <f t="shared" si="4"/>
        <v>1993-04-01</v>
      </c>
      <c r="L95" t="s">
        <v>1394</v>
      </c>
      <c r="M95" s="7" t="e">
        <f t="shared" si="5"/>
        <v>#VALUE!</v>
      </c>
    </row>
    <row r="96" spans="1:13" x14ac:dyDescent="0.3">
      <c r="A96" t="s">
        <v>534</v>
      </c>
      <c r="J96" t="str">
        <f t="shared" si="3"/>
        <v>V</v>
      </c>
      <c r="K96" s="1" t="str">
        <f t="shared" si="4"/>
        <v>1993-05-01</v>
      </c>
      <c r="L96" t="s">
        <v>1395</v>
      </c>
      <c r="M96" s="7" t="e">
        <f t="shared" si="5"/>
        <v>#VALUE!</v>
      </c>
    </row>
    <row r="97" spans="1:13" x14ac:dyDescent="0.3">
      <c r="A97" t="s">
        <v>535</v>
      </c>
      <c r="J97" t="str">
        <f t="shared" si="3"/>
        <v>VI</v>
      </c>
      <c r="K97" s="1" t="str">
        <f t="shared" si="4"/>
        <v>1993-06-01</v>
      </c>
      <c r="L97" t="s">
        <v>1396</v>
      </c>
      <c r="M97" s="7" t="e">
        <f t="shared" si="5"/>
        <v>#VALUE!</v>
      </c>
    </row>
    <row r="98" spans="1:13" x14ac:dyDescent="0.3">
      <c r="A98" t="s">
        <v>536</v>
      </c>
      <c r="J98" t="str">
        <f t="shared" si="3"/>
        <v>VII</v>
      </c>
      <c r="K98" s="1" t="str">
        <f t="shared" si="4"/>
        <v>1993-07-01</v>
      </c>
      <c r="L98" t="s">
        <v>1397</v>
      </c>
      <c r="M98" s="7" t="e">
        <f t="shared" si="5"/>
        <v>#VALUE!</v>
      </c>
    </row>
    <row r="99" spans="1:13" x14ac:dyDescent="0.3">
      <c r="A99" t="s">
        <v>537</v>
      </c>
      <c r="J99" t="str">
        <f t="shared" si="3"/>
        <v>VIII</v>
      </c>
      <c r="K99" s="1" t="str">
        <f t="shared" si="4"/>
        <v>1993-08-01</v>
      </c>
      <c r="L99" t="s">
        <v>1398</v>
      </c>
      <c r="M99" s="7" t="e">
        <f t="shared" si="5"/>
        <v>#VALUE!</v>
      </c>
    </row>
    <row r="100" spans="1:13" x14ac:dyDescent="0.3">
      <c r="A100" t="s">
        <v>538</v>
      </c>
      <c r="J100" t="str">
        <f t="shared" si="3"/>
        <v>IX</v>
      </c>
      <c r="K100" s="1" t="str">
        <f t="shared" si="4"/>
        <v>1993-09-01</v>
      </c>
      <c r="L100" t="s">
        <v>1399</v>
      </c>
      <c r="M100" s="7" t="e">
        <f t="shared" si="5"/>
        <v>#VALUE!</v>
      </c>
    </row>
    <row r="101" spans="1:13" x14ac:dyDescent="0.3">
      <c r="A101" t="s">
        <v>539</v>
      </c>
      <c r="J101" t="str">
        <f t="shared" si="3"/>
        <v>X</v>
      </c>
      <c r="K101" s="1" t="str">
        <f t="shared" si="4"/>
        <v>1993-10-01</v>
      </c>
      <c r="L101" t="s">
        <v>1400</v>
      </c>
      <c r="M101" s="7" t="e">
        <f t="shared" si="5"/>
        <v>#VALUE!</v>
      </c>
    </row>
    <row r="102" spans="1:13" x14ac:dyDescent="0.3">
      <c r="A102" t="s">
        <v>540</v>
      </c>
      <c r="J102" t="str">
        <f t="shared" si="3"/>
        <v>XI</v>
      </c>
      <c r="K102" s="1" t="str">
        <f t="shared" si="4"/>
        <v>1993-11-01</v>
      </c>
      <c r="L102" t="s">
        <v>1401</v>
      </c>
      <c r="M102" s="7" t="e">
        <f t="shared" si="5"/>
        <v>#VALUE!</v>
      </c>
    </row>
    <row r="103" spans="1:13" x14ac:dyDescent="0.3">
      <c r="A103" t="s">
        <v>541</v>
      </c>
      <c r="J103" t="str">
        <f t="shared" si="3"/>
        <v>XII</v>
      </c>
      <c r="K103" s="1" t="str">
        <f t="shared" si="4"/>
        <v>1993-12-01</v>
      </c>
      <c r="L103" t="s">
        <v>1402</v>
      </c>
      <c r="M103" s="7" t="e">
        <f t="shared" si="5"/>
        <v>#VALUE!</v>
      </c>
    </row>
    <row r="104" spans="1:13" x14ac:dyDescent="0.3">
      <c r="A104" t="s">
        <v>542</v>
      </c>
      <c r="J104" t="str">
        <f t="shared" si="3"/>
        <v>I</v>
      </c>
      <c r="K104" s="1" t="str">
        <f t="shared" si="4"/>
        <v>1994-01-01</v>
      </c>
      <c r="L104" t="s">
        <v>1403</v>
      </c>
      <c r="M104" s="7" t="e">
        <f t="shared" si="5"/>
        <v>#VALUE!</v>
      </c>
    </row>
    <row r="105" spans="1:13" x14ac:dyDescent="0.3">
      <c r="A105" t="s">
        <v>543</v>
      </c>
      <c r="J105" t="str">
        <f t="shared" si="3"/>
        <v>II</v>
      </c>
      <c r="K105" s="1" t="str">
        <f t="shared" si="4"/>
        <v>1994-02-01</v>
      </c>
      <c r="L105" t="s">
        <v>1404</v>
      </c>
      <c r="M105" s="7" t="e">
        <f t="shared" si="5"/>
        <v>#VALUE!</v>
      </c>
    </row>
    <row r="106" spans="1:13" x14ac:dyDescent="0.3">
      <c r="A106" t="s">
        <v>544</v>
      </c>
      <c r="J106" t="str">
        <f t="shared" si="3"/>
        <v>III</v>
      </c>
      <c r="K106" s="1" t="str">
        <f t="shared" si="4"/>
        <v>1994-03-01</v>
      </c>
      <c r="L106" t="s">
        <v>1405</v>
      </c>
      <c r="M106" s="7" t="e">
        <f t="shared" si="5"/>
        <v>#VALUE!</v>
      </c>
    </row>
    <row r="107" spans="1:13" x14ac:dyDescent="0.3">
      <c r="A107" t="s">
        <v>545</v>
      </c>
      <c r="J107" t="str">
        <f t="shared" si="3"/>
        <v>IV</v>
      </c>
      <c r="K107" s="1" t="str">
        <f t="shared" si="4"/>
        <v>1994-04-01</v>
      </c>
      <c r="L107" t="s">
        <v>1406</v>
      </c>
      <c r="M107" s="7" t="e">
        <f t="shared" si="5"/>
        <v>#VALUE!</v>
      </c>
    </row>
    <row r="108" spans="1:13" x14ac:dyDescent="0.3">
      <c r="A108" t="s">
        <v>546</v>
      </c>
      <c r="J108" t="str">
        <f t="shared" si="3"/>
        <v>V</v>
      </c>
      <c r="K108" s="1" t="str">
        <f t="shared" si="4"/>
        <v>1994-05-01</v>
      </c>
      <c r="L108" t="s">
        <v>1407</v>
      </c>
      <c r="M108" s="7" t="e">
        <f t="shared" si="5"/>
        <v>#VALUE!</v>
      </c>
    </row>
    <row r="109" spans="1:13" x14ac:dyDescent="0.3">
      <c r="A109" t="s">
        <v>547</v>
      </c>
      <c r="J109" t="str">
        <f t="shared" si="3"/>
        <v>VI</v>
      </c>
      <c r="K109" s="1" t="str">
        <f t="shared" si="4"/>
        <v>1994-06-01</v>
      </c>
      <c r="L109" t="s">
        <v>1408</v>
      </c>
      <c r="M109" s="7" t="e">
        <f t="shared" si="5"/>
        <v>#VALUE!</v>
      </c>
    </row>
    <row r="110" spans="1:13" x14ac:dyDescent="0.3">
      <c r="A110" t="s">
        <v>548</v>
      </c>
      <c r="J110" t="str">
        <f t="shared" si="3"/>
        <v>VII</v>
      </c>
      <c r="K110" s="1" t="str">
        <f t="shared" si="4"/>
        <v>1994-07-01</v>
      </c>
      <c r="L110" t="s">
        <v>1409</v>
      </c>
      <c r="M110" s="7" t="e">
        <f t="shared" si="5"/>
        <v>#VALUE!</v>
      </c>
    </row>
    <row r="111" spans="1:13" x14ac:dyDescent="0.3">
      <c r="A111" t="s">
        <v>549</v>
      </c>
      <c r="J111" t="str">
        <f t="shared" si="3"/>
        <v>VIII</v>
      </c>
      <c r="K111" s="1" t="str">
        <f t="shared" si="4"/>
        <v>1994-08-01</v>
      </c>
      <c r="L111" t="s">
        <v>1410</v>
      </c>
      <c r="M111" s="7" t="e">
        <f t="shared" si="5"/>
        <v>#VALUE!</v>
      </c>
    </row>
    <row r="112" spans="1:13" x14ac:dyDescent="0.3">
      <c r="A112" t="s">
        <v>550</v>
      </c>
      <c r="J112" t="str">
        <f t="shared" si="3"/>
        <v>IX</v>
      </c>
      <c r="K112" s="1" t="str">
        <f t="shared" si="4"/>
        <v>1994-09-01</v>
      </c>
      <c r="L112" t="s">
        <v>1411</v>
      </c>
      <c r="M112" s="7" t="e">
        <f t="shared" si="5"/>
        <v>#VALUE!</v>
      </c>
    </row>
    <row r="113" spans="1:13" x14ac:dyDescent="0.3">
      <c r="A113" t="s">
        <v>551</v>
      </c>
      <c r="J113" t="str">
        <f t="shared" si="3"/>
        <v>X</v>
      </c>
      <c r="K113" s="1" t="str">
        <f t="shared" si="4"/>
        <v>1994-10-01</v>
      </c>
      <c r="L113" t="s">
        <v>1412</v>
      </c>
      <c r="M113" s="7" t="e">
        <f t="shared" si="5"/>
        <v>#VALUE!</v>
      </c>
    </row>
    <row r="114" spans="1:13" x14ac:dyDescent="0.3">
      <c r="A114" t="s">
        <v>552</v>
      </c>
      <c r="J114" t="str">
        <f t="shared" si="3"/>
        <v>XI</v>
      </c>
      <c r="K114" s="1" t="str">
        <f t="shared" si="4"/>
        <v>1994-11-01</v>
      </c>
      <c r="L114" t="s">
        <v>1413</v>
      </c>
      <c r="M114" s="7" t="e">
        <f t="shared" si="5"/>
        <v>#VALUE!</v>
      </c>
    </row>
    <row r="115" spans="1:13" x14ac:dyDescent="0.3">
      <c r="A115" t="s">
        <v>553</v>
      </c>
      <c r="J115" t="str">
        <f t="shared" si="3"/>
        <v>XII</v>
      </c>
      <c r="K115" s="1" t="str">
        <f t="shared" si="4"/>
        <v>1994-12-01</v>
      </c>
      <c r="L115" t="s">
        <v>1414</v>
      </c>
      <c r="M115" s="7" t="e">
        <f t="shared" si="5"/>
        <v>#VALUE!</v>
      </c>
    </row>
    <row r="116" spans="1:13" x14ac:dyDescent="0.3">
      <c r="A116" t="s">
        <v>554</v>
      </c>
      <c r="J116" t="str">
        <f t="shared" si="3"/>
        <v>I</v>
      </c>
      <c r="K116" s="1" t="str">
        <f t="shared" si="4"/>
        <v>1995-01-01</v>
      </c>
      <c r="L116" t="s">
        <v>1415</v>
      </c>
      <c r="M116" s="7" t="e">
        <f t="shared" si="5"/>
        <v>#VALUE!</v>
      </c>
    </row>
    <row r="117" spans="1:13" x14ac:dyDescent="0.3">
      <c r="A117" t="s">
        <v>555</v>
      </c>
      <c r="J117" t="str">
        <f t="shared" si="3"/>
        <v>II</v>
      </c>
      <c r="K117" s="1" t="str">
        <f t="shared" si="4"/>
        <v>1995-02-01</v>
      </c>
      <c r="L117" t="s">
        <v>1416</v>
      </c>
      <c r="M117" s="7" t="e">
        <f t="shared" si="5"/>
        <v>#VALUE!</v>
      </c>
    </row>
    <row r="118" spans="1:13" x14ac:dyDescent="0.3">
      <c r="A118" t="s">
        <v>556</v>
      </c>
      <c r="J118" t="str">
        <f t="shared" si="3"/>
        <v>III</v>
      </c>
      <c r="K118" s="1" t="str">
        <f t="shared" si="4"/>
        <v>1995-03-01</v>
      </c>
      <c r="L118" t="s">
        <v>1417</v>
      </c>
      <c r="M118" s="7" t="e">
        <f t="shared" si="5"/>
        <v>#VALUE!</v>
      </c>
    </row>
    <row r="119" spans="1:13" x14ac:dyDescent="0.3">
      <c r="A119" t="s">
        <v>557</v>
      </c>
      <c r="J119" t="str">
        <f t="shared" si="3"/>
        <v>IV</v>
      </c>
      <c r="K119" s="1" t="str">
        <f t="shared" si="4"/>
        <v>1995-04-01</v>
      </c>
      <c r="L119" t="s">
        <v>1418</v>
      </c>
      <c r="M119" s="7" t="e">
        <f t="shared" si="5"/>
        <v>#VALUE!</v>
      </c>
    </row>
    <row r="120" spans="1:13" x14ac:dyDescent="0.3">
      <c r="A120" t="s">
        <v>558</v>
      </c>
      <c r="J120" t="str">
        <f t="shared" si="3"/>
        <v>V</v>
      </c>
      <c r="K120" s="1" t="str">
        <f t="shared" si="4"/>
        <v>1995-05-01</v>
      </c>
      <c r="L120" t="s">
        <v>1419</v>
      </c>
      <c r="M120" s="7" t="e">
        <f t="shared" si="5"/>
        <v>#VALUE!</v>
      </c>
    </row>
    <row r="121" spans="1:13" x14ac:dyDescent="0.3">
      <c r="A121" t="s">
        <v>559</v>
      </c>
      <c r="J121" t="str">
        <f t="shared" si="3"/>
        <v>VI</v>
      </c>
      <c r="K121" s="1" t="str">
        <f t="shared" si="4"/>
        <v>1995-06-01</v>
      </c>
      <c r="L121" t="s">
        <v>1420</v>
      </c>
      <c r="M121" s="7" t="e">
        <f t="shared" si="5"/>
        <v>#VALUE!</v>
      </c>
    </row>
    <row r="122" spans="1:13" x14ac:dyDescent="0.3">
      <c r="A122" t="s">
        <v>560</v>
      </c>
      <c r="J122" t="str">
        <f t="shared" si="3"/>
        <v>VII</v>
      </c>
      <c r="K122" s="1" t="str">
        <f t="shared" si="4"/>
        <v>1995-07-01</v>
      </c>
      <c r="L122" t="s">
        <v>1421</v>
      </c>
      <c r="M122" s="7" t="e">
        <f t="shared" si="5"/>
        <v>#VALUE!</v>
      </c>
    </row>
    <row r="123" spans="1:13" x14ac:dyDescent="0.3">
      <c r="A123" t="s">
        <v>561</v>
      </c>
      <c r="J123" t="str">
        <f t="shared" si="3"/>
        <v>VIII</v>
      </c>
      <c r="K123" s="1" t="str">
        <f t="shared" si="4"/>
        <v>1995-08-01</v>
      </c>
      <c r="L123" t="s">
        <v>1422</v>
      </c>
      <c r="M123" s="7" t="e">
        <f t="shared" si="5"/>
        <v>#VALUE!</v>
      </c>
    </row>
    <row r="124" spans="1:13" x14ac:dyDescent="0.3">
      <c r="A124" t="s">
        <v>562</v>
      </c>
      <c r="J124" t="str">
        <f t="shared" si="3"/>
        <v>IX</v>
      </c>
      <c r="K124" s="1" t="str">
        <f t="shared" si="4"/>
        <v>1995-09-01</v>
      </c>
      <c r="L124" t="s">
        <v>1423</v>
      </c>
      <c r="M124" s="7" t="e">
        <f t="shared" si="5"/>
        <v>#VALUE!</v>
      </c>
    </row>
    <row r="125" spans="1:13" x14ac:dyDescent="0.3">
      <c r="A125" t="s">
        <v>563</v>
      </c>
      <c r="J125" t="str">
        <f t="shared" si="3"/>
        <v>X</v>
      </c>
      <c r="K125" s="1" t="str">
        <f t="shared" si="4"/>
        <v>1995-10-01</v>
      </c>
      <c r="L125" t="s">
        <v>1424</v>
      </c>
      <c r="M125" s="7" t="e">
        <f t="shared" si="5"/>
        <v>#VALUE!</v>
      </c>
    </row>
    <row r="126" spans="1:13" x14ac:dyDescent="0.3">
      <c r="A126" t="s">
        <v>564</v>
      </c>
      <c r="J126" t="str">
        <f t="shared" si="3"/>
        <v>XI</v>
      </c>
      <c r="K126" s="1" t="str">
        <f t="shared" si="4"/>
        <v>1995-11-01</v>
      </c>
      <c r="L126" t="s">
        <v>1425</v>
      </c>
      <c r="M126" s="7" t="e">
        <f t="shared" si="5"/>
        <v>#VALUE!</v>
      </c>
    </row>
    <row r="127" spans="1:13" x14ac:dyDescent="0.3">
      <c r="A127" t="s">
        <v>565</v>
      </c>
      <c r="J127" t="str">
        <f t="shared" si="3"/>
        <v>XII</v>
      </c>
      <c r="K127" s="1" t="str">
        <f t="shared" si="4"/>
        <v>1995-12-01</v>
      </c>
      <c r="L127" t="s">
        <v>1426</v>
      </c>
      <c r="M127" s="7" t="e">
        <f t="shared" si="5"/>
        <v>#VALUE!</v>
      </c>
    </row>
    <row r="128" spans="1:13" x14ac:dyDescent="0.3">
      <c r="A128" t="s">
        <v>566</v>
      </c>
      <c r="J128" t="str">
        <f t="shared" si="3"/>
        <v>I</v>
      </c>
      <c r="K128" s="1" t="str">
        <f t="shared" si="4"/>
        <v>1996-01-01</v>
      </c>
      <c r="L128" t="s">
        <v>1427</v>
      </c>
      <c r="M128" s="7" t="e">
        <f t="shared" si="5"/>
        <v>#VALUE!</v>
      </c>
    </row>
    <row r="129" spans="1:13" x14ac:dyDescent="0.3">
      <c r="A129" t="s">
        <v>567</v>
      </c>
      <c r="J129" t="str">
        <f t="shared" si="3"/>
        <v>II</v>
      </c>
      <c r="K129" s="1" t="str">
        <f t="shared" si="4"/>
        <v>1996-02-01</v>
      </c>
      <c r="L129" t="s">
        <v>1428</v>
      </c>
      <c r="M129" s="7" t="e">
        <f t="shared" si="5"/>
        <v>#VALUE!</v>
      </c>
    </row>
    <row r="130" spans="1:13" x14ac:dyDescent="0.3">
      <c r="A130" t="s">
        <v>568</v>
      </c>
      <c r="J130" t="str">
        <f t="shared" si="3"/>
        <v>III</v>
      </c>
      <c r="K130" s="1" t="str">
        <f t="shared" si="4"/>
        <v>1996-03-01</v>
      </c>
      <c r="L130" t="s">
        <v>1429</v>
      </c>
      <c r="M130" s="7" t="e">
        <f t="shared" si="5"/>
        <v>#VALUE!</v>
      </c>
    </row>
    <row r="131" spans="1:13" x14ac:dyDescent="0.3">
      <c r="A131" t="s">
        <v>569</v>
      </c>
      <c r="J131" t="str">
        <f t="shared" ref="J131:J194" si="6">TEXT(K131,"mmm")</f>
        <v>IV</v>
      </c>
      <c r="K131" s="1" t="str">
        <f t="shared" ref="K131:K194" si="7">LEFT(A131,10)</f>
        <v>1996-04-01</v>
      </c>
      <c r="L131" t="s">
        <v>1430</v>
      </c>
      <c r="M131" s="7" t="e">
        <f t="shared" si="5"/>
        <v>#VALUE!</v>
      </c>
    </row>
    <row r="132" spans="1:13" x14ac:dyDescent="0.3">
      <c r="A132" t="s">
        <v>570</v>
      </c>
      <c r="J132" t="str">
        <f t="shared" si="6"/>
        <v>V</v>
      </c>
      <c r="K132" s="1" t="str">
        <f t="shared" si="7"/>
        <v>1996-05-01</v>
      </c>
      <c r="L132" t="s">
        <v>1431</v>
      </c>
      <c r="M132" s="7" t="e">
        <f t="shared" ref="M132:M195" si="8">(L132/L131)-1</f>
        <v>#VALUE!</v>
      </c>
    </row>
    <row r="133" spans="1:13" x14ac:dyDescent="0.3">
      <c r="A133" t="s">
        <v>571</v>
      </c>
      <c r="J133" t="str">
        <f t="shared" si="6"/>
        <v>VI</v>
      </c>
      <c r="K133" s="1" t="str">
        <f t="shared" si="7"/>
        <v>1996-06-01</v>
      </c>
      <c r="L133" t="s">
        <v>1432</v>
      </c>
      <c r="M133" s="7" t="e">
        <f t="shared" si="8"/>
        <v>#VALUE!</v>
      </c>
    </row>
    <row r="134" spans="1:13" x14ac:dyDescent="0.3">
      <c r="A134" t="s">
        <v>572</v>
      </c>
      <c r="J134" t="str">
        <f t="shared" si="6"/>
        <v>VII</v>
      </c>
      <c r="K134" s="1" t="str">
        <f t="shared" si="7"/>
        <v>1996-07-01</v>
      </c>
      <c r="L134" t="s">
        <v>1433</v>
      </c>
      <c r="M134" s="7" t="e">
        <f t="shared" si="8"/>
        <v>#VALUE!</v>
      </c>
    </row>
    <row r="135" spans="1:13" x14ac:dyDescent="0.3">
      <c r="A135" t="s">
        <v>573</v>
      </c>
      <c r="J135" t="str">
        <f t="shared" si="6"/>
        <v>VIII</v>
      </c>
      <c r="K135" s="1" t="str">
        <f t="shared" si="7"/>
        <v>1996-08-01</v>
      </c>
      <c r="L135" t="s">
        <v>1434</v>
      </c>
      <c r="M135" s="7" t="e">
        <f t="shared" si="8"/>
        <v>#VALUE!</v>
      </c>
    </row>
    <row r="136" spans="1:13" x14ac:dyDescent="0.3">
      <c r="A136" t="s">
        <v>574</v>
      </c>
      <c r="J136" t="str">
        <f t="shared" si="6"/>
        <v>IX</v>
      </c>
      <c r="K136" s="1" t="str">
        <f t="shared" si="7"/>
        <v>1996-09-01</v>
      </c>
      <c r="L136" t="s">
        <v>1435</v>
      </c>
      <c r="M136" s="7" t="e">
        <f t="shared" si="8"/>
        <v>#VALUE!</v>
      </c>
    </row>
    <row r="137" spans="1:13" x14ac:dyDescent="0.3">
      <c r="A137" t="s">
        <v>575</v>
      </c>
      <c r="J137" t="str">
        <f t="shared" si="6"/>
        <v>X</v>
      </c>
      <c r="K137" s="1" t="str">
        <f t="shared" si="7"/>
        <v>1996-10-01</v>
      </c>
      <c r="L137" t="s">
        <v>1436</v>
      </c>
      <c r="M137" s="7" t="e">
        <f t="shared" si="8"/>
        <v>#VALUE!</v>
      </c>
    </row>
    <row r="138" spans="1:13" x14ac:dyDescent="0.3">
      <c r="A138" t="s">
        <v>576</v>
      </c>
      <c r="J138" t="str">
        <f t="shared" si="6"/>
        <v>XI</v>
      </c>
      <c r="K138" s="1" t="str">
        <f t="shared" si="7"/>
        <v>1996-11-01</v>
      </c>
      <c r="L138" t="s">
        <v>1437</v>
      </c>
      <c r="M138" s="7" t="e">
        <f t="shared" si="8"/>
        <v>#VALUE!</v>
      </c>
    </row>
    <row r="139" spans="1:13" x14ac:dyDescent="0.3">
      <c r="A139" t="s">
        <v>577</v>
      </c>
      <c r="J139" t="str">
        <f t="shared" si="6"/>
        <v>XII</v>
      </c>
      <c r="K139" s="1" t="str">
        <f t="shared" si="7"/>
        <v>1996-12-01</v>
      </c>
      <c r="L139" t="s">
        <v>1438</v>
      </c>
      <c r="M139" s="7" t="e">
        <f t="shared" si="8"/>
        <v>#VALUE!</v>
      </c>
    </row>
    <row r="140" spans="1:13" x14ac:dyDescent="0.3">
      <c r="A140" t="s">
        <v>578</v>
      </c>
      <c r="J140" t="str">
        <f t="shared" si="6"/>
        <v>I</v>
      </c>
      <c r="K140" s="1" t="str">
        <f t="shared" si="7"/>
        <v>1997-01-01</v>
      </c>
      <c r="L140" t="s">
        <v>1439</v>
      </c>
      <c r="M140" s="7" t="e">
        <f t="shared" si="8"/>
        <v>#VALUE!</v>
      </c>
    </row>
    <row r="141" spans="1:13" x14ac:dyDescent="0.3">
      <c r="A141" t="s">
        <v>579</v>
      </c>
      <c r="J141" t="str">
        <f t="shared" si="6"/>
        <v>II</v>
      </c>
      <c r="K141" s="1" t="str">
        <f t="shared" si="7"/>
        <v>1997-02-01</v>
      </c>
      <c r="L141" t="s">
        <v>1440</v>
      </c>
      <c r="M141" s="7" t="e">
        <f t="shared" si="8"/>
        <v>#VALUE!</v>
      </c>
    </row>
    <row r="142" spans="1:13" x14ac:dyDescent="0.3">
      <c r="A142" t="s">
        <v>580</v>
      </c>
      <c r="J142" t="str">
        <f t="shared" si="6"/>
        <v>III</v>
      </c>
      <c r="K142" s="1" t="str">
        <f t="shared" si="7"/>
        <v>1997-03-01</v>
      </c>
      <c r="L142" t="s">
        <v>1441</v>
      </c>
      <c r="M142" s="7" t="e">
        <f t="shared" si="8"/>
        <v>#VALUE!</v>
      </c>
    </row>
    <row r="143" spans="1:13" x14ac:dyDescent="0.3">
      <c r="A143" t="s">
        <v>581</v>
      </c>
      <c r="J143" t="str">
        <f t="shared" si="6"/>
        <v>IV</v>
      </c>
      <c r="K143" s="1" t="str">
        <f t="shared" si="7"/>
        <v>1997-04-01</v>
      </c>
      <c r="L143" t="s">
        <v>1442</v>
      </c>
      <c r="M143" s="7" t="e">
        <f t="shared" si="8"/>
        <v>#VALUE!</v>
      </c>
    </row>
    <row r="144" spans="1:13" x14ac:dyDescent="0.3">
      <c r="A144" t="s">
        <v>582</v>
      </c>
      <c r="J144" t="str">
        <f t="shared" si="6"/>
        <v>V</v>
      </c>
      <c r="K144" s="1" t="str">
        <f t="shared" si="7"/>
        <v>1997-05-01</v>
      </c>
      <c r="L144" t="s">
        <v>1443</v>
      </c>
      <c r="M144" s="7" t="e">
        <f t="shared" si="8"/>
        <v>#VALUE!</v>
      </c>
    </row>
    <row r="145" spans="1:13" x14ac:dyDescent="0.3">
      <c r="A145" t="s">
        <v>583</v>
      </c>
      <c r="J145" t="str">
        <f t="shared" si="6"/>
        <v>VI</v>
      </c>
      <c r="K145" s="1" t="str">
        <f t="shared" si="7"/>
        <v>1997-06-01</v>
      </c>
      <c r="L145" t="s">
        <v>1444</v>
      </c>
      <c r="M145" s="7" t="e">
        <f t="shared" si="8"/>
        <v>#VALUE!</v>
      </c>
    </row>
    <row r="146" spans="1:13" x14ac:dyDescent="0.3">
      <c r="A146" t="s">
        <v>584</v>
      </c>
      <c r="J146" t="str">
        <f t="shared" si="6"/>
        <v>VII</v>
      </c>
      <c r="K146" s="1" t="str">
        <f t="shared" si="7"/>
        <v>1997-07-01</v>
      </c>
      <c r="L146" t="s">
        <v>1445</v>
      </c>
      <c r="M146" s="7" t="e">
        <f t="shared" si="8"/>
        <v>#VALUE!</v>
      </c>
    </row>
    <row r="147" spans="1:13" x14ac:dyDescent="0.3">
      <c r="A147" t="s">
        <v>585</v>
      </c>
      <c r="J147" t="str">
        <f t="shared" si="6"/>
        <v>VIII</v>
      </c>
      <c r="K147" s="1" t="str">
        <f t="shared" si="7"/>
        <v>1997-08-01</v>
      </c>
      <c r="L147" t="s">
        <v>1446</v>
      </c>
      <c r="M147" s="7" t="e">
        <f t="shared" si="8"/>
        <v>#VALUE!</v>
      </c>
    </row>
    <row r="148" spans="1:13" x14ac:dyDescent="0.3">
      <c r="A148" t="s">
        <v>586</v>
      </c>
      <c r="J148" t="str">
        <f t="shared" si="6"/>
        <v>IX</v>
      </c>
      <c r="K148" s="1" t="str">
        <f t="shared" si="7"/>
        <v>1997-09-01</v>
      </c>
      <c r="L148" t="s">
        <v>1447</v>
      </c>
      <c r="M148" s="7" t="e">
        <f t="shared" si="8"/>
        <v>#VALUE!</v>
      </c>
    </row>
    <row r="149" spans="1:13" x14ac:dyDescent="0.3">
      <c r="A149" t="s">
        <v>587</v>
      </c>
      <c r="J149" t="str">
        <f t="shared" si="6"/>
        <v>X</v>
      </c>
      <c r="K149" s="1" t="str">
        <f t="shared" si="7"/>
        <v>1997-10-01</v>
      </c>
      <c r="L149" t="s">
        <v>1448</v>
      </c>
      <c r="M149" s="7" t="e">
        <f t="shared" si="8"/>
        <v>#VALUE!</v>
      </c>
    </row>
    <row r="150" spans="1:13" x14ac:dyDescent="0.3">
      <c r="A150" t="s">
        <v>588</v>
      </c>
      <c r="J150" t="str">
        <f t="shared" si="6"/>
        <v>XI</v>
      </c>
      <c r="K150" s="1" t="str">
        <f t="shared" si="7"/>
        <v>1997-11-01</v>
      </c>
      <c r="L150" t="s">
        <v>1449</v>
      </c>
      <c r="M150" s="7" t="e">
        <f t="shared" si="8"/>
        <v>#VALUE!</v>
      </c>
    </row>
    <row r="151" spans="1:13" x14ac:dyDescent="0.3">
      <c r="A151" t="s">
        <v>589</v>
      </c>
      <c r="J151" t="str">
        <f t="shared" si="6"/>
        <v>XII</v>
      </c>
      <c r="K151" s="1" t="str">
        <f t="shared" si="7"/>
        <v>1997-12-01</v>
      </c>
      <c r="L151" t="s">
        <v>1450</v>
      </c>
      <c r="M151" s="7" t="e">
        <f t="shared" si="8"/>
        <v>#VALUE!</v>
      </c>
    </row>
    <row r="152" spans="1:13" x14ac:dyDescent="0.3">
      <c r="A152" t="s">
        <v>590</v>
      </c>
      <c r="J152" t="str">
        <f t="shared" si="6"/>
        <v>I</v>
      </c>
      <c r="K152" s="1" t="str">
        <f t="shared" si="7"/>
        <v>1998-01-01</v>
      </c>
      <c r="L152" t="s">
        <v>1451</v>
      </c>
      <c r="M152" s="7" t="e">
        <f t="shared" si="8"/>
        <v>#VALUE!</v>
      </c>
    </row>
    <row r="153" spans="1:13" x14ac:dyDescent="0.3">
      <c r="A153" t="s">
        <v>591</v>
      </c>
      <c r="J153" t="str">
        <f t="shared" si="6"/>
        <v>II</v>
      </c>
      <c r="K153" s="1" t="str">
        <f t="shared" si="7"/>
        <v>1998-02-01</v>
      </c>
      <c r="L153" t="s">
        <v>1452</v>
      </c>
      <c r="M153" s="7" t="e">
        <f t="shared" si="8"/>
        <v>#VALUE!</v>
      </c>
    </row>
    <row r="154" spans="1:13" x14ac:dyDescent="0.3">
      <c r="A154" t="s">
        <v>592</v>
      </c>
      <c r="J154" t="str">
        <f t="shared" si="6"/>
        <v>III</v>
      </c>
      <c r="K154" s="1" t="str">
        <f t="shared" si="7"/>
        <v>1998-03-01</v>
      </c>
      <c r="L154" t="s">
        <v>1453</v>
      </c>
      <c r="M154" s="7" t="e">
        <f t="shared" si="8"/>
        <v>#VALUE!</v>
      </c>
    </row>
    <row r="155" spans="1:13" x14ac:dyDescent="0.3">
      <c r="A155" t="s">
        <v>593</v>
      </c>
      <c r="J155" t="str">
        <f t="shared" si="6"/>
        <v>IV</v>
      </c>
      <c r="K155" s="1" t="str">
        <f t="shared" si="7"/>
        <v>1998-04-01</v>
      </c>
      <c r="L155" t="s">
        <v>1454</v>
      </c>
      <c r="M155" s="7" t="e">
        <f t="shared" si="8"/>
        <v>#VALUE!</v>
      </c>
    </row>
    <row r="156" spans="1:13" x14ac:dyDescent="0.3">
      <c r="A156" t="s">
        <v>594</v>
      </c>
      <c r="J156" t="str">
        <f t="shared" si="6"/>
        <v>V</v>
      </c>
      <c r="K156" s="1" t="str">
        <f t="shared" si="7"/>
        <v>1998-05-01</v>
      </c>
      <c r="L156" t="s">
        <v>1455</v>
      </c>
      <c r="M156" s="7" t="e">
        <f t="shared" si="8"/>
        <v>#VALUE!</v>
      </c>
    </row>
    <row r="157" spans="1:13" x14ac:dyDescent="0.3">
      <c r="A157" t="s">
        <v>595</v>
      </c>
      <c r="J157" t="str">
        <f t="shared" si="6"/>
        <v>VI</v>
      </c>
      <c r="K157" s="1" t="str">
        <f t="shared" si="7"/>
        <v>1998-06-01</v>
      </c>
      <c r="L157" t="s">
        <v>1456</v>
      </c>
      <c r="M157" s="7" t="e">
        <f t="shared" si="8"/>
        <v>#VALUE!</v>
      </c>
    </row>
    <row r="158" spans="1:13" x14ac:dyDescent="0.3">
      <c r="A158" t="s">
        <v>596</v>
      </c>
      <c r="J158" t="str">
        <f t="shared" si="6"/>
        <v>VII</v>
      </c>
      <c r="K158" s="1" t="str">
        <f t="shared" si="7"/>
        <v>1998-07-01</v>
      </c>
      <c r="L158" t="s">
        <v>1457</v>
      </c>
      <c r="M158" s="7" t="e">
        <f t="shared" si="8"/>
        <v>#VALUE!</v>
      </c>
    </row>
    <row r="159" spans="1:13" x14ac:dyDescent="0.3">
      <c r="A159" t="s">
        <v>597</v>
      </c>
      <c r="J159" t="str">
        <f t="shared" si="6"/>
        <v>VIII</v>
      </c>
      <c r="K159" s="1" t="str">
        <f t="shared" si="7"/>
        <v>1998-08-01</v>
      </c>
      <c r="L159" t="s">
        <v>1458</v>
      </c>
      <c r="M159" s="7" t="e">
        <f t="shared" si="8"/>
        <v>#VALUE!</v>
      </c>
    </row>
    <row r="160" spans="1:13" x14ac:dyDescent="0.3">
      <c r="A160" t="s">
        <v>598</v>
      </c>
      <c r="J160" t="str">
        <f t="shared" si="6"/>
        <v>IX</v>
      </c>
      <c r="K160" s="1" t="str">
        <f t="shared" si="7"/>
        <v>1998-09-01</v>
      </c>
      <c r="L160" t="s">
        <v>1459</v>
      </c>
      <c r="M160" s="7" t="e">
        <f t="shared" si="8"/>
        <v>#VALUE!</v>
      </c>
    </row>
    <row r="161" spans="1:13" x14ac:dyDescent="0.3">
      <c r="A161" t="s">
        <v>599</v>
      </c>
      <c r="J161" t="str">
        <f t="shared" si="6"/>
        <v>X</v>
      </c>
      <c r="K161" s="1" t="str">
        <f t="shared" si="7"/>
        <v>1998-10-01</v>
      </c>
      <c r="L161" t="s">
        <v>1460</v>
      </c>
      <c r="M161" s="7" t="e">
        <f t="shared" si="8"/>
        <v>#VALUE!</v>
      </c>
    </row>
    <row r="162" spans="1:13" x14ac:dyDescent="0.3">
      <c r="A162" t="s">
        <v>600</v>
      </c>
      <c r="J162" t="str">
        <f t="shared" si="6"/>
        <v>XI</v>
      </c>
      <c r="K162" s="1" t="str">
        <f t="shared" si="7"/>
        <v>1998-11-01</v>
      </c>
      <c r="L162" t="s">
        <v>1461</v>
      </c>
      <c r="M162" s="7" t="e">
        <f t="shared" si="8"/>
        <v>#VALUE!</v>
      </c>
    </row>
    <row r="163" spans="1:13" x14ac:dyDescent="0.3">
      <c r="A163" t="s">
        <v>601</v>
      </c>
      <c r="J163" t="str">
        <f t="shared" si="6"/>
        <v>XII</v>
      </c>
      <c r="K163" s="1" t="str">
        <f t="shared" si="7"/>
        <v>1998-12-01</v>
      </c>
      <c r="L163" t="s">
        <v>1462</v>
      </c>
      <c r="M163" s="7" t="e">
        <f t="shared" si="8"/>
        <v>#VALUE!</v>
      </c>
    </row>
    <row r="164" spans="1:13" x14ac:dyDescent="0.3">
      <c r="A164" t="s">
        <v>602</v>
      </c>
      <c r="J164" t="str">
        <f t="shared" si="6"/>
        <v>I</v>
      </c>
      <c r="K164" s="1" t="str">
        <f t="shared" si="7"/>
        <v>1999-01-01</v>
      </c>
      <c r="L164" t="s">
        <v>1463</v>
      </c>
      <c r="M164" s="7" t="e">
        <f t="shared" si="8"/>
        <v>#VALUE!</v>
      </c>
    </row>
    <row r="165" spans="1:13" x14ac:dyDescent="0.3">
      <c r="A165" t="s">
        <v>603</v>
      </c>
      <c r="J165" t="str">
        <f t="shared" si="6"/>
        <v>II</v>
      </c>
      <c r="K165" s="1" t="str">
        <f t="shared" si="7"/>
        <v>1999-02-01</v>
      </c>
      <c r="L165" t="s">
        <v>1464</v>
      </c>
      <c r="M165" s="7" t="e">
        <f t="shared" si="8"/>
        <v>#VALUE!</v>
      </c>
    </row>
    <row r="166" spans="1:13" x14ac:dyDescent="0.3">
      <c r="A166" t="s">
        <v>604</v>
      </c>
      <c r="J166" t="str">
        <f t="shared" si="6"/>
        <v>III</v>
      </c>
      <c r="K166" s="1" t="str">
        <f t="shared" si="7"/>
        <v>1999-03-01</v>
      </c>
      <c r="L166" t="s">
        <v>1465</v>
      </c>
      <c r="M166" s="7" t="e">
        <f t="shared" si="8"/>
        <v>#VALUE!</v>
      </c>
    </row>
    <row r="167" spans="1:13" x14ac:dyDescent="0.3">
      <c r="A167" t="s">
        <v>605</v>
      </c>
      <c r="J167" t="str">
        <f t="shared" si="6"/>
        <v>IV</v>
      </c>
      <c r="K167" s="1" t="str">
        <f t="shared" si="7"/>
        <v>1999-04-01</v>
      </c>
      <c r="L167" t="s">
        <v>1466</v>
      </c>
      <c r="M167" s="7" t="e">
        <f t="shared" si="8"/>
        <v>#VALUE!</v>
      </c>
    </row>
    <row r="168" spans="1:13" x14ac:dyDescent="0.3">
      <c r="A168" t="s">
        <v>606</v>
      </c>
      <c r="J168" t="str">
        <f t="shared" si="6"/>
        <v>V</v>
      </c>
      <c r="K168" s="1" t="str">
        <f t="shared" si="7"/>
        <v>1999-05-01</v>
      </c>
      <c r="L168" t="s">
        <v>1467</v>
      </c>
      <c r="M168" s="7" t="e">
        <f t="shared" si="8"/>
        <v>#VALUE!</v>
      </c>
    </row>
    <row r="169" spans="1:13" x14ac:dyDescent="0.3">
      <c r="A169" t="s">
        <v>607</v>
      </c>
      <c r="J169" t="str">
        <f t="shared" si="6"/>
        <v>VI</v>
      </c>
      <c r="K169" s="1" t="str">
        <f t="shared" si="7"/>
        <v>1999-06-01</v>
      </c>
      <c r="L169" t="s">
        <v>1468</v>
      </c>
      <c r="M169" s="7" t="e">
        <f t="shared" si="8"/>
        <v>#VALUE!</v>
      </c>
    </row>
    <row r="170" spans="1:13" x14ac:dyDescent="0.3">
      <c r="A170" t="s">
        <v>608</v>
      </c>
      <c r="J170" t="str">
        <f t="shared" si="6"/>
        <v>VII</v>
      </c>
      <c r="K170" s="1" t="str">
        <f t="shared" si="7"/>
        <v>1999-07-01</v>
      </c>
      <c r="L170" t="s">
        <v>1469</v>
      </c>
      <c r="M170" s="7" t="e">
        <f t="shared" si="8"/>
        <v>#VALUE!</v>
      </c>
    </row>
    <row r="171" spans="1:13" x14ac:dyDescent="0.3">
      <c r="A171" t="s">
        <v>609</v>
      </c>
      <c r="J171" t="str">
        <f t="shared" si="6"/>
        <v>VIII</v>
      </c>
      <c r="K171" s="1" t="str">
        <f t="shared" si="7"/>
        <v>1999-08-01</v>
      </c>
      <c r="L171" t="s">
        <v>1470</v>
      </c>
      <c r="M171" s="7" t="e">
        <f t="shared" si="8"/>
        <v>#VALUE!</v>
      </c>
    </row>
    <row r="172" spans="1:13" x14ac:dyDescent="0.3">
      <c r="A172" t="s">
        <v>610</v>
      </c>
      <c r="J172" t="str">
        <f t="shared" si="6"/>
        <v>IX</v>
      </c>
      <c r="K172" s="1" t="str">
        <f t="shared" si="7"/>
        <v>1999-09-01</v>
      </c>
      <c r="L172" t="s">
        <v>1471</v>
      </c>
      <c r="M172" s="7" t="e">
        <f t="shared" si="8"/>
        <v>#VALUE!</v>
      </c>
    </row>
    <row r="173" spans="1:13" x14ac:dyDescent="0.3">
      <c r="A173" t="s">
        <v>611</v>
      </c>
      <c r="J173" t="str">
        <f t="shared" si="6"/>
        <v>X</v>
      </c>
      <c r="K173" s="1" t="str">
        <f t="shared" si="7"/>
        <v>1999-10-01</v>
      </c>
      <c r="L173" t="s">
        <v>1472</v>
      </c>
      <c r="M173" s="7" t="e">
        <f t="shared" si="8"/>
        <v>#VALUE!</v>
      </c>
    </row>
    <row r="174" spans="1:13" x14ac:dyDescent="0.3">
      <c r="A174" t="s">
        <v>612</v>
      </c>
      <c r="J174" t="str">
        <f t="shared" si="6"/>
        <v>XI</v>
      </c>
      <c r="K174" s="1" t="str">
        <f t="shared" si="7"/>
        <v>1999-11-01</v>
      </c>
      <c r="L174" t="s">
        <v>1473</v>
      </c>
      <c r="M174" s="7" t="e">
        <f t="shared" si="8"/>
        <v>#VALUE!</v>
      </c>
    </row>
    <row r="175" spans="1:13" x14ac:dyDescent="0.3">
      <c r="A175" t="s">
        <v>613</v>
      </c>
      <c r="J175" t="str">
        <f t="shared" si="6"/>
        <v>XII</v>
      </c>
      <c r="K175" s="1" t="str">
        <f t="shared" si="7"/>
        <v>1999-12-01</v>
      </c>
      <c r="L175" t="s">
        <v>1474</v>
      </c>
      <c r="M175" s="7" t="e">
        <f t="shared" si="8"/>
        <v>#VALUE!</v>
      </c>
    </row>
    <row r="176" spans="1:13" x14ac:dyDescent="0.3">
      <c r="A176" t="s">
        <v>614</v>
      </c>
      <c r="J176" t="str">
        <f t="shared" si="6"/>
        <v>I</v>
      </c>
      <c r="K176" s="1" t="str">
        <f t="shared" si="7"/>
        <v>2000-01-01</v>
      </c>
      <c r="L176" t="s">
        <v>1475</v>
      </c>
      <c r="M176" s="7" t="e">
        <f t="shared" si="8"/>
        <v>#VALUE!</v>
      </c>
    </row>
    <row r="177" spans="1:13" x14ac:dyDescent="0.3">
      <c r="A177" t="s">
        <v>615</v>
      </c>
      <c r="J177" t="str">
        <f t="shared" si="6"/>
        <v>II</v>
      </c>
      <c r="K177" s="1" t="str">
        <f t="shared" si="7"/>
        <v>2000-02-01</v>
      </c>
      <c r="L177" t="s">
        <v>1476</v>
      </c>
      <c r="M177" s="7" t="e">
        <f t="shared" si="8"/>
        <v>#VALUE!</v>
      </c>
    </row>
    <row r="178" spans="1:13" x14ac:dyDescent="0.3">
      <c r="A178" t="s">
        <v>616</v>
      </c>
      <c r="J178" t="str">
        <f t="shared" si="6"/>
        <v>III</v>
      </c>
      <c r="K178" s="1" t="str">
        <f t="shared" si="7"/>
        <v>2000-03-01</v>
      </c>
      <c r="L178" t="s">
        <v>1477</v>
      </c>
      <c r="M178" s="7" t="e">
        <f t="shared" si="8"/>
        <v>#VALUE!</v>
      </c>
    </row>
    <row r="179" spans="1:13" x14ac:dyDescent="0.3">
      <c r="A179" t="s">
        <v>617</v>
      </c>
      <c r="J179" t="str">
        <f t="shared" si="6"/>
        <v>IV</v>
      </c>
      <c r="K179" s="1" t="str">
        <f t="shared" si="7"/>
        <v>2000-04-01</v>
      </c>
      <c r="L179" t="s">
        <v>1478</v>
      </c>
      <c r="M179" s="7" t="e">
        <f t="shared" si="8"/>
        <v>#VALUE!</v>
      </c>
    </row>
    <row r="180" spans="1:13" x14ac:dyDescent="0.3">
      <c r="A180" t="s">
        <v>618</v>
      </c>
      <c r="J180" t="str">
        <f t="shared" si="6"/>
        <v>V</v>
      </c>
      <c r="K180" s="1" t="str">
        <f t="shared" si="7"/>
        <v>2000-05-01</v>
      </c>
      <c r="L180" t="s">
        <v>1479</v>
      </c>
      <c r="M180" s="7" t="e">
        <f t="shared" si="8"/>
        <v>#VALUE!</v>
      </c>
    </row>
    <row r="181" spans="1:13" x14ac:dyDescent="0.3">
      <c r="A181" t="s">
        <v>619</v>
      </c>
      <c r="J181" t="str">
        <f t="shared" si="6"/>
        <v>VI</v>
      </c>
      <c r="K181" s="1" t="str">
        <f t="shared" si="7"/>
        <v>2000-06-01</v>
      </c>
      <c r="L181" t="s">
        <v>1480</v>
      </c>
      <c r="M181" s="7" t="e">
        <f t="shared" si="8"/>
        <v>#VALUE!</v>
      </c>
    </row>
    <row r="182" spans="1:13" x14ac:dyDescent="0.3">
      <c r="A182" t="s">
        <v>620</v>
      </c>
      <c r="J182" t="str">
        <f t="shared" si="6"/>
        <v>VII</v>
      </c>
      <c r="K182" s="1" t="str">
        <f t="shared" si="7"/>
        <v>2000-07-01</v>
      </c>
      <c r="L182" t="s">
        <v>1481</v>
      </c>
      <c r="M182" s="7" t="e">
        <f t="shared" si="8"/>
        <v>#VALUE!</v>
      </c>
    </row>
    <row r="183" spans="1:13" x14ac:dyDescent="0.3">
      <c r="A183" t="s">
        <v>621</v>
      </c>
      <c r="J183" t="str">
        <f t="shared" si="6"/>
        <v>VIII</v>
      </c>
      <c r="K183" s="1" t="str">
        <f t="shared" si="7"/>
        <v>2000-08-01</v>
      </c>
      <c r="L183" t="s">
        <v>1482</v>
      </c>
      <c r="M183" s="7" t="e">
        <f t="shared" si="8"/>
        <v>#VALUE!</v>
      </c>
    </row>
    <row r="184" spans="1:13" x14ac:dyDescent="0.3">
      <c r="A184" t="s">
        <v>622</v>
      </c>
      <c r="J184" t="str">
        <f t="shared" si="6"/>
        <v>IX</v>
      </c>
      <c r="K184" s="1" t="str">
        <f t="shared" si="7"/>
        <v>2000-09-01</v>
      </c>
      <c r="L184" t="s">
        <v>1483</v>
      </c>
      <c r="M184" s="7" t="e">
        <f t="shared" si="8"/>
        <v>#VALUE!</v>
      </c>
    </row>
    <row r="185" spans="1:13" x14ac:dyDescent="0.3">
      <c r="A185" t="s">
        <v>623</v>
      </c>
      <c r="J185" t="str">
        <f t="shared" si="6"/>
        <v>X</v>
      </c>
      <c r="K185" s="1" t="str">
        <f t="shared" si="7"/>
        <v>2000-10-01</v>
      </c>
      <c r="L185" t="s">
        <v>1484</v>
      </c>
      <c r="M185" s="7" t="e">
        <f t="shared" si="8"/>
        <v>#VALUE!</v>
      </c>
    </row>
    <row r="186" spans="1:13" x14ac:dyDescent="0.3">
      <c r="A186" t="s">
        <v>624</v>
      </c>
      <c r="J186" t="str">
        <f t="shared" si="6"/>
        <v>XI</v>
      </c>
      <c r="K186" s="1" t="str">
        <f t="shared" si="7"/>
        <v>2000-11-01</v>
      </c>
      <c r="L186" t="s">
        <v>1485</v>
      </c>
      <c r="M186" s="7" t="e">
        <f t="shared" si="8"/>
        <v>#VALUE!</v>
      </c>
    </row>
    <row r="187" spans="1:13" x14ac:dyDescent="0.3">
      <c r="A187" t="s">
        <v>625</v>
      </c>
      <c r="J187" t="str">
        <f t="shared" si="6"/>
        <v>XII</v>
      </c>
      <c r="K187" s="1" t="str">
        <f t="shared" si="7"/>
        <v>2000-12-01</v>
      </c>
      <c r="L187" t="s">
        <v>1486</v>
      </c>
      <c r="M187" s="7" t="e">
        <f t="shared" si="8"/>
        <v>#VALUE!</v>
      </c>
    </row>
    <row r="188" spans="1:13" x14ac:dyDescent="0.3">
      <c r="A188" t="s">
        <v>626</v>
      </c>
      <c r="J188" t="str">
        <f t="shared" si="6"/>
        <v>I</v>
      </c>
      <c r="K188" s="1" t="str">
        <f t="shared" si="7"/>
        <v>2001-01-01</v>
      </c>
      <c r="L188" t="s">
        <v>1487</v>
      </c>
      <c r="M188" s="7" t="e">
        <f t="shared" si="8"/>
        <v>#VALUE!</v>
      </c>
    </row>
    <row r="189" spans="1:13" x14ac:dyDescent="0.3">
      <c r="A189" t="s">
        <v>627</v>
      </c>
      <c r="J189" t="str">
        <f t="shared" si="6"/>
        <v>II</v>
      </c>
      <c r="K189" s="1" t="str">
        <f t="shared" si="7"/>
        <v>2001-02-01</v>
      </c>
      <c r="L189" t="s">
        <v>1488</v>
      </c>
      <c r="M189" s="7" t="e">
        <f t="shared" si="8"/>
        <v>#VALUE!</v>
      </c>
    </row>
    <row r="190" spans="1:13" x14ac:dyDescent="0.3">
      <c r="A190" t="s">
        <v>628</v>
      </c>
      <c r="J190" t="str">
        <f t="shared" si="6"/>
        <v>III</v>
      </c>
      <c r="K190" s="1" t="str">
        <f t="shared" si="7"/>
        <v>2001-03-01</v>
      </c>
      <c r="L190" t="s">
        <v>1489</v>
      </c>
      <c r="M190" s="7" t="e">
        <f t="shared" si="8"/>
        <v>#VALUE!</v>
      </c>
    </row>
    <row r="191" spans="1:13" x14ac:dyDescent="0.3">
      <c r="A191" t="s">
        <v>629</v>
      </c>
      <c r="J191" t="str">
        <f t="shared" si="6"/>
        <v>IV</v>
      </c>
      <c r="K191" s="1" t="str">
        <f t="shared" si="7"/>
        <v>2001-04-01</v>
      </c>
      <c r="L191" t="s">
        <v>1490</v>
      </c>
      <c r="M191" s="7" t="e">
        <f t="shared" si="8"/>
        <v>#VALUE!</v>
      </c>
    </row>
    <row r="192" spans="1:13" x14ac:dyDescent="0.3">
      <c r="A192" t="s">
        <v>630</v>
      </c>
      <c r="J192" t="str">
        <f t="shared" si="6"/>
        <v>V</v>
      </c>
      <c r="K192" s="1" t="str">
        <f t="shared" si="7"/>
        <v>2001-05-01</v>
      </c>
      <c r="L192" t="s">
        <v>1491</v>
      </c>
      <c r="M192" s="7" t="e">
        <f t="shared" si="8"/>
        <v>#VALUE!</v>
      </c>
    </row>
    <row r="193" spans="1:13" x14ac:dyDescent="0.3">
      <c r="A193" t="s">
        <v>631</v>
      </c>
      <c r="J193" t="str">
        <f t="shared" si="6"/>
        <v>VI</v>
      </c>
      <c r="K193" s="1" t="str">
        <f t="shared" si="7"/>
        <v>2001-06-01</v>
      </c>
      <c r="L193" t="s">
        <v>1492</v>
      </c>
      <c r="M193" s="7" t="e">
        <f t="shared" si="8"/>
        <v>#VALUE!</v>
      </c>
    </row>
    <row r="194" spans="1:13" x14ac:dyDescent="0.3">
      <c r="A194" t="s">
        <v>632</v>
      </c>
      <c r="J194" t="str">
        <f t="shared" si="6"/>
        <v>VII</v>
      </c>
      <c r="K194" s="1" t="str">
        <f t="shared" si="7"/>
        <v>2001-07-01</v>
      </c>
      <c r="L194" t="s">
        <v>1493</v>
      </c>
      <c r="M194" s="7" t="e">
        <f t="shared" si="8"/>
        <v>#VALUE!</v>
      </c>
    </row>
    <row r="195" spans="1:13" x14ac:dyDescent="0.3">
      <c r="A195" t="s">
        <v>633</v>
      </c>
      <c r="J195" t="str">
        <f t="shared" ref="J195:J258" si="9">TEXT(K195,"mmm")</f>
        <v>VIII</v>
      </c>
      <c r="K195" s="1" t="str">
        <f t="shared" ref="K195:K258" si="10">LEFT(A195,10)</f>
        <v>2001-08-01</v>
      </c>
      <c r="L195" t="s">
        <v>1494</v>
      </c>
      <c r="M195" s="7" t="e">
        <f t="shared" si="8"/>
        <v>#VALUE!</v>
      </c>
    </row>
    <row r="196" spans="1:13" x14ac:dyDescent="0.3">
      <c r="A196" t="s">
        <v>634</v>
      </c>
      <c r="J196" t="str">
        <f t="shared" si="9"/>
        <v>IX</v>
      </c>
      <c r="K196" s="1" t="str">
        <f t="shared" si="10"/>
        <v>2001-09-01</v>
      </c>
      <c r="L196" t="s">
        <v>1495</v>
      </c>
      <c r="M196" s="7" t="e">
        <f t="shared" ref="M196:M259" si="11">(L196/L195)-1</f>
        <v>#VALUE!</v>
      </c>
    </row>
    <row r="197" spans="1:13" x14ac:dyDescent="0.3">
      <c r="A197" t="s">
        <v>635</v>
      </c>
      <c r="J197" t="str">
        <f t="shared" si="9"/>
        <v>X</v>
      </c>
      <c r="K197" s="1" t="str">
        <f t="shared" si="10"/>
        <v>2001-10-01</v>
      </c>
      <c r="L197" t="s">
        <v>1496</v>
      </c>
      <c r="M197" s="7" t="e">
        <f t="shared" si="11"/>
        <v>#VALUE!</v>
      </c>
    </row>
    <row r="198" spans="1:13" x14ac:dyDescent="0.3">
      <c r="A198" t="s">
        <v>636</v>
      </c>
      <c r="J198" t="str">
        <f t="shared" si="9"/>
        <v>XI</v>
      </c>
      <c r="K198" s="1" t="str">
        <f t="shared" si="10"/>
        <v>2001-11-01</v>
      </c>
      <c r="L198" t="s">
        <v>1497</v>
      </c>
      <c r="M198" s="7" t="e">
        <f t="shared" si="11"/>
        <v>#VALUE!</v>
      </c>
    </row>
    <row r="199" spans="1:13" x14ac:dyDescent="0.3">
      <c r="A199" t="s">
        <v>637</v>
      </c>
      <c r="J199" t="str">
        <f t="shared" si="9"/>
        <v>XII</v>
      </c>
      <c r="K199" s="1" t="str">
        <f t="shared" si="10"/>
        <v>2001-12-01</v>
      </c>
      <c r="L199" t="s">
        <v>1498</v>
      </c>
      <c r="M199" s="7" t="e">
        <f t="shared" si="11"/>
        <v>#VALUE!</v>
      </c>
    </row>
    <row r="200" spans="1:13" x14ac:dyDescent="0.3">
      <c r="A200" t="s">
        <v>638</v>
      </c>
      <c r="J200" t="str">
        <f t="shared" si="9"/>
        <v>I</v>
      </c>
      <c r="K200" s="1" t="str">
        <f t="shared" si="10"/>
        <v>2002-01-01</v>
      </c>
      <c r="L200" t="s">
        <v>1499</v>
      </c>
      <c r="M200" s="7" t="e">
        <f t="shared" si="11"/>
        <v>#VALUE!</v>
      </c>
    </row>
    <row r="201" spans="1:13" x14ac:dyDescent="0.3">
      <c r="A201" t="s">
        <v>639</v>
      </c>
      <c r="J201" t="str">
        <f t="shared" si="9"/>
        <v>II</v>
      </c>
      <c r="K201" s="1" t="str">
        <f t="shared" si="10"/>
        <v>2002-02-01</v>
      </c>
      <c r="L201" t="s">
        <v>1500</v>
      </c>
      <c r="M201" s="7" t="e">
        <f t="shared" si="11"/>
        <v>#VALUE!</v>
      </c>
    </row>
    <row r="202" spans="1:13" x14ac:dyDescent="0.3">
      <c r="A202" t="s">
        <v>640</v>
      </c>
      <c r="J202" t="str">
        <f t="shared" si="9"/>
        <v>III</v>
      </c>
      <c r="K202" s="1" t="str">
        <f t="shared" si="10"/>
        <v>2002-03-01</v>
      </c>
      <c r="L202" t="s">
        <v>1501</v>
      </c>
      <c r="M202" s="7" t="e">
        <f t="shared" si="11"/>
        <v>#VALUE!</v>
      </c>
    </row>
    <row r="203" spans="1:13" x14ac:dyDescent="0.3">
      <c r="A203" t="s">
        <v>641</v>
      </c>
      <c r="J203" t="str">
        <f t="shared" si="9"/>
        <v>IV</v>
      </c>
      <c r="K203" s="1" t="str">
        <f t="shared" si="10"/>
        <v>2002-04-01</v>
      </c>
      <c r="L203" t="s">
        <v>1502</v>
      </c>
      <c r="M203" s="7" t="e">
        <f t="shared" si="11"/>
        <v>#VALUE!</v>
      </c>
    </row>
    <row r="204" spans="1:13" x14ac:dyDescent="0.3">
      <c r="A204" t="s">
        <v>642</v>
      </c>
      <c r="J204" t="str">
        <f t="shared" si="9"/>
        <v>V</v>
      </c>
      <c r="K204" s="1" t="str">
        <f t="shared" si="10"/>
        <v>2002-05-01</v>
      </c>
      <c r="L204" t="s">
        <v>1503</v>
      </c>
      <c r="M204" s="7" t="e">
        <f t="shared" si="11"/>
        <v>#VALUE!</v>
      </c>
    </row>
    <row r="205" spans="1:13" x14ac:dyDescent="0.3">
      <c r="A205" t="s">
        <v>643</v>
      </c>
      <c r="J205" t="str">
        <f t="shared" si="9"/>
        <v>VI</v>
      </c>
      <c r="K205" s="1" t="str">
        <f t="shared" si="10"/>
        <v>2002-06-01</v>
      </c>
      <c r="L205" t="s">
        <v>1504</v>
      </c>
      <c r="M205" s="7" t="e">
        <f t="shared" si="11"/>
        <v>#VALUE!</v>
      </c>
    </row>
    <row r="206" spans="1:13" x14ac:dyDescent="0.3">
      <c r="A206" t="s">
        <v>644</v>
      </c>
      <c r="J206" t="str">
        <f t="shared" si="9"/>
        <v>VII</v>
      </c>
      <c r="K206" s="1" t="str">
        <f t="shared" si="10"/>
        <v>2002-07-01</v>
      </c>
      <c r="L206" t="s">
        <v>1505</v>
      </c>
      <c r="M206" s="7" t="e">
        <f t="shared" si="11"/>
        <v>#VALUE!</v>
      </c>
    </row>
    <row r="207" spans="1:13" x14ac:dyDescent="0.3">
      <c r="A207" t="s">
        <v>645</v>
      </c>
      <c r="J207" t="str">
        <f t="shared" si="9"/>
        <v>VIII</v>
      </c>
      <c r="K207" s="1" t="str">
        <f t="shared" si="10"/>
        <v>2002-08-01</v>
      </c>
      <c r="L207" t="s">
        <v>1506</v>
      </c>
      <c r="M207" s="7" t="e">
        <f t="shared" si="11"/>
        <v>#VALUE!</v>
      </c>
    </row>
    <row r="208" spans="1:13" x14ac:dyDescent="0.3">
      <c r="A208" t="s">
        <v>646</v>
      </c>
      <c r="J208" t="str">
        <f t="shared" si="9"/>
        <v>IX</v>
      </c>
      <c r="K208" s="1" t="str">
        <f t="shared" si="10"/>
        <v>2002-09-01</v>
      </c>
      <c r="L208" t="s">
        <v>1507</v>
      </c>
      <c r="M208" s="7" t="e">
        <f t="shared" si="11"/>
        <v>#VALUE!</v>
      </c>
    </row>
    <row r="209" spans="1:13" x14ac:dyDescent="0.3">
      <c r="A209" t="s">
        <v>647</v>
      </c>
      <c r="J209" t="str">
        <f t="shared" si="9"/>
        <v>X</v>
      </c>
      <c r="K209" s="1" t="str">
        <f t="shared" si="10"/>
        <v>2002-10-01</v>
      </c>
      <c r="L209" t="s">
        <v>1508</v>
      </c>
      <c r="M209" s="7" t="e">
        <f t="shared" si="11"/>
        <v>#VALUE!</v>
      </c>
    </row>
    <row r="210" spans="1:13" x14ac:dyDescent="0.3">
      <c r="A210" t="s">
        <v>648</v>
      </c>
      <c r="J210" t="str">
        <f t="shared" si="9"/>
        <v>XI</v>
      </c>
      <c r="K210" s="1" t="str">
        <f t="shared" si="10"/>
        <v>2002-11-01</v>
      </c>
      <c r="L210" t="s">
        <v>1509</v>
      </c>
      <c r="M210" s="7" t="e">
        <f t="shared" si="11"/>
        <v>#VALUE!</v>
      </c>
    </row>
    <row r="211" spans="1:13" x14ac:dyDescent="0.3">
      <c r="A211" t="s">
        <v>649</v>
      </c>
      <c r="J211" t="str">
        <f t="shared" si="9"/>
        <v>XII</v>
      </c>
      <c r="K211" s="1" t="str">
        <f t="shared" si="10"/>
        <v>2002-12-01</v>
      </c>
      <c r="L211" t="s">
        <v>1510</v>
      </c>
      <c r="M211" s="7" t="e">
        <f t="shared" si="11"/>
        <v>#VALUE!</v>
      </c>
    </row>
    <row r="212" spans="1:13" x14ac:dyDescent="0.3">
      <c r="A212" t="s">
        <v>650</v>
      </c>
      <c r="J212" t="str">
        <f t="shared" si="9"/>
        <v>I</v>
      </c>
      <c r="K212" s="1" t="str">
        <f t="shared" si="10"/>
        <v>2003-01-01</v>
      </c>
      <c r="L212" t="s">
        <v>1511</v>
      </c>
      <c r="M212" s="7" t="e">
        <f t="shared" si="11"/>
        <v>#VALUE!</v>
      </c>
    </row>
    <row r="213" spans="1:13" x14ac:dyDescent="0.3">
      <c r="A213" t="s">
        <v>651</v>
      </c>
      <c r="J213" t="str">
        <f t="shared" si="9"/>
        <v>II</v>
      </c>
      <c r="K213" s="1" t="str">
        <f t="shared" si="10"/>
        <v>2003-02-01</v>
      </c>
      <c r="L213" t="s">
        <v>1512</v>
      </c>
      <c r="M213" s="7" t="e">
        <f t="shared" si="11"/>
        <v>#VALUE!</v>
      </c>
    </row>
    <row r="214" spans="1:13" x14ac:dyDescent="0.3">
      <c r="A214" t="s">
        <v>652</v>
      </c>
      <c r="J214" t="str">
        <f t="shared" si="9"/>
        <v>III</v>
      </c>
      <c r="K214" s="1" t="str">
        <f t="shared" si="10"/>
        <v>2003-03-01</v>
      </c>
      <c r="L214" t="s">
        <v>1513</v>
      </c>
      <c r="M214" s="7" t="e">
        <f t="shared" si="11"/>
        <v>#VALUE!</v>
      </c>
    </row>
    <row r="215" spans="1:13" x14ac:dyDescent="0.3">
      <c r="A215" t="s">
        <v>653</v>
      </c>
      <c r="J215" t="str">
        <f t="shared" si="9"/>
        <v>IV</v>
      </c>
      <c r="K215" s="1" t="str">
        <f t="shared" si="10"/>
        <v>2003-04-01</v>
      </c>
      <c r="L215" t="s">
        <v>1514</v>
      </c>
      <c r="M215" s="7" t="e">
        <f t="shared" si="11"/>
        <v>#VALUE!</v>
      </c>
    </row>
    <row r="216" spans="1:13" x14ac:dyDescent="0.3">
      <c r="A216" t="s">
        <v>654</v>
      </c>
      <c r="J216" t="str">
        <f t="shared" si="9"/>
        <v>V</v>
      </c>
      <c r="K216" s="1" t="str">
        <f t="shared" si="10"/>
        <v>2003-05-01</v>
      </c>
      <c r="L216" t="s">
        <v>1515</v>
      </c>
      <c r="M216" s="7" t="e">
        <f t="shared" si="11"/>
        <v>#VALUE!</v>
      </c>
    </row>
    <row r="217" spans="1:13" x14ac:dyDescent="0.3">
      <c r="A217" t="s">
        <v>655</v>
      </c>
      <c r="J217" t="str">
        <f t="shared" si="9"/>
        <v>VI</v>
      </c>
      <c r="K217" s="1" t="str">
        <f t="shared" si="10"/>
        <v>2003-06-01</v>
      </c>
      <c r="L217" t="s">
        <v>1516</v>
      </c>
      <c r="M217" s="7" t="e">
        <f t="shared" si="11"/>
        <v>#VALUE!</v>
      </c>
    </row>
    <row r="218" spans="1:13" x14ac:dyDescent="0.3">
      <c r="A218" t="s">
        <v>656</v>
      </c>
      <c r="J218" t="str">
        <f t="shared" si="9"/>
        <v>VII</v>
      </c>
      <c r="K218" s="1" t="str">
        <f t="shared" si="10"/>
        <v>2003-07-01</v>
      </c>
      <c r="L218" t="s">
        <v>1517</v>
      </c>
      <c r="M218" s="7" t="e">
        <f t="shared" si="11"/>
        <v>#VALUE!</v>
      </c>
    </row>
    <row r="219" spans="1:13" x14ac:dyDescent="0.3">
      <c r="A219" t="s">
        <v>657</v>
      </c>
      <c r="J219" t="str">
        <f t="shared" si="9"/>
        <v>VIII</v>
      </c>
      <c r="K219" s="1" t="str">
        <f t="shared" si="10"/>
        <v>2003-08-01</v>
      </c>
      <c r="L219" t="s">
        <v>1518</v>
      </c>
      <c r="M219" s="7" t="e">
        <f t="shared" si="11"/>
        <v>#VALUE!</v>
      </c>
    </row>
    <row r="220" spans="1:13" x14ac:dyDescent="0.3">
      <c r="A220" t="s">
        <v>658</v>
      </c>
      <c r="J220" t="str">
        <f t="shared" si="9"/>
        <v>IX</v>
      </c>
      <c r="K220" s="1" t="str">
        <f t="shared" si="10"/>
        <v>2003-09-01</v>
      </c>
      <c r="L220" t="s">
        <v>1519</v>
      </c>
      <c r="M220" s="7" t="e">
        <f t="shared" si="11"/>
        <v>#VALUE!</v>
      </c>
    </row>
    <row r="221" spans="1:13" x14ac:dyDescent="0.3">
      <c r="A221" t="s">
        <v>659</v>
      </c>
      <c r="J221" t="str">
        <f t="shared" si="9"/>
        <v>X</v>
      </c>
      <c r="K221" s="1" t="str">
        <f t="shared" si="10"/>
        <v>2003-10-01</v>
      </c>
      <c r="L221" t="s">
        <v>1520</v>
      </c>
      <c r="M221" s="7" t="e">
        <f t="shared" si="11"/>
        <v>#VALUE!</v>
      </c>
    </row>
    <row r="222" spans="1:13" x14ac:dyDescent="0.3">
      <c r="A222" t="s">
        <v>660</v>
      </c>
      <c r="J222" t="str">
        <f t="shared" si="9"/>
        <v>XI</v>
      </c>
      <c r="K222" s="1" t="str">
        <f t="shared" si="10"/>
        <v>2003-11-01</v>
      </c>
      <c r="L222" t="s">
        <v>1521</v>
      </c>
      <c r="M222" s="7" t="e">
        <f t="shared" si="11"/>
        <v>#VALUE!</v>
      </c>
    </row>
    <row r="223" spans="1:13" x14ac:dyDescent="0.3">
      <c r="A223" t="s">
        <v>661</v>
      </c>
      <c r="J223" t="str">
        <f t="shared" si="9"/>
        <v>XII</v>
      </c>
      <c r="K223" s="1" t="str">
        <f t="shared" si="10"/>
        <v>2003-12-01</v>
      </c>
      <c r="L223" t="s">
        <v>1522</v>
      </c>
      <c r="M223" s="7" t="e">
        <f t="shared" si="11"/>
        <v>#VALUE!</v>
      </c>
    </row>
    <row r="224" spans="1:13" x14ac:dyDescent="0.3">
      <c r="A224" t="s">
        <v>662</v>
      </c>
      <c r="J224" t="str">
        <f t="shared" si="9"/>
        <v>I</v>
      </c>
      <c r="K224" s="1" t="str">
        <f t="shared" si="10"/>
        <v>2004-01-01</v>
      </c>
      <c r="L224" t="s">
        <v>1523</v>
      </c>
      <c r="M224" s="7" t="e">
        <f t="shared" si="11"/>
        <v>#VALUE!</v>
      </c>
    </row>
    <row r="225" spans="1:13" x14ac:dyDescent="0.3">
      <c r="A225" t="s">
        <v>663</v>
      </c>
      <c r="J225" t="str">
        <f t="shared" si="9"/>
        <v>II</v>
      </c>
      <c r="K225" s="1" t="str">
        <f t="shared" si="10"/>
        <v>2004-02-01</v>
      </c>
      <c r="L225" t="s">
        <v>1524</v>
      </c>
      <c r="M225" s="7" t="e">
        <f t="shared" si="11"/>
        <v>#VALUE!</v>
      </c>
    </row>
    <row r="226" spans="1:13" x14ac:dyDescent="0.3">
      <c r="A226" t="s">
        <v>664</v>
      </c>
      <c r="J226" t="str">
        <f t="shared" si="9"/>
        <v>III</v>
      </c>
      <c r="K226" s="1" t="str">
        <f t="shared" si="10"/>
        <v>2004-03-01</v>
      </c>
      <c r="L226" t="s">
        <v>1525</v>
      </c>
      <c r="M226" s="7" t="e">
        <f t="shared" si="11"/>
        <v>#VALUE!</v>
      </c>
    </row>
    <row r="227" spans="1:13" x14ac:dyDescent="0.3">
      <c r="A227" t="s">
        <v>665</v>
      </c>
      <c r="J227" t="str">
        <f t="shared" si="9"/>
        <v>IV</v>
      </c>
      <c r="K227" s="1" t="str">
        <f t="shared" si="10"/>
        <v>2004-04-01</v>
      </c>
      <c r="L227" t="s">
        <v>1526</v>
      </c>
      <c r="M227" s="7" t="e">
        <f t="shared" si="11"/>
        <v>#VALUE!</v>
      </c>
    </row>
    <row r="228" spans="1:13" x14ac:dyDescent="0.3">
      <c r="A228" t="s">
        <v>666</v>
      </c>
      <c r="J228" t="str">
        <f t="shared" si="9"/>
        <v>V</v>
      </c>
      <c r="K228" s="1" t="str">
        <f t="shared" si="10"/>
        <v>2004-05-01</v>
      </c>
      <c r="L228" t="s">
        <v>1527</v>
      </c>
      <c r="M228" s="7" t="e">
        <f t="shared" si="11"/>
        <v>#VALUE!</v>
      </c>
    </row>
    <row r="229" spans="1:13" x14ac:dyDescent="0.3">
      <c r="A229" t="s">
        <v>667</v>
      </c>
      <c r="J229" t="str">
        <f t="shared" si="9"/>
        <v>VI</v>
      </c>
      <c r="K229" s="1" t="str">
        <f t="shared" si="10"/>
        <v>2004-06-01</v>
      </c>
      <c r="L229" t="s">
        <v>1528</v>
      </c>
      <c r="M229" s="7" t="e">
        <f t="shared" si="11"/>
        <v>#VALUE!</v>
      </c>
    </row>
    <row r="230" spans="1:13" x14ac:dyDescent="0.3">
      <c r="A230" t="s">
        <v>668</v>
      </c>
      <c r="J230" t="str">
        <f t="shared" si="9"/>
        <v>VII</v>
      </c>
      <c r="K230" s="1" t="str">
        <f t="shared" si="10"/>
        <v>2004-07-01</v>
      </c>
      <c r="L230" t="s">
        <v>1529</v>
      </c>
      <c r="M230" s="7" t="e">
        <f t="shared" si="11"/>
        <v>#VALUE!</v>
      </c>
    </row>
    <row r="231" spans="1:13" x14ac:dyDescent="0.3">
      <c r="A231" t="s">
        <v>669</v>
      </c>
      <c r="J231" t="str">
        <f t="shared" si="9"/>
        <v>VIII</v>
      </c>
      <c r="K231" s="1" t="str">
        <f t="shared" si="10"/>
        <v>2004-08-01</v>
      </c>
      <c r="L231" t="s">
        <v>1530</v>
      </c>
      <c r="M231" s="7" t="e">
        <f t="shared" si="11"/>
        <v>#VALUE!</v>
      </c>
    </row>
    <row r="232" spans="1:13" x14ac:dyDescent="0.3">
      <c r="A232" t="s">
        <v>670</v>
      </c>
      <c r="J232" t="str">
        <f t="shared" si="9"/>
        <v>IX</v>
      </c>
      <c r="K232" s="1" t="str">
        <f t="shared" si="10"/>
        <v>2004-09-01</v>
      </c>
      <c r="L232" t="s">
        <v>1531</v>
      </c>
      <c r="M232" s="7" t="e">
        <f t="shared" si="11"/>
        <v>#VALUE!</v>
      </c>
    </row>
    <row r="233" spans="1:13" x14ac:dyDescent="0.3">
      <c r="A233" t="s">
        <v>671</v>
      </c>
      <c r="J233" t="str">
        <f t="shared" si="9"/>
        <v>X</v>
      </c>
      <c r="K233" s="1" t="str">
        <f t="shared" si="10"/>
        <v>2004-10-01</v>
      </c>
      <c r="L233" t="s">
        <v>1532</v>
      </c>
      <c r="M233" s="7" t="e">
        <f t="shared" si="11"/>
        <v>#VALUE!</v>
      </c>
    </row>
    <row r="234" spans="1:13" x14ac:dyDescent="0.3">
      <c r="A234" t="s">
        <v>672</v>
      </c>
      <c r="J234" t="str">
        <f t="shared" si="9"/>
        <v>XI</v>
      </c>
      <c r="K234" s="1" t="str">
        <f t="shared" si="10"/>
        <v>2004-11-01</v>
      </c>
      <c r="L234" t="s">
        <v>1533</v>
      </c>
      <c r="M234" s="7" t="e">
        <f t="shared" si="11"/>
        <v>#VALUE!</v>
      </c>
    </row>
    <row r="235" spans="1:13" x14ac:dyDescent="0.3">
      <c r="A235" t="s">
        <v>673</v>
      </c>
      <c r="J235" t="str">
        <f t="shared" si="9"/>
        <v>XII</v>
      </c>
      <c r="K235" s="1" t="str">
        <f t="shared" si="10"/>
        <v>2004-12-01</v>
      </c>
      <c r="L235" t="s">
        <v>1534</v>
      </c>
      <c r="M235" s="7" t="e">
        <f t="shared" si="11"/>
        <v>#VALUE!</v>
      </c>
    </row>
    <row r="236" spans="1:13" x14ac:dyDescent="0.3">
      <c r="A236" t="s">
        <v>674</v>
      </c>
      <c r="J236" t="str">
        <f t="shared" si="9"/>
        <v>I</v>
      </c>
      <c r="K236" s="1" t="str">
        <f t="shared" si="10"/>
        <v>2005-01-01</v>
      </c>
      <c r="L236" t="s">
        <v>1535</v>
      </c>
      <c r="M236" s="7" t="e">
        <f t="shared" si="11"/>
        <v>#VALUE!</v>
      </c>
    </row>
    <row r="237" spans="1:13" x14ac:dyDescent="0.3">
      <c r="A237" t="s">
        <v>675</v>
      </c>
      <c r="J237" t="str">
        <f t="shared" si="9"/>
        <v>II</v>
      </c>
      <c r="K237" s="1" t="str">
        <f t="shared" si="10"/>
        <v>2005-02-01</v>
      </c>
      <c r="L237" t="s">
        <v>1536</v>
      </c>
      <c r="M237" s="7" t="e">
        <f t="shared" si="11"/>
        <v>#VALUE!</v>
      </c>
    </row>
    <row r="238" spans="1:13" x14ac:dyDescent="0.3">
      <c r="A238" t="s">
        <v>676</v>
      </c>
      <c r="J238" t="str">
        <f t="shared" si="9"/>
        <v>III</v>
      </c>
      <c r="K238" s="1" t="str">
        <f t="shared" si="10"/>
        <v>2005-03-01</v>
      </c>
      <c r="L238" t="s">
        <v>1537</v>
      </c>
      <c r="M238" s="7" t="e">
        <f t="shared" si="11"/>
        <v>#VALUE!</v>
      </c>
    </row>
    <row r="239" spans="1:13" x14ac:dyDescent="0.3">
      <c r="A239" t="s">
        <v>677</v>
      </c>
      <c r="J239" t="str">
        <f t="shared" si="9"/>
        <v>IV</v>
      </c>
      <c r="K239" s="1" t="str">
        <f t="shared" si="10"/>
        <v>2005-04-01</v>
      </c>
      <c r="L239" t="s">
        <v>1538</v>
      </c>
      <c r="M239" s="7" t="e">
        <f t="shared" si="11"/>
        <v>#VALUE!</v>
      </c>
    </row>
    <row r="240" spans="1:13" x14ac:dyDescent="0.3">
      <c r="A240" t="s">
        <v>678</v>
      </c>
      <c r="J240" t="str">
        <f t="shared" si="9"/>
        <v>V</v>
      </c>
      <c r="K240" s="1" t="str">
        <f t="shared" si="10"/>
        <v>2005-05-01</v>
      </c>
      <c r="L240" t="s">
        <v>1539</v>
      </c>
      <c r="M240" s="7" t="e">
        <f t="shared" si="11"/>
        <v>#VALUE!</v>
      </c>
    </row>
    <row r="241" spans="1:13" x14ac:dyDescent="0.3">
      <c r="A241" t="s">
        <v>679</v>
      </c>
      <c r="J241" t="str">
        <f t="shared" si="9"/>
        <v>VI</v>
      </c>
      <c r="K241" s="1" t="str">
        <f t="shared" si="10"/>
        <v>2005-06-01</v>
      </c>
      <c r="L241" t="s">
        <v>1540</v>
      </c>
      <c r="M241" s="7" t="e">
        <f t="shared" si="11"/>
        <v>#VALUE!</v>
      </c>
    </row>
    <row r="242" spans="1:13" x14ac:dyDescent="0.3">
      <c r="A242" t="s">
        <v>680</v>
      </c>
      <c r="J242" t="str">
        <f t="shared" si="9"/>
        <v>VII</v>
      </c>
      <c r="K242" s="1" t="str">
        <f t="shared" si="10"/>
        <v>2005-07-01</v>
      </c>
      <c r="L242" t="s">
        <v>1541</v>
      </c>
      <c r="M242" s="7" t="e">
        <f t="shared" si="11"/>
        <v>#VALUE!</v>
      </c>
    </row>
    <row r="243" spans="1:13" x14ac:dyDescent="0.3">
      <c r="A243" t="s">
        <v>681</v>
      </c>
      <c r="J243" t="str">
        <f t="shared" si="9"/>
        <v>VIII</v>
      </c>
      <c r="K243" s="1" t="str">
        <f t="shared" si="10"/>
        <v>2005-08-01</v>
      </c>
      <c r="L243" t="s">
        <v>1542</v>
      </c>
      <c r="M243" s="7" t="e">
        <f t="shared" si="11"/>
        <v>#VALUE!</v>
      </c>
    </row>
    <row r="244" spans="1:13" x14ac:dyDescent="0.3">
      <c r="A244" t="s">
        <v>682</v>
      </c>
      <c r="J244" t="str">
        <f t="shared" si="9"/>
        <v>IX</v>
      </c>
      <c r="K244" s="1" t="str">
        <f t="shared" si="10"/>
        <v>2005-09-01</v>
      </c>
      <c r="L244" t="s">
        <v>1543</v>
      </c>
      <c r="M244" s="7" t="e">
        <f t="shared" si="11"/>
        <v>#VALUE!</v>
      </c>
    </row>
    <row r="245" spans="1:13" x14ac:dyDescent="0.3">
      <c r="A245" t="s">
        <v>683</v>
      </c>
      <c r="J245" t="str">
        <f t="shared" si="9"/>
        <v>X</v>
      </c>
      <c r="K245" s="1" t="str">
        <f t="shared" si="10"/>
        <v>2005-10-01</v>
      </c>
      <c r="L245" t="s">
        <v>1544</v>
      </c>
      <c r="M245" s="7" t="e">
        <f t="shared" si="11"/>
        <v>#VALUE!</v>
      </c>
    </row>
    <row r="246" spans="1:13" x14ac:dyDescent="0.3">
      <c r="A246" t="s">
        <v>684</v>
      </c>
      <c r="J246" t="str">
        <f t="shared" si="9"/>
        <v>XI</v>
      </c>
      <c r="K246" s="1" t="str">
        <f t="shared" si="10"/>
        <v>2005-11-01</v>
      </c>
      <c r="L246" t="s">
        <v>1545</v>
      </c>
      <c r="M246" s="7" t="e">
        <f t="shared" si="11"/>
        <v>#VALUE!</v>
      </c>
    </row>
    <row r="247" spans="1:13" x14ac:dyDescent="0.3">
      <c r="A247" t="s">
        <v>685</v>
      </c>
      <c r="J247" t="str">
        <f t="shared" si="9"/>
        <v>XII</v>
      </c>
      <c r="K247" s="1" t="str">
        <f t="shared" si="10"/>
        <v>2005-12-01</v>
      </c>
      <c r="L247" t="s">
        <v>1546</v>
      </c>
      <c r="M247" s="7" t="e">
        <f t="shared" si="11"/>
        <v>#VALUE!</v>
      </c>
    </row>
    <row r="248" spans="1:13" x14ac:dyDescent="0.3">
      <c r="A248" t="s">
        <v>686</v>
      </c>
      <c r="J248" t="str">
        <f t="shared" si="9"/>
        <v>I</v>
      </c>
      <c r="K248" s="1" t="str">
        <f t="shared" si="10"/>
        <v>2006-01-01</v>
      </c>
      <c r="L248" t="s">
        <v>1547</v>
      </c>
      <c r="M248" s="7" t="e">
        <f t="shared" si="11"/>
        <v>#VALUE!</v>
      </c>
    </row>
    <row r="249" spans="1:13" x14ac:dyDescent="0.3">
      <c r="A249" t="s">
        <v>687</v>
      </c>
      <c r="J249" t="str">
        <f t="shared" si="9"/>
        <v>II</v>
      </c>
      <c r="K249" s="1" t="str">
        <f t="shared" si="10"/>
        <v>2006-02-01</v>
      </c>
      <c r="L249" t="s">
        <v>1548</v>
      </c>
      <c r="M249" s="7" t="e">
        <f t="shared" si="11"/>
        <v>#VALUE!</v>
      </c>
    </row>
    <row r="250" spans="1:13" x14ac:dyDescent="0.3">
      <c r="A250" t="s">
        <v>688</v>
      </c>
      <c r="J250" t="str">
        <f t="shared" si="9"/>
        <v>III</v>
      </c>
      <c r="K250" s="1" t="str">
        <f t="shared" si="10"/>
        <v>2006-03-01</v>
      </c>
      <c r="L250" t="s">
        <v>1549</v>
      </c>
      <c r="M250" s="7" t="e">
        <f t="shared" si="11"/>
        <v>#VALUE!</v>
      </c>
    </row>
    <row r="251" spans="1:13" x14ac:dyDescent="0.3">
      <c r="A251" t="s">
        <v>689</v>
      </c>
      <c r="J251" t="str">
        <f t="shared" si="9"/>
        <v>IV</v>
      </c>
      <c r="K251" s="1" t="str">
        <f t="shared" si="10"/>
        <v>2006-04-01</v>
      </c>
      <c r="L251" t="s">
        <v>1550</v>
      </c>
      <c r="M251" s="7" t="e">
        <f t="shared" si="11"/>
        <v>#VALUE!</v>
      </c>
    </row>
    <row r="252" spans="1:13" x14ac:dyDescent="0.3">
      <c r="A252" t="s">
        <v>690</v>
      </c>
      <c r="J252" t="str">
        <f t="shared" si="9"/>
        <v>V</v>
      </c>
      <c r="K252" s="1" t="str">
        <f t="shared" si="10"/>
        <v>2006-05-01</v>
      </c>
      <c r="L252" t="s">
        <v>1551</v>
      </c>
      <c r="M252" s="7" t="e">
        <f t="shared" si="11"/>
        <v>#VALUE!</v>
      </c>
    </row>
    <row r="253" spans="1:13" x14ac:dyDescent="0.3">
      <c r="A253" t="s">
        <v>691</v>
      </c>
      <c r="J253" t="str">
        <f t="shared" si="9"/>
        <v>VI</v>
      </c>
      <c r="K253" s="1" t="str">
        <f t="shared" si="10"/>
        <v>2006-06-01</v>
      </c>
      <c r="L253" t="s">
        <v>1552</v>
      </c>
      <c r="M253" s="7" t="e">
        <f t="shared" si="11"/>
        <v>#VALUE!</v>
      </c>
    </row>
    <row r="254" spans="1:13" x14ac:dyDescent="0.3">
      <c r="A254" t="s">
        <v>692</v>
      </c>
      <c r="J254" t="str">
        <f t="shared" si="9"/>
        <v>VII</v>
      </c>
      <c r="K254" s="1" t="str">
        <f t="shared" si="10"/>
        <v>2006-07-01</v>
      </c>
      <c r="L254" t="s">
        <v>1553</v>
      </c>
      <c r="M254" s="7" t="e">
        <f t="shared" si="11"/>
        <v>#VALUE!</v>
      </c>
    </row>
    <row r="255" spans="1:13" x14ac:dyDescent="0.3">
      <c r="A255" t="s">
        <v>693</v>
      </c>
      <c r="J255" t="str">
        <f t="shared" si="9"/>
        <v>VIII</v>
      </c>
      <c r="K255" s="1" t="str">
        <f t="shared" si="10"/>
        <v>2006-08-01</v>
      </c>
      <c r="L255" t="s">
        <v>1554</v>
      </c>
      <c r="M255" s="7" t="e">
        <f t="shared" si="11"/>
        <v>#VALUE!</v>
      </c>
    </row>
    <row r="256" spans="1:13" x14ac:dyDescent="0.3">
      <c r="A256" t="s">
        <v>694</v>
      </c>
      <c r="J256" t="str">
        <f t="shared" si="9"/>
        <v>IX</v>
      </c>
      <c r="K256" s="1" t="str">
        <f t="shared" si="10"/>
        <v>2006-09-01</v>
      </c>
      <c r="L256" t="s">
        <v>1555</v>
      </c>
      <c r="M256" s="7" t="e">
        <f t="shared" si="11"/>
        <v>#VALUE!</v>
      </c>
    </row>
    <row r="257" spans="1:13" x14ac:dyDescent="0.3">
      <c r="A257" t="s">
        <v>695</v>
      </c>
      <c r="J257" t="str">
        <f t="shared" si="9"/>
        <v>X</v>
      </c>
      <c r="K257" s="1" t="str">
        <f t="shared" si="10"/>
        <v>2006-10-01</v>
      </c>
      <c r="L257" t="s">
        <v>1556</v>
      </c>
      <c r="M257" s="7" t="e">
        <f t="shared" si="11"/>
        <v>#VALUE!</v>
      </c>
    </row>
    <row r="258" spans="1:13" x14ac:dyDescent="0.3">
      <c r="A258" t="s">
        <v>696</v>
      </c>
      <c r="J258" t="str">
        <f t="shared" si="9"/>
        <v>XI</v>
      </c>
      <c r="K258" s="1" t="str">
        <f t="shared" si="10"/>
        <v>2006-11-01</v>
      </c>
      <c r="L258" t="s">
        <v>1557</v>
      </c>
      <c r="M258" s="7" t="e">
        <f t="shared" si="11"/>
        <v>#VALUE!</v>
      </c>
    </row>
    <row r="259" spans="1:13" x14ac:dyDescent="0.3">
      <c r="A259" t="s">
        <v>697</v>
      </c>
      <c r="J259" t="str">
        <f t="shared" ref="J259:J322" si="12">TEXT(K259,"mmm")</f>
        <v>XII</v>
      </c>
      <c r="K259" s="1" t="str">
        <f t="shared" ref="K259:K322" si="13">LEFT(A259,10)</f>
        <v>2006-12-01</v>
      </c>
      <c r="L259" t="s">
        <v>1558</v>
      </c>
      <c r="M259" s="7" t="e">
        <f t="shared" si="11"/>
        <v>#VALUE!</v>
      </c>
    </row>
    <row r="260" spans="1:13" x14ac:dyDescent="0.3">
      <c r="A260" t="s">
        <v>698</v>
      </c>
      <c r="J260" t="str">
        <f t="shared" si="12"/>
        <v>I</v>
      </c>
      <c r="K260" s="1" t="str">
        <f t="shared" si="13"/>
        <v>2007-01-01</v>
      </c>
      <c r="L260" t="s">
        <v>1559</v>
      </c>
      <c r="M260" s="7" t="e">
        <f t="shared" ref="M260:M323" si="14">(L260/L259)-1</f>
        <v>#VALUE!</v>
      </c>
    </row>
    <row r="261" spans="1:13" x14ac:dyDescent="0.3">
      <c r="A261" t="s">
        <v>699</v>
      </c>
      <c r="J261" t="str">
        <f t="shared" si="12"/>
        <v>II</v>
      </c>
      <c r="K261" s="1" t="str">
        <f t="shared" si="13"/>
        <v>2007-02-01</v>
      </c>
      <c r="L261" t="s">
        <v>1560</v>
      </c>
      <c r="M261" s="7" t="e">
        <f t="shared" si="14"/>
        <v>#VALUE!</v>
      </c>
    </row>
    <row r="262" spans="1:13" x14ac:dyDescent="0.3">
      <c r="A262" t="s">
        <v>700</v>
      </c>
      <c r="J262" t="str">
        <f t="shared" si="12"/>
        <v>III</v>
      </c>
      <c r="K262" s="1" t="str">
        <f t="shared" si="13"/>
        <v>2007-03-01</v>
      </c>
      <c r="L262" t="s">
        <v>1561</v>
      </c>
      <c r="M262" s="7" t="e">
        <f t="shared" si="14"/>
        <v>#VALUE!</v>
      </c>
    </row>
    <row r="263" spans="1:13" x14ac:dyDescent="0.3">
      <c r="A263" t="s">
        <v>701</v>
      </c>
      <c r="J263" t="str">
        <f t="shared" si="12"/>
        <v>IV</v>
      </c>
      <c r="K263" s="1" t="str">
        <f t="shared" si="13"/>
        <v>2007-04-01</v>
      </c>
      <c r="L263" t="s">
        <v>1562</v>
      </c>
      <c r="M263" s="7" t="e">
        <f t="shared" si="14"/>
        <v>#VALUE!</v>
      </c>
    </row>
    <row r="264" spans="1:13" x14ac:dyDescent="0.3">
      <c r="A264" t="s">
        <v>702</v>
      </c>
      <c r="J264" t="str">
        <f t="shared" si="12"/>
        <v>V</v>
      </c>
      <c r="K264" s="1" t="str">
        <f t="shared" si="13"/>
        <v>2007-05-01</v>
      </c>
      <c r="L264" t="s">
        <v>1563</v>
      </c>
      <c r="M264" s="7" t="e">
        <f t="shared" si="14"/>
        <v>#VALUE!</v>
      </c>
    </row>
    <row r="265" spans="1:13" x14ac:dyDescent="0.3">
      <c r="A265" t="s">
        <v>703</v>
      </c>
      <c r="J265" t="str">
        <f t="shared" si="12"/>
        <v>VI</v>
      </c>
      <c r="K265" s="1" t="str">
        <f t="shared" si="13"/>
        <v>2007-06-01</v>
      </c>
      <c r="L265" t="s">
        <v>1564</v>
      </c>
      <c r="M265" s="7" t="e">
        <f t="shared" si="14"/>
        <v>#VALUE!</v>
      </c>
    </row>
    <row r="266" spans="1:13" x14ac:dyDescent="0.3">
      <c r="A266" t="s">
        <v>704</v>
      </c>
      <c r="J266" t="str">
        <f t="shared" si="12"/>
        <v>VII</v>
      </c>
      <c r="K266" s="1" t="str">
        <f t="shared" si="13"/>
        <v>2007-07-01</v>
      </c>
      <c r="L266" t="s">
        <v>1565</v>
      </c>
      <c r="M266" s="7" t="e">
        <f t="shared" si="14"/>
        <v>#VALUE!</v>
      </c>
    </row>
    <row r="267" spans="1:13" x14ac:dyDescent="0.3">
      <c r="A267" t="s">
        <v>705</v>
      </c>
      <c r="J267" t="str">
        <f t="shared" si="12"/>
        <v>VIII</v>
      </c>
      <c r="K267" s="1" t="str">
        <f t="shared" si="13"/>
        <v>2007-08-01</v>
      </c>
      <c r="L267" t="s">
        <v>1566</v>
      </c>
      <c r="M267" s="7" t="e">
        <f t="shared" si="14"/>
        <v>#VALUE!</v>
      </c>
    </row>
    <row r="268" spans="1:13" x14ac:dyDescent="0.3">
      <c r="A268" t="s">
        <v>706</v>
      </c>
      <c r="J268" t="str">
        <f t="shared" si="12"/>
        <v>IX</v>
      </c>
      <c r="K268" s="1" t="str">
        <f t="shared" si="13"/>
        <v>2007-09-01</v>
      </c>
      <c r="L268" t="s">
        <v>1567</v>
      </c>
      <c r="M268" s="7" t="e">
        <f t="shared" si="14"/>
        <v>#VALUE!</v>
      </c>
    </row>
    <row r="269" spans="1:13" x14ac:dyDescent="0.3">
      <c r="A269" t="s">
        <v>707</v>
      </c>
      <c r="J269" t="str">
        <f t="shared" si="12"/>
        <v>X</v>
      </c>
      <c r="K269" s="1" t="str">
        <f t="shared" si="13"/>
        <v>2007-10-01</v>
      </c>
      <c r="L269" t="s">
        <v>1568</v>
      </c>
      <c r="M269" s="7" t="e">
        <f t="shared" si="14"/>
        <v>#VALUE!</v>
      </c>
    </row>
    <row r="270" spans="1:13" x14ac:dyDescent="0.3">
      <c r="A270" t="s">
        <v>708</v>
      </c>
      <c r="J270" t="str">
        <f t="shared" si="12"/>
        <v>XI</v>
      </c>
      <c r="K270" s="1" t="str">
        <f t="shared" si="13"/>
        <v>2007-11-01</v>
      </c>
      <c r="L270" t="s">
        <v>1569</v>
      </c>
      <c r="M270" s="7" t="e">
        <f t="shared" si="14"/>
        <v>#VALUE!</v>
      </c>
    </row>
    <row r="271" spans="1:13" x14ac:dyDescent="0.3">
      <c r="A271" t="s">
        <v>709</v>
      </c>
      <c r="J271" t="str">
        <f t="shared" si="12"/>
        <v>XII</v>
      </c>
      <c r="K271" s="1" t="str">
        <f t="shared" si="13"/>
        <v>2007-12-01</v>
      </c>
      <c r="L271" t="s">
        <v>1570</v>
      </c>
      <c r="M271" s="7" t="e">
        <f t="shared" si="14"/>
        <v>#VALUE!</v>
      </c>
    </row>
    <row r="272" spans="1:13" x14ac:dyDescent="0.3">
      <c r="A272" t="s">
        <v>710</v>
      </c>
      <c r="J272" t="str">
        <f t="shared" si="12"/>
        <v>I</v>
      </c>
      <c r="K272" s="1" t="str">
        <f t="shared" si="13"/>
        <v>2008-01-01</v>
      </c>
      <c r="L272" t="s">
        <v>1571</v>
      </c>
      <c r="M272" s="7" t="e">
        <f t="shared" si="14"/>
        <v>#VALUE!</v>
      </c>
    </row>
    <row r="273" spans="1:13" x14ac:dyDescent="0.3">
      <c r="A273" t="s">
        <v>711</v>
      </c>
      <c r="J273" t="str">
        <f t="shared" si="12"/>
        <v>II</v>
      </c>
      <c r="K273" s="1" t="str">
        <f t="shared" si="13"/>
        <v>2008-02-01</v>
      </c>
      <c r="L273" t="s">
        <v>1572</v>
      </c>
      <c r="M273" s="7" t="e">
        <f t="shared" si="14"/>
        <v>#VALUE!</v>
      </c>
    </row>
    <row r="274" spans="1:13" x14ac:dyDescent="0.3">
      <c r="A274" t="s">
        <v>712</v>
      </c>
      <c r="J274" t="str">
        <f t="shared" si="12"/>
        <v>III</v>
      </c>
      <c r="K274" s="1" t="str">
        <f t="shared" si="13"/>
        <v>2008-03-01</v>
      </c>
      <c r="L274" t="s">
        <v>1573</v>
      </c>
      <c r="M274" s="7" t="e">
        <f t="shared" si="14"/>
        <v>#VALUE!</v>
      </c>
    </row>
    <row r="275" spans="1:13" x14ac:dyDescent="0.3">
      <c r="A275" t="s">
        <v>713</v>
      </c>
      <c r="J275" t="str">
        <f t="shared" si="12"/>
        <v>IV</v>
      </c>
      <c r="K275" s="1" t="str">
        <f t="shared" si="13"/>
        <v>2008-04-01</v>
      </c>
      <c r="L275" t="s">
        <v>1574</v>
      </c>
      <c r="M275" s="7" t="e">
        <f t="shared" si="14"/>
        <v>#VALUE!</v>
      </c>
    </row>
    <row r="276" spans="1:13" x14ac:dyDescent="0.3">
      <c r="A276" t="s">
        <v>714</v>
      </c>
      <c r="J276" t="str">
        <f t="shared" si="12"/>
        <v>V</v>
      </c>
      <c r="K276" s="1" t="str">
        <f t="shared" si="13"/>
        <v>2008-05-01</v>
      </c>
      <c r="L276" t="s">
        <v>1575</v>
      </c>
      <c r="M276" s="7" t="e">
        <f t="shared" si="14"/>
        <v>#VALUE!</v>
      </c>
    </row>
    <row r="277" spans="1:13" x14ac:dyDescent="0.3">
      <c r="A277" t="s">
        <v>715</v>
      </c>
      <c r="J277" t="str">
        <f t="shared" si="12"/>
        <v>VI</v>
      </c>
      <c r="K277" s="1" t="str">
        <f t="shared" si="13"/>
        <v>2008-06-01</v>
      </c>
      <c r="L277" t="s">
        <v>1576</v>
      </c>
      <c r="M277" s="7" t="e">
        <f t="shared" si="14"/>
        <v>#VALUE!</v>
      </c>
    </row>
    <row r="278" spans="1:13" x14ac:dyDescent="0.3">
      <c r="A278" t="s">
        <v>716</v>
      </c>
      <c r="J278" t="str">
        <f t="shared" si="12"/>
        <v>VII</v>
      </c>
      <c r="K278" s="1" t="str">
        <f t="shared" si="13"/>
        <v>2008-07-01</v>
      </c>
      <c r="L278" t="s">
        <v>1577</v>
      </c>
      <c r="M278" s="7" t="e">
        <f t="shared" si="14"/>
        <v>#VALUE!</v>
      </c>
    </row>
    <row r="279" spans="1:13" x14ac:dyDescent="0.3">
      <c r="A279" t="s">
        <v>717</v>
      </c>
      <c r="J279" t="str">
        <f t="shared" si="12"/>
        <v>VIII</v>
      </c>
      <c r="K279" s="1" t="str">
        <f t="shared" si="13"/>
        <v>2008-08-01</v>
      </c>
      <c r="L279" t="s">
        <v>1578</v>
      </c>
      <c r="M279" s="7" t="e">
        <f t="shared" si="14"/>
        <v>#VALUE!</v>
      </c>
    </row>
    <row r="280" spans="1:13" x14ac:dyDescent="0.3">
      <c r="A280" t="s">
        <v>718</v>
      </c>
      <c r="J280" t="str">
        <f t="shared" si="12"/>
        <v>IX</v>
      </c>
      <c r="K280" s="1" t="str">
        <f t="shared" si="13"/>
        <v>2008-09-01</v>
      </c>
      <c r="L280" t="s">
        <v>1579</v>
      </c>
      <c r="M280" s="7" t="e">
        <f t="shared" si="14"/>
        <v>#VALUE!</v>
      </c>
    </row>
    <row r="281" spans="1:13" x14ac:dyDescent="0.3">
      <c r="A281" t="s">
        <v>719</v>
      </c>
      <c r="J281" t="str">
        <f t="shared" si="12"/>
        <v>X</v>
      </c>
      <c r="K281" s="1" t="str">
        <f t="shared" si="13"/>
        <v>2008-10-01</v>
      </c>
      <c r="L281" t="s">
        <v>1580</v>
      </c>
      <c r="M281" s="7" t="e">
        <f t="shared" si="14"/>
        <v>#VALUE!</v>
      </c>
    </row>
    <row r="282" spans="1:13" x14ac:dyDescent="0.3">
      <c r="A282" t="s">
        <v>720</v>
      </c>
      <c r="J282" t="str">
        <f t="shared" si="12"/>
        <v>XI</v>
      </c>
      <c r="K282" s="1" t="str">
        <f t="shared" si="13"/>
        <v>2008-11-01</v>
      </c>
      <c r="L282" t="s">
        <v>1581</v>
      </c>
      <c r="M282" s="7" t="e">
        <f t="shared" si="14"/>
        <v>#VALUE!</v>
      </c>
    </row>
    <row r="283" spans="1:13" x14ac:dyDescent="0.3">
      <c r="A283" t="s">
        <v>721</v>
      </c>
      <c r="J283" t="str">
        <f t="shared" si="12"/>
        <v>XII</v>
      </c>
      <c r="K283" s="1" t="str">
        <f t="shared" si="13"/>
        <v>2008-12-01</v>
      </c>
      <c r="L283" t="s">
        <v>1582</v>
      </c>
      <c r="M283" s="7" t="e">
        <f t="shared" si="14"/>
        <v>#VALUE!</v>
      </c>
    </row>
    <row r="284" spans="1:13" x14ac:dyDescent="0.3">
      <c r="A284" t="s">
        <v>722</v>
      </c>
      <c r="J284" t="str">
        <f t="shared" si="12"/>
        <v>I</v>
      </c>
      <c r="K284" s="1" t="str">
        <f t="shared" si="13"/>
        <v>2009-01-01</v>
      </c>
      <c r="L284" t="s">
        <v>1583</v>
      </c>
      <c r="M284" s="7" t="e">
        <f t="shared" si="14"/>
        <v>#VALUE!</v>
      </c>
    </row>
    <row r="285" spans="1:13" x14ac:dyDescent="0.3">
      <c r="A285" t="s">
        <v>723</v>
      </c>
      <c r="J285" t="str">
        <f t="shared" si="12"/>
        <v>II</v>
      </c>
      <c r="K285" s="1" t="str">
        <f t="shared" si="13"/>
        <v>2009-02-01</v>
      </c>
      <c r="L285" t="s">
        <v>1584</v>
      </c>
      <c r="M285" s="7" t="e">
        <f t="shared" si="14"/>
        <v>#VALUE!</v>
      </c>
    </row>
    <row r="286" spans="1:13" x14ac:dyDescent="0.3">
      <c r="A286" t="s">
        <v>724</v>
      </c>
      <c r="J286" t="str">
        <f t="shared" si="12"/>
        <v>III</v>
      </c>
      <c r="K286" s="1" t="str">
        <f t="shared" si="13"/>
        <v>2009-03-01</v>
      </c>
      <c r="L286" t="s">
        <v>1585</v>
      </c>
      <c r="M286" s="7" t="e">
        <f t="shared" si="14"/>
        <v>#VALUE!</v>
      </c>
    </row>
    <row r="287" spans="1:13" x14ac:dyDescent="0.3">
      <c r="A287" t="s">
        <v>725</v>
      </c>
      <c r="J287" t="str">
        <f t="shared" si="12"/>
        <v>IV</v>
      </c>
      <c r="K287" s="1" t="str">
        <f t="shared" si="13"/>
        <v>2009-04-01</v>
      </c>
      <c r="L287" t="s">
        <v>1586</v>
      </c>
      <c r="M287" s="7" t="e">
        <f t="shared" si="14"/>
        <v>#VALUE!</v>
      </c>
    </row>
    <row r="288" spans="1:13" x14ac:dyDescent="0.3">
      <c r="A288" t="s">
        <v>726</v>
      </c>
      <c r="J288" t="str">
        <f t="shared" si="12"/>
        <v>V</v>
      </c>
      <c r="K288" s="1" t="str">
        <f t="shared" si="13"/>
        <v>2009-05-01</v>
      </c>
      <c r="L288" t="s">
        <v>1587</v>
      </c>
      <c r="M288" s="7" t="e">
        <f t="shared" si="14"/>
        <v>#VALUE!</v>
      </c>
    </row>
    <row r="289" spans="1:13" x14ac:dyDescent="0.3">
      <c r="A289" t="s">
        <v>727</v>
      </c>
      <c r="J289" t="str">
        <f t="shared" si="12"/>
        <v>VI</v>
      </c>
      <c r="K289" s="1" t="str">
        <f t="shared" si="13"/>
        <v>2009-06-01</v>
      </c>
      <c r="L289" t="s">
        <v>1588</v>
      </c>
      <c r="M289" s="7" t="e">
        <f t="shared" si="14"/>
        <v>#VALUE!</v>
      </c>
    </row>
    <row r="290" spans="1:13" x14ac:dyDescent="0.3">
      <c r="A290" t="s">
        <v>728</v>
      </c>
      <c r="J290" t="str">
        <f t="shared" si="12"/>
        <v>VII</v>
      </c>
      <c r="K290" s="1" t="str">
        <f t="shared" si="13"/>
        <v>2009-07-01</v>
      </c>
      <c r="L290" t="s">
        <v>1589</v>
      </c>
      <c r="M290" s="7" t="e">
        <f t="shared" si="14"/>
        <v>#VALUE!</v>
      </c>
    </row>
    <row r="291" spans="1:13" x14ac:dyDescent="0.3">
      <c r="A291" t="s">
        <v>729</v>
      </c>
      <c r="J291" t="str">
        <f t="shared" si="12"/>
        <v>VIII</v>
      </c>
      <c r="K291" s="1" t="str">
        <f t="shared" si="13"/>
        <v>2009-08-01</v>
      </c>
      <c r="L291" t="s">
        <v>1590</v>
      </c>
      <c r="M291" s="7" t="e">
        <f t="shared" si="14"/>
        <v>#VALUE!</v>
      </c>
    </row>
    <row r="292" spans="1:13" x14ac:dyDescent="0.3">
      <c r="A292" t="s">
        <v>730</v>
      </c>
      <c r="J292" t="str">
        <f t="shared" si="12"/>
        <v>IX</v>
      </c>
      <c r="K292" s="1" t="str">
        <f t="shared" si="13"/>
        <v>2009-09-01</v>
      </c>
      <c r="L292" t="s">
        <v>1591</v>
      </c>
      <c r="M292" s="7" t="e">
        <f t="shared" si="14"/>
        <v>#VALUE!</v>
      </c>
    </row>
    <row r="293" spans="1:13" x14ac:dyDescent="0.3">
      <c r="A293" t="s">
        <v>731</v>
      </c>
      <c r="J293" t="str">
        <f t="shared" si="12"/>
        <v>X</v>
      </c>
      <c r="K293" s="1" t="str">
        <f t="shared" si="13"/>
        <v>2009-10-01</v>
      </c>
      <c r="L293" t="s">
        <v>1592</v>
      </c>
      <c r="M293" s="7" t="e">
        <f t="shared" si="14"/>
        <v>#VALUE!</v>
      </c>
    </row>
    <row r="294" spans="1:13" x14ac:dyDescent="0.3">
      <c r="A294" t="s">
        <v>732</v>
      </c>
      <c r="J294" t="str">
        <f t="shared" si="12"/>
        <v>XI</v>
      </c>
      <c r="K294" s="1" t="str">
        <f t="shared" si="13"/>
        <v>2009-11-01</v>
      </c>
      <c r="L294" t="s">
        <v>1593</v>
      </c>
      <c r="M294" s="7" t="e">
        <f t="shared" si="14"/>
        <v>#VALUE!</v>
      </c>
    </row>
    <row r="295" spans="1:13" x14ac:dyDescent="0.3">
      <c r="A295" t="s">
        <v>733</v>
      </c>
      <c r="J295" t="str">
        <f t="shared" si="12"/>
        <v>XII</v>
      </c>
      <c r="K295" s="1" t="str">
        <f t="shared" si="13"/>
        <v>2009-12-01</v>
      </c>
      <c r="L295" t="s">
        <v>1594</v>
      </c>
      <c r="M295" s="7" t="e">
        <f t="shared" si="14"/>
        <v>#VALUE!</v>
      </c>
    </row>
    <row r="296" spans="1:13" x14ac:dyDescent="0.3">
      <c r="A296" t="s">
        <v>734</v>
      </c>
      <c r="J296" t="str">
        <f t="shared" si="12"/>
        <v>I</v>
      </c>
      <c r="K296" s="1" t="str">
        <f t="shared" si="13"/>
        <v>2010-01-01</v>
      </c>
      <c r="L296" t="s">
        <v>1595</v>
      </c>
      <c r="M296" s="7" t="e">
        <f t="shared" si="14"/>
        <v>#VALUE!</v>
      </c>
    </row>
    <row r="297" spans="1:13" x14ac:dyDescent="0.3">
      <c r="A297" t="s">
        <v>735</v>
      </c>
      <c r="J297" t="str">
        <f t="shared" si="12"/>
        <v>II</v>
      </c>
      <c r="K297" s="1" t="str">
        <f t="shared" si="13"/>
        <v>2010-02-01</v>
      </c>
      <c r="L297" t="s">
        <v>1596</v>
      </c>
      <c r="M297" s="7" t="e">
        <f t="shared" si="14"/>
        <v>#VALUE!</v>
      </c>
    </row>
    <row r="298" spans="1:13" x14ac:dyDescent="0.3">
      <c r="A298" t="s">
        <v>736</v>
      </c>
      <c r="J298" t="str">
        <f t="shared" si="12"/>
        <v>III</v>
      </c>
      <c r="K298" s="1" t="str">
        <f t="shared" si="13"/>
        <v>2010-03-01</v>
      </c>
      <c r="L298" t="s">
        <v>1597</v>
      </c>
      <c r="M298" s="7" t="e">
        <f t="shared" si="14"/>
        <v>#VALUE!</v>
      </c>
    </row>
    <row r="299" spans="1:13" x14ac:dyDescent="0.3">
      <c r="A299" t="s">
        <v>737</v>
      </c>
      <c r="J299" t="str">
        <f t="shared" si="12"/>
        <v>IV</v>
      </c>
      <c r="K299" s="1" t="str">
        <f t="shared" si="13"/>
        <v>2010-04-01</v>
      </c>
      <c r="L299" t="s">
        <v>1598</v>
      </c>
      <c r="M299" s="7" t="e">
        <f t="shared" si="14"/>
        <v>#VALUE!</v>
      </c>
    </row>
    <row r="300" spans="1:13" x14ac:dyDescent="0.3">
      <c r="A300" t="s">
        <v>738</v>
      </c>
      <c r="J300" t="str">
        <f t="shared" si="12"/>
        <v>V</v>
      </c>
      <c r="K300" s="1" t="str">
        <f t="shared" si="13"/>
        <v>2010-05-01</v>
      </c>
      <c r="L300" t="s">
        <v>1599</v>
      </c>
      <c r="M300" s="7" t="e">
        <f t="shared" si="14"/>
        <v>#VALUE!</v>
      </c>
    </row>
    <row r="301" spans="1:13" x14ac:dyDescent="0.3">
      <c r="A301" t="s">
        <v>739</v>
      </c>
      <c r="J301" t="str">
        <f t="shared" si="12"/>
        <v>VI</v>
      </c>
      <c r="K301" s="1" t="str">
        <f t="shared" si="13"/>
        <v>2010-06-01</v>
      </c>
      <c r="L301" t="s">
        <v>1600</v>
      </c>
      <c r="M301" s="7" t="e">
        <f t="shared" si="14"/>
        <v>#VALUE!</v>
      </c>
    </row>
    <row r="302" spans="1:13" x14ac:dyDescent="0.3">
      <c r="A302" t="s">
        <v>740</v>
      </c>
      <c r="J302" t="str">
        <f t="shared" si="12"/>
        <v>VII</v>
      </c>
      <c r="K302" s="1" t="str">
        <f t="shared" si="13"/>
        <v>2010-07-01</v>
      </c>
      <c r="L302" t="s">
        <v>1601</v>
      </c>
      <c r="M302" s="7" t="e">
        <f t="shared" si="14"/>
        <v>#VALUE!</v>
      </c>
    </row>
    <row r="303" spans="1:13" x14ac:dyDescent="0.3">
      <c r="A303" t="s">
        <v>741</v>
      </c>
      <c r="J303" t="str">
        <f t="shared" si="12"/>
        <v>VIII</v>
      </c>
      <c r="K303" s="1" t="str">
        <f t="shared" si="13"/>
        <v>2010-08-01</v>
      </c>
      <c r="L303" t="s">
        <v>1602</v>
      </c>
      <c r="M303" s="7" t="e">
        <f t="shared" si="14"/>
        <v>#VALUE!</v>
      </c>
    </row>
    <row r="304" spans="1:13" x14ac:dyDescent="0.3">
      <c r="A304" t="s">
        <v>742</v>
      </c>
      <c r="J304" t="str">
        <f t="shared" si="12"/>
        <v>IX</v>
      </c>
      <c r="K304" s="1" t="str">
        <f t="shared" si="13"/>
        <v>2010-09-01</v>
      </c>
      <c r="L304" t="s">
        <v>1603</v>
      </c>
      <c r="M304" s="7" t="e">
        <f t="shared" si="14"/>
        <v>#VALUE!</v>
      </c>
    </row>
    <row r="305" spans="1:13" x14ac:dyDescent="0.3">
      <c r="A305" t="s">
        <v>743</v>
      </c>
      <c r="J305" t="str">
        <f t="shared" si="12"/>
        <v>X</v>
      </c>
      <c r="K305" s="1" t="str">
        <f t="shared" si="13"/>
        <v>2010-10-01</v>
      </c>
      <c r="L305" t="s">
        <v>1604</v>
      </c>
      <c r="M305" s="7" t="e">
        <f t="shared" si="14"/>
        <v>#VALUE!</v>
      </c>
    </row>
    <row r="306" spans="1:13" x14ac:dyDescent="0.3">
      <c r="A306" t="s">
        <v>744</v>
      </c>
      <c r="J306" t="str">
        <f t="shared" si="12"/>
        <v>XI</v>
      </c>
      <c r="K306" s="1" t="str">
        <f t="shared" si="13"/>
        <v>2010-11-01</v>
      </c>
      <c r="L306" t="s">
        <v>1605</v>
      </c>
      <c r="M306" s="7" t="e">
        <f t="shared" si="14"/>
        <v>#VALUE!</v>
      </c>
    </row>
    <row r="307" spans="1:13" x14ac:dyDescent="0.3">
      <c r="A307" t="s">
        <v>745</v>
      </c>
      <c r="J307" t="str">
        <f t="shared" si="12"/>
        <v>XII</v>
      </c>
      <c r="K307" s="1" t="str">
        <f t="shared" si="13"/>
        <v>2010-12-01</v>
      </c>
      <c r="L307" t="s">
        <v>1606</v>
      </c>
      <c r="M307" s="7" t="e">
        <f t="shared" si="14"/>
        <v>#VALUE!</v>
      </c>
    </row>
    <row r="308" spans="1:13" x14ac:dyDescent="0.3">
      <c r="A308" t="s">
        <v>746</v>
      </c>
      <c r="J308" t="str">
        <f t="shared" si="12"/>
        <v>I</v>
      </c>
      <c r="K308" s="1" t="str">
        <f t="shared" si="13"/>
        <v>2011-01-01</v>
      </c>
      <c r="L308" t="s">
        <v>1607</v>
      </c>
      <c r="M308" s="7" t="e">
        <f t="shared" si="14"/>
        <v>#VALUE!</v>
      </c>
    </row>
    <row r="309" spans="1:13" x14ac:dyDescent="0.3">
      <c r="A309" t="s">
        <v>747</v>
      </c>
      <c r="J309" t="str">
        <f t="shared" si="12"/>
        <v>II</v>
      </c>
      <c r="K309" s="1" t="str">
        <f t="shared" si="13"/>
        <v>2011-02-01</v>
      </c>
      <c r="L309" t="s">
        <v>1608</v>
      </c>
      <c r="M309" s="7" t="e">
        <f t="shared" si="14"/>
        <v>#VALUE!</v>
      </c>
    </row>
    <row r="310" spans="1:13" x14ac:dyDescent="0.3">
      <c r="A310" t="s">
        <v>748</v>
      </c>
      <c r="J310" t="str">
        <f t="shared" si="12"/>
        <v>III</v>
      </c>
      <c r="K310" s="1" t="str">
        <f t="shared" si="13"/>
        <v>2011-03-01</v>
      </c>
      <c r="L310" t="s">
        <v>1609</v>
      </c>
      <c r="M310" s="7" t="e">
        <f t="shared" si="14"/>
        <v>#VALUE!</v>
      </c>
    </row>
    <row r="311" spans="1:13" x14ac:dyDescent="0.3">
      <c r="A311" t="s">
        <v>749</v>
      </c>
      <c r="J311" t="str">
        <f t="shared" si="12"/>
        <v>IV</v>
      </c>
      <c r="K311" s="1" t="str">
        <f t="shared" si="13"/>
        <v>2011-04-01</v>
      </c>
      <c r="L311" t="s">
        <v>1610</v>
      </c>
      <c r="M311" s="7" t="e">
        <f t="shared" si="14"/>
        <v>#VALUE!</v>
      </c>
    </row>
    <row r="312" spans="1:13" x14ac:dyDescent="0.3">
      <c r="A312" t="s">
        <v>750</v>
      </c>
      <c r="J312" t="str">
        <f t="shared" si="12"/>
        <v>V</v>
      </c>
      <c r="K312" s="1" t="str">
        <f t="shared" si="13"/>
        <v>2011-05-01</v>
      </c>
      <c r="L312" t="s">
        <v>1611</v>
      </c>
      <c r="M312" s="7" t="e">
        <f t="shared" si="14"/>
        <v>#VALUE!</v>
      </c>
    </row>
    <row r="313" spans="1:13" x14ac:dyDescent="0.3">
      <c r="A313" t="s">
        <v>751</v>
      </c>
      <c r="J313" t="str">
        <f t="shared" si="12"/>
        <v>VI</v>
      </c>
      <c r="K313" s="1" t="str">
        <f t="shared" si="13"/>
        <v>2011-06-01</v>
      </c>
      <c r="L313" t="s">
        <v>1612</v>
      </c>
      <c r="M313" s="7" t="e">
        <f t="shared" si="14"/>
        <v>#VALUE!</v>
      </c>
    </row>
    <row r="314" spans="1:13" x14ac:dyDescent="0.3">
      <c r="A314" t="s">
        <v>752</v>
      </c>
      <c r="J314" t="str">
        <f t="shared" si="12"/>
        <v>VII</v>
      </c>
      <c r="K314" s="1" t="str">
        <f t="shared" si="13"/>
        <v>2011-07-01</v>
      </c>
      <c r="L314" t="s">
        <v>1613</v>
      </c>
      <c r="M314" s="7" t="e">
        <f t="shared" si="14"/>
        <v>#VALUE!</v>
      </c>
    </row>
    <row r="315" spans="1:13" x14ac:dyDescent="0.3">
      <c r="A315" t="s">
        <v>753</v>
      </c>
      <c r="J315" t="str">
        <f t="shared" si="12"/>
        <v>VIII</v>
      </c>
      <c r="K315" s="1" t="str">
        <f t="shared" si="13"/>
        <v>2011-08-01</v>
      </c>
      <c r="L315" t="s">
        <v>1614</v>
      </c>
      <c r="M315" s="7" t="e">
        <f t="shared" si="14"/>
        <v>#VALUE!</v>
      </c>
    </row>
    <row r="316" spans="1:13" x14ac:dyDescent="0.3">
      <c r="A316" t="s">
        <v>754</v>
      </c>
      <c r="J316" t="str">
        <f t="shared" si="12"/>
        <v>IX</v>
      </c>
      <c r="K316" s="1" t="str">
        <f t="shared" si="13"/>
        <v>2011-09-01</v>
      </c>
      <c r="L316" t="s">
        <v>1615</v>
      </c>
      <c r="M316" s="7" t="e">
        <f t="shared" si="14"/>
        <v>#VALUE!</v>
      </c>
    </row>
    <row r="317" spans="1:13" x14ac:dyDescent="0.3">
      <c r="A317" t="s">
        <v>755</v>
      </c>
      <c r="J317" t="str">
        <f t="shared" si="12"/>
        <v>X</v>
      </c>
      <c r="K317" s="1" t="str">
        <f t="shared" si="13"/>
        <v>2011-10-01</v>
      </c>
      <c r="L317" t="s">
        <v>1616</v>
      </c>
      <c r="M317" s="7" t="e">
        <f t="shared" si="14"/>
        <v>#VALUE!</v>
      </c>
    </row>
    <row r="318" spans="1:13" x14ac:dyDescent="0.3">
      <c r="A318" t="s">
        <v>756</v>
      </c>
      <c r="J318" t="str">
        <f t="shared" si="12"/>
        <v>XI</v>
      </c>
      <c r="K318" s="1" t="str">
        <f t="shared" si="13"/>
        <v>2011-11-01</v>
      </c>
      <c r="L318" t="s">
        <v>1617</v>
      </c>
      <c r="M318" s="7" t="e">
        <f t="shared" si="14"/>
        <v>#VALUE!</v>
      </c>
    </row>
    <row r="319" spans="1:13" x14ac:dyDescent="0.3">
      <c r="A319" t="s">
        <v>757</v>
      </c>
      <c r="J319" t="str">
        <f t="shared" si="12"/>
        <v>XII</v>
      </c>
      <c r="K319" s="1" t="str">
        <f t="shared" si="13"/>
        <v>2011-12-01</v>
      </c>
      <c r="L319" t="s">
        <v>1618</v>
      </c>
      <c r="M319" s="7" t="e">
        <f t="shared" si="14"/>
        <v>#VALUE!</v>
      </c>
    </row>
    <row r="320" spans="1:13" x14ac:dyDescent="0.3">
      <c r="A320" t="s">
        <v>758</v>
      </c>
      <c r="J320" t="str">
        <f t="shared" si="12"/>
        <v>I</v>
      </c>
      <c r="K320" s="1" t="str">
        <f t="shared" si="13"/>
        <v>2012-01-01</v>
      </c>
      <c r="L320" t="s">
        <v>1619</v>
      </c>
      <c r="M320" s="7" t="e">
        <f t="shared" si="14"/>
        <v>#VALUE!</v>
      </c>
    </row>
    <row r="321" spans="1:13" x14ac:dyDescent="0.3">
      <c r="A321" t="s">
        <v>759</v>
      </c>
      <c r="J321" t="str">
        <f t="shared" si="12"/>
        <v>II</v>
      </c>
      <c r="K321" s="1" t="str">
        <f t="shared" si="13"/>
        <v>2012-02-01</v>
      </c>
      <c r="L321" t="s">
        <v>1620</v>
      </c>
      <c r="M321" s="7" t="e">
        <f t="shared" si="14"/>
        <v>#VALUE!</v>
      </c>
    </row>
    <row r="322" spans="1:13" x14ac:dyDescent="0.3">
      <c r="A322" t="s">
        <v>760</v>
      </c>
      <c r="J322" t="str">
        <f t="shared" si="12"/>
        <v>III</v>
      </c>
      <c r="K322" s="1" t="str">
        <f t="shared" si="13"/>
        <v>2012-03-01</v>
      </c>
      <c r="L322" t="s">
        <v>1621</v>
      </c>
      <c r="M322" s="7" t="e">
        <f t="shared" si="14"/>
        <v>#VALUE!</v>
      </c>
    </row>
    <row r="323" spans="1:13" x14ac:dyDescent="0.3">
      <c r="A323" t="s">
        <v>761</v>
      </c>
      <c r="J323" t="str">
        <f t="shared" ref="J323:J386" si="15">TEXT(K323,"mmm")</f>
        <v>IV</v>
      </c>
      <c r="K323" s="1" t="str">
        <f t="shared" ref="K323:K386" si="16">LEFT(A323,10)</f>
        <v>2012-04-01</v>
      </c>
      <c r="L323" t="s">
        <v>1622</v>
      </c>
      <c r="M323" s="7" t="e">
        <f t="shared" si="14"/>
        <v>#VALUE!</v>
      </c>
    </row>
    <row r="324" spans="1:13" x14ac:dyDescent="0.3">
      <c r="A324" t="s">
        <v>762</v>
      </c>
      <c r="J324" t="str">
        <f t="shared" si="15"/>
        <v>V</v>
      </c>
      <c r="K324" s="1" t="str">
        <f t="shared" si="16"/>
        <v>2012-05-01</v>
      </c>
      <c r="L324" t="s">
        <v>1623</v>
      </c>
      <c r="M324" s="7" t="e">
        <f t="shared" ref="M324:M387" si="17">(L324/L323)-1</f>
        <v>#VALUE!</v>
      </c>
    </row>
    <row r="325" spans="1:13" x14ac:dyDescent="0.3">
      <c r="A325" t="s">
        <v>763</v>
      </c>
      <c r="J325" t="str">
        <f t="shared" si="15"/>
        <v>VI</v>
      </c>
      <c r="K325" s="1" t="str">
        <f t="shared" si="16"/>
        <v>2012-06-01</v>
      </c>
      <c r="L325" t="s">
        <v>1624</v>
      </c>
      <c r="M325" s="7" t="e">
        <f t="shared" si="17"/>
        <v>#VALUE!</v>
      </c>
    </row>
    <row r="326" spans="1:13" x14ac:dyDescent="0.3">
      <c r="A326" t="s">
        <v>764</v>
      </c>
      <c r="J326" t="str">
        <f t="shared" si="15"/>
        <v>VII</v>
      </c>
      <c r="K326" s="1" t="str">
        <f t="shared" si="16"/>
        <v>2012-07-01</v>
      </c>
      <c r="L326" t="s">
        <v>1625</v>
      </c>
      <c r="M326" s="7" t="e">
        <f t="shared" si="17"/>
        <v>#VALUE!</v>
      </c>
    </row>
    <row r="327" spans="1:13" x14ac:dyDescent="0.3">
      <c r="A327" t="s">
        <v>765</v>
      </c>
      <c r="J327" t="str">
        <f t="shared" si="15"/>
        <v>VIII</v>
      </c>
      <c r="K327" s="1" t="str">
        <f t="shared" si="16"/>
        <v>2012-08-01</v>
      </c>
      <c r="L327" t="s">
        <v>1626</v>
      </c>
      <c r="M327" s="7" t="e">
        <f t="shared" si="17"/>
        <v>#VALUE!</v>
      </c>
    </row>
    <row r="328" spans="1:13" x14ac:dyDescent="0.3">
      <c r="A328" t="s">
        <v>766</v>
      </c>
      <c r="J328" t="str">
        <f t="shared" si="15"/>
        <v>IX</v>
      </c>
      <c r="K328" s="1" t="str">
        <f t="shared" si="16"/>
        <v>2012-09-01</v>
      </c>
      <c r="L328" t="s">
        <v>1627</v>
      </c>
      <c r="M328" s="7" t="e">
        <f t="shared" si="17"/>
        <v>#VALUE!</v>
      </c>
    </row>
    <row r="329" spans="1:13" x14ac:dyDescent="0.3">
      <c r="A329" t="s">
        <v>767</v>
      </c>
      <c r="J329" t="str">
        <f t="shared" si="15"/>
        <v>X</v>
      </c>
      <c r="K329" s="1" t="str">
        <f t="shared" si="16"/>
        <v>2012-10-01</v>
      </c>
      <c r="L329" t="s">
        <v>1628</v>
      </c>
      <c r="M329" s="7" t="e">
        <f t="shared" si="17"/>
        <v>#VALUE!</v>
      </c>
    </row>
    <row r="330" spans="1:13" x14ac:dyDescent="0.3">
      <c r="A330" t="s">
        <v>768</v>
      </c>
      <c r="J330" t="str">
        <f t="shared" si="15"/>
        <v>XI</v>
      </c>
      <c r="K330" s="1" t="str">
        <f t="shared" si="16"/>
        <v>2012-11-01</v>
      </c>
      <c r="L330" t="s">
        <v>1629</v>
      </c>
      <c r="M330" s="7" t="e">
        <f t="shared" si="17"/>
        <v>#VALUE!</v>
      </c>
    </row>
    <row r="331" spans="1:13" x14ac:dyDescent="0.3">
      <c r="A331" t="s">
        <v>769</v>
      </c>
      <c r="J331" t="str">
        <f t="shared" si="15"/>
        <v>XII</v>
      </c>
      <c r="K331" s="1" t="str">
        <f t="shared" si="16"/>
        <v>2012-12-01</v>
      </c>
      <c r="L331" t="s">
        <v>1630</v>
      </c>
      <c r="M331" s="7" t="e">
        <f t="shared" si="17"/>
        <v>#VALUE!</v>
      </c>
    </row>
    <row r="332" spans="1:13" x14ac:dyDescent="0.3">
      <c r="A332" t="s">
        <v>770</v>
      </c>
      <c r="J332" t="str">
        <f t="shared" si="15"/>
        <v>I</v>
      </c>
      <c r="K332" s="1" t="str">
        <f t="shared" si="16"/>
        <v>2013-01-01</v>
      </c>
      <c r="L332" t="s">
        <v>1631</v>
      </c>
      <c r="M332" s="7" t="e">
        <f t="shared" si="17"/>
        <v>#VALUE!</v>
      </c>
    </row>
    <row r="333" spans="1:13" x14ac:dyDescent="0.3">
      <c r="A333" t="s">
        <v>771</v>
      </c>
      <c r="J333" t="str">
        <f t="shared" si="15"/>
        <v>II</v>
      </c>
      <c r="K333" s="1" t="str">
        <f t="shared" si="16"/>
        <v>2013-02-01</v>
      </c>
      <c r="L333" t="s">
        <v>1632</v>
      </c>
      <c r="M333" s="7" t="e">
        <f t="shared" si="17"/>
        <v>#VALUE!</v>
      </c>
    </row>
    <row r="334" spans="1:13" x14ac:dyDescent="0.3">
      <c r="A334" t="s">
        <v>772</v>
      </c>
      <c r="J334" t="str">
        <f t="shared" si="15"/>
        <v>III</v>
      </c>
      <c r="K334" s="1" t="str">
        <f t="shared" si="16"/>
        <v>2013-03-01</v>
      </c>
      <c r="L334" t="s">
        <v>1633</v>
      </c>
      <c r="M334" s="7" t="e">
        <f t="shared" si="17"/>
        <v>#VALUE!</v>
      </c>
    </row>
    <row r="335" spans="1:13" x14ac:dyDescent="0.3">
      <c r="A335" t="s">
        <v>773</v>
      </c>
      <c r="J335" t="str">
        <f t="shared" si="15"/>
        <v>IV</v>
      </c>
      <c r="K335" s="1" t="str">
        <f t="shared" si="16"/>
        <v>2013-04-01</v>
      </c>
      <c r="L335" t="s">
        <v>1634</v>
      </c>
      <c r="M335" s="7" t="e">
        <f t="shared" si="17"/>
        <v>#VALUE!</v>
      </c>
    </row>
    <row r="336" spans="1:13" x14ac:dyDescent="0.3">
      <c r="A336" t="s">
        <v>774</v>
      </c>
      <c r="J336" t="str">
        <f t="shared" si="15"/>
        <v>V</v>
      </c>
      <c r="K336" s="1" t="str">
        <f t="shared" si="16"/>
        <v>2013-05-01</v>
      </c>
      <c r="L336" t="s">
        <v>1635</v>
      </c>
      <c r="M336" s="7" t="e">
        <f t="shared" si="17"/>
        <v>#VALUE!</v>
      </c>
    </row>
    <row r="337" spans="1:13" x14ac:dyDescent="0.3">
      <c r="A337" t="s">
        <v>775</v>
      </c>
      <c r="J337" t="str">
        <f t="shared" si="15"/>
        <v>VI</v>
      </c>
      <c r="K337" s="1" t="str">
        <f t="shared" si="16"/>
        <v>2013-06-01</v>
      </c>
      <c r="L337" t="s">
        <v>1636</v>
      </c>
      <c r="M337" s="7" t="e">
        <f t="shared" si="17"/>
        <v>#VALUE!</v>
      </c>
    </row>
    <row r="338" spans="1:13" x14ac:dyDescent="0.3">
      <c r="A338" t="s">
        <v>776</v>
      </c>
      <c r="J338" t="str">
        <f t="shared" si="15"/>
        <v>VII</v>
      </c>
      <c r="K338" s="1" t="str">
        <f t="shared" si="16"/>
        <v>2013-07-01</v>
      </c>
      <c r="L338" t="s">
        <v>1637</v>
      </c>
      <c r="M338" s="7" t="e">
        <f t="shared" si="17"/>
        <v>#VALUE!</v>
      </c>
    </row>
    <row r="339" spans="1:13" x14ac:dyDescent="0.3">
      <c r="A339" t="s">
        <v>777</v>
      </c>
      <c r="J339" t="str">
        <f t="shared" si="15"/>
        <v>VIII</v>
      </c>
      <c r="K339" s="1" t="str">
        <f t="shared" si="16"/>
        <v>2013-08-01</v>
      </c>
      <c r="L339" t="s">
        <v>1638</v>
      </c>
      <c r="M339" s="7" t="e">
        <f t="shared" si="17"/>
        <v>#VALUE!</v>
      </c>
    </row>
    <row r="340" spans="1:13" x14ac:dyDescent="0.3">
      <c r="A340" t="s">
        <v>778</v>
      </c>
      <c r="J340" t="str">
        <f t="shared" si="15"/>
        <v>IX</v>
      </c>
      <c r="K340" s="1" t="str">
        <f t="shared" si="16"/>
        <v>2013-09-01</v>
      </c>
      <c r="L340" t="s">
        <v>1639</v>
      </c>
      <c r="M340" s="7" t="e">
        <f t="shared" si="17"/>
        <v>#VALUE!</v>
      </c>
    </row>
    <row r="341" spans="1:13" x14ac:dyDescent="0.3">
      <c r="A341" t="s">
        <v>779</v>
      </c>
      <c r="J341" t="str">
        <f t="shared" si="15"/>
        <v>X</v>
      </c>
      <c r="K341" s="1" t="str">
        <f t="shared" si="16"/>
        <v>2013-10-01</v>
      </c>
      <c r="L341" t="s">
        <v>1640</v>
      </c>
      <c r="M341" s="7" t="e">
        <f t="shared" si="17"/>
        <v>#VALUE!</v>
      </c>
    </row>
    <row r="342" spans="1:13" x14ac:dyDescent="0.3">
      <c r="A342" t="s">
        <v>780</v>
      </c>
      <c r="J342" t="str">
        <f t="shared" si="15"/>
        <v>XI</v>
      </c>
      <c r="K342" s="1" t="str">
        <f t="shared" si="16"/>
        <v>2013-11-01</v>
      </c>
      <c r="L342" t="s">
        <v>1641</v>
      </c>
      <c r="M342" s="7" t="e">
        <f t="shared" si="17"/>
        <v>#VALUE!</v>
      </c>
    </row>
    <row r="343" spans="1:13" x14ac:dyDescent="0.3">
      <c r="A343" t="s">
        <v>781</v>
      </c>
      <c r="J343" t="str">
        <f t="shared" si="15"/>
        <v>XII</v>
      </c>
      <c r="K343" s="1" t="str">
        <f t="shared" si="16"/>
        <v>2013-12-01</v>
      </c>
      <c r="L343" t="s">
        <v>1642</v>
      </c>
      <c r="M343" s="7" t="e">
        <f t="shared" si="17"/>
        <v>#VALUE!</v>
      </c>
    </row>
    <row r="344" spans="1:13" x14ac:dyDescent="0.3">
      <c r="A344" t="s">
        <v>782</v>
      </c>
      <c r="J344" t="str">
        <f t="shared" si="15"/>
        <v>I</v>
      </c>
      <c r="K344" s="1" t="str">
        <f t="shared" si="16"/>
        <v>2014-01-01</v>
      </c>
      <c r="L344" t="s">
        <v>1643</v>
      </c>
      <c r="M344" s="7" t="e">
        <f t="shared" si="17"/>
        <v>#VALUE!</v>
      </c>
    </row>
    <row r="345" spans="1:13" x14ac:dyDescent="0.3">
      <c r="A345" t="s">
        <v>783</v>
      </c>
      <c r="J345" t="str">
        <f t="shared" si="15"/>
        <v>II</v>
      </c>
      <c r="K345" s="1" t="str">
        <f t="shared" si="16"/>
        <v>2014-02-01</v>
      </c>
      <c r="L345" t="s">
        <v>1644</v>
      </c>
      <c r="M345" s="7" t="e">
        <f t="shared" si="17"/>
        <v>#VALUE!</v>
      </c>
    </row>
    <row r="346" spans="1:13" x14ac:dyDescent="0.3">
      <c r="A346" t="s">
        <v>784</v>
      </c>
      <c r="J346" t="str">
        <f t="shared" si="15"/>
        <v>III</v>
      </c>
      <c r="K346" s="1" t="str">
        <f t="shared" si="16"/>
        <v>2014-03-01</v>
      </c>
      <c r="L346" t="s">
        <v>1645</v>
      </c>
      <c r="M346" s="7" t="e">
        <f t="shared" si="17"/>
        <v>#VALUE!</v>
      </c>
    </row>
    <row r="347" spans="1:13" x14ac:dyDescent="0.3">
      <c r="A347" t="s">
        <v>785</v>
      </c>
      <c r="J347" t="str">
        <f t="shared" si="15"/>
        <v>IV</v>
      </c>
      <c r="K347" s="1" t="str">
        <f t="shared" si="16"/>
        <v>2014-04-01</v>
      </c>
      <c r="L347" t="s">
        <v>1646</v>
      </c>
      <c r="M347" s="7" t="e">
        <f t="shared" si="17"/>
        <v>#VALUE!</v>
      </c>
    </row>
    <row r="348" spans="1:13" x14ac:dyDescent="0.3">
      <c r="A348" t="s">
        <v>786</v>
      </c>
      <c r="J348" t="str">
        <f t="shared" si="15"/>
        <v>V</v>
      </c>
      <c r="K348" s="1" t="str">
        <f t="shared" si="16"/>
        <v>2014-05-01</v>
      </c>
      <c r="L348" t="s">
        <v>1647</v>
      </c>
      <c r="M348" s="7" t="e">
        <f t="shared" si="17"/>
        <v>#VALUE!</v>
      </c>
    </row>
    <row r="349" spans="1:13" x14ac:dyDescent="0.3">
      <c r="A349" t="s">
        <v>787</v>
      </c>
      <c r="J349" t="str">
        <f t="shared" si="15"/>
        <v>VI</v>
      </c>
      <c r="K349" s="1" t="str">
        <f t="shared" si="16"/>
        <v>2014-06-01</v>
      </c>
      <c r="L349" t="s">
        <v>1648</v>
      </c>
      <c r="M349" s="7" t="e">
        <f t="shared" si="17"/>
        <v>#VALUE!</v>
      </c>
    </row>
    <row r="350" spans="1:13" x14ac:dyDescent="0.3">
      <c r="A350" t="s">
        <v>788</v>
      </c>
      <c r="J350" t="str">
        <f t="shared" si="15"/>
        <v>VII</v>
      </c>
      <c r="K350" s="1" t="str">
        <f t="shared" si="16"/>
        <v>2014-07-01</v>
      </c>
      <c r="L350" t="s">
        <v>1649</v>
      </c>
      <c r="M350" s="7" t="e">
        <f t="shared" si="17"/>
        <v>#VALUE!</v>
      </c>
    </row>
    <row r="351" spans="1:13" x14ac:dyDescent="0.3">
      <c r="A351" t="s">
        <v>789</v>
      </c>
      <c r="J351" t="str">
        <f t="shared" si="15"/>
        <v>VIII</v>
      </c>
      <c r="K351" s="1" t="str">
        <f t="shared" si="16"/>
        <v>2014-08-01</v>
      </c>
      <c r="L351" t="s">
        <v>1650</v>
      </c>
      <c r="M351" s="7" t="e">
        <f t="shared" si="17"/>
        <v>#VALUE!</v>
      </c>
    </row>
    <row r="352" spans="1:13" x14ac:dyDescent="0.3">
      <c r="A352" t="s">
        <v>790</v>
      </c>
      <c r="J352" t="str">
        <f t="shared" si="15"/>
        <v>IX</v>
      </c>
      <c r="K352" s="1" t="str">
        <f t="shared" si="16"/>
        <v>2014-09-01</v>
      </c>
      <c r="L352" t="s">
        <v>1651</v>
      </c>
      <c r="M352" s="7" t="e">
        <f t="shared" si="17"/>
        <v>#VALUE!</v>
      </c>
    </row>
    <row r="353" spans="1:13" x14ac:dyDescent="0.3">
      <c r="A353" t="s">
        <v>791</v>
      </c>
      <c r="J353" t="str">
        <f t="shared" si="15"/>
        <v>X</v>
      </c>
      <c r="K353" s="1" t="str">
        <f t="shared" si="16"/>
        <v>2014-10-01</v>
      </c>
      <c r="L353" t="s">
        <v>1652</v>
      </c>
      <c r="M353" s="7" t="e">
        <f t="shared" si="17"/>
        <v>#VALUE!</v>
      </c>
    </row>
    <row r="354" spans="1:13" x14ac:dyDescent="0.3">
      <c r="A354" t="s">
        <v>792</v>
      </c>
      <c r="J354" t="str">
        <f t="shared" si="15"/>
        <v>XI</v>
      </c>
      <c r="K354" s="1" t="str">
        <f t="shared" si="16"/>
        <v>2014-11-01</v>
      </c>
      <c r="L354" t="s">
        <v>1653</v>
      </c>
      <c r="M354" s="7" t="e">
        <f t="shared" si="17"/>
        <v>#VALUE!</v>
      </c>
    </row>
    <row r="355" spans="1:13" x14ac:dyDescent="0.3">
      <c r="A355" t="s">
        <v>793</v>
      </c>
      <c r="J355" t="str">
        <f t="shared" si="15"/>
        <v>XII</v>
      </c>
      <c r="K355" s="1" t="str">
        <f t="shared" si="16"/>
        <v>2014-12-01</v>
      </c>
      <c r="L355" t="s">
        <v>1654</v>
      </c>
      <c r="M355" s="7" t="e">
        <f t="shared" si="17"/>
        <v>#VALUE!</v>
      </c>
    </row>
    <row r="356" spans="1:13" x14ac:dyDescent="0.3">
      <c r="A356" t="s">
        <v>794</v>
      </c>
      <c r="J356" t="str">
        <f t="shared" si="15"/>
        <v>I</v>
      </c>
      <c r="K356" s="1" t="str">
        <f t="shared" si="16"/>
        <v>2015-01-01</v>
      </c>
      <c r="L356" t="s">
        <v>1655</v>
      </c>
      <c r="M356" s="7" t="e">
        <f t="shared" si="17"/>
        <v>#VALUE!</v>
      </c>
    </row>
    <row r="357" spans="1:13" x14ac:dyDescent="0.3">
      <c r="A357" t="s">
        <v>795</v>
      </c>
      <c r="J357" t="str">
        <f t="shared" si="15"/>
        <v>II</v>
      </c>
      <c r="K357" s="1" t="str">
        <f t="shared" si="16"/>
        <v>2015-02-01</v>
      </c>
      <c r="L357" t="s">
        <v>1656</v>
      </c>
      <c r="M357" s="7" t="e">
        <f t="shared" si="17"/>
        <v>#VALUE!</v>
      </c>
    </row>
    <row r="358" spans="1:13" x14ac:dyDescent="0.3">
      <c r="A358" t="s">
        <v>796</v>
      </c>
      <c r="J358" t="str">
        <f t="shared" si="15"/>
        <v>III</v>
      </c>
      <c r="K358" s="1" t="str">
        <f t="shared" si="16"/>
        <v>2015-03-01</v>
      </c>
      <c r="L358" t="s">
        <v>1657</v>
      </c>
      <c r="M358" s="7" t="e">
        <f t="shared" si="17"/>
        <v>#VALUE!</v>
      </c>
    </row>
    <row r="359" spans="1:13" x14ac:dyDescent="0.3">
      <c r="A359" t="s">
        <v>797</v>
      </c>
      <c r="J359" t="str">
        <f t="shared" si="15"/>
        <v>IV</v>
      </c>
      <c r="K359" s="1" t="str">
        <f t="shared" si="16"/>
        <v>2015-04-01</v>
      </c>
      <c r="L359" t="s">
        <v>1658</v>
      </c>
      <c r="M359" s="7" t="e">
        <f t="shared" si="17"/>
        <v>#VALUE!</v>
      </c>
    </row>
    <row r="360" spans="1:13" x14ac:dyDescent="0.3">
      <c r="A360" t="s">
        <v>798</v>
      </c>
      <c r="J360" t="str">
        <f t="shared" si="15"/>
        <v>V</v>
      </c>
      <c r="K360" s="1" t="str">
        <f t="shared" si="16"/>
        <v>2015-05-01</v>
      </c>
      <c r="L360" t="s">
        <v>1659</v>
      </c>
      <c r="M360" s="7" t="e">
        <f t="shared" si="17"/>
        <v>#VALUE!</v>
      </c>
    </row>
    <row r="361" spans="1:13" x14ac:dyDescent="0.3">
      <c r="A361" t="s">
        <v>799</v>
      </c>
      <c r="J361" t="str">
        <f t="shared" si="15"/>
        <v>VI</v>
      </c>
      <c r="K361" s="1" t="str">
        <f t="shared" si="16"/>
        <v>2015-06-01</v>
      </c>
      <c r="L361" t="s">
        <v>1660</v>
      </c>
      <c r="M361" s="7" t="e">
        <f t="shared" si="17"/>
        <v>#VALUE!</v>
      </c>
    </row>
    <row r="362" spans="1:13" x14ac:dyDescent="0.3">
      <c r="A362" t="s">
        <v>800</v>
      </c>
      <c r="J362" t="str">
        <f t="shared" si="15"/>
        <v>VII</v>
      </c>
      <c r="K362" s="1" t="str">
        <f t="shared" si="16"/>
        <v>2015-07-01</v>
      </c>
      <c r="L362" t="s">
        <v>1661</v>
      </c>
      <c r="M362" s="7" t="e">
        <f t="shared" si="17"/>
        <v>#VALUE!</v>
      </c>
    </row>
    <row r="363" spans="1:13" x14ac:dyDescent="0.3">
      <c r="A363" t="s">
        <v>801</v>
      </c>
      <c r="J363" t="str">
        <f t="shared" si="15"/>
        <v>VIII</v>
      </c>
      <c r="K363" s="1" t="str">
        <f t="shared" si="16"/>
        <v>2015-08-01</v>
      </c>
      <c r="L363" t="s">
        <v>1662</v>
      </c>
      <c r="M363" s="7" t="e">
        <f t="shared" si="17"/>
        <v>#VALUE!</v>
      </c>
    </row>
    <row r="364" spans="1:13" x14ac:dyDescent="0.3">
      <c r="A364" t="s">
        <v>802</v>
      </c>
      <c r="J364" t="str">
        <f t="shared" si="15"/>
        <v>IX</v>
      </c>
      <c r="K364" s="1" t="str">
        <f t="shared" si="16"/>
        <v>2015-09-01</v>
      </c>
      <c r="L364" t="s">
        <v>1663</v>
      </c>
      <c r="M364" s="7" t="e">
        <f t="shared" si="17"/>
        <v>#VALUE!</v>
      </c>
    </row>
    <row r="365" spans="1:13" x14ac:dyDescent="0.3">
      <c r="A365" t="s">
        <v>803</v>
      </c>
      <c r="J365" t="str">
        <f t="shared" si="15"/>
        <v>X</v>
      </c>
      <c r="K365" s="1" t="str">
        <f t="shared" si="16"/>
        <v>2015-10-01</v>
      </c>
      <c r="L365" t="s">
        <v>1664</v>
      </c>
      <c r="M365" s="7" t="e">
        <f t="shared" si="17"/>
        <v>#VALUE!</v>
      </c>
    </row>
    <row r="366" spans="1:13" x14ac:dyDescent="0.3">
      <c r="A366" t="s">
        <v>804</v>
      </c>
      <c r="J366" t="str">
        <f t="shared" si="15"/>
        <v>XI</v>
      </c>
      <c r="K366" s="1" t="str">
        <f t="shared" si="16"/>
        <v>2015-11-01</v>
      </c>
      <c r="L366" t="s">
        <v>1665</v>
      </c>
      <c r="M366" s="7" t="e">
        <f t="shared" si="17"/>
        <v>#VALUE!</v>
      </c>
    </row>
    <row r="367" spans="1:13" x14ac:dyDescent="0.3">
      <c r="A367" t="s">
        <v>805</v>
      </c>
      <c r="J367" t="str">
        <f t="shared" si="15"/>
        <v>XII</v>
      </c>
      <c r="K367" s="1" t="str">
        <f t="shared" si="16"/>
        <v>2015-12-01</v>
      </c>
      <c r="L367" t="s">
        <v>1666</v>
      </c>
      <c r="M367" s="7" t="e">
        <f t="shared" si="17"/>
        <v>#VALUE!</v>
      </c>
    </row>
    <row r="368" spans="1:13" x14ac:dyDescent="0.3">
      <c r="A368" t="s">
        <v>806</v>
      </c>
      <c r="J368" t="str">
        <f t="shared" si="15"/>
        <v>I</v>
      </c>
      <c r="K368" s="1" t="str">
        <f t="shared" si="16"/>
        <v>2016-01-01</v>
      </c>
      <c r="L368" t="s">
        <v>1667</v>
      </c>
      <c r="M368" s="7" t="e">
        <f t="shared" si="17"/>
        <v>#VALUE!</v>
      </c>
    </row>
    <row r="369" spans="1:13" x14ac:dyDescent="0.3">
      <c r="A369" t="s">
        <v>807</v>
      </c>
      <c r="J369" t="str">
        <f t="shared" si="15"/>
        <v>II</v>
      </c>
      <c r="K369" s="1" t="str">
        <f t="shared" si="16"/>
        <v>2016-02-01</v>
      </c>
      <c r="L369" t="s">
        <v>1668</v>
      </c>
      <c r="M369" s="7" t="e">
        <f t="shared" si="17"/>
        <v>#VALUE!</v>
      </c>
    </row>
    <row r="370" spans="1:13" x14ac:dyDescent="0.3">
      <c r="A370" t="s">
        <v>808</v>
      </c>
      <c r="J370" t="str">
        <f t="shared" si="15"/>
        <v>III</v>
      </c>
      <c r="K370" s="1" t="str">
        <f t="shared" si="16"/>
        <v>2016-03-01</v>
      </c>
      <c r="L370" t="s">
        <v>1669</v>
      </c>
      <c r="M370" s="7" t="e">
        <f t="shared" si="17"/>
        <v>#VALUE!</v>
      </c>
    </row>
    <row r="371" spans="1:13" x14ac:dyDescent="0.3">
      <c r="A371" t="s">
        <v>809</v>
      </c>
      <c r="J371" t="str">
        <f t="shared" si="15"/>
        <v>IV</v>
      </c>
      <c r="K371" s="1" t="str">
        <f t="shared" si="16"/>
        <v>2016-04-01</v>
      </c>
      <c r="L371" t="s">
        <v>1670</v>
      </c>
      <c r="M371" s="7" t="e">
        <f t="shared" si="17"/>
        <v>#VALUE!</v>
      </c>
    </row>
    <row r="372" spans="1:13" x14ac:dyDescent="0.3">
      <c r="A372" t="s">
        <v>810</v>
      </c>
      <c r="J372" t="str">
        <f t="shared" si="15"/>
        <v>V</v>
      </c>
      <c r="K372" s="1" t="str">
        <f t="shared" si="16"/>
        <v>2016-05-01</v>
      </c>
      <c r="L372" t="s">
        <v>1671</v>
      </c>
      <c r="M372" s="7" t="e">
        <f t="shared" si="17"/>
        <v>#VALUE!</v>
      </c>
    </row>
    <row r="373" spans="1:13" x14ac:dyDescent="0.3">
      <c r="A373" t="s">
        <v>811</v>
      </c>
      <c r="J373" t="str">
        <f t="shared" si="15"/>
        <v>VI</v>
      </c>
      <c r="K373" s="1" t="str">
        <f t="shared" si="16"/>
        <v>2016-06-01</v>
      </c>
      <c r="L373" t="s">
        <v>1672</v>
      </c>
      <c r="M373" s="7" t="e">
        <f t="shared" si="17"/>
        <v>#VALUE!</v>
      </c>
    </row>
    <row r="374" spans="1:13" x14ac:dyDescent="0.3">
      <c r="A374" t="s">
        <v>812</v>
      </c>
      <c r="J374" t="str">
        <f t="shared" si="15"/>
        <v>VII</v>
      </c>
      <c r="K374" s="1" t="str">
        <f t="shared" si="16"/>
        <v>2016-07-01</v>
      </c>
      <c r="L374" t="s">
        <v>1673</v>
      </c>
      <c r="M374" s="7" t="e">
        <f t="shared" si="17"/>
        <v>#VALUE!</v>
      </c>
    </row>
    <row r="375" spans="1:13" x14ac:dyDescent="0.3">
      <c r="A375" t="s">
        <v>813</v>
      </c>
      <c r="J375" t="str">
        <f t="shared" si="15"/>
        <v>VIII</v>
      </c>
      <c r="K375" s="1" t="str">
        <f t="shared" si="16"/>
        <v>2016-08-01</v>
      </c>
      <c r="L375" t="s">
        <v>1674</v>
      </c>
      <c r="M375" s="7" t="e">
        <f t="shared" si="17"/>
        <v>#VALUE!</v>
      </c>
    </row>
    <row r="376" spans="1:13" x14ac:dyDescent="0.3">
      <c r="A376" t="s">
        <v>814</v>
      </c>
      <c r="J376" t="str">
        <f t="shared" si="15"/>
        <v>IX</v>
      </c>
      <c r="K376" s="1" t="str">
        <f t="shared" si="16"/>
        <v>2016-09-01</v>
      </c>
      <c r="L376" t="s">
        <v>1675</v>
      </c>
      <c r="M376" s="7" t="e">
        <f t="shared" si="17"/>
        <v>#VALUE!</v>
      </c>
    </row>
    <row r="377" spans="1:13" x14ac:dyDescent="0.3">
      <c r="A377" t="s">
        <v>815</v>
      </c>
      <c r="J377" t="str">
        <f t="shared" si="15"/>
        <v>X</v>
      </c>
      <c r="K377" s="1" t="str">
        <f t="shared" si="16"/>
        <v>2016-10-01</v>
      </c>
      <c r="L377" t="s">
        <v>1676</v>
      </c>
      <c r="M377" s="7" t="e">
        <f t="shared" si="17"/>
        <v>#VALUE!</v>
      </c>
    </row>
    <row r="378" spans="1:13" x14ac:dyDescent="0.3">
      <c r="A378" t="s">
        <v>816</v>
      </c>
      <c r="J378" t="str">
        <f t="shared" si="15"/>
        <v>XI</v>
      </c>
      <c r="K378" s="1" t="str">
        <f t="shared" si="16"/>
        <v>2016-11-01</v>
      </c>
      <c r="L378" t="s">
        <v>1677</v>
      </c>
      <c r="M378" s="7" t="e">
        <f t="shared" si="17"/>
        <v>#VALUE!</v>
      </c>
    </row>
    <row r="379" spans="1:13" x14ac:dyDescent="0.3">
      <c r="A379" t="s">
        <v>817</v>
      </c>
      <c r="J379" t="str">
        <f t="shared" si="15"/>
        <v>XII</v>
      </c>
      <c r="K379" s="1" t="str">
        <f t="shared" si="16"/>
        <v>2016-12-01</v>
      </c>
      <c r="L379" t="s">
        <v>1678</v>
      </c>
      <c r="M379" s="7" t="e">
        <f t="shared" si="17"/>
        <v>#VALUE!</v>
      </c>
    </row>
    <row r="380" spans="1:13" x14ac:dyDescent="0.3">
      <c r="A380" t="s">
        <v>818</v>
      </c>
      <c r="J380" t="str">
        <f t="shared" si="15"/>
        <v>I</v>
      </c>
      <c r="K380" s="1" t="str">
        <f t="shared" si="16"/>
        <v>2017-01-01</v>
      </c>
      <c r="L380" t="s">
        <v>1679</v>
      </c>
      <c r="M380" s="7" t="e">
        <f t="shared" si="17"/>
        <v>#VALUE!</v>
      </c>
    </row>
    <row r="381" spans="1:13" x14ac:dyDescent="0.3">
      <c r="A381" t="s">
        <v>819</v>
      </c>
      <c r="J381" t="str">
        <f t="shared" si="15"/>
        <v>II</v>
      </c>
      <c r="K381" s="1" t="str">
        <f t="shared" si="16"/>
        <v>2017-02-01</v>
      </c>
      <c r="L381" t="s">
        <v>1680</v>
      </c>
      <c r="M381" s="7" t="e">
        <f t="shared" si="17"/>
        <v>#VALUE!</v>
      </c>
    </row>
    <row r="382" spans="1:13" x14ac:dyDescent="0.3">
      <c r="A382" t="s">
        <v>820</v>
      </c>
      <c r="J382" t="str">
        <f t="shared" si="15"/>
        <v>III</v>
      </c>
      <c r="K382" s="1" t="str">
        <f t="shared" si="16"/>
        <v>2017-03-01</v>
      </c>
      <c r="L382" t="s">
        <v>1681</v>
      </c>
      <c r="M382" s="7" t="e">
        <f t="shared" si="17"/>
        <v>#VALUE!</v>
      </c>
    </row>
    <row r="383" spans="1:13" x14ac:dyDescent="0.3">
      <c r="A383" t="s">
        <v>821</v>
      </c>
      <c r="J383" t="str">
        <f t="shared" si="15"/>
        <v>IV</v>
      </c>
      <c r="K383" s="1" t="str">
        <f t="shared" si="16"/>
        <v>2017-04-01</v>
      </c>
      <c r="L383" t="s">
        <v>1682</v>
      </c>
      <c r="M383" s="7" t="e">
        <f t="shared" si="17"/>
        <v>#VALUE!</v>
      </c>
    </row>
    <row r="384" spans="1:13" x14ac:dyDescent="0.3">
      <c r="A384" t="s">
        <v>822</v>
      </c>
      <c r="J384" t="str">
        <f t="shared" si="15"/>
        <v>V</v>
      </c>
      <c r="K384" s="1" t="str">
        <f t="shared" si="16"/>
        <v>2017-05-01</v>
      </c>
      <c r="L384" t="s">
        <v>1683</v>
      </c>
      <c r="M384" s="7" t="e">
        <f t="shared" si="17"/>
        <v>#VALUE!</v>
      </c>
    </row>
    <row r="385" spans="1:13" x14ac:dyDescent="0.3">
      <c r="A385" t="s">
        <v>823</v>
      </c>
      <c r="J385" t="str">
        <f t="shared" si="15"/>
        <v>VI</v>
      </c>
      <c r="K385" s="1" t="str">
        <f t="shared" si="16"/>
        <v>2017-06-01</v>
      </c>
      <c r="L385" t="s">
        <v>1684</v>
      </c>
      <c r="M385" s="7" t="e">
        <f t="shared" si="17"/>
        <v>#VALUE!</v>
      </c>
    </row>
    <row r="386" spans="1:13" x14ac:dyDescent="0.3">
      <c r="A386" t="s">
        <v>824</v>
      </c>
      <c r="J386" t="str">
        <f t="shared" si="15"/>
        <v>VII</v>
      </c>
      <c r="K386" s="1" t="str">
        <f t="shared" si="16"/>
        <v>2017-07-01</v>
      </c>
      <c r="L386" t="s">
        <v>1685</v>
      </c>
      <c r="M386" s="7" t="e">
        <f t="shared" si="17"/>
        <v>#VALUE!</v>
      </c>
    </row>
    <row r="387" spans="1:13" x14ac:dyDescent="0.3">
      <c r="A387" t="s">
        <v>825</v>
      </c>
      <c r="J387" t="str">
        <f t="shared" ref="J387:J422" si="18">TEXT(K387,"mmm")</f>
        <v>VIII</v>
      </c>
      <c r="K387" s="1" t="str">
        <f t="shared" ref="K387:K422" si="19">LEFT(A387,10)</f>
        <v>2017-08-01</v>
      </c>
      <c r="L387" t="s">
        <v>1686</v>
      </c>
      <c r="M387" s="7" t="e">
        <f t="shared" si="17"/>
        <v>#VALUE!</v>
      </c>
    </row>
    <row r="388" spans="1:13" x14ac:dyDescent="0.3">
      <c r="A388" t="s">
        <v>826</v>
      </c>
      <c r="J388" t="str">
        <f t="shared" si="18"/>
        <v>IX</v>
      </c>
      <c r="K388" s="1" t="str">
        <f t="shared" si="19"/>
        <v>2017-09-01</v>
      </c>
      <c r="L388" t="s">
        <v>1687</v>
      </c>
      <c r="M388" s="7" t="e">
        <f t="shared" ref="M388:M422" si="20">(L388/L387)-1</f>
        <v>#VALUE!</v>
      </c>
    </row>
    <row r="389" spans="1:13" x14ac:dyDescent="0.3">
      <c r="A389" t="s">
        <v>827</v>
      </c>
      <c r="J389" t="str">
        <f t="shared" si="18"/>
        <v>X</v>
      </c>
      <c r="K389" s="1" t="str">
        <f t="shared" si="19"/>
        <v>2017-10-01</v>
      </c>
      <c r="L389" t="s">
        <v>1688</v>
      </c>
      <c r="M389" s="7" t="e">
        <f t="shared" si="20"/>
        <v>#VALUE!</v>
      </c>
    </row>
    <row r="390" spans="1:13" x14ac:dyDescent="0.3">
      <c r="A390" t="s">
        <v>828</v>
      </c>
      <c r="J390" t="str">
        <f t="shared" si="18"/>
        <v>XI</v>
      </c>
      <c r="K390" s="1" t="str">
        <f t="shared" si="19"/>
        <v>2017-11-01</v>
      </c>
      <c r="L390" t="s">
        <v>1689</v>
      </c>
      <c r="M390" s="7" t="e">
        <f t="shared" si="20"/>
        <v>#VALUE!</v>
      </c>
    </row>
    <row r="391" spans="1:13" x14ac:dyDescent="0.3">
      <c r="A391" t="s">
        <v>829</v>
      </c>
      <c r="J391" t="str">
        <f t="shared" si="18"/>
        <v>XII</v>
      </c>
      <c r="K391" s="1" t="str">
        <f t="shared" si="19"/>
        <v>2017-12-01</v>
      </c>
      <c r="L391" t="s">
        <v>1690</v>
      </c>
      <c r="M391" s="7" t="e">
        <f t="shared" si="20"/>
        <v>#VALUE!</v>
      </c>
    </row>
    <row r="392" spans="1:13" x14ac:dyDescent="0.3">
      <c r="A392" t="s">
        <v>830</v>
      </c>
      <c r="J392" t="str">
        <f t="shared" si="18"/>
        <v>I</v>
      </c>
      <c r="K392" s="1" t="str">
        <f t="shared" si="19"/>
        <v>2018-01-01</v>
      </c>
      <c r="L392" t="s">
        <v>1691</v>
      </c>
      <c r="M392" s="7" t="e">
        <f t="shared" si="20"/>
        <v>#VALUE!</v>
      </c>
    </row>
    <row r="393" spans="1:13" x14ac:dyDescent="0.3">
      <c r="A393" t="s">
        <v>831</v>
      </c>
      <c r="J393" t="str">
        <f t="shared" si="18"/>
        <v>II</v>
      </c>
      <c r="K393" s="1" t="str">
        <f t="shared" si="19"/>
        <v>2018-02-01</v>
      </c>
      <c r="L393" t="s">
        <v>1692</v>
      </c>
      <c r="M393" s="7" t="e">
        <f t="shared" si="20"/>
        <v>#VALUE!</v>
      </c>
    </row>
    <row r="394" spans="1:13" x14ac:dyDescent="0.3">
      <c r="A394" t="s">
        <v>832</v>
      </c>
      <c r="J394" t="str">
        <f t="shared" si="18"/>
        <v>III</v>
      </c>
      <c r="K394" s="1" t="str">
        <f t="shared" si="19"/>
        <v>2018-03-01</v>
      </c>
      <c r="L394" t="s">
        <v>1693</v>
      </c>
      <c r="M394" s="7" t="e">
        <f t="shared" si="20"/>
        <v>#VALUE!</v>
      </c>
    </row>
    <row r="395" spans="1:13" x14ac:dyDescent="0.3">
      <c r="A395" t="s">
        <v>833</v>
      </c>
      <c r="J395" t="str">
        <f t="shared" si="18"/>
        <v>IV</v>
      </c>
      <c r="K395" s="1" t="str">
        <f t="shared" si="19"/>
        <v>2018-04-01</v>
      </c>
      <c r="L395" t="s">
        <v>1694</v>
      </c>
      <c r="M395" s="7" t="e">
        <f t="shared" si="20"/>
        <v>#VALUE!</v>
      </c>
    </row>
    <row r="396" spans="1:13" x14ac:dyDescent="0.3">
      <c r="A396" t="s">
        <v>834</v>
      </c>
      <c r="J396" t="str">
        <f t="shared" si="18"/>
        <v>V</v>
      </c>
      <c r="K396" s="1" t="str">
        <f t="shared" si="19"/>
        <v>2018-05-01</v>
      </c>
      <c r="L396" t="s">
        <v>1695</v>
      </c>
      <c r="M396" s="7" t="e">
        <f t="shared" si="20"/>
        <v>#VALUE!</v>
      </c>
    </row>
    <row r="397" spans="1:13" x14ac:dyDescent="0.3">
      <c r="A397" t="s">
        <v>835</v>
      </c>
      <c r="J397" t="str">
        <f t="shared" si="18"/>
        <v>VI</v>
      </c>
      <c r="K397" s="1" t="str">
        <f t="shared" si="19"/>
        <v>2018-06-01</v>
      </c>
      <c r="L397" t="s">
        <v>1696</v>
      </c>
      <c r="M397" s="7" t="e">
        <f t="shared" si="20"/>
        <v>#VALUE!</v>
      </c>
    </row>
    <row r="398" spans="1:13" x14ac:dyDescent="0.3">
      <c r="A398" t="s">
        <v>836</v>
      </c>
      <c r="J398" t="str">
        <f t="shared" si="18"/>
        <v>VII</v>
      </c>
      <c r="K398" s="1" t="str">
        <f t="shared" si="19"/>
        <v>2018-07-01</v>
      </c>
      <c r="L398" t="s">
        <v>1697</v>
      </c>
      <c r="M398" s="7" t="e">
        <f t="shared" si="20"/>
        <v>#VALUE!</v>
      </c>
    </row>
    <row r="399" spans="1:13" x14ac:dyDescent="0.3">
      <c r="A399" t="s">
        <v>837</v>
      </c>
      <c r="J399" t="str">
        <f t="shared" si="18"/>
        <v>VIII</v>
      </c>
      <c r="K399" s="1" t="str">
        <f t="shared" si="19"/>
        <v>2018-08-01</v>
      </c>
      <c r="L399" t="s">
        <v>1698</v>
      </c>
      <c r="M399" s="7" t="e">
        <f t="shared" si="20"/>
        <v>#VALUE!</v>
      </c>
    </row>
    <row r="400" spans="1:13" x14ac:dyDescent="0.3">
      <c r="A400" t="s">
        <v>838</v>
      </c>
      <c r="J400" t="str">
        <f t="shared" si="18"/>
        <v>IX</v>
      </c>
      <c r="K400" s="1" t="str">
        <f t="shared" si="19"/>
        <v>2018-09-01</v>
      </c>
      <c r="L400" t="s">
        <v>1699</v>
      </c>
      <c r="M400" s="7" t="e">
        <f t="shared" si="20"/>
        <v>#VALUE!</v>
      </c>
    </row>
    <row r="401" spans="1:13" x14ac:dyDescent="0.3">
      <c r="A401" t="s">
        <v>839</v>
      </c>
      <c r="J401" t="str">
        <f t="shared" si="18"/>
        <v>X</v>
      </c>
      <c r="K401" s="1" t="str">
        <f t="shared" si="19"/>
        <v>2018-10-01</v>
      </c>
      <c r="L401" t="s">
        <v>1700</v>
      </c>
      <c r="M401" s="7" t="e">
        <f t="shared" si="20"/>
        <v>#VALUE!</v>
      </c>
    </row>
    <row r="402" spans="1:13" x14ac:dyDescent="0.3">
      <c r="A402" t="s">
        <v>840</v>
      </c>
      <c r="J402" t="str">
        <f t="shared" si="18"/>
        <v>XI</v>
      </c>
      <c r="K402" s="1" t="str">
        <f t="shared" si="19"/>
        <v>2018-11-01</v>
      </c>
      <c r="L402" t="s">
        <v>1701</v>
      </c>
      <c r="M402" s="7" t="e">
        <f t="shared" si="20"/>
        <v>#VALUE!</v>
      </c>
    </row>
    <row r="403" spans="1:13" x14ac:dyDescent="0.3">
      <c r="A403" t="s">
        <v>841</v>
      </c>
      <c r="J403" t="str">
        <f t="shared" si="18"/>
        <v>XII</v>
      </c>
      <c r="K403" s="1" t="str">
        <f t="shared" si="19"/>
        <v>2018-12-01</v>
      </c>
      <c r="L403" t="s">
        <v>1702</v>
      </c>
      <c r="M403" s="7" t="e">
        <f t="shared" si="20"/>
        <v>#VALUE!</v>
      </c>
    </row>
    <row r="404" spans="1:13" x14ac:dyDescent="0.3">
      <c r="A404" t="s">
        <v>842</v>
      </c>
      <c r="J404" t="str">
        <f t="shared" si="18"/>
        <v>I</v>
      </c>
      <c r="K404" s="1" t="str">
        <f t="shared" si="19"/>
        <v>2019-01-01</v>
      </c>
      <c r="L404" t="s">
        <v>1703</v>
      </c>
      <c r="M404" s="7" t="e">
        <f t="shared" si="20"/>
        <v>#VALUE!</v>
      </c>
    </row>
    <row r="405" spans="1:13" x14ac:dyDescent="0.3">
      <c r="A405" t="s">
        <v>843</v>
      </c>
      <c r="J405" t="str">
        <f t="shared" si="18"/>
        <v>II</v>
      </c>
      <c r="K405" s="1" t="str">
        <f t="shared" si="19"/>
        <v>2019-02-01</v>
      </c>
      <c r="L405" t="s">
        <v>1704</v>
      </c>
      <c r="M405" s="7" t="e">
        <f t="shared" si="20"/>
        <v>#VALUE!</v>
      </c>
    </row>
    <row r="406" spans="1:13" x14ac:dyDescent="0.3">
      <c r="A406" t="s">
        <v>844</v>
      </c>
      <c r="J406" t="str">
        <f t="shared" si="18"/>
        <v>III</v>
      </c>
      <c r="K406" s="1" t="str">
        <f t="shared" si="19"/>
        <v>2019-03-01</v>
      </c>
      <c r="L406" t="s">
        <v>1705</v>
      </c>
      <c r="M406" s="7" t="e">
        <f t="shared" si="20"/>
        <v>#VALUE!</v>
      </c>
    </row>
    <row r="407" spans="1:13" x14ac:dyDescent="0.3">
      <c r="A407" t="s">
        <v>845</v>
      </c>
      <c r="J407" t="str">
        <f t="shared" si="18"/>
        <v>IV</v>
      </c>
      <c r="K407" s="1" t="str">
        <f t="shared" si="19"/>
        <v>2019-04-01</v>
      </c>
      <c r="L407" t="s">
        <v>1706</v>
      </c>
      <c r="M407" s="7" t="e">
        <f t="shared" si="20"/>
        <v>#VALUE!</v>
      </c>
    </row>
    <row r="408" spans="1:13" x14ac:dyDescent="0.3">
      <c r="A408" t="s">
        <v>846</v>
      </c>
      <c r="J408" t="str">
        <f t="shared" si="18"/>
        <v>V</v>
      </c>
      <c r="K408" s="1" t="str">
        <f t="shared" si="19"/>
        <v>2019-05-01</v>
      </c>
      <c r="L408" t="s">
        <v>1707</v>
      </c>
      <c r="M408" s="7" t="e">
        <f t="shared" si="20"/>
        <v>#VALUE!</v>
      </c>
    </row>
    <row r="409" spans="1:13" x14ac:dyDescent="0.3">
      <c r="A409" t="s">
        <v>847</v>
      </c>
      <c r="J409" t="str">
        <f t="shared" si="18"/>
        <v>VI</v>
      </c>
      <c r="K409" s="1" t="str">
        <f t="shared" si="19"/>
        <v>2019-06-01</v>
      </c>
      <c r="L409" t="s">
        <v>1708</v>
      </c>
      <c r="M409" s="7" t="e">
        <f t="shared" si="20"/>
        <v>#VALUE!</v>
      </c>
    </row>
    <row r="410" spans="1:13" x14ac:dyDescent="0.3">
      <c r="A410" t="s">
        <v>848</v>
      </c>
      <c r="J410" t="str">
        <f t="shared" si="18"/>
        <v>VII</v>
      </c>
      <c r="K410" s="1" t="str">
        <f t="shared" si="19"/>
        <v>2019-07-01</v>
      </c>
      <c r="L410" t="s">
        <v>1709</v>
      </c>
      <c r="M410" s="7" t="e">
        <f t="shared" si="20"/>
        <v>#VALUE!</v>
      </c>
    </row>
    <row r="411" spans="1:13" x14ac:dyDescent="0.3">
      <c r="A411" t="s">
        <v>849</v>
      </c>
      <c r="J411" t="str">
        <f t="shared" si="18"/>
        <v>VIII</v>
      </c>
      <c r="K411" s="1" t="str">
        <f t="shared" si="19"/>
        <v>2019-08-01</v>
      </c>
      <c r="L411" t="s">
        <v>1710</v>
      </c>
      <c r="M411" s="7" t="e">
        <f t="shared" si="20"/>
        <v>#VALUE!</v>
      </c>
    </row>
    <row r="412" spans="1:13" x14ac:dyDescent="0.3">
      <c r="A412" t="s">
        <v>850</v>
      </c>
      <c r="J412" t="str">
        <f t="shared" si="18"/>
        <v>IX</v>
      </c>
      <c r="K412" s="1" t="str">
        <f t="shared" si="19"/>
        <v>2019-09-01</v>
      </c>
      <c r="L412" t="s">
        <v>1711</v>
      </c>
      <c r="M412" s="7" t="e">
        <f t="shared" si="20"/>
        <v>#VALUE!</v>
      </c>
    </row>
    <row r="413" spans="1:13" x14ac:dyDescent="0.3">
      <c r="A413" t="s">
        <v>851</v>
      </c>
      <c r="J413" t="str">
        <f t="shared" si="18"/>
        <v>X</v>
      </c>
      <c r="K413" s="1" t="str">
        <f t="shared" si="19"/>
        <v>2019-10-01</v>
      </c>
      <c r="L413" t="s">
        <v>1712</v>
      </c>
      <c r="M413" s="7" t="e">
        <f t="shared" si="20"/>
        <v>#VALUE!</v>
      </c>
    </row>
    <row r="414" spans="1:13" x14ac:dyDescent="0.3">
      <c r="A414" t="s">
        <v>852</v>
      </c>
      <c r="J414" t="str">
        <f t="shared" si="18"/>
        <v>XI</v>
      </c>
      <c r="K414" s="1" t="str">
        <f t="shared" si="19"/>
        <v>2019-11-01</v>
      </c>
      <c r="L414" t="s">
        <v>1713</v>
      </c>
      <c r="M414" s="7" t="e">
        <f t="shared" si="20"/>
        <v>#VALUE!</v>
      </c>
    </row>
    <row r="415" spans="1:13" x14ac:dyDescent="0.3">
      <c r="A415" t="s">
        <v>853</v>
      </c>
      <c r="J415" t="str">
        <f t="shared" si="18"/>
        <v>XII</v>
      </c>
      <c r="K415" s="1" t="str">
        <f t="shared" si="19"/>
        <v>2019-12-01</v>
      </c>
      <c r="L415" t="s">
        <v>1714</v>
      </c>
      <c r="M415" s="7" t="e">
        <f t="shared" si="20"/>
        <v>#VALUE!</v>
      </c>
    </row>
    <row r="416" spans="1:13" x14ac:dyDescent="0.3">
      <c r="A416" t="s">
        <v>854</v>
      </c>
      <c r="J416" t="str">
        <f t="shared" si="18"/>
        <v>I</v>
      </c>
      <c r="K416" s="1" t="str">
        <f t="shared" si="19"/>
        <v>2020-01-01</v>
      </c>
      <c r="L416" t="s">
        <v>1715</v>
      </c>
      <c r="M416" s="7" t="e">
        <f t="shared" si="20"/>
        <v>#VALUE!</v>
      </c>
    </row>
    <row r="417" spans="1:13" x14ac:dyDescent="0.3">
      <c r="A417" t="s">
        <v>855</v>
      </c>
      <c r="J417" t="str">
        <f t="shared" si="18"/>
        <v>II</v>
      </c>
      <c r="K417" s="1" t="str">
        <f t="shared" si="19"/>
        <v>2020-02-01</v>
      </c>
      <c r="L417" t="s">
        <v>1716</v>
      </c>
      <c r="M417" s="7" t="e">
        <f t="shared" si="20"/>
        <v>#VALUE!</v>
      </c>
    </row>
    <row r="418" spans="1:13" x14ac:dyDescent="0.3">
      <c r="A418" t="s">
        <v>856</v>
      </c>
      <c r="J418" t="str">
        <f t="shared" si="18"/>
        <v>III</v>
      </c>
      <c r="K418" s="1" t="str">
        <f t="shared" si="19"/>
        <v>2020-03-01</v>
      </c>
      <c r="L418" t="s">
        <v>1717</v>
      </c>
      <c r="M418" s="7" t="e">
        <f t="shared" si="20"/>
        <v>#VALUE!</v>
      </c>
    </row>
    <row r="419" spans="1:13" x14ac:dyDescent="0.3">
      <c r="A419" t="s">
        <v>857</v>
      </c>
      <c r="J419" t="str">
        <f t="shared" si="18"/>
        <v>IV</v>
      </c>
      <c r="K419" s="1" t="str">
        <f t="shared" si="19"/>
        <v>2020-04-01</v>
      </c>
      <c r="L419" t="s">
        <v>1718</v>
      </c>
      <c r="M419" s="7" t="e">
        <f t="shared" si="20"/>
        <v>#VALUE!</v>
      </c>
    </row>
    <row r="420" spans="1:13" x14ac:dyDescent="0.3">
      <c r="A420" t="s">
        <v>858</v>
      </c>
      <c r="J420" t="str">
        <f t="shared" si="18"/>
        <v>V</v>
      </c>
      <c r="K420" s="1" t="str">
        <f t="shared" si="19"/>
        <v>2020-05-01</v>
      </c>
      <c r="L420" t="s">
        <v>1719</v>
      </c>
      <c r="M420" s="7" t="e">
        <f t="shared" si="20"/>
        <v>#VALUE!</v>
      </c>
    </row>
    <row r="421" spans="1:13" x14ac:dyDescent="0.3">
      <c r="A421" t="s">
        <v>859</v>
      </c>
      <c r="J421" t="str">
        <f t="shared" si="18"/>
        <v>VI</v>
      </c>
      <c r="K421" s="1" t="str">
        <f t="shared" si="19"/>
        <v>2020-06-01</v>
      </c>
      <c r="L421" t="s">
        <v>1720</v>
      </c>
      <c r="M421" s="7" t="e">
        <f t="shared" si="20"/>
        <v>#VALUE!</v>
      </c>
    </row>
    <row r="422" spans="1:13" x14ac:dyDescent="0.3">
      <c r="A422" t="s">
        <v>878</v>
      </c>
      <c r="J422" t="str">
        <f t="shared" si="18"/>
        <v>VII</v>
      </c>
      <c r="K422" s="1" t="str">
        <f t="shared" si="19"/>
        <v>2020-07-01</v>
      </c>
      <c r="L422" t="s">
        <v>1721</v>
      </c>
      <c r="M422" s="7" t="e">
        <f t="shared" si="20"/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4A4E-AB4C-4527-987F-C9E2DB577324}">
  <sheetPr codeName="Sheet12"/>
  <dimension ref="A1:M422"/>
  <sheetViews>
    <sheetView workbookViewId="0">
      <selection activeCell="M3" sqref="M3"/>
    </sheetView>
  </sheetViews>
  <sheetFormatPr defaultRowHeight="14.4" x14ac:dyDescent="0.3"/>
  <cols>
    <col min="11" max="11" width="10.33203125" bestFit="1" customWidth="1"/>
    <col min="12" max="12" width="11.5546875" bestFit="1" customWidth="1"/>
  </cols>
  <sheetData>
    <row r="1" spans="1:13" x14ac:dyDescent="0.3">
      <c r="A1" t="s">
        <v>5</v>
      </c>
      <c r="J1" t="s">
        <v>2</v>
      </c>
      <c r="K1" t="s">
        <v>6</v>
      </c>
      <c r="L1" t="s">
        <v>7</v>
      </c>
      <c r="M1" t="s">
        <v>881</v>
      </c>
    </row>
    <row r="2" spans="1:13" x14ac:dyDescent="0.3">
      <c r="A2" t="s">
        <v>20</v>
      </c>
      <c r="J2" t="str">
        <f>TEXT(K2,"mmm")</f>
        <v>VII</v>
      </c>
      <c r="K2" s="1" t="str">
        <f>LEFT(A2,10)</f>
        <v>1985-07-01</v>
      </c>
      <c r="L2" t="s">
        <v>883</v>
      </c>
    </row>
    <row r="3" spans="1:13" x14ac:dyDescent="0.3">
      <c r="A3" t="s">
        <v>21</v>
      </c>
      <c r="J3" t="str">
        <f t="shared" ref="J3:J66" si="0">TEXT(K3,"mmm")</f>
        <v>VIII</v>
      </c>
      <c r="K3" s="1" t="str">
        <f t="shared" ref="K3:K66" si="1">LEFT(A3,10)</f>
        <v>1985-08-01</v>
      </c>
      <c r="L3" t="s">
        <v>884</v>
      </c>
      <c r="M3" s="7" t="e">
        <f>(L3/L2)-1</f>
        <v>#VALUE!</v>
      </c>
    </row>
    <row r="4" spans="1:13" x14ac:dyDescent="0.3">
      <c r="A4" t="s">
        <v>22</v>
      </c>
      <c r="J4" t="str">
        <f t="shared" si="0"/>
        <v>IX</v>
      </c>
      <c r="K4" s="1" t="str">
        <f t="shared" si="1"/>
        <v>1985-09-01</v>
      </c>
      <c r="L4" t="s">
        <v>885</v>
      </c>
      <c r="M4" s="7" t="e">
        <f t="shared" ref="M4:M67" si="2">(L4/L3)-1</f>
        <v>#VALUE!</v>
      </c>
    </row>
    <row r="5" spans="1:13" x14ac:dyDescent="0.3">
      <c r="A5" t="s">
        <v>23</v>
      </c>
      <c r="J5" t="str">
        <f t="shared" si="0"/>
        <v>X</v>
      </c>
      <c r="K5" s="1" t="str">
        <f t="shared" si="1"/>
        <v>1985-10-01</v>
      </c>
      <c r="L5" t="s">
        <v>886</v>
      </c>
      <c r="M5" s="7" t="e">
        <f t="shared" si="2"/>
        <v>#VALUE!</v>
      </c>
    </row>
    <row r="6" spans="1:13" x14ac:dyDescent="0.3">
      <c r="A6" t="s">
        <v>24</v>
      </c>
      <c r="J6" t="str">
        <f t="shared" si="0"/>
        <v>XI</v>
      </c>
      <c r="K6" s="1" t="str">
        <f t="shared" si="1"/>
        <v>1985-11-01</v>
      </c>
      <c r="L6" t="s">
        <v>887</v>
      </c>
      <c r="M6" s="7" t="e">
        <f t="shared" si="2"/>
        <v>#VALUE!</v>
      </c>
    </row>
    <row r="7" spans="1:13" x14ac:dyDescent="0.3">
      <c r="A7" t="s">
        <v>25</v>
      </c>
      <c r="J7" t="str">
        <f t="shared" si="0"/>
        <v>XII</v>
      </c>
      <c r="K7" s="1" t="str">
        <f t="shared" si="1"/>
        <v>1985-12-01</v>
      </c>
      <c r="L7" t="s">
        <v>888</v>
      </c>
      <c r="M7" s="7" t="e">
        <f t="shared" si="2"/>
        <v>#VALUE!</v>
      </c>
    </row>
    <row r="8" spans="1:13" x14ac:dyDescent="0.3">
      <c r="A8" t="s">
        <v>26</v>
      </c>
      <c r="J8" t="str">
        <f t="shared" si="0"/>
        <v>I</v>
      </c>
      <c r="K8" s="1" t="str">
        <f t="shared" si="1"/>
        <v>1986-01-01</v>
      </c>
      <c r="L8" t="s">
        <v>889</v>
      </c>
      <c r="M8" s="7" t="e">
        <f t="shared" si="2"/>
        <v>#VALUE!</v>
      </c>
    </row>
    <row r="9" spans="1:13" x14ac:dyDescent="0.3">
      <c r="A9" t="s">
        <v>27</v>
      </c>
      <c r="J9" t="str">
        <f t="shared" si="0"/>
        <v>II</v>
      </c>
      <c r="K9" s="1" t="str">
        <f t="shared" si="1"/>
        <v>1986-02-01</v>
      </c>
      <c r="L9" t="s">
        <v>890</v>
      </c>
      <c r="M9" s="7" t="e">
        <f t="shared" si="2"/>
        <v>#VALUE!</v>
      </c>
    </row>
    <row r="10" spans="1:13" x14ac:dyDescent="0.3">
      <c r="A10" t="s">
        <v>28</v>
      </c>
      <c r="J10" t="str">
        <f t="shared" si="0"/>
        <v>III</v>
      </c>
      <c r="K10" s="1" t="str">
        <f t="shared" si="1"/>
        <v>1986-03-01</v>
      </c>
      <c r="L10" t="s">
        <v>891</v>
      </c>
      <c r="M10" s="7" t="e">
        <f t="shared" si="2"/>
        <v>#VALUE!</v>
      </c>
    </row>
    <row r="11" spans="1:13" x14ac:dyDescent="0.3">
      <c r="A11" t="s">
        <v>29</v>
      </c>
      <c r="J11" t="str">
        <f t="shared" si="0"/>
        <v>IV</v>
      </c>
      <c r="K11" s="1" t="str">
        <f t="shared" si="1"/>
        <v>1986-04-01</v>
      </c>
      <c r="L11" t="s">
        <v>892</v>
      </c>
      <c r="M11" s="7" t="e">
        <f t="shared" si="2"/>
        <v>#VALUE!</v>
      </c>
    </row>
    <row r="12" spans="1:13" x14ac:dyDescent="0.3">
      <c r="A12" t="s">
        <v>30</v>
      </c>
      <c r="J12" t="str">
        <f t="shared" si="0"/>
        <v>V</v>
      </c>
      <c r="K12" s="1" t="str">
        <f t="shared" si="1"/>
        <v>1986-05-01</v>
      </c>
      <c r="L12" t="s">
        <v>893</v>
      </c>
      <c r="M12" s="7" t="e">
        <f t="shared" si="2"/>
        <v>#VALUE!</v>
      </c>
    </row>
    <row r="13" spans="1:13" x14ac:dyDescent="0.3">
      <c r="A13" t="s">
        <v>31</v>
      </c>
      <c r="J13" t="str">
        <f t="shared" si="0"/>
        <v>VI</v>
      </c>
      <c r="K13" s="1" t="str">
        <f t="shared" si="1"/>
        <v>1986-06-01</v>
      </c>
      <c r="L13" t="s">
        <v>894</v>
      </c>
      <c r="M13" s="7" t="e">
        <f t="shared" si="2"/>
        <v>#VALUE!</v>
      </c>
    </row>
    <row r="14" spans="1:13" x14ac:dyDescent="0.3">
      <c r="A14" t="s">
        <v>32</v>
      </c>
      <c r="J14" t="str">
        <f t="shared" si="0"/>
        <v>VII</v>
      </c>
      <c r="K14" s="1" t="str">
        <f t="shared" si="1"/>
        <v>1986-07-01</v>
      </c>
      <c r="L14" t="s">
        <v>895</v>
      </c>
      <c r="M14" s="7" t="e">
        <f t="shared" si="2"/>
        <v>#VALUE!</v>
      </c>
    </row>
    <row r="15" spans="1:13" x14ac:dyDescent="0.3">
      <c r="A15" t="s">
        <v>33</v>
      </c>
      <c r="J15" t="str">
        <f t="shared" si="0"/>
        <v>VIII</v>
      </c>
      <c r="K15" s="1" t="str">
        <f t="shared" si="1"/>
        <v>1986-08-01</v>
      </c>
      <c r="L15" t="s">
        <v>896</v>
      </c>
      <c r="M15" s="7" t="e">
        <f t="shared" si="2"/>
        <v>#VALUE!</v>
      </c>
    </row>
    <row r="16" spans="1:13" x14ac:dyDescent="0.3">
      <c r="A16" t="s">
        <v>34</v>
      </c>
      <c r="J16" t="str">
        <f t="shared" si="0"/>
        <v>IX</v>
      </c>
      <c r="K16" s="1" t="str">
        <f t="shared" si="1"/>
        <v>1986-09-01</v>
      </c>
      <c r="L16" t="s">
        <v>897</v>
      </c>
      <c r="M16" s="7" t="e">
        <f t="shared" si="2"/>
        <v>#VALUE!</v>
      </c>
    </row>
    <row r="17" spans="1:13" x14ac:dyDescent="0.3">
      <c r="A17" t="s">
        <v>35</v>
      </c>
      <c r="J17" t="str">
        <f t="shared" si="0"/>
        <v>X</v>
      </c>
      <c r="K17" s="1" t="str">
        <f t="shared" si="1"/>
        <v>1986-10-01</v>
      </c>
      <c r="L17" t="s">
        <v>898</v>
      </c>
      <c r="M17" s="7" t="e">
        <f t="shared" si="2"/>
        <v>#VALUE!</v>
      </c>
    </row>
    <row r="18" spans="1:13" x14ac:dyDescent="0.3">
      <c r="A18" t="s">
        <v>36</v>
      </c>
      <c r="J18" t="str">
        <f t="shared" si="0"/>
        <v>XI</v>
      </c>
      <c r="K18" s="1" t="str">
        <f t="shared" si="1"/>
        <v>1986-11-01</v>
      </c>
      <c r="L18" t="s">
        <v>899</v>
      </c>
      <c r="M18" s="7" t="e">
        <f t="shared" si="2"/>
        <v>#VALUE!</v>
      </c>
    </row>
    <row r="19" spans="1:13" x14ac:dyDescent="0.3">
      <c r="A19" t="s">
        <v>37</v>
      </c>
      <c r="J19" t="str">
        <f t="shared" si="0"/>
        <v>XII</v>
      </c>
      <c r="K19" s="1" t="str">
        <f t="shared" si="1"/>
        <v>1986-12-01</v>
      </c>
      <c r="L19" t="s">
        <v>900</v>
      </c>
      <c r="M19" s="7" t="e">
        <f t="shared" si="2"/>
        <v>#VALUE!</v>
      </c>
    </row>
    <row r="20" spans="1:13" x14ac:dyDescent="0.3">
      <c r="A20" t="s">
        <v>38</v>
      </c>
      <c r="J20" t="str">
        <f t="shared" si="0"/>
        <v>I</v>
      </c>
      <c r="K20" s="1" t="str">
        <f t="shared" si="1"/>
        <v>1987-01-01</v>
      </c>
      <c r="L20" t="s">
        <v>901</v>
      </c>
      <c r="M20" s="7" t="e">
        <f t="shared" si="2"/>
        <v>#VALUE!</v>
      </c>
    </row>
    <row r="21" spans="1:13" x14ac:dyDescent="0.3">
      <c r="A21" t="s">
        <v>39</v>
      </c>
      <c r="J21" t="str">
        <f t="shared" si="0"/>
        <v>II</v>
      </c>
      <c r="K21" s="1" t="str">
        <f t="shared" si="1"/>
        <v>1987-02-01</v>
      </c>
      <c r="L21" t="s">
        <v>902</v>
      </c>
      <c r="M21" s="7" t="e">
        <f t="shared" si="2"/>
        <v>#VALUE!</v>
      </c>
    </row>
    <row r="22" spans="1:13" x14ac:dyDescent="0.3">
      <c r="A22" t="s">
        <v>40</v>
      </c>
      <c r="J22" t="str">
        <f t="shared" si="0"/>
        <v>III</v>
      </c>
      <c r="K22" s="1" t="str">
        <f t="shared" si="1"/>
        <v>1987-03-01</v>
      </c>
      <c r="L22" t="s">
        <v>903</v>
      </c>
      <c r="M22" s="7" t="e">
        <f t="shared" si="2"/>
        <v>#VALUE!</v>
      </c>
    </row>
    <row r="23" spans="1:13" x14ac:dyDescent="0.3">
      <c r="A23" t="s">
        <v>41</v>
      </c>
      <c r="J23" t="str">
        <f t="shared" si="0"/>
        <v>IV</v>
      </c>
      <c r="K23" s="1" t="str">
        <f t="shared" si="1"/>
        <v>1987-04-01</v>
      </c>
      <c r="L23" t="s">
        <v>904</v>
      </c>
      <c r="M23" s="7" t="e">
        <f t="shared" si="2"/>
        <v>#VALUE!</v>
      </c>
    </row>
    <row r="24" spans="1:13" x14ac:dyDescent="0.3">
      <c r="A24" t="s">
        <v>42</v>
      </c>
      <c r="J24" t="str">
        <f t="shared" si="0"/>
        <v>V</v>
      </c>
      <c r="K24" s="1" t="str">
        <f t="shared" si="1"/>
        <v>1987-05-01</v>
      </c>
      <c r="L24" t="s">
        <v>905</v>
      </c>
      <c r="M24" s="7" t="e">
        <f t="shared" si="2"/>
        <v>#VALUE!</v>
      </c>
    </row>
    <row r="25" spans="1:13" x14ac:dyDescent="0.3">
      <c r="A25" t="s">
        <v>43</v>
      </c>
      <c r="J25" t="str">
        <f t="shared" si="0"/>
        <v>VI</v>
      </c>
      <c r="K25" s="1" t="str">
        <f t="shared" si="1"/>
        <v>1987-06-01</v>
      </c>
      <c r="L25" t="s">
        <v>906</v>
      </c>
      <c r="M25" s="7" t="e">
        <f t="shared" si="2"/>
        <v>#VALUE!</v>
      </c>
    </row>
    <row r="26" spans="1:13" x14ac:dyDescent="0.3">
      <c r="A26" t="s">
        <v>44</v>
      </c>
      <c r="J26" t="str">
        <f t="shared" si="0"/>
        <v>VII</v>
      </c>
      <c r="K26" s="1" t="str">
        <f t="shared" si="1"/>
        <v>1987-07-01</v>
      </c>
      <c r="L26" t="s">
        <v>907</v>
      </c>
      <c r="M26" s="7" t="e">
        <f t="shared" si="2"/>
        <v>#VALUE!</v>
      </c>
    </row>
    <row r="27" spans="1:13" x14ac:dyDescent="0.3">
      <c r="A27" t="s">
        <v>45</v>
      </c>
      <c r="J27" t="str">
        <f t="shared" si="0"/>
        <v>VIII</v>
      </c>
      <c r="K27" s="1" t="str">
        <f t="shared" si="1"/>
        <v>1987-08-01</v>
      </c>
      <c r="L27" t="s">
        <v>908</v>
      </c>
      <c r="M27" s="7" t="e">
        <f t="shared" si="2"/>
        <v>#VALUE!</v>
      </c>
    </row>
    <row r="28" spans="1:13" x14ac:dyDescent="0.3">
      <c r="A28" t="s">
        <v>46</v>
      </c>
      <c r="J28" t="str">
        <f t="shared" si="0"/>
        <v>IX</v>
      </c>
      <c r="K28" s="1" t="str">
        <f t="shared" si="1"/>
        <v>1987-09-01</v>
      </c>
      <c r="L28" t="s">
        <v>909</v>
      </c>
      <c r="M28" s="7" t="e">
        <f t="shared" si="2"/>
        <v>#VALUE!</v>
      </c>
    </row>
    <row r="29" spans="1:13" x14ac:dyDescent="0.3">
      <c r="A29" t="s">
        <v>47</v>
      </c>
      <c r="J29" t="str">
        <f t="shared" si="0"/>
        <v>X</v>
      </c>
      <c r="K29" s="1" t="str">
        <f t="shared" si="1"/>
        <v>1987-10-01</v>
      </c>
      <c r="L29" t="s">
        <v>910</v>
      </c>
      <c r="M29" s="7" t="e">
        <f t="shared" si="2"/>
        <v>#VALUE!</v>
      </c>
    </row>
    <row r="30" spans="1:13" x14ac:dyDescent="0.3">
      <c r="A30" t="s">
        <v>48</v>
      </c>
      <c r="J30" t="str">
        <f t="shared" si="0"/>
        <v>XI</v>
      </c>
      <c r="K30" s="1" t="str">
        <f t="shared" si="1"/>
        <v>1987-11-01</v>
      </c>
      <c r="L30" t="s">
        <v>911</v>
      </c>
      <c r="M30" s="7" t="e">
        <f t="shared" si="2"/>
        <v>#VALUE!</v>
      </c>
    </row>
    <row r="31" spans="1:13" x14ac:dyDescent="0.3">
      <c r="A31" t="s">
        <v>49</v>
      </c>
      <c r="J31" t="str">
        <f t="shared" si="0"/>
        <v>XII</v>
      </c>
      <c r="K31" s="1" t="str">
        <f t="shared" si="1"/>
        <v>1987-12-01</v>
      </c>
      <c r="L31" t="s">
        <v>912</v>
      </c>
      <c r="M31" s="7" t="e">
        <f t="shared" si="2"/>
        <v>#VALUE!</v>
      </c>
    </row>
    <row r="32" spans="1:13" x14ac:dyDescent="0.3">
      <c r="A32" t="s">
        <v>50</v>
      </c>
      <c r="J32" t="str">
        <f t="shared" si="0"/>
        <v>I</v>
      </c>
      <c r="K32" s="1" t="str">
        <f t="shared" si="1"/>
        <v>1988-01-01</v>
      </c>
      <c r="L32" t="s">
        <v>913</v>
      </c>
      <c r="M32" s="7" t="e">
        <f t="shared" si="2"/>
        <v>#VALUE!</v>
      </c>
    </row>
    <row r="33" spans="1:13" x14ac:dyDescent="0.3">
      <c r="A33" t="s">
        <v>51</v>
      </c>
      <c r="J33" t="str">
        <f t="shared" si="0"/>
        <v>II</v>
      </c>
      <c r="K33" s="1" t="str">
        <f t="shared" si="1"/>
        <v>1988-02-01</v>
      </c>
      <c r="L33" t="s">
        <v>914</v>
      </c>
      <c r="M33" s="7" t="e">
        <f t="shared" si="2"/>
        <v>#VALUE!</v>
      </c>
    </row>
    <row r="34" spans="1:13" x14ac:dyDescent="0.3">
      <c r="A34" t="s">
        <v>52</v>
      </c>
      <c r="J34" t="str">
        <f t="shared" si="0"/>
        <v>III</v>
      </c>
      <c r="K34" s="1" t="str">
        <f t="shared" si="1"/>
        <v>1988-03-01</v>
      </c>
      <c r="L34" t="s">
        <v>915</v>
      </c>
      <c r="M34" s="7" t="e">
        <f t="shared" si="2"/>
        <v>#VALUE!</v>
      </c>
    </row>
    <row r="35" spans="1:13" x14ac:dyDescent="0.3">
      <c r="A35" t="s">
        <v>53</v>
      </c>
      <c r="J35" t="str">
        <f t="shared" si="0"/>
        <v>IV</v>
      </c>
      <c r="K35" s="1" t="str">
        <f t="shared" si="1"/>
        <v>1988-04-01</v>
      </c>
      <c r="L35" t="s">
        <v>916</v>
      </c>
      <c r="M35" s="7" t="e">
        <f t="shared" si="2"/>
        <v>#VALUE!</v>
      </c>
    </row>
    <row r="36" spans="1:13" x14ac:dyDescent="0.3">
      <c r="A36" t="s">
        <v>54</v>
      </c>
      <c r="J36" t="str">
        <f t="shared" si="0"/>
        <v>V</v>
      </c>
      <c r="K36" s="1" t="str">
        <f t="shared" si="1"/>
        <v>1988-05-01</v>
      </c>
      <c r="L36" t="s">
        <v>917</v>
      </c>
      <c r="M36" s="7" t="e">
        <f t="shared" si="2"/>
        <v>#VALUE!</v>
      </c>
    </row>
    <row r="37" spans="1:13" x14ac:dyDescent="0.3">
      <c r="A37" t="s">
        <v>55</v>
      </c>
      <c r="J37" t="str">
        <f t="shared" si="0"/>
        <v>VI</v>
      </c>
      <c r="K37" s="1" t="str">
        <f t="shared" si="1"/>
        <v>1988-06-01</v>
      </c>
      <c r="L37" t="s">
        <v>918</v>
      </c>
      <c r="M37" s="7" t="e">
        <f t="shared" si="2"/>
        <v>#VALUE!</v>
      </c>
    </row>
    <row r="38" spans="1:13" x14ac:dyDescent="0.3">
      <c r="A38" t="s">
        <v>56</v>
      </c>
      <c r="J38" t="str">
        <f t="shared" si="0"/>
        <v>VII</v>
      </c>
      <c r="K38" s="1" t="str">
        <f t="shared" si="1"/>
        <v>1988-07-01</v>
      </c>
      <c r="L38" t="s">
        <v>919</v>
      </c>
      <c r="M38" s="7" t="e">
        <f t="shared" si="2"/>
        <v>#VALUE!</v>
      </c>
    </row>
    <row r="39" spans="1:13" x14ac:dyDescent="0.3">
      <c r="A39" t="s">
        <v>57</v>
      </c>
      <c r="J39" t="str">
        <f t="shared" si="0"/>
        <v>VIII</v>
      </c>
      <c r="K39" s="1" t="str">
        <f t="shared" si="1"/>
        <v>1988-08-01</v>
      </c>
      <c r="L39" t="s">
        <v>920</v>
      </c>
      <c r="M39" s="7" t="e">
        <f t="shared" si="2"/>
        <v>#VALUE!</v>
      </c>
    </row>
    <row r="40" spans="1:13" x14ac:dyDescent="0.3">
      <c r="A40" t="s">
        <v>58</v>
      </c>
      <c r="J40" t="str">
        <f t="shared" si="0"/>
        <v>IX</v>
      </c>
      <c r="K40" s="1" t="str">
        <f t="shared" si="1"/>
        <v>1988-09-01</v>
      </c>
      <c r="L40" t="s">
        <v>921</v>
      </c>
      <c r="M40" s="7" t="e">
        <f t="shared" si="2"/>
        <v>#VALUE!</v>
      </c>
    </row>
    <row r="41" spans="1:13" x14ac:dyDescent="0.3">
      <c r="A41" t="s">
        <v>59</v>
      </c>
      <c r="J41" t="str">
        <f t="shared" si="0"/>
        <v>X</v>
      </c>
      <c r="K41" s="1" t="str">
        <f t="shared" si="1"/>
        <v>1988-10-01</v>
      </c>
      <c r="L41" t="s">
        <v>922</v>
      </c>
      <c r="M41" s="7" t="e">
        <f t="shared" si="2"/>
        <v>#VALUE!</v>
      </c>
    </row>
    <row r="42" spans="1:13" x14ac:dyDescent="0.3">
      <c r="A42" t="s">
        <v>60</v>
      </c>
      <c r="J42" t="str">
        <f t="shared" si="0"/>
        <v>XI</v>
      </c>
      <c r="K42" s="1" t="str">
        <f t="shared" si="1"/>
        <v>1988-11-01</v>
      </c>
      <c r="L42" t="s">
        <v>923</v>
      </c>
      <c r="M42" s="7" t="e">
        <f t="shared" si="2"/>
        <v>#VALUE!</v>
      </c>
    </row>
    <row r="43" spans="1:13" x14ac:dyDescent="0.3">
      <c r="A43" t="s">
        <v>61</v>
      </c>
      <c r="J43" t="str">
        <f t="shared" si="0"/>
        <v>XII</v>
      </c>
      <c r="K43" s="1" t="str">
        <f t="shared" si="1"/>
        <v>1988-12-01</v>
      </c>
      <c r="L43" t="s">
        <v>924</v>
      </c>
      <c r="M43" s="7" t="e">
        <f t="shared" si="2"/>
        <v>#VALUE!</v>
      </c>
    </row>
    <row r="44" spans="1:13" x14ac:dyDescent="0.3">
      <c r="A44" t="s">
        <v>62</v>
      </c>
      <c r="J44" t="str">
        <f t="shared" si="0"/>
        <v>I</v>
      </c>
      <c r="K44" s="1" t="str">
        <f t="shared" si="1"/>
        <v>1989-01-01</v>
      </c>
      <c r="L44" t="s">
        <v>925</v>
      </c>
      <c r="M44" s="7" t="e">
        <f t="shared" si="2"/>
        <v>#VALUE!</v>
      </c>
    </row>
    <row r="45" spans="1:13" x14ac:dyDescent="0.3">
      <c r="A45" t="s">
        <v>63</v>
      </c>
      <c r="J45" t="str">
        <f t="shared" si="0"/>
        <v>II</v>
      </c>
      <c r="K45" s="1" t="str">
        <f t="shared" si="1"/>
        <v>1989-02-01</v>
      </c>
      <c r="L45" t="s">
        <v>926</v>
      </c>
      <c r="M45" s="7" t="e">
        <f t="shared" si="2"/>
        <v>#VALUE!</v>
      </c>
    </row>
    <row r="46" spans="1:13" x14ac:dyDescent="0.3">
      <c r="A46" t="s">
        <v>64</v>
      </c>
      <c r="J46" t="str">
        <f t="shared" si="0"/>
        <v>III</v>
      </c>
      <c r="K46" s="1" t="str">
        <f t="shared" si="1"/>
        <v>1989-03-01</v>
      </c>
      <c r="L46" t="s">
        <v>927</v>
      </c>
      <c r="M46" s="7" t="e">
        <f t="shared" si="2"/>
        <v>#VALUE!</v>
      </c>
    </row>
    <row r="47" spans="1:13" x14ac:dyDescent="0.3">
      <c r="A47" t="s">
        <v>65</v>
      </c>
      <c r="J47" t="str">
        <f t="shared" si="0"/>
        <v>IV</v>
      </c>
      <c r="K47" s="1" t="str">
        <f t="shared" si="1"/>
        <v>1989-04-01</v>
      </c>
      <c r="L47" t="s">
        <v>928</v>
      </c>
      <c r="M47" s="7" t="e">
        <f t="shared" si="2"/>
        <v>#VALUE!</v>
      </c>
    </row>
    <row r="48" spans="1:13" x14ac:dyDescent="0.3">
      <c r="A48" t="s">
        <v>66</v>
      </c>
      <c r="J48" t="str">
        <f t="shared" si="0"/>
        <v>V</v>
      </c>
      <c r="K48" s="1" t="str">
        <f t="shared" si="1"/>
        <v>1989-05-01</v>
      </c>
      <c r="L48" t="s">
        <v>929</v>
      </c>
      <c r="M48" s="7" t="e">
        <f t="shared" si="2"/>
        <v>#VALUE!</v>
      </c>
    </row>
    <row r="49" spans="1:13" x14ac:dyDescent="0.3">
      <c r="A49" t="s">
        <v>67</v>
      </c>
      <c r="J49" t="str">
        <f t="shared" si="0"/>
        <v>VI</v>
      </c>
      <c r="K49" s="1" t="str">
        <f t="shared" si="1"/>
        <v>1989-06-01</v>
      </c>
      <c r="L49" t="s">
        <v>930</v>
      </c>
      <c r="M49" s="7" t="e">
        <f t="shared" si="2"/>
        <v>#VALUE!</v>
      </c>
    </row>
    <row r="50" spans="1:13" x14ac:dyDescent="0.3">
      <c r="A50" t="s">
        <v>68</v>
      </c>
      <c r="J50" t="str">
        <f t="shared" si="0"/>
        <v>VII</v>
      </c>
      <c r="K50" s="1" t="str">
        <f t="shared" si="1"/>
        <v>1989-07-01</v>
      </c>
      <c r="L50" t="s">
        <v>931</v>
      </c>
      <c r="M50" s="7" t="e">
        <f t="shared" si="2"/>
        <v>#VALUE!</v>
      </c>
    </row>
    <row r="51" spans="1:13" x14ac:dyDescent="0.3">
      <c r="A51" t="s">
        <v>69</v>
      </c>
      <c r="J51" t="str">
        <f t="shared" si="0"/>
        <v>VIII</v>
      </c>
      <c r="K51" s="1" t="str">
        <f t="shared" si="1"/>
        <v>1989-08-01</v>
      </c>
      <c r="L51" t="s">
        <v>932</v>
      </c>
      <c r="M51" s="7" t="e">
        <f t="shared" si="2"/>
        <v>#VALUE!</v>
      </c>
    </row>
    <row r="52" spans="1:13" x14ac:dyDescent="0.3">
      <c r="A52" t="s">
        <v>70</v>
      </c>
      <c r="J52" t="str">
        <f t="shared" si="0"/>
        <v>IX</v>
      </c>
      <c r="K52" s="1" t="str">
        <f t="shared" si="1"/>
        <v>1989-09-01</v>
      </c>
      <c r="L52" t="s">
        <v>933</v>
      </c>
      <c r="M52" s="7" t="e">
        <f t="shared" si="2"/>
        <v>#VALUE!</v>
      </c>
    </row>
    <row r="53" spans="1:13" x14ac:dyDescent="0.3">
      <c r="A53" t="s">
        <v>71</v>
      </c>
      <c r="J53" t="str">
        <f t="shared" si="0"/>
        <v>X</v>
      </c>
      <c r="K53" s="1" t="str">
        <f t="shared" si="1"/>
        <v>1989-10-01</v>
      </c>
      <c r="L53" t="s">
        <v>934</v>
      </c>
      <c r="M53" s="7" t="e">
        <f t="shared" si="2"/>
        <v>#VALUE!</v>
      </c>
    </row>
    <row r="54" spans="1:13" x14ac:dyDescent="0.3">
      <c r="A54" t="s">
        <v>72</v>
      </c>
      <c r="J54" t="str">
        <f t="shared" si="0"/>
        <v>XI</v>
      </c>
      <c r="K54" s="1" t="str">
        <f t="shared" si="1"/>
        <v>1989-11-01</v>
      </c>
      <c r="L54" t="s">
        <v>935</v>
      </c>
      <c r="M54" s="7" t="e">
        <f t="shared" si="2"/>
        <v>#VALUE!</v>
      </c>
    </row>
    <row r="55" spans="1:13" x14ac:dyDescent="0.3">
      <c r="A55" t="s">
        <v>73</v>
      </c>
      <c r="J55" t="str">
        <f t="shared" si="0"/>
        <v>XII</v>
      </c>
      <c r="K55" s="1" t="str">
        <f t="shared" si="1"/>
        <v>1989-12-01</v>
      </c>
      <c r="L55" t="s">
        <v>936</v>
      </c>
      <c r="M55" s="7" t="e">
        <f t="shared" si="2"/>
        <v>#VALUE!</v>
      </c>
    </row>
    <row r="56" spans="1:13" x14ac:dyDescent="0.3">
      <c r="A56" t="s">
        <v>74</v>
      </c>
      <c r="J56" t="str">
        <f t="shared" si="0"/>
        <v>I</v>
      </c>
      <c r="K56" s="1" t="str">
        <f t="shared" si="1"/>
        <v>1990-01-01</v>
      </c>
      <c r="L56" t="s">
        <v>937</v>
      </c>
      <c r="M56" s="7" t="e">
        <f t="shared" si="2"/>
        <v>#VALUE!</v>
      </c>
    </row>
    <row r="57" spans="1:13" x14ac:dyDescent="0.3">
      <c r="A57" t="s">
        <v>75</v>
      </c>
      <c r="J57" t="str">
        <f t="shared" si="0"/>
        <v>II</v>
      </c>
      <c r="K57" s="1" t="str">
        <f t="shared" si="1"/>
        <v>1990-02-01</v>
      </c>
      <c r="L57" t="s">
        <v>938</v>
      </c>
      <c r="M57" s="7" t="e">
        <f t="shared" si="2"/>
        <v>#VALUE!</v>
      </c>
    </row>
    <row r="58" spans="1:13" x14ac:dyDescent="0.3">
      <c r="A58" t="s">
        <v>76</v>
      </c>
      <c r="J58" t="str">
        <f t="shared" si="0"/>
        <v>III</v>
      </c>
      <c r="K58" s="1" t="str">
        <f t="shared" si="1"/>
        <v>1990-03-01</v>
      </c>
      <c r="L58" t="s">
        <v>939</v>
      </c>
      <c r="M58" s="7" t="e">
        <f t="shared" si="2"/>
        <v>#VALUE!</v>
      </c>
    </row>
    <row r="59" spans="1:13" x14ac:dyDescent="0.3">
      <c r="A59" t="s">
        <v>77</v>
      </c>
      <c r="J59" t="str">
        <f t="shared" si="0"/>
        <v>IV</v>
      </c>
      <c r="K59" s="1" t="str">
        <f t="shared" si="1"/>
        <v>1990-04-01</v>
      </c>
      <c r="L59" t="s">
        <v>940</v>
      </c>
      <c r="M59" s="7" t="e">
        <f t="shared" si="2"/>
        <v>#VALUE!</v>
      </c>
    </row>
    <row r="60" spans="1:13" x14ac:dyDescent="0.3">
      <c r="A60" t="s">
        <v>78</v>
      </c>
      <c r="J60" t="str">
        <f t="shared" si="0"/>
        <v>V</v>
      </c>
      <c r="K60" s="1" t="str">
        <f t="shared" si="1"/>
        <v>1990-05-01</v>
      </c>
      <c r="L60" t="s">
        <v>941</v>
      </c>
      <c r="M60" s="7" t="e">
        <f t="shared" si="2"/>
        <v>#VALUE!</v>
      </c>
    </row>
    <row r="61" spans="1:13" x14ac:dyDescent="0.3">
      <c r="A61" t="s">
        <v>79</v>
      </c>
      <c r="J61" t="str">
        <f t="shared" si="0"/>
        <v>VI</v>
      </c>
      <c r="K61" s="1" t="str">
        <f t="shared" si="1"/>
        <v>1990-06-01</v>
      </c>
      <c r="L61" t="s">
        <v>942</v>
      </c>
      <c r="M61" s="7" t="e">
        <f t="shared" si="2"/>
        <v>#VALUE!</v>
      </c>
    </row>
    <row r="62" spans="1:13" x14ac:dyDescent="0.3">
      <c r="A62" t="s">
        <v>80</v>
      </c>
      <c r="J62" t="str">
        <f t="shared" si="0"/>
        <v>VII</v>
      </c>
      <c r="K62" s="1" t="str">
        <f t="shared" si="1"/>
        <v>1990-07-01</v>
      </c>
      <c r="L62" t="s">
        <v>943</v>
      </c>
      <c r="M62" s="7" t="e">
        <f t="shared" si="2"/>
        <v>#VALUE!</v>
      </c>
    </row>
    <row r="63" spans="1:13" x14ac:dyDescent="0.3">
      <c r="A63" t="s">
        <v>81</v>
      </c>
      <c r="J63" t="str">
        <f t="shared" si="0"/>
        <v>VIII</v>
      </c>
      <c r="K63" s="1" t="str">
        <f t="shared" si="1"/>
        <v>1990-08-01</v>
      </c>
      <c r="L63" t="s">
        <v>944</v>
      </c>
      <c r="M63" s="7" t="e">
        <f t="shared" si="2"/>
        <v>#VALUE!</v>
      </c>
    </row>
    <row r="64" spans="1:13" x14ac:dyDescent="0.3">
      <c r="A64" t="s">
        <v>82</v>
      </c>
      <c r="J64" t="str">
        <f t="shared" si="0"/>
        <v>IX</v>
      </c>
      <c r="K64" s="1" t="str">
        <f t="shared" si="1"/>
        <v>1990-09-01</v>
      </c>
      <c r="L64" t="s">
        <v>945</v>
      </c>
      <c r="M64" s="7" t="e">
        <f t="shared" si="2"/>
        <v>#VALUE!</v>
      </c>
    </row>
    <row r="65" spans="1:13" x14ac:dyDescent="0.3">
      <c r="A65" t="s">
        <v>83</v>
      </c>
      <c r="J65" t="str">
        <f t="shared" si="0"/>
        <v>X</v>
      </c>
      <c r="K65" s="1" t="str">
        <f t="shared" si="1"/>
        <v>1990-10-01</v>
      </c>
      <c r="L65" t="s">
        <v>906</v>
      </c>
      <c r="M65" s="7" t="e">
        <f t="shared" si="2"/>
        <v>#VALUE!</v>
      </c>
    </row>
    <row r="66" spans="1:13" x14ac:dyDescent="0.3">
      <c r="A66" t="s">
        <v>84</v>
      </c>
      <c r="J66" t="str">
        <f t="shared" si="0"/>
        <v>XI</v>
      </c>
      <c r="K66" s="1" t="str">
        <f t="shared" si="1"/>
        <v>1990-11-01</v>
      </c>
      <c r="L66" t="s">
        <v>946</v>
      </c>
      <c r="M66" s="7" t="e">
        <f t="shared" si="2"/>
        <v>#VALUE!</v>
      </c>
    </row>
    <row r="67" spans="1:13" x14ac:dyDescent="0.3">
      <c r="A67" t="s">
        <v>85</v>
      </c>
      <c r="J67" t="str">
        <f t="shared" ref="J67:J130" si="3">TEXT(K67,"mmm")</f>
        <v>XII</v>
      </c>
      <c r="K67" s="1" t="str">
        <f t="shared" ref="K67:K130" si="4">LEFT(A67,10)</f>
        <v>1990-12-01</v>
      </c>
      <c r="L67" t="s">
        <v>947</v>
      </c>
      <c r="M67" s="7" t="e">
        <f t="shared" si="2"/>
        <v>#VALUE!</v>
      </c>
    </row>
    <row r="68" spans="1:13" x14ac:dyDescent="0.3">
      <c r="A68" t="s">
        <v>86</v>
      </c>
      <c r="J68" t="str">
        <f t="shared" si="3"/>
        <v>I</v>
      </c>
      <c r="K68" s="1" t="str">
        <f t="shared" si="4"/>
        <v>1991-01-01</v>
      </c>
      <c r="L68" t="s">
        <v>948</v>
      </c>
      <c r="M68" s="7" t="e">
        <f t="shared" ref="M68:M131" si="5">(L68/L67)-1</f>
        <v>#VALUE!</v>
      </c>
    </row>
    <row r="69" spans="1:13" x14ac:dyDescent="0.3">
      <c r="A69" t="s">
        <v>87</v>
      </c>
      <c r="J69" t="str">
        <f t="shared" si="3"/>
        <v>II</v>
      </c>
      <c r="K69" s="1" t="str">
        <f t="shared" si="4"/>
        <v>1991-02-01</v>
      </c>
      <c r="L69" t="s">
        <v>949</v>
      </c>
      <c r="M69" s="7" t="e">
        <f t="shared" si="5"/>
        <v>#VALUE!</v>
      </c>
    </row>
    <row r="70" spans="1:13" x14ac:dyDescent="0.3">
      <c r="A70" t="s">
        <v>88</v>
      </c>
      <c r="J70" t="str">
        <f t="shared" si="3"/>
        <v>III</v>
      </c>
      <c r="K70" s="1" t="str">
        <f t="shared" si="4"/>
        <v>1991-03-01</v>
      </c>
      <c r="L70" t="s">
        <v>950</v>
      </c>
      <c r="M70" s="7" t="e">
        <f t="shared" si="5"/>
        <v>#VALUE!</v>
      </c>
    </row>
    <row r="71" spans="1:13" x14ac:dyDescent="0.3">
      <c r="A71" t="s">
        <v>89</v>
      </c>
      <c r="J71" t="str">
        <f t="shared" si="3"/>
        <v>IV</v>
      </c>
      <c r="K71" s="1" t="str">
        <f t="shared" si="4"/>
        <v>1991-04-01</v>
      </c>
      <c r="L71" t="s">
        <v>951</v>
      </c>
      <c r="M71" s="7" t="e">
        <f t="shared" si="5"/>
        <v>#VALUE!</v>
      </c>
    </row>
    <row r="72" spans="1:13" x14ac:dyDescent="0.3">
      <c r="A72" t="s">
        <v>90</v>
      </c>
      <c r="J72" t="str">
        <f t="shared" si="3"/>
        <v>V</v>
      </c>
      <c r="K72" s="1" t="str">
        <f t="shared" si="4"/>
        <v>1991-05-01</v>
      </c>
      <c r="L72" t="s">
        <v>952</v>
      </c>
      <c r="M72" s="7" t="e">
        <f t="shared" si="5"/>
        <v>#VALUE!</v>
      </c>
    </row>
    <row r="73" spans="1:13" x14ac:dyDescent="0.3">
      <c r="A73" t="s">
        <v>91</v>
      </c>
      <c r="J73" t="str">
        <f t="shared" si="3"/>
        <v>VI</v>
      </c>
      <c r="K73" s="1" t="str">
        <f t="shared" si="4"/>
        <v>1991-06-01</v>
      </c>
      <c r="L73" t="s">
        <v>953</v>
      </c>
      <c r="M73" s="7" t="e">
        <f t="shared" si="5"/>
        <v>#VALUE!</v>
      </c>
    </row>
    <row r="74" spans="1:13" x14ac:dyDescent="0.3">
      <c r="A74" t="s">
        <v>92</v>
      </c>
      <c r="J74" t="str">
        <f t="shared" si="3"/>
        <v>VII</v>
      </c>
      <c r="K74" s="1" t="str">
        <f t="shared" si="4"/>
        <v>1991-07-01</v>
      </c>
      <c r="L74" t="s">
        <v>954</v>
      </c>
      <c r="M74" s="7" t="e">
        <f t="shared" si="5"/>
        <v>#VALUE!</v>
      </c>
    </row>
    <row r="75" spans="1:13" x14ac:dyDescent="0.3">
      <c r="A75" t="s">
        <v>93</v>
      </c>
      <c r="J75" t="str">
        <f t="shared" si="3"/>
        <v>VIII</v>
      </c>
      <c r="K75" s="1" t="str">
        <f t="shared" si="4"/>
        <v>1991-08-01</v>
      </c>
      <c r="L75" t="s">
        <v>955</v>
      </c>
      <c r="M75" s="7" t="e">
        <f t="shared" si="5"/>
        <v>#VALUE!</v>
      </c>
    </row>
    <row r="76" spans="1:13" x14ac:dyDescent="0.3">
      <c r="A76" t="s">
        <v>94</v>
      </c>
      <c r="J76" t="str">
        <f t="shared" si="3"/>
        <v>IX</v>
      </c>
      <c r="K76" s="1" t="str">
        <f t="shared" si="4"/>
        <v>1991-09-01</v>
      </c>
      <c r="L76" t="s">
        <v>956</v>
      </c>
      <c r="M76" s="7" t="e">
        <f t="shared" si="5"/>
        <v>#VALUE!</v>
      </c>
    </row>
    <row r="77" spans="1:13" x14ac:dyDescent="0.3">
      <c r="A77" t="s">
        <v>95</v>
      </c>
      <c r="J77" t="str">
        <f t="shared" si="3"/>
        <v>X</v>
      </c>
      <c r="K77" s="1" t="str">
        <f t="shared" si="4"/>
        <v>1991-10-01</v>
      </c>
      <c r="L77" t="s">
        <v>957</v>
      </c>
      <c r="M77" s="7" t="e">
        <f t="shared" si="5"/>
        <v>#VALUE!</v>
      </c>
    </row>
    <row r="78" spans="1:13" x14ac:dyDescent="0.3">
      <c r="A78" t="s">
        <v>96</v>
      </c>
      <c r="J78" t="str">
        <f t="shared" si="3"/>
        <v>XI</v>
      </c>
      <c r="K78" s="1" t="str">
        <f t="shared" si="4"/>
        <v>1991-11-01</v>
      </c>
      <c r="L78" t="s">
        <v>950</v>
      </c>
      <c r="M78" s="7" t="e">
        <f t="shared" si="5"/>
        <v>#VALUE!</v>
      </c>
    </row>
    <row r="79" spans="1:13" x14ac:dyDescent="0.3">
      <c r="A79" t="s">
        <v>97</v>
      </c>
      <c r="J79" t="str">
        <f t="shared" si="3"/>
        <v>XII</v>
      </c>
      <c r="K79" s="1" t="str">
        <f t="shared" si="4"/>
        <v>1991-12-01</v>
      </c>
      <c r="L79" t="s">
        <v>958</v>
      </c>
      <c r="M79" s="7" t="e">
        <f t="shared" si="5"/>
        <v>#VALUE!</v>
      </c>
    </row>
    <row r="80" spans="1:13" x14ac:dyDescent="0.3">
      <c r="A80" t="s">
        <v>98</v>
      </c>
      <c r="J80" t="str">
        <f t="shared" si="3"/>
        <v>I</v>
      </c>
      <c r="K80" s="1" t="str">
        <f t="shared" si="4"/>
        <v>1992-01-01</v>
      </c>
      <c r="L80" t="s">
        <v>959</v>
      </c>
      <c r="M80" s="7" t="e">
        <f t="shared" si="5"/>
        <v>#VALUE!</v>
      </c>
    </row>
    <row r="81" spans="1:13" x14ac:dyDescent="0.3">
      <c r="A81" t="s">
        <v>99</v>
      </c>
      <c r="J81" t="str">
        <f t="shared" si="3"/>
        <v>II</v>
      </c>
      <c r="K81" s="1" t="str">
        <f t="shared" si="4"/>
        <v>1992-02-01</v>
      </c>
      <c r="L81" t="s">
        <v>960</v>
      </c>
      <c r="M81" s="7" t="e">
        <f t="shared" si="5"/>
        <v>#VALUE!</v>
      </c>
    </row>
    <row r="82" spans="1:13" x14ac:dyDescent="0.3">
      <c r="A82" t="s">
        <v>100</v>
      </c>
      <c r="J82" t="str">
        <f t="shared" si="3"/>
        <v>III</v>
      </c>
      <c r="K82" s="1" t="str">
        <f t="shared" si="4"/>
        <v>1992-03-01</v>
      </c>
      <c r="L82" t="s">
        <v>961</v>
      </c>
      <c r="M82" s="7" t="e">
        <f t="shared" si="5"/>
        <v>#VALUE!</v>
      </c>
    </row>
    <row r="83" spans="1:13" x14ac:dyDescent="0.3">
      <c r="A83" t="s">
        <v>101</v>
      </c>
      <c r="J83" t="str">
        <f t="shared" si="3"/>
        <v>IV</v>
      </c>
      <c r="K83" s="1" t="str">
        <f t="shared" si="4"/>
        <v>1992-04-01</v>
      </c>
      <c r="L83" t="s">
        <v>962</v>
      </c>
      <c r="M83" s="7" t="e">
        <f t="shared" si="5"/>
        <v>#VALUE!</v>
      </c>
    </row>
    <row r="84" spans="1:13" x14ac:dyDescent="0.3">
      <c r="A84" t="s">
        <v>102</v>
      </c>
      <c r="J84" t="str">
        <f t="shared" si="3"/>
        <v>V</v>
      </c>
      <c r="K84" s="1" t="str">
        <f t="shared" si="4"/>
        <v>1992-05-01</v>
      </c>
      <c r="L84" t="s">
        <v>963</v>
      </c>
      <c r="M84" s="7" t="e">
        <f t="shared" si="5"/>
        <v>#VALUE!</v>
      </c>
    </row>
    <row r="85" spans="1:13" x14ac:dyDescent="0.3">
      <c r="A85" t="s">
        <v>103</v>
      </c>
      <c r="J85" t="str">
        <f t="shared" si="3"/>
        <v>VI</v>
      </c>
      <c r="K85" s="1" t="str">
        <f t="shared" si="4"/>
        <v>1992-06-01</v>
      </c>
      <c r="L85" t="s">
        <v>964</v>
      </c>
      <c r="M85" s="7" t="e">
        <f t="shared" si="5"/>
        <v>#VALUE!</v>
      </c>
    </row>
    <row r="86" spans="1:13" x14ac:dyDescent="0.3">
      <c r="A86" t="s">
        <v>104</v>
      </c>
      <c r="J86" t="str">
        <f t="shared" si="3"/>
        <v>VII</v>
      </c>
      <c r="K86" s="1" t="str">
        <f t="shared" si="4"/>
        <v>1992-07-01</v>
      </c>
      <c r="L86" t="s">
        <v>965</v>
      </c>
      <c r="M86" s="7" t="e">
        <f t="shared" si="5"/>
        <v>#VALUE!</v>
      </c>
    </row>
    <row r="87" spans="1:13" x14ac:dyDescent="0.3">
      <c r="A87" t="s">
        <v>105</v>
      </c>
      <c r="J87" t="str">
        <f t="shared" si="3"/>
        <v>VIII</v>
      </c>
      <c r="K87" s="1" t="str">
        <f t="shared" si="4"/>
        <v>1992-08-01</v>
      </c>
      <c r="L87" t="s">
        <v>966</v>
      </c>
      <c r="M87" s="7" t="e">
        <f t="shared" si="5"/>
        <v>#VALUE!</v>
      </c>
    </row>
    <row r="88" spans="1:13" x14ac:dyDescent="0.3">
      <c r="A88" t="s">
        <v>106</v>
      </c>
      <c r="J88" t="str">
        <f t="shared" si="3"/>
        <v>IX</v>
      </c>
      <c r="K88" s="1" t="str">
        <f t="shared" si="4"/>
        <v>1992-09-01</v>
      </c>
      <c r="L88" t="s">
        <v>967</v>
      </c>
      <c r="M88" s="7" t="e">
        <f t="shared" si="5"/>
        <v>#VALUE!</v>
      </c>
    </row>
    <row r="89" spans="1:13" x14ac:dyDescent="0.3">
      <c r="A89" t="s">
        <v>107</v>
      </c>
      <c r="J89" t="str">
        <f t="shared" si="3"/>
        <v>X</v>
      </c>
      <c r="K89" s="1" t="str">
        <f t="shared" si="4"/>
        <v>1992-10-01</v>
      </c>
      <c r="L89" t="s">
        <v>968</v>
      </c>
      <c r="M89" s="7" t="e">
        <f t="shared" si="5"/>
        <v>#VALUE!</v>
      </c>
    </row>
    <row r="90" spans="1:13" x14ac:dyDescent="0.3">
      <c r="A90" t="s">
        <v>108</v>
      </c>
      <c r="J90" t="str">
        <f t="shared" si="3"/>
        <v>XI</v>
      </c>
      <c r="K90" s="1" t="str">
        <f t="shared" si="4"/>
        <v>1992-11-01</v>
      </c>
      <c r="L90" t="s">
        <v>969</v>
      </c>
      <c r="M90" s="7" t="e">
        <f t="shared" si="5"/>
        <v>#VALUE!</v>
      </c>
    </row>
    <row r="91" spans="1:13" x14ac:dyDescent="0.3">
      <c r="A91" t="s">
        <v>109</v>
      </c>
      <c r="J91" t="str">
        <f t="shared" si="3"/>
        <v>XII</v>
      </c>
      <c r="K91" s="1" t="str">
        <f t="shared" si="4"/>
        <v>1992-12-01</v>
      </c>
      <c r="L91" t="s">
        <v>970</v>
      </c>
      <c r="M91" s="7" t="e">
        <f t="shared" si="5"/>
        <v>#VALUE!</v>
      </c>
    </row>
    <row r="92" spans="1:13" x14ac:dyDescent="0.3">
      <c r="A92" t="s">
        <v>110</v>
      </c>
      <c r="J92" t="str">
        <f t="shared" si="3"/>
        <v>I</v>
      </c>
      <c r="K92" s="1" t="str">
        <f t="shared" si="4"/>
        <v>1993-01-01</v>
      </c>
      <c r="L92" t="s">
        <v>971</v>
      </c>
      <c r="M92" s="7" t="e">
        <f t="shared" si="5"/>
        <v>#VALUE!</v>
      </c>
    </row>
    <row r="93" spans="1:13" x14ac:dyDescent="0.3">
      <c r="A93" t="s">
        <v>111</v>
      </c>
      <c r="J93" t="str">
        <f t="shared" si="3"/>
        <v>II</v>
      </c>
      <c r="K93" s="1" t="str">
        <f t="shared" si="4"/>
        <v>1993-02-01</v>
      </c>
      <c r="L93" t="s">
        <v>972</v>
      </c>
      <c r="M93" s="7" t="e">
        <f t="shared" si="5"/>
        <v>#VALUE!</v>
      </c>
    </row>
    <row r="94" spans="1:13" x14ac:dyDescent="0.3">
      <c r="A94" t="s">
        <v>112</v>
      </c>
      <c r="J94" t="str">
        <f t="shared" si="3"/>
        <v>III</v>
      </c>
      <c r="K94" s="1" t="str">
        <f t="shared" si="4"/>
        <v>1993-03-01</v>
      </c>
      <c r="L94" t="s">
        <v>973</v>
      </c>
      <c r="M94" s="7" t="e">
        <f t="shared" si="5"/>
        <v>#VALUE!</v>
      </c>
    </row>
    <row r="95" spans="1:13" x14ac:dyDescent="0.3">
      <c r="A95" t="s">
        <v>113</v>
      </c>
      <c r="J95" t="str">
        <f t="shared" si="3"/>
        <v>IV</v>
      </c>
      <c r="K95" s="1" t="str">
        <f t="shared" si="4"/>
        <v>1993-04-01</v>
      </c>
      <c r="L95" t="s">
        <v>974</v>
      </c>
      <c r="M95" s="7" t="e">
        <f t="shared" si="5"/>
        <v>#VALUE!</v>
      </c>
    </row>
    <row r="96" spans="1:13" x14ac:dyDescent="0.3">
      <c r="A96" t="s">
        <v>114</v>
      </c>
      <c r="J96" t="str">
        <f t="shared" si="3"/>
        <v>V</v>
      </c>
      <c r="K96" s="1" t="str">
        <f t="shared" si="4"/>
        <v>1993-05-01</v>
      </c>
      <c r="L96" t="s">
        <v>975</v>
      </c>
      <c r="M96" s="7" t="e">
        <f t="shared" si="5"/>
        <v>#VALUE!</v>
      </c>
    </row>
    <row r="97" spans="1:13" x14ac:dyDescent="0.3">
      <c r="A97" t="s">
        <v>115</v>
      </c>
      <c r="J97" t="str">
        <f t="shared" si="3"/>
        <v>VI</v>
      </c>
      <c r="K97" s="1" t="str">
        <f t="shared" si="4"/>
        <v>1993-06-01</v>
      </c>
      <c r="L97" t="s">
        <v>976</v>
      </c>
      <c r="M97" s="7" t="e">
        <f t="shared" si="5"/>
        <v>#VALUE!</v>
      </c>
    </row>
    <row r="98" spans="1:13" x14ac:dyDescent="0.3">
      <c r="A98" t="s">
        <v>116</v>
      </c>
      <c r="J98" t="str">
        <f t="shared" si="3"/>
        <v>VII</v>
      </c>
      <c r="K98" s="1" t="str">
        <f t="shared" si="4"/>
        <v>1993-07-01</v>
      </c>
      <c r="L98" t="s">
        <v>977</v>
      </c>
      <c r="M98" s="7" t="e">
        <f t="shared" si="5"/>
        <v>#VALUE!</v>
      </c>
    </row>
    <row r="99" spans="1:13" x14ac:dyDescent="0.3">
      <c r="A99" t="s">
        <v>117</v>
      </c>
      <c r="J99" t="str">
        <f t="shared" si="3"/>
        <v>VIII</v>
      </c>
      <c r="K99" s="1" t="str">
        <f t="shared" si="4"/>
        <v>1993-08-01</v>
      </c>
      <c r="L99" t="s">
        <v>978</v>
      </c>
      <c r="M99" s="7" t="e">
        <f t="shared" si="5"/>
        <v>#VALUE!</v>
      </c>
    </row>
    <row r="100" spans="1:13" x14ac:dyDescent="0.3">
      <c r="A100" t="s">
        <v>118</v>
      </c>
      <c r="J100" t="str">
        <f t="shared" si="3"/>
        <v>IX</v>
      </c>
      <c r="K100" s="1" t="str">
        <f t="shared" si="4"/>
        <v>1993-09-01</v>
      </c>
      <c r="L100" t="s">
        <v>979</v>
      </c>
      <c r="M100" s="7" t="e">
        <f t="shared" si="5"/>
        <v>#VALUE!</v>
      </c>
    </row>
    <row r="101" spans="1:13" x14ac:dyDescent="0.3">
      <c r="A101" t="s">
        <v>119</v>
      </c>
      <c r="J101" t="str">
        <f t="shared" si="3"/>
        <v>X</v>
      </c>
      <c r="K101" s="1" t="str">
        <f t="shared" si="4"/>
        <v>1993-10-01</v>
      </c>
      <c r="L101" t="s">
        <v>980</v>
      </c>
      <c r="M101" s="7" t="e">
        <f t="shared" si="5"/>
        <v>#VALUE!</v>
      </c>
    </row>
    <row r="102" spans="1:13" x14ac:dyDescent="0.3">
      <c r="A102" t="s">
        <v>120</v>
      </c>
      <c r="J102" t="str">
        <f t="shared" si="3"/>
        <v>XI</v>
      </c>
      <c r="K102" s="1" t="str">
        <f t="shared" si="4"/>
        <v>1993-11-01</v>
      </c>
      <c r="L102" t="s">
        <v>981</v>
      </c>
      <c r="M102" s="7" t="e">
        <f t="shared" si="5"/>
        <v>#VALUE!</v>
      </c>
    </row>
    <row r="103" spans="1:13" x14ac:dyDescent="0.3">
      <c r="A103" t="s">
        <v>121</v>
      </c>
      <c r="J103" t="str">
        <f t="shared" si="3"/>
        <v>XII</v>
      </c>
      <c r="K103" s="1" t="str">
        <f t="shared" si="4"/>
        <v>1993-12-01</v>
      </c>
      <c r="L103" t="s">
        <v>982</v>
      </c>
      <c r="M103" s="7" t="e">
        <f t="shared" si="5"/>
        <v>#VALUE!</v>
      </c>
    </row>
    <row r="104" spans="1:13" x14ac:dyDescent="0.3">
      <c r="A104" t="s">
        <v>122</v>
      </c>
      <c r="J104" t="str">
        <f t="shared" si="3"/>
        <v>I</v>
      </c>
      <c r="K104" s="1" t="str">
        <f t="shared" si="4"/>
        <v>1994-01-01</v>
      </c>
      <c r="L104" t="s">
        <v>983</v>
      </c>
      <c r="M104" s="7" t="e">
        <f t="shared" si="5"/>
        <v>#VALUE!</v>
      </c>
    </row>
    <row r="105" spans="1:13" x14ac:dyDescent="0.3">
      <c r="A105" t="s">
        <v>123</v>
      </c>
      <c r="J105" t="str">
        <f t="shared" si="3"/>
        <v>II</v>
      </c>
      <c r="K105" s="1" t="str">
        <f t="shared" si="4"/>
        <v>1994-02-01</v>
      </c>
      <c r="L105" t="s">
        <v>984</v>
      </c>
      <c r="M105" s="7" t="e">
        <f t="shared" si="5"/>
        <v>#VALUE!</v>
      </c>
    </row>
    <row r="106" spans="1:13" x14ac:dyDescent="0.3">
      <c r="A106" t="s">
        <v>124</v>
      </c>
      <c r="J106" t="str">
        <f t="shared" si="3"/>
        <v>III</v>
      </c>
      <c r="K106" s="1" t="str">
        <f t="shared" si="4"/>
        <v>1994-03-01</v>
      </c>
      <c r="L106" t="s">
        <v>985</v>
      </c>
      <c r="M106" s="7" t="e">
        <f t="shared" si="5"/>
        <v>#VALUE!</v>
      </c>
    </row>
    <row r="107" spans="1:13" x14ac:dyDescent="0.3">
      <c r="A107" t="s">
        <v>125</v>
      </c>
      <c r="J107" t="str">
        <f t="shared" si="3"/>
        <v>IV</v>
      </c>
      <c r="K107" s="1" t="str">
        <f t="shared" si="4"/>
        <v>1994-04-01</v>
      </c>
      <c r="L107" t="s">
        <v>986</v>
      </c>
      <c r="M107" s="7" t="e">
        <f t="shared" si="5"/>
        <v>#VALUE!</v>
      </c>
    </row>
    <row r="108" spans="1:13" x14ac:dyDescent="0.3">
      <c r="A108" t="s">
        <v>126</v>
      </c>
      <c r="J108" t="str">
        <f t="shared" si="3"/>
        <v>V</v>
      </c>
      <c r="K108" s="1" t="str">
        <f t="shared" si="4"/>
        <v>1994-05-01</v>
      </c>
      <c r="L108" t="s">
        <v>987</v>
      </c>
      <c r="M108" s="7" t="e">
        <f t="shared" si="5"/>
        <v>#VALUE!</v>
      </c>
    </row>
    <row r="109" spans="1:13" x14ac:dyDescent="0.3">
      <c r="A109" t="s">
        <v>127</v>
      </c>
      <c r="J109" t="str">
        <f t="shared" si="3"/>
        <v>VI</v>
      </c>
      <c r="K109" s="1" t="str">
        <f t="shared" si="4"/>
        <v>1994-06-01</v>
      </c>
      <c r="L109" t="s">
        <v>988</v>
      </c>
      <c r="M109" s="7" t="e">
        <f t="shared" si="5"/>
        <v>#VALUE!</v>
      </c>
    </row>
    <row r="110" spans="1:13" x14ac:dyDescent="0.3">
      <c r="A110" t="s">
        <v>128</v>
      </c>
      <c r="J110" t="str">
        <f t="shared" si="3"/>
        <v>VII</v>
      </c>
      <c r="K110" s="1" t="str">
        <f t="shared" si="4"/>
        <v>1994-07-01</v>
      </c>
      <c r="L110" t="s">
        <v>989</v>
      </c>
      <c r="M110" s="7" t="e">
        <f t="shared" si="5"/>
        <v>#VALUE!</v>
      </c>
    </row>
    <row r="111" spans="1:13" x14ac:dyDescent="0.3">
      <c r="A111" t="s">
        <v>129</v>
      </c>
      <c r="J111" t="str">
        <f t="shared" si="3"/>
        <v>VIII</v>
      </c>
      <c r="K111" s="1" t="str">
        <f t="shared" si="4"/>
        <v>1994-08-01</v>
      </c>
      <c r="L111" t="s">
        <v>990</v>
      </c>
      <c r="M111" s="7" t="e">
        <f t="shared" si="5"/>
        <v>#VALUE!</v>
      </c>
    </row>
    <row r="112" spans="1:13" x14ac:dyDescent="0.3">
      <c r="A112" t="s">
        <v>130</v>
      </c>
      <c r="J112" t="str">
        <f t="shared" si="3"/>
        <v>IX</v>
      </c>
      <c r="K112" s="1" t="str">
        <f t="shared" si="4"/>
        <v>1994-09-01</v>
      </c>
      <c r="L112" t="s">
        <v>991</v>
      </c>
      <c r="M112" s="7" t="e">
        <f t="shared" si="5"/>
        <v>#VALUE!</v>
      </c>
    </row>
    <row r="113" spans="1:13" x14ac:dyDescent="0.3">
      <c r="A113" t="s">
        <v>131</v>
      </c>
      <c r="J113" t="str">
        <f t="shared" si="3"/>
        <v>X</v>
      </c>
      <c r="K113" s="1" t="str">
        <f t="shared" si="4"/>
        <v>1994-10-01</v>
      </c>
      <c r="L113" t="s">
        <v>992</v>
      </c>
      <c r="M113" s="7" t="e">
        <f t="shared" si="5"/>
        <v>#VALUE!</v>
      </c>
    </row>
    <row r="114" spans="1:13" x14ac:dyDescent="0.3">
      <c r="A114" t="s">
        <v>132</v>
      </c>
      <c r="J114" t="str">
        <f t="shared" si="3"/>
        <v>XI</v>
      </c>
      <c r="K114" s="1" t="str">
        <f t="shared" si="4"/>
        <v>1994-11-01</v>
      </c>
      <c r="L114" t="s">
        <v>993</v>
      </c>
      <c r="M114" s="7" t="e">
        <f t="shared" si="5"/>
        <v>#VALUE!</v>
      </c>
    </row>
    <row r="115" spans="1:13" x14ac:dyDescent="0.3">
      <c r="A115" t="s">
        <v>133</v>
      </c>
      <c r="J115" t="str">
        <f t="shared" si="3"/>
        <v>XII</v>
      </c>
      <c r="K115" s="1" t="str">
        <f t="shared" si="4"/>
        <v>1994-12-01</v>
      </c>
      <c r="L115" t="s">
        <v>994</v>
      </c>
      <c r="M115" s="7" t="e">
        <f t="shared" si="5"/>
        <v>#VALUE!</v>
      </c>
    </row>
    <row r="116" spans="1:13" x14ac:dyDescent="0.3">
      <c r="A116" t="s">
        <v>134</v>
      </c>
      <c r="J116" t="str">
        <f t="shared" si="3"/>
        <v>I</v>
      </c>
      <c r="K116" s="1" t="str">
        <f t="shared" si="4"/>
        <v>1995-01-01</v>
      </c>
      <c r="L116" t="s">
        <v>995</v>
      </c>
      <c r="M116" s="7" t="e">
        <f t="shared" si="5"/>
        <v>#VALUE!</v>
      </c>
    </row>
    <row r="117" spans="1:13" x14ac:dyDescent="0.3">
      <c r="A117" t="s">
        <v>135</v>
      </c>
      <c r="J117" t="str">
        <f t="shared" si="3"/>
        <v>II</v>
      </c>
      <c r="K117" s="1" t="str">
        <f t="shared" si="4"/>
        <v>1995-02-01</v>
      </c>
      <c r="L117" t="s">
        <v>996</v>
      </c>
      <c r="M117" s="7" t="e">
        <f t="shared" si="5"/>
        <v>#VALUE!</v>
      </c>
    </row>
    <row r="118" spans="1:13" x14ac:dyDescent="0.3">
      <c r="A118" t="s">
        <v>136</v>
      </c>
      <c r="J118" t="str">
        <f t="shared" si="3"/>
        <v>III</v>
      </c>
      <c r="K118" s="1" t="str">
        <f t="shared" si="4"/>
        <v>1995-03-01</v>
      </c>
      <c r="L118" t="s">
        <v>997</v>
      </c>
      <c r="M118" s="7" t="e">
        <f t="shared" si="5"/>
        <v>#VALUE!</v>
      </c>
    </row>
    <row r="119" spans="1:13" x14ac:dyDescent="0.3">
      <c r="A119" t="s">
        <v>137</v>
      </c>
      <c r="J119" t="str">
        <f t="shared" si="3"/>
        <v>IV</v>
      </c>
      <c r="K119" s="1" t="str">
        <f t="shared" si="4"/>
        <v>1995-04-01</v>
      </c>
      <c r="L119" t="s">
        <v>998</v>
      </c>
      <c r="M119" s="7" t="e">
        <f t="shared" si="5"/>
        <v>#VALUE!</v>
      </c>
    </row>
    <row r="120" spans="1:13" x14ac:dyDescent="0.3">
      <c r="A120" t="s">
        <v>138</v>
      </c>
      <c r="J120" t="str">
        <f t="shared" si="3"/>
        <v>V</v>
      </c>
      <c r="K120" s="1" t="str">
        <f t="shared" si="4"/>
        <v>1995-05-01</v>
      </c>
      <c r="L120" t="s">
        <v>999</v>
      </c>
      <c r="M120" s="7" t="e">
        <f t="shared" si="5"/>
        <v>#VALUE!</v>
      </c>
    </row>
    <row r="121" spans="1:13" x14ac:dyDescent="0.3">
      <c r="A121" t="s">
        <v>139</v>
      </c>
      <c r="J121" t="str">
        <f t="shared" si="3"/>
        <v>VI</v>
      </c>
      <c r="K121" s="1" t="str">
        <f t="shared" si="4"/>
        <v>1995-06-01</v>
      </c>
      <c r="L121" t="s">
        <v>1000</v>
      </c>
      <c r="M121" s="7" t="e">
        <f t="shared" si="5"/>
        <v>#VALUE!</v>
      </c>
    </row>
    <row r="122" spans="1:13" x14ac:dyDescent="0.3">
      <c r="A122" t="s">
        <v>140</v>
      </c>
      <c r="J122" t="str">
        <f t="shared" si="3"/>
        <v>VII</v>
      </c>
      <c r="K122" s="1" t="str">
        <f t="shared" si="4"/>
        <v>1995-07-01</v>
      </c>
      <c r="L122" t="s">
        <v>1001</v>
      </c>
      <c r="M122" s="7" t="e">
        <f t="shared" si="5"/>
        <v>#VALUE!</v>
      </c>
    </row>
    <row r="123" spans="1:13" x14ac:dyDescent="0.3">
      <c r="A123" t="s">
        <v>141</v>
      </c>
      <c r="J123" t="str">
        <f t="shared" si="3"/>
        <v>VIII</v>
      </c>
      <c r="K123" s="1" t="str">
        <f t="shared" si="4"/>
        <v>1995-08-01</v>
      </c>
      <c r="L123" t="s">
        <v>1002</v>
      </c>
      <c r="M123" s="7" t="e">
        <f t="shared" si="5"/>
        <v>#VALUE!</v>
      </c>
    </row>
    <row r="124" spans="1:13" x14ac:dyDescent="0.3">
      <c r="A124" t="s">
        <v>142</v>
      </c>
      <c r="J124" t="str">
        <f t="shared" si="3"/>
        <v>IX</v>
      </c>
      <c r="K124" s="1" t="str">
        <f t="shared" si="4"/>
        <v>1995-09-01</v>
      </c>
      <c r="L124" t="s">
        <v>1003</v>
      </c>
      <c r="M124" s="7" t="e">
        <f t="shared" si="5"/>
        <v>#VALUE!</v>
      </c>
    </row>
    <row r="125" spans="1:13" x14ac:dyDescent="0.3">
      <c r="A125" t="s">
        <v>143</v>
      </c>
      <c r="J125" t="str">
        <f t="shared" si="3"/>
        <v>X</v>
      </c>
      <c r="K125" s="1" t="str">
        <f t="shared" si="4"/>
        <v>1995-10-01</v>
      </c>
      <c r="L125" t="s">
        <v>1004</v>
      </c>
      <c r="M125" s="7" t="e">
        <f t="shared" si="5"/>
        <v>#VALUE!</v>
      </c>
    </row>
    <row r="126" spans="1:13" x14ac:dyDescent="0.3">
      <c r="A126" t="s">
        <v>144</v>
      </c>
      <c r="J126" t="str">
        <f t="shared" si="3"/>
        <v>XI</v>
      </c>
      <c r="K126" s="1" t="str">
        <f t="shared" si="4"/>
        <v>1995-11-01</v>
      </c>
      <c r="L126" t="s">
        <v>1005</v>
      </c>
      <c r="M126" s="7" t="e">
        <f t="shared" si="5"/>
        <v>#VALUE!</v>
      </c>
    </row>
    <row r="127" spans="1:13" x14ac:dyDescent="0.3">
      <c r="A127" t="s">
        <v>145</v>
      </c>
      <c r="J127" t="str">
        <f t="shared" si="3"/>
        <v>XII</v>
      </c>
      <c r="K127" s="1" t="str">
        <f t="shared" si="4"/>
        <v>1995-12-01</v>
      </c>
      <c r="L127" t="s">
        <v>1006</v>
      </c>
      <c r="M127" s="7" t="e">
        <f t="shared" si="5"/>
        <v>#VALUE!</v>
      </c>
    </row>
    <row r="128" spans="1:13" x14ac:dyDescent="0.3">
      <c r="A128" t="s">
        <v>146</v>
      </c>
      <c r="J128" t="str">
        <f t="shared" si="3"/>
        <v>I</v>
      </c>
      <c r="K128" s="1" t="str">
        <f t="shared" si="4"/>
        <v>1996-01-01</v>
      </c>
      <c r="L128" t="s">
        <v>1007</v>
      </c>
      <c r="M128" s="7" t="e">
        <f t="shared" si="5"/>
        <v>#VALUE!</v>
      </c>
    </row>
    <row r="129" spans="1:13" x14ac:dyDescent="0.3">
      <c r="A129" t="s">
        <v>147</v>
      </c>
      <c r="J129" t="str">
        <f t="shared" si="3"/>
        <v>II</v>
      </c>
      <c r="K129" s="1" t="str">
        <f t="shared" si="4"/>
        <v>1996-02-01</v>
      </c>
      <c r="L129" t="s">
        <v>1008</v>
      </c>
      <c r="M129" s="7" t="e">
        <f t="shared" si="5"/>
        <v>#VALUE!</v>
      </c>
    </row>
    <row r="130" spans="1:13" x14ac:dyDescent="0.3">
      <c r="A130" t="s">
        <v>148</v>
      </c>
      <c r="J130" t="str">
        <f t="shared" si="3"/>
        <v>III</v>
      </c>
      <c r="K130" s="1" t="str">
        <f t="shared" si="4"/>
        <v>1996-03-01</v>
      </c>
      <c r="L130" t="s">
        <v>1009</v>
      </c>
      <c r="M130" s="7" t="e">
        <f t="shared" si="5"/>
        <v>#VALUE!</v>
      </c>
    </row>
    <row r="131" spans="1:13" x14ac:dyDescent="0.3">
      <c r="A131" t="s">
        <v>149</v>
      </c>
      <c r="J131" t="str">
        <f t="shared" ref="J131:J194" si="6">TEXT(K131,"mmm")</f>
        <v>IV</v>
      </c>
      <c r="K131" s="1" t="str">
        <f t="shared" ref="K131:K194" si="7">LEFT(A131,10)</f>
        <v>1996-04-01</v>
      </c>
      <c r="L131" t="s">
        <v>1010</v>
      </c>
      <c r="M131" s="7" t="e">
        <f t="shared" si="5"/>
        <v>#VALUE!</v>
      </c>
    </row>
    <row r="132" spans="1:13" x14ac:dyDescent="0.3">
      <c r="A132" t="s">
        <v>150</v>
      </c>
      <c r="J132" t="str">
        <f t="shared" si="6"/>
        <v>V</v>
      </c>
      <c r="K132" s="1" t="str">
        <f t="shared" si="7"/>
        <v>1996-05-01</v>
      </c>
      <c r="L132" t="s">
        <v>1011</v>
      </c>
      <c r="M132" s="7" t="e">
        <f t="shared" ref="M132:M195" si="8">(L132/L131)-1</f>
        <v>#VALUE!</v>
      </c>
    </row>
    <row r="133" spans="1:13" x14ac:dyDescent="0.3">
      <c r="A133" t="s">
        <v>151</v>
      </c>
      <c r="J133" t="str">
        <f t="shared" si="6"/>
        <v>VI</v>
      </c>
      <c r="K133" s="1" t="str">
        <f t="shared" si="7"/>
        <v>1996-06-01</v>
      </c>
      <c r="L133" t="s">
        <v>1012</v>
      </c>
      <c r="M133" s="7" t="e">
        <f t="shared" si="8"/>
        <v>#VALUE!</v>
      </c>
    </row>
    <row r="134" spans="1:13" x14ac:dyDescent="0.3">
      <c r="A134" t="s">
        <v>152</v>
      </c>
      <c r="J134" t="str">
        <f t="shared" si="6"/>
        <v>VII</v>
      </c>
      <c r="K134" s="1" t="str">
        <f t="shared" si="7"/>
        <v>1996-07-01</v>
      </c>
      <c r="L134" t="s">
        <v>1013</v>
      </c>
      <c r="M134" s="7" t="e">
        <f t="shared" si="8"/>
        <v>#VALUE!</v>
      </c>
    </row>
    <row r="135" spans="1:13" x14ac:dyDescent="0.3">
      <c r="A135" t="s">
        <v>153</v>
      </c>
      <c r="J135" t="str">
        <f t="shared" si="6"/>
        <v>VIII</v>
      </c>
      <c r="K135" s="1" t="str">
        <f t="shared" si="7"/>
        <v>1996-08-01</v>
      </c>
      <c r="L135" t="s">
        <v>1014</v>
      </c>
      <c r="M135" s="7" t="e">
        <f t="shared" si="8"/>
        <v>#VALUE!</v>
      </c>
    </row>
    <row r="136" spans="1:13" x14ac:dyDescent="0.3">
      <c r="A136" t="s">
        <v>154</v>
      </c>
      <c r="J136" t="str">
        <f t="shared" si="6"/>
        <v>IX</v>
      </c>
      <c r="K136" s="1" t="str">
        <f t="shared" si="7"/>
        <v>1996-09-01</v>
      </c>
      <c r="L136" t="s">
        <v>1015</v>
      </c>
      <c r="M136" s="7" t="e">
        <f t="shared" si="8"/>
        <v>#VALUE!</v>
      </c>
    </row>
    <row r="137" spans="1:13" x14ac:dyDescent="0.3">
      <c r="A137" t="s">
        <v>155</v>
      </c>
      <c r="J137" t="str">
        <f t="shared" si="6"/>
        <v>X</v>
      </c>
      <c r="K137" s="1" t="str">
        <f t="shared" si="7"/>
        <v>1996-10-01</v>
      </c>
      <c r="L137" t="s">
        <v>1016</v>
      </c>
      <c r="M137" s="7" t="e">
        <f t="shared" si="8"/>
        <v>#VALUE!</v>
      </c>
    </row>
    <row r="138" spans="1:13" x14ac:dyDescent="0.3">
      <c r="A138" t="s">
        <v>156</v>
      </c>
      <c r="J138" t="str">
        <f t="shared" si="6"/>
        <v>XI</v>
      </c>
      <c r="K138" s="1" t="str">
        <f t="shared" si="7"/>
        <v>1996-11-01</v>
      </c>
      <c r="L138" t="s">
        <v>1017</v>
      </c>
      <c r="M138" s="7" t="e">
        <f t="shared" si="8"/>
        <v>#VALUE!</v>
      </c>
    </row>
    <row r="139" spans="1:13" x14ac:dyDescent="0.3">
      <c r="A139" t="s">
        <v>157</v>
      </c>
      <c r="J139" t="str">
        <f t="shared" si="6"/>
        <v>XII</v>
      </c>
      <c r="K139" s="1" t="str">
        <f t="shared" si="7"/>
        <v>1996-12-01</v>
      </c>
      <c r="L139" t="s">
        <v>1018</v>
      </c>
      <c r="M139" s="7" t="e">
        <f t="shared" si="8"/>
        <v>#VALUE!</v>
      </c>
    </row>
    <row r="140" spans="1:13" x14ac:dyDescent="0.3">
      <c r="A140" t="s">
        <v>158</v>
      </c>
      <c r="J140" t="str">
        <f t="shared" si="6"/>
        <v>I</v>
      </c>
      <c r="K140" s="1" t="str">
        <f t="shared" si="7"/>
        <v>1997-01-01</v>
      </c>
      <c r="L140" t="s">
        <v>1019</v>
      </c>
      <c r="M140" s="7" t="e">
        <f t="shared" si="8"/>
        <v>#VALUE!</v>
      </c>
    </row>
    <row r="141" spans="1:13" x14ac:dyDescent="0.3">
      <c r="A141" t="s">
        <v>159</v>
      </c>
      <c r="J141" t="str">
        <f t="shared" si="6"/>
        <v>II</v>
      </c>
      <c r="K141" s="1" t="str">
        <f t="shared" si="7"/>
        <v>1997-02-01</v>
      </c>
      <c r="L141" t="s">
        <v>1020</v>
      </c>
      <c r="M141" s="7" t="e">
        <f t="shared" si="8"/>
        <v>#VALUE!</v>
      </c>
    </row>
    <row r="142" spans="1:13" x14ac:dyDescent="0.3">
      <c r="A142" t="s">
        <v>160</v>
      </c>
      <c r="J142" t="str">
        <f t="shared" si="6"/>
        <v>III</v>
      </c>
      <c r="K142" s="1" t="str">
        <f t="shared" si="7"/>
        <v>1997-03-01</v>
      </c>
      <c r="L142" t="s">
        <v>1021</v>
      </c>
      <c r="M142" s="7" t="e">
        <f t="shared" si="8"/>
        <v>#VALUE!</v>
      </c>
    </row>
    <row r="143" spans="1:13" x14ac:dyDescent="0.3">
      <c r="A143" t="s">
        <v>161</v>
      </c>
      <c r="J143" t="str">
        <f t="shared" si="6"/>
        <v>IV</v>
      </c>
      <c r="K143" s="1" t="str">
        <f t="shared" si="7"/>
        <v>1997-04-01</v>
      </c>
      <c r="L143" t="s">
        <v>1022</v>
      </c>
      <c r="M143" s="7" t="e">
        <f t="shared" si="8"/>
        <v>#VALUE!</v>
      </c>
    </row>
    <row r="144" spans="1:13" x14ac:dyDescent="0.3">
      <c r="A144" t="s">
        <v>162</v>
      </c>
      <c r="J144" t="str">
        <f t="shared" si="6"/>
        <v>V</v>
      </c>
      <c r="K144" s="1" t="str">
        <f t="shared" si="7"/>
        <v>1997-05-01</v>
      </c>
      <c r="L144" t="s">
        <v>1023</v>
      </c>
      <c r="M144" s="7" t="e">
        <f t="shared" si="8"/>
        <v>#VALUE!</v>
      </c>
    </row>
    <row r="145" spans="1:13" x14ac:dyDescent="0.3">
      <c r="A145" t="s">
        <v>163</v>
      </c>
      <c r="J145" t="str">
        <f t="shared" si="6"/>
        <v>VI</v>
      </c>
      <c r="K145" s="1" t="str">
        <f t="shared" si="7"/>
        <v>1997-06-01</v>
      </c>
      <c r="L145" t="s">
        <v>1024</v>
      </c>
      <c r="M145" s="7" t="e">
        <f t="shared" si="8"/>
        <v>#VALUE!</v>
      </c>
    </row>
    <row r="146" spans="1:13" x14ac:dyDescent="0.3">
      <c r="A146" t="s">
        <v>164</v>
      </c>
      <c r="J146" t="str">
        <f t="shared" si="6"/>
        <v>VII</v>
      </c>
      <c r="K146" s="1" t="str">
        <f t="shared" si="7"/>
        <v>1997-07-01</v>
      </c>
      <c r="L146" t="s">
        <v>1025</v>
      </c>
      <c r="M146" s="7" t="e">
        <f t="shared" si="8"/>
        <v>#VALUE!</v>
      </c>
    </row>
    <row r="147" spans="1:13" x14ac:dyDescent="0.3">
      <c r="A147" t="s">
        <v>165</v>
      </c>
      <c r="J147" t="str">
        <f t="shared" si="6"/>
        <v>VIII</v>
      </c>
      <c r="K147" s="1" t="str">
        <f t="shared" si="7"/>
        <v>1997-08-01</v>
      </c>
      <c r="L147" t="s">
        <v>1026</v>
      </c>
      <c r="M147" s="7" t="e">
        <f t="shared" si="8"/>
        <v>#VALUE!</v>
      </c>
    </row>
    <row r="148" spans="1:13" x14ac:dyDescent="0.3">
      <c r="A148" t="s">
        <v>166</v>
      </c>
      <c r="J148" t="str">
        <f t="shared" si="6"/>
        <v>IX</v>
      </c>
      <c r="K148" s="1" t="str">
        <f t="shared" si="7"/>
        <v>1997-09-01</v>
      </c>
      <c r="L148" t="s">
        <v>1027</v>
      </c>
      <c r="M148" s="7" t="e">
        <f t="shared" si="8"/>
        <v>#VALUE!</v>
      </c>
    </row>
    <row r="149" spans="1:13" x14ac:dyDescent="0.3">
      <c r="A149" t="s">
        <v>167</v>
      </c>
      <c r="J149" t="str">
        <f t="shared" si="6"/>
        <v>X</v>
      </c>
      <c r="K149" s="1" t="str">
        <f t="shared" si="7"/>
        <v>1997-10-01</v>
      </c>
      <c r="L149" t="s">
        <v>1028</v>
      </c>
      <c r="M149" s="7" t="e">
        <f t="shared" si="8"/>
        <v>#VALUE!</v>
      </c>
    </row>
    <row r="150" spans="1:13" x14ac:dyDescent="0.3">
      <c r="A150" t="s">
        <v>168</v>
      </c>
      <c r="J150" t="str">
        <f t="shared" si="6"/>
        <v>XI</v>
      </c>
      <c r="K150" s="1" t="str">
        <f t="shared" si="7"/>
        <v>1997-11-01</v>
      </c>
      <c r="L150" t="s">
        <v>1029</v>
      </c>
      <c r="M150" s="7" t="e">
        <f t="shared" si="8"/>
        <v>#VALUE!</v>
      </c>
    </row>
    <row r="151" spans="1:13" x14ac:dyDescent="0.3">
      <c r="A151" t="s">
        <v>169</v>
      </c>
      <c r="J151" t="str">
        <f t="shared" si="6"/>
        <v>XII</v>
      </c>
      <c r="K151" s="1" t="str">
        <f t="shared" si="7"/>
        <v>1997-12-01</v>
      </c>
      <c r="L151" t="s">
        <v>1030</v>
      </c>
      <c r="M151" s="7" t="e">
        <f t="shared" si="8"/>
        <v>#VALUE!</v>
      </c>
    </row>
    <row r="152" spans="1:13" x14ac:dyDescent="0.3">
      <c r="A152" t="s">
        <v>170</v>
      </c>
      <c r="J152" t="str">
        <f t="shared" si="6"/>
        <v>I</v>
      </c>
      <c r="K152" s="1" t="str">
        <f t="shared" si="7"/>
        <v>1998-01-01</v>
      </c>
      <c r="L152" t="s">
        <v>1031</v>
      </c>
      <c r="M152" s="7" t="e">
        <f t="shared" si="8"/>
        <v>#VALUE!</v>
      </c>
    </row>
    <row r="153" spans="1:13" x14ac:dyDescent="0.3">
      <c r="A153" t="s">
        <v>171</v>
      </c>
      <c r="J153" t="str">
        <f t="shared" si="6"/>
        <v>II</v>
      </c>
      <c r="K153" s="1" t="str">
        <f t="shared" si="7"/>
        <v>1998-02-01</v>
      </c>
      <c r="L153" t="s">
        <v>1032</v>
      </c>
      <c r="M153" s="7" t="e">
        <f t="shared" si="8"/>
        <v>#VALUE!</v>
      </c>
    </row>
    <row r="154" spans="1:13" x14ac:dyDescent="0.3">
      <c r="A154" t="s">
        <v>172</v>
      </c>
      <c r="J154" t="str">
        <f t="shared" si="6"/>
        <v>III</v>
      </c>
      <c r="K154" s="1" t="str">
        <f t="shared" si="7"/>
        <v>1998-03-01</v>
      </c>
      <c r="L154" t="s">
        <v>1033</v>
      </c>
      <c r="M154" s="7" t="e">
        <f t="shared" si="8"/>
        <v>#VALUE!</v>
      </c>
    </row>
    <row r="155" spans="1:13" x14ac:dyDescent="0.3">
      <c r="A155" t="s">
        <v>173</v>
      </c>
      <c r="J155" t="str">
        <f t="shared" si="6"/>
        <v>IV</v>
      </c>
      <c r="K155" s="1" t="str">
        <f t="shared" si="7"/>
        <v>1998-04-01</v>
      </c>
      <c r="L155" t="s">
        <v>1034</v>
      </c>
      <c r="M155" s="7" t="e">
        <f t="shared" si="8"/>
        <v>#VALUE!</v>
      </c>
    </row>
    <row r="156" spans="1:13" x14ac:dyDescent="0.3">
      <c r="A156" t="s">
        <v>174</v>
      </c>
      <c r="J156" t="str">
        <f t="shared" si="6"/>
        <v>V</v>
      </c>
      <c r="K156" s="1" t="str">
        <f t="shared" si="7"/>
        <v>1998-05-01</v>
      </c>
      <c r="L156" t="s">
        <v>1035</v>
      </c>
      <c r="M156" s="7" t="e">
        <f t="shared" si="8"/>
        <v>#VALUE!</v>
      </c>
    </row>
    <row r="157" spans="1:13" x14ac:dyDescent="0.3">
      <c r="A157" t="s">
        <v>175</v>
      </c>
      <c r="J157" t="str">
        <f t="shared" si="6"/>
        <v>VI</v>
      </c>
      <c r="K157" s="1" t="str">
        <f t="shared" si="7"/>
        <v>1998-06-01</v>
      </c>
      <c r="L157" t="s">
        <v>1036</v>
      </c>
      <c r="M157" s="7" t="e">
        <f t="shared" si="8"/>
        <v>#VALUE!</v>
      </c>
    </row>
    <row r="158" spans="1:13" x14ac:dyDescent="0.3">
      <c r="A158" t="s">
        <v>176</v>
      </c>
      <c r="J158" t="str">
        <f t="shared" si="6"/>
        <v>VII</v>
      </c>
      <c r="K158" s="1" t="str">
        <f t="shared" si="7"/>
        <v>1998-07-01</v>
      </c>
      <c r="L158" t="s">
        <v>1037</v>
      </c>
      <c r="M158" s="7" t="e">
        <f t="shared" si="8"/>
        <v>#VALUE!</v>
      </c>
    </row>
    <row r="159" spans="1:13" x14ac:dyDescent="0.3">
      <c r="A159" t="s">
        <v>177</v>
      </c>
      <c r="J159" t="str">
        <f t="shared" si="6"/>
        <v>VIII</v>
      </c>
      <c r="K159" s="1" t="str">
        <f t="shared" si="7"/>
        <v>1998-08-01</v>
      </c>
      <c r="L159" t="s">
        <v>1038</v>
      </c>
      <c r="M159" s="7" t="e">
        <f t="shared" si="8"/>
        <v>#VALUE!</v>
      </c>
    </row>
    <row r="160" spans="1:13" x14ac:dyDescent="0.3">
      <c r="A160" t="s">
        <v>178</v>
      </c>
      <c r="J160" t="str">
        <f t="shared" si="6"/>
        <v>IX</v>
      </c>
      <c r="K160" s="1" t="str">
        <f t="shared" si="7"/>
        <v>1998-09-01</v>
      </c>
      <c r="L160" t="s">
        <v>1039</v>
      </c>
      <c r="M160" s="7" t="e">
        <f t="shared" si="8"/>
        <v>#VALUE!</v>
      </c>
    </row>
    <row r="161" spans="1:13" x14ac:dyDescent="0.3">
      <c r="A161" t="s">
        <v>179</v>
      </c>
      <c r="J161" t="str">
        <f t="shared" si="6"/>
        <v>X</v>
      </c>
      <c r="K161" s="1" t="str">
        <f t="shared" si="7"/>
        <v>1998-10-01</v>
      </c>
      <c r="L161" t="s">
        <v>1040</v>
      </c>
      <c r="M161" s="7" t="e">
        <f t="shared" si="8"/>
        <v>#VALUE!</v>
      </c>
    </row>
    <row r="162" spans="1:13" x14ac:dyDescent="0.3">
      <c r="A162" t="s">
        <v>180</v>
      </c>
      <c r="J162" t="str">
        <f t="shared" si="6"/>
        <v>XI</v>
      </c>
      <c r="K162" s="1" t="str">
        <f t="shared" si="7"/>
        <v>1998-11-01</v>
      </c>
      <c r="L162" t="s">
        <v>1041</v>
      </c>
      <c r="M162" s="7" t="e">
        <f t="shared" si="8"/>
        <v>#VALUE!</v>
      </c>
    </row>
    <row r="163" spans="1:13" x14ac:dyDescent="0.3">
      <c r="A163" t="s">
        <v>181</v>
      </c>
      <c r="J163" t="str">
        <f t="shared" si="6"/>
        <v>XII</v>
      </c>
      <c r="K163" s="1" t="str">
        <f t="shared" si="7"/>
        <v>1998-12-01</v>
      </c>
      <c r="L163" t="s">
        <v>1042</v>
      </c>
      <c r="M163" s="7" t="e">
        <f t="shared" si="8"/>
        <v>#VALUE!</v>
      </c>
    </row>
    <row r="164" spans="1:13" x14ac:dyDescent="0.3">
      <c r="A164" t="s">
        <v>182</v>
      </c>
      <c r="J164" t="str">
        <f t="shared" si="6"/>
        <v>I</v>
      </c>
      <c r="K164" s="1" t="str">
        <f t="shared" si="7"/>
        <v>1999-01-01</v>
      </c>
      <c r="L164" t="s">
        <v>1043</v>
      </c>
      <c r="M164" s="7" t="e">
        <f t="shared" si="8"/>
        <v>#VALUE!</v>
      </c>
    </row>
    <row r="165" spans="1:13" x14ac:dyDescent="0.3">
      <c r="A165" t="s">
        <v>183</v>
      </c>
      <c r="J165" t="str">
        <f t="shared" si="6"/>
        <v>II</v>
      </c>
      <c r="K165" s="1" t="str">
        <f t="shared" si="7"/>
        <v>1999-02-01</v>
      </c>
      <c r="L165" t="s">
        <v>1044</v>
      </c>
      <c r="M165" s="7" t="e">
        <f t="shared" si="8"/>
        <v>#VALUE!</v>
      </c>
    </row>
    <row r="166" spans="1:13" x14ac:dyDescent="0.3">
      <c r="A166" t="s">
        <v>184</v>
      </c>
      <c r="J166" t="str">
        <f t="shared" si="6"/>
        <v>III</v>
      </c>
      <c r="K166" s="1" t="str">
        <f t="shared" si="7"/>
        <v>1999-03-01</v>
      </c>
      <c r="L166" t="s">
        <v>1045</v>
      </c>
      <c r="M166" s="7" t="e">
        <f t="shared" si="8"/>
        <v>#VALUE!</v>
      </c>
    </row>
    <row r="167" spans="1:13" x14ac:dyDescent="0.3">
      <c r="A167" t="s">
        <v>185</v>
      </c>
      <c r="J167" t="str">
        <f t="shared" si="6"/>
        <v>IV</v>
      </c>
      <c r="K167" s="1" t="str">
        <f t="shared" si="7"/>
        <v>1999-04-01</v>
      </c>
      <c r="L167" t="s">
        <v>1046</v>
      </c>
      <c r="M167" s="7" t="e">
        <f t="shared" si="8"/>
        <v>#VALUE!</v>
      </c>
    </row>
    <row r="168" spans="1:13" x14ac:dyDescent="0.3">
      <c r="A168" t="s">
        <v>186</v>
      </c>
      <c r="J168" t="str">
        <f t="shared" si="6"/>
        <v>V</v>
      </c>
      <c r="K168" s="1" t="str">
        <f t="shared" si="7"/>
        <v>1999-05-01</v>
      </c>
      <c r="L168" t="s">
        <v>1047</v>
      </c>
      <c r="M168" s="7" t="e">
        <f t="shared" si="8"/>
        <v>#VALUE!</v>
      </c>
    </row>
    <row r="169" spans="1:13" x14ac:dyDescent="0.3">
      <c r="A169" t="s">
        <v>187</v>
      </c>
      <c r="J169" t="str">
        <f t="shared" si="6"/>
        <v>VI</v>
      </c>
      <c r="K169" s="1" t="str">
        <f t="shared" si="7"/>
        <v>1999-06-01</v>
      </c>
      <c r="L169" t="s">
        <v>1048</v>
      </c>
      <c r="M169" s="7" t="e">
        <f t="shared" si="8"/>
        <v>#VALUE!</v>
      </c>
    </row>
    <row r="170" spans="1:13" x14ac:dyDescent="0.3">
      <c r="A170" t="s">
        <v>188</v>
      </c>
      <c r="J170" t="str">
        <f t="shared" si="6"/>
        <v>VII</v>
      </c>
      <c r="K170" s="1" t="str">
        <f t="shared" si="7"/>
        <v>1999-07-01</v>
      </c>
      <c r="L170" t="s">
        <v>1049</v>
      </c>
      <c r="M170" s="7" t="e">
        <f t="shared" si="8"/>
        <v>#VALUE!</v>
      </c>
    </row>
    <row r="171" spans="1:13" x14ac:dyDescent="0.3">
      <c r="A171" t="s">
        <v>189</v>
      </c>
      <c r="J171" t="str">
        <f t="shared" si="6"/>
        <v>VIII</v>
      </c>
      <c r="K171" s="1" t="str">
        <f t="shared" si="7"/>
        <v>1999-08-01</v>
      </c>
      <c r="L171" t="s">
        <v>1050</v>
      </c>
      <c r="M171" s="7" t="e">
        <f t="shared" si="8"/>
        <v>#VALUE!</v>
      </c>
    </row>
    <row r="172" spans="1:13" x14ac:dyDescent="0.3">
      <c r="A172" t="s">
        <v>190</v>
      </c>
      <c r="J172" t="str">
        <f t="shared" si="6"/>
        <v>IX</v>
      </c>
      <c r="K172" s="1" t="str">
        <f t="shared" si="7"/>
        <v>1999-09-01</v>
      </c>
      <c r="L172" t="s">
        <v>1051</v>
      </c>
      <c r="M172" s="7" t="e">
        <f t="shared" si="8"/>
        <v>#VALUE!</v>
      </c>
    </row>
    <row r="173" spans="1:13" x14ac:dyDescent="0.3">
      <c r="A173" t="s">
        <v>191</v>
      </c>
      <c r="J173" t="str">
        <f t="shared" si="6"/>
        <v>X</v>
      </c>
      <c r="K173" s="1" t="str">
        <f t="shared" si="7"/>
        <v>1999-10-01</v>
      </c>
      <c r="L173" t="s">
        <v>1052</v>
      </c>
      <c r="M173" s="7" t="e">
        <f t="shared" si="8"/>
        <v>#VALUE!</v>
      </c>
    </row>
    <row r="174" spans="1:13" x14ac:dyDescent="0.3">
      <c r="A174" t="s">
        <v>192</v>
      </c>
      <c r="J174" t="str">
        <f t="shared" si="6"/>
        <v>XI</v>
      </c>
      <c r="K174" s="1" t="str">
        <f t="shared" si="7"/>
        <v>1999-11-01</v>
      </c>
      <c r="L174" t="s">
        <v>1053</v>
      </c>
      <c r="M174" s="7" t="e">
        <f t="shared" si="8"/>
        <v>#VALUE!</v>
      </c>
    </row>
    <row r="175" spans="1:13" x14ac:dyDescent="0.3">
      <c r="A175" t="s">
        <v>193</v>
      </c>
      <c r="J175" t="str">
        <f t="shared" si="6"/>
        <v>XII</v>
      </c>
      <c r="K175" s="1" t="str">
        <f t="shared" si="7"/>
        <v>1999-12-01</v>
      </c>
      <c r="L175" t="s">
        <v>1054</v>
      </c>
      <c r="M175" s="7" t="e">
        <f t="shared" si="8"/>
        <v>#VALUE!</v>
      </c>
    </row>
    <row r="176" spans="1:13" x14ac:dyDescent="0.3">
      <c r="A176" t="s">
        <v>194</v>
      </c>
      <c r="J176" t="str">
        <f t="shared" si="6"/>
        <v>I</v>
      </c>
      <c r="K176" s="1" t="str">
        <f t="shared" si="7"/>
        <v>2000-01-01</v>
      </c>
      <c r="L176" t="s">
        <v>1055</v>
      </c>
      <c r="M176" s="7" t="e">
        <f t="shared" si="8"/>
        <v>#VALUE!</v>
      </c>
    </row>
    <row r="177" spans="1:13" x14ac:dyDescent="0.3">
      <c r="A177" t="s">
        <v>195</v>
      </c>
      <c r="J177" t="str">
        <f t="shared" si="6"/>
        <v>II</v>
      </c>
      <c r="K177" s="1" t="str">
        <f t="shared" si="7"/>
        <v>2000-02-01</v>
      </c>
      <c r="L177" t="s">
        <v>1056</v>
      </c>
      <c r="M177" s="7" t="e">
        <f t="shared" si="8"/>
        <v>#VALUE!</v>
      </c>
    </row>
    <row r="178" spans="1:13" x14ac:dyDescent="0.3">
      <c r="A178" t="s">
        <v>196</v>
      </c>
      <c r="J178" t="str">
        <f t="shared" si="6"/>
        <v>III</v>
      </c>
      <c r="K178" s="1" t="str">
        <f t="shared" si="7"/>
        <v>2000-03-01</v>
      </c>
      <c r="L178" t="s">
        <v>1057</v>
      </c>
      <c r="M178" s="7" t="e">
        <f t="shared" si="8"/>
        <v>#VALUE!</v>
      </c>
    </row>
    <row r="179" spans="1:13" x14ac:dyDescent="0.3">
      <c r="A179" t="s">
        <v>197</v>
      </c>
      <c r="J179" t="str">
        <f t="shared" si="6"/>
        <v>IV</v>
      </c>
      <c r="K179" s="1" t="str">
        <f t="shared" si="7"/>
        <v>2000-04-01</v>
      </c>
      <c r="L179" t="s">
        <v>1058</v>
      </c>
      <c r="M179" s="7" t="e">
        <f t="shared" si="8"/>
        <v>#VALUE!</v>
      </c>
    </row>
    <row r="180" spans="1:13" x14ac:dyDescent="0.3">
      <c r="A180" t="s">
        <v>198</v>
      </c>
      <c r="J180" t="str">
        <f t="shared" si="6"/>
        <v>V</v>
      </c>
      <c r="K180" s="1" t="str">
        <f t="shared" si="7"/>
        <v>2000-05-01</v>
      </c>
      <c r="L180" t="s">
        <v>1059</v>
      </c>
      <c r="M180" s="7" t="e">
        <f t="shared" si="8"/>
        <v>#VALUE!</v>
      </c>
    </row>
    <row r="181" spans="1:13" x14ac:dyDescent="0.3">
      <c r="A181" t="s">
        <v>199</v>
      </c>
      <c r="J181" t="str">
        <f t="shared" si="6"/>
        <v>VI</v>
      </c>
      <c r="K181" s="1" t="str">
        <f t="shared" si="7"/>
        <v>2000-06-01</v>
      </c>
      <c r="L181" t="s">
        <v>1060</v>
      </c>
      <c r="M181" s="7" t="e">
        <f t="shared" si="8"/>
        <v>#VALUE!</v>
      </c>
    </row>
    <row r="182" spans="1:13" x14ac:dyDescent="0.3">
      <c r="A182" t="s">
        <v>200</v>
      </c>
      <c r="J182" t="str">
        <f t="shared" si="6"/>
        <v>VII</v>
      </c>
      <c r="K182" s="1" t="str">
        <f t="shared" si="7"/>
        <v>2000-07-01</v>
      </c>
      <c r="L182" t="s">
        <v>1061</v>
      </c>
      <c r="M182" s="7" t="e">
        <f t="shared" si="8"/>
        <v>#VALUE!</v>
      </c>
    </row>
    <row r="183" spans="1:13" x14ac:dyDescent="0.3">
      <c r="A183" t="s">
        <v>201</v>
      </c>
      <c r="J183" t="str">
        <f t="shared" si="6"/>
        <v>VIII</v>
      </c>
      <c r="K183" s="1" t="str">
        <f t="shared" si="7"/>
        <v>2000-08-01</v>
      </c>
      <c r="L183" t="s">
        <v>1062</v>
      </c>
      <c r="M183" s="7" t="e">
        <f t="shared" si="8"/>
        <v>#VALUE!</v>
      </c>
    </row>
    <row r="184" spans="1:13" x14ac:dyDescent="0.3">
      <c r="A184" t="s">
        <v>202</v>
      </c>
      <c r="J184" t="str">
        <f t="shared" si="6"/>
        <v>IX</v>
      </c>
      <c r="K184" s="1" t="str">
        <f t="shared" si="7"/>
        <v>2000-09-01</v>
      </c>
      <c r="L184" t="s">
        <v>1063</v>
      </c>
      <c r="M184" s="7" t="e">
        <f t="shared" si="8"/>
        <v>#VALUE!</v>
      </c>
    </row>
    <row r="185" spans="1:13" x14ac:dyDescent="0.3">
      <c r="A185" t="s">
        <v>203</v>
      </c>
      <c r="J185" t="str">
        <f t="shared" si="6"/>
        <v>X</v>
      </c>
      <c r="K185" s="1" t="str">
        <f t="shared" si="7"/>
        <v>2000-10-01</v>
      </c>
      <c r="L185" t="s">
        <v>1064</v>
      </c>
      <c r="M185" s="7" t="e">
        <f t="shared" si="8"/>
        <v>#VALUE!</v>
      </c>
    </row>
    <row r="186" spans="1:13" x14ac:dyDescent="0.3">
      <c r="A186" t="s">
        <v>204</v>
      </c>
      <c r="J186" t="str">
        <f t="shared" si="6"/>
        <v>XI</v>
      </c>
      <c r="K186" s="1" t="str">
        <f t="shared" si="7"/>
        <v>2000-11-01</v>
      </c>
      <c r="L186" t="s">
        <v>1065</v>
      </c>
      <c r="M186" s="7" t="e">
        <f t="shared" si="8"/>
        <v>#VALUE!</v>
      </c>
    </row>
    <row r="187" spans="1:13" x14ac:dyDescent="0.3">
      <c r="A187" t="s">
        <v>205</v>
      </c>
      <c r="J187" t="str">
        <f t="shared" si="6"/>
        <v>XII</v>
      </c>
      <c r="K187" s="1" t="str">
        <f t="shared" si="7"/>
        <v>2000-12-01</v>
      </c>
      <c r="L187" t="s">
        <v>1066</v>
      </c>
      <c r="M187" s="7" t="e">
        <f t="shared" si="8"/>
        <v>#VALUE!</v>
      </c>
    </row>
    <row r="188" spans="1:13" x14ac:dyDescent="0.3">
      <c r="A188" t="s">
        <v>206</v>
      </c>
      <c r="J188" t="str">
        <f t="shared" si="6"/>
        <v>I</v>
      </c>
      <c r="K188" s="1" t="str">
        <f t="shared" si="7"/>
        <v>2001-01-01</v>
      </c>
      <c r="L188" t="s">
        <v>1067</v>
      </c>
      <c r="M188" s="7" t="e">
        <f t="shared" si="8"/>
        <v>#VALUE!</v>
      </c>
    </row>
    <row r="189" spans="1:13" x14ac:dyDescent="0.3">
      <c r="A189" t="s">
        <v>207</v>
      </c>
      <c r="J189" t="str">
        <f t="shared" si="6"/>
        <v>II</v>
      </c>
      <c r="K189" s="1" t="str">
        <f t="shared" si="7"/>
        <v>2001-02-01</v>
      </c>
      <c r="L189" t="s">
        <v>1068</v>
      </c>
      <c r="M189" s="7" t="e">
        <f t="shared" si="8"/>
        <v>#VALUE!</v>
      </c>
    </row>
    <row r="190" spans="1:13" x14ac:dyDescent="0.3">
      <c r="A190" t="s">
        <v>208</v>
      </c>
      <c r="J190" t="str">
        <f t="shared" si="6"/>
        <v>III</v>
      </c>
      <c r="K190" s="1" t="str">
        <f t="shared" si="7"/>
        <v>2001-03-01</v>
      </c>
      <c r="L190" t="s">
        <v>1069</v>
      </c>
      <c r="M190" s="7" t="e">
        <f t="shared" si="8"/>
        <v>#VALUE!</v>
      </c>
    </row>
    <row r="191" spans="1:13" x14ac:dyDescent="0.3">
      <c r="A191" t="s">
        <v>209</v>
      </c>
      <c r="J191" t="str">
        <f t="shared" si="6"/>
        <v>IV</v>
      </c>
      <c r="K191" s="1" t="str">
        <f t="shared" si="7"/>
        <v>2001-04-01</v>
      </c>
      <c r="L191" t="s">
        <v>1070</v>
      </c>
      <c r="M191" s="7" t="e">
        <f t="shared" si="8"/>
        <v>#VALUE!</v>
      </c>
    </row>
    <row r="192" spans="1:13" x14ac:dyDescent="0.3">
      <c r="A192" t="s">
        <v>210</v>
      </c>
      <c r="J192" t="str">
        <f t="shared" si="6"/>
        <v>V</v>
      </c>
      <c r="K192" s="1" t="str">
        <f t="shared" si="7"/>
        <v>2001-05-01</v>
      </c>
      <c r="L192" t="s">
        <v>1071</v>
      </c>
      <c r="M192" s="7" t="e">
        <f t="shared" si="8"/>
        <v>#VALUE!</v>
      </c>
    </row>
    <row r="193" spans="1:13" x14ac:dyDescent="0.3">
      <c r="A193" t="s">
        <v>211</v>
      </c>
      <c r="J193" t="str">
        <f t="shared" si="6"/>
        <v>VI</v>
      </c>
      <c r="K193" s="1" t="str">
        <f t="shared" si="7"/>
        <v>2001-06-01</v>
      </c>
      <c r="L193" t="s">
        <v>1072</v>
      </c>
      <c r="M193" s="7" t="e">
        <f t="shared" si="8"/>
        <v>#VALUE!</v>
      </c>
    </row>
    <row r="194" spans="1:13" x14ac:dyDescent="0.3">
      <c r="A194" t="s">
        <v>212</v>
      </c>
      <c r="J194" t="str">
        <f t="shared" si="6"/>
        <v>VII</v>
      </c>
      <c r="K194" s="1" t="str">
        <f t="shared" si="7"/>
        <v>2001-07-01</v>
      </c>
      <c r="L194" t="s">
        <v>1073</v>
      </c>
      <c r="M194" s="7" t="e">
        <f t="shared" si="8"/>
        <v>#VALUE!</v>
      </c>
    </row>
    <row r="195" spans="1:13" x14ac:dyDescent="0.3">
      <c r="A195" t="s">
        <v>213</v>
      </c>
      <c r="J195" t="str">
        <f t="shared" ref="J195:J258" si="9">TEXT(K195,"mmm")</f>
        <v>VIII</v>
      </c>
      <c r="K195" s="1" t="str">
        <f t="shared" ref="K195:K258" si="10">LEFT(A195,10)</f>
        <v>2001-08-01</v>
      </c>
      <c r="L195" t="s">
        <v>1074</v>
      </c>
      <c r="M195" s="7" t="e">
        <f t="shared" si="8"/>
        <v>#VALUE!</v>
      </c>
    </row>
    <row r="196" spans="1:13" x14ac:dyDescent="0.3">
      <c r="A196" t="s">
        <v>214</v>
      </c>
      <c r="J196" t="str">
        <f t="shared" si="9"/>
        <v>IX</v>
      </c>
      <c r="K196" s="1" t="str">
        <f t="shared" si="10"/>
        <v>2001-09-01</v>
      </c>
      <c r="L196" t="s">
        <v>1075</v>
      </c>
      <c r="M196" s="7" t="e">
        <f t="shared" ref="M196:M259" si="11">(L196/L195)-1</f>
        <v>#VALUE!</v>
      </c>
    </row>
    <row r="197" spans="1:13" x14ac:dyDescent="0.3">
      <c r="A197" t="s">
        <v>215</v>
      </c>
      <c r="J197" t="str">
        <f t="shared" si="9"/>
        <v>X</v>
      </c>
      <c r="K197" s="1" t="str">
        <f t="shared" si="10"/>
        <v>2001-10-01</v>
      </c>
      <c r="L197" t="s">
        <v>1076</v>
      </c>
      <c r="M197" s="7" t="e">
        <f t="shared" si="11"/>
        <v>#VALUE!</v>
      </c>
    </row>
    <row r="198" spans="1:13" x14ac:dyDescent="0.3">
      <c r="A198" t="s">
        <v>216</v>
      </c>
      <c r="J198" t="str">
        <f t="shared" si="9"/>
        <v>XI</v>
      </c>
      <c r="K198" s="1" t="str">
        <f t="shared" si="10"/>
        <v>2001-11-01</v>
      </c>
      <c r="L198" t="s">
        <v>1077</v>
      </c>
      <c r="M198" s="7" t="e">
        <f t="shared" si="11"/>
        <v>#VALUE!</v>
      </c>
    </row>
    <row r="199" spans="1:13" x14ac:dyDescent="0.3">
      <c r="A199" t="s">
        <v>217</v>
      </c>
      <c r="J199" t="str">
        <f t="shared" si="9"/>
        <v>XII</v>
      </c>
      <c r="K199" s="1" t="str">
        <f t="shared" si="10"/>
        <v>2001-12-01</v>
      </c>
      <c r="L199" t="s">
        <v>1078</v>
      </c>
      <c r="M199" s="7" t="e">
        <f t="shared" si="11"/>
        <v>#VALUE!</v>
      </c>
    </row>
    <row r="200" spans="1:13" x14ac:dyDescent="0.3">
      <c r="A200" t="s">
        <v>218</v>
      </c>
      <c r="J200" t="str">
        <f t="shared" si="9"/>
        <v>I</v>
      </c>
      <c r="K200" s="1" t="str">
        <f t="shared" si="10"/>
        <v>2002-01-01</v>
      </c>
      <c r="L200" t="s">
        <v>1079</v>
      </c>
      <c r="M200" s="7" t="e">
        <f t="shared" si="11"/>
        <v>#VALUE!</v>
      </c>
    </row>
    <row r="201" spans="1:13" x14ac:dyDescent="0.3">
      <c r="A201" t="s">
        <v>219</v>
      </c>
      <c r="J201" t="str">
        <f t="shared" si="9"/>
        <v>II</v>
      </c>
      <c r="K201" s="1" t="str">
        <f t="shared" si="10"/>
        <v>2002-02-01</v>
      </c>
      <c r="L201" t="s">
        <v>1080</v>
      </c>
      <c r="M201" s="7" t="e">
        <f t="shared" si="11"/>
        <v>#VALUE!</v>
      </c>
    </row>
    <row r="202" spans="1:13" x14ac:dyDescent="0.3">
      <c r="A202" t="s">
        <v>220</v>
      </c>
      <c r="J202" t="str">
        <f t="shared" si="9"/>
        <v>III</v>
      </c>
      <c r="K202" s="1" t="str">
        <f t="shared" si="10"/>
        <v>2002-03-01</v>
      </c>
      <c r="L202" t="s">
        <v>1081</v>
      </c>
      <c r="M202" s="7" t="e">
        <f t="shared" si="11"/>
        <v>#VALUE!</v>
      </c>
    </row>
    <row r="203" spans="1:13" x14ac:dyDescent="0.3">
      <c r="A203" t="s">
        <v>221</v>
      </c>
      <c r="J203" t="str">
        <f t="shared" si="9"/>
        <v>IV</v>
      </c>
      <c r="K203" s="1" t="str">
        <f t="shared" si="10"/>
        <v>2002-04-01</v>
      </c>
      <c r="L203" t="s">
        <v>1082</v>
      </c>
      <c r="M203" s="7" t="e">
        <f t="shared" si="11"/>
        <v>#VALUE!</v>
      </c>
    </row>
    <row r="204" spans="1:13" x14ac:dyDescent="0.3">
      <c r="A204" t="s">
        <v>222</v>
      </c>
      <c r="J204" t="str">
        <f t="shared" si="9"/>
        <v>V</v>
      </c>
      <c r="K204" s="1" t="str">
        <f t="shared" si="10"/>
        <v>2002-05-01</v>
      </c>
      <c r="L204" t="s">
        <v>1083</v>
      </c>
      <c r="M204" s="7" t="e">
        <f t="shared" si="11"/>
        <v>#VALUE!</v>
      </c>
    </row>
    <row r="205" spans="1:13" x14ac:dyDescent="0.3">
      <c r="A205" t="s">
        <v>223</v>
      </c>
      <c r="J205" t="str">
        <f t="shared" si="9"/>
        <v>VI</v>
      </c>
      <c r="K205" s="1" t="str">
        <f t="shared" si="10"/>
        <v>2002-06-01</v>
      </c>
      <c r="L205" t="s">
        <v>1084</v>
      </c>
      <c r="M205" s="7" t="e">
        <f t="shared" si="11"/>
        <v>#VALUE!</v>
      </c>
    </row>
    <row r="206" spans="1:13" x14ac:dyDescent="0.3">
      <c r="A206" t="s">
        <v>224</v>
      </c>
      <c r="J206" t="str">
        <f t="shared" si="9"/>
        <v>VII</v>
      </c>
      <c r="K206" s="1" t="str">
        <f t="shared" si="10"/>
        <v>2002-07-01</v>
      </c>
      <c r="L206" t="s">
        <v>1085</v>
      </c>
      <c r="M206" s="7" t="e">
        <f t="shared" si="11"/>
        <v>#VALUE!</v>
      </c>
    </row>
    <row r="207" spans="1:13" x14ac:dyDescent="0.3">
      <c r="A207" t="s">
        <v>225</v>
      </c>
      <c r="J207" t="str">
        <f t="shared" si="9"/>
        <v>VIII</v>
      </c>
      <c r="K207" s="1" t="str">
        <f t="shared" si="10"/>
        <v>2002-08-01</v>
      </c>
      <c r="L207" t="s">
        <v>1086</v>
      </c>
      <c r="M207" s="7" t="e">
        <f t="shared" si="11"/>
        <v>#VALUE!</v>
      </c>
    </row>
    <row r="208" spans="1:13" x14ac:dyDescent="0.3">
      <c r="A208" t="s">
        <v>226</v>
      </c>
      <c r="J208" t="str">
        <f t="shared" si="9"/>
        <v>IX</v>
      </c>
      <c r="K208" s="1" t="str">
        <f t="shared" si="10"/>
        <v>2002-09-01</v>
      </c>
      <c r="L208" t="s">
        <v>1087</v>
      </c>
      <c r="M208" s="7" t="e">
        <f t="shared" si="11"/>
        <v>#VALUE!</v>
      </c>
    </row>
    <row r="209" spans="1:13" x14ac:dyDescent="0.3">
      <c r="A209" t="s">
        <v>227</v>
      </c>
      <c r="J209" t="str">
        <f t="shared" si="9"/>
        <v>X</v>
      </c>
      <c r="K209" s="1" t="str">
        <f t="shared" si="10"/>
        <v>2002-10-01</v>
      </c>
      <c r="L209" t="s">
        <v>1088</v>
      </c>
      <c r="M209" s="7" t="e">
        <f t="shared" si="11"/>
        <v>#VALUE!</v>
      </c>
    </row>
    <row r="210" spans="1:13" x14ac:dyDescent="0.3">
      <c r="A210" t="s">
        <v>228</v>
      </c>
      <c r="J210" t="str">
        <f t="shared" si="9"/>
        <v>XI</v>
      </c>
      <c r="K210" s="1" t="str">
        <f t="shared" si="10"/>
        <v>2002-11-01</v>
      </c>
      <c r="L210" t="s">
        <v>1089</v>
      </c>
      <c r="M210" s="7" t="e">
        <f t="shared" si="11"/>
        <v>#VALUE!</v>
      </c>
    </row>
    <row r="211" spans="1:13" x14ac:dyDescent="0.3">
      <c r="A211" t="s">
        <v>229</v>
      </c>
      <c r="J211" t="str">
        <f t="shared" si="9"/>
        <v>XII</v>
      </c>
      <c r="K211" s="1" t="str">
        <f t="shared" si="10"/>
        <v>2002-12-01</v>
      </c>
      <c r="L211" t="s">
        <v>1090</v>
      </c>
      <c r="M211" s="7" t="e">
        <f t="shared" si="11"/>
        <v>#VALUE!</v>
      </c>
    </row>
    <row r="212" spans="1:13" x14ac:dyDescent="0.3">
      <c r="A212" t="s">
        <v>230</v>
      </c>
      <c r="J212" t="str">
        <f t="shared" si="9"/>
        <v>I</v>
      </c>
      <c r="K212" s="1" t="str">
        <f t="shared" si="10"/>
        <v>2003-01-01</v>
      </c>
      <c r="L212" t="s">
        <v>1091</v>
      </c>
      <c r="M212" s="7" t="e">
        <f t="shared" si="11"/>
        <v>#VALUE!</v>
      </c>
    </row>
    <row r="213" spans="1:13" x14ac:dyDescent="0.3">
      <c r="A213" t="s">
        <v>231</v>
      </c>
      <c r="J213" t="str">
        <f t="shared" si="9"/>
        <v>II</v>
      </c>
      <c r="K213" s="1" t="str">
        <f t="shared" si="10"/>
        <v>2003-02-01</v>
      </c>
      <c r="L213" t="s">
        <v>1092</v>
      </c>
      <c r="M213" s="7" t="e">
        <f t="shared" si="11"/>
        <v>#VALUE!</v>
      </c>
    </row>
    <row r="214" spans="1:13" x14ac:dyDescent="0.3">
      <c r="A214" t="s">
        <v>232</v>
      </c>
      <c r="J214" t="str">
        <f t="shared" si="9"/>
        <v>III</v>
      </c>
      <c r="K214" s="1" t="str">
        <f t="shared" si="10"/>
        <v>2003-03-01</v>
      </c>
      <c r="L214" t="s">
        <v>1093</v>
      </c>
      <c r="M214" s="7" t="e">
        <f t="shared" si="11"/>
        <v>#VALUE!</v>
      </c>
    </row>
    <row r="215" spans="1:13" x14ac:dyDescent="0.3">
      <c r="A215" t="s">
        <v>233</v>
      </c>
      <c r="J215" t="str">
        <f t="shared" si="9"/>
        <v>IV</v>
      </c>
      <c r="K215" s="1" t="str">
        <f t="shared" si="10"/>
        <v>2003-04-01</v>
      </c>
      <c r="L215" t="s">
        <v>1094</v>
      </c>
      <c r="M215" s="7" t="e">
        <f t="shared" si="11"/>
        <v>#VALUE!</v>
      </c>
    </row>
    <row r="216" spans="1:13" x14ac:dyDescent="0.3">
      <c r="A216" t="s">
        <v>234</v>
      </c>
      <c r="J216" t="str">
        <f t="shared" si="9"/>
        <v>V</v>
      </c>
      <c r="K216" s="1" t="str">
        <f t="shared" si="10"/>
        <v>2003-05-01</v>
      </c>
      <c r="L216" t="s">
        <v>1095</v>
      </c>
      <c r="M216" s="7" t="e">
        <f t="shared" si="11"/>
        <v>#VALUE!</v>
      </c>
    </row>
    <row r="217" spans="1:13" x14ac:dyDescent="0.3">
      <c r="A217" t="s">
        <v>235</v>
      </c>
      <c r="J217" t="str">
        <f t="shared" si="9"/>
        <v>VI</v>
      </c>
      <c r="K217" s="1" t="str">
        <f t="shared" si="10"/>
        <v>2003-06-01</v>
      </c>
      <c r="L217" t="s">
        <v>1096</v>
      </c>
      <c r="M217" s="7" t="e">
        <f t="shared" si="11"/>
        <v>#VALUE!</v>
      </c>
    </row>
    <row r="218" spans="1:13" x14ac:dyDescent="0.3">
      <c r="A218" t="s">
        <v>236</v>
      </c>
      <c r="J218" t="str">
        <f t="shared" si="9"/>
        <v>VII</v>
      </c>
      <c r="K218" s="1" t="str">
        <f t="shared" si="10"/>
        <v>2003-07-01</v>
      </c>
      <c r="L218" t="s">
        <v>1097</v>
      </c>
      <c r="M218" s="7" t="e">
        <f t="shared" si="11"/>
        <v>#VALUE!</v>
      </c>
    </row>
    <row r="219" spans="1:13" x14ac:dyDescent="0.3">
      <c r="A219" t="s">
        <v>237</v>
      </c>
      <c r="J219" t="str">
        <f t="shared" si="9"/>
        <v>VIII</v>
      </c>
      <c r="K219" s="1" t="str">
        <f t="shared" si="10"/>
        <v>2003-08-01</v>
      </c>
      <c r="L219" t="s">
        <v>1098</v>
      </c>
      <c r="M219" s="7" t="e">
        <f t="shared" si="11"/>
        <v>#VALUE!</v>
      </c>
    </row>
    <row r="220" spans="1:13" x14ac:dyDescent="0.3">
      <c r="A220" t="s">
        <v>238</v>
      </c>
      <c r="J220" t="str">
        <f t="shared" si="9"/>
        <v>IX</v>
      </c>
      <c r="K220" s="1" t="str">
        <f t="shared" si="10"/>
        <v>2003-09-01</v>
      </c>
      <c r="L220" t="s">
        <v>1099</v>
      </c>
      <c r="M220" s="7" t="e">
        <f t="shared" si="11"/>
        <v>#VALUE!</v>
      </c>
    </row>
    <row r="221" spans="1:13" x14ac:dyDescent="0.3">
      <c r="A221" t="s">
        <v>239</v>
      </c>
      <c r="J221" t="str">
        <f t="shared" si="9"/>
        <v>X</v>
      </c>
      <c r="K221" s="1" t="str">
        <f t="shared" si="10"/>
        <v>2003-10-01</v>
      </c>
      <c r="L221" t="s">
        <v>1100</v>
      </c>
      <c r="M221" s="7" t="e">
        <f t="shared" si="11"/>
        <v>#VALUE!</v>
      </c>
    </row>
    <row r="222" spans="1:13" x14ac:dyDescent="0.3">
      <c r="A222" t="s">
        <v>240</v>
      </c>
      <c r="J222" t="str">
        <f t="shared" si="9"/>
        <v>XI</v>
      </c>
      <c r="K222" s="1" t="str">
        <f t="shared" si="10"/>
        <v>2003-11-01</v>
      </c>
      <c r="L222" t="s">
        <v>1101</v>
      </c>
      <c r="M222" s="7" t="e">
        <f t="shared" si="11"/>
        <v>#VALUE!</v>
      </c>
    </row>
    <row r="223" spans="1:13" x14ac:dyDescent="0.3">
      <c r="A223" t="s">
        <v>241</v>
      </c>
      <c r="J223" t="str">
        <f t="shared" si="9"/>
        <v>XII</v>
      </c>
      <c r="K223" s="1" t="str">
        <f t="shared" si="10"/>
        <v>2003-12-01</v>
      </c>
      <c r="L223" t="s">
        <v>1102</v>
      </c>
      <c r="M223" s="7" t="e">
        <f t="shared" si="11"/>
        <v>#VALUE!</v>
      </c>
    </row>
    <row r="224" spans="1:13" x14ac:dyDescent="0.3">
      <c r="A224" t="s">
        <v>242</v>
      </c>
      <c r="J224" t="str">
        <f t="shared" si="9"/>
        <v>I</v>
      </c>
      <c r="K224" s="1" t="str">
        <f t="shared" si="10"/>
        <v>2004-01-01</v>
      </c>
      <c r="L224" t="s">
        <v>1103</v>
      </c>
      <c r="M224" s="7" t="e">
        <f t="shared" si="11"/>
        <v>#VALUE!</v>
      </c>
    </row>
    <row r="225" spans="1:13" x14ac:dyDescent="0.3">
      <c r="A225" t="s">
        <v>243</v>
      </c>
      <c r="J225" t="str">
        <f t="shared" si="9"/>
        <v>II</v>
      </c>
      <c r="K225" s="1" t="str">
        <f t="shared" si="10"/>
        <v>2004-02-01</v>
      </c>
      <c r="L225" t="s">
        <v>1104</v>
      </c>
      <c r="M225" s="7" t="e">
        <f t="shared" si="11"/>
        <v>#VALUE!</v>
      </c>
    </row>
    <row r="226" spans="1:13" x14ac:dyDescent="0.3">
      <c r="A226" t="s">
        <v>244</v>
      </c>
      <c r="J226" t="str">
        <f t="shared" si="9"/>
        <v>III</v>
      </c>
      <c r="K226" s="1" t="str">
        <f t="shared" si="10"/>
        <v>2004-03-01</v>
      </c>
      <c r="L226" t="s">
        <v>1105</v>
      </c>
      <c r="M226" s="7" t="e">
        <f t="shared" si="11"/>
        <v>#VALUE!</v>
      </c>
    </row>
    <row r="227" spans="1:13" x14ac:dyDescent="0.3">
      <c r="A227" t="s">
        <v>245</v>
      </c>
      <c r="J227" t="str">
        <f t="shared" si="9"/>
        <v>IV</v>
      </c>
      <c r="K227" s="1" t="str">
        <f t="shared" si="10"/>
        <v>2004-04-01</v>
      </c>
      <c r="L227" t="s">
        <v>1106</v>
      </c>
      <c r="M227" s="7" t="e">
        <f t="shared" si="11"/>
        <v>#VALUE!</v>
      </c>
    </row>
    <row r="228" spans="1:13" x14ac:dyDescent="0.3">
      <c r="A228" t="s">
        <v>246</v>
      </c>
      <c r="J228" t="str">
        <f t="shared" si="9"/>
        <v>V</v>
      </c>
      <c r="K228" s="1" t="str">
        <f t="shared" si="10"/>
        <v>2004-05-01</v>
      </c>
      <c r="L228" t="s">
        <v>1107</v>
      </c>
      <c r="M228" s="7" t="e">
        <f t="shared" si="11"/>
        <v>#VALUE!</v>
      </c>
    </row>
    <row r="229" spans="1:13" x14ac:dyDescent="0.3">
      <c r="A229" t="s">
        <v>247</v>
      </c>
      <c r="J229" t="str">
        <f t="shared" si="9"/>
        <v>VI</v>
      </c>
      <c r="K229" s="1" t="str">
        <f t="shared" si="10"/>
        <v>2004-06-01</v>
      </c>
      <c r="L229" t="s">
        <v>1108</v>
      </c>
      <c r="M229" s="7" t="e">
        <f t="shared" si="11"/>
        <v>#VALUE!</v>
      </c>
    </row>
    <row r="230" spans="1:13" x14ac:dyDescent="0.3">
      <c r="A230" t="s">
        <v>248</v>
      </c>
      <c r="J230" t="str">
        <f t="shared" si="9"/>
        <v>VII</v>
      </c>
      <c r="K230" s="1" t="str">
        <f t="shared" si="10"/>
        <v>2004-07-01</v>
      </c>
      <c r="L230" t="s">
        <v>1109</v>
      </c>
      <c r="M230" s="7" t="e">
        <f t="shared" si="11"/>
        <v>#VALUE!</v>
      </c>
    </row>
    <row r="231" spans="1:13" x14ac:dyDescent="0.3">
      <c r="A231" t="s">
        <v>249</v>
      </c>
      <c r="J231" t="str">
        <f t="shared" si="9"/>
        <v>VIII</v>
      </c>
      <c r="K231" s="1" t="str">
        <f t="shared" si="10"/>
        <v>2004-08-01</v>
      </c>
      <c r="L231" t="s">
        <v>1110</v>
      </c>
      <c r="M231" s="7" t="e">
        <f t="shared" si="11"/>
        <v>#VALUE!</v>
      </c>
    </row>
    <row r="232" spans="1:13" x14ac:dyDescent="0.3">
      <c r="A232" t="s">
        <v>250</v>
      </c>
      <c r="J232" t="str">
        <f t="shared" si="9"/>
        <v>IX</v>
      </c>
      <c r="K232" s="1" t="str">
        <f t="shared" si="10"/>
        <v>2004-09-01</v>
      </c>
      <c r="L232" t="s">
        <v>1111</v>
      </c>
      <c r="M232" s="7" t="e">
        <f t="shared" si="11"/>
        <v>#VALUE!</v>
      </c>
    </row>
    <row r="233" spans="1:13" x14ac:dyDescent="0.3">
      <c r="A233" t="s">
        <v>251</v>
      </c>
      <c r="J233" t="str">
        <f t="shared" si="9"/>
        <v>X</v>
      </c>
      <c r="K233" s="1" t="str">
        <f t="shared" si="10"/>
        <v>2004-10-01</v>
      </c>
      <c r="L233" t="s">
        <v>1079</v>
      </c>
      <c r="M233" s="7" t="e">
        <f t="shared" si="11"/>
        <v>#VALUE!</v>
      </c>
    </row>
    <row r="234" spans="1:13" x14ac:dyDescent="0.3">
      <c r="A234" t="s">
        <v>252</v>
      </c>
      <c r="J234" t="str">
        <f t="shared" si="9"/>
        <v>XI</v>
      </c>
      <c r="K234" s="1" t="str">
        <f t="shared" si="10"/>
        <v>2004-11-01</v>
      </c>
      <c r="L234" t="s">
        <v>1112</v>
      </c>
      <c r="M234" s="7" t="e">
        <f t="shared" si="11"/>
        <v>#VALUE!</v>
      </c>
    </row>
    <row r="235" spans="1:13" x14ac:dyDescent="0.3">
      <c r="A235" t="s">
        <v>253</v>
      </c>
      <c r="J235" t="str">
        <f t="shared" si="9"/>
        <v>XII</v>
      </c>
      <c r="K235" s="1" t="str">
        <f t="shared" si="10"/>
        <v>2004-12-01</v>
      </c>
      <c r="L235" t="s">
        <v>1113</v>
      </c>
      <c r="M235" s="7" t="e">
        <f t="shared" si="11"/>
        <v>#VALUE!</v>
      </c>
    </row>
    <row r="236" spans="1:13" x14ac:dyDescent="0.3">
      <c r="A236" t="s">
        <v>254</v>
      </c>
      <c r="J236" t="str">
        <f t="shared" si="9"/>
        <v>I</v>
      </c>
      <c r="K236" s="1" t="str">
        <f t="shared" si="10"/>
        <v>2005-01-01</v>
      </c>
      <c r="L236" t="s">
        <v>1114</v>
      </c>
      <c r="M236" s="7" t="e">
        <f t="shared" si="11"/>
        <v>#VALUE!</v>
      </c>
    </row>
    <row r="237" spans="1:13" x14ac:dyDescent="0.3">
      <c r="A237" t="s">
        <v>255</v>
      </c>
      <c r="J237" t="str">
        <f t="shared" si="9"/>
        <v>II</v>
      </c>
      <c r="K237" s="1" t="str">
        <f t="shared" si="10"/>
        <v>2005-02-01</v>
      </c>
      <c r="L237" t="s">
        <v>1115</v>
      </c>
      <c r="M237" s="7" t="e">
        <f t="shared" si="11"/>
        <v>#VALUE!</v>
      </c>
    </row>
    <row r="238" spans="1:13" x14ac:dyDescent="0.3">
      <c r="A238" t="s">
        <v>256</v>
      </c>
      <c r="J238" t="str">
        <f t="shared" si="9"/>
        <v>III</v>
      </c>
      <c r="K238" s="1" t="str">
        <f t="shared" si="10"/>
        <v>2005-03-01</v>
      </c>
      <c r="L238" t="s">
        <v>1116</v>
      </c>
      <c r="M238" s="7" t="e">
        <f t="shared" si="11"/>
        <v>#VALUE!</v>
      </c>
    </row>
    <row r="239" spans="1:13" x14ac:dyDescent="0.3">
      <c r="A239" t="s">
        <v>257</v>
      </c>
      <c r="J239" t="str">
        <f t="shared" si="9"/>
        <v>IV</v>
      </c>
      <c r="K239" s="1" t="str">
        <f t="shared" si="10"/>
        <v>2005-04-01</v>
      </c>
      <c r="L239" t="s">
        <v>1117</v>
      </c>
      <c r="M239" s="7" t="e">
        <f t="shared" si="11"/>
        <v>#VALUE!</v>
      </c>
    </row>
    <row r="240" spans="1:13" x14ac:dyDescent="0.3">
      <c r="A240" t="s">
        <v>258</v>
      </c>
      <c r="J240" t="str">
        <f t="shared" si="9"/>
        <v>V</v>
      </c>
      <c r="K240" s="1" t="str">
        <f t="shared" si="10"/>
        <v>2005-05-01</v>
      </c>
      <c r="L240" t="s">
        <v>1118</v>
      </c>
      <c r="M240" s="7" t="e">
        <f t="shared" si="11"/>
        <v>#VALUE!</v>
      </c>
    </row>
    <row r="241" spans="1:13" x14ac:dyDescent="0.3">
      <c r="A241" t="s">
        <v>259</v>
      </c>
      <c r="J241" t="str">
        <f t="shared" si="9"/>
        <v>VI</v>
      </c>
      <c r="K241" s="1" t="str">
        <f t="shared" si="10"/>
        <v>2005-06-01</v>
      </c>
      <c r="L241" t="s">
        <v>1119</v>
      </c>
      <c r="M241" s="7" t="e">
        <f t="shared" si="11"/>
        <v>#VALUE!</v>
      </c>
    </row>
    <row r="242" spans="1:13" x14ac:dyDescent="0.3">
      <c r="A242" t="s">
        <v>260</v>
      </c>
      <c r="J242" t="str">
        <f t="shared" si="9"/>
        <v>VII</v>
      </c>
      <c r="K242" s="1" t="str">
        <f t="shared" si="10"/>
        <v>2005-07-01</v>
      </c>
      <c r="L242" t="s">
        <v>1120</v>
      </c>
      <c r="M242" s="7" t="e">
        <f t="shared" si="11"/>
        <v>#VALUE!</v>
      </c>
    </row>
    <row r="243" spans="1:13" x14ac:dyDescent="0.3">
      <c r="A243" t="s">
        <v>261</v>
      </c>
      <c r="J243" t="str">
        <f t="shared" si="9"/>
        <v>VIII</v>
      </c>
      <c r="K243" s="1" t="str">
        <f t="shared" si="10"/>
        <v>2005-08-01</v>
      </c>
      <c r="L243" t="s">
        <v>1121</v>
      </c>
      <c r="M243" s="7" t="e">
        <f t="shared" si="11"/>
        <v>#VALUE!</v>
      </c>
    </row>
    <row r="244" spans="1:13" x14ac:dyDescent="0.3">
      <c r="A244" t="s">
        <v>262</v>
      </c>
      <c r="J244" t="str">
        <f t="shared" si="9"/>
        <v>IX</v>
      </c>
      <c r="K244" s="1" t="str">
        <f t="shared" si="10"/>
        <v>2005-09-01</v>
      </c>
      <c r="L244" t="s">
        <v>1122</v>
      </c>
      <c r="M244" s="7" t="e">
        <f t="shared" si="11"/>
        <v>#VALUE!</v>
      </c>
    </row>
    <row r="245" spans="1:13" x14ac:dyDescent="0.3">
      <c r="A245" t="s">
        <v>263</v>
      </c>
      <c r="J245" t="str">
        <f t="shared" si="9"/>
        <v>X</v>
      </c>
      <c r="K245" s="1" t="str">
        <f t="shared" si="10"/>
        <v>2005-10-01</v>
      </c>
      <c r="L245" t="s">
        <v>1123</v>
      </c>
      <c r="M245" s="7" t="e">
        <f t="shared" si="11"/>
        <v>#VALUE!</v>
      </c>
    </row>
    <row r="246" spans="1:13" x14ac:dyDescent="0.3">
      <c r="A246" t="s">
        <v>264</v>
      </c>
      <c r="J246" t="str">
        <f t="shared" si="9"/>
        <v>XI</v>
      </c>
      <c r="K246" s="1" t="str">
        <f t="shared" si="10"/>
        <v>2005-11-01</v>
      </c>
      <c r="L246" t="s">
        <v>1124</v>
      </c>
      <c r="M246" s="7" t="e">
        <f t="shared" si="11"/>
        <v>#VALUE!</v>
      </c>
    </row>
    <row r="247" spans="1:13" x14ac:dyDescent="0.3">
      <c r="A247" t="s">
        <v>265</v>
      </c>
      <c r="J247" t="str">
        <f t="shared" si="9"/>
        <v>XII</v>
      </c>
      <c r="K247" s="1" t="str">
        <f t="shared" si="10"/>
        <v>2005-12-01</v>
      </c>
      <c r="L247" t="s">
        <v>1125</v>
      </c>
      <c r="M247" s="7" t="e">
        <f t="shared" si="11"/>
        <v>#VALUE!</v>
      </c>
    </row>
    <row r="248" spans="1:13" x14ac:dyDescent="0.3">
      <c r="A248" t="s">
        <v>266</v>
      </c>
      <c r="J248" t="str">
        <f t="shared" si="9"/>
        <v>I</v>
      </c>
      <c r="K248" s="1" t="str">
        <f t="shared" si="10"/>
        <v>2006-01-01</v>
      </c>
      <c r="L248" t="s">
        <v>1126</v>
      </c>
      <c r="M248" s="7" t="e">
        <f t="shared" si="11"/>
        <v>#VALUE!</v>
      </c>
    </row>
    <row r="249" spans="1:13" x14ac:dyDescent="0.3">
      <c r="A249" t="s">
        <v>267</v>
      </c>
      <c r="J249" t="str">
        <f t="shared" si="9"/>
        <v>II</v>
      </c>
      <c r="K249" s="1" t="str">
        <f t="shared" si="10"/>
        <v>2006-02-01</v>
      </c>
      <c r="L249" t="s">
        <v>1127</v>
      </c>
      <c r="M249" s="7" t="e">
        <f t="shared" si="11"/>
        <v>#VALUE!</v>
      </c>
    </row>
    <row r="250" spans="1:13" x14ac:dyDescent="0.3">
      <c r="A250" t="s">
        <v>268</v>
      </c>
      <c r="J250" t="str">
        <f t="shared" si="9"/>
        <v>III</v>
      </c>
      <c r="K250" s="1" t="str">
        <f t="shared" si="10"/>
        <v>2006-03-01</v>
      </c>
      <c r="L250" t="s">
        <v>1128</v>
      </c>
      <c r="M250" s="7" t="e">
        <f t="shared" si="11"/>
        <v>#VALUE!</v>
      </c>
    </row>
    <row r="251" spans="1:13" x14ac:dyDescent="0.3">
      <c r="A251" t="s">
        <v>269</v>
      </c>
      <c r="J251" t="str">
        <f t="shared" si="9"/>
        <v>IV</v>
      </c>
      <c r="K251" s="1" t="str">
        <f t="shared" si="10"/>
        <v>2006-04-01</v>
      </c>
      <c r="L251" t="s">
        <v>1129</v>
      </c>
      <c r="M251" s="7" t="e">
        <f t="shared" si="11"/>
        <v>#VALUE!</v>
      </c>
    </row>
    <row r="252" spans="1:13" x14ac:dyDescent="0.3">
      <c r="A252" t="s">
        <v>270</v>
      </c>
      <c r="J252" t="str">
        <f t="shared" si="9"/>
        <v>V</v>
      </c>
      <c r="K252" s="1" t="str">
        <f t="shared" si="10"/>
        <v>2006-05-01</v>
      </c>
      <c r="L252" t="s">
        <v>1130</v>
      </c>
      <c r="M252" s="7" t="e">
        <f t="shared" si="11"/>
        <v>#VALUE!</v>
      </c>
    </row>
    <row r="253" spans="1:13" x14ac:dyDescent="0.3">
      <c r="A253" t="s">
        <v>271</v>
      </c>
      <c r="J253" t="str">
        <f t="shared" si="9"/>
        <v>VI</v>
      </c>
      <c r="K253" s="1" t="str">
        <f t="shared" si="10"/>
        <v>2006-06-01</v>
      </c>
      <c r="L253" t="s">
        <v>1131</v>
      </c>
      <c r="M253" s="7" t="e">
        <f t="shared" si="11"/>
        <v>#VALUE!</v>
      </c>
    </row>
    <row r="254" spans="1:13" x14ac:dyDescent="0.3">
      <c r="A254" t="s">
        <v>272</v>
      </c>
      <c r="J254" t="str">
        <f t="shared" si="9"/>
        <v>VII</v>
      </c>
      <c r="K254" s="1" t="str">
        <f t="shared" si="10"/>
        <v>2006-07-01</v>
      </c>
      <c r="L254" t="s">
        <v>1132</v>
      </c>
      <c r="M254" s="7" t="e">
        <f t="shared" si="11"/>
        <v>#VALUE!</v>
      </c>
    </row>
    <row r="255" spans="1:13" x14ac:dyDescent="0.3">
      <c r="A255" t="s">
        <v>273</v>
      </c>
      <c r="J255" t="str">
        <f t="shared" si="9"/>
        <v>VIII</v>
      </c>
      <c r="K255" s="1" t="str">
        <f t="shared" si="10"/>
        <v>2006-08-01</v>
      </c>
      <c r="L255" t="s">
        <v>1133</v>
      </c>
      <c r="M255" s="7" t="e">
        <f t="shared" si="11"/>
        <v>#VALUE!</v>
      </c>
    </row>
    <row r="256" spans="1:13" x14ac:dyDescent="0.3">
      <c r="A256" t="s">
        <v>274</v>
      </c>
      <c r="J256" t="str">
        <f t="shared" si="9"/>
        <v>IX</v>
      </c>
      <c r="K256" s="1" t="str">
        <f t="shared" si="10"/>
        <v>2006-09-01</v>
      </c>
      <c r="L256" t="s">
        <v>1134</v>
      </c>
      <c r="M256" s="7" t="e">
        <f t="shared" si="11"/>
        <v>#VALUE!</v>
      </c>
    </row>
    <row r="257" spans="1:13" x14ac:dyDescent="0.3">
      <c r="A257" t="s">
        <v>275</v>
      </c>
      <c r="J257" t="str">
        <f t="shared" si="9"/>
        <v>X</v>
      </c>
      <c r="K257" s="1" t="str">
        <f t="shared" si="10"/>
        <v>2006-10-01</v>
      </c>
      <c r="L257" t="s">
        <v>1135</v>
      </c>
      <c r="M257" s="7" t="e">
        <f t="shared" si="11"/>
        <v>#VALUE!</v>
      </c>
    </row>
    <row r="258" spans="1:13" x14ac:dyDescent="0.3">
      <c r="A258" t="s">
        <v>276</v>
      </c>
      <c r="J258" t="str">
        <f t="shared" si="9"/>
        <v>XI</v>
      </c>
      <c r="K258" s="1" t="str">
        <f t="shared" si="10"/>
        <v>2006-11-01</v>
      </c>
      <c r="L258" t="s">
        <v>1136</v>
      </c>
      <c r="M258" s="7" t="e">
        <f t="shared" si="11"/>
        <v>#VALUE!</v>
      </c>
    </row>
    <row r="259" spans="1:13" x14ac:dyDescent="0.3">
      <c r="A259" t="s">
        <v>277</v>
      </c>
      <c r="J259" t="str">
        <f t="shared" ref="J259:J322" si="12">TEXT(K259,"mmm")</f>
        <v>XII</v>
      </c>
      <c r="K259" s="1" t="str">
        <f t="shared" ref="K259:K322" si="13">LEFT(A259,10)</f>
        <v>2006-12-01</v>
      </c>
      <c r="L259" t="s">
        <v>1137</v>
      </c>
      <c r="M259" s="7" t="e">
        <f t="shared" si="11"/>
        <v>#VALUE!</v>
      </c>
    </row>
    <row r="260" spans="1:13" x14ac:dyDescent="0.3">
      <c r="A260" t="s">
        <v>278</v>
      </c>
      <c r="J260" t="str">
        <f t="shared" si="12"/>
        <v>I</v>
      </c>
      <c r="K260" s="1" t="str">
        <f t="shared" si="13"/>
        <v>2007-01-01</v>
      </c>
      <c r="L260" t="s">
        <v>1138</v>
      </c>
      <c r="M260" s="7" t="e">
        <f t="shared" ref="M260:M323" si="14">(L260/L259)-1</f>
        <v>#VALUE!</v>
      </c>
    </row>
    <row r="261" spans="1:13" x14ac:dyDescent="0.3">
      <c r="A261" t="s">
        <v>279</v>
      </c>
      <c r="J261" t="str">
        <f t="shared" si="12"/>
        <v>II</v>
      </c>
      <c r="K261" s="1" t="str">
        <f t="shared" si="13"/>
        <v>2007-02-01</v>
      </c>
      <c r="L261" t="s">
        <v>1139</v>
      </c>
      <c r="M261" s="7" t="e">
        <f t="shared" si="14"/>
        <v>#VALUE!</v>
      </c>
    </row>
    <row r="262" spans="1:13" x14ac:dyDescent="0.3">
      <c r="A262" t="s">
        <v>280</v>
      </c>
      <c r="J262" t="str">
        <f t="shared" si="12"/>
        <v>III</v>
      </c>
      <c r="K262" s="1" t="str">
        <f t="shared" si="13"/>
        <v>2007-03-01</v>
      </c>
      <c r="L262" t="s">
        <v>1140</v>
      </c>
      <c r="M262" s="7" t="e">
        <f t="shared" si="14"/>
        <v>#VALUE!</v>
      </c>
    </row>
    <row r="263" spans="1:13" x14ac:dyDescent="0.3">
      <c r="A263" t="s">
        <v>281</v>
      </c>
      <c r="J263" t="str">
        <f t="shared" si="12"/>
        <v>IV</v>
      </c>
      <c r="K263" s="1" t="str">
        <f t="shared" si="13"/>
        <v>2007-04-01</v>
      </c>
      <c r="L263" t="s">
        <v>1141</v>
      </c>
      <c r="M263" s="7" t="e">
        <f t="shared" si="14"/>
        <v>#VALUE!</v>
      </c>
    </row>
    <row r="264" spans="1:13" x14ac:dyDescent="0.3">
      <c r="A264" t="s">
        <v>282</v>
      </c>
      <c r="J264" t="str">
        <f t="shared" si="12"/>
        <v>V</v>
      </c>
      <c r="K264" s="1" t="str">
        <f t="shared" si="13"/>
        <v>2007-05-01</v>
      </c>
      <c r="L264" t="s">
        <v>1142</v>
      </c>
      <c r="M264" s="7" t="e">
        <f t="shared" si="14"/>
        <v>#VALUE!</v>
      </c>
    </row>
    <row r="265" spans="1:13" x14ac:dyDescent="0.3">
      <c r="A265" t="s">
        <v>283</v>
      </c>
      <c r="J265" t="str">
        <f t="shared" si="12"/>
        <v>VI</v>
      </c>
      <c r="K265" s="1" t="str">
        <f t="shared" si="13"/>
        <v>2007-06-01</v>
      </c>
      <c r="L265" t="s">
        <v>1143</v>
      </c>
      <c r="M265" s="7" t="e">
        <f t="shared" si="14"/>
        <v>#VALUE!</v>
      </c>
    </row>
    <row r="266" spans="1:13" x14ac:dyDescent="0.3">
      <c r="A266" t="s">
        <v>284</v>
      </c>
      <c r="J266" t="str">
        <f t="shared" si="12"/>
        <v>VII</v>
      </c>
      <c r="K266" s="1" t="str">
        <f t="shared" si="13"/>
        <v>2007-07-01</v>
      </c>
      <c r="L266" t="s">
        <v>1144</v>
      </c>
      <c r="M266" s="7" t="e">
        <f t="shared" si="14"/>
        <v>#VALUE!</v>
      </c>
    </row>
    <row r="267" spans="1:13" x14ac:dyDescent="0.3">
      <c r="A267" t="s">
        <v>285</v>
      </c>
      <c r="J267" t="str">
        <f t="shared" si="12"/>
        <v>VIII</v>
      </c>
      <c r="K267" s="1" t="str">
        <f t="shared" si="13"/>
        <v>2007-08-01</v>
      </c>
      <c r="L267" t="s">
        <v>1145</v>
      </c>
      <c r="M267" s="7" t="e">
        <f t="shared" si="14"/>
        <v>#VALUE!</v>
      </c>
    </row>
    <row r="268" spans="1:13" x14ac:dyDescent="0.3">
      <c r="A268" t="s">
        <v>286</v>
      </c>
      <c r="J268" t="str">
        <f t="shared" si="12"/>
        <v>IX</v>
      </c>
      <c r="K268" s="1" t="str">
        <f t="shared" si="13"/>
        <v>2007-09-01</v>
      </c>
      <c r="L268" t="s">
        <v>1146</v>
      </c>
      <c r="M268" s="7" t="e">
        <f t="shared" si="14"/>
        <v>#VALUE!</v>
      </c>
    </row>
    <row r="269" spans="1:13" x14ac:dyDescent="0.3">
      <c r="A269" t="s">
        <v>287</v>
      </c>
      <c r="J269" t="str">
        <f t="shared" si="12"/>
        <v>X</v>
      </c>
      <c r="K269" s="1" t="str">
        <f t="shared" si="13"/>
        <v>2007-10-01</v>
      </c>
      <c r="L269" t="s">
        <v>1147</v>
      </c>
      <c r="M269" s="7" t="e">
        <f t="shared" si="14"/>
        <v>#VALUE!</v>
      </c>
    </row>
    <row r="270" spans="1:13" x14ac:dyDescent="0.3">
      <c r="A270" t="s">
        <v>288</v>
      </c>
      <c r="J270" t="str">
        <f t="shared" si="12"/>
        <v>XI</v>
      </c>
      <c r="K270" s="1" t="str">
        <f t="shared" si="13"/>
        <v>2007-11-01</v>
      </c>
      <c r="L270" t="s">
        <v>1148</v>
      </c>
      <c r="M270" s="7" t="e">
        <f t="shared" si="14"/>
        <v>#VALUE!</v>
      </c>
    </row>
    <row r="271" spans="1:13" x14ac:dyDescent="0.3">
      <c r="A271" t="s">
        <v>289</v>
      </c>
      <c r="J271" t="str">
        <f t="shared" si="12"/>
        <v>XII</v>
      </c>
      <c r="K271" s="1" t="str">
        <f t="shared" si="13"/>
        <v>2007-12-01</v>
      </c>
      <c r="L271" t="s">
        <v>1149</v>
      </c>
      <c r="M271" s="7" t="e">
        <f t="shared" si="14"/>
        <v>#VALUE!</v>
      </c>
    </row>
    <row r="272" spans="1:13" x14ac:dyDescent="0.3">
      <c r="A272" t="s">
        <v>290</v>
      </c>
      <c r="J272" t="str">
        <f t="shared" si="12"/>
        <v>I</v>
      </c>
      <c r="K272" s="1" t="str">
        <f t="shared" si="13"/>
        <v>2008-01-01</v>
      </c>
      <c r="L272" t="s">
        <v>1150</v>
      </c>
      <c r="M272" s="7" t="e">
        <f t="shared" si="14"/>
        <v>#VALUE!</v>
      </c>
    </row>
    <row r="273" spans="1:13" x14ac:dyDescent="0.3">
      <c r="A273" t="s">
        <v>291</v>
      </c>
      <c r="J273" t="str">
        <f t="shared" si="12"/>
        <v>II</v>
      </c>
      <c r="K273" s="1" t="str">
        <f t="shared" si="13"/>
        <v>2008-02-01</v>
      </c>
      <c r="L273" t="s">
        <v>1151</v>
      </c>
      <c r="M273" s="7" t="e">
        <f t="shared" si="14"/>
        <v>#VALUE!</v>
      </c>
    </row>
    <row r="274" spans="1:13" x14ac:dyDescent="0.3">
      <c r="A274" t="s">
        <v>292</v>
      </c>
      <c r="J274" t="str">
        <f t="shared" si="12"/>
        <v>III</v>
      </c>
      <c r="K274" s="1" t="str">
        <f t="shared" si="13"/>
        <v>2008-03-01</v>
      </c>
      <c r="L274" t="s">
        <v>1152</v>
      </c>
      <c r="M274" s="7" t="e">
        <f t="shared" si="14"/>
        <v>#VALUE!</v>
      </c>
    </row>
    <row r="275" spans="1:13" x14ac:dyDescent="0.3">
      <c r="A275" t="s">
        <v>293</v>
      </c>
      <c r="J275" t="str">
        <f t="shared" si="12"/>
        <v>IV</v>
      </c>
      <c r="K275" s="1" t="str">
        <f t="shared" si="13"/>
        <v>2008-04-01</v>
      </c>
      <c r="L275" t="s">
        <v>1153</v>
      </c>
      <c r="M275" s="7" t="e">
        <f t="shared" si="14"/>
        <v>#VALUE!</v>
      </c>
    </row>
    <row r="276" spans="1:13" x14ac:dyDescent="0.3">
      <c r="A276" t="s">
        <v>294</v>
      </c>
      <c r="J276" t="str">
        <f t="shared" si="12"/>
        <v>V</v>
      </c>
      <c r="K276" s="1" t="str">
        <f t="shared" si="13"/>
        <v>2008-05-01</v>
      </c>
      <c r="L276" t="s">
        <v>1154</v>
      </c>
      <c r="M276" s="7" t="e">
        <f t="shared" si="14"/>
        <v>#VALUE!</v>
      </c>
    </row>
    <row r="277" spans="1:13" x14ac:dyDescent="0.3">
      <c r="A277" t="s">
        <v>295</v>
      </c>
      <c r="J277" t="str">
        <f t="shared" si="12"/>
        <v>VI</v>
      </c>
      <c r="K277" s="1" t="str">
        <f t="shared" si="13"/>
        <v>2008-06-01</v>
      </c>
      <c r="L277" t="s">
        <v>1155</v>
      </c>
      <c r="M277" s="7" t="e">
        <f t="shared" si="14"/>
        <v>#VALUE!</v>
      </c>
    </row>
    <row r="278" spans="1:13" x14ac:dyDescent="0.3">
      <c r="A278" t="s">
        <v>296</v>
      </c>
      <c r="J278" t="str">
        <f t="shared" si="12"/>
        <v>VII</v>
      </c>
      <c r="K278" s="1" t="str">
        <f t="shared" si="13"/>
        <v>2008-07-01</v>
      </c>
      <c r="L278" t="s">
        <v>1156</v>
      </c>
      <c r="M278" s="7" t="e">
        <f t="shared" si="14"/>
        <v>#VALUE!</v>
      </c>
    </row>
    <row r="279" spans="1:13" x14ac:dyDescent="0.3">
      <c r="A279" t="s">
        <v>297</v>
      </c>
      <c r="J279" t="str">
        <f t="shared" si="12"/>
        <v>VIII</v>
      </c>
      <c r="K279" s="1" t="str">
        <f t="shared" si="13"/>
        <v>2008-08-01</v>
      </c>
      <c r="L279" t="s">
        <v>1157</v>
      </c>
      <c r="M279" s="7" t="e">
        <f t="shared" si="14"/>
        <v>#VALUE!</v>
      </c>
    </row>
    <row r="280" spans="1:13" x14ac:dyDescent="0.3">
      <c r="A280" t="s">
        <v>298</v>
      </c>
      <c r="J280" t="str">
        <f t="shared" si="12"/>
        <v>IX</v>
      </c>
      <c r="K280" s="1" t="str">
        <f t="shared" si="13"/>
        <v>2008-09-01</v>
      </c>
      <c r="L280" t="s">
        <v>1158</v>
      </c>
      <c r="M280" s="7" t="e">
        <f t="shared" si="14"/>
        <v>#VALUE!</v>
      </c>
    </row>
    <row r="281" spans="1:13" x14ac:dyDescent="0.3">
      <c r="A281" t="s">
        <v>299</v>
      </c>
      <c r="J281" t="str">
        <f t="shared" si="12"/>
        <v>X</v>
      </c>
      <c r="K281" s="1" t="str">
        <f t="shared" si="13"/>
        <v>2008-10-01</v>
      </c>
      <c r="L281" t="s">
        <v>1159</v>
      </c>
      <c r="M281" s="7" t="e">
        <f t="shared" si="14"/>
        <v>#VALUE!</v>
      </c>
    </row>
    <row r="282" spans="1:13" x14ac:dyDescent="0.3">
      <c r="A282" t="s">
        <v>300</v>
      </c>
      <c r="J282" t="str">
        <f t="shared" si="12"/>
        <v>XI</v>
      </c>
      <c r="K282" s="1" t="str">
        <f t="shared" si="13"/>
        <v>2008-11-01</v>
      </c>
      <c r="L282" t="s">
        <v>1160</v>
      </c>
      <c r="M282" s="7" t="e">
        <f t="shared" si="14"/>
        <v>#VALUE!</v>
      </c>
    </row>
    <row r="283" spans="1:13" x14ac:dyDescent="0.3">
      <c r="A283" t="s">
        <v>301</v>
      </c>
      <c r="J283" t="str">
        <f t="shared" si="12"/>
        <v>XII</v>
      </c>
      <c r="K283" s="1" t="str">
        <f t="shared" si="13"/>
        <v>2008-12-01</v>
      </c>
      <c r="L283" t="s">
        <v>1161</v>
      </c>
      <c r="M283" s="7" t="e">
        <f t="shared" si="14"/>
        <v>#VALUE!</v>
      </c>
    </row>
    <row r="284" spans="1:13" x14ac:dyDescent="0.3">
      <c r="A284" t="s">
        <v>302</v>
      </c>
      <c r="J284" t="str">
        <f t="shared" si="12"/>
        <v>I</v>
      </c>
      <c r="K284" s="1" t="str">
        <f t="shared" si="13"/>
        <v>2009-01-01</v>
      </c>
      <c r="L284" t="s">
        <v>1162</v>
      </c>
      <c r="M284" s="7" t="e">
        <f t="shared" si="14"/>
        <v>#VALUE!</v>
      </c>
    </row>
    <row r="285" spans="1:13" x14ac:dyDescent="0.3">
      <c r="A285" t="s">
        <v>303</v>
      </c>
      <c r="J285" t="str">
        <f t="shared" si="12"/>
        <v>II</v>
      </c>
      <c r="K285" s="1" t="str">
        <f t="shared" si="13"/>
        <v>2009-02-01</v>
      </c>
      <c r="L285" t="s">
        <v>1163</v>
      </c>
      <c r="M285" s="7" t="e">
        <f t="shared" si="14"/>
        <v>#VALUE!</v>
      </c>
    </row>
    <row r="286" spans="1:13" x14ac:dyDescent="0.3">
      <c r="A286" t="s">
        <v>304</v>
      </c>
      <c r="J286" t="str">
        <f t="shared" si="12"/>
        <v>III</v>
      </c>
      <c r="K286" s="1" t="str">
        <f t="shared" si="13"/>
        <v>2009-03-01</v>
      </c>
      <c r="L286" t="s">
        <v>1164</v>
      </c>
      <c r="M286" s="7" t="e">
        <f t="shared" si="14"/>
        <v>#VALUE!</v>
      </c>
    </row>
    <row r="287" spans="1:13" x14ac:dyDescent="0.3">
      <c r="A287" t="s">
        <v>305</v>
      </c>
      <c r="J287" t="str">
        <f t="shared" si="12"/>
        <v>IV</v>
      </c>
      <c r="K287" s="1" t="str">
        <f t="shared" si="13"/>
        <v>2009-04-01</v>
      </c>
      <c r="L287" t="s">
        <v>1165</v>
      </c>
      <c r="M287" s="7" t="e">
        <f t="shared" si="14"/>
        <v>#VALUE!</v>
      </c>
    </row>
    <row r="288" spans="1:13" x14ac:dyDescent="0.3">
      <c r="A288" t="s">
        <v>306</v>
      </c>
      <c r="J288" t="str">
        <f t="shared" si="12"/>
        <v>V</v>
      </c>
      <c r="K288" s="1" t="str">
        <f t="shared" si="13"/>
        <v>2009-05-01</v>
      </c>
      <c r="L288" t="s">
        <v>1166</v>
      </c>
      <c r="M288" s="7" t="e">
        <f t="shared" si="14"/>
        <v>#VALUE!</v>
      </c>
    </row>
    <row r="289" spans="1:13" x14ac:dyDescent="0.3">
      <c r="A289" t="s">
        <v>307</v>
      </c>
      <c r="J289" t="str">
        <f t="shared" si="12"/>
        <v>VI</v>
      </c>
      <c r="K289" s="1" t="str">
        <f t="shared" si="13"/>
        <v>2009-06-01</v>
      </c>
      <c r="L289" t="s">
        <v>1167</v>
      </c>
      <c r="M289" s="7" t="e">
        <f t="shared" si="14"/>
        <v>#VALUE!</v>
      </c>
    </row>
    <row r="290" spans="1:13" x14ac:dyDescent="0.3">
      <c r="A290" t="s">
        <v>308</v>
      </c>
      <c r="J290" t="str">
        <f t="shared" si="12"/>
        <v>VII</v>
      </c>
      <c r="K290" s="1" t="str">
        <f t="shared" si="13"/>
        <v>2009-07-01</v>
      </c>
      <c r="L290" t="s">
        <v>1168</v>
      </c>
      <c r="M290" s="7" t="e">
        <f t="shared" si="14"/>
        <v>#VALUE!</v>
      </c>
    </row>
    <row r="291" spans="1:13" x14ac:dyDescent="0.3">
      <c r="A291" t="s">
        <v>309</v>
      </c>
      <c r="J291" t="str">
        <f t="shared" si="12"/>
        <v>VIII</v>
      </c>
      <c r="K291" s="1" t="str">
        <f t="shared" si="13"/>
        <v>2009-08-01</v>
      </c>
      <c r="L291" t="s">
        <v>1169</v>
      </c>
      <c r="M291" s="7" t="e">
        <f t="shared" si="14"/>
        <v>#VALUE!</v>
      </c>
    </row>
    <row r="292" spans="1:13" x14ac:dyDescent="0.3">
      <c r="A292" t="s">
        <v>310</v>
      </c>
      <c r="J292" t="str">
        <f t="shared" si="12"/>
        <v>IX</v>
      </c>
      <c r="K292" s="1" t="str">
        <f t="shared" si="13"/>
        <v>2009-09-01</v>
      </c>
      <c r="L292" t="s">
        <v>1170</v>
      </c>
      <c r="M292" s="7" t="e">
        <f t="shared" si="14"/>
        <v>#VALUE!</v>
      </c>
    </row>
    <row r="293" spans="1:13" x14ac:dyDescent="0.3">
      <c r="A293" t="s">
        <v>311</v>
      </c>
      <c r="J293" t="str">
        <f t="shared" si="12"/>
        <v>X</v>
      </c>
      <c r="K293" s="1" t="str">
        <f t="shared" si="13"/>
        <v>2009-10-01</v>
      </c>
      <c r="L293" t="s">
        <v>1171</v>
      </c>
      <c r="M293" s="7" t="e">
        <f t="shared" si="14"/>
        <v>#VALUE!</v>
      </c>
    </row>
    <row r="294" spans="1:13" x14ac:dyDescent="0.3">
      <c r="A294" t="s">
        <v>312</v>
      </c>
      <c r="J294" t="str">
        <f t="shared" si="12"/>
        <v>XI</v>
      </c>
      <c r="K294" s="1" t="str">
        <f t="shared" si="13"/>
        <v>2009-11-01</v>
      </c>
      <c r="L294" t="s">
        <v>1172</v>
      </c>
      <c r="M294" s="7" t="e">
        <f t="shared" si="14"/>
        <v>#VALUE!</v>
      </c>
    </row>
    <row r="295" spans="1:13" x14ac:dyDescent="0.3">
      <c r="A295" t="s">
        <v>313</v>
      </c>
      <c r="J295" t="str">
        <f t="shared" si="12"/>
        <v>XII</v>
      </c>
      <c r="K295" s="1" t="str">
        <f t="shared" si="13"/>
        <v>2009-12-01</v>
      </c>
      <c r="L295" t="s">
        <v>1173</v>
      </c>
      <c r="M295" s="7" t="e">
        <f t="shared" si="14"/>
        <v>#VALUE!</v>
      </c>
    </row>
    <row r="296" spans="1:13" x14ac:dyDescent="0.3">
      <c r="A296" t="s">
        <v>314</v>
      </c>
      <c r="J296" t="str">
        <f t="shared" si="12"/>
        <v>I</v>
      </c>
      <c r="K296" s="1" t="str">
        <f t="shared" si="13"/>
        <v>2010-01-01</v>
      </c>
      <c r="L296" t="s">
        <v>1174</v>
      </c>
      <c r="M296" s="7" t="e">
        <f t="shared" si="14"/>
        <v>#VALUE!</v>
      </c>
    </row>
    <row r="297" spans="1:13" x14ac:dyDescent="0.3">
      <c r="A297" t="s">
        <v>315</v>
      </c>
      <c r="J297" t="str">
        <f t="shared" si="12"/>
        <v>II</v>
      </c>
      <c r="K297" s="1" t="str">
        <f t="shared" si="13"/>
        <v>2010-02-01</v>
      </c>
      <c r="L297" t="s">
        <v>1175</v>
      </c>
      <c r="M297" s="7" t="e">
        <f t="shared" si="14"/>
        <v>#VALUE!</v>
      </c>
    </row>
    <row r="298" spans="1:13" x14ac:dyDescent="0.3">
      <c r="A298" t="s">
        <v>316</v>
      </c>
      <c r="J298" t="str">
        <f t="shared" si="12"/>
        <v>III</v>
      </c>
      <c r="K298" s="1" t="str">
        <f t="shared" si="13"/>
        <v>2010-03-01</v>
      </c>
      <c r="L298" t="s">
        <v>1176</v>
      </c>
      <c r="M298" s="7" t="e">
        <f t="shared" si="14"/>
        <v>#VALUE!</v>
      </c>
    </row>
    <row r="299" spans="1:13" x14ac:dyDescent="0.3">
      <c r="A299" t="s">
        <v>317</v>
      </c>
      <c r="J299" t="str">
        <f t="shared" si="12"/>
        <v>IV</v>
      </c>
      <c r="K299" s="1" t="str">
        <f t="shared" si="13"/>
        <v>2010-04-01</v>
      </c>
      <c r="L299" t="s">
        <v>1177</v>
      </c>
      <c r="M299" s="7" t="e">
        <f t="shared" si="14"/>
        <v>#VALUE!</v>
      </c>
    </row>
    <row r="300" spans="1:13" x14ac:dyDescent="0.3">
      <c r="A300" t="s">
        <v>318</v>
      </c>
      <c r="J300" t="str">
        <f t="shared" si="12"/>
        <v>V</v>
      </c>
      <c r="K300" s="1" t="str">
        <f t="shared" si="13"/>
        <v>2010-05-01</v>
      </c>
      <c r="L300" t="s">
        <v>1178</v>
      </c>
      <c r="M300" s="7" t="e">
        <f t="shared" si="14"/>
        <v>#VALUE!</v>
      </c>
    </row>
    <row r="301" spans="1:13" x14ac:dyDescent="0.3">
      <c r="A301" t="s">
        <v>319</v>
      </c>
      <c r="J301" t="str">
        <f t="shared" si="12"/>
        <v>VI</v>
      </c>
      <c r="K301" s="1" t="str">
        <f t="shared" si="13"/>
        <v>2010-06-01</v>
      </c>
      <c r="L301" t="s">
        <v>1179</v>
      </c>
      <c r="M301" s="7" t="e">
        <f t="shared" si="14"/>
        <v>#VALUE!</v>
      </c>
    </row>
    <row r="302" spans="1:13" x14ac:dyDescent="0.3">
      <c r="A302" t="s">
        <v>320</v>
      </c>
      <c r="J302" t="str">
        <f t="shared" si="12"/>
        <v>VII</v>
      </c>
      <c r="K302" s="1" t="str">
        <f t="shared" si="13"/>
        <v>2010-07-01</v>
      </c>
      <c r="L302" t="s">
        <v>1180</v>
      </c>
      <c r="M302" s="7" t="e">
        <f t="shared" si="14"/>
        <v>#VALUE!</v>
      </c>
    </row>
    <row r="303" spans="1:13" x14ac:dyDescent="0.3">
      <c r="A303" t="s">
        <v>321</v>
      </c>
      <c r="J303" t="str">
        <f t="shared" si="12"/>
        <v>VIII</v>
      </c>
      <c r="K303" s="1" t="str">
        <f t="shared" si="13"/>
        <v>2010-08-01</v>
      </c>
      <c r="L303" t="s">
        <v>1181</v>
      </c>
      <c r="M303" s="7" t="e">
        <f t="shared" si="14"/>
        <v>#VALUE!</v>
      </c>
    </row>
    <row r="304" spans="1:13" x14ac:dyDescent="0.3">
      <c r="A304" t="s">
        <v>322</v>
      </c>
      <c r="J304" t="str">
        <f t="shared" si="12"/>
        <v>IX</v>
      </c>
      <c r="K304" s="1" t="str">
        <f t="shared" si="13"/>
        <v>2010-09-01</v>
      </c>
      <c r="L304" t="s">
        <v>1182</v>
      </c>
      <c r="M304" s="7" t="e">
        <f t="shared" si="14"/>
        <v>#VALUE!</v>
      </c>
    </row>
    <row r="305" spans="1:13" x14ac:dyDescent="0.3">
      <c r="A305" t="s">
        <v>323</v>
      </c>
      <c r="J305" t="str">
        <f t="shared" si="12"/>
        <v>X</v>
      </c>
      <c r="K305" s="1" t="str">
        <f t="shared" si="13"/>
        <v>2010-10-01</v>
      </c>
      <c r="L305" t="s">
        <v>1183</v>
      </c>
      <c r="M305" s="7" t="e">
        <f t="shared" si="14"/>
        <v>#VALUE!</v>
      </c>
    </row>
    <row r="306" spans="1:13" x14ac:dyDescent="0.3">
      <c r="A306" t="s">
        <v>324</v>
      </c>
      <c r="J306" t="str">
        <f t="shared" si="12"/>
        <v>XI</v>
      </c>
      <c r="K306" s="1" t="str">
        <f t="shared" si="13"/>
        <v>2010-11-01</v>
      </c>
      <c r="L306" t="s">
        <v>1184</v>
      </c>
      <c r="M306" s="7" t="e">
        <f t="shared" si="14"/>
        <v>#VALUE!</v>
      </c>
    </row>
    <row r="307" spans="1:13" x14ac:dyDescent="0.3">
      <c r="A307" t="s">
        <v>325</v>
      </c>
      <c r="J307" t="str">
        <f t="shared" si="12"/>
        <v>XII</v>
      </c>
      <c r="K307" s="1" t="str">
        <f t="shared" si="13"/>
        <v>2010-12-01</v>
      </c>
      <c r="L307" t="s">
        <v>1185</v>
      </c>
      <c r="M307" s="7" t="e">
        <f t="shared" si="14"/>
        <v>#VALUE!</v>
      </c>
    </row>
    <row r="308" spans="1:13" x14ac:dyDescent="0.3">
      <c r="A308" t="s">
        <v>326</v>
      </c>
      <c r="J308" t="str">
        <f t="shared" si="12"/>
        <v>I</v>
      </c>
      <c r="K308" s="1" t="str">
        <f t="shared" si="13"/>
        <v>2011-01-01</v>
      </c>
      <c r="L308" t="s">
        <v>1186</v>
      </c>
      <c r="M308" s="7" t="e">
        <f t="shared" si="14"/>
        <v>#VALUE!</v>
      </c>
    </row>
    <row r="309" spans="1:13" x14ac:dyDescent="0.3">
      <c r="A309" t="s">
        <v>327</v>
      </c>
      <c r="J309" t="str">
        <f t="shared" si="12"/>
        <v>II</v>
      </c>
      <c r="K309" s="1" t="str">
        <f t="shared" si="13"/>
        <v>2011-02-01</v>
      </c>
      <c r="L309" t="s">
        <v>1187</v>
      </c>
      <c r="M309" s="7" t="e">
        <f t="shared" si="14"/>
        <v>#VALUE!</v>
      </c>
    </row>
    <row r="310" spans="1:13" x14ac:dyDescent="0.3">
      <c r="A310" t="s">
        <v>328</v>
      </c>
      <c r="J310" t="str">
        <f t="shared" si="12"/>
        <v>III</v>
      </c>
      <c r="K310" s="1" t="str">
        <f t="shared" si="13"/>
        <v>2011-03-01</v>
      </c>
      <c r="L310" t="s">
        <v>1188</v>
      </c>
      <c r="M310" s="7" t="e">
        <f t="shared" si="14"/>
        <v>#VALUE!</v>
      </c>
    </row>
    <row r="311" spans="1:13" x14ac:dyDescent="0.3">
      <c r="A311" t="s">
        <v>329</v>
      </c>
      <c r="J311" t="str">
        <f t="shared" si="12"/>
        <v>IV</v>
      </c>
      <c r="K311" s="1" t="str">
        <f t="shared" si="13"/>
        <v>2011-04-01</v>
      </c>
      <c r="L311" t="s">
        <v>1189</v>
      </c>
      <c r="M311" s="7" t="e">
        <f t="shared" si="14"/>
        <v>#VALUE!</v>
      </c>
    </row>
    <row r="312" spans="1:13" x14ac:dyDescent="0.3">
      <c r="A312" t="s">
        <v>330</v>
      </c>
      <c r="J312" t="str">
        <f t="shared" si="12"/>
        <v>V</v>
      </c>
      <c r="K312" s="1" t="str">
        <f t="shared" si="13"/>
        <v>2011-05-01</v>
      </c>
      <c r="L312" t="s">
        <v>1190</v>
      </c>
      <c r="M312" s="7" t="e">
        <f t="shared" si="14"/>
        <v>#VALUE!</v>
      </c>
    </row>
    <row r="313" spans="1:13" x14ac:dyDescent="0.3">
      <c r="A313" t="s">
        <v>331</v>
      </c>
      <c r="J313" t="str">
        <f t="shared" si="12"/>
        <v>VI</v>
      </c>
      <c r="K313" s="1" t="str">
        <f t="shared" si="13"/>
        <v>2011-06-01</v>
      </c>
      <c r="L313" t="s">
        <v>1191</v>
      </c>
      <c r="M313" s="7" t="e">
        <f t="shared" si="14"/>
        <v>#VALUE!</v>
      </c>
    </row>
    <row r="314" spans="1:13" x14ac:dyDescent="0.3">
      <c r="A314" t="s">
        <v>332</v>
      </c>
      <c r="J314" t="str">
        <f t="shared" si="12"/>
        <v>VII</v>
      </c>
      <c r="K314" s="1" t="str">
        <f t="shared" si="13"/>
        <v>2011-07-01</v>
      </c>
      <c r="L314" t="s">
        <v>1192</v>
      </c>
      <c r="M314" s="7" t="e">
        <f t="shared" si="14"/>
        <v>#VALUE!</v>
      </c>
    </row>
    <row r="315" spans="1:13" x14ac:dyDescent="0.3">
      <c r="A315" t="s">
        <v>333</v>
      </c>
      <c r="J315" t="str">
        <f t="shared" si="12"/>
        <v>VIII</v>
      </c>
      <c r="K315" s="1" t="str">
        <f t="shared" si="13"/>
        <v>2011-08-01</v>
      </c>
      <c r="L315" t="s">
        <v>1193</v>
      </c>
      <c r="M315" s="7" t="e">
        <f t="shared" si="14"/>
        <v>#VALUE!</v>
      </c>
    </row>
    <row r="316" spans="1:13" x14ac:dyDescent="0.3">
      <c r="A316" t="s">
        <v>334</v>
      </c>
      <c r="J316" t="str">
        <f t="shared" si="12"/>
        <v>IX</v>
      </c>
      <c r="K316" s="1" t="str">
        <f t="shared" si="13"/>
        <v>2011-09-01</v>
      </c>
      <c r="L316" t="s">
        <v>1194</v>
      </c>
      <c r="M316" s="7" t="e">
        <f t="shared" si="14"/>
        <v>#VALUE!</v>
      </c>
    </row>
    <row r="317" spans="1:13" x14ac:dyDescent="0.3">
      <c r="A317" t="s">
        <v>335</v>
      </c>
      <c r="J317" t="str">
        <f t="shared" si="12"/>
        <v>X</v>
      </c>
      <c r="K317" s="1" t="str">
        <f t="shared" si="13"/>
        <v>2011-10-01</v>
      </c>
      <c r="L317" t="s">
        <v>1195</v>
      </c>
      <c r="M317" s="7" t="e">
        <f t="shared" si="14"/>
        <v>#VALUE!</v>
      </c>
    </row>
    <row r="318" spans="1:13" x14ac:dyDescent="0.3">
      <c r="A318" t="s">
        <v>336</v>
      </c>
      <c r="J318" t="str">
        <f t="shared" si="12"/>
        <v>XI</v>
      </c>
      <c r="K318" s="1" t="str">
        <f t="shared" si="13"/>
        <v>2011-11-01</v>
      </c>
      <c r="L318" t="s">
        <v>1196</v>
      </c>
      <c r="M318" s="7" t="e">
        <f t="shared" si="14"/>
        <v>#VALUE!</v>
      </c>
    </row>
    <row r="319" spans="1:13" x14ac:dyDescent="0.3">
      <c r="A319" t="s">
        <v>337</v>
      </c>
      <c r="J319" t="str">
        <f t="shared" si="12"/>
        <v>XII</v>
      </c>
      <c r="K319" s="1" t="str">
        <f t="shared" si="13"/>
        <v>2011-12-01</v>
      </c>
      <c r="L319" t="s">
        <v>1197</v>
      </c>
      <c r="M319" s="7" t="e">
        <f t="shared" si="14"/>
        <v>#VALUE!</v>
      </c>
    </row>
    <row r="320" spans="1:13" x14ac:dyDescent="0.3">
      <c r="A320" t="s">
        <v>338</v>
      </c>
      <c r="J320" t="str">
        <f t="shared" si="12"/>
        <v>I</v>
      </c>
      <c r="K320" s="1" t="str">
        <f t="shared" si="13"/>
        <v>2012-01-01</v>
      </c>
      <c r="L320" t="s">
        <v>1198</v>
      </c>
      <c r="M320" s="7" t="e">
        <f t="shared" si="14"/>
        <v>#VALUE!</v>
      </c>
    </row>
    <row r="321" spans="1:13" x14ac:dyDescent="0.3">
      <c r="A321" t="s">
        <v>339</v>
      </c>
      <c r="J321" t="str">
        <f t="shared" si="12"/>
        <v>II</v>
      </c>
      <c r="K321" s="1" t="str">
        <f t="shared" si="13"/>
        <v>2012-02-01</v>
      </c>
      <c r="L321" t="s">
        <v>1199</v>
      </c>
      <c r="M321" s="7" t="e">
        <f t="shared" si="14"/>
        <v>#VALUE!</v>
      </c>
    </row>
    <row r="322" spans="1:13" x14ac:dyDescent="0.3">
      <c r="A322" t="s">
        <v>340</v>
      </c>
      <c r="J322" t="str">
        <f t="shared" si="12"/>
        <v>III</v>
      </c>
      <c r="K322" s="1" t="str">
        <f t="shared" si="13"/>
        <v>2012-03-01</v>
      </c>
      <c r="L322" t="s">
        <v>1200</v>
      </c>
      <c r="M322" s="7" t="e">
        <f t="shared" si="14"/>
        <v>#VALUE!</v>
      </c>
    </row>
    <row r="323" spans="1:13" x14ac:dyDescent="0.3">
      <c r="A323" t="s">
        <v>341</v>
      </c>
      <c r="J323" t="str">
        <f t="shared" ref="J323:J386" si="15">TEXT(K323,"mmm")</f>
        <v>IV</v>
      </c>
      <c r="K323" s="1" t="str">
        <f t="shared" ref="K323:K386" si="16">LEFT(A323,10)</f>
        <v>2012-04-01</v>
      </c>
      <c r="L323" t="s">
        <v>1201</v>
      </c>
      <c r="M323" s="7" t="e">
        <f t="shared" si="14"/>
        <v>#VALUE!</v>
      </c>
    </row>
    <row r="324" spans="1:13" x14ac:dyDescent="0.3">
      <c r="A324" t="s">
        <v>342</v>
      </c>
      <c r="J324" t="str">
        <f t="shared" si="15"/>
        <v>V</v>
      </c>
      <c r="K324" s="1" t="str">
        <f t="shared" si="16"/>
        <v>2012-05-01</v>
      </c>
      <c r="L324" t="s">
        <v>1202</v>
      </c>
      <c r="M324" s="7" t="e">
        <f t="shared" ref="M324:M387" si="17">(L324/L323)-1</f>
        <v>#VALUE!</v>
      </c>
    </row>
    <row r="325" spans="1:13" x14ac:dyDescent="0.3">
      <c r="A325" t="s">
        <v>343</v>
      </c>
      <c r="J325" t="str">
        <f t="shared" si="15"/>
        <v>VI</v>
      </c>
      <c r="K325" s="1" t="str">
        <f t="shared" si="16"/>
        <v>2012-06-01</v>
      </c>
      <c r="L325" t="s">
        <v>1203</v>
      </c>
      <c r="M325" s="7" t="e">
        <f t="shared" si="17"/>
        <v>#VALUE!</v>
      </c>
    </row>
    <row r="326" spans="1:13" x14ac:dyDescent="0.3">
      <c r="A326" t="s">
        <v>344</v>
      </c>
      <c r="J326" t="str">
        <f t="shared" si="15"/>
        <v>VII</v>
      </c>
      <c r="K326" s="1" t="str">
        <f t="shared" si="16"/>
        <v>2012-07-01</v>
      </c>
      <c r="L326" t="s">
        <v>1204</v>
      </c>
      <c r="M326" s="7" t="e">
        <f t="shared" si="17"/>
        <v>#VALUE!</v>
      </c>
    </row>
    <row r="327" spans="1:13" x14ac:dyDescent="0.3">
      <c r="A327" t="s">
        <v>345</v>
      </c>
      <c r="J327" t="str">
        <f t="shared" si="15"/>
        <v>VIII</v>
      </c>
      <c r="K327" s="1" t="str">
        <f t="shared" si="16"/>
        <v>2012-08-01</v>
      </c>
      <c r="L327" t="s">
        <v>1205</v>
      </c>
      <c r="M327" s="7" t="e">
        <f t="shared" si="17"/>
        <v>#VALUE!</v>
      </c>
    </row>
    <row r="328" spans="1:13" x14ac:dyDescent="0.3">
      <c r="A328" t="s">
        <v>346</v>
      </c>
      <c r="J328" t="str">
        <f t="shared" si="15"/>
        <v>IX</v>
      </c>
      <c r="K328" s="1" t="str">
        <f t="shared" si="16"/>
        <v>2012-09-01</v>
      </c>
      <c r="L328" t="s">
        <v>1206</v>
      </c>
      <c r="M328" s="7" t="e">
        <f t="shared" si="17"/>
        <v>#VALUE!</v>
      </c>
    </row>
    <row r="329" spans="1:13" x14ac:dyDescent="0.3">
      <c r="A329" t="s">
        <v>347</v>
      </c>
      <c r="J329" t="str">
        <f t="shared" si="15"/>
        <v>X</v>
      </c>
      <c r="K329" s="1" t="str">
        <f t="shared" si="16"/>
        <v>2012-10-01</v>
      </c>
      <c r="L329" t="s">
        <v>1207</v>
      </c>
      <c r="M329" s="7" t="e">
        <f t="shared" si="17"/>
        <v>#VALUE!</v>
      </c>
    </row>
    <row r="330" spans="1:13" x14ac:dyDescent="0.3">
      <c r="A330" t="s">
        <v>348</v>
      </c>
      <c r="J330" t="str">
        <f t="shared" si="15"/>
        <v>XI</v>
      </c>
      <c r="K330" s="1" t="str">
        <f t="shared" si="16"/>
        <v>2012-11-01</v>
      </c>
      <c r="L330" t="s">
        <v>1208</v>
      </c>
      <c r="M330" s="7" t="e">
        <f t="shared" si="17"/>
        <v>#VALUE!</v>
      </c>
    </row>
    <row r="331" spans="1:13" x14ac:dyDescent="0.3">
      <c r="A331" t="s">
        <v>349</v>
      </c>
      <c r="J331" t="str">
        <f t="shared" si="15"/>
        <v>XII</v>
      </c>
      <c r="K331" s="1" t="str">
        <f t="shared" si="16"/>
        <v>2012-12-01</v>
      </c>
      <c r="L331" t="s">
        <v>1209</v>
      </c>
      <c r="M331" s="7" t="e">
        <f t="shared" si="17"/>
        <v>#VALUE!</v>
      </c>
    </row>
    <row r="332" spans="1:13" x14ac:dyDescent="0.3">
      <c r="A332" t="s">
        <v>350</v>
      </c>
      <c r="J332" t="str">
        <f t="shared" si="15"/>
        <v>I</v>
      </c>
      <c r="K332" s="1" t="str">
        <f t="shared" si="16"/>
        <v>2013-01-01</v>
      </c>
      <c r="L332" t="s">
        <v>1210</v>
      </c>
      <c r="M332" s="7" t="e">
        <f t="shared" si="17"/>
        <v>#VALUE!</v>
      </c>
    </row>
    <row r="333" spans="1:13" x14ac:dyDescent="0.3">
      <c r="A333" t="s">
        <v>351</v>
      </c>
      <c r="J333" t="str">
        <f t="shared" si="15"/>
        <v>II</v>
      </c>
      <c r="K333" s="1" t="str">
        <f t="shared" si="16"/>
        <v>2013-02-01</v>
      </c>
      <c r="L333" t="s">
        <v>1211</v>
      </c>
      <c r="M333" s="7" t="e">
        <f t="shared" si="17"/>
        <v>#VALUE!</v>
      </c>
    </row>
    <row r="334" spans="1:13" x14ac:dyDescent="0.3">
      <c r="A334" t="s">
        <v>352</v>
      </c>
      <c r="J334" t="str">
        <f t="shared" si="15"/>
        <v>III</v>
      </c>
      <c r="K334" s="1" t="str">
        <f t="shared" si="16"/>
        <v>2013-03-01</v>
      </c>
      <c r="L334" t="s">
        <v>1212</v>
      </c>
      <c r="M334" s="7" t="e">
        <f t="shared" si="17"/>
        <v>#VALUE!</v>
      </c>
    </row>
    <row r="335" spans="1:13" x14ac:dyDescent="0.3">
      <c r="A335" t="s">
        <v>353</v>
      </c>
      <c r="J335" t="str">
        <f t="shared" si="15"/>
        <v>IV</v>
      </c>
      <c r="K335" s="1" t="str">
        <f t="shared" si="16"/>
        <v>2013-04-01</v>
      </c>
      <c r="L335" t="s">
        <v>1213</v>
      </c>
      <c r="M335" s="7" t="e">
        <f t="shared" si="17"/>
        <v>#VALUE!</v>
      </c>
    </row>
    <row r="336" spans="1:13" x14ac:dyDescent="0.3">
      <c r="A336" t="s">
        <v>354</v>
      </c>
      <c r="J336" t="str">
        <f t="shared" si="15"/>
        <v>V</v>
      </c>
      <c r="K336" s="1" t="str">
        <f t="shared" si="16"/>
        <v>2013-05-01</v>
      </c>
      <c r="L336" t="s">
        <v>1214</v>
      </c>
      <c r="M336" s="7" t="e">
        <f t="shared" si="17"/>
        <v>#VALUE!</v>
      </c>
    </row>
    <row r="337" spans="1:13" x14ac:dyDescent="0.3">
      <c r="A337" t="s">
        <v>355</v>
      </c>
      <c r="J337" t="str">
        <f t="shared" si="15"/>
        <v>VI</v>
      </c>
      <c r="K337" s="1" t="str">
        <f t="shared" si="16"/>
        <v>2013-06-01</v>
      </c>
      <c r="L337" t="s">
        <v>1215</v>
      </c>
      <c r="M337" s="7" t="e">
        <f t="shared" si="17"/>
        <v>#VALUE!</v>
      </c>
    </row>
    <row r="338" spans="1:13" x14ac:dyDescent="0.3">
      <c r="A338" t="s">
        <v>356</v>
      </c>
      <c r="J338" t="str">
        <f t="shared" si="15"/>
        <v>VII</v>
      </c>
      <c r="K338" s="1" t="str">
        <f t="shared" si="16"/>
        <v>2013-07-01</v>
      </c>
      <c r="L338" t="s">
        <v>1216</v>
      </c>
      <c r="M338" s="7" t="e">
        <f t="shared" si="17"/>
        <v>#VALUE!</v>
      </c>
    </row>
    <row r="339" spans="1:13" x14ac:dyDescent="0.3">
      <c r="A339" t="s">
        <v>357</v>
      </c>
      <c r="J339" t="str">
        <f t="shared" si="15"/>
        <v>VIII</v>
      </c>
      <c r="K339" s="1" t="str">
        <f t="shared" si="16"/>
        <v>2013-08-01</v>
      </c>
      <c r="L339" t="s">
        <v>1217</v>
      </c>
      <c r="M339" s="7" t="e">
        <f t="shared" si="17"/>
        <v>#VALUE!</v>
      </c>
    </row>
    <row r="340" spans="1:13" x14ac:dyDescent="0.3">
      <c r="A340" t="s">
        <v>358</v>
      </c>
      <c r="J340" t="str">
        <f t="shared" si="15"/>
        <v>IX</v>
      </c>
      <c r="K340" s="1" t="str">
        <f t="shared" si="16"/>
        <v>2013-09-01</v>
      </c>
      <c r="L340" t="s">
        <v>1218</v>
      </c>
      <c r="M340" s="7" t="e">
        <f t="shared" si="17"/>
        <v>#VALUE!</v>
      </c>
    </row>
    <row r="341" spans="1:13" x14ac:dyDescent="0.3">
      <c r="A341" t="s">
        <v>359</v>
      </c>
      <c r="J341" t="str">
        <f t="shared" si="15"/>
        <v>X</v>
      </c>
      <c r="K341" s="1" t="str">
        <f t="shared" si="16"/>
        <v>2013-10-01</v>
      </c>
      <c r="L341" t="s">
        <v>1219</v>
      </c>
      <c r="M341" s="7" t="e">
        <f t="shared" si="17"/>
        <v>#VALUE!</v>
      </c>
    </row>
    <row r="342" spans="1:13" x14ac:dyDescent="0.3">
      <c r="A342" t="s">
        <v>360</v>
      </c>
      <c r="J342" t="str">
        <f t="shared" si="15"/>
        <v>XI</v>
      </c>
      <c r="K342" s="1" t="str">
        <f t="shared" si="16"/>
        <v>2013-11-01</v>
      </c>
      <c r="L342" t="s">
        <v>1220</v>
      </c>
      <c r="M342" s="7" t="e">
        <f t="shared" si="17"/>
        <v>#VALUE!</v>
      </c>
    </row>
    <row r="343" spans="1:13" x14ac:dyDescent="0.3">
      <c r="A343" t="s">
        <v>361</v>
      </c>
      <c r="J343" t="str">
        <f t="shared" si="15"/>
        <v>XII</v>
      </c>
      <c r="K343" s="1" t="str">
        <f t="shared" si="16"/>
        <v>2013-12-01</v>
      </c>
      <c r="L343" t="s">
        <v>1221</v>
      </c>
      <c r="M343" s="7" t="e">
        <f t="shared" si="17"/>
        <v>#VALUE!</v>
      </c>
    </row>
    <row r="344" spans="1:13" x14ac:dyDescent="0.3">
      <c r="A344" t="s">
        <v>362</v>
      </c>
      <c r="J344" t="str">
        <f t="shared" si="15"/>
        <v>I</v>
      </c>
      <c r="K344" s="1" t="str">
        <f t="shared" si="16"/>
        <v>2014-01-01</v>
      </c>
      <c r="L344" t="s">
        <v>1222</v>
      </c>
      <c r="M344" s="7" t="e">
        <f t="shared" si="17"/>
        <v>#VALUE!</v>
      </c>
    </row>
    <row r="345" spans="1:13" x14ac:dyDescent="0.3">
      <c r="A345" t="s">
        <v>363</v>
      </c>
      <c r="J345" t="str">
        <f t="shared" si="15"/>
        <v>II</v>
      </c>
      <c r="K345" s="1" t="str">
        <f t="shared" si="16"/>
        <v>2014-02-01</v>
      </c>
      <c r="L345" t="s">
        <v>1223</v>
      </c>
      <c r="M345" s="7" t="e">
        <f t="shared" si="17"/>
        <v>#VALUE!</v>
      </c>
    </row>
    <row r="346" spans="1:13" x14ac:dyDescent="0.3">
      <c r="A346" t="s">
        <v>364</v>
      </c>
      <c r="J346" t="str">
        <f t="shared" si="15"/>
        <v>III</v>
      </c>
      <c r="K346" s="1" t="str">
        <f t="shared" si="16"/>
        <v>2014-03-01</v>
      </c>
      <c r="L346" t="s">
        <v>1224</v>
      </c>
      <c r="M346" s="7" t="e">
        <f t="shared" si="17"/>
        <v>#VALUE!</v>
      </c>
    </row>
    <row r="347" spans="1:13" x14ac:dyDescent="0.3">
      <c r="A347" t="s">
        <v>365</v>
      </c>
      <c r="J347" t="str">
        <f t="shared" si="15"/>
        <v>IV</v>
      </c>
      <c r="K347" s="1" t="str">
        <f t="shared" si="16"/>
        <v>2014-04-01</v>
      </c>
      <c r="L347" t="s">
        <v>1225</v>
      </c>
      <c r="M347" s="7" t="e">
        <f t="shared" si="17"/>
        <v>#VALUE!</v>
      </c>
    </row>
    <row r="348" spans="1:13" x14ac:dyDescent="0.3">
      <c r="A348" t="s">
        <v>366</v>
      </c>
      <c r="J348" t="str">
        <f t="shared" si="15"/>
        <v>V</v>
      </c>
      <c r="K348" s="1" t="str">
        <f t="shared" si="16"/>
        <v>2014-05-01</v>
      </c>
      <c r="L348" t="s">
        <v>1226</v>
      </c>
      <c r="M348" s="7" t="e">
        <f t="shared" si="17"/>
        <v>#VALUE!</v>
      </c>
    </row>
    <row r="349" spans="1:13" x14ac:dyDescent="0.3">
      <c r="A349" t="s">
        <v>367</v>
      </c>
      <c r="J349" t="str">
        <f t="shared" si="15"/>
        <v>VI</v>
      </c>
      <c r="K349" s="1" t="str">
        <f t="shared" si="16"/>
        <v>2014-06-01</v>
      </c>
      <c r="L349" t="s">
        <v>1227</v>
      </c>
      <c r="M349" s="7" t="e">
        <f t="shared" si="17"/>
        <v>#VALUE!</v>
      </c>
    </row>
    <row r="350" spans="1:13" x14ac:dyDescent="0.3">
      <c r="A350" t="s">
        <v>368</v>
      </c>
      <c r="J350" t="str">
        <f t="shared" si="15"/>
        <v>VII</v>
      </c>
      <c r="K350" s="1" t="str">
        <f t="shared" si="16"/>
        <v>2014-07-01</v>
      </c>
      <c r="L350" t="s">
        <v>1228</v>
      </c>
      <c r="M350" s="7" t="e">
        <f t="shared" si="17"/>
        <v>#VALUE!</v>
      </c>
    </row>
    <row r="351" spans="1:13" x14ac:dyDescent="0.3">
      <c r="A351" t="s">
        <v>369</v>
      </c>
      <c r="J351" t="str">
        <f t="shared" si="15"/>
        <v>VIII</v>
      </c>
      <c r="K351" s="1" t="str">
        <f t="shared" si="16"/>
        <v>2014-08-01</v>
      </c>
      <c r="L351" t="s">
        <v>1229</v>
      </c>
      <c r="M351" s="7" t="e">
        <f t="shared" si="17"/>
        <v>#VALUE!</v>
      </c>
    </row>
    <row r="352" spans="1:13" x14ac:dyDescent="0.3">
      <c r="A352" t="s">
        <v>370</v>
      </c>
      <c r="J352" t="str">
        <f t="shared" si="15"/>
        <v>IX</v>
      </c>
      <c r="K352" s="1" t="str">
        <f t="shared" si="16"/>
        <v>2014-09-01</v>
      </c>
      <c r="L352" t="s">
        <v>1230</v>
      </c>
      <c r="M352" s="7" t="e">
        <f t="shared" si="17"/>
        <v>#VALUE!</v>
      </c>
    </row>
    <row r="353" spans="1:13" x14ac:dyDescent="0.3">
      <c r="A353" t="s">
        <v>371</v>
      </c>
      <c r="J353" t="str">
        <f t="shared" si="15"/>
        <v>X</v>
      </c>
      <c r="K353" s="1" t="str">
        <f t="shared" si="16"/>
        <v>2014-10-01</v>
      </c>
      <c r="L353" t="s">
        <v>1231</v>
      </c>
      <c r="M353" s="7" t="e">
        <f t="shared" si="17"/>
        <v>#VALUE!</v>
      </c>
    </row>
    <row r="354" spans="1:13" x14ac:dyDescent="0.3">
      <c r="A354" t="s">
        <v>372</v>
      </c>
      <c r="J354" t="str">
        <f t="shared" si="15"/>
        <v>XI</v>
      </c>
      <c r="K354" s="1" t="str">
        <f t="shared" si="16"/>
        <v>2014-11-01</v>
      </c>
      <c r="L354" t="s">
        <v>1232</v>
      </c>
      <c r="M354" s="7" t="e">
        <f t="shared" si="17"/>
        <v>#VALUE!</v>
      </c>
    </row>
    <row r="355" spans="1:13" x14ac:dyDescent="0.3">
      <c r="A355" t="s">
        <v>373</v>
      </c>
      <c r="J355" t="str">
        <f t="shared" si="15"/>
        <v>XII</v>
      </c>
      <c r="K355" s="1" t="str">
        <f t="shared" si="16"/>
        <v>2014-12-01</v>
      </c>
      <c r="L355" t="s">
        <v>1233</v>
      </c>
      <c r="M355" s="7" t="e">
        <f t="shared" si="17"/>
        <v>#VALUE!</v>
      </c>
    </row>
    <row r="356" spans="1:13" x14ac:dyDescent="0.3">
      <c r="A356" t="s">
        <v>374</v>
      </c>
      <c r="J356" t="str">
        <f t="shared" si="15"/>
        <v>I</v>
      </c>
      <c r="K356" s="1" t="str">
        <f t="shared" si="16"/>
        <v>2015-01-01</v>
      </c>
      <c r="L356" t="s">
        <v>1234</v>
      </c>
      <c r="M356" s="7" t="e">
        <f t="shared" si="17"/>
        <v>#VALUE!</v>
      </c>
    </row>
    <row r="357" spans="1:13" x14ac:dyDescent="0.3">
      <c r="A357" t="s">
        <v>375</v>
      </c>
      <c r="J357" t="str">
        <f t="shared" si="15"/>
        <v>II</v>
      </c>
      <c r="K357" s="1" t="str">
        <f t="shared" si="16"/>
        <v>2015-02-01</v>
      </c>
      <c r="L357" t="s">
        <v>1235</v>
      </c>
      <c r="M357" s="7" t="e">
        <f t="shared" si="17"/>
        <v>#VALUE!</v>
      </c>
    </row>
    <row r="358" spans="1:13" x14ac:dyDescent="0.3">
      <c r="A358" t="s">
        <v>376</v>
      </c>
      <c r="J358" t="str">
        <f t="shared" si="15"/>
        <v>III</v>
      </c>
      <c r="K358" s="1" t="str">
        <f t="shared" si="16"/>
        <v>2015-03-01</v>
      </c>
      <c r="L358" t="s">
        <v>1236</v>
      </c>
      <c r="M358" s="7" t="e">
        <f t="shared" si="17"/>
        <v>#VALUE!</v>
      </c>
    </row>
    <row r="359" spans="1:13" x14ac:dyDescent="0.3">
      <c r="A359" t="s">
        <v>377</v>
      </c>
      <c r="J359" t="str">
        <f t="shared" si="15"/>
        <v>IV</v>
      </c>
      <c r="K359" s="1" t="str">
        <f t="shared" si="16"/>
        <v>2015-04-01</v>
      </c>
      <c r="L359" t="s">
        <v>1237</v>
      </c>
      <c r="M359" s="7" t="e">
        <f t="shared" si="17"/>
        <v>#VALUE!</v>
      </c>
    </row>
    <row r="360" spans="1:13" x14ac:dyDescent="0.3">
      <c r="A360" t="s">
        <v>378</v>
      </c>
      <c r="J360" t="str">
        <f t="shared" si="15"/>
        <v>V</v>
      </c>
      <c r="K360" s="1" t="str">
        <f t="shared" si="16"/>
        <v>2015-05-01</v>
      </c>
      <c r="L360" t="s">
        <v>1238</v>
      </c>
      <c r="M360" s="7" t="e">
        <f t="shared" si="17"/>
        <v>#VALUE!</v>
      </c>
    </row>
    <row r="361" spans="1:13" x14ac:dyDescent="0.3">
      <c r="A361" t="s">
        <v>379</v>
      </c>
      <c r="J361" t="str">
        <f t="shared" si="15"/>
        <v>VI</v>
      </c>
      <c r="K361" s="1" t="str">
        <f t="shared" si="16"/>
        <v>2015-06-01</v>
      </c>
      <c r="L361" t="s">
        <v>1239</v>
      </c>
      <c r="M361" s="7" t="e">
        <f t="shared" si="17"/>
        <v>#VALUE!</v>
      </c>
    </row>
    <row r="362" spans="1:13" x14ac:dyDescent="0.3">
      <c r="A362" t="s">
        <v>380</v>
      </c>
      <c r="J362" t="str">
        <f t="shared" si="15"/>
        <v>VII</v>
      </c>
      <c r="K362" s="1" t="str">
        <f t="shared" si="16"/>
        <v>2015-07-01</v>
      </c>
      <c r="L362" t="s">
        <v>1240</v>
      </c>
      <c r="M362" s="7" t="e">
        <f t="shared" si="17"/>
        <v>#VALUE!</v>
      </c>
    </row>
    <row r="363" spans="1:13" x14ac:dyDescent="0.3">
      <c r="A363" t="s">
        <v>381</v>
      </c>
      <c r="J363" t="str">
        <f t="shared" si="15"/>
        <v>VIII</v>
      </c>
      <c r="K363" s="1" t="str">
        <f t="shared" si="16"/>
        <v>2015-08-01</v>
      </c>
      <c r="L363" t="s">
        <v>1241</v>
      </c>
      <c r="M363" s="7" t="e">
        <f t="shared" si="17"/>
        <v>#VALUE!</v>
      </c>
    </row>
    <row r="364" spans="1:13" x14ac:dyDescent="0.3">
      <c r="A364" t="s">
        <v>382</v>
      </c>
      <c r="J364" t="str">
        <f t="shared" si="15"/>
        <v>IX</v>
      </c>
      <c r="K364" s="1" t="str">
        <f t="shared" si="16"/>
        <v>2015-09-01</v>
      </c>
      <c r="L364" t="s">
        <v>1242</v>
      </c>
      <c r="M364" s="7" t="e">
        <f t="shared" si="17"/>
        <v>#VALUE!</v>
      </c>
    </row>
    <row r="365" spans="1:13" x14ac:dyDescent="0.3">
      <c r="A365" t="s">
        <v>383</v>
      </c>
      <c r="J365" t="str">
        <f t="shared" si="15"/>
        <v>X</v>
      </c>
      <c r="K365" s="1" t="str">
        <f t="shared" si="16"/>
        <v>2015-10-01</v>
      </c>
      <c r="L365" t="s">
        <v>1243</v>
      </c>
      <c r="M365" s="7" t="e">
        <f t="shared" si="17"/>
        <v>#VALUE!</v>
      </c>
    </row>
    <row r="366" spans="1:13" x14ac:dyDescent="0.3">
      <c r="A366" t="s">
        <v>384</v>
      </c>
      <c r="J366" t="str">
        <f t="shared" si="15"/>
        <v>XI</v>
      </c>
      <c r="K366" s="1" t="str">
        <f t="shared" si="16"/>
        <v>2015-11-01</v>
      </c>
      <c r="L366" t="s">
        <v>1244</v>
      </c>
      <c r="M366" s="7" t="e">
        <f t="shared" si="17"/>
        <v>#VALUE!</v>
      </c>
    </row>
    <row r="367" spans="1:13" x14ac:dyDescent="0.3">
      <c r="A367" t="s">
        <v>385</v>
      </c>
      <c r="J367" t="str">
        <f t="shared" si="15"/>
        <v>XII</v>
      </c>
      <c r="K367" s="1" t="str">
        <f t="shared" si="16"/>
        <v>2015-12-01</v>
      </c>
      <c r="L367" t="s">
        <v>1245</v>
      </c>
      <c r="M367" s="7" t="e">
        <f t="shared" si="17"/>
        <v>#VALUE!</v>
      </c>
    </row>
    <row r="368" spans="1:13" x14ac:dyDescent="0.3">
      <c r="A368" t="s">
        <v>386</v>
      </c>
      <c r="J368" t="str">
        <f t="shared" si="15"/>
        <v>I</v>
      </c>
      <c r="K368" s="1" t="str">
        <f t="shared" si="16"/>
        <v>2016-01-01</v>
      </c>
      <c r="L368" t="s">
        <v>1246</v>
      </c>
      <c r="M368" s="7" t="e">
        <f t="shared" si="17"/>
        <v>#VALUE!</v>
      </c>
    </row>
    <row r="369" spans="1:13" x14ac:dyDescent="0.3">
      <c r="A369" t="s">
        <v>387</v>
      </c>
      <c r="J369" t="str">
        <f t="shared" si="15"/>
        <v>II</v>
      </c>
      <c r="K369" s="1" t="str">
        <f t="shared" si="16"/>
        <v>2016-02-01</v>
      </c>
      <c r="L369" t="s">
        <v>1247</v>
      </c>
      <c r="M369" s="7" t="e">
        <f t="shared" si="17"/>
        <v>#VALUE!</v>
      </c>
    </row>
    <row r="370" spans="1:13" x14ac:dyDescent="0.3">
      <c r="A370" t="s">
        <v>388</v>
      </c>
      <c r="J370" t="str">
        <f t="shared" si="15"/>
        <v>III</v>
      </c>
      <c r="K370" s="1" t="str">
        <f t="shared" si="16"/>
        <v>2016-03-01</v>
      </c>
      <c r="L370" t="s">
        <v>1248</v>
      </c>
      <c r="M370" s="7" t="e">
        <f t="shared" si="17"/>
        <v>#VALUE!</v>
      </c>
    </row>
    <row r="371" spans="1:13" x14ac:dyDescent="0.3">
      <c r="A371" t="s">
        <v>389</v>
      </c>
      <c r="J371" t="str">
        <f t="shared" si="15"/>
        <v>IV</v>
      </c>
      <c r="K371" s="1" t="str">
        <f t="shared" si="16"/>
        <v>2016-04-01</v>
      </c>
      <c r="L371" t="s">
        <v>1249</v>
      </c>
      <c r="M371" s="7" t="e">
        <f t="shared" si="17"/>
        <v>#VALUE!</v>
      </c>
    </row>
    <row r="372" spans="1:13" x14ac:dyDescent="0.3">
      <c r="A372" t="s">
        <v>390</v>
      </c>
      <c r="J372" t="str">
        <f t="shared" si="15"/>
        <v>V</v>
      </c>
      <c r="K372" s="1" t="str">
        <f t="shared" si="16"/>
        <v>2016-05-01</v>
      </c>
      <c r="L372" t="s">
        <v>1250</v>
      </c>
      <c r="M372" s="7" t="e">
        <f t="shared" si="17"/>
        <v>#VALUE!</v>
      </c>
    </row>
    <row r="373" spans="1:13" x14ac:dyDescent="0.3">
      <c r="A373" t="s">
        <v>391</v>
      </c>
      <c r="J373" t="str">
        <f t="shared" si="15"/>
        <v>VI</v>
      </c>
      <c r="K373" s="1" t="str">
        <f t="shared" si="16"/>
        <v>2016-06-01</v>
      </c>
      <c r="L373" t="s">
        <v>1251</v>
      </c>
      <c r="M373" s="7" t="e">
        <f t="shared" si="17"/>
        <v>#VALUE!</v>
      </c>
    </row>
    <row r="374" spans="1:13" x14ac:dyDescent="0.3">
      <c r="A374" t="s">
        <v>392</v>
      </c>
      <c r="J374" t="str">
        <f t="shared" si="15"/>
        <v>VII</v>
      </c>
      <c r="K374" s="1" t="str">
        <f t="shared" si="16"/>
        <v>2016-07-01</v>
      </c>
      <c r="L374" t="s">
        <v>1252</v>
      </c>
      <c r="M374" s="7" t="e">
        <f t="shared" si="17"/>
        <v>#VALUE!</v>
      </c>
    </row>
    <row r="375" spans="1:13" x14ac:dyDescent="0.3">
      <c r="A375" t="s">
        <v>393</v>
      </c>
      <c r="J375" t="str">
        <f t="shared" si="15"/>
        <v>VIII</v>
      </c>
      <c r="K375" s="1" t="str">
        <f t="shared" si="16"/>
        <v>2016-08-01</v>
      </c>
      <c r="L375" t="s">
        <v>1253</v>
      </c>
      <c r="M375" s="7" t="e">
        <f t="shared" si="17"/>
        <v>#VALUE!</v>
      </c>
    </row>
    <row r="376" spans="1:13" x14ac:dyDescent="0.3">
      <c r="A376" t="s">
        <v>394</v>
      </c>
      <c r="J376" t="str">
        <f t="shared" si="15"/>
        <v>IX</v>
      </c>
      <c r="K376" s="1" t="str">
        <f t="shared" si="16"/>
        <v>2016-09-01</v>
      </c>
      <c r="L376" t="s">
        <v>1254</v>
      </c>
      <c r="M376" s="7" t="e">
        <f t="shared" si="17"/>
        <v>#VALUE!</v>
      </c>
    </row>
    <row r="377" spans="1:13" x14ac:dyDescent="0.3">
      <c r="A377" t="s">
        <v>395</v>
      </c>
      <c r="J377" t="str">
        <f t="shared" si="15"/>
        <v>X</v>
      </c>
      <c r="K377" s="1" t="str">
        <f t="shared" si="16"/>
        <v>2016-10-01</v>
      </c>
      <c r="L377" t="s">
        <v>1255</v>
      </c>
      <c r="M377" s="7" t="e">
        <f t="shared" si="17"/>
        <v>#VALUE!</v>
      </c>
    </row>
    <row r="378" spans="1:13" x14ac:dyDescent="0.3">
      <c r="A378" t="s">
        <v>396</v>
      </c>
      <c r="J378" t="str">
        <f t="shared" si="15"/>
        <v>XI</v>
      </c>
      <c r="K378" s="1" t="str">
        <f t="shared" si="16"/>
        <v>2016-11-01</v>
      </c>
      <c r="L378" t="s">
        <v>1256</v>
      </c>
      <c r="M378" s="7" t="e">
        <f t="shared" si="17"/>
        <v>#VALUE!</v>
      </c>
    </row>
    <row r="379" spans="1:13" x14ac:dyDescent="0.3">
      <c r="A379" t="s">
        <v>397</v>
      </c>
      <c r="J379" t="str">
        <f t="shared" si="15"/>
        <v>XII</v>
      </c>
      <c r="K379" s="1" t="str">
        <f t="shared" si="16"/>
        <v>2016-12-01</v>
      </c>
      <c r="L379" t="s">
        <v>1257</v>
      </c>
      <c r="M379" s="7" t="e">
        <f t="shared" si="17"/>
        <v>#VALUE!</v>
      </c>
    </row>
    <row r="380" spans="1:13" x14ac:dyDescent="0.3">
      <c r="A380" t="s">
        <v>398</v>
      </c>
      <c r="J380" t="str">
        <f t="shared" si="15"/>
        <v>I</v>
      </c>
      <c r="K380" s="1" t="str">
        <f t="shared" si="16"/>
        <v>2017-01-01</v>
      </c>
      <c r="L380" t="s">
        <v>1258</v>
      </c>
      <c r="M380" s="7" t="e">
        <f t="shared" si="17"/>
        <v>#VALUE!</v>
      </c>
    </row>
    <row r="381" spans="1:13" x14ac:dyDescent="0.3">
      <c r="A381" t="s">
        <v>399</v>
      </c>
      <c r="J381" t="str">
        <f t="shared" si="15"/>
        <v>II</v>
      </c>
      <c r="K381" s="1" t="str">
        <f t="shared" si="16"/>
        <v>2017-02-01</v>
      </c>
      <c r="L381" t="s">
        <v>1259</v>
      </c>
      <c r="M381" s="7" t="e">
        <f t="shared" si="17"/>
        <v>#VALUE!</v>
      </c>
    </row>
    <row r="382" spans="1:13" x14ac:dyDescent="0.3">
      <c r="A382" t="s">
        <v>400</v>
      </c>
      <c r="J382" t="str">
        <f t="shared" si="15"/>
        <v>III</v>
      </c>
      <c r="K382" s="1" t="str">
        <f t="shared" si="16"/>
        <v>2017-03-01</v>
      </c>
      <c r="L382" t="s">
        <v>1260</v>
      </c>
      <c r="M382" s="7" t="e">
        <f t="shared" si="17"/>
        <v>#VALUE!</v>
      </c>
    </row>
    <row r="383" spans="1:13" x14ac:dyDescent="0.3">
      <c r="A383" t="s">
        <v>401</v>
      </c>
      <c r="J383" t="str">
        <f t="shared" si="15"/>
        <v>IV</v>
      </c>
      <c r="K383" s="1" t="str">
        <f t="shared" si="16"/>
        <v>2017-04-01</v>
      </c>
      <c r="L383" t="s">
        <v>1261</v>
      </c>
      <c r="M383" s="7" t="e">
        <f t="shared" si="17"/>
        <v>#VALUE!</v>
      </c>
    </row>
    <row r="384" spans="1:13" x14ac:dyDescent="0.3">
      <c r="A384" t="s">
        <v>402</v>
      </c>
      <c r="J384" t="str">
        <f t="shared" si="15"/>
        <v>V</v>
      </c>
      <c r="K384" s="1" t="str">
        <f t="shared" si="16"/>
        <v>2017-05-01</v>
      </c>
      <c r="L384" t="s">
        <v>1262</v>
      </c>
      <c r="M384" s="7" t="e">
        <f t="shared" si="17"/>
        <v>#VALUE!</v>
      </c>
    </row>
    <row r="385" spans="1:13" x14ac:dyDescent="0.3">
      <c r="A385" t="s">
        <v>403</v>
      </c>
      <c r="J385" t="str">
        <f t="shared" si="15"/>
        <v>VI</v>
      </c>
      <c r="K385" s="1" t="str">
        <f t="shared" si="16"/>
        <v>2017-06-01</v>
      </c>
      <c r="L385" t="s">
        <v>1263</v>
      </c>
      <c r="M385" s="7" t="e">
        <f t="shared" si="17"/>
        <v>#VALUE!</v>
      </c>
    </row>
    <row r="386" spans="1:13" x14ac:dyDescent="0.3">
      <c r="A386" t="s">
        <v>404</v>
      </c>
      <c r="J386" t="str">
        <f t="shared" si="15"/>
        <v>VII</v>
      </c>
      <c r="K386" s="1" t="str">
        <f t="shared" si="16"/>
        <v>2017-07-01</v>
      </c>
      <c r="L386" t="s">
        <v>1264</v>
      </c>
      <c r="M386" s="7" t="e">
        <f t="shared" si="17"/>
        <v>#VALUE!</v>
      </c>
    </row>
    <row r="387" spans="1:13" x14ac:dyDescent="0.3">
      <c r="A387" t="s">
        <v>405</v>
      </c>
      <c r="J387" t="str">
        <f t="shared" ref="J387:J422" si="18">TEXT(K387,"mmm")</f>
        <v>VIII</v>
      </c>
      <c r="K387" s="1" t="str">
        <f t="shared" ref="K387:K422" si="19">LEFT(A387,10)</f>
        <v>2017-08-01</v>
      </c>
      <c r="L387" t="s">
        <v>1265</v>
      </c>
      <c r="M387" s="7" t="e">
        <f t="shared" si="17"/>
        <v>#VALUE!</v>
      </c>
    </row>
    <row r="388" spans="1:13" x14ac:dyDescent="0.3">
      <c r="A388" t="s">
        <v>406</v>
      </c>
      <c r="J388" t="str">
        <f t="shared" si="18"/>
        <v>IX</v>
      </c>
      <c r="K388" s="1" t="str">
        <f t="shared" si="19"/>
        <v>2017-09-01</v>
      </c>
      <c r="L388" t="s">
        <v>1266</v>
      </c>
      <c r="M388" s="7" t="e">
        <f t="shared" ref="M388:M422" si="20">(L388/L387)-1</f>
        <v>#VALUE!</v>
      </c>
    </row>
    <row r="389" spans="1:13" x14ac:dyDescent="0.3">
      <c r="A389" t="s">
        <v>407</v>
      </c>
      <c r="J389" t="str">
        <f t="shared" si="18"/>
        <v>X</v>
      </c>
      <c r="K389" s="1" t="str">
        <f t="shared" si="19"/>
        <v>2017-10-01</v>
      </c>
      <c r="L389" t="s">
        <v>1267</v>
      </c>
      <c r="M389" s="7" t="e">
        <f t="shared" si="20"/>
        <v>#VALUE!</v>
      </c>
    </row>
    <row r="390" spans="1:13" x14ac:dyDescent="0.3">
      <c r="A390" t="s">
        <v>408</v>
      </c>
      <c r="J390" t="str">
        <f t="shared" si="18"/>
        <v>XI</v>
      </c>
      <c r="K390" s="1" t="str">
        <f t="shared" si="19"/>
        <v>2017-11-01</v>
      </c>
      <c r="L390" t="s">
        <v>1268</v>
      </c>
      <c r="M390" s="7" t="e">
        <f t="shared" si="20"/>
        <v>#VALUE!</v>
      </c>
    </row>
    <row r="391" spans="1:13" x14ac:dyDescent="0.3">
      <c r="A391" t="s">
        <v>409</v>
      </c>
      <c r="J391" t="str">
        <f t="shared" si="18"/>
        <v>XII</v>
      </c>
      <c r="K391" s="1" t="str">
        <f t="shared" si="19"/>
        <v>2017-12-01</v>
      </c>
      <c r="L391" t="s">
        <v>1269</v>
      </c>
      <c r="M391" s="7" t="e">
        <f t="shared" si="20"/>
        <v>#VALUE!</v>
      </c>
    </row>
    <row r="392" spans="1:13" x14ac:dyDescent="0.3">
      <c r="A392" t="s">
        <v>410</v>
      </c>
      <c r="J392" t="str">
        <f t="shared" si="18"/>
        <v>I</v>
      </c>
      <c r="K392" s="1" t="str">
        <f t="shared" si="19"/>
        <v>2018-01-01</v>
      </c>
      <c r="L392" t="s">
        <v>1270</v>
      </c>
      <c r="M392" s="7" t="e">
        <f t="shared" si="20"/>
        <v>#VALUE!</v>
      </c>
    </row>
    <row r="393" spans="1:13" x14ac:dyDescent="0.3">
      <c r="A393" t="s">
        <v>411</v>
      </c>
      <c r="J393" t="str">
        <f t="shared" si="18"/>
        <v>II</v>
      </c>
      <c r="K393" s="1" t="str">
        <f t="shared" si="19"/>
        <v>2018-02-01</v>
      </c>
      <c r="L393" t="s">
        <v>1271</v>
      </c>
      <c r="M393" s="7" t="e">
        <f t="shared" si="20"/>
        <v>#VALUE!</v>
      </c>
    </row>
    <row r="394" spans="1:13" x14ac:dyDescent="0.3">
      <c r="A394" t="s">
        <v>412</v>
      </c>
      <c r="J394" t="str">
        <f t="shared" si="18"/>
        <v>III</v>
      </c>
      <c r="K394" s="1" t="str">
        <f t="shared" si="19"/>
        <v>2018-03-01</v>
      </c>
      <c r="L394" t="s">
        <v>1272</v>
      </c>
      <c r="M394" s="7" t="e">
        <f t="shared" si="20"/>
        <v>#VALUE!</v>
      </c>
    </row>
    <row r="395" spans="1:13" x14ac:dyDescent="0.3">
      <c r="A395" t="s">
        <v>413</v>
      </c>
      <c r="J395" t="str">
        <f t="shared" si="18"/>
        <v>IV</v>
      </c>
      <c r="K395" s="1" t="str">
        <f t="shared" si="19"/>
        <v>2018-04-01</v>
      </c>
      <c r="L395" t="s">
        <v>1273</v>
      </c>
      <c r="M395" s="7" t="e">
        <f t="shared" si="20"/>
        <v>#VALUE!</v>
      </c>
    </row>
    <row r="396" spans="1:13" x14ac:dyDescent="0.3">
      <c r="A396" t="s">
        <v>414</v>
      </c>
      <c r="J396" t="str">
        <f t="shared" si="18"/>
        <v>V</v>
      </c>
      <c r="K396" s="1" t="str">
        <f t="shared" si="19"/>
        <v>2018-05-01</v>
      </c>
      <c r="L396" t="s">
        <v>1274</v>
      </c>
      <c r="M396" s="7" t="e">
        <f t="shared" si="20"/>
        <v>#VALUE!</v>
      </c>
    </row>
    <row r="397" spans="1:13" x14ac:dyDescent="0.3">
      <c r="A397" t="s">
        <v>415</v>
      </c>
      <c r="J397" t="str">
        <f t="shared" si="18"/>
        <v>VI</v>
      </c>
      <c r="K397" s="1" t="str">
        <f t="shared" si="19"/>
        <v>2018-06-01</v>
      </c>
      <c r="L397" t="s">
        <v>1275</v>
      </c>
      <c r="M397" s="7" t="e">
        <f t="shared" si="20"/>
        <v>#VALUE!</v>
      </c>
    </row>
    <row r="398" spans="1:13" x14ac:dyDescent="0.3">
      <c r="A398" t="s">
        <v>416</v>
      </c>
      <c r="J398" t="str">
        <f t="shared" si="18"/>
        <v>VII</v>
      </c>
      <c r="K398" s="1" t="str">
        <f t="shared" si="19"/>
        <v>2018-07-01</v>
      </c>
      <c r="L398" t="s">
        <v>1276</v>
      </c>
      <c r="M398" s="7" t="e">
        <f t="shared" si="20"/>
        <v>#VALUE!</v>
      </c>
    </row>
    <row r="399" spans="1:13" x14ac:dyDescent="0.3">
      <c r="A399" t="s">
        <v>417</v>
      </c>
      <c r="J399" t="str">
        <f t="shared" si="18"/>
        <v>VIII</v>
      </c>
      <c r="K399" s="1" t="str">
        <f t="shared" si="19"/>
        <v>2018-08-01</v>
      </c>
      <c r="L399" t="s">
        <v>1277</v>
      </c>
      <c r="M399" s="7" t="e">
        <f t="shared" si="20"/>
        <v>#VALUE!</v>
      </c>
    </row>
    <row r="400" spans="1:13" x14ac:dyDescent="0.3">
      <c r="A400" t="s">
        <v>418</v>
      </c>
      <c r="J400" t="str">
        <f t="shared" si="18"/>
        <v>IX</v>
      </c>
      <c r="K400" s="1" t="str">
        <f t="shared" si="19"/>
        <v>2018-09-01</v>
      </c>
      <c r="L400" t="s">
        <v>1278</v>
      </c>
      <c r="M400" s="7" t="e">
        <f t="shared" si="20"/>
        <v>#VALUE!</v>
      </c>
    </row>
    <row r="401" spans="1:13" x14ac:dyDescent="0.3">
      <c r="A401" t="s">
        <v>419</v>
      </c>
      <c r="J401" t="str">
        <f t="shared" si="18"/>
        <v>X</v>
      </c>
      <c r="K401" s="1" t="str">
        <f t="shared" si="19"/>
        <v>2018-10-01</v>
      </c>
      <c r="L401" t="s">
        <v>1279</v>
      </c>
      <c r="M401" s="7" t="e">
        <f t="shared" si="20"/>
        <v>#VALUE!</v>
      </c>
    </row>
    <row r="402" spans="1:13" x14ac:dyDescent="0.3">
      <c r="A402" t="s">
        <v>420</v>
      </c>
      <c r="J402" t="str">
        <f t="shared" si="18"/>
        <v>XI</v>
      </c>
      <c r="K402" s="1" t="str">
        <f t="shared" si="19"/>
        <v>2018-11-01</v>
      </c>
      <c r="L402" t="s">
        <v>1280</v>
      </c>
      <c r="M402" s="7" t="e">
        <f t="shared" si="20"/>
        <v>#VALUE!</v>
      </c>
    </row>
    <row r="403" spans="1:13" x14ac:dyDescent="0.3">
      <c r="A403" t="s">
        <v>421</v>
      </c>
      <c r="J403" t="str">
        <f t="shared" si="18"/>
        <v>XII</v>
      </c>
      <c r="K403" s="1" t="str">
        <f t="shared" si="19"/>
        <v>2018-12-01</v>
      </c>
      <c r="L403" t="s">
        <v>1281</v>
      </c>
      <c r="M403" s="7" t="e">
        <f t="shared" si="20"/>
        <v>#VALUE!</v>
      </c>
    </row>
    <row r="404" spans="1:13" x14ac:dyDescent="0.3">
      <c r="A404" t="s">
        <v>422</v>
      </c>
      <c r="J404" t="str">
        <f t="shared" si="18"/>
        <v>I</v>
      </c>
      <c r="K404" s="1" t="str">
        <f t="shared" si="19"/>
        <v>2019-01-01</v>
      </c>
      <c r="L404" t="s">
        <v>1282</v>
      </c>
      <c r="M404" s="7" t="e">
        <f t="shared" si="20"/>
        <v>#VALUE!</v>
      </c>
    </row>
    <row r="405" spans="1:13" x14ac:dyDescent="0.3">
      <c r="A405" t="s">
        <v>423</v>
      </c>
      <c r="J405" t="str">
        <f t="shared" si="18"/>
        <v>II</v>
      </c>
      <c r="K405" s="1" t="str">
        <f t="shared" si="19"/>
        <v>2019-02-01</v>
      </c>
      <c r="L405" t="s">
        <v>1283</v>
      </c>
      <c r="M405" s="7" t="e">
        <f t="shared" si="20"/>
        <v>#VALUE!</v>
      </c>
    </row>
    <row r="406" spans="1:13" x14ac:dyDescent="0.3">
      <c r="A406" t="s">
        <v>424</v>
      </c>
      <c r="J406" t="str">
        <f t="shared" si="18"/>
        <v>III</v>
      </c>
      <c r="K406" s="1" t="str">
        <f t="shared" si="19"/>
        <v>2019-03-01</v>
      </c>
      <c r="L406" t="s">
        <v>1284</v>
      </c>
      <c r="M406" s="7" t="e">
        <f t="shared" si="20"/>
        <v>#VALUE!</v>
      </c>
    </row>
    <row r="407" spans="1:13" x14ac:dyDescent="0.3">
      <c r="A407" t="s">
        <v>425</v>
      </c>
      <c r="J407" t="str">
        <f t="shared" si="18"/>
        <v>IV</v>
      </c>
      <c r="K407" s="1" t="str">
        <f t="shared" si="19"/>
        <v>2019-04-01</v>
      </c>
      <c r="L407" t="s">
        <v>1285</v>
      </c>
      <c r="M407" s="7" t="e">
        <f t="shared" si="20"/>
        <v>#VALUE!</v>
      </c>
    </row>
    <row r="408" spans="1:13" x14ac:dyDescent="0.3">
      <c r="A408" t="s">
        <v>426</v>
      </c>
      <c r="J408" t="str">
        <f t="shared" si="18"/>
        <v>V</v>
      </c>
      <c r="K408" s="1" t="str">
        <f t="shared" si="19"/>
        <v>2019-05-01</v>
      </c>
      <c r="L408" t="s">
        <v>1286</v>
      </c>
      <c r="M408" s="7" t="e">
        <f t="shared" si="20"/>
        <v>#VALUE!</v>
      </c>
    </row>
    <row r="409" spans="1:13" x14ac:dyDescent="0.3">
      <c r="A409" t="s">
        <v>427</v>
      </c>
      <c r="J409" t="str">
        <f t="shared" si="18"/>
        <v>VI</v>
      </c>
      <c r="K409" s="1" t="str">
        <f t="shared" si="19"/>
        <v>2019-06-01</v>
      </c>
      <c r="L409" t="s">
        <v>1287</v>
      </c>
      <c r="M409" s="7" t="e">
        <f t="shared" si="20"/>
        <v>#VALUE!</v>
      </c>
    </row>
    <row r="410" spans="1:13" x14ac:dyDescent="0.3">
      <c r="A410" t="s">
        <v>428</v>
      </c>
      <c r="J410" t="str">
        <f t="shared" si="18"/>
        <v>VII</v>
      </c>
      <c r="K410" s="1" t="str">
        <f t="shared" si="19"/>
        <v>2019-07-01</v>
      </c>
      <c r="L410" t="s">
        <v>1288</v>
      </c>
      <c r="M410" s="7" t="e">
        <f t="shared" si="20"/>
        <v>#VALUE!</v>
      </c>
    </row>
    <row r="411" spans="1:13" x14ac:dyDescent="0.3">
      <c r="A411" t="s">
        <v>429</v>
      </c>
      <c r="J411" t="str">
        <f t="shared" si="18"/>
        <v>VIII</v>
      </c>
      <c r="K411" s="1" t="str">
        <f t="shared" si="19"/>
        <v>2019-08-01</v>
      </c>
      <c r="L411" t="s">
        <v>1289</v>
      </c>
      <c r="M411" s="7" t="e">
        <f t="shared" si="20"/>
        <v>#VALUE!</v>
      </c>
    </row>
    <row r="412" spans="1:13" x14ac:dyDescent="0.3">
      <c r="A412" t="s">
        <v>430</v>
      </c>
      <c r="J412" t="str">
        <f t="shared" si="18"/>
        <v>IX</v>
      </c>
      <c r="K412" s="1" t="str">
        <f t="shared" si="19"/>
        <v>2019-09-01</v>
      </c>
      <c r="L412" t="s">
        <v>1290</v>
      </c>
      <c r="M412" s="7" t="e">
        <f t="shared" si="20"/>
        <v>#VALUE!</v>
      </c>
    </row>
    <row r="413" spans="1:13" x14ac:dyDescent="0.3">
      <c r="A413" t="s">
        <v>431</v>
      </c>
      <c r="J413" t="str">
        <f t="shared" si="18"/>
        <v>X</v>
      </c>
      <c r="K413" s="1" t="str">
        <f t="shared" si="19"/>
        <v>2019-10-01</v>
      </c>
      <c r="L413" t="s">
        <v>1291</v>
      </c>
      <c r="M413" s="7" t="e">
        <f t="shared" si="20"/>
        <v>#VALUE!</v>
      </c>
    </row>
    <row r="414" spans="1:13" x14ac:dyDescent="0.3">
      <c r="A414" t="s">
        <v>432</v>
      </c>
      <c r="J414" t="str">
        <f t="shared" si="18"/>
        <v>XI</v>
      </c>
      <c r="K414" s="1" t="str">
        <f t="shared" si="19"/>
        <v>2019-11-01</v>
      </c>
      <c r="L414" t="s">
        <v>1292</v>
      </c>
      <c r="M414" s="7" t="e">
        <f t="shared" si="20"/>
        <v>#VALUE!</v>
      </c>
    </row>
    <row r="415" spans="1:13" x14ac:dyDescent="0.3">
      <c r="A415" t="s">
        <v>433</v>
      </c>
      <c r="J415" t="str">
        <f t="shared" si="18"/>
        <v>XII</v>
      </c>
      <c r="K415" s="1" t="str">
        <f t="shared" si="19"/>
        <v>2019-12-01</v>
      </c>
      <c r="L415" t="s">
        <v>1293</v>
      </c>
      <c r="M415" s="7" t="e">
        <f t="shared" si="20"/>
        <v>#VALUE!</v>
      </c>
    </row>
    <row r="416" spans="1:13" x14ac:dyDescent="0.3">
      <c r="A416" t="s">
        <v>434</v>
      </c>
      <c r="J416" t="str">
        <f t="shared" si="18"/>
        <v>I</v>
      </c>
      <c r="K416" s="1" t="str">
        <f t="shared" si="19"/>
        <v>2020-01-01</v>
      </c>
      <c r="L416" t="s">
        <v>1294</v>
      </c>
      <c r="M416" s="7" t="e">
        <f t="shared" si="20"/>
        <v>#VALUE!</v>
      </c>
    </row>
    <row r="417" spans="1:13" x14ac:dyDescent="0.3">
      <c r="A417" t="s">
        <v>435</v>
      </c>
      <c r="J417" t="str">
        <f t="shared" si="18"/>
        <v>II</v>
      </c>
      <c r="K417" s="1" t="str">
        <f t="shared" si="19"/>
        <v>2020-02-01</v>
      </c>
      <c r="L417" t="s">
        <v>1295</v>
      </c>
      <c r="M417" s="7" t="e">
        <f t="shared" si="20"/>
        <v>#VALUE!</v>
      </c>
    </row>
    <row r="418" spans="1:13" x14ac:dyDescent="0.3">
      <c r="A418" t="s">
        <v>436</v>
      </c>
      <c r="J418" t="str">
        <f t="shared" si="18"/>
        <v>III</v>
      </c>
      <c r="K418" s="1" t="str">
        <f t="shared" si="19"/>
        <v>2020-03-01</v>
      </c>
      <c r="L418" t="s">
        <v>1296</v>
      </c>
      <c r="M418" s="7" t="e">
        <f t="shared" si="20"/>
        <v>#VALUE!</v>
      </c>
    </row>
    <row r="419" spans="1:13" x14ac:dyDescent="0.3">
      <c r="A419" t="s">
        <v>437</v>
      </c>
      <c r="J419" t="str">
        <f t="shared" si="18"/>
        <v>IV</v>
      </c>
      <c r="K419" s="1" t="str">
        <f t="shared" si="19"/>
        <v>2020-04-01</v>
      </c>
      <c r="L419" t="s">
        <v>1297</v>
      </c>
      <c r="M419" s="7" t="e">
        <f t="shared" si="20"/>
        <v>#VALUE!</v>
      </c>
    </row>
    <row r="420" spans="1:13" x14ac:dyDescent="0.3">
      <c r="A420" t="s">
        <v>438</v>
      </c>
      <c r="J420" t="str">
        <f t="shared" si="18"/>
        <v>V</v>
      </c>
      <c r="K420" s="1" t="str">
        <f t="shared" si="19"/>
        <v>2020-05-01</v>
      </c>
      <c r="L420" t="s">
        <v>1298</v>
      </c>
      <c r="M420" s="7" t="e">
        <f t="shared" si="20"/>
        <v>#VALUE!</v>
      </c>
    </row>
    <row r="421" spans="1:13" x14ac:dyDescent="0.3">
      <c r="A421" t="s">
        <v>439</v>
      </c>
      <c r="J421" t="str">
        <f t="shared" si="18"/>
        <v>VI</v>
      </c>
      <c r="K421" s="1" t="str">
        <f t="shared" si="19"/>
        <v>2020-06-01</v>
      </c>
      <c r="L421" t="s">
        <v>1299</v>
      </c>
      <c r="M421" s="7" t="e">
        <f t="shared" si="20"/>
        <v>#VALUE!</v>
      </c>
    </row>
    <row r="422" spans="1:13" x14ac:dyDescent="0.3">
      <c r="A422" t="s">
        <v>877</v>
      </c>
      <c r="J422" t="str">
        <f t="shared" si="18"/>
        <v>VII</v>
      </c>
      <c r="K422" s="1" t="str">
        <f t="shared" si="19"/>
        <v>2020-07-01</v>
      </c>
      <c r="L422" t="s">
        <v>1300</v>
      </c>
      <c r="M422" s="7" t="e">
        <f t="shared" si="20"/>
        <v>#VALUE!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EEA-68B6-49DB-BF14-437B348AE665}">
  <sheetPr codeName="Sheet5"/>
  <dimension ref="B1:Y1000"/>
  <sheetViews>
    <sheetView topLeftCell="I1" workbookViewId="0">
      <selection activeCell="M2" sqref="M2"/>
    </sheetView>
  </sheetViews>
  <sheetFormatPr defaultRowHeight="14.4" x14ac:dyDescent="0.3"/>
  <cols>
    <col min="1" max="1" width="10.6640625" bestFit="1" customWidth="1"/>
    <col min="2" max="2" width="6.88671875" bestFit="1" customWidth="1"/>
    <col min="3" max="3" width="10.109375" bestFit="1" customWidth="1"/>
    <col min="4" max="4" width="10.109375" customWidth="1"/>
    <col min="5" max="5" width="17.44140625" bestFit="1" customWidth="1"/>
    <col min="6" max="6" width="6.6640625" bestFit="1" customWidth="1"/>
    <col min="7" max="7" width="6.6640625" customWidth="1"/>
    <col min="8" max="8" width="12" bestFit="1" customWidth="1"/>
    <col min="9" max="9" width="14.44140625" bestFit="1" customWidth="1"/>
    <col min="17" max="17" width="23.5546875" bestFit="1" customWidth="1"/>
    <col min="19" max="19" width="19.109375" bestFit="1" customWidth="1"/>
  </cols>
  <sheetData>
    <row r="1" spans="2:25" x14ac:dyDescent="0.3">
      <c r="K1" s="2"/>
    </row>
    <row r="2" spans="2:25" x14ac:dyDescent="0.3">
      <c r="B2" t="s">
        <v>872</v>
      </c>
      <c r="C2" t="s">
        <v>6</v>
      </c>
      <c r="D2" t="s">
        <v>2</v>
      </c>
      <c r="E2" t="s">
        <v>3</v>
      </c>
      <c r="F2" t="s">
        <v>10</v>
      </c>
      <c r="G2" t="s">
        <v>875</v>
      </c>
      <c r="H2" t="s">
        <v>8</v>
      </c>
      <c r="I2" t="s">
        <v>9</v>
      </c>
    </row>
    <row r="3" spans="2:25" x14ac:dyDescent="0.3">
      <c r="B3">
        <v>1</v>
      </c>
      <c r="C3" s="1">
        <v>43831</v>
      </c>
      <c r="D3" s="1" t="str">
        <f>TEXT(C3,"mmm")</f>
        <v>I</v>
      </c>
      <c r="E3" t="s">
        <v>4</v>
      </c>
      <c r="F3">
        <v>3000</v>
      </c>
      <c r="G3">
        <v>0</v>
      </c>
      <c r="H3" s="4">
        <f>F3*VLOOKUP(D3,$U$4:$V$15,2,FALSE)</f>
        <v>38.331389132553234</v>
      </c>
      <c r="I3">
        <f>SUM(E3:H3)</f>
        <v>3038.3313891325533</v>
      </c>
      <c r="Q3" t="s">
        <v>11</v>
      </c>
      <c r="U3" t="s">
        <v>873</v>
      </c>
      <c r="X3" t="s">
        <v>874</v>
      </c>
    </row>
    <row r="4" spans="2:25" x14ac:dyDescent="0.3">
      <c r="B4">
        <v>2</v>
      </c>
      <c r="C4" s="1">
        <v>43862</v>
      </c>
      <c r="D4" s="1" t="str">
        <f t="shared" ref="D4:D67" si="0">TEXT(C4,"mmm")</f>
        <v>II</v>
      </c>
      <c r="E4">
        <f>I3</f>
        <v>3038.3313891325533</v>
      </c>
      <c r="F4">
        <v>3000</v>
      </c>
      <c r="G4">
        <v>0</v>
      </c>
      <c r="H4" s="4">
        <f>SUM(E4:G4)*VLOOKUP(D4,$U$4:$V$15,2,FALSE)</f>
        <v>4.2119931327145892</v>
      </c>
      <c r="I4">
        <f>SUM(E4:H4)</f>
        <v>6042.5433822652676</v>
      </c>
      <c r="Q4" t="s">
        <v>12</v>
      </c>
      <c r="S4" s="1">
        <v>44197</v>
      </c>
      <c r="U4" s="5" t="s">
        <v>860</v>
      </c>
      <c r="V4" s="6">
        <v>1.2777129710851078E-2</v>
      </c>
      <c r="X4" s="5" t="s">
        <v>860</v>
      </c>
      <c r="Y4" s="6">
        <v>8.1243705643104132E-3</v>
      </c>
    </row>
    <row r="5" spans="2:25" x14ac:dyDescent="0.3">
      <c r="B5">
        <v>3</v>
      </c>
      <c r="C5" s="1">
        <v>43891</v>
      </c>
      <c r="D5" s="1" t="str">
        <f t="shared" si="0"/>
        <v>III</v>
      </c>
      <c r="E5">
        <f t="shared" ref="E5:E27" si="1">I4</f>
        <v>6042.5433822652676</v>
      </c>
      <c r="F5">
        <v>3000</v>
      </c>
      <c r="G5">
        <v>0</v>
      </c>
      <c r="H5" s="4">
        <f t="shared" ref="H5:H68" si="2">SUM(E5:G5)*VLOOKUP(D5,$U$4:$V$15,2,FALSE)</f>
        <v>79.322362701290899</v>
      </c>
      <c r="I5">
        <f t="shared" ref="I5:I27" si="3">SUM(E5:H5)</f>
        <v>9121.865744966557</v>
      </c>
      <c r="Q5" t="s">
        <v>13</v>
      </c>
      <c r="S5" t="s">
        <v>14</v>
      </c>
      <c r="U5" s="5" t="s">
        <v>861</v>
      </c>
      <c r="V5" s="6">
        <v>6.9754255957119146E-4</v>
      </c>
      <c r="X5" s="5" t="s">
        <v>861</v>
      </c>
      <c r="Y5" s="6">
        <v>6.8930452239274317E-3</v>
      </c>
    </row>
    <row r="6" spans="2:25" x14ac:dyDescent="0.3">
      <c r="B6">
        <v>4</v>
      </c>
      <c r="C6" s="1">
        <v>43922</v>
      </c>
      <c r="D6" s="1" t="str">
        <f t="shared" si="0"/>
        <v>IV</v>
      </c>
      <c r="E6">
        <f t="shared" si="1"/>
        <v>9121.865744966557</v>
      </c>
      <c r="F6">
        <v>3000</v>
      </c>
      <c r="G6">
        <v>0</v>
      </c>
      <c r="H6" s="4">
        <f t="shared" si="2"/>
        <v>208.74077287831307</v>
      </c>
      <c r="I6">
        <f t="shared" si="3"/>
        <v>12330.60651784487</v>
      </c>
      <c r="Q6" t="s">
        <v>8</v>
      </c>
      <c r="S6" t="s">
        <v>15</v>
      </c>
      <c r="U6" s="5" t="s">
        <v>862</v>
      </c>
      <c r="V6" s="6">
        <v>8.7721296263684259E-3</v>
      </c>
      <c r="X6" s="5" t="s">
        <v>862</v>
      </c>
      <c r="Y6" s="6">
        <v>7.8323700259436933E-3</v>
      </c>
    </row>
    <row r="7" spans="2:25" x14ac:dyDescent="0.3">
      <c r="B7">
        <v>5</v>
      </c>
      <c r="C7" s="1">
        <v>43952</v>
      </c>
      <c r="D7" s="1" t="str">
        <f t="shared" si="0"/>
        <v>V</v>
      </c>
      <c r="E7">
        <f t="shared" si="1"/>
        <v>12330.60651784487</v>
      </c>
      <c r="F7">
        <v>3000</v>
      </c>
      <c r="G7">
        <v>0</v>
      </c>
      <c r="H7" s="4">
        <f t="shared" si="2"/>
        <v>87.436492634666607</v>
      </c>
      <c r="I7">
        <f t="shared" si="3"/>
        <v>15418.043010479536</v>
      </c>
      <c r="Q7" t="s">
        <v>16</v>
      </c>
      <c r="S7" t="s">
        <v>17</v>
      </c>
      <c r="U7" s="5" t="s">
        <v>863</v>
      </c>
      <c r="V7" s="6">
        <v>1.7220185181888347E-2</v>
      </c>
      <c r="X7" s="5" t="s">
        <v>863</v>
      </c>
      <c r="Y7" s="6">
        <v>2.2514244209995007E-2</v>
      </c>
    </row>
    <row r="8" spans="2:25" x14ac:dyDescent="0.3">
      <c r="B8">
        <v>6</v>
      </c>
      <c r="C8" s="1">
        <v>43983</v>
      </c>
      <c r="D8" s="1" t="str">
        <f t="shared" si="0"/>
        <v>VI</v>
      </c>
      <c r="E8">
        <f t="shared" si="1"/>
        <v>15418.043010479536</v>
      </c>
      <c r="F8">
        <v>3000</v>
      </c>
      <c r="G8">
        <v>0</v>
      </c>
      <c r="H8" s="4">
        <f t="shared" si="2"/>
        <v>79.565138502923872</v>
      </c>
      <c r="I8">
        <f t="shared" si="3"/>
        <v>18497.608148982461</v>
      </c>
      <c r="U8" s="5" t="s">
        <v>864</v>
      </c>
      <c r="V8" s="6">
        <v>5.7033942220674882E-3</v>
      </c>
      <c r="X8" s="5" t="s">
        <v>864</v>
      </c>
      <c r="Y8" s="6">
        <v>8.7148299442530528E-3</v>
      </c>
    </row>
    <row r="9" spans="2:25" x14ac:dyDescent="0.3">
      <c r="B9">
        <v>7</v>
      </c>
      <c r="C9" s="1">
        <v>44013</v>
      </c>
      <c r="D9" s="1" t="str">
        <f t="shared" si="0"/>
        <v>VII</v>
      </c>
      <c r="E9">
        <f t="shared" si="1"/>
        <v>18497.608148982461</v>
      </c>
      <c r="F9">
        <v>3000</v>
      </c>
      <c r="G9">
        <v>0</v>
      </c>
      <c r="H9" s="4">
        <f t="shared" si="2"/>
        <v>130.04488563204663</v>
      </c>
      <c r="I9">
        <f t="shared" si="3"/>
        <v>21627.653034614508</v>
      </c>
      <c r="U9" s="5" t="s">
        <v>865</v>
      </c>
      <c r="V9" s="6">
        <v>4.3199561678541375E-3</v>
      </c>
      <c r="X9" s="5" t="s">
        <v>865</v>
      </c>
      <c r="Y9" s="6">
        <v>-9.3770880296789431E-4</v>
      </c>
    </row>
    <row r="10" spans="2:25" x14ac:dyDescent="0.3">
      <c r="B10">
        <v>8</v>
      </c>
      <c r="C10" s="1">
        <v>44044</v>
      </c>
      <c r="D10" s="1" t="str">
        <f t="shared" si="0"/>
        <v>VIII</v>
      </c>
      <c r="E10">
        <f t="shared" si="1"/>
        <v>21627.653034614508</v>
      </c>
      <c r="F10">
        <v>3000</v>
      </c>
      <c r="G10">
        <v>0</v>
      </c>
      <c r="H10" s="4">
        <f t="shared" si="2"/>
        <v>5.7581960871283284</v>
      </c>
      <c r="I10">
        <f t="shared" si="3"/>
        <v>24633.411230701637</v>
      </c>
      <c r="U10" s="5" t="s">
        <v>866</v>
      </c>
      <c r="V10" s="6">
        <v>6.0492723065194579E-3</v>
      </c>
      <c r="X10" s="5" t="s">
        <v>866</v>
      </c>
      <c r="Y10" s="6">
        <v>1.5193308517998605E-2</v>
      </c>
    </row>
    <row r="11" spans="2:25" x14ac:dyDescent="0.3">
      <c r="B11">
        <v>9</v>
      </c>
      <c r="C11" s="1">
        <v>44075</v>
      </c>
      <c r="D11" s="1" t="str">
        <f t="shared" si="0"/>
        <v>IX</v>
      </c>
      <c r="E11">
        <f t="shared" si="1"/>
        <v>24633.411230701637</v>
      </c>
      <c r="F11">
        <v>3000</v>
      </c>
      <c r="G11">
        <v>0</v>
      </c>
      <c r="H11" s="4">
        <f t="shared" si="2"/>
        <v>-159.84460604869756</v>
      </c>
      <c r="I11">
        <f t="shared" si="3"/>
        <v>27473.56662465294</v>
      </c>
      <c r="U11" s="5" t="s">
        <v>867</v>
      </c>
      <c r="V11" s="6">
        <v>2.3381018398444642E-4</v>
      </c>
      <c r="X11" s="5" t="s">
        <v>867</v>
      </c>
      <c r="Y11" s="6">
        <v>-7.4661205702042889E-3</v>
      </c>
    </row>
    <row r="12" spans="2:25" x14ac:dyDescent="0.3">
      <c r="B12">
        <v>10</v>
      </c>
      <c r="C12" s="1">
        <v>44105</v>
      </c>
      <c r="D12" s="1" t="str">
        <f t="shared" si="0"/>
        <v>X</v>
      </c>
      <c r="E12">
        <f t="shared" si="1"/>
        <v>27473.56662465294</v>
      </c>
      <c r="F12">
        <v>3000</v>
      </c>
      <c r="G12">
        <v>0</v>
      </c>
      <c r="H12" s="4">
        <f t="shared" si="2"/>
        <v>248.4864459154042</v>
      </c>
      <c r="I12">
        <f t="shared" si="3"/>
        <v>30722.053070568345</v>
      </c>
      <c r="U12" s="5" t="s">
        <v>868</v>
      </c>
      <c r="V12" s="6">
        <v>-5.7844688342749695E-3</v>
      </c>
      <c r="X12" s="5" t="s">
        <v>868</v>
      </c>
      <c r="Y12" s="6">
        <v>-6.6239265164183027E-3</v>
      </c>
    </row>
    <row r="13" spans="2:25" x14ac:dyDescent="0.3">
      <c r="B13">
        <v>11</v>
      </c>
      <c r="C13" s="1">
        <v>44136</v>
      </c>
      <c r="D13" s="1" t="str">
        <f t="shared" si="0"/>
        <v>XI</v>
      </c>
      <c r="E13">
        <f t="shared" si="1"/>
        <v>30722.053070568345</v>
      </c>
      <c r="F13">
        <v>3000</v>
      </c>
      <c r="G13">
        <v>0</v>
      </c>
      <c r="H13" s="4">
        <f t="shared" si="2"/>
        <v>445.27966358615907</v>
      </c>
      <c r="I13">
        <f t="shared" si="3"/>
        <v>34167.332734154508</v>
      </c>
      <c r="U13" s="5" t="s">
        <v>869</v>
      </c>
      <c r="V13" s="6">
        <v>8.1541635403576326E-3</v>
      </c>
      <c r="X13" s="5" t="s">
        <v>869</v>
      </c>
      <c r="Y13" s="6">
        <v>9.2180054334569019E-3</v>
      </c>
    </row>
    <row r="14" spans="2:25" x14ac:dyDescent="0.3">
      <c r="B14">
        <v>12</v>
      </c>
      <c r="C14" s="1">
        <v>44166</v>
      </c>
      <c r="D14" s="1" t="str">
        <f t="shared" si="0"/>
        <v>XII</v>
      </c>
      <c r="E14">
        <f t="shared" si="1"/>
        <v>34167.332734154508</v>
      </c>
      <c r="F14">
        <v>3000</v>
      </c>
      <c r="G14">
        <v>0</v>
      </c>
      <c r="H14" s="4">
        <f t="shared" si="2"/>
        <v>555.49942475716773</v>
      </c>
      <c r="I14">
        <f t="shared" si="3"/>
        <v>37722.832158911675</v>
      </c>
      <c r="U14" s="5" t="s">
        <v>870</v>
      </c>
      <c r="V14" s="6">
        <v>1.3204405516305487E-2</v>
      </c>
      <c r="X14" s="5" t="s">
        <v>870</v>
      </c>
      <c r="Y14" s="6">
        <v>1.7660968886484683E-2</v>
      </c>
    </row>
    <row r="15" spans="2:25" x14ac:dyDescent="0.3">
      <c r="B15">
        <v>13</v>
      </c>
      <c r="C15" s="1">
        <v>44197</v>
      </c>
      <c r="D15" s="1" t="str">
        <f t="shared" si="0"/>
        <v>I</v>
      </c>
      <c r="E15">
        <f t="shared" si="1"/>
        <v>37722.832158911675</v>
      </c>
      <c r="F15">
        <v>3000</v>
      </c>
      <c r="G15">
        <v>0</v>
      </c>
      <c r="H15" s="4">
        <f t="shared" si="2"/>
        <v>520.32090868763214</v>
      </c>
      <c r="I15">
        <f t="shared" si="3"/>
        <v>41243.153067599305</v>
      </c>
      <c r="U15" s="5" t="s">
        <v>871</v>
      </c>
      <c r="V15" s="6">
        <v>1.4945905016388159E-2</v>
      </c>
      <c r="X15" s="5" t="s">
        <v>871</v>
      </c>
      <c r="Y15" s="6">
        <v>1.5653783774689012E-2</v>
      </c>
    </row>
    <row r="16" spans="2:25" x14ac:dyDescent="0.3">
      <c r="B16">
        <v>14</v>
      </c>
      <c r="C16" s="1">
        <v>44228</v>
      </c>
      <c r="D16" s="1" t="str">
        <f t="shared" si="0"/>
        <v>II</v>
      </c>
      <c r="E16">
        <f t="shared" si="1"/>
        <v>41243.153067599305</v>
      </c>
      <c r="F16">
        <v>3000</v>
      </c>
      <c r="G16">
        <v>0</v>
      </c>
      <c r="H16" s="4">
        <f t="shared" si="2"/>
        <v>30.861482234273232</v>
      </c>
      <c r="I16">
        <f t="shared" si="3"/>
        <v>44274.014549833577</v>
      </c>
    </row>
    <row r="17" spans="2:25" x14ac:dyDescent="0.3">
      <c r="B17">
        <v>15</v>
      </c>
      <c r="C17" s="1">
        <v>44256</v>
      </c>
      <c r="D17" s="1" t="str">
        <f t="shared" si="0"/>
        <v>III</v>
      </c>
      <c r="E17">
        <f t="shared" si="1"/>
        <v>44274.014549833577</v>
      </c>
      <c r="F17">
        <v>3000</v>
      </c>
      <c r="G17">
        <v>0</v>
      </c>
      <c r="H17" s="4">
        <f t="shared" si="2"/>
        <v>414.69378358996715</v>
      </c>
      <c r="I17">
        <f t="shared" si="3"/>
        <v>47688.708333423543</v>
      </c>
      <c r="U17" s="5" t="s">
        <v>876</v>
      </c>
      <c r="V17" s="6" t="e">
        <f>#REF!</f>
        <v>#REF!</v>
      </c>
      <c r="X17" s="5" t="s">
        <v>876</v>
      </c>
      <c r="Y17" s="6" t="e">
        <f>#REF!</f>
        <v>#REF!</v>
      </c>
    </row>
    <row r="18" spans="2:25" x14ac:dyDescent="0.3">
      <c r="B18">
        <v>16</v>
      </c>
      <c r="C18" s="1">
        <v>44287</v>
      </c>
      <c r="D18" s="1" t="str">
        <f t="shared" si="0"/>
        <v>IV</v>
      </c>
      <c r="E18">
        <f t="shared" si="1"/>
        <v>47688.708333423543</v>
      </c>
      <c r="F18">
        <v>3000</v>
      </c>
      <c r="G18">
        <v>0</v>
      </c>
      <c r="H18" s="4">
        <f t="shared" si="2"/>
        <v>872.86894413228049</v>
      </c>
      <c r="I18">
        <f t="shared" si="3"/>
        <v>51561.577277555822</v>
      </c>
    </row>
    <row r="19" spans="2:25" x14ac:dyDescent="0.3">
      <c r="B19">
        <v>17</v>
      </c>
      <c r="C19" s="1">
        <v>44317</v>
      </c>
      <c r="D19" s="1" t="str">
        <f t="shared" si="0"/>
        <v>V</v>
      </c>
      <c r="E19">
        <f t="shared" si="1"/>
        <v>51561.577277555822</v>
      </c>
      <c r="F19">
        <v>3000</v>
      </c>
      <c r="G19">
        <v>0</v>
      </c>
      <c r="H19" s="4">
        <f t="shared" si="2"/>
        <v>311.18618459170062</v>
      </c>
      <c r="I19">
        <f t="shared" si="3"/>
        <v>54872.763462147523</v>
      </c>
    </row>
    <row r="20" spans="2:25" x14ac:dyDescent="0.3">
      <c r="B20">
        <v>18</v>
      </c>
      <c r="C20" s="1">
        <v>44348</v>
      </c>
      <c r="D20" s="1" t="str">
        <f t="shared" si="0"/>
        <v>VI</v>
      </c>
      <c r="E20">
        <f t="shared" si="1"/>
        <v>54872.763462147523</v>
      </c>
      <c r="F20">
        <v>3000</v>
      </c>
      <c r="G20">
        <v>0</v>
      </c>
      <c r="H20" s="4">
        <f t="shared" si="2"/>
        <v>250.00780146906777</v>
      </c>
      <c r="I20">
        <f t="shared" si="3"/>
        <v>58122.771263616589</v>
      </c>
    </row>
    <row r="21" spans="2:25" x14ac:dyDescent="0.3">
      <c r="B21">
        <v>19</v>
      </c>
      <c r="C21" s="1">
        <v>44378</v>
      </c>
      <c r="D21" s="1" t="str">
        <f t="shared" si="0"/>
        <v>VII</v>
      </c>
      <c r="E21">
        <f t="shared" si="1"/>
        <v>58122.771263616589</v>
      </c>
      <c r="F21">
        <v>3000</v>
      </c>
      <c r="G21">
        <v>0</v>
      </c>
      <c r="H21" s="4">
        <f t="shared" si="2"/>
        <v>369.74828750271917</v>
      </c>
      <c r="I21">
        <f t="shared" si="3"/>
        <v>61492.519551119309</v>
      </c>
    </row>
    <row r="22" spans="2:25" x14ac:dyDescent="0.3">
      <c r="B22">
        <v>20</v>
      </c>
      <c r="C22" s="1">
        <v>44409</v>
      </c>
      <c r="D22" s="1" t="str">
        <f t="shared" si="0"/>
        <v>VIII</v>
      </c>
      <c r="E22">
        <f t="shared" si="1"/>
        <v>61492.519551119309</v>
      </c>
      <c r="F22">
        <v>3000</v>
      </c>
      <c r="G22">
        <v>0</v>
      </c>
      <c r="H22" s="4">
        <f t="shared" si="2"/>
        <v>15.079007861867714</v>
      </c>
      <c r="I22">
        <f t="shared" si="3"/>
        <v>64507.598558981175</v>
      </c>
    </row>
    <row r="23" spans="2:25" x14ac:dyDescent="0.3">
      <c r="B23">
        <v>21</v>
      </c>
      <c r="C23" s="1">
        <v>44440</v>
      </c>
      <c r="D23" s="1" t="str">
        <f t="shared" si="0"/>
        <v>IX</v>
      </c>
      <c r="E23">
        <f t="shared" si="1"/>
        <v>64507.598558981175</v>
      </c>
      <c r="F23">
        <v>3000</v>
      </c>
      <c r="G23">
        <v>0</v>
      </c>
      <c r="H23" s="4">
        <f t="shared" si="2"/>
        <v>-390.49559994117243</v>
      </c>
      <c r="I23">
        <f t="shared" si="3"/>
        <v>67117.102959039999</v>
      </c>
    </row>
    <row r="24" spans="2:25" x14ac:dyDescent="0.3">
      <c r="B24">
        <v>22</v>
      </c>
      <c r="C24" s="1">
        <v>44470</v>
      </c>
      <c r="D24" s="1" t="str">
        <f t="shared" si="0"/>
        <v>X</v>
      </c>
      <c r="E24">
        <f t="shared" si="1"/>
        <v>67117.102959039999</v>
      </c>
      <c r="F24">
        <v>3000</v>
      </c>
      <c r="G24">
        <v>0</v>
      </c>
      <c r="H24" s="4">
        <f t="shared" si="2"/>
        <v>571.74632450410627</v>
      </c>
      <c r="I24">
        <f t="shared" si="3"/>
        <v>70688.849283544099</v>
      </c>
    </row>
    <row r="25" spans="2:25" x14ac:dyDescent="0.3">
      <c r="B25">
        <v>23</v>
      </c>
      <c r="C25" s="1">
        <v>44501</v>
      </c>
      <c r="D25" s="1" t="str">
        <f t="shared" si="0"/>
        <v>XI</v>
      </c>
      <c r="E25">
        <f t="shared" si="1"/>
        <v>70688.849283544099</v>
      </c>
      <c r="F25">
        <v>3000</v>
      </c>
      <c r="G25">
        <v>0</v>
      </c>
      <c r="H25" s="4">
        <f t="shared" si="2"/>
        <v>973.01744796983337</v>
      </c>
      <c r="I25">
        <f t="shared" si="3"/>
        <v>74661.866731513932</v>
      </c>
    </row>
    <row r="26" spans="2:25" x14ac:dyDescent="0.3">
      <c r="B26">
        <v>24</v>
      </c>
      <c r="C26" s="1">
        <v>44531</v>
      </c>
      <c r="D26" s="1" t="str">
        <f t="shared" si="0"/>
        <v>XII</v>
      </c>
      <c r="E26">
        <f t="shared" si="1"/>
        <v>74661.866731513932</v>
      </c>
      <c r="F26">
        <v>3000</v>
      </c>
      <c r="G26">
        <v>0</v>
      </c>
      <c r="H26" s="4">
        <f t="shared" si="2"/>
        <v>1160.7268835646028</v>
      </c>
      <c r="I26">
        <f t="shared" si="3"/>
        <v>78822.593615078542</v>
      </c>
    </row>
    <row r="27" spans="2:25" x14ac:dyDescent="0.3">
      <c r="B27">
        <v>25</v>
      </c>
      <c r="C27" s="1">
        <v>44562</v>
      </c>
      <c r="D27" s="1" t="str">
        <f t="shared" si="0"/>
        <v>I</v>
      </c>
      <c r="E27">
        <f t="shared" si="1"/>
        <v>78822.593615078542</v>
      </c>
      <c r="F27">
        <v>3000</v>
      </c>
      <c r="G27">
        <v>0</v>
      </c>
      <c r="H27" s="4">
        <f t="shared" si="2"/>
        <v>1045.4578918981138</v>
      </c>
      <c r="I27">
        <f t="shared" si="3"/>
        <v>82868.051506976655</v>
      </c>
    </row>
    <row r="28" spans="2:25" x14ac:dyDescent="0.3">
      <c r="B28">
        <v>26</v>
      </c>
      <c r="C28" s="1">
        <v>44593</v>
      </c>
      <c r="D28" s="1" t="str">
        <f t="shared" si="0"/>
        <v>II</v>
      </c>
      <c r="E28">
        <f t="shared" ref="E28:E50" si="4">I27</f>
        <v>82868.051506976655</v>
      </c>
      <c r="F28">
        <v>3000</v>
      </c>
      <c r="G28">
        <v>0</v>
      </c>
      <c r="H28" s="4">
        <f t="shared" si="2"/>
        <v>59.896620433567399</v>
      </c>
      <c r="I28">
        <f t="shared" ref="I28:I50" si="5">SUM(E28:H28)</f>
        <v>85927.948127410229</v>
      </c>
    </row>
    <row r="29" spans="2:25" x14ac:dyDescent="0.3">
      <c r="B29">
        <v>27</v>
      </c>
      <c r="C29" s="1">
        <v>44621</v>
      </c>
      <c r="D29" s="1" t="str">
        <f t="shared" si="0"/>
        <v>III</v>
      </c>
      <c r="E29">
        <f t="shared" si="4"/>
        <v>85927.948127410229</v>
      </c>
      <c r="F29">
        <v>3000</v>
      </c>
      <c r="G29">
        <v>0</v>
      </c>
      <c r="H29" s="4">
        <f t="shared" si="2"/>
        <v>780.0874883806099</v>
      </c>
      <c r="I29">
        <f t="shared" si="5"/>
        <v>89708.035615790839</v>
      </c>
    </row>
    <row r="30" spans="2:25" x14ac:dyDescent="0.3">
      <c r="B30">
        <v>28</v>
      </c>
      <c r="C30" s="1">
        <v>44652</v>
      </c>
      <c r="D30" s="1" t="str">
        <f t="shared" si="0"/>
        <v>IV</v>
      </c>
      <c r="E30">
        <f t="shared" si="4"/>
        <v>89708.035615790839</v>
      </c>
      <c r="F30">
        <v>3000</v>
      </c>
      <c r="G30">
        <v>0</v>
      </c>
      <c r="H30" s="4">
        <f t="shared" si="2"/>
        <v>1596.4495411530186</v>
      </c>
      <c r="I30">
        <f t="shared" si="5"/>
        <v>94304.485156943862</v>
      </c>
    </row>
    <row r="31" spans="2:25" x14ac:dyDescent="0.3">
      <c r="B31">
        <v>29</v>
      </c>
      <c r="C31" s="1">
        <v>44682</v>
      </c>
      <c r="D31" s="1" t="str">
        <f t="shared" si="0"/>
        <v>V</v>
      </c>
      <c r="E31">
        <f t="shared" si="4"/>
        <v>94304.485156943862</v>
      </c>
      <c r="F31">
        <v>3000</v>
      </c>
      <c r="G31">
        <v>0</v>
      </c>
      <c r="H31" s="4">
        <f t="shared" si="2"/>
        <v>554.96583842536529</v>
      </c>
      <c r="I31">
        <f t="shared" si="5"/>
        <v>97859.450995369232</v>
      </c>
    </row>
    <row r="32" spans="2:25" x14ac:dyDescent="0.3">
      <c r="B32">
        <v>30</v>
      </c>
      <c r="C32" s="1">
        <v>44713</v>
      </c>
      <c r="D32" s="1" t="str">
        <f t="shared" si="0"/>
        <v>VI</v>
      </c>
      <c r="E32">
        <f t="shared" si="4"/>
        <v>97859.450995369232</v>
      </c>
      <c r="F32">
        <v>3000</v>
      </c>
      <c r="G32">
        <v>0</v>
      </c>
      <c r="H32" s="4">
        <f t="shared" si="2"/>
        <v>435.70840741382744</v>
      </c>
      <c r="I32">
        <f t="shared" si="5"/>
        <v>101295.15940278306</v>
      </c>
    </row>
    <row r="33" spans="2:9" x14ac:dyDescent="0.3">
      <c r="B33">
        <v>31</v>
      </c>
      <c r="C33" s="1">
        <v>44743</v>
      </c>
      <c r="D33" s="1" t="str">
        <f t="shared" si="0"/>
        <v>VII</v>
      </c>
      <c r="E33">
        <f t="shared" si="4"/>
        <v>101295.15940278306</v>
      </c>
      <c r="F33">
        <v>3000</v>
      </c>
      <c r="G33">
        <v>0</v>
      </c>
      <c r="H33" s="4">
        <f t="shared" si="2"/>
        <v>630.90981947928799</v>
      </c>
      <c r="I33">
        <f t="shared" si="5"/>
        <v>104926.06922226235</v>
      </c>
    </row>
    <row r="34" spans="2:9" x14ac:dyDescent="0.3">
      <c r="B34">
        <v>32</v>
      </c>
      <c r="C34" s="1">
        <v>44774</v>
      </c>
      <c r="D34" s="1" t="str">
        <f t="shared" si="0"/>
        <v>VIII</v>
      </c>
      <c r="E34">
        <f t="shared" si="4"/>
        <v>104926.06922226235</v>
      </c>
      <c r="F34">
        <v>3000</v>
      </c>
      <c r="G34">
        <v>0</v>
      </c>
      <c r="H34" s="4">
        <f t="shared" si="2"/>
        <v>25.234214101575262</v>
      </c>
      <c r="I34">
        <f t="shared" si="5"/>
        <v>107951.30343636392</v>
      </c>
    </row>
    <row r="35" spans="2:9" x14ac:dyDescent="0.3">
      <c r="B35">
        <v>33</v>
      </c>
      <c r="C35" s="1">
        <v>44805</v>
      </c>
      <c r="D35" s="1" t="str">
        <f t="shared" si="0"/>
        <v>IX</v>
      </c>
      <c r="E35">
        <f t="shared" si="4"/>
        <v>107951.30343636392</v>
      </c>
      <c r="F35">
        <v>3000</v>
      </c>
      <c r="G35">
        <v>0</v>
      </c>
      <c r="H35" s="4">
        <f t="shared" si="2"/>
        <v>-641.79435684983241</v>
      </c>
      <c r="I35">
        <f t="shared" si="5"/>
        <v>110309.50907951409</v>
      </c>
    </row>
    <row r="36" spans="2:9" x14ac:dyDescent="0.3">
      <c r="B36">
        <v>34</v>
      </c>
      <c r="C36" s="1">
        <v>44835</v>
      </c>
      <c r="D36" s="1" t="str">
        <f t="shared" si="0"/>
        <v>X</v>
      </c>
      <c r="E36">
        <f t="shared" si="4"/>
        <v>110309.50907951409</v>
      </c>
      <c r="F36">
        <v>3000</v>
      </c>
      <c r="G36">
        <v>0</v>
      </c>
      <c r="H36" s="4">
        <f t="shared" si="2"/>
        <v>923.94426771199585</v>
      </c>
      <c r="I36">
        <f t="shared" si="5"/>
        <v>114233.45334722608</v>
      </c>
    </row>
    <row r="37" spans="2:9" x14ac:dyDescent="0.3">
      <c r="B37">
        <v>35</v>
      </c>
      <c r="C37" s="1">
        <v>44866</v>
      </c>
      <c r="D37" s="1" t="str">
        <f t="shared" si="0"/>
        <v>XI</v>
      </c>
      <c r="E37">
        <f t="shared" si="4"/>
        <v>114233.45334722608</v>
      </c>
      <c r="F37">
        <v>3000</v>
      </c>
      <c r="G37">
        <v>0</v>
      </c>
      <c r="H37" s="4">
        <f t="shared" si="2"/>
        <v>1547.998058073654</v>
      </c>
      <c r="I37">
        <f t="shared" si="5"/>
        <v>118781.45140529974</v>
      </c>
    </row>
    <row r="38" spans="2:9" x14ac:dyDescent="0.3">
      <c r="B38">
        <v>36</v>
      </c>
      <c r="C38" s="1">
        <v>44896</v>
      </c>
      <c r="D38" s="1" t="str">
        <f t="shared" si="0"/>
        <v>XII</v>
      </c>
      <c r="E38">
        <f t="shared" si="4"/>
        <v>118781.45140529974</v>
      </c>
      <c r="F38">
        <v>3000</v>
      </c>
      <c r="G38">
        <v>0</v>
      </c>
      <c r="H38" s="4">
        <f t="shared" si="2"/>
        <v>1820.1340054615002</v>
      </c>
      <c r="I38">
        <f t="shared" si="5"/>
        <v>123601.58541076124</v>
      </c>
    </row>
    <row r="39" spans="2:9" x14ac:dyDescent="0.3">
      <c r="B39">
        <v>37</v>
      </c>
      <c r="C39" s="1">
        <v>44927</v>
      </c>
      <c r="D39" s="1" t="str">
        <f t="shared" si="0"/>
        <v>I</v>
      </c>
      <c r="E39">
        <f t="shared" si="4"/>
        <v>123601.58541076124</v>
      </c>
      <c r="F39">
        <v>3000</v>
      </c>
      <c r="G39">
        <v>0</v>
      </c>
      <c r="H39" s="4">
        <f t="shared" si="2"/>
        <v>1617.6048783926879</v>
      </c>
      <c r="I39">
        <f t="shared" si="5"/>
        <v>128219.19028915392</v>
      </c>
    </row>
    <row r="40" spans="2:9" x14ac:dyDescent="0.3">
      <c r="B40">
        <v>38</v>
      </c>
      <c r="C40" s="1">
        <v>44958</v>
      </c>
      <c r="D40" s="1" t="str">
        <f t="shared" si="0"/>
        <v>II</v>
      </c>
      <c r="E40">
        <f t="shared" si="4"/>
        <v>128219.19028915392</v>
      </c>
      <c r="F40">
        <v>3000</v>
      </c>
      <c r="G40">
        <v>0</v>
      </c>
      <c r="H40" s="4">
        <f t="shared" si="2"/>
        <v>91.530969859155661</v>
      </c>
      <c r="I40">
        <f t="shared" si="5"/>
        <v>131310.72125901308</v>
      </c>
    </row>
    <row r="41" spans="2:9" x14ac:dyDescent="0.3">
      <c r="B41">
        <v>39</v>
      </c>
      <c r="C41" s="1">
        <v>44986</v>
      </c>
      <c r="D41" s="1" t="str">
        <f t="shared" si="0"/>
        <v>III</v>
      </c>
      <c r="E41">
        <f t="shared" si="4"/>
        <v>131310.72125901308</v>
      </c>
      <c r="F41">
        <v>3000</v>
      </c>
      <c r="G41">
        <v>0</v>
      </c>
      <c r="H41" s="4">
        <f t="shared" si="2"/>
        <v>1178.1910570951002</v>
      </c>
      <c r="I41">
        <f t="shared" si="5"/>
        <v>135488.91231610818</v>
      </c>
    </row>
    <row r="42" spans="2:9" x14ac:dyDescent="0.3">
      <c r="B42">
        <v>40</v>
      </c>
      <c r="C42" s="1">
        <v>45017</v>
      </c>
      <c r="D42" s="1" t="str">
        <f t="shared" si="0"/>
        <v>IV</v>
      </c>
      <c r="E42">
        <f t="shared" si="4"/>
        <v>135488.91231610818</v>
      </c>
      <c r="F42">
        <v>3000</v>
      </c>
      <c r="G42">
        <v>0</v>
      </c>
      <c r="H42" s="4">
        <f t="shared" si="2"/>
        <v>2384.8047157216806</v>
      </c>
      <c r="I42">
        <f t="shared" si="5"/>
        <v>140873.71703182987</v>
      </c>
    </row>
    <row r="43" spans="2:9" x14ac:dyDescent="0.3">
      <c r="B43">
        <v>41</v>
      </c>
      <c r="C43" s="1">
        <v>45047</v>
      </c>
      <c r="D43" s="1" t="str">
        <f t="shared" si="0"/>
        <v>V</v>
      </c>
      <c r="E43">
        <f t="shared" si="4"/>
        <v>140873.71703182987</v>
      </c>
      <c r="F43">
        <v>3000</v>
      </c>
      <c r="G43">
        <v>0</v>
      </c>
      <c r="H43" s="4">
        <f t="shared" si="2"/>
        <v>820.56852642671129</v>
      </c>
      <c r="I43">
        <f t="shared" si="5"/>
        <v>144694.28555825658</v>
      </c>
    </row>
    <row r="44" spans="2:9" x14ac:dyDescent="0.3">
      <c r="B44">
        <v>42</v>
      </c>
      <c r="C44" s="1">
        <v>45078</v>
      </c>
      <c r="D44" s="1" t="str">
        <f t="shared" si="0"/>
        <v>VI</v>
      </c>
      <c r="E44">
        <f t="shared" si="4"/>
        <v>144694.28555825658</v>
      </c>
      <c r="F44">
        <v>3000</v>
      </c>
      <c r="G44">
        <v>0</v>
      </c>
      <c r="H44" s="4">
        <f t="shared" si="2"/>
        <v>638.0328398542008</v>
      </c>
      <c r="I44">
        <f t="shared" si="5"/>
        <v>148332.31839811077</v>
      </c>
    </row>
    <row r="45" spans="2:9" x14ac:dyDescent="0.3">
      <c r="B45">
        <v>43</v>
      </c>
      <c r="C45" s="1">
        <v>45108</v>
      </c>
      <c r="D45" s="1" t="str">
        <f t="shared" si="0"/>
        <v>VII</v>
      </c>
      <c r="E45">
        <f t="shared" si="4"/>
        <v>148332.31839811077</v>
      </c>
      <c r="F45">
        <v>3000</v>
      </c>
      <c r="G45">
        <v>0</v>
      </c>
      <c r="H45" s="4">
        <f t="shared" si="2"/>
        <v>915.45040276707653</v>
      </c>
      <c r="I45">
        <f t="shared" si="5"/>
        <v>152247.76880087785</v>
      </c>
    </row>
    <row r="46" spans="2:9" x14ac:dyDescent="0.3">
      <c r="B46">
        <v>44</v>
      </c>
      <c r="C46" s="1">
        <v>45139</v>
      </c>
      <c r="D46" s="1" t="str">
        <f t="shared" si="0"/>
        <v>VIII</v>
      </c>
      <c r="E46">
        <f t="shared" si="4"/>
        <v>152247.76880087785</v>
      </c>
      <c r="F46">
        <v>3000</v>
      </c>
      <c r="G46">
        <v>0</v>
      </c>
      <c r="H46" s="4">
        <f t="shared" si="2"/>
        <v>36.298509386508051</v>
      </c>
      <c r="I46">
        <f t="shared" si="5"/>
        <v>155284.06731026436</v>
      </c>
    </row>
    <row r="47" spans="2:9" x14ac:dyDescent="0.3">
      <c r="B47">
        <v>45</v>
      </c>
      <c r="C47" s="1">
        <v>45170</v>
      </c>
      <c r="D47" s="1" t="str">
        <f t="shared" si="0"/>
        <v>IX</v>
      </c>
      <c r="E47">
        <f t="shared" si="4"/>
        <v>155284.06731026436</v>
      </c>
      <c r="F47">
        <v>3000</v>
      </c>
      <c r="G47">
        <v>0</v>
      </c>
      <c r="H47" s="4">
        <f t="shared" si="2"/>
        <v>-915.58925431850571</v>
      </c>
      <c r="I47">
        <f t="shared" si="5"/>
        <v>157368.47805594586</v>
      </c>
    </row>
    <row r="48" spans="2:9" x14ac:dyDescent="0.3">
      <c r="B48">
        <v>46</v>
      </c>
      <c r="C48" s="1">
        <v>45200</v>
      </c>
      <c r="D48" s="1" t="str">
        <f t="shared" si="0"/>
        <v>X</v>
      </c>
      <c r="E48">
        <f t="shared" si="4"/>
        <v>157368.47805594586</v>
      </c>
      <c r="F48">
        <v>3000</v>
      </c>
      <c r="G48">
        <v>0</v>
      </c>
      <c r="H48" s="4">
        <f t="shared" si="2"/>
        <v>1307.6707967864368</v>
      </c>
      <c r="I48">
        <f t="shared" si="5"/>
        <v>161676.14885273229</v>
      </c>
    </row>
    <row r="49" spans="2:9" x14ac:dyDescent="0.3">
      <c r="B49">
        <v>47</v>
      </c>
      <c r="C49" s="1">
        <v>45231</v>
      </c>
      <c r="D49" s="1" t="str">
        <f t="shared" si="0"/>
        <v>XI</v>
      </c>
      <c r="E49">
        <f t="shared" si="4"/>
        <v>161676.14885273229</v>
      </c>
      <c r="F49">
        <v>3000</v>
      </c>
      <c r="G49">
        <v>0</v>
      </c>
      <c r="H49" s="4">
        <f t="shared" si="2"/>
        <v>2174.4506483149617</v>
      </c>
      <c r="I49">
        <f t="shared" si="5"/>
        <v>166850.59950104725</v>
      </c>
    </row>
    <row r="50" spans="2:9" x14ac:dyDescent="0.3">
      <c r="B50">
        <v>48</v>
      </c>
      <c r="C50" s="1">
        <v>45261</v>
      </c>
      <c r="D50" s="1" t="str">
        <f t="shared" si="0"/>
        <v>XII</v>
      </c>
      <c r="E50">
        <f t="shared" si="4"/>
        <v>166850.59950104725</v>
      </c>
      <c r="F50">
        <v>3000</v>
      </c>
      <c r="G50">
        <v>0</v>
      </c>
      <c r="H50" s="4">
        <f t="shared" si="2"/>
        <v>2538.5709271192381</v>
      </c>
      <c r="I50">
        <f t="shared" si="5"/>
        <v>172389.17042816649</v>
      </c>
    </row>
    <row r="51" spans="2:9" x14ac:dyDescent="0.3">
      <c r="B51">
        <v>49</v>
      </c>
      <c r="C51" s="1">
        <v>45292</v>
      </c>
      <c r="D51" s="1" t="str">
        <f t="shared" si="0"/>
        <v>I</v>
      </c>
      <c r="E51">
        <f t="shared" ref="E51:E114" si="6">I50</f>
        <v>172389.17042816649</v>
      </c>
      <c r="F51">
        <v>3000</v>
      </c>
      <c r="G51">
        <v>0</v>
      </c>
      <c r="H51" s="4">
        <f t="shared" si="2"/>
        <v>2240.9701804392494</v>
      </c>
      <c r="I51">
        <f t="shared" ref="I51:I114" si="7">SUM(E51:H51)</f>
        <v>177630.14060860572</v>
      </c>
    </row>
    <row r="52" spans="2:9" x14ac:dyDescent="0.3">
      <c r="B52">
        <v>50</v>
      </c>
      <c r="C52" s="1">
        <v>45323</v>
      </c>
      <c r="D52" s="1" t="str">
        <f t="shared" si="0"/>
        <v>II</v>
      </c>
      <c r="E52">
        <f t="shared" si="6"/>
        <v>177630.14060860572</v>
      </c>
      <c r="F52">
        <v>3000</v>
      </c>
      <c r="G52">
        <v>0</v>
      </c>
      <c r="H52" s="4">
        <f t="shared" si="2"/>
        <v>125.99721061583105</v>
      </c>
      <c r="I52">
        <f t="shared" si="7"/>
        <v>180756.13781922156</v>
      </c>
    </row>
    <row r="53" spans="2:9" x14ac:dyDescent="0.3">
      <c r="B53">
        <v>51</v>
      </c>
      <c r="C53" s="1">
        <v>45352</v>
      </c>
      <c r="D53" s="1" t="str">
        <f t="shared" si="0"/>
        <v>III</v>
      </c>
      <c r="E53">
        <f t="shared" si="6"/>
        <v>180756.13781922156</v>
      </c>
      <c r="F53">
        <v>3000</v>
      </c>
      <c r="G53">
        <v>0</v>
      </c>
      <c r="H53" s="4">
        <f t="shared" si="2"/>
        <v>1611.932660591033</v>
      </c>
      <c r="I53">
        <f t="shared" si="7"/>
        <v>185368.0704798126</v>
      </c>
    </row>
    <row r="54" spans="2:9" x14ac:dyDescent="0.3">
      <c r="B54">
        <v>52</v>
      </c>
      <c r="C54" s="1">
        <v>45383</v>
      </c>
      <c r="D54" s="1" t="str">
        <f t="shared" si="0"/>
        <v>IV</v>
      </c>
      <c r="E54">
        <f t="shared" si="6"/>
        <v>185368.0704798126</v>
      </c>
      <c r="F54">
        <v>3000</v>
      </c>
      <c r="G54">
        <v>0</v>
      </c>
      <c r="H54" s="4">
        <f t="shared" si="2"/>
        <v>3243.7330560173687</v>
      </c>
      <c r="I54">
        <f t="shared" si="7"/>
        <v>191611.80353582997</v>
      </c>
    </row>
    <row r="55" spans="2:9" x14ac:dyDescent="0.3">
      <c r="B55">
        <v>53</v>
      </c>
      <c r="C55" s="1">
        <v>45413</v>
      </c>
      <c r="D55" s="1" t="str">
        <f t="shared" si="0"/>
        <v>V</v>
      </c>
      <c r="E55">
        <f t="shared" si="6"/>
        <v>191611.80353582997</v>
      </c>
      <c r="F55">
        <v>3000</v>
      </c>
      <c r="G55">
        <v>0</v>
      </c>
      <c r="H55" s="4">
        <f t="shared" si="2"/>
        <v>1109.9478358323859</v>
      </c>
      <c r="I55">
        <f t="shared" si="7"/>
        <v>195721.75137166237</v>
      </c>
    </row>
    <row r="56" spans="2:9" x14ac:dyDescent="0.3">
      <c r="B56">
        <v>54</v>
      </c>
      <c r="C56" s="1">
        <v>45444</v>
      </c>
      <c r="D56" s="1" t="str">
        <f t="shared" si="0"/>
        <v>VI</v>
      </c>
      <c r="E56">
        <f t="shared" si="6"/>
        <v>195721.75137166237</v>
      </c>
      <c r="F56">
        <v>3000</v>
      </c>
      <c r="G56">
        <v>0</v>
      </c>
      <c r="H56" s="4">
        <f t="shared" si="2"/>
        <v>858.46925552478922</v>
      </c>
      <c r="I56">
        <f t="shared" si="7"/>
        <v>199580.22062718714</v>
      </c>
    </row>
    <row r="57" spans="2:9" x14ac:dyDescent="0.3">
      <c r="B57">
        <v>55</v>
      </c>
      <c r="C57" s="1">
        <v>45474</v>
      </c>
      <c r="D57" s="1" t="str">
        <f t="shared" si="0"/>
        <v>VII</v>
      </c>
      <c r="E57">
        <f t="shared" si="6"/>
        <v>199580.22062718714</v>
      </c>
      <c r="F57">
        <v>3000</v>
      </c>
      <c r="G57">
        <v>0</v>
      </c>
      <c r="H57" s="4">
        <f t="shared" si="2"/>
        <v>1225.4629184886451</v>
      </c>
      <c r="I57">
        <f t="shared" si="7"/>
        <v>203805.6835456758</v>
      </c>
    </row>
    <row r="58" spans="2:9" x14ac:dyDescent="0.3">
      <c r="B58">
        <v>56</v>
      </c>
      <c r="C58" s="1">
        <v>45505</v>
      </c>
      <c r="D58" s="1" t="str">
        <f t="shared" si="0"/>
        <v>VIII</v>
      </c>
      <c r="E58">
        <f t="shared" si="6"/>
        <v>203805.6835456758</v>
      </c>
      <c r="F58">
        <v>3000</v>
      </c>
      <c r="G58">
        <v>0</v>
      </c>
      <c r="H58" s="4">
        <f t="shared" si="2"/>
        <v>48.35327491884366</v>
      </c>
      <c r="I58">
        <f t="shared" si="7"/>
        <v>206854.03682059463</v>
      </c>
    </row>
    <row r="59" spans="2:9" x14ac:dyDescent="0.3">
      <c r="B59">
        <v>57</v>
      </c>
      <c r="C59" s="1">
        <v>45536</v>
      </c>
      <c r="D59" s="1" t="str">
        <f t="shared" si="0"/>
        <v>IX</v>
      </c>
      <c r="E59">
        <f t="shared" si="6"/>
        <v>206854.03682059463</v>
      </c>
      <c r="F59">
        <v>3000</v>
      </c>
      <c r="G59">
        <v>0</v>
      </c>
      <c r="H59" s="4">
        <f t="shared" si="2"/>
        <v>-1213.8941357355216</v>
      </c>
      <c r="I59">
        <f t="shared" si="7"/>
        <v>208640.14268485911</v>
      </c>
    </row>
    <row r="60" spans="2:9" x14ac:dyDescent="0.3">
      <c r="B60">
        <v>58</v>
      </c>
      <c r="C60" s="1">
        <v>45566</v>
      </c>
      <c r="D60" s="1" t="str">
        <f t="shared" si="0"/>
        <v>X</v>
      </c>
      <c r="E60">
        <f t="shared" si="6"/>
        <v>208640.14268485911</v>
      </c>
      <c r="F60">
        <v>3000</v>
      </c>
      <c r="G60">
        <v>0</v>
      </c>
      <c r="H60" s="4">
        <f t="shared" si="2"/>
        <v>1725.7483351569654</v>
      </c>
      <c r="I60">
        <f t="shared" si="7"/>
        <v>213365.89102001608</v>
      </c>
    </row>
    <row r="61" spans="2:9" x14ac:dyDescent="0.3">
      <c r="B61">
        <v>59</v>
      </c>
      <c r="C61" s="1">
        <v>45597</v>
      </c>
      <c r="D61" s="1" t="str">
        <f t="shared" si="0"/>
        <v>XI</v>
      </c>
      <c r="E61">
        <f t="shared" si="6"/>
        <v>213365.89102001608</v>
      </c>
      <c r="F61">
        <v>3000</v>
      </c>
      <c r="G61">
        <v>0</v>
      </c>
      <c r="H61" s="4">
        <f t="shared" si="2"/>
        <v>2856.9829649250519</v>
      </c>
      <c r="I61">
        <f t="shared" si="7"/>
        <v>219222.87398494114</v>
      </c>
    </row>
    <row r="62" spans="2:9" x14ac:dyDescent="0.3">
      <c r="B62">
        <v>60</v>
      </c>
      <c r="C62" s="1">
        <v>45627</v>
      </c>
      <c r="D62" s="1" t="str">
        <f t="shared" si="0"/>
        <v>XII</v>
      </c>
      <c r="E62">
        <f t="shared" si="6"/>
        <v>219222.87398494114</v>
      </c>
      <c r="F62">
        <v>3000</v>
      </c>
      <c r="G62">
        <v>0</v>
      </c>
      <c r="H62" s="4">
        <f t="shared" si="2"/>
        <v>3321.3219670477256</v>
      </c>
      <c r="I62">
        <f t="shared" si="7"/>
        <v>225544.19595198886</v>
      </c>
    </row>
    <row r="63" spans="2:9" x14ac:dyDescent="0.3">
      <c r="B63">
        <v>61</v>
      </c>
      <c r="C63" s="1">
        <v>45658</v>
      </c>
      <c r="D63" s="1" t="str">
        <f t="shared" si="0"/>
        <v>I</v>
      </c>
      <c r="E63">
        <f t="shared" si="6"/>
        <v>225544.19595198886</v>
      </c>
      <c r="F63">
        <v>3000</v>
      </c>
      <c r="G63">
        <v>0</v>
      </c>
      <c r="H63" s="4">
        <f t="shared" si="2"/>
        <v>2920.1388363407273</v>
      </c>
      <c r="I63">
        <f t="shared" si="7"/>
        <v>231464.33478832958</v>
      </c>
    </row>
    <row r="64" spans="2:9" x14ac:dyDescent="0.3">
      <c r="B64">
        <v>62</v>
      </c>
      <c r="C64" s="1">
        <v>45689</v>
      </c>
      <c r="D64" s="1" t="str">
        <f t="shared" si="0"/>
        <v>II</v>
      </c>
      <c r="E64">
        <f t="shared" si="6"/>
        <v>231464.33478832958</v>
      </c>
      <c r="F64">
        <v>3000</v>
      </c>
      <c r="G64">
        <v>0</v>
      </c>
      <c r="H64" s="4">
        <f t="shared" si="2"/>
        <v>163.54885221640816</v>
      </c>
      <c r="I64">
        <f t="shared" si="7"/>
        <v>234627.88364054597</v>
      </c>
    </row>
    <row r="65" spans="2:9" x14ac:dyDescent="0.3">
      <c r="B65">
        <v>63</v>
      </c>
      <c r="C65" s="1">
        <v>45717</v>
      </c>
      <c r="D65" s="1" t="str">
        <f t="shared" si="0"/>
        <v>III</v>
      </c>
      <c r="E65">
        <f t="shared" si="6"/>
        <v>234627.88364054597</v>
      </c>
      <c r="F65">
        <v>3000</v>
      </c>
      <c r="G65">
        <v>0</v>
      </c>
      <c r="H65" s="4">
        <f t="shared" si="2"/>
        <v>2084.5025981344625</v>
      </c>
      <c r="I65">
        <f t="shared" si="7"/>
        <v>239712.38623868042</v>
      </c>
    </row>
    <row r="66" spans="2:9" x14ac:dyDescent="0.3">
      <c r="B66">
        <v>64</v>
      </c>
      <c r="C66" s="1">
        <v>45748</v>
      </c>
      <c r="D66" s="1" t="str">
        <f t="shared" si="0"/>
        <v>IV</v>
      </c>
      <c r="E66">
        <f t="shared" si="6"/>
        <v>239712.38623868042</v>
      </c>
      <c r="F66">
        <v>3000</v>
      </c>
      <c r="G66">
        <v>0</v>
      </c>
      <c r="H66" s="4">
        <f t="shared" si="2"/>
        <v>4179.5522369680857</v>
      </c>
      <c r="I66">
        <f t="shared" si="7"/>
        <v>246891.93847564852</v>
      </c>
    </row>
    <row r="67" spans="2:9" x14ac:dyDescent="0.3">
      <c r="B67">
        <v>65</v>
      </c>
      <c r="C67" s="1">
        <v>45778</v>
      </c>
      <c r="D67" s="1" t="str">
        <f t="shared" si="0"/>
        <v>V</v>
      </c>
      <c r="E67">
        <f t="shared" si="6"/>
        <v>246891.93847564852</v>
      </c>
      <c r="F67">
        <v>3000</v>
      </c>
      <c r="G67">
        <v>0</v>
      </c>
      <c r="H67" s="4">
        <f t="shared" si="2"/>
        <v>1425.2322380432581</v>
      </c>
      <c r="I67">
        <f t="shared" si="7"/>
        <v>251317.17071369177</v>
      </c>
    </row>
    <row r="68" spans="2:9" x14ac:dyDescent="0.3">
      <c r="B68">
        <v>66</v>
      </c>
      <c r="C68" s="1">
        <v>45809</v>
      </c>
      <c r="D68" s="1" t="str">
        <f t="shared" ref="D68:D131" si="8">TEXT(C68,"mmm")</f>
        <v>VI</v>
      </c>
      <c r="E68">
        <f t="shared" si="6"/>
        <v>251317.17071369177</v>
      </c>
      <c r="F68">
        <v>3000</v>
      </c>
      <c r="G68">
        <v>0</v>
      </c>
      <c r="H68" s="4">
        <f t="shared" si="2"/>
        <v>1098.6390302158263</v>
      </c>
      <c r="I68">
        <f t="shared" si="7"/>
        <v>255415.80974390759</v>
      </c>
    </row>
    <row r="69" spans="2:9" x14ac:dyDescent="0.3">
      <c r="B69">
        <v>67</v>
      </c>
      <c r="C69" s="1">
        <v>45839</v>
      </c>
      <c r="D69" s="1" t="str">
        <f t="shared" si="8"/>
        <v>VII</v>
      </c>
      <c r="E69">
        <f t="shared" si="6"/>
        <v>255415.80974390759</v>
      </c>
      <c r="F69">
        <v>3000</v>
      </c>
      <c r="G69">
        <v>0</v>
      </c>
      <c r="H69" s="4">
        <f t="shared" ref="H69:H132" si="9">SUM(E69:G69)*VLOOKUP(D69,$U$4:$V$15,2,FALSE)</f>
        <v>1563.2276014506213</v>
      </c>
      <c r="I69">
        <f t="shared" si="7"/>
        <v>259979.03734535823</v>
      </c>
    </row>
    <row r="70" spans="2:9" x14ac:dyDescent="0.3">
      <c r="B70">
        <v>68</v>
      </c>
      <c r="C70" s="1">
        <v>45870</v>
      </c>
      <c r="D70" s="1" t="str">
        <f t="shared" si="8"/>
        <v>VIII</v>
      </c>
      <c r="E70">
        <f t="shared" si="6"/>
        <v>259979.03734535823</v>
      </c>
      <c r="F70">
        <v>3000</v>
      </c>
      <c r="G70">
        <v>0</v>
      </c>
      <c r="H70" s="4">
        <f t="shared" si="9"/>
        <v>61.487177105770812</v>
      </c>
      <c r="I70">
        <f t="shared" si="7"/>
        <v>263040.52452246402</v>
      </c>
    </row>
    <row r="71" spans="2:9" x14ac:dyDescent="0.3">
      <c r="B71">
        <v>69</v>
      </c>
      <c r="C71" s="1">
        <v>45901</v>
      </c>
      <c r="D71" s="1" t="str">
        <f t="shared" si="8"/>
        <v>IX</v>
      </c>
      <c r="E71">
        <f t="shared" si="6"/>
        <v>263040.52452246402</v>
      </c>
      <c r="F71">
        <v>3000</v>
      </c>
      <c r="G71">
        <v>0</v>
      </c>
      <c r="H71" s="4">
        <f t="shared" si="9"/>
        <v>-1538.9031227543589</v>
      </c>
      <c r="I71">
        <f t="shared" si="7"/>
        <v>264501.62139970966</v>
      </c>
    </row>
    <row r="72" spans="2:9" x14ac:dyDescent="0.3">
      <c r="B72">
        <v>70</v>
      </c>
      <c r="C72" s="1">
        <v>45931</v>
      </c>
      <c r="D72" s="1" t="str">
        <f t="shared" si="8"/>
        <v>X</v>
      </c>
      <c r="E72">
        <f t="shared" si="6"/>
        <v>264501.62139970966</v>
      </c>
      <c r="F72">
        <v>3000</v>
      </c>
      <c r="G72">
        <v>0</v>
      </c>
      <c r="H72" s="4">
        <f t="shared" si="9"/>
        <v>2181.2519682040638</v>
      </c>
      <c r="I72">
        <f t="shared" si="7"/>
        <v>269682.87336791371</v>
      </c>
    </row>
    <row r="73" spans="2:9" x14ac:dyDescent="0.3">
      <c r="B73">
        <v>71</v>
      </c>
      <c r="C73" s="1">
        <v>45962</v>
      </c>
      <c r="D73" s="1" t="str">
        <f t="shared" si="8"/>
        <v>XI</v>
      </c>
      <c r="E73">
        <f t="shared" si="6"/>
        <v>269682.87336791371</v>
      </c>
      <c r="F73">
        <v>3000</v>
      </c>
      <c r="G73">
        <v>0</v>
      </c>
      <c r="H73" s="4">
        <f t="shared" si="9"/>
        <v>3600.6152373013101</v>
      </c>
      <c r="I73">
        <f t="shared" si="7"/>
        <v>276283.48860521504</v>
      </c>
    </row>
    <row r="74" spans="2:9" x14ac:dyDescent="0.3">
      <c r="B74">
        <v>72</v>
      </c>
      <c r="C74" s="1">
        <v>45992</v>
      </c>
      <c r="D74" s="1" t="str">
        <f t="shared" si="8"/>
        <v>XII</v>
      </c>
      <c r="E74">
        <f t="shared" si="6"/>
        <v>276283.48860521504</v>
      </c>
      <c r="F74">
        <v>3000</v>
      </c>
      <c r="G74">
        <v>0</v>
      </c>
      <c r="H74" s="4">
        <f t="shared" si="9"/>
        <v>4174.1444933390685</v>
      </c>
      <c r="I74">
        <f t="shared" si="7"/>
        <v>283457.6330985541</v>
      </c>
    </row>
    <row r="75" spans="2:9" x14ac:dyDescent="0.3">
      <c r="B75">
        <v>73</v>
      </c>
      <c r="C75" s="1">
        <v>46023</v>
      </c>
      <c r="D75" s="1" t="str">
        <f t="shared" si="8"/>
        <v>I</v>
      </c>
      <c r="E75">
        <f t="shared" si="6"/>
        <v>283457.6330985541</v>
      </c>
      <c r="F75">
        <v>3000</v>
      </c>
      <c r="G75">
        <v>0</v>
      </c>
      <c r="H75" s="4">
        <f t="shared" si="9"/>
        <v>3660.1063347636127</v>
      </c>
      <c r="I75">
        <f t="shared" si="7"/>
        <v>290117.73943331774</v>
      </c>
    </row>
    <row r="76" spans="2:9" x14ac:dyDescent="0.3">
      <c r="B76">
        <v>74</v>
      </c>
      <c r="C76" s="1">
        <v>46054</v>
      </c>
      <c r="D76" s="1" t="str">
        <f t="shared" si="8"/>
        <v>II</v>
      </c>
      <c r="E76">
        <f t="shared" si="6"/>
        <v>290117.73943331774</v>
      </c>
      <c r="F76">
        <v>3000</v>
      </c>
      <c r="G76">
        <v>0</v>
      </c>
      <c r="H76" s="4">
        <f t="shared" si="9"/>
        <v>204.462098220038</v>
      </c>
      <c r="I76">
        <f t="shared" si="7"/>
        <v>293322.20153153775</v>
      </c>
    </row>
    <row r="77" spans="2:9" x14ac:dyDescent="0.3">
      <c r="B77">
        <v>75</v>
      </c>
      <c r="C77" s="1">
        <v>46082</v>
      </c>
      <c r="D77" s="1" t="str">
        <f t="shared" si="8"/>
        <v>III</v>
      </c>
      <c r="E77">
        <f t="shared" si="6"/>
        <v>293322.20153153775</v>
      </c>
      <c r="F77">
        <v>3000</v>
      </c>
      <c r="G77">
        <v>0</v>
      </c>
      <c r="H77" s="4">
        <f t="shared" si="9"/>
        <v>2599.3767630055177</v>
      </c>
      <c r="I77">
        <f t="shared" si="7"/>
        <v>298921.57829454326</v>
      </c>
    </row>
    <row r="78" spans="2:9" x14ac:dyDescent="0.3">
      <c r="B78">
        <v>76</v>
      </c>
      <c r="C78" s="1">
        <v>46113</v>
      </c>
      <c r="D78" s="1" t="str">
        <f t="shared" si="8"/>
        <v>IV</v>
      </c>
      <c r="E78">
        <f t="shared" si="6"/>
        <v>298921.57829454326</v>
      </c>
      <c r="F78">
        <v>3000</v>
      </c>
      <c r="G78">
        <v>0</v>
      </c>
      <c r="H78" s="4">
        <f t="shared" si="9"/>
        <v>5199.1454886400361</v>
      </c>
      <c r="I78">
        <f t="shared" si="7"/>
        <v>307120.72378318332</v>
      </c>
    </row>
    <row r="79" spans="2:9" x14ac:dyDescent="0.3">
      <c r="B79">
        <v>77</v>
      </c>
      <c r="C79" s="1">
        <v>46143</v>
      </c>
      <c r="D79" s="1" t="str">
        <f t="shared" si="8"/>
        <v>V</v>
      </c>
      <c r="E79">
        <f t="shared" si="6"/>
        <v>307120.72378318332</v>
      </c>
      <c r="F79">
        <v>3000</v>
      </c>
      <c r="G79">
        <v>0</v>
      </c>
      <c r="H79" s="4">
        <f t="shared" si="9"/>
        <v>1768.7407441683952</v>
      </c>
      <c r="I79">
        <f t="shared" si="7"/>
        <v>311889.46452735172</v>
      </c>
    </row>
    <row r="80" spans="2:9" x14ac:dyDescent="0.3">
      <c r="B80">
        <v>78</v>
      </c>
      <c r="C80" s="1">
        <v>46174</v>
      </c>
      <c r="D80" s="1" t="str">
        <f t="shared" si="8"/>
        <v>VI</v>
      </c>
      <c r="E80">
        <f t="shared" si="6"/>
        <v>311889.46452735172</v>
      </c>
      <c r="F80">
        <v>3000</v>
      </c>
      <c r="G80">
        <v>0</v>
      </c>
      <c r="H80" s="4">
        <f t="shared" si="9"/>
        <v>1360.3086844772197</v>
      </c>
      <c r="I80">
        <f t="shared" si="7"/>
        <v>316249.77321182896</v>
      </c>
    </row>
    <row r="81" spans="2:9" x14ac:dyDescent="0.3">
      <c r="B81">
        <v>79</v>
      </c>
      <c r="C81" s="1">
        <v>46204</v>
      </c>
      <c r="D81" s="1" t="str">
        <f t="shared" si="8"/>
        <v>VII</v>
      </c>
      <c r="E81">
        <f t="shared" si="6"/>
        <v>316249.77321182896</v>
      </c>
      <c r="F81">
        <v>3000</v>
      </c>
      <c r="G81">
        <v>0</v>
      </c>
      <c r="H81" s="4">
        <f t="shared" si="9"/>
        <v>1931.2288119529344</v>
      </c>
      <c r="I81">
        <f t="shared" si="7"/>
        <v>321181.00202378188</v>
      </c>
    </row>
    <row r="82" spans="2:9" x14ac:dyDescent="0.3">
      <c r="B82">
        <v>80</v>
      </c>
      <c r="C82" s="1">
        <v>46235</v>
      </c>
      <c r="D82" s="1" t="str">
        <f t="shared" si="8"/>
        <v>VIII</v>
      </c>
      <c r="E82">
        <f t="shared" si="6"/>
        <v>321181.00202378188</v>
      </c>
      <c r="F82">
        <v>3000</v>
      </c>
      <c r="G82">
        <v>0</v>
      </c>
      <c r="H82" s="4">
        <f t="shared" si="9"/>
        <v>75.796819727442639</v>
      </c>
      <c r="I82">
        <f t="shared" si="7"/>
        <v>324256.79884350934</v>
      </c>
    </row>
    <row r="83" spans="2:9" x14ac:dyDescent="0.3">
      <c r="B83">
        <v>81</v>
      </c>
      <c r="C83" s="1">
        <v>46266</v>
      </c>
      <c r="D83" s="1" t="str">
        <f t="shared" si="8"/>
        <v>IX</v>
      </c>
      <c r="E83">
        <f t="shared" si="6"/>
        <v>324256.79884350934</v>
      </c>
      <c r="F83">
        <v>3000</v>
      </c>
      <c r="G83">
        <v>0</v>
      </c>
      <c r="H83" s="4">
        <f t="shared" si="9"/>
        <v>-1893.0067537148727</v>
      </c>
      <c r="I83">
        <f t="shared" si="7"/>
        <v>325363.79208979447</v>
      </c>
    </row>
    <row r="84" spans="2:9" x14ac:dyDescent="0.3">
      <c r="B84">
        <v>82</v>
      </c>
      <c r="C84" s="1">
        <v>46296</v>
      </c>
      <c r="D84" s="1" t="str">
        <f t="shared" si="8"/>
        <v>X</v>
      </c>
      <c r="E84">
        <f t="shared" si="6"/>
        <v>325363.79208979447</v>
      </c>
      <c r="F84">
        <v>3000</v>
      </c>
      <c r="G84">
        <v>0</v>
      </c>
      <c r="H84" s="4">
        <f t="shared" si="9"/>
        <v>2677.5320614321763</v>
      </c>
      <c r="I84">
        <f t="shared" si="7"/>
        <v>331041.32415122667</v>
      </c>
    </row>
    <row r="85" spans="2:9" x14ac:dyDescent="0.3">
      <c r="B85">
        <v>83</v>
      </c>
      <c r="C85" s="1">
        <v>46327</v>
      </c>
      <c r="D85" s="1" t="str">
        <f t="shared" si="8"/>
        <v>XI</v>
      </c>
      <c r="E85">
        <f t="shared" si="6"/>
        <v>331041.32415122667</v>
      </c>
      <c r="F85">
        <v>3000</v>
      </c>
      <c r="G85">
        <v>0</v>
      </c>
      <c r="H85" s="4">
        <f t="shared" si="9"/>
        <v>4410.8171032964465</v>
      </c>
      <c r="I85">
        <f t="shared" si="7"/>
        <v>338452.14125452313</v>
      </c>
    </row>
    <row r="86" spans="2:9" x14ac:dyDescent="0.3">
      <c r="B86">
        <v>84</v>
      </c>
      <c r="C86" s="1">
        <v>46357</v>
      </c>
      <c r="D86" s="1" t="str">
        <f t="shared" si="8"/>
        <v>XII</v>
      </c>
      <c r="E86">
        <f t="shared" si="6"/>
        <v>338452.14125452313</v>
      </c>
      <c r="F86">
        <v>3000</v>
      </c>
      <c r="G86">
        <v>0</v>
      </c>
      <c r="H86" s="4">
        <f t="shared" si="9"/>
        <v>5103.3112708324552</v>
      </c>
      <c r="I86">
        <f t="shared" si="7"/>
        <v>346555.45252535556</v>
      </c>
    </row>
    <row r="87" spans="2:9" x14ac:dyDescent="0.3">
      <c r="B87">
        <v>85</v>
      </c>
      <c r="C87" s="1">
        <v>46388</v>
      </c>
      <c r="D87" s="1" t="str">
        <f t="shared" si="8"/>
        <v>I</v>
      </c>
      <c r="E87">
        <f t="shared" si="6"/>
        <v>346555.45252535556</v>
      </c>
      <c r="F87">
        <v>3000</v>
      </c>
      <c r="G87">
        <v>0</v>
      </c>
      <c r="H87" s="4">
        <f t="shared" si="9"/>
        <v>4466.3153580517137</v>
      </c>
      <c r="I87">
        <f t="shared" si="7"/>
        <v>354021.7678834073</v>
      </c>
    </row>
    <row r="88" spans="2:9" x14ac:dyDescent="0.3">
      <c r="B88">
        <v>86</v>
      </c>
      <c r="C88" s="1">
        <v>46419</v>
      </c>
      <c r="D88" s="1" t="str">
        <f t="shared" si="8"/>
        <v>II</v>
      </c>
      <c r="E88">
        <f t="shared" si="6"/>
        <v>354021.7678834073</v>
      </c>
      <c r="F88">
        <v>3000</v>
      </c>
      <c r="G88">
        <v>0</v>
      </c>
      <c r="H88" s="4">
        <f t="shared" si="9"/>
        <v>249.03787779202372</v>
      </c>
      <c r="I88">
        <f t="shared" si="7"/>
        <v>357270.80576119933</v>
      </c>
    </row>
    <row r="89" spans="2:9" x14ac:dyDescent="0.3">
      <c r="B89">
        <v>87</v>
      </c>
      <c r="C89" s="1">
        <v>46447</v>
      </c>
      <c r="D89" s="1" t="str">
        <f t="shared" si="8"/>
        <v>III</v>
      </c>
      <c r="E89">
        <f t="shared" si="6"/>
        <v>357270.80576119933</v>
      </c>
      <c r="F89">
        <v>3000</v>
      </c>
      <c r="G89">
        <v>0</v>
      </c>
      <c r="H89" s="4">
        <f t="shared" si="9"/>
        <v>3160.3422087334411</v>
      </c>
      <c r="I89">
        <f t="shared" si="7"/>
        <v>363431.14796993276</v>
      </c>
    </row>
    <row r="90" spans="2:9" x14ac:dyDescent="0.3">
      <c r="B90">
        <v>88</v>
      </c>
      <c r="C90" s="1">
        <v>46478</v>
      </c>
      <c r="D90" s="1" t="str">
        <f t="shared" si="8"/>
        <v>IV</v>
      </c>
      <c r="E90">
        <f t="shared" si="6"/>
        <v>363431.14796993276</v>
      </c>
      <c r="F90">
        <v>3000</v>
      </c>
      <c r="G90">
        <v>0</v>
      </c>
      <c r="H90" s="4">
        <f t="shared" si="9"/>
        <v>6310.0122244541726</v>
      </c>
      <c r="I90">
        <f t="shared" si="7"/>
        <v>372741.16019438696</v>
      </c>
    </row>
    <row r="91" spans="2:9" x14ac:dyDescent="0.3">
      <c r="B91">
        <v>89</v>
      </c>
      <c r="C91" s="1">
        <v>46508</v>
      </c>
      <c r="D91" s="1" t="str">
        <f t="shared" si="8"/>
        <v>V</v>
      </c>
      <c r="E91">
        <f t="shared" si="6"/>
        <v>372741.16019438696</v>
      </c>
      <c r="F91">
        <v>3000</v>
      </c>
      <c r="G91">
        <v>0</v>
      </c>
      <c r="H91" s="4">
        <f t="shared" si="9"/>
        <v>2142.999962045601</v>
      </c>
      <c r="I91">
        <f t="shared" si="7"/>
        <v>377884.16015643254</v>
      </c>
    </row>
    <row r="92" spans="2:9" x14ac:dyDescent="0.3">
      <c r="B92">
        <v>90</v>
      </c>
      <c r="C92" s="1">
        <v>46539</v>
      </c>
      <c r="D92" s="1" t="str">
        <f t="shared" si="8"/>
        <v>VI</v>
      </c>
      <c r="E92">
        <f t="shared" si="6"/>
        <v>377884.16015643254</v>
      </c>
      <c r="F92">
        <v>3000</v>
      </c>
      <c r="G92">
        <v>0</v>
      </c>
      <c r="H92" s="4">
        <f t="shared" si="9"/>
        <v>1645.4028769057238</v>
      </c>
      <c r="I92">
        <f t="shared" si="7"/>
        <v>382529.56303333829</v>
      </c>
    </row>
    <row r="93" spans="2:9" x14ac:dyDescent="0.3">
      <c r="B93">
        <v>91</v>
      </c>
      <c r="C93" s="1">
        <v>46569</v>
      </c>
      <c r="D93" s="1" t="str">
        <f t="shared" si="8"/>
        <v>VII</v>
      </c>
      <c r="E93">
        <f t="shared" si="6"/>
        <v>382529.56303333829</v>
      </c>
      <c r="F93">
        <v>3000</v>
      </c>
      <c r="G93">
        <v>0</v>
      </c>
      <c r="H93" s="4">
        <f t="shared" si="9"/>
        <v>2332.1733090021212</v>
      </c>
      <c r="I93">
        <f t="shared" si="7"/>
        <v>387861.73634234042</v>
      </c>
    </row>
    <row r="94" spans="2:9" x14ac:dyDescent="0.3">
      <c r="B94">
        <v>92</v>
      </c>
      <c r="C94" s="1">
        <v>46600</v>
      </c>
      <c r="D94" s="1" t="str">
        <f t="shared" si="8"/>
        <v>VIII</v>
      </c>
      <c r="E94">
        <f t="shared" si="6"/>
        <v>387861.73634234042</v>
      </c>
      <c r="F94">
        <v>3000</v>
      </c>
      <c r="G94">
        <v>0</v>
      </c>
      <c r="H94" s="4">
        <f t="shared" si="9"/>
        <v>91.387454486682799</v>
      </c>
      <c r="I94">
        <f t="shared" si="7"/>
        <v>390953.1237968271</v>
      </c>
    </row>
    <row r="95" spans="2:9" x14ac:dyDescent="0.3">
      <c r="B95">
        <v>93</v>
      </c>
      <c r="C95" s="1">
        <v>46631</v>
      </c>
      <c r="D95" s="1" t="str">
        <f t="shared" si="8"/>
        <v>IX</v>
      </c>
      <c r="E95">
        <f t="shared" si="6"/>
        <v>390953.1237968271</v>
      </c>
      <c r="F95">
        <v>3000</v>
      </c>
      <c r="G95">
        <v>0</v>
      </c>
      <c r="H95" s="4">
        <f t="shared" si="9"/>
        <v>-2278.8095667680154</v>
      </c>
      <c r="I95">
        <f t="shared" si="7"/>
        <v>391674.3142300591</v>
      </c>
    </row>
    <row r="96" spans="2:9" x14ac:dyDescent="0.3">
      <c r="B96">
        <v>94</v>
      </c>
      <c r="C96" s="1">
        <v>46661</v>
      </c>
      <c r="D96" s="1" t="str">
        <f t="shared" si="8"/>
        <v>X</v>
      </c>
      <c r="E96">
        <f t="shared" si="6"/>
        <v>391674.3142300591</v>
      </c>
      <c r="F96">
        <v>3000</v>
      </c>
      <c r="G96">
        <v>0</v>
      </c>
      <c r="H96" s="4">
        <f t="shared" si="9"/>
        <v>3218.2389034103994</v>
      </c>
      <c r="I96">
        <f t="shared" si="7"/>
        <v>397892.55313346948</v>
      </c>
    </row>
    <row r="97" spans="2:9" x14ac:dyDescent="0.3">
      <c r="B97">
        <v>95</v>
      </c>
      <c r="C97" s="1">
        <v>46692</v>
      </c>
      <c r="D97" s="1" t="str">
        <f t="shared" si="8"/>
        <v>XI</v>
      </c>
      <c r="E97">
        <f t="shared" si="6"/>
        <v>397892.55313346948</v>
      </c>
      <c r="F97">
        <v>3000</v>
      </c>
      <c r="G97">
        <v>0</v>
      </c>
      <c r="H97" s="4">
        <f t="shared" si="9"/>
        <v>5293.5478400413749</v>
      </c>
      <c r="I97">
        <f t="shared" si="7"/>
        <v>406186.10097351088</v>
      </c>
    </row>
    <row r="98" spans="2:9" x14ac:dyDescent="0.3">
      <c r="B98">
        <v>96</v>
      </c>
      <c r="C98" s="1">
        <v>46722</v>
      </c>
      <c r="D98" s="1" t="str">
        <f t="shared" si="8"/>
        <v>XII</v>
      </c>
      <c r="E98">
        <f t="shared" si="6"/>
        <v>406186.10097351088</v>
      </c>
      <c r="F98">
        <v>3000</v>
      </c>
      <c r="G98">
        <v>0</v>
      </c>
      <c r="H98" s="4">
        <f t="shared" si="9"/>
        <v>6115.6565991763082</v>
      </c>
      <c r="I98">
        <f t="shared" si="7"/>
        <v>415301.75757268717</v>
      </c>
    </row>
    <row r="99" spans="2:9" x14ac:dyDescent="0.3">
      <c r="B99">
        <v>97</v>
      </c>
      <c r="C99" s="1">
        <v>46753</v>
      </c>
      <c r="D99" s="1" t="str">
        <f t="shared" si="8"/>
        <v>I</v>
      </c>
      <c r="E99">
        <f t="shared" si="6"/>
        <v>415301.75757268717</v>
      </c>
      <c r="F99">
        <v>3000</v>
      </c>
      <c r="G99">
        <v>0</v>
      </c>
      <c r="H99" s="4">
        <f t="shared" si="9"/>
        <v>5344.6958147832056</v>
      </c>
      <c r="I99">
        <f t="shared" si="7"/>
        <v>423646.45338747039</v>
      </c>
    </row>
    <row r="100" spans="2:9" x14ac:dyDescent="0.3">
      <c r="B100">
        <v>98</v>
      </c>
      <c r="C100" s="1">
        <v>46784</v>
      </c>
      <c r="D100" s="1" t="str">
        <f t="shared" si="8"/>
        <v>II</v>
      </c>
      <c r="E100">
        <f t="shared" si="6"/>
        <v>423646.45338747039</v>
      </c>
      <c r="F100">
        <v>3000</v>
      </c>
      <c r="G100">
        <v>0</v>
      </c>
      <c r="H100" s="4">
        <f t="shared" si="9"/>
        <v>297.60405912786712</v>
      </c>
      <c r="I100">
        <f t="shared" si="7"/>
        <v>426944.05744659825</v>
      </c>
    </row>
    <row r="101" spans="2:9" x14ac:dyDescent="0.3">
      <c r="B101">
        <v>99</v>
      </c>
      <c r="C101" s="1">
        <v>46813</v>
      </c>
      <c r="D101" s="1" t="str">
        <f t="shared" si="8"/>
        <v>III</v>
      </c>
      <c r="E101">
        <f t="shared" si="6"/>
        <v>426944.05744659825</v>
      </c>
      <c r="F101">
        <v>3000</v>
      </c>
      <c r="G101">
        <v>0</v>
      </c>
      <c r="H101" s="4">
        <f t="shared" si="9"/>
        <v>3771.5250040083529</v>
      </c>
      <c r="I101">
        <f t="shared" si="7"/>
        <v>433715.58245060663</v>
      </c>
    </row>
    <row r="102" spans="2:9" x14ac:dyDescent="0.3">
      <c r="B102">
        <v>100</v>
      </c>
      <c r="C102" s="1">
        <v>46844</v>
      </c>
      <c r="D102" s="1" t="str">
        <f t="shared" si="8"/>
        <v>IV</v>
      </c>
      <c r="E102">
        <f t="shared" si="6"/>
        <v>433715.58245060663</v>
      </c>
      <c r="F102">
        <v>3000</v>
      </c>
      <c r="G102">
        <v>0</v>
      </c>
      <c r="H102" s="4">
        <f t="shared" si="9"/>
        <v>7520.3232016156753</v>
      </c>
      <c r="I102">
        <f t="shared" si="7"/>
        <v>444235.90565222228</v>
      </c>
    </row>
    <row r="103" spans="2:9" x14ac:dyDescent="0.3">
      <c r="B103">
        <v>101</v>
      </c>
      <c r="C103" s="1">
        <v>46874</v>
      </c>
      <c r="D103" s="1" t="str">
        <f t="shared" si="8"/>
        <v>V</v>
      </c>
      <c r="E103">
        <f t="shared" si="6"/>
        <v>444235.90565222228</v>
      </c>
      <c r="F103">
        <v>3000</v>
      </c>
      <c r="G103">
        <v>0</v>
      </c>
      <c r="H103" s="4">
        <f t="shared" si="9"/>
        <v>2550.762680198005</v>
      </c>
      <c r="I103">
        <f t="shared" si="7"/>
        <v>449786.66833242029</v>
      </c>
    </row>
    <row r="104" spans="2:9" x14ac:dyDescent="0.3">
      <c r="B104">
        <v>102</v>
      </c>
      <c r="C104" s="1">
        <v>46905</v>
      </c>
      <c r="D104" s="1" t="str">
        <f t="shared" si="8"/>
        <v>VI</v>
      </c>
      <c r="E104">
        <f t="shared" si="6"/>
        <v>449786.66833242029</v>
      </c>
      <c r="F104">
        <v>3000</v>
      </c>
      <c r="G104">
        <v>0</v>
      </c>
      <c r="H104" s="4">
        <f t="shared" si="9"/>
        <v>1956.0185605847646</v>
      </c>
      <c r="I104">
        <f t="shared" si="7"/>
        <v>454742.68689300504</v>
      </c>
    </row>
    <row r="105" spans="2:9" x14ac:dyDescent="0.3">
      <c r="B105">
        <v>103</v>
      </c>
      <c r="C105" s="1">
        <v>46935</v>
      </c>
      <c r="D105" s="1" t="str">
        <f t="shared" si="8"/>
        <v>VII</v>
      </c>
      <c r="E105">
        <f t="shared" si="6"/>
        <v>454742.68689300504</v>
      </c>
      <c r="F105">
        <v>3000</v>
      </c>
      <c r="G105">
        <v>0</v>
      </c>
      <c r="H105" s="4">
        <f t="shared" si="9"/>
        <v>2769.0101593336626</v>
      </c>
      <c r="I105">
        <f t="shared" si="7"/>
        <v>460511.69705233868</v>
      </c>
    </row>
    <row r="106" spans="2:9" x14ac:dyDescent="0.3">
      <c r="B106">
        <v>104</v>
      </c>
      <c r="C106" s="1">
        <v>46966</v>
      </c>
      <c r="D106" s="1" t="str">
        <f t="shared" si="8"/>
        <v>VIII</v>
      </c>
      <c r="E106">
        <f t="shared" si="6"/>
        <v>460511.69705233868</v>
      </c>
      <c r="F106">
        <v>3000</v>
      </c>
      <c r="G106">
        <v>0</v>
      </c>
      <c r="H106" s="4">
        <f t="shared" si="9"/>
        <v>108.3737551667503</v>
      </c>
      <c r="I106">
        <f t="shared" si="7"/>
        <v>463620.07080750546</v>
      </c>
    </row>
    <row r="107" spans="2:9" x14ac:dyDescent="0.3">
      <c r="B107">
        <v>105</v>
      </c>
      <c r="C107" s="1">
        <v>46997</v>
      </c>
      <c r="D107" s="1" t="str">
        <f t="shared" si="8"/>
        <v>IX</v>
      </c>
      <c r="E107">
        <f t="shared" si="6"/>
        <v>463620.07080750546</v>
      </c>
      <c r="F107">
        <v>3000</v>
      </c>
      <c r="G107">
        <v>0</v>
      </c>
      <c r="H107" s="4">
        <f t="shared" si="9"/>
        <v>-2699.1492570331948</v>
      </c>
      <c r="I107">
        <f t="shared" si="7"/>
        <v>463920.92155047227</v>
      </c>
    </row>
    <row r="108" spans="2:9" x14ac:dyDescent="0.3">
      <c r="B108">
        <v>106</v>
      </c>
      <c r="C108" s="1">
        <v>47027</v>
      </c>
      <c r="D108" s="1" t="str">
        <f t="shared" si="8"/>
        <v>X</v>
      </c>
      <c r="E108">
        <f t="shared" si="6"/>
        <v>463920.92155047227</v>
      </c>
      <c r="F108">
        <v>3000</v>
      </c>
      <c r="G108">
        <v>0</v>
      </c>
      <c r="H108" s="4">
        <f t="shared" si="9"/>
        <v>3807.3495547370476</v>
      </c>
      <c r="I108">
        <f t="shared" si="7"/>
        <v>470728.27110520931</v>
      </c>
    </row>
    <row r="109" spans="2:9" x14ac:dyDescent="0.3">
      <c r="B109">
        <v>107</v>
      </c>
      <c r="C109" s="1">
        <v>47058</v>
      </c>
      <c r="D109" s="1" t="str">
        <f t="shared" si="8"/>
        <v>XI</v>
      </c>
      <c r="E109">
        <f t="shared" si="6"/>
        <v>470728.27110520931</v>
      </c>
      <c r="F109">
        <v>3000</v>
      </c>
      <c r="G109">
        <v>0</v>
      </c>
      <c r="H109" s="4">
        <f t="shared" si="9"/>
        <v>6255.3001962114868</v>
      </c>
      <c r="I109">
        <f t="shared" si="7"/>
        <v>479983.5713014208</v>
      </c>
    </row>
    <row r="110" spans="2:9" x14ac:dyDescent="0.3">
      <c r="B110">
        <v>108</v>
      </c>
      <c r="C110" s="1">
        <v>47088</v>
      </c>
      <c r="D110" s="1" t="str">
        <f t="shared" si="8"/>
        <v>XII</v>
      </c>
      <c r="E110">
        <f t="shared" si="6"/>
        <v>479983.5713014208</v>
      </c>
      <c r="F110">
        <v>3000</v>
      </c>
      <c r="G110">
        <v>0</v>
      </c>
      <c r="H110" s="4">
        <f t="shared" si="9"/>
        <v>7218.626581146973</v>
      </c>
      <c r="I110">
        <f t="shared" si="7"/>
        <v>490202.19788256777</v>
      </c>
    </row>
    <row r="111" spans="2:9" x14ac:dyDescent="0.3">
      <c r="B111">
        <v>109</v>
      </c>
      <c r="C111" s="1">
        <v>47119</v>
      </c>
      <c r="D111" s="1" t="str">
        <f t="shared" si="8"/>
        <v>I</v>
      </c>
      <c r="E111">
        <f t="shared" si="6"/>
        <v>490202.19788256777</v>
      </c>
      <c r="F111">
        <v>3000</v>
      </c>
      <c r="G111">
        <v>0</v>
      </c>
      <c r="H111" s="4">
        <f t="shared" si="9"/>
        <v>6301.7084560224093</v>
      </c>
      <c r="I111">
        <f t="shared" si="7"/>
        <v>499503.9063385902</v>
      </c>
    </row>
    <row r="112" spans="2:9" x14ac:dyDescent="0.3">
      <c r="B112">
        <v>110</v>
      </c>
      <c r="C112" s="1">
        <v>47150</v>
      </c>
      <c r="D112" s="1" t="str">
        <f t="shared" si="8"/>
        <v>II</v>
      </c>
      <c r="E112">
        <f t="shared" si="6"/>
        <v>499503.9063385902</v>
      </c>
      <c r="F112">
        <v>3000</v>
      </c>
      <c r="G112">
        <v>0</v>
      </c>
      <c r="H112" s="4">
        <f t="shared" si="9"/>
        <v>350.51786102194245</v>
      </c>
      <c r="I112">
        <f t="shared" si="7"/>
        <v>502854.42419961211</v>
      </c>
    </row>
    <row r="113" spans="2:9" x14ac:dyDescent="0.3">
      <c r="B113">
        <v>111</v>
      </c>
      <c r="C113" s="1">
        <v>47178</v>
      </c>
      <c r="D113" s="1" t="str">
        <f t="shared" si="8"/>
        <v>III</v>
      </c>
      <c r="E113">
        <f t="shared" si="6"/>
        <v>502854.42419961211</v>
      </c>
      <c r="F113">
        <v>3000</v>
      </c>
      <c r="G113">
        <v>0</v>
      </c>
      <c r="H113" s="4">
        <f t="shared" si="9"/>
        <v>4437.4205811509582</v>
      </c>
      <c r="I113">
        <f t="shared" si="7"/>
        <v>510291.84478076309</v>
      </c>
    </row>
    <row r="114" spans="2:9" x14ac:dyDescent="0.3">
      <c r="B114">
        <v>112</v>
      </c>
      <c r="C114" s="1">
        <v>47209</v>
      </c>
      <c r="D114" s="1" t="str">
        <f t="shared" si="8"/>
        <v>IV</v>
      </c>
      <c r="E114">
        <f t="shared" si="6"/>
        <v>510291.84478076309</v>
      </c>
      <c r="F114">
        <v>3000</v>
      </c>
      <c r="G114">
        <v>0</v>
      </c>
      <c r="H114" s="4">
        <f t="shared" si="9"/>
        <v>8838.9806194778303</v>
      </c>
      <c r="I114">
        <f t="shared" si="7"/>
        <v>522130.82540024089</v>
      </c>
    </row>
    <row r="115" spans="2:9" x14ac:dyDescent="0.3">
      <c r="B115">
        <v>113</v>
      </c>
      <c r="C115" s="1">
        <v>47239</v>
      </c>
      <c r="D115" s="1" t="str">
        <f t="shared" si="8"/>
        <v>V</v>
      </c>
      <c r="E115">
        <f t="shared" ref="E115:E178" si="10">I114</f>
        <v>522130.82540024089</v>
      </c>
      <c r="F115">
        <v>3000</v>
      </c>
      <c r="G115">
        <v>0</v>
      </c>
      <c r="H115" s="4">
        <f t="shared" si="9"/>
        <v>2995.0281154172653</v>
      </c>
      <c r="I115">
        <f t="shared" ref="I115:I178" si="11">SUM(E115:H115)</f>
        <v>528125.85351565818</v>
      </c>
    </row>
    <row r="116" spans="2:9" x14ac:dyDescent="0.3">
      <c r="B116">
        <v>114</v>
      </c>
      <c r="C116" s="1">
        <v>47270</v>
      </c>
      <c r="D116" s="1" t="str">
        <f t="shared" si="8"/>
        <v>VI</v>
      </c>
      <c r="E116">
        <f t="shared" si="10"/>
        <v>528125.85351565818</v>
      </c>
      <c r="F116">
        <v>3000</v>
      </c>
      <c r="G116">
        <v>0</v>
      </c>
      <c r="H116" s="4">
        <f t="shared" si="9"/>
        <v>2294.4404068017607</v>
      </c>
      <c r="I116">
        <f t="shared" si="11"/>
        <v>533420.29392245994</v>
      </c>
    </row>
    <row r="117" spans="2:9" x14ac:dyDescent="0.3">
      <c r="B117">
        <v>115</v>
      </c>
      <c r="C117" s="1">
        <v>47300</v>
      </c>
      <c r="D117" s="1" t="str">
        <f t="shared" si="8"/>
        <v>VII</v>
      </c>
      <c r="E117">
        <f t="shared" si="10"/>
        <v>533420.29392245994</v>
      </c>
      <c r="F117">
        <v>3000</v>
      </c>
      <c r="G117">
        <v>0</v>
      </c>
      <c r="H117" s="4">
        <f t="shared" si="9"/>
        <v>3244.9524286801648</v>
      </c>
      <c r="I117">
        <f t="shared" si="11"/>
        <v>539665.24635114009</v>
      </c>
    </row>
    <row r="118" spans="2:9" x14ac:dyDescent="0.3">
      <c r="B118">
        <v>116</v>
      </c>
      <c r="C118" s="1">
        <v>47331</v>
      </c>
      <c r="D118" s="1" t="str">
        <f t="shared" si="8"/>
        <v>VIII</v>
      </c>
      <c r="E118">
        <f t="shared" si="10"/>
        <v>539665.24635114009</v>
      </c>
      <c r="F118">
        <v>3000</v>
      </c>
      <c r="G118">
        <v>0</v>
      </c>
      <c r="H118" s="4">
        <f t="shared" si="9"/>
        <v>126.88066109132501</v>
      </c>
      <c r="I118">
        <f t="shared" si="11"/>
        <v>542792.12701223139</v>
      </c>
    </row>
    <row r="119" spans="2:9" x14ac:dyDescent="0.3">
      <c r="B119">
        <v>117</v>
      </c>
      <c r="C119" s="1">
        <v>47362</v>
      </c>
      <c r="D119" s="1" t="str">
        <f t="shared" si="8"/>
        <v>IX</v>
      </c>
      <c r="E119">
        <f t="shared" si="10"/>
        <v>542792.12701223139</v>
      </c>
      <c r="F119">
        <v>3000</v>
      </c>
      <c r="G119">
        <v>0</v>
      </c>
      <c r="H119" s="4">
        <f t="shared" si="9"/>
        <v>-3157.1175486948982</v>
      </c>
      <c r="I119">
        <f t="shared" si="11"/>
        <v>542635.00946353644</v>
      </c>
    </row>
    <row r="120" spans="2:9" x14ac:dyDescent="0.3">
      <c r="B120">
        <v>118</v>
      </c>
      <c r="C120" s="1">
        <v>47392</v>
      </c>
      <c r="D120" s="1" t="str">
        <f t="shared" si="8"/>
        <v>X</v>
      </c>
      <c r="E120">
        <f t="shared" si="10"/>
        <v>542635.00946353644</v>
      </c>
      <c r="F120">
        <v>3000</v>
      </c>
      <c r="G120">
        <v>0</v>
      </c>
      <c r="H120" s="4">
        <f t="shared" si="9"/>
        <v>4449.1971005102605</v>
      </c>
      <c r="I120">
        <f t="shared" si="11"/>
        <v>550084.20656404668</v>
      </c>
    </row>
    <row r="121" spans="2:9" x14ac:dyDescent="0.3">
      <c r="B121">
        <v>119</v>
      </c>
      <c r="C121" s="1">
        <v>47423</v>
      </c>
      <c r="D121" s="1" t="str">
        <f t="shared" si="8"/>
        <v>XI</v>
      </c>
      <c r="E121">
        <f t="shared" si="10"/>
        <v>550084.20656404668</v>
      </c>
      <c r="F121">
        <v>3000</v>
      </c>
      <c r="G121">
        <v>0</v>
      </c>
      <c r="H121" s="4">
        <f t="shared" si="9"/>
        <v>7303.1481481357414</v>
      </c>
      <c r="I121">
        <f t="shared" si="11"/>
        <v>560387.35471218242</v>
      </c>
    </row>
    <row r="122" spans="2:9" x14ac:dyDescent="0.3">
      <c r="B122">
        <v>120</v>
      </c>
      <c r="C122" s="1">
        <v>47453</v>
      </c>
      <c r="D122" s="1" t="str">
        <f t="shared" si="8"/>
        <v>XII</v>
      </c>
      <c r="E122">
        <f t="shared" si="10"/>
        <v>560387.35471218242</v>
      </c>
      <c r="F122">
        <v>3000</v>
      </c>
      <c r="G122">
        <v>0</v>
      </c>
      <c r="H122" s="4">
        <f t="shared" si="9"/>
        <v>8420.3338909624617</v>
      </c>
      <c r="I122">
        <f t="shared" si="11"/>
        <v>571807.68860314484</v>
      </c>
    </row>
    <row r="123" spans="2:9" x14ac:dyDescent="0.3">
      <c r="B123">
        <v>121</v>
      </c>
      <c r="C123" s="1">
        <v>47484</v>
      </c>
      <c r="D123" s="1" t="str">
        <f t="shared" si="8"/>
        <v>I</v>
      </c>
      <c r="E123">
        <f t="shared" si="10"/>
        <v>571807.68860314484</v>
      </c>
      <c r="F123">
        <v>3000</v>
      </c>
      <c r="G123">
        <v>0</v>
      </c>
      <c r="H123" s="4">
        <f t="shared" si="9"/>
        <v>7344.3923960768761</v>
      </c>
      <c r="I123">
        <f t="shared" si="11"/>
        <v>582152.08099922177</v>
      </c>
    </row>
    <row r="124" spans="2:9" x14ac:dyDescent="0.3">
      <c r="B124">
        <v>122</v>
      </c>
      <c r="C124" s="1">
        <v>47515</v>
      </c>
      <c r="D124" s="1" t="str">
        <f t="shared" si="8"/>
        <v>II</v>
      </c>
      <c r="E124">
        <f t="shared" si="10"/>
        <v>582152.08099922177</v>
      </c>
      <c r="F124">
        <v>3000</v>
      </c>
      <c r="G124">
        <v>0</v>
      </c>
      <c r="H124" s="4">
        <f t="shared" si="9"/>
        <v>408.16848031860633</v>
      </c>
      <c r="I124">
        <f t="shared" si="11"/>
        <v>585560.24947954039</v>
      </c>
    </row>
    <row r="125" spans="2:9" x14ac:dyDescent="0.3">
      <c r="B125">
        <v>123</v>
      </c>
      <c r="C125" s="1">
        <v>47543</v>
      </c>
      <c r="D125" s="1" t="str">
        <f t="shared" si="8"/>
        <v>III</v>
      </c>
      <c r="E125">
        <f t="shared" si="10"/>
        <v>585560.24947954039</v>
      </c>
      <c r="F125">
        <v>3000</v>
      </c>
      <c r="G125">
        <v>0</v>
      </c>
      <c r="H125" s="4">
        <f t="shared" si="9"/>
        <v>5162.9268013622686</v>
      </c>
      <c r="I125">
        <f t="shared" si="11"/>
        <v>593723.1762809027</v>
      </c>
    </row>
    <row r="126" spans="2:9" x14ac:dyDescent="0.3">
      <c r="B126">
        <v>124</v>
      </c>
      <c r="C126" s="1">
        <v>47574</v>
      </c>
      <c r="D126" s="1" t="str">
        <f t="shared" si="8"/>
        <v>IV</v>
      </c>
      <c r="E126">
        <f t="shared" si="10"/>
        <v>593723.1762809027</v>
      </c>
      <c r="F126">
        <v>3000</v>
      </c>
      <c r="G126">
        <v>0</v>
      </c>
      <c r="H126" s="4">
        <f t="shared" si="9"/>
        <v>10275.683597881749</v>
      </c>
      <c r="I126">
        <f t="shared" si="11"/>
        <v>606998.85987878439</v>
      </c>
    </row>
    <row r="127" spans="2:9" x14ac:dyDescent="0.3">
      <c r="B127">
        <v>125</v>
      </c>
      <c r="C127" s="1">
        <v>47604</v>
      </c>
      <c r="D127" s="1" t="str">
        <f t="shared" si="8"/>
        <v>V</v>
      </c>
      <c r="E127">
        <f t="shared" si="10"/>
        <v>606998.85987878439</v>
      </c>
      <c r="F127">
        <v>3000</v>
      </c>
      <c r="G127">
        <v>0</v>
      </c>
      <c r="H127" s="4">
        <f t="shared" si="9"/>
        <v>3479.0639729004142</v>
      </c>
      <c r="I127">
        <f t="shared" si="11"/>
        <v>613477.92385168478</v>
      </c>
    </row>
    <row r="128" spans="2:9" x14ac:dyDescent="0.3">
      <c r="B128">
        <v>126</v>
      </c>
      <c r="C128" s="1">
        <v>47635</v>
      </c>
      <c r="D128" s="1" t="str">
        <f t="shared" si="8"/>
        <v>VI</v>
      </c>
      <c r="E128">
        <f t="shared" si="10"/>
        <v>613477.92385168478</v>
      </c>
      <c r="F128">
        <v>3000</v>
      </c>
      <c r="G128">
        <v>0</v>
      </c>
      <c r="H128" s="4">
        <f t="shared" si="9"/>
        <v>2663.1576094889988</v>
      </c>
      <c r="I128">
        <f t="shared" si="11"/>
        <v>619141.08146117383</v>
      </c>
    </row>
    <row r="129" spans="2:9" x14ac:dyDescent="0.3">
      <c r="B129">
        <v>127</v>
      </c>
      <c r="C129" s="1">
        <v>47665</v>
      </c>
      <c r="D129" s="1" t="str">
        <f t="shared" si="8"/>
        <v>VII</v>
      </c>
      <c r="E129">
        <f t="shared" si="10"/>
        <v>619141.08146117383</v>
      </c>
      <c r="F129">
        <v>3000</v>
      </c>
      <c r="G129">
        <v>0</v>
      </c>
      <c r="H129" s="4">
        <f t="shared" si="9"/>
        <v>3763.5008148311449</v>
      </c>
      <c r="I129">
        <f t="shared" si="11"/>
        <v>625904.58227600495</v>
      </c>
    </row>
    <row r="130" spans="2:9" x14ac:dyDescent="0.3">
      <c r="B130">
        <v>128</v>
      </c>
      <c r="C130" s="1">
        <v>47696</v>
      </c>
      <c r="D130" s="1" t="str">
        <f t="shared" si="8"/>
        <v>VIII</v>
      </c>
      <c r="E130">
        <f t="shared" si="10"/>
        <v>625904.58227600495</v>
      </c>
      <c r="F130">
        <v>3000</v>
      </c>
      <c r="G130">
        <v>0</v>
      </c>
      <c r="H130" s="4">
        <f t="shared" si="9"/>
        <v>147.04429609061415</v>
      </c>
      <c r="I130">
        <f t="shared" si="11"/>
        <v>629051.62657209556</v>
      </c>
    </row>
    <row r="131" spans="2:9" x14ac:dyDescent="0.3">
      <c r="B131">
        <v>129</v>
      </c>
      <c r="C131" s="1">
        <v>47727</v>
      </c>
      <c r="D131" s="1" t="str">
        <f t="shared" si="8"/>
        <v>IX</v>
      </c>
      <c r="E131">
        <f t="shared" si="10"/>
        <v>629051.62657209556</v>
      </c>
      <c r="F131">
        <v>3000</v>
      </c>
      <c r="G131">
        <v>0</v>
      </c>
      <c r="H131" s="4">
        <f t="shared" si="9"/>
        <v>-3656.0829355590881</v>
      </c>
      <c r="I131">
        <f t="shared" si="11"/>
        <v>628395.54363653646</v>
      </c>
    </row>
    <row r="132" spans="2:9" x14ac:dyDescent="0.3">
      <c r="B132">
        <v>130</v>
      </c>
      <c r="C132" s="1">
        <v>47757</v>
      </c>
      <c r="D132" s="1" t="str">
        <f t="shared" ref="D132:D195" si="12">TEXT(C132,"mmm")</f>
        <v>X</v>
      </c>
      <c r="E132">
        <f t="shared" si="10"/>
        <v>628395.54363653646</v>
      </c>
      <c r="F132">
        <v>3000</v>
      </c>
      <c r="G132">
        <v>0</v>
      </c>
      <c r="H132" s="4">
        <f t="shared" si="9"/>
        <v>5148.5025214653324</v>
      </c>
      <c r="I132">
        <f t="shared" si="11"/>
        <v>636544.04615800176</v>
      </c>
    </row>
    <row r="133" spans="2:9" x14ac:dyDescent="0.3">
      <c r="B133">
        <v>131</v>
      </c>
      <c r="C133" s="1">
        <v>47788</v>
      </c>
      <c r="D133" s="1" t="str">
        <f t="shared" si="12"/>
        <v>XI</v>
      </c>
      <c r="E133">
        <f t="shared" si="10"/>
        <v>636544.04615800176</v>
      </c>
      <c r="F133">
        <v>3000</v>
      </c>
      <c r="G133">
        <v>0</v>
      </c>
      <c r="H133" s="4">
        <f t="shared" ref="H133:H196" si="13">SUM(E133:G133)*VLOOKUP(D133,$U$4:$V$15,2,FALSE)</f>
        <v>8444.7989310090488</v>
      </c>
      <c r="I133">
        <f t="shared" si="11"/>
        <v>647988.84508901078</v>
      </c>
    </row>
    <row r="134" spans="2:9" x14ac:dyDescent="0.3">
      <c r="B134">
        <v>132</v>
      </c>
      <c r="C134" s="1">
        <v>47818</v>
      </c>
      <c r="D134" s="1" t="str">
        <f t="shared" si="12"/>
        <v>XII</v>
      </c>
      <c r="E134">
        <f t="shared" si="10"/>
        <v>647988.84508901078</v>
      </c>
      <c r="F134">
        <v>3000</v>
      </c>
      <c r="G134">
        <v>0</v>
      </c>
      <c r="H134" s="4">
        <f t="shared" si="13"/>
        <v>9729.617445428581</v>
      </c>
      <c r="I134">
        <f t="shared" si="11"/>
        <v>660718.4625344394</v>
      </c>
    </row>
    <row r="135" spans="2:9" x14ac:dyDescent="0.3">
      <c r="B135">
        <v>133</v>
      </c>
      <c r="C135" s="1">
        <v>47849</v>
      </c>
      <c r="D135" s="1" t="str">
        <f t="shared" si="12"/>
        <v>I</v>
      </c>
      <c r="E135">
        <f t="shared" si="10"/>
        <v>660718.4625344394</v>
      </c>
      <c r="F135">
        <v>3000</v>
      </c>
      <c r="G135">
        <v>0</v>
      </c>
      <c r="H135" s="4">
        <f t="shared" si="13"/>
        <v>8480.4168872891842</v>
      </c>
      <c r="I135">
        <f t="shared" si="11"/>
        <v>672198.87942172855</v>
      </c>
    </row>
    <row r="136" spans="2:9" x14ac:dyDescent="0.3">
      <c r="B136">
        <v>134</v>
      </c>
      <c r="C136" s="1">
        <v>47880</v>
      </c>
      <c r="D136" s="1" t="str">
        <f t="shared" si="12"/>
        <v>II</v>
      </c>
      <c r="E136">
        <f t="shared" si="10"/>
        <v>672198.87942172855</v>
      </c>
      <c r="F136">
        <v>3000</v>
      </c>
      <c r="G136">
        <v>0</v>
      </c>
      <c r="H136" s="4">
        <f t="shared" si="13"/>
        <v>470.97995457143281</v>
      </c>
      <c r="I136">
        <f t="shared" si="11"/>
        <v>675669.85937630001</v>
      </c>
    </row>
    <row r="137" spans="2:9" x14ac:dyDescent="0.3">
      <c r="B137">
        <v>135</v>
      </c>
      <c r="C137" s="1">
        <v>47908</v>
      </c>
      <c r="D137" s="1" t="str">
        <f t="shared" si="12"/>
        <v>III</v>
      </c>
      <c r="E137">
        <f t="shared" si="10"/>
        <v>675669.85937630001</v>
      </c>
      <c r="F137">
        <v>3000</v>
      </c>
      <c r="G137">
        <v>0</v>
      </c>
      <c r="H137" s="4">
        <f t="shared" si="13"/>
        <v>5953.3799799581348</v>
      </c>
      <c r="I137">
        <f t="shared" si="11"/>
        <v>684623.23935625819</v>
      </c>
    </row>
    <row r="138" spans="2:9" x14ac:dyDescent="0.3">
      <c r="B138">
        <v>136</v>
      </c>
      <c r="C138" s="1">
        <v>47939</v>
      </c>
      <c r="D138" s="1" t="str">
        <f t="shared" si="12"/>
        <v>IV</v>
      </c>
      <c r="E138">
        <f t="shared" si="10"/>
        <v>684623.23935625819</v>
      </c>
      <c r="F138">
        <v>3000</v>
      </c>
      <c r="G138">
        <v>0</v>
      </c>
      <c r="H138" s="4">
        <f t="shared" si="13"/>
        <v>11840.999517084701</v>
      </c>
      <c r="I138">
        <f t="shared" si="11"/>
        <v>699464.23887334287</v>
      </c>
    </row>
    <row r="139" spans="2:9" x14ac:dyDescent="0.3">
      <c r="B139">
        <v>137</v>
      </c>
      <c r="C139" s="1">
        <v>47969</v>
      </c>
      <c r="D139" s="1" t="str">
        <f t="shared" si="12"/>
        <v>V</v>
      </c>
      <c r="E139">
        <f t="shared" si="10"/>
        <v>699464.23887334287</v>
      </c>
      <c r="F139">
        <v>3000</v>
      </c>
      <c r="G139">
        <v>0</v>
      </c>
      <c r="H139" s="4">
        <f t="shared" si="13"/>
        <v>4006.4304811992597</v>
      </c>
      <c r="I139">
        <f t="shared" si="11"/>
        <v>706470.66935454216</v>
      </c>
    </row>
    <row r="140" spans="2:9" x14ac:dyDescent="0.3">
      <c r="B140">
        <v>138</v>
      </c>
      <c r="C140" s="1">
        <v>48000</v>
      </c>
      <c r="D140" s="1" t="str">
        <f t="shared" si="12"/>
        <v>VI</v>
      </c>
      <c r="E140">
        <f t="shared" si="10"/>
        <v>706470.66935454216</v>
      </c>
      <c r="F140">
        <v>3000</v>
      </c>
      <c r="G140">
        <v>0</v>
      </c>
      <c r="H140" s="4">
        <f t="shared" si="13"/>
        <v>3064.882193989758</v>
      </c>
      <c r="I140">
        <f t="shared" si="11"/>
        <v>712535.55154853186</v>
      </c>
    </row>
    <row r="141" spans="2:9" x14ac:dyDescent="0.3">
      <c r="B141">
        <v>139</v>
      </c>
      <c r="C141" s="1">
        <v>48030</v>
      </c>
      <c r="D141" s="1" t="str">
        <f t="shared" si="12"/>
        <v>VII</v>
      </c>
      <c r="E141">
        <f t="shared" si="10"/>
        <v>712535.55154853186</v>
      </c>
      <c r="F141">
        <v>3000</v>
      </c>
      <c r="G141">
        <v>0</v>
      </c>
      <c r="H141" s="4">
        <f t="shared" si="13"/>
        <v>4328.4693963126601</v>
      </c>
      <c r="I141">
        <f t="shared" si="11"/>
        <v>719864.02094484447</v>
      </c>
    </row>
    <row r="142" spans="2:9" x14ac:dyDescent="0.3">
      <c r="B142">
        <v>140</v>
      </c>
      <c r="C142" s="1">
        <v>48061</v>
      </c>
      <c r="D142" s="1" t="str">
        <f t="shared" si="12"/>
        <v>VIII</v>
      </c>
      <c r="E142">
        <f t="shared" si="10"/>
        <v>719864.02094484447</v>
      </c>
      <c r="F142">
        <v>3000</v>
      </c>
      <c r="G142">
        <v>0</v>
      </c>
      <c r="H142" s="4">
        <f t="shared" si="13"/>
        <v>169.01296973285082</v>
      </c>
      <c r="I142">
        <f t="shared" si="11"/>
        <v>723033.03391457733</v>
      </c>
    </row>
    <row r="143" spans="2:9" x14ac:dyDescent="0.3">
      <c r="B143">
        <v>141</v>
      </c>
      <c r="C143" s="1">
        <v>48092</v>
      </c>
      <c r="D143" s="1" t="str">
        <f t="shared" si="12"/>
        <v>IX</v>
      </c>
      <c r="E143">
        <f t="shared" si="10"/>
        <v>723033.03391457733</v>
      </c>
      <c r="F143">
        <v>3000</v>
      </c>
      <c r="G143">
        <v>0</v>
      </c>
      <c r="H143" s="4">
        <f t="shared" si="13"/>
        <v>-4199.7154573329744</v>
      </c>
      <c r="I143">
        <f t="shared" si="11"/>
        <v>721833.31845724431</v>
      </c>
    </row>
    <row r="144" spans="2:9" x14ac:dyDescent="0.3">
      <c r="B144">
        <v>142</v>
      </c>
      <c r="C144" s="1">
        <v>48122</v>
      </c>
      <c r="D144" s="1" t="str">
        <f t="shared" si="12"/>
        <v>X</v>
      </c>
      <c r="E144">
        <f t="shared" si="10"/>
        <v>721833.31845724431</v>
      </c>
      <c r="F144">
        <v>3000</v>
      </c>
      <c r="G144">
        <v>0</v>
      </c>
      <c r="H144" s="4">
        <f t="shared" si="13"/>
        <v>5910.4094182004947</v>
      </c>
      <c r="I144">
        <f t="shared" si="11"/>
        <v>730743.72787544481</v>
      </c>
    </row>
    <row r="145" spans="2:9" x14ac:dyDescent="0.3">
      <c r="B145">
        <v>143</v>
      </c>
      <c r="C145" s="1">
        <v>48153</v>
      </c>
      <c r="D145" s="1" t="str">
        <f t="shared" si="12"/>
        <v>XI</v>
      </c>
      <c r="E145">
        <f t="shared" si="10"/>
        <v>730743.72787544481</v>
      </c>
      <c r="F145">
        <v>3000</v>
      </c>
      <c r="G145">
        <v>0</v>
      </c>
      <c r="H145" s="4">
        <f t="shared" si="13"/>
        <v>9688.6497279130763</v>
      </c>
      <c r="I145">
        <f t="shared" si="11"/>
        <v>743432.37760335789</v>
      </c>
    </row>
    <row r="146" spans="2:9" x14ac:dyDescent="0.3">
      <c r="B146">
        <v>144</v>
      </c>
      <c r="C146" s="1">
        <v>48183</v>
      </c>
      <c r="D146" s="1" t="str">
        <f t="shared" si="12"/>
        <v>XII</v>
      </c>
      <c r="E146">
        <f t="shared" si="10"/>
        <v>743432.37760335789</v>
      </c>
      <c r="F146">
        <v>3000</v>
      </c>
      <c r="G146">
        <v>0</v>
      </c>
      <c r="H146" s="4">
        <f t="shared" si="13"/>
        <v>11156.107416816567</v>
      </c>
      <c r="I146">
        <f t="shared" si="11"/>
        <v>757588.48502017441</v>
      </c>
    </row>
    <row r="147" spans="2:9" x14ac:dyDescent="0.3">
      <c r="B147">
        <v>145</v>
      </c>
      <c r="C147" s="1">
        <v>48214</v>
      </c>
      <c r="D147" s="1" t="str">
        <f t="shared" si="12"/>
        <v>I</v>
      </c>
      <c r="E147">
        <f t="shared" si="10"/>
        <v>757588.48502017441</v>
      </c>
      <c r="F147">
        <v>3000</v>
      </c>
      <c r="G147">
        <v>0</v>
      </c>
      <c r="H147" s="4">
        <f t="shared" si="13"/>
        <v>9718.1377296824794</v>
      </c>
      <c r="I147">
        <f t="shared" si="11"/>
        <v>770306.62274985691</v>
      </c>
    </row>
    <row r="148" spans="2:9" x14ac:dyDescent="0.3">
      <c r="B148">
        <v>146</v>
      </c>
      <c r="C148" s="1">
        <v>48245</v>
      </c>
      <c r="D148" s="1" t="str">
        <f t="shared" si="12"/>
        <v>II</v>
      </c>
      <c r="E148">
        <f t="shared" si="10"/>
        <v>770306.62274985691</v>
      </c>
      <c r="F148">
        <v>3000</v>
      </c>
      <c r="G148">
        <v>0</v>
      </c>
      <c r="H148" s="4">
        <f t="shared" si="13"/>
        <v>539.41428096628897</v>
      </c>
      <c r="I148">
        <f t="shared" si="11"/>
        <v>773846.03703082318</v>
      </c>
    </row>
    <row r="149" spans="2:9" x14ac:dyDescent="0.3">
      <c r="B149">
        <v>147</v>
      </c>
      <c r="C149" s="1">
        <v>48274</v>
      </c>
      <c r="D149" s="1" t="str">
        <f t="shared" si="12"/>
        <v>III</v>
      </c>
      <c r="E149">
        <f t="shared" si="10"/>
        <v>773846.03703082318</v>
      </c>
      <c r="F149">
        <v>3000</v>
      </c>
      <c r="G149">
        <v>0</v>
      </c>
      <c r="H149" s="4">
        <f t="shared" si="13"/>
        <v>6814.5941365649869</v>
      </c>
      <c r="I149">
        <f t="shared" si="11"/>
        <v>783660.63116738817</v>
      </c>
    </row>
    <row r="150" spans="2:9" x14ac:dyDescent="0.3">
      <c r="B150">
        <v>148</v>
      </c>
      <c r="C150" s="1">
        <v>48305</v>
      </c>
      <c r="D150" s="1" t="str">
        <f t="shared" si="12"/>
        <v>IV</v>
      </c>
      <c r="E150">
        <f t="shared" si="10"/>
        <v>783660.63116738817</v>
      </c>
      <c r="F150">
        <v>3000</v>
      </c>
      <c r="G150">
        <v>0</v>
      </c>
      <c r="H150" s="4">
        <f t="shared" si="13"/>
        <v>13546.441744003592</v>
      </c>
      <c r="I150">
        <f t="shared" si="11"/>
        <v>800207.07291139173</v>
      </c>
    </row>
    <row r="151" spans="2:9" x14ac:dyDescent="0.3">
      <c r="B151">
        <v>149</v>
      </c>
      <c r="C151" s="1">
        <v>48335</v>
      </c>
      <c r="D151" s="1" t="str">
        <f t="shared" si="12"/>
        <v>V</v>
      </c>
      <c r="E151">
        <f t="shared" si="10"/>
        <v>800207.07291139173</v>
      </c>
      <c r="F151">
        <v>3000</v>
      </c>
      <c r="G151">
        <v>0</v>
      </c>
      <c r="H151" s="4">
        <f t="shared" si="13"/>
        <v>4581.0065787665717</v>
      </c>
      <c r="I151">
        <f t="shared" si="11"/>
        <v>807788.07949015836</v>
      </c>
    </row>
    <row r="152" spans="2:9" x14ac:dyDescent="0.3">
      <c r="B152">
        <v>150</v>
      </c>
      <c r="C152" s="1">
        <v>48366</v>
      </c>
      <c r="D152" s="1" t="str">
        <f t="shared" si="12"/>
        <v>VI</v>
      </c>
      <c r="E152">
        <f t="shared" si="10"/>
        <v>807788.07949015836</v>
      </c>
      <c r="F152">
        <v>3000</v>
      </c>
      <c r="G152">
        <v>0</v>
      </c>
      <c r="H152" s="4">
        <f t="shared" si="13"/>
        <v>3502.5689648161201</v>
      </c>
      <c r="I152">
        <f t="shared" si="11"/>
        <v>814290.64845497452</v>
      </c>
    </row>
    <row r="153" spans="2:9" x14ac:dyDescent="0.3">
      <c r="B153">
        <v>151</v>
      </c>
      <c r="C153" s="1">
        <v>48396</v>
      </c>
      <c r="D153" s="1" t="str">
        <f t="shared" si="12"/>
        <v>VII</v>
      </c>
      <c r="E153">
        <f t="shared" si="10"/>
        <v>814290.64845497452</v>
      </c>
      <c r="F153">
        <v>3000</v>
      </c>
      <c r="G153">
        <v>0</v>
      </c>
      <c r="H153" s="4">
        <f t="shared" si="13"/>
        <v>4944.0136860760067</v>
      </c>
      <c r="I153">
        <f t="shared" si="11"/>
        <v>822234.66214105056</v>
      </c>
    </row>
    <row r="154" spans="2:9" x14ac:dyDescent="0.3">
      <c r="B154">
        <v>152</v>
      </c>
      <c r="C154" s="1">
        <v>48427</v>
      </c>
      <c r="D154" s="1" t="str">
        <f t="shared" si="12"/>
        <v>VIII</v>
      </c>
      <c r="E154">
        <f t="shared" si="10"/>
        <v>822234.66214105056</v>
      </c>
      <c r="F154">
        <v>3000</v>
      </c>
      <c r="G154">
        <v>0</v>
      </c>
      <c r="H154" s="4">
        <f t="shared" si="13"/>
        <v>192.94826818554151</v>
      </c>
      <c r="I154">
        <f t="shared" si="11"/>
        <v>825427.61040923605</v>
      </c>
    </row>
    <row r="155" spans="2:9" x14ac:dyDescent="0.3">
      <c r="B155">
        <v>153</v>
      </c>
      <c r="C155" s="1">
        <v>48458</v>
      </c>
      <c r="D155" s="1" t="str">
        <f t="shared" si="12"/>
        <v>IX</v>
      </c>
      <c r="E155">
        <f t="shared" si="10"/>
        <v>825427.61040923605</v>
      </c>
      <c r="F155">
        <v>3000</v>
      </c>
      <c r="G155">
        <v>0</v>
      </c>
      <c r="H155" s="4">
        <f t="shared" si="13"/>
        <v>-4792.0136938651121</v>
      </c>
      <c r="I155">
        <f t="shared" si="11"/>
        <v>823635.59671537089</v>
      </c>
    </row>
    <row r="156" spans="2:9" x14ac:dyDescent="0.3">
      <c r="B156">
        <v>154</v>
      </c>
      <c r="C156" s="1">
        <v>48488</v>
      </c>
      <c r="D156" s="1" t="str">
        <f t="shared" si="12"/>
        <v>X</v>
      </c>
      <c r="E156">
        <f t="shared" si="10"/>
        <v>823635.59671537089</v>
      </c>
      <c r="F156">
        <v>3000</v>
      </c>
      <c r="G156">
        <v>0</v>
      </c>
      <c r="H156" s="4">
        <f t="shared" si="13"/>
        <v>6740.5218438982529</v>
      </c>
      <c r="I156">
        <f t="shared" si="11"/>
        <v>833376.11855926912</v>
      </c>
    </row>
    <row r="157" spans="2:9" x14ac:dyDescent="0.3">
      <c r="B157">
        <v>155</v>
      </c>
      <c r="C157" s="1">
        <v>48519</v>
      </c>
      <c r="D157" s="1" t="str">
        <f t="shared" si="12"/>
        <v>XI</v>
      </c>
      <c r="E157">
        <f t="shared" si="10"/>
        <v>833376.11855926912</v>
      </c>
      <c r="F157">
        <v>3000</v>
      </c>
      <c r="G157">
        <v>0</v>
      </c>
      <c r="H157" s="4">
        <f t="shared" si="13"/>
        <v>11043.849433610185</v>
      </c>
      <c r="I157">
        <f t="shared" si="11"/>
        <v>847419.96799287933</v>
      </c>
    </row>
    <row r="158" spans="2:9" x14ac:dyDescent="0.3">
      <c r="B158">
        <v>156</v>
      </c>
      <c r="C158" s="1">
        <v>48549</v>
      </c>
      <c r="D158" s="1" t="str">
        <f t="shared" si="12"/>
        <v>XII</v>
      </c>
      <c r="E158">
        <f t="shared" si="10"/>
        <v>847419.96799287933</v>
      </c>
      <c r="F158">
        <v>3000</v>
      </c>
      <c r="G158">
        <v>0</v>
      </c>
      <c r="H158" s="4">
        <f t="shared" si="13"/>
        <v>12710.296065661432</v>
      </c>
      <c r="I158">
        <f t="shared" si="11"/>
        <v>863130.26405854081</v>
      </c>
    </row>
    <row r="159" spans="2:9" x14ac:dyDescent="0.3">
      <c r="B159">
        <v>157</v>
      </c>
      <c r="C159" s="1">
        <v>48580</v>
      </c>
      <c r="D159" s="1" t="str">
        <f t="shared" si="12"/>
        <v>I</v>
      </c>
      <c r="E159">
        <f t="shared" si="10"/>
        <v>863130.26405854081</v>
      </c>
      <c r="F159">
        <v>3000</v>
      </c>
      <c r="G159">
        <v>0</v>
      </c>
      <c r="H159" s="4">
        <f t="shared" si="13"/>
        <v>11066.658730369671</v>
      </c>
      <c r="I159">
        <f t="shared" si="11"/>
        <v>877196.92278891045</v>
      </c>
    </row>
    <row r="160" spans="2:9" x14ac:dyDescent="0.3">
      <c r="B160">
        <v>158</v>
      </c>
      <c r="C160" s="1">
        <v>48611</v>
      </c>
      <c r="D160" s="1" t="str">
        <f t="shared" si="12"/>
        <v>II</v>
      </c>
      <c r="E160">
        <f t="shared" si="10"/>
        <v>877196.92278891045</v>
      </c>
      <c r="F160">
        <v>3000</v>
      </c>
      <c r="G160">
        <v>0</v>
      </c>
      <c r="H160" s="4">
        <f t="shared" si="13"/>
        <v>613.97481444886296</v>
      </c>
      <c r="I160">
        <f t="shared" si="11"/>
        <v>880810.89760335931</v>
      </c>
    </row>
    <row r="161" spans="2:9" x14ac:dyDescent="0.3">
      <c r="B161">
        <v>159</v>
      </c>
      <c r="C161" s="1">
        <v>48639</v>
      </c>
      <c r="D161" s="1" t="str">
        <f t="shared" si="12"/>
        <v>III</v>
      </c>
      <c r="E161">
        <f t="shared" si="10"/>
        <v>880810.89760335931</v>
      </c>
      <c r="F161">
        <v>3000</v>
      </c>
      <c r="G161">
        <v>0</v>
      </c>
      <c r="H161" s="4">
        <f t="shared" si="13"/>
        <v>7752.903758973699</v>
      </c>
      <c r="I161">
        <f t="shared" si="11"/>
        <v>891563.801362333</v>
      </c>
    </row>
    <row r="162" spans="2:9" x14ac:dyDescent="0.3">
      <c r="B162">
        <v>160</v>
      </c>
      <c r="C162" s="1">
        <v>48670</v>
      </c>
      <c r="D162" s="1" t="str">
        <f t="shared" si="12"/>
        <v>IV</v>
      </c>
      <c r="E162">
        <f t="shared" si="10"/>
        <v>891563.801362333</v>
      </c>
      <c r="F162">
        <v>3000</v>
      </c>
      <c r="G162">
        <v>0</v>
      </c>
      <c r="H162" s="4">
        <f t="shared" si="13"/>
        <v>15404.554316473357</v>
      </c>
      <c r="I162">
        <f t="shared" si="11"/>
        <v>909968.35567880631</v>
      </c>
    </row>
    <row r="163" spans="2:9" x14ac:dyDescent="0.3">
      <c r="B163">
        <v>161</v>
      </c>
      <c r="C163" s="1">
        <v>48700</v>
      </c>
      <c r="D163" s="1" t="str">
        <f t="shared" si="12"/>
        <v>V</v>
      </c>
      <c r="E163">
        <f t="shared" si="10"/>
        <v>909968.35567880631</v>
      </c>
      <c r="F163">
        <v>3000</v>
      </c>
      <c r="G163">
        <v>0</v>
      </c>
      <c r="H163" s="4">
        <f t="shared" si="13"/>
        <v>5207.0184447089596</v>
      </c>
      <c r="I163">
        <f t="shared" si="11"/>
        <v>918175.37412351533</v>
      </c>
    </row>
    <row r="164" spans="2:9" x14ac:dyDescent="0.3">
      <c r="B164">
        <v>162</v>
      </c>
      <c r="C164" s="1">
        <v>48731</v>
      </c>
      <c r="D164" s="1" t="str">
        <f t="shared" si="12"/>
        <v>VI</v>
      </c>
      <c r="E164">
        <f t="shared" si="10"/>
        <v>918175.37412351533</v>
      </c>
      <c r="F164">
        <v>3000</v>
      </c>
      <c r="G164">
        <v>0</v>
      </c>
      <c r="H164" s="4">
        <f t="shared" si="13"/>
        <v>3979.4372391202228</v>
      </c>
      <c r="I164">
        <f t="shared" si="11"/>
        <v>925154.81136263558</v>
      </c>
    </row>
    <row r="165" spans="2:9" x14ac:dyDescent="0.3">
      <c r="B165">
        <v>163</v>
      </c>
      <c r="C165" s="1">
        <v>48761</v>
      </c>
      <c r="D165" s="1" t="str">
        <f t="shared" si="12"/>
        <v>VII</v>
      </c>
      <c r="E165">
        <f t="shared" si="10"/>
        <v>925154.81136263558</v>
      </c>
      <c r="F165">
        <v>3000</v>
      </c>
      <c r="G165">
        <v>0</v>
      </c>
      <c r="H165" s="4">
        <f t="shared" si="13"/>
        <v>5614.6611965387829</v>
      </c>
      <c r="I165">
        <f t="shared" si="11"/>
        <v>933769.47255917441</v>
      </c>
    </row>
    <row r="166" spans="2:9" x14ac:dyDescent="0.3">
      <c r="B166">
        <v>164</v>
      </c>
      <c r="C166" s="1">
        <v>48792</v>
      </c>
      <c r="D166" s="1" t="str">
        <f t="shared" si="12"/>
        <v>VIII</v>
      </c>
      <c r="E166">
        <f t="shared" si="10"/>
        <v>933769.47255917441</v>
      </c>
      <c r="F166">
        <v>3000</v>
      </c>
      <c r="G166">
        <v>0</v>
      </c>
      <c r="H166" s="4">
        <f t="shared" si="13"/>
        <v>219.02624273007339</v>
      </c>
      <c r="I166">
        <f t="shared" si="11"/>
        <v>936988.4988019045</v>
      </c>
    </row>
    <row r="167" spans="2:9" x14ac:dyDescent="0.3">
      <c r="B167">
        <v>165</v>
      </c>
      <c r="C167" s="1">
        <v>48823</v>
      </c>
      <c r="D167" s="1" t="str">
        <f t="shared" si="12"/>
        <v>IX</v>
      </c>
      <c r="E167">
        <f t="shared" si="10"/>
        <v>936988.4988019045</v>
      </c>
      <c r="F167">
        <v>3000</v>
      </c>
      <c r="G167">
        <v>0</v>
      </c>
      <c r="H167" s="4">
        <f t="shared" si="13"/>
        <v>-5437.3341758965307</v>
      </c>
      <c r="I167">
        <f t="shared" si="11"/>
        <v>934551.16462600802</v>
      </c>
    </row>
    <row r="168" spans="2:9" x14ac:dyDescent="0.3">
      <c r="B168">
        <v>166</v>
      </c>
      <c r="C168" s="1">
        <v>48853</v>
      </c>
      <c r="D168" s="1" t="str">
        <f t="shared" si="12"/>
        <v>X</v>
      </c>
      <c r="E168">
        <f t="shared" si="10"/>
        <v>934551.16462600802</v>
      </c>
      <c r="F168">
        <v>3000</v>
      </c>
      <c r="G168">
        <v>0</v>
      </c>
      <c r="H168" s="4">
        <f t="shared" si="13"/>
        <v>7644.9455238132314</v>
      </c>
      <c r="I168">
        <f t="shared" si="11"/>
        <v>945196.11014982127</v>
      </c>
    </row>
    <row r="169" spans="2:9" x14ac:dyDescent="0.3">
      <c r="B169">
        <v>167</v>
      </c>
      <c r="C169" s="1">
        <v>48884</v>
      </c>
      <c r="D169" s="1" t="str">
        <f t="shared" si="12"/>
        <v>XI</v>
      </c>
      <c r="E169">
        <f t="shared" si="10"/>
        <v>945196.11014982127</v>
      </c>
      <c r="F169">
        <v>3000</v>
      </c>
      <c r="G169">
        <v>0</v>
      </c>
      <c r="H169" s="4">
        <f t="shared" si="13"/>
        <v>12520.365947401706</v>
      </c>
      <c r="I169">
        <f t="shared" si="11"/>
        <v>960716.476097223</v>
      </c>
    </row>
    <row r="170" spans="2:9" x14ac:dyDescent="0.3">
      <c r="B170">
        <v>168</v>
      </c>
      <c r="C170" s="1">
        <v>48914</v>
      </c>
      <c r="D170" s="1" t="str">
        <f t="shared" si="12"/>
        <v>XII</v>
      </c>
      <c r="E170">
        <f t="shared" si="10"/>
        <v>960716.476097223</v>
      </c>
      <c r="F170">
        <v>3000</v>
      </c>
      <c r="G170">
        <v>0</v>
      </c>
      <c r="H170" s="4">
        <f t="shared" si="13"/>
        <v>14403.614914477404</v>
      </c>
      <c r="I170">
        <f t="shared" si="11"/>
        <v>978120.09101170045</v>
      </c>
    </row>
    <row r="171" spans="2:9" x14ac:dyDescent="0.3">
      <c r="B171">
        <v>169</v>
      </c>
      <c r="C171" s="1">
        <v>48945</v>
      </c>
      <c r="D171" s="1" t="str">
        <f t="shared" si="12"/>
        <v>I</v>
      </c>
      <c r="E171">
        <f t="shared" si="10"/>
        <v>978120.09101170045</v>
      </c>
      <c r="F171">
        <v>3000</v>
      </c>
      <c r="G171">
        <v>0</v>
      </c>
      <c r="H171" s="4">
        <f t="shared" si="13"/>
        <v>12535.898664778511</v>
      </c>
      <c r="I171">
        <f t="shared" si="11"/>
        <v>993655.98967647902</v>
      </c>
    </row>
    <row r="172" spans="2:9" x14ac:dyDescent="0.3">
      <c r="B172">
        <v>170</v>
      </c>
      <c r="C172" s="1">
        <v>48976</v>
      </c>
      <c r="D172" s="1" t="str">
        <f t="shared" si="12"/>
        <v>II</v>
      </c>
      <c r="E172">
        <f t="shared" si="10"/>
        <v>993655.98967647902</v>
      </c>
      <c r="F172">
        <v>3000</v>
      </c>
      <c r="G172">
        <v>0</v>
      </c>
      <c r="H172" s="4">
        <f t="shared" si="13"/>
        <v>695.20997005089009</v>
      </c>
      <c r="I172">
        <f t="shared" si="11"/>
        <v>997351.19964652986</v>
      </c>
    </row>
    <row r="173" spans="2:9" x14ac:dyDescent="0.3">
      <c r="B173">
        <v>171</v>
      </c>
      <c r="C173" s="1">
        <v>49004</v>
      </c>
      <c r="D173" s="1" t="str">
        <f t="shared" si="12"/>
        <v>III</v>
      </c>
      <c r="E173">
        <f t="shared" si="10"/>
        <v>997351.19964652986</v>
      </c>
      <c r="F173">
        <v>3000</v>
      </c>
      <c r="G173">
        <v>0</v>
      </c>
      <c r="H173" s="4">
        <f t="shared" si="13"/>
        <v>8775.2103951925201</v>
      </c>
      <c r="I173">
        <f t="shared" si="11"/>
        <v>1009126.4100417224</v>
      </c>
    </row>
    <row r="174" spans="2:9" x14ac:dyDescent="0.3">
      <c r="B174">
        <v>172</v>
      </c>
      <c r="C174" s="1">
        <v>49035</v>
      </c>
      <c r="D174" s="1" t="str">
        <f t="shared" si="12"/>
        <v>IV</v>
      </c>
      <c r="E174">
        <f t="shared" si="10"/>
        <v>1009126.4100417224</v>
      </c>
      <c r="F174">
        <v>3000</v>
      </c>
      <c r="G174">
        <v>0</v>
      </c>
      <c r="H174" s="4">
        <f t="shared" si="13"/>
        <v>17429.004208398317</v>
      </c>
      <c r="I174">
        <f t="shared" si="11"/>
        <v>1029555.4142501206</v>
      </c>
    </row>
    <row r="175" spans="2:9" x14ac:dyDescent="0.3">
      <c r="B175">
        <v>173</v>
      </c>
      <c r="C175" s="1">
        <v>49065</v>
      </c>
      <c r="D175" s="1" t="str">
        <f t="shared" si="12"/>
        <v>V</v>
      </c>
      <c r="E175">
        <f t="shared" si="10"/>
        <v>1029555.4142501206</v>
      </c>
      <c r="F175">
        <v>3000</v>
      </c>
      <c r="G175">
        <v>0</v>
      </c>
      <c r="H175" s="4">
        <f t="shared" si="13"/>
        <v>5889.07058359864</v>
      </c>
      <c r="I175">
        <f t="shared" si="11"/>
        <v>1038444.4848337193</v>
      </c>
    </row>
    <row r="176" spans="2:9" x14ac:dyDescent="0.3">
      <c r="B176">
        <v>174</v>
      </c>
      <c r="C176" s="1">
        <v>49096</v>
      </c>
      <c r="D176" s="1" t="str">
        <f t="shared" si="12"/>
        <v>VI</v>
      </c>
      <c r="E176">
        <f t="shared" si="10"/>
        <v>1038444.4848337193</v>
      </c>
      <c r="F176">
        <v>3000</v>
      </c>
      <c r="G176">
        <v>0</v>
      </c>
      <c r="H176" s="4">
        <f t="shared" si="13"/>
        <v>4498.994525735101</v>
      </c>
      <c r="I176">
        <f t="shared" si="11"/>
        <v>1045943.4793594545</v>
      </c>
    </row>
    <row r="177" spans="2:9" x14ac:dyDescent="0.3">
      <c r="B177">
        <v>175</v>
      </c>
      <c r="C177" s="1">
        <v>49126</v>
      </c>
      <c r="D177" s="1" t="str">
        <f t="shared" si="12"/>
        <v>VII</v>
      </c>
      <c r="E177">
        <f t="shared" si="10"/>
        <v>1045943.4793594545</v>
      </c>
      <c r="F177">
        <v>3000</v>
      </c>
      <c r="G177">
        <v>0</v>
      </c>
      <c r="H177" s="4">
        <f t="shared" si="13"/>
        <v>6345.3447407933127</v>
      </c>
      <c r="I177">
        <f t="shared" si="11"/>
        <v>1055288.8241002478</v>
      </c>
    </row>
    <row r="178" spans="2:9" x14ac:dyDescent="0.3">
      <c r="B178">
        <v>176</v>
      </c>
      <c r="C178" s="1">
        <v>49157</v>
      </c>
      <c r="D178" s="1" t="str">
        <f t="shared" si="12"/>
        <v>VIII</v>
      </c>
      <c r="E178">
        <f t="shared" si="10"/>
        <v>1055288.8241002478</v>
      </c>
      <c r="F178">
        <v>3000</v>
      </c>
      <c r="G178">
        <v>0</v>
      </c>
      <c r="H178" s="4">
        <f t="shared" si="13"/>
        <v>247.43870467156239</v>
      </c>
      <c r="I178">
        <f t="shared" si="11"/>
        <v>1058536.2628049194</v>
      </c>
    </row>
    <row r="179" spans="2:9" x14ac:dyDescent="0.3">
      <c r="B179">
        <v>177</v>
      </c>
      <c r="C179" s="1">
        <v>49188</v>
      </c>
      <c r="D179" s="1" t="str">
        <f t="shared" si="12"/>
        <v>IX</v>
      </c>
      <c r="E179">
        <f t="shared" ref="E179:E242" si="14">I178</f>
        <v>1058536.2628049194</v>
      </c>
      <c r="F179">
        <v>3000</v>
      </c>
      <c r="G179">
        <v>0</v>
      </c>
      <c r="H179" s="4">
        <f t="shared" si="13"/>
        <v>-6140.4234286477795</v>
      </c>
      <c r="I179">
        <f t="shared" ref="I179:I242" si="15">SUM(E179:H179)</f>
        <v>1055395.8393762717</v>
      </c>
    </row>
    <row r="180" spans="2:9" x14ac:dyDescent="0.3">
      <c r="B180">
        <v>178</v>
      </c>
      <c r="C180" s="1">
        <v>49218</v>
      </c>
      <c r="D180" s="1" t="str">
        <f t="shared" si="12"/>
        <v>X</v>
      </c>
      <c r="E180">
        <f t="shared" si="14"/>
        <v>1055395.8393762717</v>
      </c>
      <c r="F180">
        <v>3000</v>
      </c>
      <c r="G180">
        <v>0</v>
      </c>
      <c r="H180" s="4">
        <f t="shared" si="13"/>
        <v>8630.3327647082078</v>
      </c>
      <c r="I180">
        <f t="shared" si="15"/>
        <v>1067026.1721409799</v>
      </c>
    </row>
    <row r="181" spans="2:9" x14ac:dyDescent="0.3">
      <c r="B181">
        <v>179</v>
      </c>
      <c r="C181" s="1">
        <v>49249</v>
      </c>
      <c r="D181" s="1" t="str">
        <f t="shared" si="12"/>
        <v>XI</v>
      </c>
      <c r="E181">
        <f t="shared" si="14"/>
        <v>1067026.1721409799</v>
      </c>
      <c r="F181">
        <v>3000</v>
      </c>
      <c r="G181">
        <v>0</v>
      </c>
      <c r="H181" s="4">
        <f t="shared" si="13"/>
        <v>14129.0594900096</v>
      </c>
      <c r="I181">
        <f t="shared" si="15"/>
        <v>1084155.2316309896</v>
      </c>
    </row>
    <row r="182" spans="2:9" x14ac:dyDescent="0.3">
      <c r="B182">
        <v>180</v>
      </c>
      <c r="C182" s="1">
        <v>49279</v>
      </c>
      <c r="D182" s="1" t="str">
        <f t="shared" si="12"/>
        <v>XII</v>
      </c>
      <c r="E182">
        <f t="shared" si="14"/>
        <v>1084155.2316309896</v>
      </c>
      <c r="F182">
        <v>3000</v>
      </c>
      <c r="G182">
        <v>0</v>
      </c>
      <c r="H182" s="4">
        <f t="shared" si="13"/>
        <v>16248.518830026238</v>
      </c>
      <c r="I182">
        <f t="shared" si="15"/>
        <v>1103403.7504610159</v>
      </c>
    </row>
    <row r="183" spans="2:9" x14ac:dyDescent="0.3">
      <c r="B183">
        <v>181</v>
      </c>
      <c r="C183" s="1">
        <v>49310</v>
      </c>
      <c r="D183" s="1" t="str">
        <f t="shared" si="12"/>
        <v>I</v>
      </c>
      <c r="E183">
        <f t="shared" si="14"/>
        <v>1103403.7504610159</v>
      </c>
      <c r="F183">
        <v>3000</v>
      </c>
      <c r="G183">
        <v>0</v>
      </c>
      <c r="H183" s="4">
        <f t="shared" si="13"/>
        <v>14136.664232212508</v>
      </c>
      <c r="I183">
        <f t="shared" si="15"/>
        <v>1120540.4146932284</v>
      </c>
    </row>
    <row r="184" spans="2:9" x14ac:dyDescent="0.3">
      <c r="B184">
        <v>182</v>
      </c>
      <c r="C184" s="1">
        <v>49341</v>
      </c>
      <c r="D184" s="1" t="str">
        <f t="shared" si="12"/>
        <v>II</v>
      </c>
      <c r="E184">
        <f t="shared" si="14"/>
        <v>1120540.4146932284</v>
      </c>
      <c r="F184">
        <v>3000</v>
      </c>
      <c r="G184">
        <v>0</v>
      </c>
      <c r="H184" s="4">
        <f t="shared" si="13"/>
        <v>783.71725664679241</v>
      </c>
      <c r="I184">
        <f t="shared" si="15"/>
        <v>1124324.1319498753</v>
      </c>
    </row>
    <row r="185" spans="2:9" x14ac:dyDescent="0.3">
      <c r="B185">
        <v>183</v>
      </c>
      <c r="C185" s="1">
        <v>49369</v>
      </c>
      <c r="D185" s="1" t="str">
        <f t="shared" si="12"/>
        <v>III</v>
      </c>
      <c r="E185">
        <f t="shared" si="14"/>
        <v>1124324.1319498753</v>
      </c>
      <c r="F185">
        <v>3000</v>
      </c>
      <c r="G185">
        <v>0</v>
      </c>
      <c r="H185" s="4">
        <f t="shared" si="13"/>
        <v>9889.0334163975695</v>
      </c>
      <c r="I185">
        <f t="shared" si="15"/>
        <v>1137213.1653662729</v>
      </c>
    </row>
    <row r="186" spans="2:9" x14ac:dyDescent="0.3">
      <c r="B186">
        <v>184</v>
      </c>
      <c r="C186" s="1">
        <v>49400</v>
      </c>
      <c r="D186" s="1" t="str">
        <f t="shared" si="12"/>
        <v>IV</v>
      </c>
      <c r="E186">
        <f t="shared" si="14"/>
        <v>1137213.1653662729</v>
      </c>
      <c r="F186">
        <v>3000</v>
      </c>
      <c r="G186">
        <v>0</v>
      </c>
      <c r="H186" s="4">
        <f t="shared" si="13"/>
        <v>19634.6818544343</v>
      </c>
      <c r="I186">
        <f t="shared" si="15"/>
        <v>1159847.8472207072</v>
      </c>
    </row>
    <row r="187" spans="2:9" x14ac:dyDescent="0.3">
      <c r="B187">
        <v>185</v>
      </c>
      <c r="C187" s="1">
        <v>49430</v>
      </c>
      <c r="D187" s="1" t="str">
        <f t="shared" si="12"/>
        <v>V</v>
      </c>
      <c r="E187">
        <f t="shared" si="14"/>
        <v>1159847.8472207072</v>
      </c>
      <c r="F187">
        <v>3000</v>
      </c>
      <c r="G187">
        <v>0</v>
      </c>
      <c r="H187" s="4">
        <f t="shared" si="13"/>
        <v>6632.1796929821985</v>
      </c>
      <c r="I187">
        <f t="shared" si="15"/>
        <v>1169480.0269136894</v>
      </c>
    </row>
    <row r="188" spans="2:9" x14ac:dyDescent="0.3">
      <c r="B188">
        <v>186</v>
      </c>
      <c r="C188" s="1">
        <v>49461</v>
      </c>
      <c r="D188" s="1" t="str">
        <f t="shared" si="12"/>
        <v>VI</v>
      </c>
      <c r="E188">
        <f t="shared" si="14"/>
        <v>1169480.0269136894</v>
      </c>
      <c r="F188">
        <v>3000</v>
      </c>
      <c r="G188">
        <v>0</v>
      </c>
      <c r="H188" s="4">
        <f t="shared" si="13"/>
        <v>5065.062323951578</v>
      </c>
      <c r="I188">
        <f t="shared" si="15"/>
        <v>1177545.0892376411</v>
      </c>
    </row>
    <row r="189" spans="2:9" x14ac:dyDescent="0.3">
      <c r="B189">
        <v>187</v>
      </c>
      <c r="C189" s="1">
        <v>49491</v>
      </c>
      <c r="D189" s="1" t="str">
        <f t="shared" si="12"/>
        <v>VII</v>
      </c>
      <c r="E189">
        <f t="shared" si="14"/>
        <v>1177545.0892376411</v>
      </c>
      <c r="F189">
        <v>3000</v>
      </c>
      <c r="G189">
        <v>0</v>
      </c>
      <c r="H189" s="4">
        <f t="shared" si="13"/>
        <v>7141.4387149228041</v>
      </c>
      <c r="I189">
        <f t="shared" si="15"/>
        <v>1187686.5279525639</v>
      </c>
    </row>
    <row r="190" spans="2:9" x14ac:dyDescent="0.3">
      <c r="B190">
        <v>188</v>
      </c>
      <c r="C190" s="1">
        <v>49522</v>
      </c>
      <c r="D190" s="1" t="str">
        <f t="shared" si="12"/>
        <v>VIII</v>
      </c>
      <c r="E190">
        <f t="shared" si="14"/>
        <v>1187686.5279525639</v>
      </c>
      <c r="F190">
        <v>3000</v>
      </c>
      <c r="G190">
        <v>0</v>
      </c>
      <c r="H190" s="4">
        <f t="shared" si="13"/>
        <v>278.39463616839066</v>
      </c>
      <c r="I190">
        <f t="shared" si="15"/>
        <v>1190964.9225887323</v>
      </c>
    </row>
    <row r="191" spans="2:9" x14ac:dyDescent="0.3">
      <c r="B191">
        <v>189</v>
      </c>
      <c r="C191" s="1">
        <v>49553</v>
      </c>
      <c r="D191" s="1" t="str">
        <f t="shared" si="12"/>
        <v>IX</v>
      </c>
      <c r="E191">
        <f t="shared" si="14"/>
        <v>1190964.9225887323</v>
      </c>
      <c r="F191">
        <v>3000</v>
      </c>
      <c r="G191">
        <v>0</v>
      </c>
      <c r="H191" s="4">
        <f t="shared" si="13"/>
        <v>-6906.4528839320483</v>
      </c>
      <c r="I191">
        <f t="shared" si="15"/>
        <v>1187058.4697048003</v>
      </c>
    </row>
    <row r="192" spans="2:9" x14ac:dyDescent="0.3">
      <c r="B192">
        <v>190</v>
      </c>
      <c r="C192" s="1">
        <v>49583</v>
      </c>
      <c r="D192" s="1" t="str">
        <f t="shared" si="12"/>
        <v>X</v>
      </c>
      <c r="E192">
        <f t="shared" si="14"/>
        <v>1187058.4697048003</v>
      </c>
      <c r="F192">
        <v>3000</v>
      </c>
      <c r="G192">
        <v>0</v>
      </c>
      <c r="H192" s="4">
        <f t="shared" si="13"/>
        <v>9703.9313845606812</v>
      </c>
      <c r="I192">
        <f t="shared" si="15"/>
        <v>1199762.4010893609</v>
      </c>
    </row>
    <row r="193" spans="2:9" x14ac:dyDescent="0.3">
      <c r="B193">
        <v>191</v>
      </c>
      <c r="C193" s="1">
        <v>49614</v>
      </c>
      <c r="D193" s="1" t="str">
        <f t="shared" si="12"/>
        <v>XI</v>
      </c>
      <c r="E193">
        <f t="shared" si="14"/>
        <v>1199762.4010893609</v>
      </c>
      <c r="F193">
        <v>3000</v>
      </c>
      <c r="G193">
        <v>0</v>
      </c>
      <c r="H193" s="4">
        <f t="shared" si="13"/>
        <v>15881.762483749189</v>
      </c>
      <c r="I193">
        <f t="shared" si="15"/>
        <v>1218644.16357311</v>
      </c>
    </row>
    <row r="194" spans="2:9" x14ac:dyDescent="0.3">
      <c r="B194">
        <v>192</v>
      </c>
      <c r="C194" s="1">
        <v>49644</v>
      </c>
      <c r="D194" s="1" t="str">
        <f t="shared" si="12"/>
        <v>XII</v>
      </c>
      <c r="E194">
        <f t="shared" si="14"/>
        <v>1218644.16357311</v>
      </c>
      <c r="F194">
        <v>3000</v>
      </c>
      <c r="G194">
        <v>0</v>
      </c>
      <c r="H194" s="4">
        <f t="shared" si="13"/>
        <v>18258.577632588662</v>
      </c>
      <c r="I194">
        <f t="shared" si="15"/>
        <v>1239902.7412056986</v>
      </c>
    </row>
    <row r="195" spans="2:9" x14ac:dyDescent="0.3">
      <c r="B195">
        <v>193</v>
      </c>
      <c r="C195" s="1">
        <v>49675</v>
      </c>
      <c r="D195" s="1" t="str">
        <f t="shared" si="12"/>
        <v>I</v>
      </c>
      <c r="E195">
        <f t="shared" si="14"/>
        <v>1239902.7412056986</v>
      </c>
      <c r="F195">
        <v>3000</v>
      </c>
      <c r="G195">
        <v>0</v>
      </c>
      <c r="H195" s="4">
        <f t="shared" si="13"/>
        <v>15880.72954235758</v>
      </c>
      <c r="I195">
        <f t="shared" si="15"/>
        <v>1258783.4707480562</v>
      </c>
    </row>
    <row r="196" spans="2:9" x14ac:dyDescent="0.3">
      <c r="B196">
        <v>194</v>
      </c>
      <c r="C196" s="1">
        <v>49706</v>
      </c>
      <c r="D196" s="1" t="str">
        <f t="shared" ref="D196:D259" si="16">TEXT(C196,"mmm")</f>
        <v>II</v>
      </c>
      <c r="E196">
        <f t="shared" si="14"/>
        <v>1258783.4707480562</v>
      </c>
      <c r="F196">
        <v>3000</v>
      </c>
      <c r="G196">
        <v>0</v>
      </c>
      <c r="H196" s="4">
        <f t="shared" si="13"/>
        <v>880.14767181022069</v>
      </c>
      <c r="I196">
        <f t="shared" si="15"/>
        <v>1262663.6184198663</v>
      </c>
    </row>
    <row r="197" spans="2:9" x14ac:dyDescent="0.3">
      <c r="B197">
        <v>195</v>
      </c>
      <c r="C197" s="1">
        <v>49735</v>
      </c>
      <c r="D197" s="1" t="str">
        <f t="shared" si="16"/>
        <v>III</v>
      </c>
      <c r="E197">
        <f t="shared" si="14"/>
        <v>1262663.6184198663</v>
      </c>
      <c r="F197">
        <v>3000</v>
      </c>
      <c r="G197">
        <v>0</v>
      </c>
      <c r="H197" s="4">
        <f t="shared" ref="H197:H260" si="17">SUM(E197:G197)*VLOOKUP(D197,$U$4:$V$15,2,FALSE)</f>
        <v>11102.565324157571</v>
      </c>
      <c r="I197">
        <f t="shared" si="15"/>
        <v>1276766.1837440238</v>
      </c>
    </row>
    <row r="198" spans="2:9" x14ac:dyDescent="0.3">
      <c r="B198">
        <v>196</v>
      </c>
      <c r="C198" s="1">
        <v>49766</v>
      </c>
      <c r="D198" s="1" t="str">
        <f t="shared" si="16"/>
        <v>IV</v>
      </c>
      <c r="E198">
        <f t="shared" si="14"/>
        <v>1276766.1837440238</v>
      </c>
      <c r="F198">
        <v>3000</v>
      </c>
      <c r="G198">
        <v>0</v>
      </c>
      <c r="H198" s="4">
        <f t="shared" si="17"/>
        <v>22037.810673590637</v>
      </c>
      <c r="I198">
        <f t="shared" si="15"/>
        <v>1301803.9944176145</v>
      </c>
    </row>
    <row r="199" spans="2:9" x14ac:dyDescent="0.3">
      <c r="B199">
        <v>197</v>
      </c>
      <c r="C199" s="1">
        <v>49796</v>
      </c>
      <c r="D199" s="1" t="str">
        <f t="shared" si="16"/>
        <v>V</v>
      </c>
      <c r="E199">
        <f t="shared" si="14"/>
        <v>1301803.9944176145</v>
      </c>
      <c r="F199">
        <v>3000</v>
      </c>
      <c r="G199">
        <v>0</v>
      </c>
      <c r="H199" s="4">
        <f t="shared" si="17"/>
        <v>7441.8115626920016</v>
      </c>
      <c r="I199">
        <f t="shared" si="15"/>
        <v>1312245.8059803066</v>
      </c>
    </row>
    <row r="200" spans="2:9" x14ac:dyDescent="0.3">
      <c r="B200">
        <v>198</v>
      </c>
      <c r="C200" s="1">
        <v>49827</v>
      </c>
      <c r="D200" s="1" t="str">
        <f t="shared" si="16"/>
        <v>VI</v>
      </c>
      <c r="E200">
        <f t="shared" si="14"/>
        <v>1312245.8059803066</v>
      </c>
      <c r="F200">
        <v>3000</v>
      </c>
      <c r="G200">
        <v>0</v>
      </c>
      <c r="H200" s="4">
        <f t="shared" si="17"/>
        <v>5681.8042317889112</v>
      </c>
      <c r="I200">
        <f t="shared" si="15"/>
        <v>1320927.6102120955</v>
      </c>
    </row>
    <row r="201" spans="2:9" x14ac:dyDescent="0.3">
      <c r="B201">
        <v>199</v>
      </c>
      <c r="C201" s="1">
        <v>49857</v>
      </c>
      <c r="D201" s="1" t="str">
        <f t="shared" si="16"/>
        <v>VII</v>
      </c>
      <c r="E201">
        <f t="shared" si="14"/>
        <v>1320927.6102120955</v>
      </c>
      <c r="F201">
        <v>3000</v>
      </c>
      <c r="G201">
        <v>0</v>
      </c>
      <c r="H201" s="4">
        <f t="shared" si="17"/>
        <v>8008.7986282925167</v>
      </c>
      <c r="I201">
        <f t="shared" si="15"/>
        <v>1331936.4088403881</v>
      </c>
    </row>
    <row r="202" spans="2:9" x14ac:dyDescent="0.3">
      <c r="B202">
        <v>200</v>
      </c>
      <c r="C202" s="1">
        <v>49888</v>
      </c>
      <c r="D202" s="1" t="str">
        <f t="shared" si="16"/>
        <v>VIII</v>
      </c>
      <c r="E202">
        <f t="shared" si="14"/>
        <v>1331936.4088403881</v>
      </c>
      <c r="F202">
        <v>3000</v>
      </c>
      <c r="G202">
        <v>0</v>
      </c>
      <c r="H202" s="4">
        <f t="shared" si="17"/>
        <v>312.12172735850731</v>
      </c>
      <c r="I202">
        <f t="shared" si="15"/>
        <v>1335248.5305677466</v>
      </c>
    </row>
    <row r="203" spans="2:9" x14ac:dyDescent="0.3">
      <c r="B203">
        <v>201</v>
      </c>
      <c r="C203" s="1">
        <v>49919</v>
      </c>
      <c r="D203" s="1" t="str">
        <f t="shared" si="16"/>
        <v>IX</v>
      </c>
      <c r="E203">
        <f t="shared" si="14"/>
        <v>1335248.5305677466</v>
      </c>
      <c r="F203">
        <v>3000</v>
      </c>
      <c r="G203">
        <v>0</v>
      </c>
      <c r="H203" s="4">
        <f t="shared" si="17"/>
        <v>-7741.0569175834044</v>
      </c>
      <c r="I203">
        <f t="shared" si="15"/>
        <v>1330507.4736501633</v>
      </c>
    </row>
    <row r="204" spans="2:9" x14ac:dyDescent="0.3">
      <c r="B204">
        <v>202</v>
      </c>
      <c r="C204" s="1">
        <v>49949</v>
      </c>
      <c r="D204" s="1" t="str">
        <f t="shared" si="16"/>
        <v>X</v>
      </c>
      <c r="E204">
        <f t="shared" si="14"/>
        <v>1330507.4736501633</v>
      </c>
      <c r="F204">
        <v>3000</v>
      </c>
      <c r="G204">
        <v>0</v>
      </c>
      <c r="H204" s="4">
        <f t="shared" si="17"/>
        <v>10873.638022432579</v>
      </c>
      <c r="I204">
        <f t="shared" si="15"/>
        <v>1344381.1116725958</v>
      </c>
    </row>
    <row r="205" spans="2:9" x14ac:dyDescent="0.3">
      <c r="B205">
        <v>203</v>
      </c>
      <c r="C205" s="1">
        <v>49980</v>
      </c>
      <c r="D205" s="1" t="str">
        <f t="shared" si="16"/>
        <v>XI</v>
      </c>
      <c r="E205">
        <f t="shared" si="14"/>
        <v>1344381.1116725958</v>
      </c>
      <c r="F205">
        <v>3000</v>
      </c>
      <c r="G205">
        <v>0</v>
      </c>
      <c r="H205" s="4">
        <f t="shared" si="17"/>
        <v>17791.366583535444</v>
      </c>
      <c r="I205">
        <f t="shared" si="15"/>
        <v>1365172.4782561313</v>
      </c>
    </row>
    <row r="206" spans="2:9" x14ac:dyDescent="0.3">
      <c r="B206">
        <v>204</v>
      </c>
      <c r="C206" s="1">
        <v>50010</v>
      </c>
      <c r="D206" s="1" t="str">
        <f t="shared" si="16"/>
        <v>XII</v>
      </c>
      <c r="E206">
        <f t="shared" si="14"/>
        <v>1365172.4782561313</v>
      </c>
      <c r="F206">
        <v>3000</v>
      </c>
      <c r="G206">
        <v>0</v>
      </c>
      <c r="H206" s="4">
        <f t="shared" si="17"/>
        <v>20448.575906052531</v>
      </c>
      <c r="I206">
        <f t="shared" si="15"/>
        <v>1388621.0541621838</v>
      </c>
    </row>
    <row r="207" spans="2:9" x14ac:dyDescent="0.3">
      <c r="B207">
        <v>205</v>
      </c>
      <c r="C207" s="1">
        <v>50041</v>
      </c>
      <c r="D207" s="1" t="str">
        <f t="shared" si="16"/>
        <v>I</v>
      </c>
      <c r="E207">
        <f t="shared" si="14"/>
        <v>1388621.0541621838</v>
      </c>
      <c r="F207">
        <v>3000</v>
      </c>
      <c r="G207">
        <v>0</v>
      </c>
      <c r="H207" s="4">
        <f t="shared" si="17"/>
        <v>17780.922717381534</v>
      </c>
      <c r="I207">
        <f t="shared" si="15"/>
        <v>1409401.9768795653</v>
      </c>
    </row>
    <row r="208" spans="2:9" x14ac:dyDescent="0.3">
      <c r="B208">
        <v>206</v>
      </c>
      <c r="C208" s="1">
        <v>50072</v>
      </c>
      <c r="D208" s="1" t="str">
        <f t="shared" si="16"/>
        <v>II</v>
      </c>
      <c r="E208">
        <f t="shared" si="14"/>
        <v>1409401.9768795653</v>
      </c>
      <c r="F208">
        <v>3000</v>
      </c>
      <c r="G208">
        <v>0</v>
      </c>
      <c r="H208" s="4">
        <f t="shared" si="17"/>
        <v>985.21049009598278</v>
      </c>
      <c r="I208">
        <f t="shared" si="15"/>
        <v>1413387.1873696612</v>
      </c>
    </row>
    <row r="209" spans="2:9" x14ac:dyDescent="0.3">
      <c r="B209">
        <v>207</v>
      </c>
      <c r="C209" s="1">
        <v>50100</v>
      </c>
      <c r="D209" s="1" t="str">
        <f t="shared" si="16"/>
        <v>III</v>
      </c>
      <c r="E209">
        <f t="shared" si="14"/>
        <v>1413387.1873696612</v>
      </c>
      <c r="F209">
        <v>3000</v>
      </c>
      <c r="G209">
        <v>0</v>
      </c>
      <c r="H209" s="4">
        <f t="shared" si="17"/>
        <v>12424.732008734052</v>
      </c>
      <c r="I209">
        <f t="shared" si="15"/>
        <v>1428811.9193783952</v>
      </c>
    </row>
    <row r="210" spans="2:9" x14ac:dyDescent="0.3">
      <c r="B210">
        <v>208</v>
      </c>
      <c r="C210" s="1">
        <v>50131</v>
      </c>
      <c r="D210" s="1" t="str">
        <f t="shared" si="16"/>
        <v>IV</v>
      </c>
      <c r="E210">
        <f t="shared" si="14"/>
        <v>1428811.9193783952</v>
      </c>
      <c r="F210">
        <v>3000</v>
      </c>
      <c r="G210">
        <v>0</v>
      </c>
      <c r="H210" s="4">
        <f t="shared" si="17"/>
        <v>24656.066397330953</v>
      </c>
      <c r="I210">
        <f t="shared" si="15"/>
        <v>1456467.9857757261</v>
      </c>
    </row>
    <row r="211" spans="2:9" x14ac:dyDescent="0.3">
      <c r="B211">
        <v>209</v>
      </c>
      <c r="C211" s="1">
        <v>50161</v>
      </c>
      <c r="D211" s="1" t="str">
        <f t="shared" si="16"/>
        <v>V</v>
      </c>
      <c r="E211">
        <f t="shared" si="14"/>
        <v>1456467.9857757261</v>
      </c>
      <c r="F211">
        <v>3000</v>
      </c>
      <c r="G211">
        <v>0</v>
      </c>
      <c r="H211" s="4">
        <f t="shared" si="17"/>
        <v>8323.9212773657509</v>
      </c>
      <c r="I211">
        <f t="shared" si="15"/>
        <v>1467791.9070530918</v>
      </c>
    </row>
    <row r="212" spans="2:9" x14ac:dyDescent="0.3">
      <c r="B212">
        <v>210</v>
      </c>
      <c r="C212" s="1">
        <v>50192</v>
      </c>
      <c r="D212" s="1" t="str">
        <f t="shared" si="16"/>
        <v>VI</v>
      </c>
      <c r="E212">
        <f t="shared" si="14"/>
        <v>1467791.9070530918</v>
      </c>
      <c r="F212">
        <v>3000</v>
      </c>
      <c r="G212">
        <v>0</v>
      </c>
      <c r="H212" s="4">
        <f t="shared" si="17"/>
        <v>6353.7565705039533</v>
      </c>
      <c r="I212">
        <f t="shared" si="15"/>
        <v>1477145.6636235958</v>
      </c>
    </row>
    <row r="213" spans="2:9" x14ac:dyDescent="0.3">
      <c r="B213">
        <v>211</v>
      </c>
      <c r="C213" s="1">
        <v>50222</v>
      </c>
      <c r="D213" s="1" t="str">
        <f t="shared" si="16"/>
        <v>VII</v>
      </c>
      <c r="E213">
        <f t="shared" si="14"/>
        <v>1477145.6636235958</v>
      </c>
      <c r="F213">
        <v>3000</v>
      </c>
      <c r="G213">
        <v>0</v>
      </c>
      <c r="H213" s="4">
        <f t="shared" si="17"/>
        <v>8953.8041725730836</v>
      </c>
      <c r="I213">
        <f t="shared" si="15"/>
        <v>1489099.467796169</v>
      </c>
    </row>
    <row r="214" spans="2:9" x14ac:dyDescent="0.3">
      <c r="B214">
        <v>212</v>
      </c>
      <c r="C214" s="1">
        <v>50253</v>
      </c>
      <c r="D214" s="1" t="str">
        <f t="shared" si="16"/>
        <v>VIII</v>
      </c>
      <c r="E214">
        <f t="shared" si="14"/>
        <v>1489099.467796169</v>
      </c>
      <c r="F214">
        <v>3000</v>
      </c>
      <c r="G214">
        <v>0</v>
      </c>
      <c r="H214" s="4">
        <f t="shared" si="17"/>
        <v>348.86805108851684</v>
      </c>
      <c r="I214">
        <f t="shared" si="15"/>
        <v>1492448.3358472574</v>
      </c>
    </row>
    <row r="215" spans="2:9" x14ac:dyDescent="0.3">
      <c r="B215">
        <v>213</v>
      </c>
      <c r="C215" s="1">
        <v>50284</v>
      </c>
      <c r="D215" s="1" t="str">
        <f t="shared" si="16"/>
        <v>IX</v>
      </c>
      <c r="E215">
        <f t="shared" si="14"/>
        <v>1492448.3358472574</v>
      </c>
      <c r="F215">
        <v>3000</v>
      </c>
      <c r="G215">
        <v>0</v>
      </c>
      <c r="H215" s="4">
        <f t="shared" si="17"/>
        <v>-8650.3742919768283</v>
      </c>
      <c r="I215">
        <f t="shared" si="15"/>
        <v>1486797.9615552805</v>
      </c>
    </row>
    <row r="216" spans="2:9" x14ac:dyDescent="0.3">
      <c r="B216">
        <v>214</v>
      </c>
      <c r="C216" s="1">
        <v>50314</v>
      </c>
      <c r="D216" s="1" t="str">
        <f t="shared" si="16"/>
        <v>X</v>
      </c>
      <c r="E216">
        <f t="shared" si="14"/>
        <v>1486797.9615552805</v>
      </c>
      <c r="F216">
        <v>3000</v>
      </c>
      <c r="G216">
        <v>0</v>
      </c>
      <c r="H216" s="4">
        <f t="shared" si="17"/>
        <v>12148.056220613191</v>
      </c>
      <c r="I216">
        <f t="shared" si="15"/>
        <v>1501946.0177758937</v>
      </c>
    </row>
    <row r="217" spans="2:9" x14ac:dyDescent="0.3">
      <c r="B217">
        <v>215</v>
      </c>
      <c r="C217" s="1">
        <v>50345</v>
      </c>
      <c r="D217" s="1" t="str">
        <f t="shared" si="16"/>
        <v>XI</v>
      </c>
      <c r="E217">
        <f t="shared" si="14"/>
        <v>1501946.0177758937</v>
      </c>
      <c r="F217">
        <v>3000</v>
      </c>
      <c r="G217">
        <v>0</v>
      </c>
      <c r="H217" s="4">
        <f t="shared" si="17"/>
        <v>19871.917498861985</v>
      </c>
      <c r="I217">
        <f t="shared" si="15"/>
        <v>1524817.9352747556</v>
      </c>
    </row>
    <row r="218" spans="2:9" x14ac:dyDescent="0.3">
      <c r="B218">
        <v>216</v>
      </c>
      <c r="C218" s="1">
        <v>50375</v>
      </c>
      <c r="D218" s="1" t="str">
        <f t="shared" si="16"/>
        <v>XII</v>
      </c>
      <c r="E218">
        <f t="shared" si="14"/>
        <v>1524817.9352747556</v>
      </c>
      <c r="F218">
        <v>3000</v>
      </c>
      <c r="G218">
        <v>0</v>
      </c>
      <c r="H218" s="4">
        <f t="shared" si="17"/>
        <v>22834.621742950771</v>
      </c>
      <c r="I218">
        <f t="shared" si="15"/>
        <v>1550652.5570177063</v>
      </c>
    </row>
    <row r="219" spans="2:9" x14ac:dyDescent="0.3">
      <c r="B219">
        <v>217</v>
      </c>
      <c r="C219" s="1">
        <v>50406</v>
      </c>
      <c r="D219" s="1" t="str">
        <f t="shared" si="16"/>
        <v>I</v>
      </c>
      <c r="E219">
        <f t="shared" si="14"/>
        <v>1550652.5570177063</v>
      </c>
      <c r="F219">
        <v>3000</v>
      </c>
      <c r="G219">
        <v>0</v>
      </c>
      <c r="H219" s="4">
        <f t="shared" si="17"/>
        <v>19851.220246610683</v>
      </c>
      <c r="I219">
        <f t="shared" si="15"/>
        <v>1573503.777264317</v>
      </c>
    </row>
    <row r="220" spans="2:9" x14ac:dyDescent="0.3">
      <c r="B220">
        <v>218</v>
      </c>
      <c r="C220" s="1">
        <v>50437</v>
      </c>
      <c r="D220" s="1" t="str">
        <f t="shared" si="16"/>
        <v>II</v>
      </c>
      <c r="E220">
        <f t="shared" si="14"/>
        <v>1573503.777264317</v>
      </c>
      <c r="F220">
        <v>3000</v>
      </c>
      <c r="G220">
        <v>0</v>
      </c>
      <c r="H220" s="4">
        <f t="shared" si="17"/>
        <v>1099.6784799666032</v>
      </c>
      <c r="I220">
        <f t="shared" si="15"/>
        <v>1577603.4557442837</v>
      </c>
    </row>
    <row r="221" spans="2:9" x14ac:dyDescent="0.3">
      <c r="B221">
        <v>219</v>
      </c>
      <c r="C221" s="1">
        <v>50465</v>
      </c>
      <c r="D221" s="1" t="str">
        <f t="shared" si="16"/>
        <v>III</v>
      </c>
      <c r="E221">
        <f t="shared" si="14"/>
        <v>1577603.4557442837</v>
      </c>
      <c r="F221">
        <v>3000</v>
      </c>
      <c r="G221">
        <v>0</v>
      </c>
      <c r="H221" s="4">
        <f t="shared" si="17"/>
        <v>13865.258401674746</v>
      </c>
      <c r="I221">
        <f t="shared" si="15"/>
        <v>1594468.7141459584</v>
      </c>
    </row>
    <row r="222" spans="2:9" x14ac:dyDescent="0.3">
      <c r="B222">
        <v>220</v>
      </c>
      <c r="C222" s="1">
        <v>50496</v>
      </c>
      <c r="D222" s="1" t="str">
        <f t="shared" si="16"/>
        <v>IV</v>
      </c>
      <c r="E222">
        <f t="shared" si="14"/>
        <v>1594468.7141459584</v>
      </c>
      <c r="F222">
        <v>3000</v>
      </c>
      <c r="G222">
        <v>0</v>
      </c>
      <c r="H222" s="4">
        <f t="shared" si="17"/>
        <v>27508.707079866464</v>
      </c>
      <c r="I222">
        <f t="shared" si="15"/>
        <v>1624977.4212258249</v>
      </c>
    </row>
    <row r="223" spans="2:9" x14ac:dyDescent="0.3">
      <c r="B223">
        <v>221</v>
      </c>
      <c r="C223" s="1">
        <v>50526</v>
      </c>
      <c r="D223" s="1" t="str">
        <f t="shared" si="16"/>
        <v>V</v>
      </c>
      <c r="E223">
        <f t="shared" si="14"/>
        <v>1624977.4212258249</v>
      </c>
      <c r="F223">
        <v>3000</v>
      </c>
      <c r="G223">
        <v>0</v>
      </c>
      <c r="H223" s="4">
        <f t="shared" si="17"/>
        <v>9284.9970178756994</v>
      </c>
      <c r="I223">
        <f t="shared" si="15"/>
        <v>1637262.4182437006</v>
      </c>
    </row>
    <row r="224" spans="2:9" x14ac:dyDescent="0.3">
      <c r="B224">
        <v>222</v>
      </c>
      <c r="C224" s="1">
        <v>50557</v>
      </c>
      <c r="D224" s="1" t="str">
        <f t="shared" si="16"/>
        <v>VI</v>
      </c>
      <c r="E224">
        <f t="shared" si="14"/>
        <v>1637262.4182437006</v>
      </c>
      <c r="F224">
        <v>3000</v>
      </c>
      <c r="G224">
        <v>0</v>
      </c>
      <c r="H224" s="4">
        <f t="shared" si="17"/>
        <v>7085.861750591218</v>
      </c>
      <c r="I224">
        <f t="shared" si="15"/>
        <v>1647348.279994292</v>
      </c>
    </row>
    <row r="225" spans="2:9" x14ac:dyDescent="0.3">
      <c r="B225">
        <v>223</v>
      </c>
      <c r="C225" s="1">
        <v>50587</v>
      </c>
      <c r="D225" s="1" t="str">
        <f t="shared" si="16"/>
        <v>VII</v>
      </c>
      <c r="E225">
        <f t="shared" si="14"/>
        <v>1647348.279994292</v>
      </c>
      <c r="F225">
        <v>3000</v>
      </c>
      <c r="G225">
        <v>0</v>
      </c>
      <c r="H225" s="4">
        <f t="shared" si="17"/>
        <v>9983.4061462814898</v>
      </c>
      <c r="I225">
        <f t="shared" si="15"/>
        <v>1660331.6861405734</v>
      </c>
    </row>
    <row r="226" spans="2:9" x14ac:dyDescent="0.3">
      <c r="B226">
        <v>224</v>
      </c>
      <c r="C226" s="1">
        <v>50618</v>
      </c>
      <c r="D226" s="1" t="str">
        <f t="shared" si="16"/>
        <v>VIII</v>
      </c>
      <c r="E226">
        <f t="shared" si="14"/>
        <v>1660331.6861405734</v>
      </c>
      <c r="F226">
        <v>3000</v>
      </c>
      <c r="G226">
        <v>0</v>
      </c>
      <c r="H226" s="4">
        <f t="shared" si="17"/>
        <v>388.90388756368696</v>
      </c>
      <c r="I226">
        <f t="shared" si="15"/>
        <v>1663720.590028137</v>
      </c>
    </row>
    <row r="227" spans="2:9" x14ac:dyDescent="0.3">
      <c r="B227">
        <v>225</v>
      </c>
      <c r="C227" s="1">
        <v>50649</v>
      </c>
      <c r="D227" s="1" t="str">
        <f t="shared" si="16"/>
        <v>IX</v>
      </c>
      <c r="E227">
        <f t="shared" si="14"/>
        <v>1663720.590028137</v>
      </c>
      <c r="F227">
        <v>3000</v>
      </c>
      <c r="G227">
        <v>0</v>
      </c>
      <c r="H227" s="4">
        <f t="shared" si="17"/>
        <v>-9641.0933084621465</v>
      </c>
      <c r="I227">
        <f t="shared" si="15"/>
        <v>1657079.4967196749</v>
      </c>
    </row>
    <row r="228" spans="2:9" x14ac:dyDescent="0.3">
      <c r="B228">
        <v>226</v>
      </c>
      <c r="C228" s="1">
        <v>50679</v>
      </c>
      <c r="D228" s="1" t="str">
        <f t="shared" si="16"/>
        <v>X</v>
      </c>
      <c r="E228">
        <f t="shared" si="14"/>
        <v>1657079.4967196749</v>
      </c>
      <c r="F228">
        <v>3000</v>
      </c>
      <c r="G228">
        <v>0</v>
      </c>
      <c r="H228" s="4">
        <f t="shared" si="17"/>
        <v>13536.55970624682</v>
      </c>
      <c r="I228">
        <f t="shared" si="15"/>
        <v>1673616.0564259216</v>
      </c>
    </row>
    <row r="229" spans="2:9" x14ac:dyDescent="0.3">
      <c r="B229">
        <v>227</v>
      </c>
      <c r="C229" s="1">
        <v>50710</v>
      </c>
      <c r="D229" s="1" t="str">
        <f t="shared" si="16"/>
        <v>XI</v>
      </c>
      <c r="E229">
        <f t="shared" si="14"/>
        <v>1673616.0564259216</v>
      </c>
      <c r="F229">
        <v>3000</v>
      </c>
      <c r="G229">
        <v>0</v>
      </c>
      <c r="H229" s="4">
        <f t="shared" si="17"/>
        <v>22138.718304196791</v>
      </c>
      <c r="I229">
        <f t="shared" si="15"/>
        <v>1698754.7747301185</v>
      </c>
    </row>
    <row r="230" spans="2:9" x14ac:dyDescent="0.3">
      <c r="B230">
        <v>228</v>
      </c>
      <c r="C230" s="1">
        <v>50740</v>
      </c>
      <c r="D230" s="1" t="str">
        <f t="shared" si="16"/>
        <v>XII</v>
      </c>
      <c r="E230">
        <f t="shared" si="14"/>
        <v>1698754.7747301185</v>
      </c>
      <c r="F230">
        <v>3000</v>
      </c>
      <c r="G230">
        <v>0</v>
      </c>
      <c r="H230" s="4">
        <f t="shared" si="17"/>
        <v>25434.26522430138</v>
      </c>
      <c r="I230">
        <f t="shared" si="15"/>
        <v>1727189.0399544199</v>
      </c>
    </row>
    <row r="231" spans="2:9" x14ac:dyDescent="0.3">
      <c r="B231">
        <v>229</v>
      </c>
      <c r="C231" s="1">
        <v>50771</v>
      </c>
      <c r="D231" s="1" t="str">
        <f t="shared" si="16"/>
        <v>I</v>
      </c>
      <c r="E231">
        <f t="shared" si="14"/>
        <v>1727189.0399544199</v>
      </c>
      <c r="F231">
        <v>3000</v>
      </c>
      <c r="G231">
        <v>0</v>
      </c>
      <c r="H231" s="4">
        <f t="shared" si="17"/>
        <v>22106.849787790521</v>
      </c>
      <c r="I231">
        <f t="shared" si="15"/>
        <v>1752295.8897422105</v>
      </c>
    </row>
    <row r="232" spans="2:9" x14ac:dyDescent="0.3">
      <c r="B232">
        <v>230</v>
      </c>
      <c r="C232" s="1">
        <v>50802</v>
      </c>
      <c r="D232" s="1" t="str">
        <f t="shared" si="16"/>
        <v>II</v>
      </c>
      <c r="E232">
        <f t="shared" si="14"/>
        <v>1752295.8897422105</v>
      </c>
      <c r="F232">
        <v>3000</v>
      </c>
      <c r="G232">
        <v>0</v>
      </c>
      <c r="H232" s="4">
        <f t="shared" si="17"/>
        <v>1224.3935877355734</v>
      </c>
      <c r="I232">
        <f t="shared" si="15"/>
        <v>1756520.283329946</v>
      </c>
    </row>
    <row r="233" spans="2:9" x14ac:dyDescent="0.3">
      <c r="B233">
        <v>231</v>
      </c>
      <c r="C233" s="1">
        <v>50830</v>
      </c>
      <c r="D233" s="1" t="str">
        <f t="shared" si="16"/>
        <v>III</v>
      </c>
      <c r="E233">
        <f t="shared" si="14"/>
        <v>1756520.283329946</v>
      </c>
      <c r="F233">
        <v>3000</v>
      </c>
      <c r="G233">
        <v>0</v>
      </c>
      <c r="H233" s="4">
        <f t="shared" si="17"/>
        <v>15434.740005594786</v>
      </c>
      <c r="I233">
        <f t="shared" si="15"/>
        <v>1774955.0233355407</v>
      </c>
    </row>
    <row r="234" spans="2:9" x14ac:dyDescent="0.3">
      <c r="B234">
        <v>232</v>
      </c>
      <c r="C234" s="1">
        <v>50861</v>
      </c>
      <c r="D234" s="1" t="str">
        <f t="shared" si="16"/>
        <v>IV</v>
      </c>
      <c r="E234">
        <f t="shared" si="14"/>
        <v>1774955.0233355407</v>
      </c>
      <c r="F234">
        <v>3000</v>
      </c>
      <c r="G234">
        <v>0</v>
      </c>
      <c r="H234" s="4">
        <f t="shared" si="17"/>
        <v>30616.714746906629</v>
      </c>
      <c r="I234">
        <f t="shared" si="15"/>
        <v>1808571.7380824473</v>
      </c>
    </row>
    <row r="235" spans="2:9" x14ac:dyDescent="0.3">
      <c r="B235">
        <v>233</v>
      </c>
      <c r="C235" s="1">
        <v>50891</v>
      </c>
      <c r="D235" s="1" t="str">
        <f t="shared" si="16"/>
        <v>V</v>
      </c>
      <c r="E235">
        <f t="shared" si="14"/>
        <v>1808571.7380824473</v>
      </c>
      <c r="F235">
        <v>3000</v>
      </c>
      <c r="G235">
        <v>0</v>
      </c>
      <c r="H235" s="4">
        <f t="shared" si="17"/>
        <v>10332.107783840187</v>
      </c>
      <c r="I235">
        <f t="shared" si="15"/>
        <v>1821903.8458662876</v>
      </c>
    </row>
    <row r="236" spans="2:9" x14ac:dyDescent="0.3">
      <c r="B236">
        <v>234</v>
      </c>
      <c r="C236" s="1">
        <v>50922</v>
      </c>
      <c r="D236" s="1" t="str">
        <f t="shared" si="16"/>
        <v>VI</v>
      </c>
      <c r="E236">
        <f t="shared" si="14"/>
        <v>1821903.8458662876</v>
      </c>
      <c r="F236">
        <v>3000</v>
      </c>
      <c r="G236">
        <v>0</v>
      </c>
      <c r="H236" s="4">
        <f t="shared" si="17"/>
        <v>7883.504624690805</v>
      </c>
      <c r="I236">
        <f t="shared" si="15"/>
        <v>1832787.3504909785</v>
      </c>
    </row>
    <row r="237" spans="2:9" x14ac:dyDescent="0.3">
      <c r="B237">
        <v>235</v>
      </c>
      <c r="C237" s="1">
        <v>50952</v>
      </c>
      <c r="D237" s="1" t="str">
        <f t="shared" si="16"/>
        <v>VII</v>
      </c>
      <c r="E237">
        <f t="shared" si="14"/>
        <v>1832787.3504909785</v>
      </c>
      <c r="F237">
        <v>3000</v>
      </c>
      <c r="G237">
        <v>0</v>
      </c>
      <c r="H237" s="4">
        <f t="shared" si="17"/>
        <v>11105.177579983805</v>
      </c>
      <c r="I237">
        <f t="shared" si="15"/>
        <v>1846892.5280709623</v>
      </c>
    </row>
    <row r="238" spans="2:9" x14ac:dyDescent="0.3">
      <c r="B238">
        <v>236</v>
      </c>
      <c r="C238" s="1">
        <v>50983</v>
      </c>
      <c r="D238" s="1" t="str">
        <f t="shared" si="16"/>
        <v>VIII</v>
      </c>
      <c r="E238">
        <f t="shared" si="14"/>
        <v>1846892.5280709623</v>
      </c>
      <c r="F238">
        <v>3000</v>
      </c>
      <c r="G238">
        <v>0</v>
      </c>
      <c r="H238" s="4">
        <f t="shared" si="17"/>
        <v>432.5237123397244</v>
      </c>
      <c r="I238">
        <f t="shared" si="15"/>
        <v>1850325.0517833021</v>
      </c>
    </row>
    <row r="239" spans="2:9" x14ac:dyDescent="0.3">
      <c r="B239">
        <v>237</v>
      </c>
      <c r="C239" s="1">
        <v>51014</v>
      </c>
      <c r="D239" s="1" t="str">
        <f t="shared" si="16"/>
        <v>IX</v>
      </c>
      <c r="E239">
        <f t="shared" si="14"/>
        <v>1850325.0517833021</v>
      </c>
      <c r="F239">
        <v>3000</v>
      </c>
      <c r="G239">
        <v>0</v>
      </c>
      <c r="H239" s="4">
        <f t="shared" si="17"/>
        <v>-10720.501001821554</v>
      </c>
      <c r="I239">
        <f t="shared" si="15"/>
        <v>1842604.5507814805</v>
      </c>
    </row>
    <row r="240" spans="2:9" x14ac:dyDescent="0.3">
      <c r="B240">
        <v>238</v>
      </c>
      <c r="C240" s="1">
        <v>51044</v>
      </c>
      <c r="D240" s="1" t="str">
        <f t="shared" si="16"/>
        <v>X</v>
      </c>
      <c r="E240">
        <f t="shared" si="14"/>
        <v>1842604.5507814805</v>
      </c>
      <c r="F240">
        <v>3000</v>
      </c>
      <c r="G240">
        <v>0</v>
      </c>
      <c r="H240" s="4">
        <f t="shared" si="17"/>
        <v>15049.361337900475</v>
      </c>
      <c r="I240">
        <f t="shared" si="15"/>
        <v>1860653.9121193809</v>
      </c>
    </row>
    <row r="241" spans="2:9" x14ac:dyDescent="0.3">
      <c r="B241">
        <v>239</v>
      </c>
      <c r="C241" s="1">
        <v>51075</v>
      </c>
      <c r="D241" s="1" t="str">
        <f t="shared" si="16"/>
        <v>XI</v>
      </c>
      <c r="E241">
        <f t="shared" si="14"/>
        <v>1860653.9121193809</v>
      </c>
      <c r="F241">
        <v>3000</v>
      </c>
      <c r="G241">
        <v>0</v>
      </c>
      <c r="H241" s="4">
        <f t="shared" si="17"/>
        <v>24608.441997673453</v>
      </c>
      <c r="I241">
        <f t="shared" si="15"/>
        <v>1888262.3541170543</v>
      </c>
    </row>
    <row r="242" spans="2:9" x14ac:dyDescent="0.3">
      <c r="B242">
        <v>240</v>
      </c>
      <c r="C242" s="1">
        <v>51105</v>
      </c>
      <c r="D242" s="1" t="str">
        <f t="shared" si="16"/>
        <v>XII</v>
      </c>
      <c r="E242">
        <f t="shared" si="14"/>
        <v>1888262.3541170543</v>
      </c>
      <c r="F242">
        <v>3000</v>
      </c>
      <c r="G242">
        <v>0</v>
      </c>
      <c r="H242" s="4">
        <f t="shared" si="17"/>
        <v>28266.62750570416</v>
      </c>
      <c r="I242">
        <f t="shared" si="15"/>
        <v>1919528.9816227583</v>
      </c>
    </row>
    <row r="243" spans="2:9" x14ac:dyDescent="0.3">
      <c r="B243">
        <v>241</v>
      </c>
      <c r="C243" s="1">
        <v>51136</v>
      </c>
      <c r="D243" s="1" t="str">
        <f t="shared" si="16"/>
        <v>I</v>
      </c>
      <c r="E243">
        <f t="shared" ref="E243:E306" si="18">I242</f>
        <v>1919528.9816227583</v>
      </c>
      <c r="F243">
        <v>0</v>
      </c>
      <c r="G243">
        <v>-15000</v>
      </c>
      <c r="H243" s="4">
        <f t="shared" si="17"/>
        <v>24334.41383626909</v>
      </c>
      <c r="I243">
        <f t="shared" ref="I243:I306" si="19">SUM(E243:H243)</f>
        <v>1928863.3954590275</v>
      </c>
    </row>
    <row r="244" spans="2:9" x14ac:dyDescent="0.3">
      <c r="B244">
        <v>242</v>
      </c>
      <c r="C244" s="1">
        <v>51167</v>
      </c>
      <c r="D244" s="1" t="str">
        <f t="shared" si="16"/>
        <v>II</v>
      </c>
      <c r="E244">
        <f t="shared" si="18"/>
        <v>1928863.3954590275</v>
      </c>
      <c r="F244">
        <v>0</v>
      </c>
      <c r="G244">
        <v>-15000</v>
      </c>
      <c r="H244" s="4">
        <f t="shared" si="17"/>
        <v>1335.0011715381015</v>
      </c>
      <c r="I244">
        <f t="shared" si="19"/>
        <v>1915198.3966305656</v>
      </c>
    </row>
    <row r="245" spans="2:9" x14ac:dyDescent="0.3">
      <c r="B245">
        <v>243</v>
      </c>
      <c r="C245" s="1">
        <v>51196</v>
      </c>
      <c r="D245" s="1" t="str">
        <f t="shared" si="16"/>
        <v>III</v>
      </c>
      <c r="E245">
        <f t="shared" si="18"/>
        <v>1915198.3966305656</v>
      </c>
      <c r="F245">
        <v>0</v>
      </c>
      <c r="G245">
        <v>-15000</v>
      </c>
      <c r="H245" s="4">
        <f t="shared" si="17"/>
        <v>16668.786651060767</v>
      </c>
      <c r="I245">
        <f t="shared" si="19"/>
        <v>1916867.1832816263</v>
      </c>
    </row>
    <row r="246" spans="2:9" x14ac:dyDescent="0.3">
      <c r="B246">
        <v>244</v>
      </c>
      <c r="C246" s="1">
        <v>51227</v>
      </c>
      <c r="D246" s="1" t="str">
        <f t="shared" si="16"/>
        <v>IV</v>
      </c>
      <c r="E246">
        <f t="shared" si="18"/>
        <v>1916867.1832816263</v>
      </c>
      <c r="F246">
        <v>0</v>
      </c>
      <c r="G246">
        <v>-15000</v>
      </c>
      <c r="H246" s="4">
        <f t="shared" si="17"/>
        <v>32750.50508746599</v>
      </c>
      <c r="I246">
        <f t="shared" si="19"/>
        <v>1934617.6883690923</v>
      </c>
    </row>
    <row r="247" spans="2:9" x14ac:dyDescent="0.3">
      <c r="B247">
        <v>245</v>
      </c>
      <c r="C247" s="1">
        <v>51257</v>
      </c>
      <c r="D247" s="1" t="str">
        <f t="shared" si="16"/>
        <v>V</v>
      </c>
      <c r="E247">
        <f t="shared" si="18"/>
        <v>1934617.6883690923</v>
      </c>
      <c r="F247">
        <v>0</v>
      </c>
      <c r="G247">
        <v>-15000</v>
      </c>
      <c r="H247" s="4">
        <f t="shared" si="17"/>
        <v>10948.33643242283</v>
      </c>
      <c r="I247">
        <f t="shared" si="19"/>
        <v>1930566.024801515</v>
      </c>
    </row>
    <row r="248" spans="2:9" x14ac:dyDescent="0.3">
      <c r="B248">
        <v>246</v>
      </c>
      <c r="C248" s="1">
        <v>51288</v>
      </c>
      <c r="D248" s="1" t="str">
        <f t="shared" si="16"/>
        <v>VI</v>
      </c>
      <c r="E248">
        <f t="shared" si="18"/>
        <v>1930566.024801515</v>
      </c>
      <c r="F248">
        <v>0</v>
      </c>
      <c r="G248">
        <v>-15000</v>
      </c>
      <c r="H248" s="4">
        <f t="shared" si="17"/>
        <v>8275.1612637731359</v>
      </c>
      <c r="I248">
        <f t="shared" si="19"/>
        <v>1923841.1860652883</v>
      </c>
    </row>
    <row r="249" spans="2:9" x14ac:dyDescent="0.3">
      <c r="B249">
        <v>247</v>
      </c>
      <c r="C249" s="1">
        <v>51318</v>
      </c>
      <c r="D249" s="1" t="str">
        <f t="shared" si="16"/>
        <v>VII</v>
      </c>
      <c r="E249">
        <f t="shared" si="18"/>
        <v>1923841.1860652883</v>
      </c>
      <c r="F249">
        <v>0</v>
      </c>
      <c r="G249">
        <v>-15000</v>
      </c>
      <c r="H249" s="4">
        <f t="shared" si="17"/>
        <v>11547.100124408504</v>
      </c>
      <c r="I249">
        <f t="shared" si="19"/>
        <v>1920388.2861896968</v>
      </c>
    </row>
    <row r="250" spans="2:9" x14ac:dyDescent="0.3">
      <c r="B250">
        <v>248</v>
      </c>
      <c r="C250" s="1">
        <v>51349</v>
      </c>
      <c r="D250" s="1" t="str">
        <f t="shared" si="16"/>
        <v>VIII</v>
      </c>
      <c r="E250">
        <f t="shared" si="18"/>
        <v>1920388.2861896968</v>
      </c>
      <c r="F250">
        <v>0</v>
      </c>
      <c r="G250">
        <v>-15000</v>
      </c>
      <c r="H250" s="4">
        <f t="shared" si="17"/>
        <v>445.49918575582205</v>
      </c>
      <c r="I250">
        <f t="shared" si="19"/>
        <v>1905833.7853754526</v>
      </c>
    </row>
    <row r="251" spans="2:9" x14ac:dyDescent="0.3">
      <c r="B251">
        <v>249</v>
      </c>
      <c r="C251" s="1">
        <v>51380</v>
      </c>
      <c r="D251" s="1" t="str">
        <f t="shared" si="16"/>
        <v>IX</v>
      </c>
      <c r="E251">
        <f t="shared" si="18"/>
        <v>1905833.7853754526</v>
      </c>
      <c r="F251">
        <v>0</v>
      </c>
      <c r="G251">
        <v>-15000</v>
      </c>
      <c r="H251" s="4">
        <f t="shared" si="17"/>
        <v>-10937.469102298472</v>
      </c>
      <c r="I251">
        <f t="shared" si="19"/>
        <v>1879896.3162731542</v>
      </c>
    </row>
    <row r="252" spans="2:9" x14ac:dyDescent="0.3">
      <c r="B252">
        <v>250</v>
      </c>
      <c r="C252" s="1">
        <v>51410</v>
      </c>
      <c r="D252" s="1" t="str">
        <f t="shared" si="16"/>
        <v>X</v>
      </c>
      <c r="E252">
        <f t="shared" si="18"/>
        <v>1879896.3162731542</v>
      </c>
      <c r="F252">
        <v>0</v>
      </c>
      <c r="G252">
        <v>-15000</v>
      </c>
      <c r="H252" s="4">
        <f t="shared" si="17"/>
        <v>15206.669548701811</v>
      </c>
      <c r="I252">
        <f t="shared" si="19"/>
        <v>1880102.985821856</v>
      </c>
    </row>
    <row r="253" spans="2:9" x14ac:dyDescent="0.3">
      <c r="B253">
        <v>251</v>
      </c>
      <c r="C253" s="1">
        <v>51441</v>
      </c>
      <c r="D253" s="1" t="str">
        <f t="shared" si="16"/>
        <v>XI</v>
      </c>
      <c r="E253">
        <f t="shared" si="18"/>
        <v>1880102.985821856</v>
      </c>
      <c r="F253">
        <v>0</v>
      </c>
      <c r="G253">
        <v>-15000</v>
      </c>
      <c r="H253" s="4">
        <f t="shared" si="17"/>
        <v>24627.57615446395</v>
      </c>
      <c r="I253">
        <f t="shared" si="19"/>
        <v>1889730.5619763199</v>
      </c>
    </row>
    <row r="254" spans="2:9" x14ac:dyDescent="0.3">
      <c r="B254">
        <v>252</v>
      </c>
      <c r="C254" s="1">
        <v>51471</v>
      </c>
      <c r="D254" s="1" t="str">
        <f t="shared" si="16"/>
        <v>XII</v>
      </c>
      <c r="E254">
        <f t="shared" si="18"/>
        <v>1889730.5619763199</v>
      </c>
      <c r="F254">
        <v>0</v>
      </c>
      <c r="G254">
        <v>-15000</v>
      </c>
      <c r="H254" s="4">
        <f t="shared" si="17"/>
        <v>28019.544910618071</v>
      </c>
      <c r="I254">
        <f t="shared" si="19"/>
        <v>1902750.106886938</v>
      </c>
    </row>
    <row r="255" spans="2:9" x14ac:dyDescent="0.3">
      <c r="B255">
        <v>253</v>
      </c>
      <c r="C255" s="1">
        <v>51502</v>
      </c>
      <c r="D255" s="1" t="str">
        <f t="shared" si="16"/>
        <v>I</v>
      </c>
      <c r="E255">
        <f t="shared" si="18"/>
        <v>1902750.106886938</v>
      </c>
      <c r="F255">
        <v>0</v>
      </c>
      <c r="G255">
        <v>-15000</v>
      </c>
      <c r="H255" s="4">
        <f t="shared" si="17"/>
        <v>24120.027977367394</v>
      </c>
      <c r="I255">
        <f t="shared" si="19"/>
        <v>1911870.1348643054</v>
      </c>
    </row>
    <row r="256" spans="2:9" x14ac:dyDescent="0.3">
      <c r="B256">
        <v>254</v>
      </c>
      <c r="C256" s="1">
        <v>51533</v>
      </c>
      <c r="D256" s="1" t="str">
        <f t="shared" si="16"/>
        <v>II</v>
      </c>
      <c r="E256">
        <f t="shared" si="18"/>
        <v>1911870.1348643054</v>
      </c>
      <c r="F256">
        <v>0</v>
      </c>
      <c r="G256">
        <v>-15000</v>
      </c>
      <c r="H256" s="4">
        <f t="shared" si="17"/>
        <v>1323.1476490473988</v>
      </c>
      <c r="I256">
        <f t="shared" si="19"/>
        <v>1898193.2825133528</v>
      </c>
    </row>
    <row r="257" spans="2:9" x14ac:dyDescent="0.3">
      <c r="B257">
        <v>255</v>
      </c>
      <c r="C257" s="1">
        <v>51561</v>
      </c>
      <c r="D257" s="1" t="str">
        <f t="shared" si="16"/>
        <v>III</v>
      </c>
      <c r="E257">
        <f t="shared" si="18"/>
        <v>1898193.2825133528</v>
      </c>
      <c r="F257">
        <v>0</v>
      </c>
      <c r="G257">
        <v>-15000</v>
      </c>
      <c r="H257" s="4">
        <f t="shared" si="17"/>
        <v>16519.615585713385</v>
      </c>
      <c r="I257">
        <f t="shared" si="19"/>
        <v>1899712.8980990662</v>
      </c>
    </row>
    <row r="258" spans="2:9" x14ac:dyDescent="0.3">
      <c r="B258">
        <v>256</v>
      </c>
      <c r="C258" s="1">
        <v>51592</v>
      </c>
      <c r="D258" s="1" t="str">
        <f t="shared" si="16"/>
        <v>IV</v>
      </c>
      <c r="E258">
        <f t="shared" si="18"/>
        <v>1899712.8980990662</v>
      </c>
      <c r="F258">
        <v>0</v>
      </c>
      <c r="G258">
        <v>-15000</v>
      </c>
      <c r="H258" s="4">
        <f t="shared" si="17"/>
        <v>32455.105119959382</v>
      </c>
      <c r="I258">
        <f t="shared" si="19"/>
        <v>1917168.0032190257</v>
      </c>
    </row>
    <row r="259" spans="2:9" x14ac:dyDescent="0.3">
      <c r="B259">
        <v>257</v>
      </c>
      <c r="C259" s="1">
        <v>51622</v>
      </c>
      <c r="D259" s="1" t="str">
        <f t="shared" si="16"/>
        <v>V</v>
      </c>
      <c r="E259">
        <f t="shared" si="18"/>
        <v>1917168.0032190257</v>
      </c>
      <c r="F259">
        <v>0</v>
      </c>
      <c r="G259">
        <v>-15000</v>
      </c>
      <c r="H259" s="4">
        <f t="shared" si="17"/>
        <v>10848.813998961043</v>
      </c>
      <c r="I259">
        <f t="shared" si="19"/>
        <v>1913016.8172179868</v>
      </c>
    </row>
    <row r="260" spans="2:9" x14ac:dyDescent="0.3">
      <c r="B260">
        <v>258</v>
      </c>
      <c r="C260" s="1">
        <v>51653</v>
      </c>
      <c r="D260" s="1" t="str">
        <f t="shared" ref="D260:D323" si="20">TEXT(C260,"mmm")</f>
        <v>VI</v>
      </c>
      <c r="E260">
        <f t="shared" si="18"/>
        <v>1913016.8172179868</v>
      </c>
      <c r="F260">
        <v>0</v>
      </c>
      <c r="G260">
        <v>-15000</v>
      </c>
      <c r="H260" s="4">
        <f t="shared" si="17"/>
        <v>8199.349456231721</v>
      </c>
      <c r="I260">
        <f t="shared" si="19"/>
        <v>1906216.1666742186</v>
      </c>
    </row>
    <row r="261" spans="2:9" x14ac:dyDescent="0.3">
      <c r="B261">
        <v>259</v>
      </c>
      <c r="C261" s="1">
        <v>51683</v>
      </c>
      <c r="D261" s="1" t="str">
        <f t="shared" si="20"/>
        <v>VII</v>
      </c>
      <c r="E261">
        <f t="shared" si="18"/>
        <v>1906216.1666742186</v>
      </c>
      <c r="F261">
        <v>0</v>
      </c>
      <c r="G261">
        <v>-15000</v>
      </c>
      <c r="H261" s="4">
        <f t="shared" ref="H261:H324" si="21">SUM(E261:G261)*VLOOKUP(D261,$U$4:$V$15,2,FALSE)</f>
        <v>11440.481582704238</v>
      </c>
      <c r="I261">
        <f t="shared" si="19"/>
        <v>1902656.6482569228</v>
      </c>
    </row>
    <row r="262" spans="2:9" x14ac:dyDescent="0.3">
      <c r="B262">
        <v>260</v>
      </c>
      <c r="C262" s="1">
        <v>51714</v>
      </c>
      <c r="D262" s="1" t="str">
        <f t="shared" si="20"/>
        <v>VIII</v>
      </c>
      <c r="E262">
        <f t="shared" si="18"/>
        <v>1902656.6482569228</v>
      </c>
      <c r="F262">
        <v>0</v>
      </c>
      <c r="G262">
        <v>-15000</v>
      </c>
      <c r="H262" s="4">
        <f t="shared" si="21"/>
        <v>441.35334822841457</v>
      </c>
      <c r="I262">
        <f t="shared" si="19"/>
        <v>1888098.0016051512</v>
      </c>
    </row>
    <row r="263" spans="2:9" x14ac:dyDescent="0.3">
      <c r="B263">
        <v>261</v>
      </c>
      <c r="C263" s="1">
        <v>51745</v>
      </c>
      <c r="D263" s="1" t="str">
        <f t="shared" si="20"/>
        <v>IX</v>
      </c>
      <c r="E263">
        <f t="shared" si="18"/>
        <v>1888098.0016051512</v>
      </c>
      <c r="F263">
        <v>0</v>
      </c>
      <c r="G263">
        <v>-15000</v>
      </c>
      <c r="H263" s="4">
        <f t="shared" si="21"/>
        <v>-10834.877013827723</v>
      </c>
      <c r="I263">
        <f t="shared" si="19"/>
        <v>1862263.1245913235</v>
      </c>
    </row>
    <row r="264" spans="2:9" x14ac:dyDescent="0.3">
      <c r="B264">
        <v>262</v>
      </c>
      <c r="C264" s="1">
        <v>51775</v>
      </c>
      <c r="D264" s="1" t="str">
        <f t="shared" si="20"/>
        <v>X</v>
      </c>
      <c r="E264">
        <f t="shared" si="18"/>
        <v>1862263.1245913235</v>
      </c>
      <c r="F264">
        <v>0</v>
      </c>
      <c r="G264">
        <v>-15000</v>
      </c>
      <c r="H264" s="4">
        <f t="shared" si="21"/>
        <v>15062.885619989689</v>
      </c>
      <c r="I264">
        <f t="shared" si="19"/>
        <v>1862326.0102113131</v>
      </c>
    </row>
    <row r="265" spans="2:9" x14ac:dyDescent="0.3">
      <c r="B265">
        <v>263</v>
      </c>
      <c r="C265" s="1">
        <v>51806</v>
      </c>
      <c r="D265" s="1" t="str">
        <f t="shared" si="20"/>
        <v>XI</v>
      </c>
      <c r="E265">
        <f t="shared" si="18"/>
        <v>1862326.0102113131</v>
      </c>
      <c r="F265">
        <v>0</v>
      </c>
      <c r="G265">
        <v>-15000</v>
      </c>
      <c r="H265" s="4">
        <f t="shared" si="21"/>
        <v>24392.841759648869</v>
      </c>
      <c r="I265">
        <f t="shared" si="19"/>
        <v>1871718.851970962</v>
      </c>
    </row>
    <row r="266" spans="2:9" x14ac:dyDescent="0.3">
      <c r="B266">
        <v>264</v>
      </c>
      <c r="C266" s="1">
        <v>51836</v>
      </c>
      <c r="D266" s="1" t="str">
        <f t="shared" si="20"/>
        <v>XII</v>
      </c>
      <c r="E266">
        <f t="shared" si="18"/>
        <v>1871718.851970962</v>
      </c>
      <c r="F266">
        <v>0</v>
      </c>
      <c r="G266">
        <v>-15000</v>
      </c>
      <c r="H266" s="4">
        <f t="shared" si="21"/>
        <v>27750.343603695266</v>
      </c>
      <c r="I266">
        <f t="shared" si="19"/>
        <v>1884469.1955746573</v>
      </c>
    </row>
    <row r="267" spans="2:9" x14ac:dyDescent="0.3">
      <c r="B267">
        <v>265</v>
      </c>
      <c r="C267" s="1">
        <v>51867</v>
      </c>
      <c r="D267" s="1" t="str">
        <f t="shared" si="20"/>
        <v>I</v>
      </c>
      <c r="E267">
        <f t="shared" si="18"/>
        <v>1884469.1955746573</v>
      </c>
      <c r="F267">
        <v>0</v>
      </c>
      <c r="G267">
        <v>-15000</v>
      </c>
      <c r="H267" s="4">
        <f t="shared" si="21"/>
        <v>23886.450402297818</v>
      </c>
      <c r="I267">
        <f t="shared" si="19"/>
        <v>1893355.6459769551</v>
      </c>
    </row>
    <row r="268" spans="2:9" x14ac:dyDescent="0.3">
      <c r="B268">
        <v>266</v>
      </c>
      <c r="C268" s="1">
        <v>51898</v>
      </c>
      <c r="D268" s="1" t="str">
        <f t="shared" si="20"/>
        <v>II</v>
      </c>
      <c r="E268">
        <f t="shared" si="18"/>
        <v>1893355.6459769551</v>
      </c>
      <c r="F268">
        <v>0</v>
      </c>
      <c r="G268">
        <v>-15000</v>
      </c>
      <c r="H268" s="4">
        <f t="shared" si="21"/>
        <v>1310.2330050797641</v>
      </c>
      <c r="I268">
        <f t="shared" si="19"/>
        <v>1879665.8789820347</v>
      </c>
    </row>
    <row r="269" spans="2:9" x14ac:dyDescent="0.3">
      <c r="B269">
        <v>267</v>
      </c>
      <c r="C269" s="1">
        <v>51926</v>
      </c>
      <c r="D269" s="1" t="str">
        <f t="shared" si="20"/>
        <v>III</v>
      </c>
      <c r="E269">
        <f t="shared" si="18"/>
        <v>1879665.8789820347</v>
      </c>
      <c r="F269">
        <v>0</v>
      </c>
      <c r="G269">
        <v>-15000</v>
      </c>
      <c r="H269" s="4">
        <f t="shared" si="21"/>
        <v>16357.09080029663</v>
      </c>
      <c r="I269">
        <f t="shared" si="19"/>
        <v>1881022.9697823313</v>
      </c>
    </row>
    <row r="270" spans="2:9" x14ac:dyDescent="0.3">
      <c r="B270">
        <v>268</v>
      </c>
      <c r="C270" s="1">
        <v>51957</v>
      </c>
      <c r="D270" s="1" t="str">
        <f t="shared" si="20"/>
        <v>IV</v>
      </c>
      <c r="E270">
        <f t="shared" si="18"/>
        <v>1881022.9697823313</v>
      </c>
      <c r="F270">
        <v>0</v>
      </c>
      <c r="G270">
        <v>-15000</v>
      </c>
      <c r="H270" s="4">
        <f t="shared" si="21"/>
        <v>32133.261093308989</v>
      </c>
      <c r="I270">
        <f t="shared" si="19"/>
        <v>1898156.2308756402</v>
      </c>
    </row>
    <row r="271" spans="2:9" x14ac:dyDescent="0.3">
      <c r="B271">
        <v>269</v>
      </c>
      <c r="C271" s="1">
        <v>51987</v>
      </c>
      <c r="D271" s="1" t="str">
        <f t="shared" si="20"/>
        <v>V</v>
      </c>
      <c r="E271">
        <f t="shared" si="18"/>
        <v>1898156.2308756402</v>
      </c>
      <c r="F271">
        <v>0</v>
      </c>
      <c r="G271">
        <v>-15000</v>
      </c>
      <c r="H271" s="4">
        <f t="shared" si="21"/>
        <v>10740.382366426515</v>
      </c>
      <c r="I271">
        <f t="shared" si="19"/>
        <v>1893896.6132420667</v>
      </c>
    </row>
    <row r="272" spans="2:9" x14ac:dyDescent="0.3">
      <c r="B272">
        <v>270</v>
      </c>
      <c r="C272" s="1">
        <v>52018</v>
      </c>
      <c r="D272" s="1" t="str">
        <f t="shared" si="20"/>
        <v>VI</v>
      </c>
      <c r="E272">
        <f t="shared" si="18"/>
        <v>1893896.6132420667</v>
      </c>
      <c r="F272">
        <v>0</v>
      </c>
      <c r="G272">
        <v>-15000</v>
      </c>
      <c r="H272" s="4">
        <f t="shared" si="21"/>
        <v>8116.7510131353156</v>
      </c>
      <c r="I272">
        <f t="shared" si="19"/>
        <v>1887013.364255202</v>
      </c>
    </row>
    <row r="273" spans="2:9" x14ac:dyDescent="0.3">
      <c r="B273">
        <v>271</v>
      </c>
      <c r="C273" s="1">
        <v>52048</v>
      </c>
      <c r="D273" s="1" t="str">
        <f t="shared" si="20"/>
        <v>VII</v>
      </c>
      <c r="E273">
        <f t="shared" si="18"/>
        <v>1887013.364255202</v>
      </c>
      <c r="F273">
        <v>0</v>
      </c>
      <c r="G273">
        <v>-15000</v>
      </c>
      <c r="H273" s="4">
        <f t="shared" si="21"/>
        <v>11324.318601823315</v>
      </c>
      <c r="I273">
        <f t="shared" si="19"/>
        <v>1883337.6828570254</v>
      </c>
    </row>
    <row r="274" spans="2:9" x14ac:dyDescent="0.3">
      <c r="B274">
        <v>272</v>
      </c>
      <c r="C274" s="1">
        <v>52079</v>
      </c>
      <c r="D274" s="1" t="str">
        <f t="shared" si="20"/>
        <v>VIII</v>
      </c>
      <c r="E274">
        <f t="shared" si="18"/>
        <v>1883337.6828570254</v>
      </c>
      <c r="F274">
        <v>0</v>
      </c>
      <c r="G274">
        <v>-15000</v>
      </c>
      <c r="H274" s="4">
        <f t="shared" si="21"/>
        <v>436.83637737387545</v>
      </c>
      <c r="I274">
        <f t="shared" si="19"/>
        <v>1868774.5192343993</v>
      </c>
    </row>
    <row r="275" spans="2:9" x14ac:dyDescent="0.3">
      <c r="B275">
        <v>273</v>
      </c>
      <c r="C275" s="1">
        <v>52110</v>
      </c>
      <c r="D275" s="1" t="str">
        <f t="shared" si="20"/>
        <v>IX</v>
      </c>
      <c r="E275">
        <f t="shared" si="18"/>
        <v>1868774.5192343993</v>
      </c>
      <c r="F275">
        <v>0</v>
      </c>
      <c r="G275">
        <v>-15000</v>
      </c>
      <c r="H275" s="4">
        <f t="shared" si="21"/>
        <v>-10723.100932284447</v>
      </c>
      <c r="I275">
        <f t="shared" si="19"/>
        <v>1843051.4183021148</v>
      </c>
    </row>
    <row r="276" spans="2:9" x14ac:dyDescent="0.3">
      <c r="B276">
        <v>274</v>
      </c>
      <c r="C276" s="1">
        <v>52140</v>
      </c>
      <c r="D276" s="1" t="str">
        <f t="shared" si="20"/>
        <v>X</v>
      </c>
      <c r="E276">
        <f t="shared" si="18"/>
        <v>1843051.4183021148</v>
      </c>
      <c r="F276">
        <v>0</v>
      </c>
      <c r="G276">
        <v>-15000</v>
      </c>
      <c r="H276" s="4">
        <f t="shared" si="21"/>
        <v>14906.230225018164</v>
      </c>
      <c r="I276">
        <f t="shared" si="19"/>
        <v>1842957.648527133</v>
      </c>
    </row>
    <row r="277" spans="2:9" x14ac:dyDescent="0.3">
      <c r="B277">
        <v>275</v>
      </c>
      <c r="C277" s="1">
        <v>52171</v>
      </c>
      <c r="D277" s="1" t="str">
        <f t="shared" si="20"/>
        <v>XI</v>
      </c>
      <c r="E277">
        <f t="shared" si="18"/>
        <v>1842957.648527133</v>
      </c>
      <c r="F277">
        <v>0</v>
      </c>
      <c r="G277">
        <v>-15000</v>
      </c>
      <c r="H277" s="4">
        <f t="shared" si="21"/>
        <v>24137.094057784481</v>
      </c>
      <c r="I277">
        <f t="shared" si="19"/>
        <v>1852094.7425849175</v>
      </c>
    </row>
    <row r="278" spans="2:9" x14ac:dyDescent="0.3">
      <c r="B278">
        <v>276</v>
      </c>
      <c r="C278" s="1">
        <v>52201</v>
      </c>
      <c r="D278" s="1" t="str">
        <f t="shared" si="20"/>
        <v>XII</v>
      </c>
      <c r="E278">
        <f t="shared" si="18"/>
        <v>1852094.7425849175</v>
      </c>
      <c r="F278">
        <v>0</v>
      </c>
      <c r="G278">
        <v>-15000</v>
      </c>
      <c r="H278" s="4">
        <f t="shared" si="21"/>
        <v>27457.043528780232</v>
      </c>
      <c r="I278">
        <f t="shared" si="19"/>
        <v>1864551.7861136978</v>
      </c>
    </row>
    <row r="279" spans="2:9" x14ac:dyDescent="0.3">
      <c r="B279">
        <v>277</v>
      </c>
      <c r="C279" s="1">
        <v>52232</v>
      </c>
      <c r="D279" s="1" t="str">
        <f t="shared" si="20"/>
        <v>I</v>
      </c>
      <c r="E279">
        <f t="shared" si="18"/>
        <v>1864551.7861136978</v>
      </c>
      <c r="F279">
        <v>0</v>
      </c>
      <c r="G279">
        <v>-15000</v>
      </c>
      <c r="H279" s="4">
        <f t="shared" si="21"/>
        <v>23631.963078111006</v>
      </c>
      <c r="I279">
        <f t="shared" si="19"/>
        <v>1873183.7491918087</v>
      </c>
    </row>
    <row r="280" spans="2:9" x14ac:dyDescent="0.3">
      <c r="B280">
        <v>278</v>
      </c>
      <c r="C280" s="1">
        <v>52263</v>
      </c>
      <c r="D280" s="1" t="str">
        <f t="shared" si="20"/>
        <v>II</v>
      </c>
      <c r="E280">
        <f t="shared" si="18"/>
        <v>1873183.7491918087</v>
      </c>
      <c r="F280">
        <v>0</v>
      </c>
      <c r="G280">
        <v>-15000</v>
      </c>
      <c r="H280" s="4">
        <f t="shared" si="21"/>
        <v>1296.1622485648472</v>
      </c>
      <c r="I280">
        <f t="shared" si="19"/>
        <v>1859479.9114403736</v>
      </c>
    </row>
    <row r="281" spans="2:9" x14ac:dyDescent="0.3">
      <c r="B281">
        <v>279</v>
      </c>
      <c r="C281" s="1">
        <v>52291</v>
      </c>
      <c r="D281" s="1" t="str">
        <f t="shared" si="20"/>
        <v>III</v>
      </c>
      <c r="E281">
        <f t="shared" si="18"/>
        <v>1859479.9114403736</v>
      </c>
      <c r="F281">
        <v>0</v>
      </c>
      <c r="G281">
        <v>-15000</v>
      </c>
      <c r="H281" s="4">
        <f t="shared" si="21"/>
        <v>16180.016876387512</v>
      </c>
      <c r="I281">
        <f t="shared" si="19"/>
        <v>1860659.928316761</v>
      </c>
    </row>
    <row r="282" spans="2:9" x14ac:dyDescent="0.3">
      <c r="B282">
        <v>280</v>
      </c>
      <c r="C282" s="1">
        <v>52322</v>
      </c>
      <c r="D282" s="1" t="str">
        <f t="shared" si="20"/>
        <v>IV</v>
      </c>
      <c r="E282">
        <f t="shared" si="18"/>
        <v>1860659.928316761</v>
      </c>
      <c r="F282">
        <v>0</v>
      </c>
      <c r="G282">
        <v>-15000</v>
      </c>
      <c r="H282" s="4">
        <f t="shared" si="21"/>
        <v>31782.605748405396</v>
      </c>
      <c r="I282">
        <f t="shared" si="19"/>
        <v>1877442.5340651665</v>
      </c>
    </row>
    <row r="283" spans="2:9" x14ac:dyDescent="0.3">
      <c r="B283">
        <v>281</v>
      </c>
      <c r="C283" s="1">
        <v>52352</v>
      </c>
      <c r="D283" s="1" t="str">
        <f t="shared" si="20"/>
        <v>V</v>
      </c>
      <c r="E283">
        <f t="shared" si="18"/>
        <v>1877442.5340651665</v>
      </c>
      <c r="F283">
        <v>0</v>
      </c>
      <c r="G283">
        <v>-15000</v>
      </c>
      <c r="H283" s="4">
        <f t="shared" si="21"/>
        <v>10622.243987720001</v>
      </c>
      <c r="I283">
        <f t="shared" si="19"/>
        <v>1873064.7780528865</v>
      </c>
    </row>
    <row r="284" spans="2:9" x14ac:dyDescent="0.3">
      <c r="B284">
        <v>282</v>
      </c>
      <c r="C284" s="1">
        <v>52383</v>
      </c>
      <c r="D284" s="1" t="str">
        <f t="shared" si="20"/>
        <v>VI</v>
      </c>
      <c r="E284">
        <f t="shared" si="18"/>
        <v>1873064.7780528865</v>
      </c>
      <c r="F284">
        <v>0</v>
      </c>
      <c r="G284">
        <v>-15000</v>
      </c>
      <c r="H284" s="4">
        <f t="shared" si="21"/>
        <v>8026.7583982220958</v>
      </c>
      <c r="I284">
        <f t="shared" si="19"/>
        <v>1866091.5364511085</v>
      </c>
    </row>
    <row r="285" spans="2:9" x14ac:dyDescent="0.3">
      <c r="B285">
        <v>283</v>
      </c>
      <c r="C285" s="1">
        <v>52413</v>
      </c>
      <c r="D285" s="1" t="str">
        <f t="shared" si="20"/>
        <v>VII</v>
      </c>
      <c r="E285">
        <f t="shared" si="18"/>
        <v>1866091.5364511085</v>
      </c>
      <c r="F285">
        <v>0</v>
      </c>
      <c r="G285">
        <v>-15000</v>
      </c>
      <c r="H285" s="4">
        <f t="shared" si="21"/>
        <v>11197.756768286245</v>
      </c>
      <c r="I285">
        <f t="shared" si="19"/>
        <v>1862289.2932193947</v>
      </c>
    </row>
    <row r="286" spans="2:9" x14ac:dyDescent="0.3">
      <c r="B286">
        <v>284</v>
      </c>
      <c r="C286" s="1">
        <v>52444</v>
      </c>
      <c r="D286" s="1" t="str">
        <f t="shared" si="20"/>
        <v>VIII</v>
      </c>
      <c r="E286">
        <f t="shared" si="18"/>
        <v>1862289.2932193947</v>
      </c>
      <c r="F286">
        <v>0</v>
      </c>
      <c r="G286">
        <v>-15000</v>
      </c>
      <c r="H286" s="4">
        <f t="shared" si="21"/>
        <v>431.91504952012468</v>
      </c>
      <c r="I286">
        <f t="shared" si="19"/>
        <v>1847721.2082689148</v>
      </c>
    </row>
    <row r="287" spans="2:9" x14ac:dyDescent="0.3">
      <c r="B287">
        <v>285</v>
      </c>
      <c r="C287" s="1">
        <v>52475</v>
      </c>
      <c r="D287" s="1" t="str">
        <f t="shared" si="20"/>
        <v>IX</v>
      </c>
      <c r="E287">
        <f t="shared" si="18"/>
        <v>1847721.2082689148</v>
      </c>
      <c r="F287">
        <v>0</v>
      </c>
      <c r="G287">
        <v>-15000</v>
      </c>
      <c r="H287" s="4">
        <f t="shared" si="21"/>
        <v>-10601.318711146303</v>
      </c>
      <c r="I287">
        <f t="shared" si="19"/>
        <v>1822119.8895577686</v>
      </c>
    </row>
    <row r="288" spans="2:9" x14ac:dyDescent="0.3">
      <c r="B288">
        <v>286</v>
      </c>
      <c r="C288" s="1">
        <v>52505</v>
      </c>
      <c r="D288" s="1" t="str">
        <f t="shared" si="20"/>
        <v>X</v>
      </c>
      <c r="E288">
        <f t="shared" si="18"/>
        <v>1822119.8895577686</v>
      </c>
      <c r="F288">
        <v>0</v>
      </c>
      <c r="G288">
        <v>-15000</v>
      </c>
      <c r="H288" s="4">
        <f t="shared" si="21"/>
        <v>14735.551116487068</v>
      </c>
      <c r="I288">
        <f t="shared" si="19"/>
        <v>1821855.4406742556</v>
      </c>
    </row>
    <row r="289" spans="2:9" x14ac:dyDescent="0.3">
      <c r="B289">
        <v>287</v>
      </c>
      <c r="C289" s="1">
        <v>52536</v>
      </c>
      <c r="D289" s="1" t="str">
        <f t="shared" si="20"/>
        <v>XI</v>
      </c>
      <c r="E289">
        <f t="shared" si="18"/>
        <v>1821855.4406742556</v>
      </c>
      <c r="F289">
        <v>0</v>
      </c>
      <c r="G289">
        <v>-15000</v>
      </c>
      <c r="H289" s="4">
        <f t="shared" si="21"/>
        <v>23858.451948005721</v>
      </c>
      <c r="I289">
        <f t="shared" si="19"/>
        <v>1830713.8926222613</v>
      </c>
    </row>
    <row r="290" spans="2:9" x14ac:dyDescent="0.3">
      <c r="B290">
        <v>288</v>
      </c>
      <c r="C290" s="1">
        <v>52566</v>
      </c>
      <c r="D290" s="1" t="str">
        <f t="shared" si="20"/>
        <v>XII</v>
      </c>
      <c r="E290">
        <f t="shared" si="18"/>
        <v>1830713.8926222613</v>
      </c>
      <c r="F290">
        <v>0</v>
      </c>
      <c r="G290">
        <v>-15000</v>
      </c>
      <c r="H290" s="4">
        <f t="shared" si="21"/>
        <v>27137.487376068726</v>
      </c>
      <c r="I290">
        <f t="shared" si="19"/>
        <v>1842851.37999833</v>
      </c>
    </row>
    <row r="291" spans="2:9" x14ac:dyDescent="0.3">
      <c r="B291">
        <v>289</v>
      </c>
      <c r="C291" s="1">
        <v>52597</v>
      </c>
      <c r="D291" s="1" t="str">
        <f t="shared" si="20"/>
        <v>I</v>
      </c>
      <c r="E291">
        <f t="shared" si="18"/>
        <v>1842851.37999833</v>
      </c>
      <c r="F291">
        <v>0</v>
      </c>
      <c r="G291">
        <v>-15000</v>
      </c>
      <c r="H291" s="4">
        <f t="shared" si="21"/>
        <v>23354.694174396805</v>
      </c>
      <c r="I291">
        <f t="shared" si="19"/>
        <v>1851206.0741727268</v>
      </c>
    </row>
    <row r="292" spans="2:9" x14ac:dyDescent="0.3">
      <c r="B292">
        <v>290</v>
      </c>
      <c r="C292" s="1">
        <v>52628</v>
      </c>
      <c r="D292" s="1" t="str">
        <f t="shared" si="20"/>
        <v>II</v>
      </c>
      <c r="E292">
        <f t="shared" si="18"/>
        <v>1851206.0741727268</v>
      </c>
      <c r="F292">
        <v>0</v>
      </c>
      <c r="G292">
        <v>-15000</v>
      </c>
      <c r="H292" s="4">
        <f t="shared" si="21"/>
        <v>1280.831884878613</v>
      </c>
      <c r="I292">
        <f t="shared" si="19"/>
        <v>1837486.9060576055</v>
      </c>
    </row>
    <row r="293" spans="2:9" x14ac:dyDescent="0.3">
      <c r="B293">
        <v>291</v>
      </c>
      <c r="C293" s="1">
        <v>52657</v>
      </c>
      <c r="D293" s="1" t="str">
        <f t="shared" si="20"/>
        <v>III</v>
      </c>
      <c r="E293">
        <f t="shared" si="18"/>
        <v>1837486.9060576055</v>
      </c>
      <c r="F293">
        <v>0</v>
      </c>
      <c r="G293">
        <v>-15000</v>
      </c>
      <c r="H293" s="4">
        <f t="shared" si="21"/>
        <v>15987.091382296452</v>
      </c>
      <c r="I293">
        <f t="shared" si="19"/>
        <v>1838473.997439902</v>
      </c>
    </row>
    <row r="294" spans="2:9" x14ac:dyDescent="0.3">
      <c r="B294">
        <v>292</v>
      </c>
      <c r="C294" s="1">
        <v>52688</v>
      </c>
      <c r="D294" s="1" t="str">
        <f t="shared" si="20"/>
        <v>IV</v>
      </c>
      <c r="E294">
        <f t="shared" si="18"/>
        <v>1838473.997439902</v>
      </c>
      <c r="F294">
        <v>0</v>
      </c>
      <c r="G294">
        <v>-15000</v>
      </c>
      <c r="H294" s="4">
        <f t="shared" si="21"/>
        <v>31400.55991027331</v>
      </c>
      <c r="I294">
        <f t="shared" si="19"/>
        <v>1854874.5573501755</v>
      </c>
    </row>
    <row r="295" spans="2:9" x14ac:dyDescent="0.3">
      <c r="B295">
        <v>293</v>
      </c>
      <c r="C295" s="1">
        <v>52718</v>
      </c>
      <c r="D295" s="1" t="str">
        <f t="shared" si="20"/>
        <v>V</v>
      </c>
      <c r="E295">
        <f t="shared" si="18"/>
        <v>1854874.5573501755</v>
      </c>
      <c r="F295">
        <v>0</v>
      </c>
      <c r="G295">
        <v>-15000</v>
      </c>
      <c r="H295" s="4">
        <f t="shared" si="21"/>
        <v>10493.529919719967</v>
      </c>
      <c r="I295">
        <f t="shared" si="19"/>
        <v>1850368.0872698955</v>
      </c>
    </row>
    <row r="296" spans="2:9" x14ac:dyDescent="0.3">
      <c r="B296">
        <v>294</v>
      </c>
      <c r="C296" s="1">
        <v>52749</v>
      </c>
      <c r="D296" s="1" t="str">
        <f t="shared" si="20"/>
        <v>VI</v>
      </c>
      <c r="E296">
        <f t="shared" si="18"/>
        <v>1850368.0872698955</v>
      </c>
      <c r="F296">
        <v>0</v>
      </c>
      <c r="G296">
        <v>-15000</v>
      </c>
      <c r="H296" s="4">
        <f t="shared" si="21"/>
        <v>7928.7096888842361</v>
      </c>
      <c r="I296">
        <f t="shared" si="19"/>
        <v>1843296.7969587797</v>
      </c>
    </row>
    <row r="297" spans="2:9" x14ac:dyDescent="0.3">
      <c r="B297">
        <v>295</v>
      </c>
      <c r="C297" s="1">
        <v>52779</v>
      </c>
      <c r="D297" s="1" t="str">
        <f t="shared" si="20"/>
        <v>VII</v>
      </c>
      <c r="E297">
        <f t="shared" si="18"/>
        <v>1843296.7969587797</v>
      </c>
      <c r="F297">
        <v>0</v>
      </c>
      <c r="G297">
        <v>-15000</v>
      </c>
      <c r="H297" s="4">
        <f t="shared" si="21"/>
        <v>11059.865181940973</v>
      </c>
      <c r="I297">
        <f t="shared" si="19"/>
        <v>1839356.6621407208</v>
      </c>
    </row>
    <row r="298" spans="2:9" x14ac:dyDescent="0.3">
      <c r="B298">
        <v>296</v>
      </c>
      <c r="C298" s="1">
        <v>52810</v>
      </c>
      <c r="D298" s="1" t="str">
        <f t="shared" si="20"/>
        <v>VIII</v>
      </c>
      <c r="E298">
        <f t="shared" si="18"/>
        <v>1839356.6621407208</v>
      </c>
      <c r="F298">
        <v>0</v>
      </c>
      <c r="G298">
        <v>-15000</v>
      </c>
      <c r="H298" s="4">
        <f t="shared" si="21"/>
        <v>426.55316682837247</v>
      </c>
      <c r="I298">
        <f t="shared" si="19"/>
        <v>1824783.2153075491</v>
      </c>
    </row>
    <row r="299" spans="2:9" x14ac:dyDescent="0.3">
      <c r="B299">
        <v>297</v>
      </c>
      <c r="C299" s="1">
        <v>52841</v>
      </c>
      <c r="D299" s="1" t="str">
        <f t="shared" si="20"/>
        <v>IX</v>
      </c>
      <c r="E299">
        <f t="shared" si="18"/>
        <v>1824783.2153075491</v>
      </c>
      <c r="F299">
        <v>0</v>
      </c>
      <c r="G299">
        <v>-15000</v>
      </c>
      <c r="H299" s="4">
        <f t="shared" si="21"/>
        <v>-10468.634605740464</v>
      </c>
      <c r="I299">
        <f t="shared" si="19"/>
        <v>1799314.5807018087</v>
      </c>
    </row>
    <row r="300" spans="2:9" x14ac:dyDescent="0.3">
      <c r="B300">
        <v>298</v>
      </c>
      <c r="C300" s="1">
        <v>52871</v>
      </c>
      <c r="D300" s="1" t="str">
        <f t="shared" si="20"/>
        <v>X</v>
      </c>
      <c r="E300">
        <f t="shared" si="18"/>
        <v>1799314.5807018087</v>
      </c>
      <c r="F300">
        <v>0</v>
      </c>
      <c r="G300">
        <v>-15000</v>
      </c>
      <c r="H300" s="4">
        <f t="shared" si="21"/>
        <v>14549.592898487204</v>
      </c>
      <c r="I300">
        <f t="shared" si="19"/>
        <v>1798864.1736002958</v>
      </c>
    </row>
    <row r="301" spans="2:9" x14ac:dyDescent="0.3">
      <c r="B301">
        <v>299</v>
      </c>
      <c r="C301" s="1">
        <v>52902</v>
      </c>
      <c r="D301" s="1" t="str">
        <f t="shared" si="20"/>
        <v>XI</v>
      </c>
      <c r="E301">
        <f t="shared" si="18"/>
        <v>1798864.1736002958</v>
      </c>
      <c r="F301">
        <v>0</v>
      </c>
      <c r="G301">
        <v>-15000</v>
      </c>
      <c r="H301" s="4">
        <f t="shared" si="21"/>
        <v>23554.865934227473</v>
      </c>
      <c r="I301">
        <f t="shared" si="19"/>
        <v>1807419.0395345232</v>
      </c>
    </row>
    <row r="302" spans="2:9" x14ac:dyDescent="0.3">
      <c r="B302">
        <v>300</v>
      </c>
      <c r="C302" s="1">
        <v>52932</v>
      </c>
      <c r="D302" s="1" t="str">
        <f t="shared" si="20"/>
        <v>XII</v>
      </c>
      <c r="E302">
        <f t="shared" si="18"/>
        <v>1807419.0395345232</v>
      </c>
      <c r="F302">
        <v>0</v>
      </c>
      <c r="G302">
        <v>-15000</v>
      </c>
      <c r="H302" s="4">
        <f t="shared" si="21"/>
        <v>26789.324714448674</v>
      </c>
      <c r="I302">
        <f t="shared" si="19"/>
        <v>1819208.3642489719</v>
      </c>
    </row>
    <row r="303" spans="2:9" x14ac:dyDescent="0.3">
      <c r="B303">
        <v>301</v>
      </c>
      <c r="C303" s="1">
        <v>52963</v>
      </c>
      <c r="D303" s="1" t="str">
        <f t="shared" si="20"/>
        <v>I</v>
      </c>
      <c r="E303">
        <f t="shared" si="18"/>
        <v>1819208.3642489719</v>
      </c>
      <c r="F303">
        <v>0</v>
      </c>
      <c r="G303">
        <v>-15000</v>
      </c>
      <c r="H303" s="4">
        <f t="shared" si="21"/>
        <v>23052.604295411562</v>
      </c>
      <c r="I303">
        <f t="shared" si="19"/>
        <v>1827260.9685443835</v>
      </c>
    </row>
    <row r="304" spans="2:9" x14ac:dyDescent="0.3">
      <c r="B304">
        <v>302</v>
      </c>
      <c r="C304" s="1">
        <v>52994</v>
      </c>
      <c r="D304" s="1" t="str">
        <f t="shared" si="20"/>
        <v>II</v>
      </c>
      <c r="E304">
        <f t="shared" si="18"/>
        <v>1827260.9685443835</v>
      </c>
      <c r="F304">
        <v>0</v>
      </c>
      <c r="G304">
        <v>-15000</v>
      </c>
      <c r="H304" s="4">
        <f t="shared" si="21"/>
        <v>1264.1291546094158</v>
      </c>
      <c r="I304">
        <f t="shared" si="19"/>
        <v>1813525.097698993</v>
      </c>
    </row>
    <row r="305" spans="2:9" x14ac:dyDescent="0.3">
      <c r="B305">
        <v>303</v>
      </c>
      <c r="C305" s="1">
        <v>53022</v>
      </c>
      <c r="D305" s="1" t="str">
        <f t="shared" si="20"/>
        <v>III</v>
      </c>
      <c r="E305">
        <f t="shared" si="18"/>
        <v>1813525.097698993</v>
      </c>
      <c r="F305">
        <v>0</v>
      </c>
      <c r="G305">
        <v>-15000</v>
      </c>
      <c r="H305" s="4">
        <f t="shared" si="21"/>
        <v>15776.895293292504</v>
      </c>
      <c r="I305">
        <f t="shared" si="19"/>
        <v>1814301.9929922856</v>
      </c>
    </row>
    <row r="306" spans="2:9" x14ac:dyDescent="0.3">
      <c r="B306">
        <v>304</v>
      </c>
      <c r="C306" s="1">
        <v>53053</v>
      </c>
      <c r="D306" s="1" t="str">
        <f t="shared" si="20"/>
        <v>IV</v>
      </c>
      <c r="E306">
        <f t="shared" si="18"/>
        <v>1814301.9929922856</v>
      </c>
      <c r="F306">
        <v>0</v>
      </c>
      <c r="G306">
        <v>-15000</v>
      </c>
      <c r="H306" s="4">
        <f t="shared" si="21"/>
        <v>30984.313517467926</v>
      </c>
      <c r="I306">
        <f t="shared" si="19"/>
        <v>1830286.3065097535</v>
      </c>
    </row>
    <row r="307" spans="2:9" x14ac:dyDescent="0.3">
      <c r="B307">
        <v>305</v>
      </c>
      <c r="C307" s="1">
        <v>53083</v>
      </c>
      <c r="D307" s="1" t="str">
        <f t="shared" si="20"/>
        <v>V</v>
      </c>
      <c r="E307">
        <f t="shared" ref="E307:E370" si="22">I306</f>
        <v>1830286.3065097535</v>
      </c>
      <c r="F307">
        <v>0</v>
      </c>
      <c r="G307">
        <v>-15000</v>
      </c>
      <c r="H307" s="4">
        <f t="shared" si="21"/>
        <v>10353.29343194596</v>
      </c>
      <c r="I307">
        <f t="shared" ref="I307:I370" si="23">SUM(E307:H307)</f>
        <v>1825639.5999416993</v>
      </c>
    </row>
    <row r="308" spans="2:9" x14ac:dyDescent="0.3">
      <c r="B308">
        <v>306</v>
      </c>
      <c r="C308" s="1">
        <v>53114</v>
      </c>
      <c r="D308" s="1" t="str">
        <f t="shared" si="20"/>
        <v>VI</v>
      </c>
      <c r="E308">
        <f t="shared" si="22"/>
        <v>1825639.5999416993</v>
      </c>
      <c r="F308">
        <v>0</v>
      </c>
      <c r="G308">
        <v>-15000</v>
      </c>
      <c r="H308" s="4">
        <f t="shared" si="21"/>
        <v>7821.8837075290921</v>
      </c>
      <c r="I308">
        <f t="shared" si="23"/>
        <v>1818461.4836492285</v>
      </c>
    </row>
    <row r="309" spans="2:9" x14ac:dyDescent="0.3">
      <c r="B309">
        <v>307</v>
      </c>
      <c r="C309" s="1">
        <v>53144</v>
      </c>
      <c r="D309" s="1" t="str">
        <f t="shared" si="20"/>
        <v>VII</v>
      </c>
      <c r="E309">
        <f t="shared" si="22"/>
        <v>1818461.4836492285</v>
      </c>
      <c r="F309">
        <v>0</v>
      </c>
      <c r="G309">
        <v>-15000</v>
      </c>
      <c r="H309" s="4">
        <f t="shared" si="21"/>
        <v>10909.629608913772</v>
      </c>
      <c r="I309">
        <f t="shared" si="23"/>
        <v>1814371.1132581423</v>
      </c>
    </row>
    <row r="310" spans="2:9" x14ac:dyDescent="0.3">
      <c r="B310">
        <v>308</v>
      </c>
      <c r="C310" s="1">
        <v>53175</v>
      </c>
      <c r="D310" s="1" t="str">
        <f t="shared" si="20"/>
        <v>VIII</v>
      </c>
      <c r="E310">
        <f t="shared" si="22"/>
        <v>1814371.1132581423</v>
      </c>
      <c r="F310">
        <v>0</v>
      </c>
      <c r="G310">
        <v>-15000</v>
      </c>
      <c r="H310" s="4">
        <f t="shared" si="21"/>
        <v>420.71129104718443</v>
      </c>
      <c r="I310">
        <f t="shared" si="23"/>
        <v>1799791.8245491895</v>
      </c>
    </row>
    <row r="311" spans="2:9" x14ac:dyDescent="0.3">
      <c r="B311">
        <v>309</v>
      </c>
      <c r="C311" s="1">
        <v>53206</v>
      </c>
      <c r="D311" s="1" t="str">
        <f t="shared" si="20"/>
        <v>IX</v>
      </c>
      <c r="E311">
        <f t="shared" si="22"/>
        <v>1799791.8245491895</v>
      </c>
      <c r="F311">
        <v>0</v>
      </c>
      <c r="G311">
        <v>-15000</v>
      </c>
      <c r="H311" s="4">
        <f t="shared" si="21"/>
        <v>-10324.072684773546</v>
      </c>
      <c r="I311">
        <f t="shared" si="23"/>
        <v>1774467.7518644161</v>
      </c>
    </row>
    <row r="312" spans="2:9" x14ac:dyDescent="0.3">
      <c r="B312">
        <v>310</v>
      </c>
      <c r="C312" s="1">
        <v>53236</v>
      </c>
      <c r="D312" s="1" t="str">
        <f t="shared" si="20"/>
        <v>X</v>
      </c>
      <c r="E312">
        <f t="shared" si="22"/>
        <v>1774467.7518644161</v>
      </c>
      <c r="F312">
        <v>0</v>
      </c>
      <c r="G312">
        <v>-15000</v>
      </c>
      <c r="H312" s="4">
        <f t="shared" si="21"/>
        <v>14346.987792687831</v>
      </c>
      <c r="I312">
        <f t="shared" si="23"/>
        <v>1773814.7396571038</v>
      </c>
    </row>
    <row r="313" spans="2:9" x14ac:dyDescent="0.3">
      <c r="B313">
        <v>311</v>
      </c>
      <c r="C313" s="1">
        <v>53267</v>
      </c>
      <c r="D313" s="1" t="str">
        <f t="shared" si="20"/>
        <v>XI</v>
      </c>
      <c r="E313">
        <f t="shared" si="22"/>
        <v>1773814.7396571038</v>
      </c>
      <c r="F313">
        <v>0</v>
      </c>
      <c r="G313">
        <v>-15000</v>
      </c>
      <c r="H313" s="4">
        <f t="shared" si="21"/>
        <v>23224.103050487662</v>
      </c>
      <c r="I313">
        <f t="shared" si="23"/>
        <v>1782038.8427075914</v>
      </c>
    </row>
    <row r="314" spans="2:9" x14ac:dyDescent="0.3">
      <c r="B314">
        <v>312</v>
      </c>
      <c r="C314" s="1">
        <v>53297</v>
      </c>
      <c r="D314" s="1" t="str">
        <f t="shared" si="20"/>
        <v>XII</v>
      </c>
      <c r="E314">
        <f t="shared" si="22"/>
        <v>1782038.8427075914</v>
      </c>
      <c r="F314">
        <v>0</v>
      </c>
      <c r="G314">
        <v>-15000</v>
      </c>
      <c r="H314" s="4">
        <f t="shared" si="21"/>
        <v>26409.994703376116</v>
      </c>
      <c r="I314">
        <f t="shared" si="23"/>
        <v>1793448.8374109676</v>
      </c>
    </row>
    <row r="315" spans="2:9" x14ac:dyDescent="0.3">
      <c r="B315">
        <v>313</v>
      </c>
      <c r="C315" s="1">
        <v>53328</v>
      </c>
      <c r="D315" s="1" t="str">
        <f t="shared" si="20"/>
        <v>I</v>
      </c>
      <c r="E315">
        <f t="shared" si="22"/>
        <v>1793448.8374109676</v>
      </c>
      <c r="F315">
        <v>0</v>
      </c>
      <c r="G315">
        <v>-15000</v>
      </c>
      <c r="H315" s="4">
        <f t="shared" si="21"/>
        <v>22723.471479712232</v>
      </c>
      <c r="I315">
        <f t="shared" si="23"/>
        <v>1801172.3088906799</v>
      </c>
    </row>
    <row r="316" spans="2:9" x14ac:dyDescent="0.3">
      <c r="B316">
        <v>314</v>
      </c>
      <c r="C316" s="1">
        <v>53359</v>
      </c>
      <c r="D316" s="1" t="str">
        <f t="shared" si="20"/>
        <v>II</v>
      </c>
      <c r="E316">
        <f t="shared" si="22"/>
        <v>1801172.3088906799</v>
      </c>
      <c r="F316">
        <v>0</v>
      </c>
      <c r="G316">
        <v>-15000</v>
      </c>
      <c r="H316" s="4">
        <f t="shared" si="21"/>
        <v>1245.9312041787896</v>
      </c>
      <c r="I316">
        <f t="shared" si="23"/>
        <v>1787418.2400948587</v>
      </c>
    </row>
    <row r="317" spans="2:9" x14ac:dyDescent="0.3">
      <c r="B317">
        <v>315</v>
      </c>
      <c r="C317" s="1">
        <v>53387</v>
      </c>
      <c r="D317" s="1" t="str">
        <f t="shared" si="20"/>
        <v>III</v>
      </c>
      <c r="E317">
        <f t="shared" si="22"/>
        <v>1787418.2400948587</v>
      </c>
      <c r="F317">
        <v>0</v>
      </c>
      <c r="G317">
        <v>-15000</v>
      </c>
      <c r="H317" s="4">
        <f t="shared" si="21"/>
        <v>15547.882554251895</v>
      </c>
      <c r="I317">
        <f t="shared" si="23"/>
        <v>1787966.1226491106</v>
      </c>
    </row>
    <row r="318" spans="2:9" x14ac:dyDescent="0.3">
      <c r="B318">
        <v>316</v>
      </c>
      <c r="C318" s="1">
        <v>53418</v>
      </c>
      <c r="D318" s="1" t="str">
        <f t="shared" si="20"/>
        <v>IV</v>
      </c>
      <c r="E318">
        <f t="shared" si="22"/>
        <v>1787966.1226491106</v>
      </c>
      <c r="F318">
        <v>0</v>
      </c>
      <c r="G318">
        <v>-15000</v>
      </c>
      <c r="H318" s="4">
        <f t="shared" si="21"/>
        <v>30530.804953232251</v>
      </c>
      <c r="I318">
        <f t="shared" si="23"/>
        <v>1803496.9276023428</v>
      </c>
    </row>
    <row r="319" spans="2:9" x14ac:dyDescent="0.3">
      <c r="B319">
        <v>317</v>
      </c>
      <c r="C319" s="1">
        <v>53448</v>
      </c>
      <c r="D319" s="1" t="str">
        <f t="shared" si="20"/>
        <v>V</v>
      </c>
      <c r="E319">
        <f t="shared" si="22"/>
        <v>1803496.9276023428</v>
      </c>
      <c r="F319">
        <v>0</v>
      </c>
      <c r="G319">
        <v>-15000</v>
      </c>
      <c r="H319" s="4">
        <f t="shared" si="21"/>
        <v>10200.503043072657</v>
      </c>
      <c r="I319">
        <f t="shared" si="23"/>
        <v>1798697.4306454156</v>
      </c>
    </row>
    <row r="320" spans="2:9" x14ac:dyDescent="0.3">
      <c r="B320">
        <v>318</v>
      </c>
      <c r="C320" s="1">
        <v>53479</v>
      </c>
      <c r="D320" s="1" t="str">
        <f t="shared" si="20"/>
        <v>VI</v>
      </c>
      <c r="E320">
        <f t="shared" si="22"/>
        <v>1798697.4306454156</v>
      </c>
      <c r="F320">
        <v>0</v>
      </c>
      <c r="G320">
        <v>-15000</v>
      </c>
      <c r="H320" s="4">
        <f t="shared" si="21"/>
        <v>7705.4947171022404</v>
      </c>
      <c r="I320">
        <f t="shared" si="23"/>
        <v>1791402.9253625178</v>
      </c>
    </row>
    <row r="321" spans="2:9" x14ac:dyDescent="0.3">
      <c r="B321">
        <v>319</v>
      </c>
      <c r="C321" s="1">
        <v>53509</v>
      </c>
      <c r="D321" s="1" t="str">
        <f t="shared" si="20"/>
        <v>VII</v>
      </c>
      <c r="E321">
        <f t="shared" si="22"/>
        <v>1791402.9253625178</v>
      </c>
      <c r="F321">
        <v>0</v>
      </c>
      <c r="G321">
        <v>-15000</v>
      </c>
      <c r="H321" s="4">
        <f t="shared" si="21"/>
        <v>10745.945021615631</v>
      </c>
      <c r="I321">
        <f t="shared" si="23"/>
        <v>1787148.8703841334</v>
      </c>
    </row>
    <row r="322" spans="2:9" x14ac:dyDescent="0.3">
      <c r="B322">
        <v>320</v>
      </c>
      <c r="C322" s="1">
        <v>53540</v>
      </c>
      <c r="D322" s="1" t="str">
        <f t="shared" si="20"/>
        <v>VIII</v>
      </c>
      <c r="E322">
        <f t="shared" si="22"/>
        <v>1787148.8703841334</v>
      </c>
      <c r="F322">
        <v>0</v>
      </c>
      <c r="G322">
        <v>-15000</v>
      </c>
      <c r="H322" s="4">
        <f t="shared" si="21"/>
        <v>414.34645343234314</v>
      </c>
      <c r="I322">
        <f t="shared" si="23"/>
        <v>1772563.2168375659</v>
      </c>
    </row>
    <row r="323" spans="2:9" x14ac:dyDescent="0.3">
      <c r="B323">
        <v>321</v>
      </c>
      <c r="C323" s="1">
        <v>53571</v>
      </c>
      <c r="D323" s="1" t="str">
        <f t="shared" si="20"/>
        <v>IX</v>
      </c>
      <c r="E323">
        <f t="shared" si="22"/>
        <v>1772563.2168375659</v>
      </c>
      <c r="F323">
        <v>0</v>
      </c>
      <c r="G323">
        <v>-15000</v>
      </c>
      <c r="H323" s="4">
        <f t="shared" si="21"/>
        <v>-10166.56965206496</v>
      </c>
      <c r="I323">
        <f t="shared" si="23"/>
        <v>1747396.6471855009</v>
      </c>
    </row>
    <row r="324" spans="2:9" x14ac:dyDescent="0.3">
      <c r="B324">
        <v>322</v>
      </c>
      <c r="C324" s="1">
        <v>53601</v>
      </c>
      <c r="D324" s="1" t="str">
        <f t="shared" ref="D324:D387" si="24">TEXT(C324,"mmm")</f>
        <v>X</v>
      </c>
      <c r="E324">
        <f t="shared" si="22"/>
        <v>1747396.6471855009</v>
      </c>
      <c r="F324">
        <v>0</v>
      </c>
      <c r="G324">
        <v>-15000</v>
      </c>
      <c r="H324" s="4">
        <f t="shared" si="21"/>
        <v>14126.245577917816</v>
      </c>
      <c r="I324">
        <f t="shared" si="23"/>
        <v>1746522.8927634188</v>
      </c>
    </row>
    <row r="325" spans="2:9" x14ac:dyDescent="0.3">
      <c r="B325">
        <v>323</v>
      </c>
      <c r="C325" s="1">
        <v>53632</v>
      </c>
      <c r="D325" s="1" t="str">
        <f t="shared" si="24"/>
        <v>XI</v>
      </c>
      <c r="E325">
        <f t="shared" si="22"/>
        <v>1746522.8927634188</v>
      </c>
      <c r="F325">
        <v>0</v>
      </c>
      <c r="G325">
        <v>-15000</v>
      </c>
      <c r="H325" s="4">
        <f t="shared" ref="H325:H388" si="25">SUM(E325:G325)*VLOOKUP(D325,$U$4:$V$15,2,FALSE)</f>
        <v>22863.730436814523</v>
      </c>
      <c r="I325">
        <f t="shared" si="23"/>
        <v>1754386.6232002333</v>
      </c>
    </row>
    <row r="326" spans="2:9" x14ac:dyDescent="0.3">
      <c r="B326">
        <v>324</v>
      </c>
      <c r="C326" s="1">
        <v>53662</v>
      </c>
      <c r="D326" s="1" t="str">
        <f t="shared" si="24"/>
        <v>XII</v>
      </c>
      <c r="E326">
        <f t="shared" si="22"/>
        <v>1754386.6232002333</v>
      </c>
      <c r="F326">
        <v>0</v>
      </c>
      <c r="G326">
        <v>-15000</v>
      </c>
      <c r="H326" s="4">
        <f t="shared" si="25"/>
        <v>25996.707257126829</v>
      </c>
      <c r="I326">
        <f t="shared" si="23"/>
        <v>1765383.3304573603</v>
      </c>
    </row>
    <row r="327" spans="2:9" x14ac:dyDescent="0.3">
      <c r="B327">
        <v>325</v>
      </c>
      <c r="C327" s="1">
        <v>53693</v>
      </c>
      <c r="D327" s="1" t="str">
        <f t="shared" si="24"/>
        <v>I</v>
      </c>
      <c r="E327">
        <f t="shared" si="22"/>
        <v>1765383.3304573603</v>
      </c>
      <c r="F327">
        <v>0</v>
      </c>
      <c r="G327">
        <v>-15000</v>
      </c>
      <c r="H327" s="4">
        <f t="shared" si="25"/>
        <v>22364.874856965198</v>
      </c>
      <c r="I327">
        <f t="shared" si="23"/>
        <v>1772748.2053143254</v>
      </c>
    </row>
    <row r="328" spans="2:9" x14ac:dyDescent="0.3">
      <c r="B328">
        <v>326</v>
      </c>
      <c r="C328" s="1">
        <v>53724</v>
      </c>
      <c r="D328" s="1" t="str">
        <f t="shared" si="24"/>
        <v>II</v>
      </c>
      <c r="E328">
        <f t="shared" si="22"/>
        <v>1772748.2053143254</v>
      </c>
      <c r="F328">
        <v>0</v>
      </c>
      <c r="G328">
        <v>-15000</v>
      </c>
      <c r="H328" s="4">
        <f t="shared" si="25"/>
        <v>1226.1041822166228</v>
      </c>
      <c r="I328">
        <f t="shared" si="23"/>
        <v>1758974.309496542</v>
      </c>
    </row>
    <row r="329" spans="2:9" x14ac:dyDescent="0.3">
      <c r="B329">
        <v>327</v>
      </c>
      <c r="C329" s="1">
        <v>53752</v>
      </c>
      <c r="D329" s="1" t="str">
        <f t="shared" si="24"/>
        <v>III</v>
      </c>
      <c r="E329">
        <f t="shared" si="22"/>
        <v>1758974.309496542</v>
      </c>
      <c r="F329">
        <v>0</v>
      </c>
      <c r="G329">
        <v>-15000</v>
      </c>
      <c r="H329" s="4">
        <f t="shared" si="25"/>
        <v>15298.368707960035</v>
      </c>
      <c r="I329">
        <f t="shared" si="23"/>
        <v>1759272.678204502</v>
      </c>
    </row>
    <row r="330" spans="2:9" x14ac:dyDescent="0.3">
      <c r="B330">
        <v>328</v>
      </c>
      <c r="C330" s="1">
        <v>53783</v>
      </c>
      <c r="D330" s="1" t="str">
        <f t="shared" si="24"/>
        <v>IV</v>
      </c>
      <c r="E330">
        <f t="shared" si="22"/>
        <v>1759272.678204502</v>
      </c>
      <c r="F330">
        <v>0</v>
      </c>
      <c r="G330">
        <v>-15000</v>
      </c>
      <c r="H330" s="4">
        <f t="shared" si="25"/>
        <v>30036.698526389868</v>
      </c>
      <c r="I330">
        <f t="shared" si="23"/>
        <v>1774309.3767308919</v>
      </c>
    </row>
    <row r="331" spans="2:9" x14ac:dyDescent="0.3">
      <c r="B331">
        <v>329</v>
      </c>
      <c r="C331" s="1">
        <v>53813</v>
      </c>
      <c r="D331" s="1" t="str">
        <f t="shared" si="24"/>
        <v>V</v>
      </c>
      <c r="E331">
        <f t="shared" si="22"/>
        <v>1774309.3767308919</v>
      </c>
      <c r="F331">
        <v>0</v>
      </c>
      <c r="G331">
        <v>-15000</v>
      </c>
      <c r="H331" s="4">
        <f t="shared" si="25"/>
        <v>10034.034934076122</v>
      </c>
      <c r="I331">
        <f t="shared" si="23"/>
        <v>1769343.4116649679</v>
      </c>
    </row>
    <row r="332" spans="2:9" x14ac:dyDescent="0.3">
      <c r="B332">
        <v>330</v>
      </c>
      <c r="C332" s="1">
        <v>53844</v>
      </c>
      <c r="D332" s="1" t="str">
        <f t="shared" si="24"/>
        <v>VI</v>
      </c>
      <c r="E332">
        <f t="shared" si="22"/>
        <v>1769343.4116649679</v>
      </c>
      <c r="F332">
        <v>0</v>
      </c>
      <c r="G332">
        <v>-15000</v>
      </c>
      <c r="H332" s="4">
        <f t="shared" si="25"/>
        <v>7578.6866417563479</v>
      </c>
      <c r="I332">
        <f t="shared" si="23"/>
        <v>1761922.0983067243</v>
      </c>
    </row>
    <row r="333" spans="2:9" x14ac:dyDescent="0.3">
      <c r="B333">
        <v>331</v>
      </c>
      <c r="C333" s="1">
        <v>53874</v>
      </c>
      <c r="D333" s="1" t="str">
        <f t="shared" si="24"/>
        <v>VII</v>
      </c>
      <c r="E333">
        <f t="shared" si="22"/>
        <v>1761922.0983067243</v>
      </c>
      <c r="F333">
        <v>0</v>
      </c>
      <c r="G333">
        <v>-15000</v>
      </c>
      <c r="H333" s="4">
        <f t="shared" si="25"/>
        <v>10567.60747093373</v>
      </c>
      <c r="I333">
        <f t="shared" si="23"/>
        <v>1757489.7057776581</v>
      </c>
    </row>
    <row r="334" spans="2:9" x14ac:dyDescent="0.3">
      <c r="B334">
        <v>332</v>
      </c>
      <c r="C334" s="1">
        <v>53905</v>
      </c>
      <c r="D334" s="1" t="str">
        <f t="shared" si="24"/>
        <v>VIII</v>
      </c>
      <c r="E334">
        <f t="shared" si="22"/>
        <v>1757489.7057776581</v>
      </c>
      <c r="F334">
        <v>0</v>
      </c>
      <c r="G334">
        <v>-15000</v>
      </c>
      <c r="H334" s="4">
        <f t="shared" si="25"/>
        <v>407.41183869887817</v>
      </c>
      <c r="I334">
        <f t="shared" si="23"/>
        <v>1742897.117616357</v>
      </c>
    </row>
    <row r="335" spans="2:9" x14ac:dyDescent="0.3">
      <c r="B335">
        <v>333</v>
      </c>
      <c r="C335" s="1">
        <v>53936</v>
      </c>
      <c r="D335" s="1" t="str">
        <f t="shared" si="24"/>
        <v>IX</v>
      </c>
      <c r="E335">
        <f t="shared" si="22"/>
        <v>1742897.117616357</v>
      </c>
      <c r="F335">
        <v>0</v>
      </c>
      <c r="G335">
        <v>-15000</v>
      </c>
      <c r="H335" s="4">
        <f t="shared" si="25"/>
        <v>-9994.9670256853678</v>
      </c>
      <c r="I335">
        <f t="shared" si="23"/>
        <v>1717902.1505906717</v>
      </c>
    </row>
    <row r="336" spans="2:9" x14ac:dyDescent="0.3">
      <c r="B336">
        <v>334</v>
      </c>
      <c r="C336" s="1">
        <v>53966</v>
      </c>
      <c r="D336" s="1" t="str">
        <f t="shared" si="24"/>
        <v>X</v>
      </c>
      <c r="E336">
        <f t="shared" si="22"/>
        <v>1717902.1505906717</v>
      </c>
      <c r="F336">
        <v>0</v>
      </c>
      <c r="G336">
        <v>-15000</v>
      </c>
      <c r="H336" s="4">
        <f t="shared" si="25"/>
        <v>13885.742629143058</v>
      </c>
      <c r="I336">
        <f t="shared" si="23"/>
        <v>1716787.8932198146</v>
      </c>
    </row>
    <row r="337" spans="2:9" x14ac:dyDescent="0.3">
      <c r="B337">
        <v>335</v>
      </c>
      <c r="C337" s="1">
        <v>53997</v>
      </c>
      <c r="D337" s="1" t="str">
        <f t="shared" si="24"/>
        <v>XI</v>
      </c>
      <c r="E337">
        <f t="shared" si="22"/>
        <v>1716787.8932198146</v>
      </c>
      <c r="F337">
        <v>0</v>
      </c>
      <c r="G337">
        <v>-15000</v>
      </c>
      <c r="H337" s="4">
        <f t="shared" si="25"/>
        <v>22471.097444813615</v>
      </c>
      <c r="I337">
        <f t="shared" si="23"/>
        <v>1724258.9906646283</v>
      </c>
    </row>
    <row r="338" spans="2:9" x14ac:dyDescent="0.3">
      <c r="B338">
        <v>336</v>
      </c>
      <c r="C338" s="1">
        <v>54027</v>
      </c>
      <c r="D338" s="1" t="str">
        <f t="shared" si="24"/>
        <v>XII</v>
      </c>
      <c r="E338">
        <f t="shared" si="22"/>
        <v>1724258.9906646283</v>
      </c>
      <c r="F338">
        <v>0</v>
      </c>
      <c r="G338">
        <v>-15000</v>
      </c>
      <c r="H338" s="4">
        <f t="shared" si="25"/>
        <v>25546.422522881028</v>
      </c>
      <c r="I338">
        <f t="shared" si="23"/>
        <v>1734805.4131875094</v>
      </c>
    </row>
    <row r="339" spans="2:9" x14ac:dyDescent="0.3">
      <c r="B339">
        <v>337</v>
      </c>
      <c r="C339" s="1">
        <v>54058</v>
      </c>
      <c r="D339" s="1" t="str">
        <f t="shared" si="24"/>
        <v>I</v>
      </c>
      <c r="E339">
        <f t="shared" si="22"/>
        <v>1734805.4131875094</v>
      </c>
      <c r="F339">
        <v>0</v>
      </c>
      <c r="G339">
        <v>-15000</v>
      </c>
      <c r="H339" s="4">
        <f t="shared" si="25"/>
        <v>21974.17684172064</v>
      </c>
      <c r="I339">
        <f t="shared" si="23"/>
        <v>1741779.5900292301</v>
      </c>
    </row>
    <row r="340" spans="2:9" x14ac:dyDescent="0.3">
      <c r="B340">
        <v>338</v>
      </c>
      <c r="C340" s="1">
        <v>54089</v>
      </c>
      <c r="D340" s="1" t="str">
        <f t="shared" si="24"/>
        <v>II</v>
      </c>
      <c r="E340">
        <f t="shared" si="22"/>
        <v>1741779.5900292301</v>
      </c>
      <c r="F340">
        <v>0</v>
      </c>
      <c r="G340">
        <v>-15000</v>
      </c>
      <c r="H340" s="4">
        <f t="shared" si="25"/>
        <v>1204.5022550442818</v>
      </c>
      <c r="I340">
        <f t="shared" si="23"/>
        <v>1727984.0922842743</v>
      </c>
    </row>
    <row r="341" spans="2:9" x14ac:dyDescent="0.3">
      <c r="B341">
        <v>339</v>
      </c>
      <c r="C341" s="1">
        <v>54118</v>
      </c>
      <c r="D341" s="1" t="str">
        <f t="shared" si="24"/>
        <v>III</v>
      </c>
      <c r="E341">
        <f t="shared" si="22"/>
        <v>1727984.0922842743</v>
      </c>
      <c r="F341">
        <v>0</v>
      </c>
      <c r="G341">
        <v>-15000</v>
      </c>
      <c r="H341" s="4">
        <f t="shared" si="25"/>
        <v>15026.518505424709</v>
      </c>
      <c r="I341">
        <f t="shared" si="23"/>
        <v>1728010.610789699</v>
      </c>
    </row>
    <row r="342" spans="2:9" x14ac:dyDescent="0.3">
      <c r="B342">
        <v>340</v>
      </c>
      <c r="C342" s="1">
        <v>54149</v>
      </c>
      <c r="D342" s="1" t="str">
        <f t="shared" si="24"/>
        <v>IV</v>
      </c>
      <c r="E342">
        <f t="shared" si="22"/>
        <v>1728010.610789699</v>
      </c>
      <c r="F342">
        <v>0</v>
      </c>
      <c r="G342">
        <v>-15000</v>
      </c>
      <c r="H342" s="4">
        <f t="shared" si="25"/>
        <v>29498.359936338282</v>
      </c>
      <c r="I342">
        <f t="shared" si="23"/>
        <v>1742508.9707260374</v>
      </c>
    </row>
    <row r="343" spans="2:9" x14ac:dyDescent="0.3">
      <c r="B343">
        <v>341</v>
      </c>
      <c r="C343" s="1">
        <v>54179</v>
      </c>
      <c r="D343" s="1" t="str">
        <f t="shared" si="24"/>
        <v>V</v>
      </c>
      <c r="E343">
        <f t="shared" si="22"/>
        <v>1742508.9707260374</v>
      </c>
      <c r="F343">
        <v>0</v>
      </c>
      <c r="G343">
        <v>-15000</v>
      </c>
      <c r="H343" s="4">
        <f t="shared" si="25"/>
        <v>9852.664682208635</v>
      </c>
      <c r="I343">
        <f t="shared" si="23"/>
        <v>1737361.635408246</v>
      </c>
    </row>
    <row r="344" spans="2:9" x14ac:dyDescent="0.3">
      <c r="B344">
        <v>342</v>
      </c>
      <c r="C344" s="1">
        <v>54210</v>
      </c>
      <c r="D344" s="1" t="str">
        <f t="shared" si="24"/>
        <v>VI</v>
      </c>
      <c r="E344">
        <f t="shared" si="22"/>
        <v>1737361.635408246</v>
      </c>
      <c r="F344">
        <v>0</v>
      </c>
      <c r="G344">
        <v>-15000</v>
      </c>
      <c r="H344" s="4">
        <f t="shared" si="25"/>
        <v>7440.5267701571911</v>
      </c>
      <c r="I344">
        <f t="shared" si="23"/>
        <v>1729802.1621784032</v>
      </c>
    </row>
    <row r="345" spans="2:9" x14ac:dyDescent="0.3">
      <c r="B345">
        <v>343</v>
      </c>
      <c r="C345" s="1">
        <v>54240</v>
      </c>
      <c r="D345" s="1" t="str">
        <f t="shared" si="24"/>
        <v>VII</v>
      </c>
      <c r="E345">
        <f t="shared" si="22"/>
        <v>1729802.1621784032</v>
      </c>
      <c r="F345">
        <v>0</v>
      </c>
      <c r="G345">
        <v>-15000</v>
      </c>
      <c r="H345" s="4">
        <f t="shared" si="25"/>
        <v>10373.305230825503</v>
      </c>
      <c r="I345">
        <f t="shared" si="23"/>
        <v>1725175.4674092287</v>
      </c>
    </row>
    <row r="346" spans="2:9" x14ac:dyDescent="0.3">
      <c r="B346">
        <v>344</v>
      </c>
      <c r="C346" s="1">
        <v>54271</v>
      </c>
      <c r="D346" s="1" t="str">
        <f t="shared" si="24"/>
        <v>VIII</v>
      </c>
      <c r="E346">
        <f t="shared" si="22"/>
        <v>1725175.4674092287</v>
      </c>
      <c r="F346">
        <v>0</v>
      </c>
      <c r="G346">
        <v>-15000</v>
      </c>
      <c r="H346" s="4">
        <f t="shared" si="25"/>
        <v>399.8564406806384</v>
      </c>
      <c r="I346">
        <f t="shared" si="23"/>
        <v>1710575.3238499092</v>
      </c>
    </row>
    <row r="347" spans="2:9" x14ac:dyDescent="0.3">
      <c r="B347">
        <v>345</v>
      </c>
      <c r="C347" s="1">
        <v>54302</v>
      </c>
      <c r="D347" s="1" t="str">
        <f t="shared" si="24"/>
        <v>IX</v>
      </c>
      <c r="E347">
        <f t="shared" si="22"/>
        <v>1710575.3238499092</v>
      </c>
      <c r="F347">
        <v>0</v>
      </c>
      <c r="G347">
        <v>-15000</v>
      </c>
      <c r="H347" s="4">
        <f t="shared" si="25"/>
        <v>-9808.0026169754892</v>
      </c>
      <c r="I347">
        <f t="shared" si="23"/>
        <v>1685767.3212329338</v>
      </c>
    </row>
    <row r="348" spans="2:9" x14ac:dyDescent="0.3">
      <c r="B348">
        <v>346</v>
      </c>
      <c r="C348" s="1">
        <v>54332</v>
      </c>
      <c r="D348" s="1" t="str">
        <f t="shared" si="24"/>
        <v>X</v>
      </c>
      <c r="E348">
        <f t="shared" si="22"/>
        <v>1685767.3212329338</v>
      </c>
      <c r="F348">
        <v>0</v>
      </c>
      <c r="G348">
        <v>-15000</v>
      </c>
      <c r="H348" s="4">
        <f t="shared" si="25"/>
        <v>13623.709975218577</v>
      </c>
      <c r="I348">
        <f t="shared" si="23"/>
        <v>1684391.0312081524</v>
      </c>
    </row>
    <row r="349" spans="2:9" x14ac:dyDescent="0.3">
      <c r="B349">
        <v>347</v>
      </c>
      <c r="C349" s="1">
        <v>54363</v>
      </c>
      <c r="D349" s="1" t="str">
        <f t="shared" si="24"/>
        <v>XI</v>
      </c>
      <c r="E349">
        <f t="shared" si="22"/>
        <v>1684391.0312081524</v>
      </c>
      <c r="F349">
        <v>0</v>
      </c>
      <c r="G349">
        <v>-15000</v>
      </c>
      <c r="H349" s="4">
        <f t="shared" si="25"/>
        <v>22043.316141355834</v>
      </c>
      <c r="I349">
        <f t="shared" si="23"/>
        <v>1691434.3473495082</v>
      </c>
    </row>
    <row r="350" spans="2:9" x14ac:dyDescent="0.3">
      <c r="B350">
        <v>348</v>
      </c>
      <c r="C350" s="1">
        <v>54393</v>
      </c>
      <c r="D350" s="1" t="str">
        <f t="shared" si="24"/>
        <v>XII</v>
      </c>
      <c r="E350">
        <f t="shared" si="22"/>
        <v>1691434.3473495082</v>
      </c>
      <c r="F350">
        <v>0</v>
      </c>
      <c r="G350">
        <v>-15000</v>
      </c>
      <c r="H350" s="4">
        <f t="shared" si="25"/>
        <v>25055.828521696425</v>
      </c>
      <c r="I350">
        <f t="shared" si="23"/>
        <v>1701490.1758712046</v>
      </c>
    </row>
    <row r="351" spans="2:9" x14ac:dyDescent="0.3">
      <c r="B351">
        <v>349</v>
      </c>
      <c r="C351" s="1">
        <v>54424</v>
      </c>
      <c r="D351" s="1" t="str">
        <f t="shared" si="24"/>
        <v>I</v>
      </c>
      <c r="E351">
        <f t="shared" si="22"/>
        <v>1701490.1758712046</v>
      </c>
      <c r="F351">
        <v>0</v>
      </c>
      <c r="G351">
        <v>-15000</v>
      </c>
      <c r="H351" s="4">
        <f t="shared" si="25"/>
        <v>21548.503733182428</v>
      </c>
      <c r="I351">
        <f t="shared" si="23"/>
        <v>1708038.6796043869</v>
      </c>
    </row>
    <row r="352" spans="2:9" x14ac:dyDescent="0.3">
      <c r="B352">
        <v>350</v>
      </c>
      <c r="C352" s="1">
        <v>54455</v>
      </c>
      <c r="D352" s="1" t="str">
        <f t="shared" si="24"/>
        <v>II</v>
      </c>
      <c r="E352">
        <f t="shared" si="22"/>
        <v>1708038.6796043869</v>
      </c>
      <c r="F352">
        <v>0</v>
      </c>
      <c r="G352">
        <v>-15000</v>
      </c>
      <c r="H352" s="4">
        <f t="shared" si="25"/>
        <v>1180.9665340242743</v>
      </c>
      <c r="I352">
        <f t="shared" si="23"/>
        <v>1694219.6461384112</v>
      </c>
    </row>
    <row r="353" spans="2:9" x14ac:dyDescent="0.3">
      <c r="B353">
        <v>351</v>
      </c>
      <c r="C353" s="1">
        <v>54483</v>
      </c>
      <c r="D353" s="1" t="str">
        <f t="shared" si="24"/>
        <v>III</v>
      </c>
      <c r="E353">
        <f t="shared" si="22"/>
        <v>1694219.6461384112</v>
      </c>
      <c r="F353">
        <v>0</v>
      </c>
      <c r="G353">
        <v>-15000</v>
      </c>
      <c r="H353" s="4">
        <f t="shared" si="25"/>
        <v>14730.332407070662</v>
      </c>
      <c r="I353">
        <f t="shared" si="23"/>
        <v>1693949.9785454818</v>
      </c>
    </row>
    <row r="354" spans="2:9" x14ac:dyDescent="0.3">
      <c r="B354">
        <v>352</v>
      </c>
      <c r="C354" s="1">
        <v>54514</v>
      </c>
      <c r="D354" s="1" t="str">
        <f t="shared" si="24"/>
        <v>IV</v>
      </c>
      <c r="E354">
        <f t="shared" si="22"/>
        <v>1693949.9785454818</v>
      </c>
      <c r="F354">
        <v>0</v>
      </c>
      <c r="G354">
        <v>-15000</v>
      </c>
      <c r="H354" s="4">
        <f t="shared" si="25"/>
        <v>28911.829541680665</v>
      </c>
      <c r="I354">
        <f t="shared" si="23"/>
        <v>1707861.8080871624</v>
      </c>
    </row>
    <row r="355" spans="2:9" x14ac:dyDescent="0.3">
      <c r="B355">
        <v>353</v>
      </c>
      <c r="C355" s="1">
        <v>54544</v>
      </c>
      <c r="D355" s="1" t="str">
        <f t="shared" si="24"/>
        <v>V</v>
      </c>
      <c r="E355">
        <f t="shared" si="22"/>
        <v>1707861.8080871624</v>
      </c>
      <c r="F355">
        <v>0</v>
      </c>
      <c r="G355">
        <v>-15000</v>
      </c>
      <c r="H355" s="4">
        <f t="shared" si="25"/>
        <v>9655.0582550030431</v>
      </c>
      <c r="I355">
        <f t="shared" si="23"/>
        <v>1702516.8663421655</v>
      </c>
    </row>
    <row r="356" spans="2:9" x14ac:dyDescent="0.3">
      <c r="B356">
        <v>354</v>
      </c>
      <c r="C356" s="1">
        <v>54575</v>
      </c>
      <c r="D356" s="1" t="str">
        <f t="shared" si="24"/>
        <v>VI</v>
      </c>
      <c r="E356">
        <f t="shared" si="22"/>
        <v>1702516.8663421655</v>
      </c>
      <c r="F356">
        <v>0</v>
      </c>
      <c r="G356">
        <v>-15000</v>
      </c>
      <c r="H356" s="4">
        <f t="shared" si="25"/>
        <v>7289.9988951127243</v>
      </c>
      <c r="I356">
        <f t="shared" si="23"/>
        <v>1694806.8652372782</v>
      </c>
    </row>
    <row r="357" spans="2:9" x14ac:dyDescent="0.3">
      <c r="B357">
        <v>355</v>
      </c>
      <c r="C357" s="1">
        <v>54605</v>
      </c>
      <c r="D357" s="1" t="str">
        <f t="shared" si="24"/>
        <v>VII</v>
      </c>
      <c r="E357">
        <f t="shared" si="22"/>
        <v>1694806.8652372782</v>
      </c>
      <c r="F357">
        <v>0</v>
      </c>
      <c r="G357">
        <v>-15000</v>
      </c>
      <c r="H357" s="4">
        <f t="shared" si="25"/>
        <v>10161.60915018113</v>
      </c>
      <c r="I357">
        <f t="shared" si="23"/>
        <v>1689968.4743874592</v>
      </c>
    </row>
    <row r="358" spans="2:9" x14ac:dyDescent="0.3">
      <c r="B358">
        <v>356</v>
      </c>
      <c r="C358" s="1">
        <v>54636</v>
      </c>
      <c r="D358" s="1" t="str">
        <f t="shared" si="24"/>
        <v>VIII</v>
      </c>
      <c r="E358">
        <f t="shared" si="22"/>
        <v>1689968.4743874592</v>
      </c>
      <c r="F358">
        <v>0</v>
      </c>
      <c r="G358">
        <v>-15000</v>
      </c>
      <c r="H358" s="4">
        <f t="shared" si="25"/>
        <v>391.62468716467936</v>
      </c>
      <c r="I358">
        <f t="shared" si="23"/>
        <v>1675360.099074624</v>
      </c>
    </row>
    <row r="359" spans="2:9" x14ac:dyDescent="0.3">
      <c r="B359">
        <v>357</v>
      </c>
      <c r="C359" s="1">
        <v>54667</v>
      </c>
      <c r="D359" s="1" t="str">
        <f t="shared" si="24"/>
        <v>IX</v>
      </c>
      <c r="E359">
        <f t="shared" si="22"/>
        <v>1675360.099074624</v>
      </c>
      <c r="F359">
        <v>0</v>
      </c>
      <c r="G359">
        <v>-15000</v>
      </c>
      <c r="H359" s="4">
        <f t="shared" si="25"/>
        <v>-9604.3012467708631</v>
      </c>
      <c r="I359">
        <f t="shared" si="23"/>
        <v>1650755.7978278531</v>
      </c>
    </row>
    <row r="360" spans="2:9" x14ac:dyDescent="0.3">
      <c r="B360">
        <v>358</v>
      </c>
      <c r="C360" s="1">
        <v>54697</v>
      </c>
      <c r="D360" s="1" t="str">
        <f t="shared" si="24"/>
        <v>X</v>
      </c>
      <c r="E360">
        <f t="shared" si="22"/>
        <v>1650755.7978278531</v>
      </c>
      <c r="F360">
        <v>0</v>
      </c>
      <c r="G360">
        <v>-15000</v>
      </c>
      <c r="H360" s="4">
        <f t="shared" si="25"/>
        <v>13338.220287576491</v>
      </c>
      <c r="I360">
        <f t="shared" si="23"/>
        <v>1649094.0181154297</v>
      </c>
    </row>
    <row r="361" spans="2:9" x14ac:dyDescent="0.3">
      <c r="B361">
        <v>359</v>
      </c>
      <c r="C361" s="1">
        <v>54728</v>
      </c>
      <c r="D361" s="1" t="str">
        <f t="shared" si="24"/>
        <v>XI</v>
      </c>
      <c r="E361">
        <f t="shared" si="22"/>
        <v>1649094.0181154297</v>
      </c>
      <c r="F361">
        <v>0</v>
      </c>
      <c r="G361">
        <v>-15000</v>
      </c>
      <c r="H361" s="4">
        <f t="shared" si="25"/>
        <v>21577.240066965176</v>
      </c>
      <c r="I361">
        <f t="shared" si="23"/>
        <v>1655671.2581823948</v>
      </c>
    </row>
    <row r="362" spans="2:9" x14ac:dyDescent="0.3">
      <c r="B362">
        <v>360</v>
      </c>
      <c r="C362" s="1">
        <v>54758</v>
      </c>
      <c r="D362" s="1" t="str">
        <f t="shared" si="24"/>
        <v>XII</v>
      </c>
      <c r="E362">
        <f t="shared" si="22"/>
        <v>1655671.2581823948</v>
      </c>
      <c r="F362">
        <v>0</v>
      </c>
      <c r="G362">
        <v>-15000</v>
      </c>
      <c r="H362" s="4">
        <f t="shared" si="25"/>
        <v>24521.316787912125</v>
      </c>
      <c r="I362">
        <f t="shared" si="23"/>
        <v>1665192.5749703068</v>
      </c>
    </row>
    <row r="363" spans="2:9" x14ac:dyDescent="0.3">
      <c r="B363">
        <v>361</v>
      </c>
      <c r="C363" s="1">
        <v>54789</v>
      </c>
      <c r="D363" s="1" t="str">
        <f t="shared" si="24"/>
        <v>I</v>
      </c>
      <c r="E363">
        <f t="shared" si="22"/>
        <v>1665192.5749703068</v>
      </c>
      <c r="F363">
        <v>0</v>
      </c>
      <c r="G363">
        <v>-15000</v>
      </c>
      <c r="H363" s="4">
        <f t="shared" si="25"/>
        <v>21084.724578278951</v>
      </c>
      <c r="I363">
        <f t="shared" si="23"/>
        <v>1671277.2995485857</v>
      </c>
    </row>
    <row r="364" spans="2:9" x14ac:dyDescent="0.3">
      <c r="B364">
        <v>362</v>
      </c>
      <c r="C364" s="1">
        <v>54820</v>
      </c>
      <c r="D364" s="1" t="str">
        <f t="shared" si="24"/>
        <v>II</v>
      </c>
      <c r="E364">
        <f t="shared" si="22"/>
        <v>1671277.2995485857</v>
      </c>
      <c r="F364">
        <v>0</v>
      </c>
      <c r="G364">
        <v>-15000</v>
      </c>
      <c r="H364" s="4">
        <f t="shared" si="25"/>
        <v>1155.3239068867815</v>
      </c>
      <c r="I364">
        <f t="shared" si="23"/>
        <v>1657432.6234554725</v>
      </c>
    </row>
    <row r="365" spans="2:9" x14ac:dyDescent="0.3">
      <c r="B365">
        <v>363</v>
      </c>
      <c r="C365" s="1">
        <v>54848</v>
      </c>
      <c r="D365" s="1" t="str">
        <f t="shared" si="24"/>
        <v>III</v>
      </c>
      <c r="E365">
        <f t="shared" si="22"/>
        <v>1657432.6234554725</v>
      </c>
      <c r="F365">
        <v>0</v>
      </c>
      <c r="G365">
        <v>-15000</v>
      </c>
      <c r="H365" s="4">
        <f t="shared" si="25"/>
        <v>14407.631875527768</v>
      </c>
      <c r="I365">
        <f t="shared" si="23"/>
        <v>1656840.2553310003</v>
      </c>
    </row>
    <row r="366" spans="2:9" x14ac:dyDescent="0.3">
      <c r="B366">
        <v>364</v>
      </c>
      <c r="C366" s="1">
        <v>54879</v>
      </c>
      <c r="D366" s="1" t="str">
        <f t="shared" si="24"/>
        <v>IV</v>
      </c>
      <c r="E366">
        <f t="shared" si="22"/>
        <v>1656840.2553310003</v>
      </c>
      <c r="F366">
        <v>0</v>
      </c>
      <c r="G366">
        <v>-15000</v>
      </c>
      <c r="H366" s="4">
        <f t="shared" si="25"/>
        <v>28272.793235878671</v>
      </c>
      <c r="I366">
        <f t="shared" si="23"/>
        <v>1670113.048566879</v>
      </c>
    </row>
    <row r="367" spans="2:9" x14ac:dyDescent="0.3">
      <c r="B367">
        <v>365</v>
      </c>
      <c r="C367" s="1">
        <v>54909</v>
      </c>
      <c r="D367" s="1" t="str">
        <f t="shared" si="24"/>
        <v>V</v>
      </c>
      <c r="E367">
        <f t="shared" si="22"/>
        <v>1670113.048566879</v>
      </c>
      <c r="F367">
        <v>0</v>
      </c>
      <c r="G367">
        <v>-15000</v>
      </c>
      <c r="H367" s="4">
        <f t="shared" si="25"/>
        <v>9439.7621980648437</v>
      </c>
      <c r="I367">
        <f t="shared" si="23"/>
        <v>1664552.8107649439</v>
      </c>
    </row>
    <row r="368" spans="2:9" x14ac:dyDescent="0.3">
      <c r="B368">
        <v>366</v>
      </c>
      <c r="C368" s="1">
        <v>54940</v>
      </c>
      <c r="D368" s="1" t="str">
        <f t="shared" si="24"/>
        <v>VI</v>
      </c>
      <c r="E368">
        <f t="shared" si="22"/>
        <v>1664552.8107649439</v>
      </c>
      <c r="F368">
        <v>0</v>
      </c>
      <c r="G368">
        <v>-15000</v>
      </c>
      <c r="H368" s="4">
        <f t="shared" si="25"/>
        <v>7125.9958390651482</v>
      </c>
      <c r="I368">
        <f t="shared" si="23"/>
        <v>1656678.8066040091</v>
      </c>
    </row>
    <row r="369" spans="2:9" x14ac:dyDescent="0.3">
      <c r="B369">
        <v>367</v>
      </c>
      <c r="C369" s="1">
        <v>54970</v>
      </c>
      <c r="D369" s="1" t="str">
        <f t="shared" si="24"/>
        <v>VII</v>
      </c>
      <c r="E369">
        <f t="shared" si="22"/>
        <v>1656678.8066040091</v>
      </c>
      <c r="F369">
        <v>0</v>
      </c>
      <c r="G369">
        <v>-15000</v>
      </c>
      <c r="H369" s="4">
        <f t="shared" si="25"/>
        <v>9930.9621409895444</v>
      </c>
      <c r="I369">
        <f t="shared" si="23"/>
        <v>1651609.7687449986</v>
      </c>
    </row>
    <row r="370" spans="2:9" x14ac:dyDescent="0.3">
      <c r="B370">
        <v>368</v>
      </c>
      <c r="C370" s="1">
        <v>55001</v>
      </c>
      <c r="D370" s="1" t="str">
        <f t="shared" si="24"/>
        <v>VIII</v>
      </c>
      <c r="E370">
        <f t="shared" si="22"/>
        <v>1651609.7687449986</v>
      </c>
      <c r="F370">
        <v>0</v>
      </c>
      <c r="G370">
        <v>-15000</v>
      </c>
      <c r="H370" s="4">
        <f t="shared" si="25"/>
        <v>382.65603114101043</v>
      </c>
      <c r="I370">
        <f t="shared" si="23"/>
        <v>1636992.4247761397</v>
      </c>
    </row>
    <row r="371" spans="2:9" x14ac:dyDescent="0.3">
      <c r="B371">
        <v>369</v>
      </c>
      <c r="C371" s="1">
        <v>55032</v>
      </c>
      <c r="D371" s="1" t="str">
        <f t="shared" si="24"/>
        <v>IX</v>
      </c>
      <c r="E371">
        <f t="shared" ref="E371:E434" si="26">I370</f>
        <v>1636992.4247761397</v>
      </c>
      <c r="F371">
        <v>0</v>
      </c>
      <c r="G371">
        <v>-15000</v>
      </c>
      <c r="H371" s="4">
        <f t="shared" si="25"/>
        <v>-9382.3646305476686</v>
      </c>
      <c r="I371">
        <f t="shared" ref="I371:I434" si="27">SUM(E371:H371)</f>
        <v>1612610.0601455921</v>
      </c>
    </row>
    <row r="372" spans="2:9" x14ac:dyDescent="0.3">
      <c r="B372">
        <v>370</v>
      </c>
      <c r="C372" s="1">
        <v>55062</v>
      </c>
      <c r="D372" s="1" t="str">
        <f t="shared" si="24"/>
        <v>X</v>
      </c>
      <c r="E372">
        <f t="shared" si="26"/>
        <v>1612610.0601455921</v>
      </c>
      <c r="F372">
        <v>0</v>
      </c>
      <c r="G372">
        <v>-15000</v>
      </c>
      <c r="H372" s="4">
        <f t="shared" si="25"/>
        <v>13027.173704147752</v>
      </c>
      <c r="I372">
        <f t="shared" si="27"/>
        <v>1610637.2338497399</v>
      </c>
    </row>
    <row r="373" spans="2:9" x14ac:dyDescent="0.3">
      <c r="B373">
        <v>371</v>
      </c>
      <c r="C373" s="1">
        <v>55093</v>
      </c>
      <c r="D373" s="1" t="str">
        <f t="shared" si="24"/>
        <v>XI</v>
      </c>
      <c r="E373">
        <f t="shared" si="26"/>
        <v>1610637.2338497399</v>
      </c>
      <c r="F373">
        <v>0</v>
      </c>
      <c r="G373">
        <v>-15000</v>
      </c>
      <c r="H373" s="4">
        <f t="shared" si="25"/>
        <v>21069.441092667934</v>
      </c>
      <c r="I373">
        <f t="shared" si="27"/>
        <v>1616706.6749424078</v>
      </c>
    </row>
    <row r="374" spans="2:9" x14ac:dyDescent="0.3">
      <c r="B374">
        <v>372</v>
      </c>
      <c r="C374" s="1">
        <v>55123</v>
      </c>
      <c r="D374" s="1" t="str">
        <f t="shared" si="24"/>
        <v>XII</v>
      </c>
      <c r="E374">
        <f t="shared" si="26"/>
        <v>1616706.6749424078</v>
      </c>
      <c r="F374">
        <v>0</v>
      </c>
      <c r="G374">
        <v>-15000</v>
      </c>
      <c r="H374" s="4">
        <f t="shared" si="25"/>
        <v>23938.95582780413</v>
      </c>
      <c r="I374">
        <f t="shared" si="27"/>
        <v>1625645.6307702118</v>
      </c>
    </row>
    <row r="375" spans="2:9" x14ac:dyDescent="0.3">
      <c r="B375">
        <v>373</v>
      </c>
      <c r="C375" s="1">
        <v>55154</v>
      </c>
      <c r="D375" s="1" t="str">
        <f t="shared" si="24"/>
        <v>I</v>
      </c>
      <c r="E375">
        <f t="shared" si="26"/>
        <v>1625645.6307702118</v>
      </c>
      <c r="F375">
        <v>0</v>
      </c>
      <c r="G375">
        <v>-15000</v>
      </c>
      <c r="H375" s="4">
        <f t="shared" si="25"/>
        <v>20579.428142566547</v>
      </c>
      <c r="I375">
        <f t="shared" si="27"/>
        <v>1631225.0589127783</v>
      </c>
    </row>
    <row r="376" spans="2:9" x14ac:dyDescent="0.3">
      <c r="B376">
        <v>374</v>
      </c>
      <c r="C376" s="1">
        <v>55185</v>
      </c>
      <c r="D376" s="1" t="str">
        <f t="shared" si="24"/>
        <v>II</v>
      </c>
      <c r="E376">
        <f t="shared" si="26"/>
        <v>1631225.0589127783</v>
      </c>
      <c r="F376">
        <v>0</v>
      </c>
      <c r="G376">
        <v>-15000</v>
      </c>
      <c r="H376" s="4">
        <f t="shared" si="25"/>
        <v>1127.3857644371192</v>
      </c>
      <c r="I376">
        <f t="shared" si="27"/>
        <v>1617352.4446772153</v>
      </c>
    </row>
    <row r="377" spans="2:9" x14ac:dyDescent="0.3">
      <c r="B377">
        <v>375</v>
      </c>
      <c r="C377" s="1">
        <v>55213</v>
      </c>
      <c r="D377" s="1" t="str">
        <f t="shared" si="24"/>
        <v>III</v>
      </c>
      <c r="E377">
        <f t="shared" si="26"/>
        <v>1617352.4446772153</v>
      </c>
      <c r="F377">
        <v>0</v>
      </c>
      <c r="G377">
        <v>-15000</v>
      </c>
      <c r="H377" s="4">
        <f t="shared" si="25"/>
        <v>14056.043351836874</v>
      </c>
      <c r="I377">
        <f t="shared" si="27"/>
        <v>1616408.4880290523</v>
      </c>
    </row>
    <row r="378" spans="2:9" x14ac:dyDescent="0.3">
      <c r="B378">
        <v>376</v>
      </c>
      <c r="C378" s="1">
        <v>55244</v>
      </c>
      <c r="D378" s="1" t="str">
        <f t="shared" si="24"/>
        <v>IV</v>
      </c>
      <c r="E378">
        <f t="shared" si="26"/>
        <v>1616408.4880290523</v>
      </c>
      <c r="F378">
        <v>0</v>
      </c>
      <c r="G378">
        <v>-15000</v>
      </c>
      <c r="H378" s="4">
        <f t="shared" si="25"/>
        <v>27576.550715708108</v>
      </c>
      <c r="I378">
        <f t="shared" si="27"/>
        <v>1628985.0387447604</v>
      </c>
    </row>
    <row r="379" spans="2:9" x14ac:dyDescent="0.3">
      <c r="B379">
        <v>377</v>
      </c>
      <c r="C379" s="1">
        <v>55274</v>
      </c>
      <c r="D379" s="1" t="str">
        <f t="shared" si="24"/>
        <v>V</v>
      </c>
      <c r="E379">
        <f t="shared" si="26"/>
        <v>1628985.0387447604</v>
      </c>
      <c r="F379">
        <v>0</v>
      </c>
      <c r="G379">
        <v>-15000</v>
      </c>
      <c r="H379" s="4">
        <f t="shared" si="25"/>
        <v>9205.1929444802372</v>
      </c>
      <c r="I379">
        <f t="shared" si="27"/>
        <v>1623190.2316892408</v>
      </c>
    </row>
    <row r="380" spans="2:9" x14ac:dyDescent="0.3">
      <c r="B380">
        <v>378</v>
      </c>
      <c r="C380" s="1">
        <v>55305</v>
      </c>
      <c r="D380" s="1" t="str">
        <f t="shared" si="24"/>
        <v>VI</v>
      </c>
      <c r="E380">
        <f t="shared" si="26"/>
        <v>1623190.2316892408</v>
      </c>
      <c r="F380">
        <v>0</v>
      </c>
      <c r="G380">
        <v>-15000</v>
      </c>
      <c r="H380" s="4">
        <f t="shared" si="25"/>
        <v>6947.31131046871</v>
      </c>
      <c r="I380">
        <f t="shared" si="27"/>
        <v>1615137.5429997095</v>
      </c>
    </row>
    <row r="381" spans="2:9" x14ac:dyDescent="0.3">
      <c r="B381">
        <v>379</v>
      </c>
      <c r="C381" s="1">
        <v>55335</v>
      </c>
      <c r="D381" s="1" t="str">
        <f t="shared" si="24"/>
        <v>VII</v>
      </c>
      <c r="E381">
        <f t="shared" si="26"/>
        <v>1615137.5429997095</v>
      </c>
      <c r="F381">
        <v>0</v>
      </c>
      <c r="G381">
        <v>-15000</v>
      </c>
      <c r="H381" s="4">
        <f t="shared" si="25"/>
        <v>9679.6677254902315</v>
      </c>
      <c r="I381">
        <f t="shared" si="27"/>
        <v>1609817.2107251997</v>
      </c>
    </row>
    <row r="382" spans="2:9" x14ac:dyDescent="0.3">
      <c r="B382">
        <v>380</v>
      </c>
      <c r="C382" s="1">
        <v>55366</v>
      </c>
      <c r="D382" s="1" t="str">
        <f t="shared" si="24"/>
        <v>VIII</v>
      </c>
      <c r="E382">
        <f t="shared" si="26"/>
        <v>1609817.2107251997</v>
      </c>
      <c r="F382">
        <v>0</v>
      </c>
      <c r="G382">
        <v>-15000</v>
      </c>
      <c r="H382" s="4">
        <f t="shared" si="25"/>
        <v>372.88450546122061</v>
      </c>
      <c r="I382">
        <f t="shared" si="27"/>
        <v>1595190.0952306609</v>
      </c>
    </row>
    <row r="383" spans="2:9" x14ac:dyDescent="0.3">
      <c r="B383">
        <v>381</v>
      </c>
      <c r="C383" s="1">
        <v>55397</v>
      </c>
      <c r="D383" s="1" t="str">
        <f t="shared" si="24"/>
        <v>IX</v>
      </c>
      <c r="E383">
        <f t="shared" si="26"/>
        <v>1595190.0952306609</v>
      </c>
      <c r="F383">
        <v>0</v>
      </c>
      <c r="G383">
        <v>-15000</v>
      </c>
      <c r="H383" s="4">
        <f t="shared" si="25"/>
        <v>-9140.5603580917541</v>
      </c>
      <c r="I383">
        <f t="shared" si="27"/>
        <v>1571049.5348725691</v>
      </c>
    </row>
    <row r="384" spans="2:9" x14ac:dyDescent="0.3">
      <c r="B384">
        <v>382</v>
      </c>
      <c r="C384" s="1">
        <v>55427</v>
      </c>
      <c r="D384" s="1" t="str">
        <f t="shared" si="24"/>
        <v>X</v>
      </c>
      <c r="E384">
        <f t="shared" si="26"/>
        <v>1571049.5348725691</v>
      </c>
      <c r="F384">
        <v>0</v>
      </c>
      <c r="G384">
        <v>-15000</v>
      </c>
      <c r="H384" s="4">
        <f t="shared" si="25"/>
        <v>12688.282384248356</v>
      </c>
      <c r="I384">
        <f t="shared" si="27"/>
        <v>1568737.8172568176</v>
      </c>
    </row>
    <row r="385" spans="2:9" x14ac:dyDescent="0.3">
      <c r="B385">
        <v>383</v>
      </c>
      <c r="C385" s="1">
        <v>55458</v>
      </c>
      <c r="D385" s="1" t="str">
        <f t="shared" si="24"/>
        <v>XI</v>
      </c>
      <c r="E385">
        <f t="shared" si="26"/>
        <v>1568737.8172568176</v>
      </c>
      <c r="F385">
        <v>0</v>
      </c>
      <c r="G385">
        <v>-15000</v>
      </c>
      <c r="H385" s="4">
        <f t="shared" si="25"/>
        <v>20516.184205078367</v>
      </c>
      <c r="I385">
        <f t="shared" si="27"/>
        <v>1574254.0014618959</v>
      </c>
    </row>
    <row r="386" spans="2:9" x14ac:dyDescent="0.3">
      <c r="B386">
        <v>384</v>
      </c>
      <c r="C386" s="1">
        <v>55488</v>
      </c>
      <c r="D386" s="1" t="str">
        <f t="shared" si="24"/>
        <v>XII</v>
      </c>
      <c r="E386">
        <f t="shared" si="26"/>
        <v>1574254.0014618959</v>
      </c>
      <c r="F386">
        <v>0</v>
      </c>
      <c r="G386">
        <v>-15000</v>
      </c>
      <c r="H386" s="4">
        <f t="shared" si="25"/>
        <v>23304.462202272658</v>
      </c>
      <c r="I386">
        <f t="shared" si="27"/>
        <v>1582558.4636641685</v>
      </c>
    </row>
    <row r="387" spans="2:9" x14ac:dyDescent="0.3">
      <c r="B387">
        <v>385</v>
      </c>
      <c r="C387" s="1">
        <v>55519</v>
      </c>
      <c r="D387" s="1" t="str">
        <f t="shared" si="24"/>
        <v>I</v>
      </c>
      <c r="E387">
        <f t="shared" si="26"/>
        <v>1582558.4636641685</v>
      </c>
      <c r="F387">
        <v>0</v>
      </c>
      <c r="G387">
        <v>-15000</v>
      </c>
      <c r="H387" s="4">
        <f t="shared" si="25"/>
        <v>20028.897819579517</v>
      </c>
      <c r="I387">
        <f t="shared" si="27"/>
        <v>1587587.3614837481</v>
      </c>
    </row>
    <row r="388" spans="2:9" x14ac:dyDescent="0.3">
      <c r="B388">
        <v>386</v>
      </c>
      <c r="C388" s="1">
        <v>55550</v>
      </c>
      <c r="D388" s="1" t="str">
        <f t="shared" ref="D388:D451" si="28">TEXT(C388,"mmm")</f>
        <v>II</v>
      </c>
      <c r="E388">
        <f t="shared" si="26"/>
        <v>1587587.3614837481</v>
      </c>
      <c r="F388">
        <v>0</v>
      </c>
      <c r="G388">
        <v>-15000</v>
      </c>
      <c r="H388" s="4">
        <f t="shared" si="25"/>
        <v>1096.9466132786802</v>
      </c>
      <c r="I388">
        <f t="shared" si="27"/>
        <v>1573684.3080970268</v>
      </c>
    </row>
    <row r="389" spans="2:9" x14ac:dyDescent="0.3">
      <c r="B389">
        <v>387</v>
      </c>
      <c r="C389" s="1">
        <v>55579</v>
      </c>
      <c r="D389" s="1" t="str">
        <f t="shared" si="28"/>
        <v>III</v>
      </c>
      <c r="E389">
        <f t="shared" si="26"/>
        <v>1573684.3080970268</v>
      </c>
      <c r="F389">
        <v>0</v>
      </c>
      <c r="G389">
        <v>-15000</v>
      </c>
      <c r="H389" s="4">
        <f t="shared" ref="H389:H452" si="29">SUM(E389:G389)*VLOOKUP(D389,$U$4:$V$15,2,FALSE)</f>
        <v>13672.9807972135</v>
      </c>
      <c r="I389">
        <f t="shared" si="27"/>
        <v>1572357.2888942403</v>
      </c>
    </row>
    <row r="390" spans="2:9" x14ac:dyDescent="0.3">
      <c r="B390">
        <v>388</v>
      </c>
      <c r="C390" s="1">
        <v>55610</v>
      </c>
      <c r="D390" s="1" t="str">
        <f t="shared" si="28"/>
        <v>IV</v>
      </c>
      <c r="E390">
        <f t="shared" si="26"/>
        <v>1572357.2888942403</v>
      </c>
      <c r="F390">
        <v>0</v>
      </c>
      <c r="G390">
        <v>-15000</v>
      </c>
      <c r="H390" s="4">
        <f t="shared" si="29"/>
        <v>26817.980909122405</v>
      </c>
      <c r="I390">
        <f t="shared" si="27"/>
        <v>1584175.2698033627</v>
      </c>
    </row>
    <row r="391" spans="2:9" x14ac:dyDescent="0.3">
      <c r="B391">
        <v>389</v>
      </c>
      <c r="C391" s="1">
        <v>55640</v>
      </c>
      <c r="D391" s="1" t="str">
        <f t="shared" si="28"/>
        <v>V</v>
      </c>
      <c r="E391">
        <f t="shared" si="26"/>
        <v>1584175.2698033627</v>
      </c>
      <c r="F391">
        <v>0</v>
      </c>
      <c r="G391">
        <v>-15000</v>
      </c>
      <c r="H391" s="4">
        <f t="shared" si="29"/>
        <v>8949.6251672076905</v>
      </c>
      <c r="I391">
        <f t="shared" si="27"/>
        <v>1578124.8949705705</v>
      </c>
    </row>
    <row r="392" spans="2:9" x14ac:dyDescent="0.3">
      <c r="B392">
        <v>390</v>
      </c>
      <c r="C392" s="1">
        <v>55671</v>
      </c>
      <c r="D392" s="1" t="str">
        <f t="shared" si="28"/>
        <v>VI</v>
      </c>
      <c r="E392">
        <f t="shared" si="26"/>
        <v>1578124.8949705705</v>
      </c>
      <c r="F392">
        <v>0</v>
      </c>
      <c r="G392">
        <v>-15000</v>
      </c>
      <c r="H392" s="4">
        <f t="shared" si="29"/>
        <v>6752.6310311544667</v>
      </c>
      <c r="I392">
        <f t="shared" si="27"/>
        <v>1569877.5260017249</v>
      </c>
    </row>
    <row r="393" spans="2:9" x14ac:dyDescent="0.3">
      <c r="B393">
        <v>391</v>
      </c>
      <c r="C393" s="1">
        <v>55701</v>
      </c>
      <c r="D393" s="1" t="str">
        <f t="shared" si="28"/>
        <v>VII</v>
      </c>
      <c r="E393">
        <f t="shared" si="26"/>
        <v>1569877.5260017249</v>
      </c>
      <c r="F393">
        <v>0</v>
      </c>
      <c r="G393">
        <v>-15000</v>
      </c>
      <c r="H393" s="4">
        <f t="shared" si="29"/>
        <v>9405.8775580717229</v>
      </c>
      <c r="I393">
        <f t="shared" si="27"/>
        <v>1564283.4035597965</v>
      </c>
    </row>
    <row r="394" spans="2:9" x14ac:dyDescent="0.3">
      <c r="B394">
        <v>392</v>
      </c>
      <c r="C394" s="1">
        <v>55732</v>
      </c>
      <c r="D394" s="1" t="str">
        <f t="shared" si="28"/>
        <v>VIII</v>
      </c>
      <c r="E394">
        <f t="shared" si="26"/>
        <v>1564283.4035597965</v>
      </c>
      <c r="F394">
        <v>0</v>
      </c>
      <c r="G394">
        <v>-15000</v>
      </c>
      <c r="H394" s="4">
        <f t="shared" si="29"/>
        <v>362.2382376303654</v>
      </c>
      <c r="I394">
        <f t="shared" si="27"/>
        <v>1549645.6417974269</v>
      </c>
    </row>
    <row r="395" spans="2:9" x14ac:dyDescent="0.3">
      <c r="B395">
        <v>393</v>
      </c>
      <c r="C395" s="1">
        <v>55763</v>
      </c>
      <c r="D395" s="1" t="str">
        <f t="shared" si="28"/>
        <v>IX</v>
      </c>
      <c r="E395">
        <f t="shared" si="26"/>
        <v>1549645.6417974269</v>
      </c>
      <c r="F395">
        <v>0</v>
      </c>
      <c r="G395">
        <v>-15000</v>
      </c>
      <c r="H395" s="4">
        <f t="shared" si="29"/>
        <v>-8877.1098866331249</v>
      </c>
      <c r="I395">
        <f t="shared" si="27"/>
        <v>1525768.5319107936</v>
      </c>
    </row>
    <row r="396" spans="2:9" x14ac:dyDescent="0.3">
      <c r="B396">
        <v>394</v>
      </c>
      <c r="C396" s="1">
        <v>55793</v>
      </c>
      <c r="D396" s="1" t="str">
        <f t="shared" si="28"/>
        <v>X</v>
      </c>
      <c r="E396">
        <f t="shared" si="26"/>
        <v>1525768.5319107936</v>
      </c>
      <c r="F396">
        <v>0</v>
      </c>
      <c r="G396">
        <v>-15000</v>
      </c>
      <c r="H396" s="4">
        <f t="shared" si="29"/>
        <v>12319.053680826621</v>
      </c>
      <c r="I396">
        <f t="shared" si="27"/>
        <v>1523087.5855916203</v>
      </c>
    </row>
    <row r="397" spans="2:9" x14ac:dyDescent="0.3">
      <c r="B397">
        <v>395</v>
      </c>
      <c r="C397" s="1">
        <v>55824</v>
      </c>
      <c r="D397" s="1" t="str">
        <f t="shared" si="28"/>
        <v>XI</v>
      </c>
      <c r="E397">
        <f t="shared" si="26"/>
        <v>1523087.5855916203</v>
      </c>
      <c r="F397">
        <v>0</v>
      </c>
      <c r="G397">
        <v>-15000</v>
      </c>
      <c r="H397" s="4">
        <f t="shared" si="29"/>
        <v>19913.400034257815</v>
      </c>
      <c r="I397">
        <f t="shared" si="27"/>
        <v>1528000.9856258782</v>
      </c>
    </row>
    <row r="398" spans="2:9" x14ac:dyDescent="0.3">
      <c r="B398">
        <v>396</v>
      </c>
      <c r="C398" s="1">
        <v>55854</v>
      </c>
      <c r="D398" s="1" t="str">
        <f t="shared" si="28"/>
        <v>XII</v>
      </c>
      <c r="E398">
        <f t="shared" si="26"/>
        <v>1528000.9856258782</v>
      </c>
      <c r="F398">
        <v>0</v>
      </c>
      <c r="G398">
        <v>-15000</v>
      </c>
      <c r="H398" s="4">
        <f t="shared" si="29"/>
        <v>22613.16902086604</v>
      </c>
      <c r="I398">
        <f t="shared" si="27"/>
        <v>1535614.1546467443</v>
      </c>
    </row>
    <row r="399" spans="2:9" x14ac:dyDescent="0.3">
      <c r="B399">
        <v>397</v>
      </c>
      <c r="C399" s="1">
        <v>55885</v>
      </c>
      <c r="D399" s="1" t="str">
        <f t="shared" si="28"/>
        <v>I</v>
      </c>
      <c r="E399">
        <f t="shared" si="26"/>
        <v>1535614.1546467443</v>
      </c>
      <c r="F399">
        <v>0</v>
      </c>
      <c r="G399">
        <v>-15000</v>
      </c>
      <c r="H399" s="4">
        <f t="shared" si="29"/>
        <v>19429.084294077613</v>
      </c>
      <c r="I399">
        <f t="shared" si="27"/>
        <v>1540043.238940822</v>
      </c>
    </row>
    <row r="400" spans="2:9" x14ac:dyDescent="0.3">
      <c r="B400">
        <v>398</v>
      </c>
      <c r="C400" s="1">
        <v>55916</v>
      </c>
      <c r="D400" s="1" t="str">
        <f t="shared" si="28"/>
        <v>II</v>
      </c>
      <c r="E400">
        <f t="shared" si="26"/>
        <v>1540043.238940822</v>
      </c>
      <c r="F400">
        <v>0</v>
      </c>
      <c r="G400">
        <v>-15000</v>
      </c>
      <c r="H400" s="4">
        <f t="shared" si="29"/>
        <v>1063.782564347521</v>
      </c>
      <c r="I400">
        <f t="shared" si="27"/>
        <v>1526107.0215051696</v>
      </c>
    </row>
    <row r="401" spans="2:9" x14ac:dyDescent="0.3">
      <c r="B401">
        <v>399</v>
      </c>
      <c r="C401" s="1">
        <v>55944</v>
      </c>
      <c r="D401" s="1" t="str">
        <f t="shared" si="28"/>
        <v>III</v>
      </c>
      <c r="E401">
        <f t="shared" si="26"/>
        <v>1526107.0215051696</v>
      </c>
      <c r="F401">
        <v>0</v>
      </c>
      <c r="G401">
        <v>-15000</v>
      </c>
      <c r="H401" s="4">
        <f t="shared" si="29"/>
        <v>13255.626671958848</v>
      </c>
      <c r="I401">
        <f t="shared" si="27"/>
        <v>1524362.6481771285</v>
      </c>
    </row>
    <row r="402" spans="2:9" x14ac:dyDescent="0.3">
      <c r="B402">
        <v>400</v>
      </c>
      <c r="C402" s="1">
        <v>55975</v>
      </c>
      <c r="D402" s="1" t="str">
        <f t="shared" si="28"/>
        <v>IV</v>
      </c>
      <c r="E402">
        <f t="shared" si="26"/>
        <v>1524362.6481771285</v>
      </c>
      <c r="F402">
        <v>0</v>
      </c>
      <c r="G402">
        <v>-15000</v>
      </c>
      <c r="H402" s="4">
        <f t="shared" si="29"/>
        <v>25991.504308235544</v>
      </c>
      <c r="I402">
        <f t="shared" si="27"/>
        <v>1535354.1524853641</v>
      </c>
    </row>
    <row r="403" spans="2:9" x14ac:dyDescent="0.3">
      <c r="B403">
        <v>401</v>
      </c>
      <c r="C403" s="1">
        <v>56005</v>
      </c>
      <c r="D403" s="1" t="str">
        <f t="shared" si="28"/>
        <v>V</v>
      </c>
      <c r="E403">
        <f t="shared" si="26"/>
        <v>1535354.1524853641</v>
      </c>
      <c r="F403">
        <v>0</v>
      </c>
      <c r="G403">
        <v>-15000</v>
      </c>
      <c r="H403" s="4">
        <f t="shared" si="29"/>
        <v>8671.1790887813386</v>
      </c>
      <c r="I403">
        <f t="shared" si="27"/>
        <v>1529025.3315741455</v>
      </c>
    </row>
    <row r="404" spans="2:9" x14ac:dyDescent="0.3">
      <c r="B404">
        <v>402</v>
      </c>
      <c r="C404" s="1">
        <v>56036</v>
      </c>
      <c r="D404" s="1" t="str">
        <f t="shared" si="28"/>
        <v>VI</v>
      </c>
      <c r="E404">
        <f t="shared" si="26"/>
        <v>1529025.3315741455</v>
      </c>
      <c r="F404">
        <v>0</v>
      </c>
      <c r="G404">
        <v>-15000</v>
      </c>
      <c r="H404" s="4">
        <f t="shared" si="29"/>
        <v>6540.523069421135</v>
      </c>
      <c r="I404">
        <f t="shared" si="27"/>
        <v>1520565.8546435665</v>
      </c>
    </row>
    <row r="405" spans="2:9" x14ac:dyDescent="0.3">
      <c r="B405">
        <v>403</v>
      </c>
      <c r="C405" s="1">
        <v>56066</v>
      </c>
      <c r="D405" s="1" t="str">
        <f t="shared" si="28"/>
        <v>VII</v>
      </c>
      <c r="E405">
        <f t="shared" si="26"/>
        <v>1520565.8546435665</v>
      </c>
      <c r="F405">
        <v>0</v>
      </c>
      <c r="G405">
        <v>-15000</v>
      </c>
      <c r="H405" s="4">
        <f t="shared" si="29"/>
        <v>9107.5778301366263</v>
      </c>
      <c r="I405">
        <f t="shared" si="27"/>
        <v>1514673.4324737031</v>
      </c>
    </row>
    <row r="406" spans="2:9" x14ac:dyDescent="0.3">
      <c r="B406">
        <v>404</v>
      </c>
      <c r="C406" s="1">
        <v>56097</v>
      </c>
      <c r="D406" s="1" t="str">
        <f t="shared" si="28"/>
        <v>VIII</v>
      </c>
      <c r="E406">
        <f t="shared" si="26"/>
        <v>1514673.4324737031</v>
      </c>
      <c r="F406">
        <v>0</v>
      </c>
      <c r="G406">
        <v>-15000</v>
      </c>
      <c r="H406" s="4">
        <f t="shared" si="29"/>
        <v>350.63892116326281</v>
      </c>
      <c r="I406">
        <f t="shared" si="27"/>
        <v>1500024.0713948663</v>
      </c>
    </row>
    <row r="407" spans="2:9" x14ac:dyDescent="0.3">
      <c r="B407">
        <v>405</v>
      </c>
      <c r="C407" s="1">
        <v>56128</v>
      </c>
      <c r="D407" s="1" t="str">
        <f t="shared" si="28"/>
        <v>IX</v>
      </c>
      <c r="E407">
        <f t="shared" si="26"/>
        <v>1500024.0713948663</v>
      </c>
      <c r="F407">
        <v>0</v>
      </c>
      <c r="G407">
        <v>-15000</v>
      </c>
      <c r="H407" s="4">
        <f t="shared" si="29"/>
        <v>-8590.0754591317309</v>
      </c>
      <c r="I407">
        <f t="shared" si="27"/>
        <v>1476433.9959357346</v>
      </c>
    </row>
    <row r="408" spans="2:9" x14ac:dyDescent="0.3">
      <c r="B408">
        <v>406</v>
      </c>
      <c r="C408" s="1">
        <v>56158</v>
      </c>
      <c r="D408" s="1" t="str">
        <f t="shared" si="28"/>
        <v>X</v>
      </c>
      <c r="E408">
        <f t="shared" si="26"/>
        <v>1476433.9959357346</v>
      </c>
      <c r="F408">
        <v>0</v>
      </c>
      <c r="G408">
        <v>-15000</v>
      </c>
      <c r="H408" s="4">
        <f t="shared" si="29"/>
        <v>11916.771806298331</v>
      </c>
      <c r="I408">
        <f t="shared" si="27"/>
        <v>1473350.7677420329</v>
      </c>
    </row>
    <row r="409" spans="2:9" x14ac:dyDescent="0.3">
      <c r="B409">
        <v>407</v>
      </c>
      <c r="C409" s="1">
        <v>56189</v>
      </c>
      <c r="D409" s="1" t="str">
        <f t="shared" si="28"/>
        <v>XI</v>
      </c>
      <c r="E409">
        <f t="shared" si="26"/>
        <v>1473350.7677420329</v>
      </c>
      <c r="F409">
        <v>0</v>
      </c>
      <c r="G409">
        <v>-15000</v>
      </c>
      <c r="H409" s="4">
        <f t="shared" si="29"/>
        <v>19256.654922281239</v>
      </c>
      <c r="I409">
        <f t="shared" si="27"/>
        <v>1477607.422664314</v>
      </c>
    </row>
    <row r="410" spans="2:9" x14ac:dyDescent="0.3">
      <c r="B410">
        <v>408</v>
      </c>
      <c r="C410" s="1">
        <v>56219</v>
      </c>
      <c r="D410" s="1" t="str">
        <f t="shared" si="28"/>
        <v>XII</v>
      </c>
      <c r="E410">
        <f t="shared" si="26"/>
        <v>1477607.422664314</v>
      </c>
      <c r="F410">
        <v>0</v>
      </c>
      <c r="G410">
        <v>-15000</v>
      </c>
      <c r="H410" s="4">
        <f t="shared" si="29"/>
        <v>21859.991615405128</v>
      </c>
      <c r="I410">
        <f t="shared" si="27"/>
        <v>1484467.4142797191</v>
      </c>
    </row>
    <row r="411" spans="2:9" x14ac:dyDescent="0.3">
      <c r="B411">
        <v>409</v>
      </c>
      <c r="C411" s="1">
        <v>56250</v>
      </c>
      <c r="D411" s="1" t="str">
        <f t="shared" si="28"/>
        <v>I</v>
      </c>
      <c r="E411">
        <f t="shared" si="26"/>
        <v>1484467.4142797191</v>
      </c>
      <c r="F411">
        <v>0</v>
      </c>
      <c r="G411">
        <v>-15000</v>
      </c>
      <c r="H411" s="4">
        <f t="shared" si="29"/>
        <v>18775.575758120907</v>
      </c>
      <c r="I411">
        <f t="shared" si="27"/>
        <v>1488242.9900378401</v>
      </c>
    </row>
    <row r="412" spans="2:9" x14ac:dyDescent="0.3">
      <c r="B412">
        <v>410</v>
      </c>
      <c r="C412" s="1">
        <v>56281</v>
      </c>
      <c r="D412" s="1" t="str">
        <f t="shared" si="28"/>
        <v>II</v>
      </c>
      <c r="E412">
        <f t="shared" si="26"/>
        <v>1488242.9900378401</v>
      </c>
      <c r="F412">
        <v>0</v>
      </c>
      <c r="G412">
        <v>-15000</v>
      </c>
      <c r="H412" s="4">
        <f t="shared" si="29"/>
        <v>1027.6496861413102</v>
      </c>
      <c r="I412">
        <f t="shared" si="27"/>
        <v>1474270.6397239815</v>
      </c>
    </row>
    <row r="413" spans="2:9" x14ac:dyDescent="0.3">
      <c r="B413">
        <v>411</v>
      </c>
      <c r="C413" s="1">
        <v>56309</v>
      </c>
      <c r="D413" s="1" t="str">
        <f t="shared" si="28"/>
        <v>III</v>
      </c>
      <c r="E413">
        <f t="shared" si="26"/>
        <v>1474270.6397239815</v>
      </c>
      <c r="F413">
        <v>0</v>
      </c>
      <c r="G413">
        <v>-15000</v>
      </c>
      <c r="H413" s="4">
        <f t="shared" si="29"/>
        <v>12800.911211612343</v>
      </c>
      <c r="I413">
        <f t="shared" si="27"/>
        <v>1472071.5509355939</v>
      </c>
    </row>
    <row r="414" spans="2:9" x14ac:dyDescent="0.3">
      <c r="B414">
        <v>412</v>
      </c>
      <c r="C414" s="1">
        <v>56340</v>
      </c>
      <c r="D414" s="1" t="str">
        <f t="shared" si="28"/>
        <v>IV</v>
      </c>
      <c r="E414">
        <f t="shared" si="26"/>
        <v>1472071.5509355939</v>
      </c>
      <c r="F414">
        <v>0</v>
      </c>
      <c r="G414">
        <v>-15000</v>
      </c>
      <c r="H414" s="4">
        <f t="shared" si="29"/>
        <v>25091.041930372186</v>
      </c>
      <c r="I414">
        <f t="shared" si="27"/>
        <v>1482162.592865966</v>
      </c>
    </row>
    <row r="415" spans="2:9" x14ac:dyDescent="0.3">
      <c r="B415">
        <v>413</v>
      </c>
      <c r="C415" s="1">
        <v>56370</v>
      </c>
      <c r="D415" s="1" t="str">
        <f t="shared" si="28"/>
        <v>V</v>
      </c>
      <c r="E415">
        <f t="shared" si="26"/>
        <v>1482162.592865966</v>
      </c>
      <c r="F415">
        <v>0</v>
      </c>
      <c r="G415">
        <v>-15000</v>
      </c>
      <c r="H415" s="4">
        <f t="shared" si="29"/>
        <v>8367.8066549853047</v>
      </c>
      <c r="I415">
        <f t="shared" si="27"/>
        <v>1475530.3995209513</v>
      </c>
    </row>
    <row r="416" spans="2:9" x14ac:dyDescent="0.3">
      <c r="B416">
        <v>414</v>
      </c>
      <c r="C416" s="1">
        <v>56401</v>
      </c>
      <c r="D416" s="1" t="str">
        <f t="shared" si="28"/>
        <v>VI</v>
      </c>
      <c r="E416">
        <f t="shared" si="26"/>
        <v>1475530.3995209513</v>
      </c>
      <c r="F416">
        <v>0</v>
      </c>
      <c r="G416">
        <v>-15000</v>
      </c>
      <c r="H416" s="4">
        <f t="shared" si="29"/>
        <v>6309.4273077490016</v>
      </c>
      <c r="I416">
        <f t="shared" si="27"/>
        <v>1466839.8268287003</v>
      </c>
    </row>
    <row r="417" spans="2:9" x14ac:dyDescent="0.3">
      <c r="B417">
        <v>415</v>
      </c>
      <c r="C417" s="1">
        <v>56431</v>
      </c>
      <c r="D417" s="1" t="str">
        <f t="shared" si="28"/>
        <v>VII</v>
      </c>
      <c r="E417">
        <f t="shared" si="26"/>
        <v>1466839.8268287003</v>
      </c>
      <c r="F417">
        <v>0</v>
      </c>
      <c r="G417">
        <v>-15000</v>
      </c>
      <c r="H417" s="4">
        <f t="shared" si="29"/>
        <v>8782.574457936862</v>
      </c>
      <c r="I417">
        <f t="shared" si="27"/>
        <v>1460622.4012866372</v>
      </c>
    </row>
    <row r="418" spans="2:9" x14ac:dyDescent="0.3">
      <c r="B418">
        <v>416</v>
      </c>
      <c r="C418" s="1">
        <v>56462</v>
      </c>
      <c r="D418" s="1" t="str">
        <f t="shared" si="28"/>
        <v>VIII</v>
      </c>
      <c r="E418">
        <f t="shared" si="26"/>
        <v>1460622.4012866372</v>
      </c>
      <c r="F418">
        <v>0</v>
      </c>
      <c r="G418">
        <v>-15000</v>
      </c>
      <c r="H418" s="4">
        <f t="shared" si="29"/>
        <v>338.00123961686586</v>
      </c>
      <c r="I418">
        <f t="shared" si="27"/>
        <v>1445960.4025262541</v>
      </c>
    </row>
    <row r="419" spans="2:9" x14ac:dyDescent="0.3">
      <c r="B419">
        <v>417</v>
      </c>
      <c r="C419" s="1">
        <v>56493</v>
      </c>
      <c r="D419" s="1" t="str">
        <f t="shared" si="28"/>
        <v>IX</v>
      </c>
      <c r="E419">
        <f t="shared" si="26"/>
        <v>1445960.4025262541</v>
      </c>
      <c r="F419">
        <v>0</v>
      </c>
      <c r="G419">
        <v>-15000</v>
      </c>
      <c r="H419" s="4">
        <f t="shared" si="29"/>
        <v>-8277.3458514946815</v>
      </c>
      <c r="I419">
        <f t="shared" si="27"/>
        <v>1422683.0566747594</v>
      </c>
    </row>
    <row r="420" spans="2:9" x14ac:dyDescent="0.3">
      <c r="B420">
        <v>418</v>
      </c>
      <c r="C420" s="1">
        <v>56523</v>
      </c>
      <c r="D420" s="1" t="str">
        <f t="shared" si="28"/>
        <v>X</v>
      </c>
      <c r="E420">
        <f t="shared" si="26"/>
        <v>1422683.0566747594</v>
      </c>
      <c r="F420">
        <v>0</v>
      </c>
      <c r="G420">
        <v>-15000</v>
      </c>
      <c r="H420" s="4">
        <f t="shared" si="29"/>
        <v>11478.47785711651</v>
      </c>
      <c r="I420">
        <f t="shared" si="27"/>
        <v>1419161.534531876</v>
      </c>
    </row>
    <row r="421" spans="2:9" x14ac:dyDescent="0.3">
      <c r="B421">
        <v>419</v>
      </c>
      <c r="C421" s="1">
        <v>56554</v>
      </c>
      <c r="D421" s="1" t="str">
        <f t="shared" si="28"/>
        <v>XI</v>
      </c>
      <c r="E421">
        <f t="shared" si="26"/>
        <v>1419161.534531876</v>
      </c>
      <c r="F421">
        <v>0</v>
      </c>
      <c r="G421">
        <v>-15000</v>
      </c>
      <c r="H421" s="4">
        <f t="shared" si="29"/>
        <v>18541.118312356681</v>
      </c>
      <c r="I421">
        <f t="shared" si="27"/>
        <v>1422702.6528442327</v>
      </c>
    </row>
    <row r="422" spans="2:9" x14ac:dyDescent="0.3">
      <c r="B422">
        <v>420</v>
      </c>
      <c r="C422" s="1">
        <v>56584</v>
      </c>
      <c r="D422" s="1" t="str">
        <f t="shared" si="28"/>
        <v>XII</v>
      </c>
      <c r="E422">
        <f t="shared" si="26"/>
        <v>1422702.6528442327</v>
      </c>
      <c r="F422">
        <v>0</v>
      </c>
      <c r="G422">
        <v>-15000</v>
      </c>
      <c r="H422" s="4">
        <f t="shared" si="29"/>
        <v>21039.390140727537</v>
      </c>
      <c r="I422">
        <f t="shared" si="27"/>
        <v>1428742.0429849604</v>
      </c>
    </row>
    <row r="423" spans="2:9" x14ac:dyDescent="0.3">
      <c r="B423">
        <v>421</v>
      </c>
      <c r="C423" s="1">
        <v>56615</v>
      </c>
      <c r="D423" s="1" t="str">
        <f t="shared" si="28"/>
        <v>I</v>
      </c>
      <c r="E423">
        <f t="shared" si="26"/>
        <v>1428742.0429849604</v>
      </c>
      <c r="F423">
        <v>0</v>
      </c>
      <c r="G423">
        <v>-15000</v>
      </c>
      <c r="H423" s="4">
        <f t="shared" si="29"/>
        <v>18063.565460902439</v>
      </c>
      <c r="I423">
        <f t="shared" si="27"/>
        <v>1431805.6084458628</v>
      </c>
    </row>
    <row r="424" spans="2:9" x14ac:dyDescent="0.3">
      <c r="B424">
        <v>422</v>
      </c>
      <c r="C424" s="1">
        <v>56646</v>
      </c>
      <c r="D424" s="1" t="str">
        <f t="shared" si="28"/>
        <v>II</v>
      </c>
      <c r="E424">
        <f t="shared" si="26"/>
        <v>1431805.6084458628</v>
      </c>
      <c r="F424">
        <v>0</v>
      </c>
      <c r="G424">
        <v>-15000</v>
      </c>
      <c r="H424" s="4">
        <f t="shared" si="29"/>
        <v>988.28221053014636</v>
      </c>
      <c r="I424">
        <f t="shared" si="27"/>
        <v>1417793.890656393</v>
      </c>
    </row>
    <row r="425" spans="2:9" x14ac:dyDescent="0.3">
      <c r="B425">
        <v>423</v>
      </c>
      <c r="C425" s="1">
        <v>56674</v>
      </c>
      <c r="D425" s="1" t="str">
        <f t="shared" si="28"/>
        <v>III</v>
      </c>
      <c r="E425">
        <f t="shared" si="26"/>
        <v>1417793.890656393</v>
      </c>
      <c r="F425">
        <v>0</v>
      </c>
      <c r="G425">
        <v>-15000</v>
      </c>
      <c r="H425" s="4">
        <f t="shared" si="29"/>
        <v>12305.489847915576</v>
      </c>
      <c r="I425">
        <f t="shared" si="27"/>
        <v>1415099.3805043085</v>
      </c>
    </row>
    <row r="426" spans="2:9" x14ac:dyDescent="0.3">
      <c r="B426">
        <v>424</v>
      </c>
      <c r="C426" s="1">
        <v>56705</v>
      </c>
      <c r="D426" s="1" t="str">
        <f t="shared" si="28"/>
        <v>IV</v>
      </c>
      <c r="E426">
        <f t="shared" si="26"/>
        <v>1415099.3805043085</v>
      </c>
      <c r="F426">
        <v>0</v>
      </c>
      <c r="G426">
        <v>-15000</v>
      </c>
      <c r="H426" s="4">
        <f t="shared" si="29"/>
        <v>24109.970605331349</v>
      </c>
      <c r="I426">
        <f t="shared" si="27"/>
        <v>1424209.3511096397</v>
      </c>
    </row>
    <row r="427" spans="2:9" x14ac:dyDescent="0.3">
      <c r="B427">
        <v>425</v>
      </c>
      <c r="C427" s="1">
        <v>56735</v>
      </c>
      <c r="D427" s="1" t="str">
        <f t="shared" si="28"/>
        <v>V</v>
      </c>
      <c r="E427">
        <f t="shared" si="26"/>
        <v>1424209.3511096397</v>
      </c>
      <c r="F427">
        <v>0</v>
      </c>
      <c r="G427">
        <v>-15000</v>
      </c>
      <c r="H427" s="4">
        <f t="shared" si="29"/>
        <v>8037.2764708021932</v>
      </c>
      <c r="I427">
        <f t="shared" si="27"/>
        <v>1417246.627580442</v>
      </c>
    </row>
    <row r="428" spans="2:9" x14ac:dyDescent="0.3">
      <c r="B428">
        <v>426</v>
      </c>
      <c r="C428" s="1">
        <v>56766</v>
      </c>
      <c r="D428" s="1" t="str">
        <f t="shared" si="28"/>
        <v>VI</v>
      </c>
      <c r="E428">
        <f t="shared" si="26"/>
        <v>1417246.627580442</v>
      </c>
      <c r="F428">
        <v>0</v>
      </c>
      <c r="G428">
        <v>-15000</v>
      </c>
      <c r="H428" s="4">
        <f t="shared" si="29"/>
        <v>6057.6439676687942</v>
      </c>
      <c r="I428">
        <f t="shared" si="27"/>
        <v>1408304.2715481108</v>
      </c>
    </row>
    <row r="429" spans="2:9" x14ac:dyDescent="0.3">
      <c r="B429">
        <v>427</v>
      </c>
      <c r="C429" s="1">
        <v>56796</v>
      </c>
      <c r="D429" s="1" t="str">
        <f t="shared" si="28"/>
        <v>VII</v>
      </c>
      <c r="E429">
        <f t="shared" si="26"/>
        <v>1408304.2715481108</v>
      </c>
      <c r="F429">
        <v>0</v>
      </c>
      <c r="G429">
        <v>-15000</v>
      </c>
      <c r="H429" s="4">
        <f t="shared" si="29"/>
        <v>8428.4769444312533</v>
      </c>
      <c r="I429">
        <f t="shared" si="27"/>
        <v>1401732.748492542</v>
      </c>
    </row>
    <row r="430" spans="2:9" x14ac:dyDescent="0.3">
      <c r="B430">
        <v>428</v>
      </c>
      <c r="C430" s="1">
        <v>56827</v>
      </c>
      <c r="D430" s="1" t="str">
        <f t="shared" si="28"/>
        <v>VIII</v>
      </c>
      <c r="E430">
        <f t="shared" si="26"/>
        <v>1401732.748492542</v>
      </c>
      <c r="F430">
        <v>0</v>
      </c>
      <c r="G430">
        <v>-15000</v>
      </c>
      <c r="H430" s="4">
        <f t="shared" si="29"/>
        <v>324.23223906229828</v>
      </c>
      <c r="I430">
        <f t="shared" si="27"/>
        <v>1387056.9807316042</v>
      </c>
    </row>
    <row r="431" spans="2:9" x14ac:dyDescent="0.3">
      <c r="B431">
        <v>429</v>
      </c>
      <c r="C431" s="1">
        <v>56858</v>
      </c>
      <c r="D431" s="1" t="str">
        <f t="shared" si="28"/>
        <v>IX</v>
      </c>
      <c r="E431">
        <f t="shared" si="26"/>
        <v>1387056.9807316042</v>
      </c>
      <c r="F431">
        <v>0</v>
      </c>
      <c r="G431">
        <v>-15000</v>
      </c>
      <c r="H431" s="4">
        <f t="shared" si="29"/>
        <v>-7936.6208438913764</v>
      </c>
      <c r="I431">
        <f t="shared" si="27"/>
        <v>1364120.3598877129</v>
      </c>
    </row>
    <row r="432" spans="2:9" x14ac:dyDescent="0.3">
      <c r="B432">
        <v>430</v>
      </c>
      <c r="C432" s="1">
        <v>56888</v>
      </c>
      <c r="D432" s="1" t="str">
        <f t="shared" si="28"/>
        <v>X</v>
      </c>
      <c r="E432">
        <f t="shared" si="26"/>
        <v>1364120.3598877129</v>
      </c>
      <c r="F432">
        <v>0</v>
      </c>
      <c r="G432">
        <v>-15000</v>
      </c>
      <c r="H432" s="4">
        <f t="shared" si="29"/>
        <v>11000.948050150557</v>
      </c>
      <c r="I432">
        <f t="shared" si="27"/>
        <v>1360121.3079378635</v>
      </c>
    </row>
    <row r="433" spans="2:9" x14ac:dyDescent="0.3">
      <c r="B433">
        <v>431</v>
      </c>
      <c r="C433" s="1">
        <v>56919</v>
      </c>
      <c r="D433" s="1" t="str">
        <f t="shared" si="28"/>
        <v>XI</v>
      </c>
      <c r="E433">
        <f t="shared" si="26"/>
        <v>1360121.3079378635</v>
      </c>
      <c r="F433">
        <v>0</v>
      </c>
      <c r="G433">
        <v>-15000</v>
      </c>
      <c r="H433" s="4">
        <f t="shared" si="29"/>
        <v>17761.527218634776</v>
      </c>
      <c r="I433">
        <f t="shared" si="27"/>
        <v>1362882.8351564982</v>
      </c>
    </row>
    <row r="434" spans="2:9" x14ac:dyDescent="0.3">
      <c r="B434">
        <v>432</v>
      </c>
      <c r="C434" s="1">
        <v>56949</v>
      </c>
      <c r="D434" s="1" t="str">
        <f t="shared" si="28"/>
        <v>XII</v>
      </c>
      <c r="E434">
        <f t="shared" si="26"/>
        <v>1362882.8351564982</v>
      </c>
      <c r="F434">
        <v>0</v>
      </c>
      <c r="G434">
        <v>-15000</v>
      </c>
      <c r="H434" s="4">
        <f t="shared" si="29"/>
        <v>20145.328827469002</v>
      </c>
      <c r="I434">
        <f t="shared" si="27"/>
        <v>1368028.1639839672</v>
      </c>
    </row>
    <row r="435" spans="2:9" x14ac:dyDescent="0.3">
      <c r="B435">
        <v>433</v>
      </c>
      <c r="C435" s="1">
        <v>56980</v>
      </c>
      <c r="D435" s="1" t="str">
        <f t="shared" si="28"/>
        <v>I</v>
      </c>
      <c r="E435">
        <f t="shared" ref="E435:E498" si="30">I434</f>
        <v>1368028.1639839672</v>
      </c>
      <c r="F435">
        <v>0</v>
      </c>
      <c r="G435">
        <v>-15000</v>
      </c>
      <c r="H435" s="4">
        <f t="shared" si="29"/>
        <v>17287.816353657832</v>
      </c>
      <c r="I435">
        <f t="shared" ref="I435:I498" si="31">SUM(E435:H435)</f>
        <v>1370315.9803376249</v>
      </c>
    </row>
    <row r="436" spans="2:9" x14ac:dyDescent="0.3">
      <c r="B436">
        <v>434</v>
      </c>
      <c r="C436" s="1">
        <v>57011</v>
      </c>
      <c r="D436" s="1" t="str">
        <f t="shared" si="28"/>
        <v>II</v>
      </c>
      <c r="E436">
        <f t="shared" si="30"/>
        <v>1370315.9803376249</v>
      </c>
      <c r="F436">
        <v>0</v>
      </c>
      <c r="G436">
        <v>-15000</v>
      </c>
      <c r="H436" s="4">
        <f t="shared" si="29"/>
        <v>945.39057795244548</v>
      </c>
      <c r="I436">
        <f t="shared" si="31"/>
        <v>1356261.3709155773</v>
      </c>
    </row>
    <row r="437" spans="2:9" x14ac:dyDescent="0.3">
      <c r="B437">
        <v>435</v>
      </c>
      <c r="C437" s="1">
        <v>57040</v>
      </c>
      <c r="D437" s="1" t="str">
        <f t="shared" si="28"/>
        <v>III</v>
      </c>
      <c r="E437">
        <f t="shared" si="30"/>
        <v>1356261.3709155773</v>
      </c>
      <c r="F437">
        <v>0</v>
      </c>
      <c r="G437">
        <v>-15000</v>
      </c>
      <c r="H437" s="4">
        <f t="shared" si="29"/>
        <v>11765.718608512067</v>
      </c>
      <c r="I437">
        <f t="shared" si="31"/>
        <v>1353027.0895240894</v>
      </c>
    </row>
    <row r="438" spans="2:9" x14ac:dyDescent="0.3">
      <c r="B438">
        <v>436</v>
      </c>
      <c r="C438" s="1">
        <v>57071</v>
      </c>
      <c r="D438" s="1" t="str">
        <f t="shared" si="28"/>
        <v>IV</v>
      </c>
      <c r="E438">
        <f t="shared" si="30"/>
        <v>1353027.0895240894</v>
      </c>
      <c r="F438">
        <v>0</v>
      </c>
      <c r="G438">
        <v>-15000</v>
      </c>
      <c r="H438" s="4">
        <f t="shared" si="29"/>
        <v>23041.074259987916</v>
      </c>
      <c r="I438">
        <f t="shared" si="31"/>
        <v>1361068.1637840774</v>
      </c>
    </row>
    <row r="439" spans="2:9" x14ac:dyDescent="0.3">
      <c r="B439">
        <v>437</v>
      </c>
      <c r="C439" s="1">
        <v>57101</v>
      </c>
      <c r="D439" s="1" t="str">
        <f t="shared" si="28"/>
        <v>V</v>
      </c>
      <c r="E439">
        <f t="shared" si="30"/>
        <v>1361068.1637840774</v>
      </c>
      <c r="F439">
        <v>0</v>
      </c>
      <c r="G439">
        <v>-15000</v>
      </c>
      <c r="H439" s="4">
        <f t="shared" si="29"/>
        <v>7677.1573878351001</v>
      </c>
      <c r="I439">
        <f t="shared" si="31"/>
        <v>1353745.3211719126</v>
      </c>
    </row>
    <row r="440" spans="2:9" x14ac:dyDescent="0.3">
      <c r="B440">
        <v>438</v>
      </c>
      <c r="C440" s="1">
        <v>57132</v>
      </c>
      <c r="D440" s="1" t="str">
        <f t="shared" si="28"/>
        <v>VI</v>
      </c>
      <c r="E440">
        <f t="shared" si="30"/>
        <v>1353745.3211719126</v>
      </c>
      <c r="F440">
        <v>0</v>
      </c>
      <c r="G440">
        <v>-15000</v>
      </c>
      <c r="H440" s="4">
        <f t="shared" si="29"/>
        <v>5783.3211073824723</v>
      </c>
      <c r="I440">
        <f t="shared" si="31"/>
        <v>1344528.642279295</v>
      </c>
    </row>
    <row r="441" spans="2:9" x14ac:dyDescent="0.3">
      <c r="B441">
        <v>439</v>
      </c>
      <c r="C441" s="1">
        <v>57162</v>
      </c>
      <c r="D441" s="1" t="str">
        <f t="shared" si="28"/>
        <v>VII</v>
      </c>
      <c r="E441">
        <f t="shared" si="30"/>
        <v>1344528.642279295</v>
      </c>
      <c r="F441">
        <v>0</v>
      </c>
      <c r="G441">
        <v>-15000</v>
      </c>
      <c r="H441" s="4">
        <f t="shared" si="29"/>
        <v>8042.6807964645541</v>
      </c>
      <c r="I441">
        <f t="shared" si="31"/>
        <v>1337571.3230757595</v>
      </c>
    </row>
    <row r="442" spans="2:9" x14ac:dyDescent="0.3">
      <c r="B442">
        <v>440</v>
      </c>
      <c r="C442" s="1">
        <v>57193</v>
      </c>
      <c r="D442" s="1" t="str">
        <f t="shared" si="28"/>
        <v>VIII</v>
      </c>
      <c r="E442">
        <f t="shared" si="30"/>
        <v>1337571.3230757595</v>
      </c>
      <c r="F442">
        <v>0</v>
      </c>
      <c r="G442">
        <v>-15000</v>
      </c>
      <c r="H442" s="4">
        <f t="shared" si="29"/>
        <v>309.23064438089602</v>
      </c>
      <c r="I442">
        <f t="shared" si="31"/>
        <v>1322880.5537201404</v>
      </c>
    </row>
    <row r="443" spans="2:9" x14ac:dyDescent="0.3">
      <c r="B443">
        <v>441</v>
      </c>
      <c r="C443" s="1">
        <v>57224</v>
      </c>
      <c r="D443" s="1" t="str">
        <f t="shared" si="28"/>
        <v>IX</v>
      </c>
      <c r="E443">
        <f t="shared" si="30"/>
        <v>1322880.5537201404</v>
      </c>
      <c r="F443">
        <v>0</v>
      </c>
      <c r="G443">
        <v>-15000</v>
      </c>
      <c r="H443" s="4">
        <f t="shared" si="29"/>
        <v>-7565.3943019484423</v>
      </c>
      <c r="I443">
        <f t="shared" si="31"/>
        <v>1300315.159418192</v>
      </c>
    </row>
    <row r="444" spans="2:9" x14ac:dyDescent="0.3">
      <c r="B444">
        <v>442</v>
      </c>
      <c r="C444" s="1">
        <v>57254</v>
      </c>
      <c r="D444" s="1" t="str">
        <f t="shared" si="28"/>
        <v>X</v>
      </c>
      <c r="E444">
        <f t="shared" si="30"/>
        <v>1300315.159418192</v>
      </c>
      <c r="F444">
        <v>0</v>
      </c>
      <c r="G444">
        <v>-15000</v>
      </c>
      <c r="H444" s="4">
        <f t="shared" si="29"/>
        <v>10480.670010796779</v>
      </c>
      <c r="I444">
        <f t="shared" si="31"/>
        <v>1295795.8294289887</v>
      </c>
    </row>
    <row r="445" spans="2:9" x14ac:dyDescent="0.3">
      <c r="B445">
        <v>443</v>
      </c>
      <c r="C445" s="1">
        <v>57285</v>
      </c>
      <c r="D445" s="1" t="str">
        <f t="shared" si="28"/>
        <v>XI</v>
      </c>
      <c r="E445">
        <f t="shared" si="30"/>
        <v>1295795.8294289887</v>
      </c>
      <c r="F445">
        <v>0</v>
      </c>
      <c r="G445">
        <v>-15000</v>
      </c>
      <c r="H445" s="4">
        <f t="shared" si="29"/>
        <v>16912.147515373199</v>
      </c>
      <c r="I445">
        <f t="shared" si="31"/>
        <v>1297707.976944362</v>
      </c>
    </row>
    <row r="446" spans="2:9" x14ac:dyDescent="0.3">
      <c r="B446">
        <v>444</v>
      </c>
      <c r="C446" s="1">
        <v>57315</v>
      </c>
      <c r="D446" s="1" t="str">
        <f t="shared" si="28"/>
        <v>XII</v>
      </c>
      <c r="E446">
        <f t="shared" si="30"/>
        <v>1297707.976944362</v>
      </c>
      <c r="F446">
        <v>0</v>
      </c>
      <c r="G446">
        <v>-15000</v>
      </c>
      <c r="H446" s="4">
        <f t="shared" si="29"/>
        <v>19171.231587173846</v>
      </c>
      <c r="I446">
        <f t="shared" si="31"/>
        <v>1301879.2085315359</v>
      </c>
    </row>
    <row r="447" spans="2:9" x14ac:dyDescent="0.3">
      <c r="B447">
        <v>445</v>
      </c>
      <c r="C447" s="1">
        <v>57346</v>
      </c>
      <c r="D447" s="1" t="str">
        <f t="shared" si="28"/>
        <v>I</v>
      </c>
      <c r="E447">
        <f t="shared" si="30"/>
        <v>1301879.2085315359</v>
      </c>
      <c r="F447">
        <v>0</v>
      </c>
      <c r="G447">
        <v>-15000</v>
      </c>
      <c r="H447" s="4">
        <f t="shared" si="29"/>
        <v>16442.622569604806</v>
      </c>
      <c r="I447">
        <f t="shared" si="31"/>
        <v>1303321.8311011407</v>
      </c>
    </row>
    <row r="448" spans="2:9" x14ac:dyDescent="0.3">
      <c r="B448">
        <v>446</v>
      </c>
      <c r="C448" s="1">
        <v>57377</v>
      </c>
      <c r="D448" s="1" t="str">
        <f t="shared" si="28"/>
        <v>II</v>
      </c>
      <c r="E448">
        <f t="shared" si="30"/>
        <v>1303321.8311011407</v>
      </c>
      <c r="F448">
        <v>0</v>
      </c>
      <c r="G448">
        <v>-15000</v>
      </c>
      <c r="H448" s="4">
        <f t="shared" si="29"/>
        <v>898.65930761773393</v>
      </c>
      <c r="I448">
        <f t="shared" si="31"/>
        <v>1289220.4904087584</v>
      </c>
    </row>
    <row r="449" spans="2:9" x14ac:dyDescent="0.3">
      <c r="B449">
        <v>447</v>
      </c>
      <c r="C449" s="1">
        <v>57405</v>
      </c>
      <c r="D449" s="1" t="str">
        <f t="shared" si="28"/>
        <v>III</v>
      </c>
      <c r="E449">
        <f t="shared" si="30"/>
        <v>1289220.4904087584</v>
      </c>
      <c r="F449">
        <v>0</v>
      </c>
      <c r="G449">
        <v>-15000</v>
      </c>
      <c r="H449" s="4">
        <f t="shared" si="29"/>
        <v>11177.627314440375</v>
      </c>
      <c r="I449">
        <f t="shared" si="31"/>
        <v>1285398.1177231988</v>
      </c>
    </row>
    <row r="450" spans="2:9" x14ac:dyDescent="0.3">
      <c r="B450">
        <v>448</v>
      </c>
      <c r="C450" s="1">
        <v>57436</v>
      </c>
      <c r="D450" s="1" t="str">
        <f t="shared" si="28"/>
        <v>IV</v>
      </c>
      <c r="E450">
        <f t="shared" si="30"/>
        <v>1285398.1177231988</v>
      </c>
      <c r="F450">
        <v>0</v>
      </c>
      <c r="G450">
        <v>-15000</v>
      </c>
      <c r="H450" s="4">
        <f t="shared" si="29"/>
        <v>21876.490841915878</v>
      </c>
      <c r="I450">
        <f t="shared" si="31"/>
        <v>1292274.6085651147</v>
      </c>
    </row>
    <row r="451" spans="2:9" x14ac:dyDescent="0.3">
      <c r="B451">
        <v>449</v>
      </c>
      <c r="C451" s="1">
        <v>57466</v>
      </c>
      <c r="D451" s="1" t="str">
        <f t="shared" si="28"/>
        <v>V</v>
      </c>
      <c r="E451">
        <f t="shared" si="30"/>
        <v>1292274.6085651147</v>
      </c>
      <c r="F451">
        <v>0</v>
      </c>
      <c r="G451">
        <v>-15000</v>
      </c>
      <c r="H451" s="4">
        <f t="shared" si="29"/>
        <v>7284.8006224837873</v>
      </c>
      <c r="I451">
        <f t="shared" si="31"/>
        <v>1284559.4091875984</v>
      </c>
    </row>
    <row r="452" spans="2:9" x14ac:dyDescent="0.3">
      <c r="B452">
        <v>450</v>
      </c>
      <c r="C452" s="1">
        <v>57497</v>
      </c>
      <c r="D452" s="1" t="str">
        <f t="shared" ref="D452:D515" si="32">TEXT(C452,"mmm")</f>
        <v>VI</v>
      </c>
      <c r="E452">
        <f t="shared" si="30"/>
        <v>1284559.4091875984</v>
      </c>
      <c r="F452">
        <v>0</v>
      </c>
      <c r="G452">
        <v>-15000</v>
      </c>
      <c r="H452" s="4">
        <f t="shared" si="29"/>
        <v>5484.4410001772203</v>
      </c>
      <c r="I452">
        <f t="shared" si="31"/>
        <v>1275043.8501877757</v>
      </c>
    </row>
    <row r="453" spans="2:9" x14ac:dyDescent="0.3">
      <c r="B453">
        <v>451</v>
      </c>
      <c r="C453" s="1">
        <v>57527</v>
      </c>
      <c r="D453" s="1" t="str">
        <f t="shared" si="32"/>
        <v>VII</v>
      </c>
      <c r="E453">
        <f t="shared" si="30"/>
        <v>1275043.8501877757</v>
      </c>
      <c r="F453">
        <v>0</v>
      </c>
      <c r="G453">
        <v>-15000</v>
      </c>
      <c r="H453" s="4">
        <f t="shared" ref="H453:H516" si="33">SUM(E453:G453)*VLOOKUP(D453,$U$4:$V$15,2,FALSE)</f>
        <v>7622.3483679410638</v>
      </c>
      <c r="I453">
        <f t="shared" si="31"/>
        <v>1267666.1985557168</v>
      </c>
    </row>
    <row r="454" spans="2:9" x14ac:dyDescent="0.3">
      <c r="B454">
        <v>452</v>
      </c>
      <c r="C454" s="1">
        <v>57558</v>
      </c>
      <c r="D454" s="1" t="str">
        <f t="shared" si="32"/>
        <v>VIII</v>
      </c>
      <c r="E454">
        <f t="shared" si="30"/>
        <v>1267666.1985557168</v>
      </c>
      <c r="F454">
        <v>0</v>
      </c>
      <c r="G454">
        <v>-15000</v>
      </c>
      <c r="H454" s="4">
        <f t="shared" si="33"/>
        <v>292.88611435540923</v>
      </c>
      <c r="I454">
        <f t="shared" si="31"/>
        <v>1252959.0846700722</v>
      </c>
    </row>
    <row r="455" spans="2:9" x14ac:dyDescent="0.3">
      <c r="B455">
        <v>453</v>
      </c>
      <c r="C455" s="1">
        <v>57589</v>
      </c>
      <c r="D455" s="1" t="str">
        <f t="shared" si="32"/>
        <v>IX</v>
      </c>
      <c r="E455">
        <f t="shared" si="30"/>
        <v>1252959.0846700722</v>
      </c>
      <c r="F455">
        <v>0</v>
      </c>
      <c r="G455">
        <v>-15000</v>
      </c>
      <c r="H455" s="4">
        <f t="shared" si="33"/>
        <v>-7160.9357433816003</v>
      </c>
      <c r="I455">
        <f t="shared" si="31"/>
        <v>1230798.1489266907</v>
      </c>
    </row>
    <row r="456" spans="2:9" x14ac:dyDescent="0.3">
      <c r="B456">
        <v>454</v>
      </c>
      <c r="C456" s="1">
        <v>57619</v>
      </c>
      <c r="D456" s="1" t="str">
        <f t="shared" si="32"/>
        <v>X</v>
      </c>
      <c r="E456">
        <f t="shared" si="30"/>
        <v>1230798.1489266907</v>
      </c>
      <c r="F456">
        <v>0</v>
      </c>
      <c r="G456">
        <v>-15000</v>
      </c>
      <c r="H456" s="4">
        <f t="shared" si="33"/>
        <v>9913.8169384123212</v>
      </c>
      <c r="I456">
        <f t="shared" si="31"/>
        <v>1225711.9658651031</v>
      </c>
    </row>
    <row r="457" spans="2:9" x14ac:dyDescent="0.3">
      <c r="B457">
        <v>455</v>
      </c>
      <c r="C457" s="1">
        <v>57650</v>
      </c>
      <c r="D457" s="1" t="str">
        <f t="shared" si="32"/>
        <v>XI</v>
      </c>
      <c r="E457">
        <f t="shared" si="30"/>
        <v>1225711.9658651031</v>
      </c>
      <c r="F457">
        <v>0</v>
      </c>
      <c r="G457">
        <v>-15000</v>
      </c>
      <c r="H457" s="4">
        <f t="shared" si="33"/>
        <v>15986.731760726227</v>
      </c>
      <c r="I457">
        <f t="shared" si="31"/>
        <v>1226698.6976258294</v>
      </c>
    </row>
    <row r="458" spans="2:9" x14ac:dyDescent="0.3">
      <c r="B458">
        <v>456</v>
      </c>
      <c r="C458" s="1">
        <v>57680</v>
      </c>
      <c r="D458" s="1" t="str">
        <f t="shared" si="32"/>
        <v>XII</v>
      </c>
      <c r="E458">
        <f t="shared" si="30"/>
        <v>1226698.6976258294</v>
      </c>
      <c r="F458">
        <v>0</v>
      </c>
      <c r="G458">
        <v>-15000</v>
      </c>
      <c r="H458" s="4">
        <f t="shared" si="33"/>
        <v>18109.93364319688</v>
      </c>
      <c r="I458">
        <f t="shared" si="31"/>
        <v>1229808.6312690263</v>
      </c>
    </row>
    <row r="459" spans="2:9" x14ac:dyDescent="0.3">
      <c r="B459">
        <v>457</v>
      </c>
      <c r="C459" s="1">
        <v>57711</v>
      </c>
      <c r="D459" s="1" t="str">
        <f t="shared" si="32"/>
        <v>I</v>
      </c>
      <c r="E459">
        <f t="shared" si="30"/>
        <v>1229808.6312690263</v>
      </c>
      <c r="F459">
        <v>0</v>
      </c>
      <c r="G459">
        <v>-15000</v>
      </c>
      <c r="H459" s="4">
        <f t="shared" si="33"/>
        <v>15521.767455585807</v>
      </c>
      <c r="I459">
        <f t="shared" si="31"/>
        <v>1230330.3987246121</v>
      </c>
    </row>
    <row r="460" spans="2:9" x14ac:dyDescent="0.3">
      <c r="B460">
        <v>458</v>
      </c>
      <c r="C460" s="1">
        <v>57742</v>
      </c>
      <c r="D460" s="1" t="str">
        <f t="shared" si="32"/>
        <v>II</v>
      </c>
      <c r="E460">
        <f t="shared" si="30"/>
        <v>1230330.3987246121</v>
      </c>
      <c r="F460">
        <v>0</v>
      </c>
      <c r="G460">
        <v>-15000</v>
      </c>
      <c r="H460" s="4">
        <f t="shared" si="33"/>
        <v>847.74467705104257</v>
      </c>
      <c r="I460">
        <f t="shared" si="31"/>
        <v>1216178.1434016631</v>
      </c>
    </row>
    <row r="461" spans="2:9" x14ac:dyDescent="0.3">
      <c r="B461">
        <v>459</v>
      </c>
      <c r="C461" s="1">
        <v>57770</v>
      </c>
      <c r="D461" s="1" t="str">
        <f t="shared" si="32"/>
        <v>III</v>
      </c>
      <c r="E461">
        <f t="shared" si="30"/>
        <v>1216178.1434016631</v>
      </c>
      <c r="F461">
        <v>0</v>
      </c>
      <c r="G461">
        <v>-15000</v>
      </c>
      <c r="H461" s="4">
        <f t="shared" si="33"/>
        <v>10536.89037827995</v>
      </c>
      <c r="I461">
        <f t="shared" si="31"/>
        <v>1211715.0337799429</v>
      </c>
    </row>
    <row r="462" spans="2:9" x14ac:dyDescent="0.3">
      <c r="B462">
        <v>460</v>
      </c>
      <c r="C462" s="1">
        <v>57801</v>
      </c>
      <c r="D462" s="1" t="str">
        <f t="shared" si="32"/>
        <v>IV</v>
      </c>
      <c r="E462">
        <f t="shared" si="30"/>
        <v>1211715.0337799429</v>
      </c>
      <c r="F462">
        <v>0</v>
      </c>
      <c r="G462">
        <v>-15000</v>
      </c>
      <c r="H462" s="4">
        <f t="shared" si="33"/>
        <v>20607.654491640384</v>
      </c>
      <c r="I462">
        <f t="shared" si="31"/>
        <v>1217322.6882715833</v>
      </c>
    </row>
    <row r="463" spans="2:9" x14ac:dyDescent="0.3">
      <c r="B463">
        <v>461</v>
      </c>
      <c r="C463" s="1">
        <v>57831</v>
      </c>
      <c r="D463" s="1" t="str">
        <f t="shared" si="32"/>
        <v>V</v>
      </c>
      <c r="E463">
        <f t="shared" si="30"/>
        <v>1217322.6882715833</v>
      </c>
      <c r="F463">
        <v>0</v>
      </c>
      <c r="G463">
        <v>-15000</v>
      </c>
      <c r="H463" s="4">
        <f t="shared" si="33"/>
        <v>6857.3202733487979</v>
      </c>
      <c r="I463">
        <f t="shared" si="31"/>
        <v>1209180.0085449321</v>
      </c>
    </row>
    <row r="464" spans="2:9" x14ac:dyDescent="0.3">
      <c r="B464">
        <v>462</v>
      </c>
      <c r="C464" s="1">
        <v>57862</v>
      </c>
      <c r="D464" s="1" t="str">
        <f t="shared" si="32"/>
        <v>VI</v>
      </c>
      <c r="E464">
        <f t="shared" si="30"/>
        <v>1209180.0085449321</v>
      </c>
      <c r="F464">
        <v>0</v>
      </c>
      <c r="G464">
        <v>-15000</v>
      </c>
      <c r="H464" s="4">
        <f t="shared" si="33"/>
        <v>5158.8052934417865</v>
      </c>
      <c r="I464">
        <f t="shared" si="31"/>
        <v>1199338.8138383739</v>
      </c>
    </row>
    <row r="465" spans="2:9" x14ac:dyDescent="0.3">
      <c r="B465">
        <v>463</v>
      </c>
      <c r="C465" s="1">
        <v>57892</v>
      </c>
      <c r="D465" s="1" t="str">
        <f t="shared" si="32"/>
        <v>VII</v>
      </c>
      <c r="E465">
        <f t="shared" si="30"/>
        <v>1199338.8138383739</v>
      </c>
      <c r="F465">
        <v>0</v>
      </c>
      <c r="G465">
        <v>-15000</v>
      </c>
      <c r="H465" s="4">
        <f t="shared" si="33"/>
        <v>7164.3879880885788</v>
      </c>
      <c r="I465">
        <f t="shared" si="31"/>
        <v>1191503.2018264625</v>
      </c>
    </row>
    <row r="466" spans="2:9" x14ac:dyDescent="0.3">
      <c r="B466">
        <v>464</v>
      </c>
      <c r="C466" s="1">
        <v>57923</v>
      </c>
      <c r="D466" s="1" t="str">
        <f t="shared" si="32"/>
        <v>VIII</v>
      </c>
      <c r="E466">
        <f t="shared" si="30"/>
        <v>1191503.2018264625</v>
      </c>
      <c r="F466">
        <v>0</v>
      </c>
      <c r="G466">
        <v>-15000</v>
      </c>
      <c r="H466" s="4">
        <f t="shared" si="33"/>
        <v>275.0784300773355</v>
      </c>
      <c r="I466">
        <f t="shared" si="31"/>
        <v>1176778.2802565398</v>
      </c>
    </row>
    <row r="467" spans="2:9" x14ac:dyDescent="0.3">
      <c r="B467">
        <v>465</v>
      </c>
      <c r="C467" s="1">
        <v>57954</v>
      </c>
      <c r="D467" s="1" t="str">
        <f t="shared" si="32"/>
        <v>IX</v>
      </c>
      <c r="E467">
        <f t="shared" si="30"/>
        <v>1176778.2802565398</v>
      </c>
      <c r="F467">
        <v>0</v>
      </c>
      <c r="G467">
        <v>-15000</v>
      </c>
      <c r="H467" s="4">
        <f t="shared" si="33"/>
        <v>-6720.2702544815256</v>
      </c>
      <c r="I467">
        <f t="shared" si="31"/>
        <v>1155058.0100020582</v>
      </c>
    </row>
    <row r="468" spans="2:9" x14ac:dyDescent="0.3">
      <c r="B468">
        <v>466</v>
      </c>
      <c r="C468" s="1">
        <v>57984</v>
      </c>
      <c r="D468" s="1" t="str">
        <f t="shared" si="32"/>
        <v>X</v>
      </c>
      <c r="E468">
        <f t="shared" si="30"/>
        <v>1155058.0100020582</v>
      </c>
      <c r="F468">
        <v>0</v>
      </c>
      <c r="G468">
        <v>-15000</v>
      </c>
      <c r="H468" s="4">
        <f t="shared" si="33"/>
        <v>9296.2194590514609</v>
      </c>
      <c r="I468">
        <f t="shared" si="31"/>
        <v>1149354.2294611097</v>
      </c>
    </row>
    <row r="469" spans="2:9" x14ac:dyDescent="0.3">
      <c r="B469">
        <v>467</v>
      </c>
      <c r="C469" s="1">
        <v>58015</v>
      </c>
      <c r="D469" s="1" t="str">
        <f t="shared" si="32"/>
        <v>XI</v>
      </c>
      <c r="E469">
        <f t="shared" si="30"/>
        <v>1149354.2294611097</v>
      </c>
      <c r="F469">
        <v>0</v>
      </c>
      <c r="G469">
        <v>-15000</v>
      </c>
      <c r="H469" s="4">
        <f t="shared" si="33"/>
        <v>14978.473244940737</v>
      </c>
      <c r="I469">
        <f t="shared" si="31"/>
        <v>1149332.7027060504</v>
      </c>
    </row>
    <row r="470" spans="2:9" x14ac:dyDescent="0.3">
      <c r="B470">
        <v>468</v>
      </c>
      <c r="C470" s="1">
        <v>58045</v>
      </c>
      <c r="D470" s="1" t="str">
        <f t="shared" si="32"/>
        <v>XII</v>
      </c>
      <c r="E470">
        <f t="shared" si="30"/>
        <v>1149332.7027060504</v>
      </c>
      <c r="F470">
        <v>0</v>
      </c>
      <c r="G470">
        <v>-15000</v>
      </c>
      <c r="H470" s="4">
        <f t="shared" si="33"/>
        <v>16953.628831627495</v>
      </c>
      <c r="I470">
        <f t="shared" si="31"/>
        <v>1151286.3315376779</v>
      </c>
    </row>
    <row r="471" spans="2:9" x14ac:dyDescent="0.3">
      <c r="B471">
        <v>469</v>
      </c>
      <c r="C471" s="1">
        <v>58076</v>
      </c>
      <c r="D471" s="1" t="str">
        <f t="shared" si="32"/>
        <v>I</v>
      </c>
      <c r="E471">
        <f t="shared" si="30"/>
        <v>1151286.3315376779</v>
      </c>
      <c r="F471">
        <v>0</v>
      </c>
      <c r="G471">
        <v>-15000</v>
      </c>
      <c r="H471" s="4">
        <f t="shared" si="33"/>
        <v>14518.477846724043</v>
      </c>
      <c r="I471">
        <f t="shared" si="31"/>
        <v>1150804.8093844019</v>
      </c>
    </row>
    <row r="472" spans="2:9" x14ac:dyDescent="0.3">
      <c r="B472">
        <v>470</v>
      </c>
      <c r="C472" s="1">
        <v>58107</v>
      </c>
      <c r="D472" s="1" t="str">
        <f t="shared" si="32"/>
        <v>II</v>
      </c>
      <c r="E472">
        <f t="shared" si="30"/>
        <v>1150804.8093844019</v>
      </c>
      <c r="F472">
        <v>0</v>
      </c>
      <c r="G472">
        <v>-15000</v>
      </c>
      <c r="H472" s="4">
        <f t="shared" si="33"/>
        <v>792.27219391126494</v>
      </c>
      <c r="I472">
        <f t="shared" si="31"/>
        <v>1136597.0815783131</v>
      </c>
    </row>
    <row r="473" spans="2:9" x14ac:dyDescent="0.3">
      <c r="B473">
        <v>471</v>
      </c>
      <c r="C473" s="1">
        <v>58135</v>
      </c>
      <c r="D473" s="1" t="str">
        <f t="shared" si="32"/>
        <v>III</v>
      </c>
      <c r="E473">
        <f t="shared" si="30"/>
        <v>1136597.0815783131</v>
      </c>
      <c r="F473">
        <v>0</v>
      </c>
      <c r="G473">
        <v>-15000</v>
      </c>
      <c r="H473" s="4">
        <f t="shared" si="33"/>
        <v>9838.7949881614841</v>
      </c>
      <c r="I473">
        <f t="shared" si="31"/>
        <v>1131435.8765664746</v>
      </c>
    </row>
    <row r="474" spans="2:9" x14ac:dyDescent="0.3">
      <c r="B474">
        <v>472</v>
      </c>
      <c r="C474" s="1">
        <v>58166</v>
      </c>
      <c r="D474" s="1" t="str">
        <f t="shared" si="32"/>
        <v>IV</v>
      </c>
      <c r="E474">
        <f t="shared" si="30"/>
        <v>1131435.8765664746</v>
      </c>
      <c r="F474">
        <v>0</v>
      </c>
      <c r="G474">
        <v>-15000</v>
      </c>
      <c r="H474" s="4">
        <f t="shared" si="33"/>
        <v>19225.232538178534</v>
      </c>
      <c r="I474">
        <f t="shared" si="31"/>
        <v>1135661.1091046531</v>
      </c>
    </row>
    <row r="475" spans="2:9" x14ac:dyDescent="0.3">
      <c r="B475">
        <v>473</v>
      </c>
      <c r="C475" s="1">
        <v>58196</v>
      </c>
      <c r="D475" s="1" t="str">
        <f t="shared" si="32"/>
        <v>V</v>
      </c>
      <c r="E475">
        <f t="shared" si="30"/>
        <v>1135661.1091046531</v>
      </c>
      <c r="F475">
        <v>0</v>
      </c>
      <c r="G475">
        <v>-15000</v>
      </c>
      <c r="H475" s="4">
        <f t="shared" si="33"/>
        <v>6391.572094563222</v>
      </c>
      <c r="I475">
        <f t="shared" si="31"/>
        <v>1127052.6811992163</v>
      </c>
    </row>
    <row r="476" spans="2:9" x14ac:dyDescent="0.3">
      <c r="B476">
        <v>474</v>
      </c>
      <c r="C476" s="1">
        <v>58227</v>
      </c>
      <c r="D476" s="1" t="str">
        <f t="shared" si="32"/>
        <v>VI</v>
      </c>
      <c r="E476">
        <f t="shared" si="30"/>
        <v>1127052.6811992163</v>
      </c>
      <c r="F476">
        <v>0</v>
      </c>
      <c r="G476">
        <v>-15000</v>
      </c>
      <c r="H476" s="4">
        <f t="shared" si="33"/>
        <v>4804.018839125285</v>
      </c>
      <c r="I476">
        <f t="shared" si="31"/>
        <v>1116856.7000383416</v>
      </c>
    </row>
    <row r="477" spans="2:9" x14ac:dyDescent="0.3">
      <c r="B477">
        <v>475</v>
      </c>
      <c r="C477" s="1">
        <v>58257</v>
      </c>
      <c r="D477" s="1" t="str">
        <f t="shared" si="32"/>
        <v>VII</v>
      </c>
      <c r="E477">
        <f t="shared" si="30"/>
        <v>1116856.7000383416</v>
      </c>
      <c r="F477">
        <v>0</v>
      </c>
      <c r="G477">
        <v>-15000</v>
      </c>
      <c r="H477" s="4">
        <f t="shared" si="33"/>
        <v>6665.4312212948571</v>
      </c>
      <c r="I477">
        <f t="shared" si="31"/>
        <v>1108522.1312596365</v>
      </c>
    </row>
    <row r="478" spans="2:9" x14ac:dyDescent="0.3">
      <c r="B478">
        <v>476</v>
      </c>
      <c r="C478" s="1">
        <v>58288</v>
      </c>
      <c r="D478" s="1" t="str">
        <f t="shared" si="32"/>
        <v>VIII</v>
      </c>
      <c r="E478">
        <f t="shared" si="30"/>
        <v>1108522.1312596365</v>
      </c>
      <c r="F478">
        <v>0</v>
      </c>
      <c r="G478">
        <v>-15000</v>
      </c>
      <c r="H478" s="4">
        <f t="shared" si="33"/>
        <v>255.67661070087959</v>
      </c>
      <c r="I478">
        <f t="shared" si="31"/>
        <v>1093777.8078703373</v>
      </c>
    </row>
    <row r="479" spans="2:9" x14ac:dyDescent="0.3">
      <c r="B479">
        <v>477</v>
      </c>
      <c r="C479" s="1">
        <v>58319</v>
      </c>
      <c r="D479" s="1" t="str">
        <f t="shared" si="32"/>
        <v>IX</v>
      </c>
      <c r="E479">
        <f t="shared" si="30"/>
        <v>1093777.8078703373</v>
      </c>
      <c r="F479">
        <v>0</v>
      </c>
      <c r="G479">
        <v>-15000</v>
      </c>
      <c r="H479" s="4">
        <f t="shared" si="33"/>
        <v>-6240.1566087334368</v>
      </c>
      <c r="I479">
        <f t="shared" si="31"/>
        <v>1072537.6512616039</v>
      </c>
    </row>
    <row r="480" spans="2:9" x14ac:dyDescent="0.3">
      <c r="B480">
        <v>478</v>
      </c>
      <c r="C480" s="1">
        <v>58349</v>
      </c>
      <c r="D480" s="1" t="str">
        <f t="shared" si="32"/>
        <v>X</v>
      </c>
      <c r="E480">
        <f t="shared" si="30"/>
        <v>1072537.6512616039</v>
      </c>
      <c r="F480">
        <v>0</v>
      </c>
      <c r="G480">
        <v>-15000</v>
      </c>
      <c r="H480" s="4">
        <f t="shared" si="33"/>
        <v>8623.3349584728148</v>
      </c>
      <c r="I480">
        <f t="shared" si="31"/>
        <v>1066160.9862200767</v>
      </c>
    </row>
    <row r="481" spans="2:9" x14ac:dyDescent="0.3">
      <c r="B481">
        <v>479</v>
      </c>
      <c r="C481" s="1">
        <v>58380</v>
      </c>
      <c r="D481" s="1" t="str">
        <f t="shared" si="32"/>
        <v>XI</v>
      </c>
      <c r="E481">
        <f t="shared" si="30"/>
        <v>1066160.9862200767</v>
      </c>
      <c r="F481">
        <v>0</v>
      </c>
      <c r="G481">
        <v>-15000</v>
      </c>
      <c r="H481" s="4">
        <f t="shared" si="33"/>
        <v>13879.955924969496</v>
      </c>
      <c r="I481">
        <f t="shared" si="31"/>
        <v>1065040.9421450461</v>
      </c>
    </row>
    <row r="482" spans="2:9" x14ac:dyDescent="0.3">
      <c r="B482">
        <v>480</v>
      </c>
      <c r="C482" s="1">
        <v>58410</v>
      </c>
      <c r="D482" s="1" t="str">
        <f t="shared" si="32"/>
        <v>XII</v>
      </c>
      <c r="E482">
        <f t="shared" si="30"/>
        <v>1065040.9421450461</v>
      </c>
      <c r="F482">
        <v>0</v>
      </c>
      <c r="G482">
        <v>-15000</v>
      </c>
      <c r="H482" s="4">
        <f t="shared" si="33"/>
        <v>15693.812184618593</v>
      </c>
      <c r="I482">
        <f t="shared" si="31"/>
        <v>1065734.7543296646</v>
      </c>
    </row>
    <row r="483" spans="2:9" x14ac:dyDescent="0.3">
      <c r="B483">
        <v>481</v>
      </c>
      <c r="C483" s="1">
        <v>58441</v>
      </c>
      <c r="D483" s="1" t="str">
        <f t="shared" si="32"/>
        <v>I</v>
      </c>
      <c r="E483">
        <f t="shared" si="30"/>
        <v>1065734.7543296646</v>
      </c>
      <c r="F483">
        <v>0</v>
      </c>
      <c r="G483">
        <v>-15000</v>
      </c>
      <c r="H483" s="4">
        <f t="shared" si="33"/>
        <v>13425.374247769367</v>
      </c>
      <c r="I483">
        <f t="shared" si="31"/>
        <v>1064160.128577434</v>
      </c>
    </row>
    <row r="484" spans="2:9" x14ac:dyDescent="0.3">
      <c r="B484">
        <v>482</v>
      </c>
      <c r="C484" s="1">
        <v>58472</v>
      </c>
      <c r="D484" s="1" t="str">
        <f t="shared" si="32"/>
        <v>II</v>
      </c>
      <c r="E484">
        <f t="shared" si="30"/>
        <v>1064160.128577434</v>
      </c>
      <c r="F484">
        <v>0</v>
      </c>
      <c r="G484">
        <v>-15000</v>
      </c>
      <c r="H484" s="4">
        <f t="shared" si="33"/>
        <v>731.83384148794369</v>
      </c>
      <c r="I484">
        <f t="shared" si="31"/>
        <v>1049891.962418922</v>
      </c>
    </row>
    <row r="485" spans="2:9" x14ac:dyDescent="0.3">
      <c r="B485">
        <v>483</v>
      </c>
      <c r="C485" s="1">
        <v>58501</v>
      </c>
      <c r="D485" s="1" t="str">
        <f t="shared" si="32"/>
        <v>III</v>
      </c>
      <c r="E485">
        <f t="shared" si="30"/>
        <v>1049891.962418922</v>
      </c>
      <c r="F485">
        <v>0</v>
      </c>
      <c r="G485">
        <v>-15000</v>
      </c>
      <c r="H485" s="4">
        <f t="shared" si="33"/>
        <v>9078.206443625586</v>
      </c>
      <c r="I485">
        <f t="shared" si="31"/>
        <v>1043970.1688625476</v>
      </c>
    </row>
    <row r="486" spans="2:9" x14ac:dyDescent="0.3">
      <c r="B486">
        <v>484</v>
      </c>
      <c r="C486" s="1">
        <v>58532</v>
      </c>
      <c r="D486" s="1" t="str">
        <f t="shared" si="32"/>
        <v>IV</v>
      </c>
      <c r="E486">
        <f t="shared" si="30"/>
        <v>1043970.1688625476</v>
      </c>
      <c r="F486">
        <v>0</v>
      </c>
      <c r="G486">
        <v>-15000</v>
      </c>
      <c r="H486" s="4">
        <f t="shared" si="33"/>
        <v>17719.056854451992</v>
      </c>
      <c r="I486">
        <f t="shared" si="31"/>
        <v>1046689.2257169996</v>
      </c>
    </row>
    <row r="487" spans="2:9" x14ac:dyDescent="0.3">
      <c r="B487">
        <v>485</v>
      </c>
      <c r="C487" s="1">
        <v>58562</v>
      </c>
      <c r="D487" s="1" t="str">
        <f t="shared" si="32"/>
        <v>V</v>
      </c>
      <c r="E487">
        <f t="shared" si="30"/>
        <v>1046689.2257169996</v>
      </c>
      <c r="F487">
        <v>0</v>
      </c>
      <c r="G487">
        <v>-15000</v>
      </c>
      <c r="H487" s="4">
        <f t="shared" si="33"/>
        <v>5884.1303689236165</v>
      </c>
      <c r="I487">
        <f t="shared" si="31"/>
        <v>1037573.3560859233</v>
      </c>
    </row>
    <row r="488" spans="2:9" x14ac:dyDescent="0.3">
      <c r="B488">
        <v>486</v>
      </c>
      <c r="C488" s="1">
        <v>58593</v>
      </c>
      <c r="D488" s="1" t="str">
        <f t="shared" si="32"/>
        <v>VI</v>
      </c>
      <c r="E488">
        <f t="shared" si="30"/>
        <v>1037573.3560859233</v>
      </c>
      <c r="F488">
        <v>0</v>
      </c>
      <c r="G488">
        <v>-15000</v>
      </c>
      <c r="H488" s="4">
        <f t="shared" si="33"/>
        <v>4417.4720767066892</v>
      </c>
      <c r="I488">
        <f t="shared" si="31"/>
        <v>1026990.82816263</v>
      </c>
    </row>
    <row r="489" spans="2:9" x14ac:dyDescent="0.3">
      <c r="B489">
        <v>487</v>
      </c>
      <c r="C489" s="1">
        <v>58623</v>
      </c>
      <c r="D489" s="1" t="str">
        <f t="shared" si="32"/>
        <v>VII</v>
      </c>
      <c r="E489">
        <f t="shared" si="30"/>
        <v>1026990.82816263</v>
      </c>
      <c r="F489">
        <v>0</v>
      </c>
      <c r="G489">
        <v>-15000</v>
      </c>
      <c r="H489" s="4">
        <f t="shared" si="33"/>
        <v>6121.8080912558889</v>
      </c>
      <c r="I489">
        <f t="shared" si="31"/>
        <v>1018112.6362538858</v>
      </c>
    </row>
    <row r="490" spans="2:9" x14ac:dyDescent="0.3">
      <c r="B490">
        <v>488</v>
      </c>
      <c r="C490" s="1">
        <v>58654</v>
      </c>
      <c r="D490" s="1" t="str">
        <f t="shared" si="32"/>
        <v>VIII</v>
      </c>
      <c r="E490">
        <f t="shared" si="30"/>
        <v>1018112.6362538858</v>
      </c>
      <c r="F490">
        <v>0</v>
      </c>
      <c r="G490">
        <v>-15000</v>
      </c>
      <c r="H490" s="4">
        <f t="shared" si="33"/>
        <v>234.53795003964413</v>
      </c>
      <c r="I490">
        <f t="shared" si="31"/>
        <v>1003347.1742039254</v>
      </c>
    </row>
    <row r="491" spans="2:9" x14ac:dyDescent="0.3">
      <c r="B491">
        <v>489</v>
      </c>
      <c r="C491" s="1">
        <v>58685</v>
      </c>
      <c r="D491" s="1" t="str">
        <f t="shared" si="32"/>
        <v>IX</v>
      </c>
      <c r="E491">
        <f t="shared" si="30"/>
        <v>1003347.1742039254</v>
      </c>
      <c r="F491">
        <v>0</v>
      </c>
      <c r="G491">
        <v>-15000</v>
      </c>
      <c r="H491" s="4">
        <f t="shared" si="33"/>
        <v>-5717.0634266263405</v>
      </c>
      <c r="I491">
        <f t="shared" si="31"/>
        <v>982630.11077729904</v>
      </c>
    </row>
    <row r="492" spans="2:9" x14ac:dyDescent="0.3">
      <c r="B492">
        <v>490</v>
      </c>
      <c r="C492" s="1">
        <v>58715</v>
      </c>
      <c r="D492" s="1" t="str">
        <f t="shared" si="32"/>
        <v>X</v>
      </c>
      <c r="E492">
        <f t="shared" si="30"/>
        <v>982630.11077729904</v>
      </c>
      <c r="F492">
        <v>0</v>
      </c>
      <c r="G492">
        <v>-15000</v>
      </c>
      <c r="H492" s="4">
        <f t="shared" si="33"/>
        <v>7890.2141698524692</v>
      </c>
      <c r="I492">
        <f t="shared" si="31"/>
        <v>975520.32494715147</v>
      </c>
    </row>
    <row r="493" spans="2:9" x14ac:dyDescent="0.3">
      <c r="B493">
        <v>491</v>
      </c>
      <c r="C493" s="1">
        <v>58746</v>
      </c>
      <c r="D493" s="1" t="str">
        <f t="shared" si="32"/>
        <v>XI</v>
      </c>
      <c r="E493">
        <f t="shared" si="30"/>
        <v>975520.32494715147</v>
      </c>
      <c r="F493">
        <v>0</v>
      </c>
      <c r="G493">
        <v>-15000</v>
      </c>
      <c r="H493" s="4">
        <f t="shared" si="33"/>
        <v>12683.099877255705</v>
      </c>
      <c r="I493">
        <f t="shared" si="31"/>
        <v>973203.42482440721</v>
      </c>
    </row>
    <row r="494" spans="2:9" x14ac:dyDescent="0.3">
      <c r="B494">
        <v>492</v>
      </c>
      <c r="C494" s="1">
        <v>58776</v>
      </c>
      <c r="D494" s="1" t="str">
        <f t="shared" si="32"/>
        <v>XII</v>
      </c>
      <c r="E494">
        <f t="shared" si="30"/>
        <v>973203.42482440721</v>
      </c>
      <c r="F494">
        <v>0</v>
      </c>
      <c r="G494">
        <v>-15000</v>
      </c>
      <c r="H494" s="4">
        <f t="shared" si="33"/>
        <v>14321.217373803422</v>
      </c>
      <c r="I494">
        <f t="shared" si="31"/>
        <v>972524.64219821058</v>
      </c>
    </row>
    <row r="495" spans="2:9" x14ac:dyDescent="0.3">
      <c r="B495">
        <v>493</v>
      </c>
      <c r="C495" s="1">
        <v>58807</v>
      </c>
      <c r="D495" s="1" t="str">
        <f t="shared" si="32"/>
        <v>I</v>
      </c>
      <c r="E495">
        <f t="shared" si="30"/>
        <v>972524.64219821058</v>
      </c>
      <c r="F495">
        <v>0</v>
      </c>
      <c r="G495">
        <v>-15000</v>
      </c>
      <c r="H495" s="4">
        <f t="shared" si="33"/>
        <v>12234.416554702804</v>
      </c>
      <c r="I495">
        <f t="shared" si="31"/>
        <v>969759.05875291338</v>
      </c>
    </row>
    <row r="496" spans="2:9" x14ac:dyDescent="0.3">
      <c r="B496">
        <v>494</v>
      </c>
      <c r="C496" s="1">
        <v>58838</v>
      </c>
      <c r="D496" s="1" t="str">
        <f t="shared" si="32"/>
        <v>II</v>
      </c>
      <c r="E496">
        <f t="shared" si="30"/>
        <v>969759.05875291338</v>
      </c>
      <c r="F496">
        <v>0</v>
      </c>
      <c r="G496">
        <v>-15000</v>
      </c>
      <c r="H496" s="4">
        <f t="shared" si="33"/>
        <v>665.98507761628878</v>
      </c>
      <c r="I496">
        <f t="shared" si="31"/>
        <v>955425.04383052967</v>
      </c>
    </row>
    <row r="497" spans="2:9" x14ac:dyDescent="0.3">
      <c r="B497">
        <v>495</v>
      </c>
      <c r="C497" s="1">
        <v>58866</v>
      </c>
      <c r="D497" s="1" t="str">
        <f t="shared" si="32"/>
        <v>III</v>
      </c>
      <c r="E497">
        <f t="shared" si="30"/>
        <v>955425.04383052967</v>
      </c>
      <c r="F497">
        <v>0</v>
      </c>
      <c r="G497">
        <v>-15000</v>
      </c>
      <c r="H497" s="4">
        <f t="shared" si="33"/>
        <v>8249.5303883646156</v>
      </c>
      <c r="I497">
        <f t="shared" si="31"/>
        <v>948674.57421889424</v>
      </c>
    </row>
    <row r="498" spans="2:9" x14ac:dyDescent="0.3">
      <c r="B498">
        <v>496</v>
      </c>
      <c r="C498" s="1">
        <v>58897</v>
      </c>
      <c r="D498" s="1" t="str">
        <f t="shared" si="32"/>
        <v>IV</v>
      </c>
      <c r="E498">
        <f t="shared" si="30"/>
        <v>948674.57421889424</v>
      </c>
      <c r="F498">
        <v>0</v>
      </c>
      <c r="G498">
        <v>-15000</v>
      </c>
      <c r="H498" s="4">
        <f t="shared" si="33"/>
        <v>16078.049067670114</v>
      </c>
      <c r="I498">
        <f t="shared" si="31"/>
        <v>949752.62328656437</v>
      </c>
    </row>
    <row r="499" spans="2:9" x14ac:dyDescent="0.3">
      <c r="B499">
        <v>497</v>
      </c>
      <c r="C499" s="1">
        <v>58927</v>
      </c>
      <c r="D499" s="1" t="str">
        <f t="shared" si="32"/>
        <v>V</v>
      </c>
      <c r="E499">
        <f t="shared" ref="E499:E562" si="34">I498</f>
        <v>949752.62328656437</v>
      </c>
      <c r="F499">
        <v>0</v>
      </c>
      <c r="G499">
        <v>-15000</v>
      </c>
      <c r="H499" s="4">
        <f t="shared" si="33"/>
        <v>5331.2627107150183</v>
      </c>
      <c r="I499">
        <f t="shared" ref="I499:I562" si="35">SUM(E499:H499)</f>
        <v>940083.88599727943</v>
      </c>
    </row>
    <row r="500" spans="2:9" x14ac:dyDescent="0.3">
      <c r="B500">
        <v>498</v>
      </c>
      <c r="C500" s="1">
        <v>58958</v>
      </c>
      <c r="D500" s="1" t="str">
        <f t="shared" si="32"/>
        <v>VI</v>
      </c>
      <c r="E500">
        <f t="shared" si="34"/>
        <v>940083.88599727943</v>
      </c>
      <c r="F500">
        <v>0</v>
      </c>
      <c r="G500">
        <v>-15000</v>
      </c>
      <c r="H500" s="4">
        <f t="shared" si="33"/>
        <v>3996.3218390964212</v>
      </c>
      <c r="I500">
        <f t="shared" si="35"/>
        <v>929080.2078363758</v>
      </c>
    </row>
    <row r="501" spans="2:9" x14ac:dyDescent="0.3">
      <c r="B501">
        <v>499</v>
      </c>
      <c r="C501" s="1">
        <v>58988</v>
      </c>
      <c r="D501" s="1" t="str">
        <f t="shared" si="32"/>
        <v>VII</v>
      </c>
      <c r="E501">
        <f t="shared" si="34"/>
        <v>929080.2078363758</v>
      </c>
      <c r="F501">
        <v>0</v>
      </c>
      <c r="G501">
        <v>-15000</v>
      </c>
      <c r="H501" s="4">
        <f t="shared" si="33"/>
        <v>5529.5200872021387</v>
      </c>
      <c r="I501">
        <f t="shared" si="35"/>
        <v>919609.727923578</v>
      </c>
    </row>
    <row r="502" spans="2:9" x14ac:dyDescent="0.3">
      <c r="B502">
        <v>500</v>
      </c>
      <c r="C502" s="1">
        <v>59019</v>
      </c>
      <c r="D502" s="1" t="str">
        <f t="shared" si="32"/>
        <v>VIII</v>
      </c>
      <c r="E502">
        <f t="shared" si="34"/>
        <v>919609.727923578</v>
      </c>
      <c r="F502">
        <v>0</v>
      </c>
      <c r="G502">
        <v>-15000</v>
      </c>
      <c r="H502" s="4">
        <f t="shared" si="33"/>
        <v>211.50696691993178</v>
      </c>
      <c r="I502">
        <f t="shared" si="35"/>
        <v>904821.23489049799</v>
      </c>
    </row>
    <row r="503" spans="2:9" x14ac:dyDescent="0.3">
      <c r="B503">
        <v>501</v>
      </c>
      <c r="C503" s="1">
        <v>59050</v>
      </c>
      <c r="D503" s="1" t="str">
        <f t="shared" si="32"/>
        <v>IX</v>
      </c>
      <c r="E503">
        <f t="shared" si="34"/>
        <v>904821.23489049799</v>
      </c>
      <c r="F503">
        <v>0</v>
      </c>
      <c r="G503">
        <v>-15000</v>
      </c>
      <c r="H503" s="4">
        <f t="shared" si="33"/>
        <v>-5147.1432013001531</v>
      </c>
      <c r="I503">
        <f t="shared" si="35"/>
        <v>884674.09168919781</v>
      </c>
    </row>
    <row r="504" spans="2:9" x14ac:dyDescent="0.3">
      <c r="B504">
        <v>502</v>
      </c>
      <c r="C504" s="1">
        <v>59080</v>
      </c>
      <c r="D504" s="1" t="str">
        <f t="shared" si="32"/>
        <v>X</v>
      </c>
      <c r="E504">
        <f t="shared" si="34"/>
        <v>884674.09168919781</v>
      </c>
      <c r="F504">
        <v>0</v>
      </c>
      <c r="G504">
        <v>-15000</v>
      </c>
      <c r="H504" s="4">
        <f t="shared" si="33"/>
        <v>7091.4647704456975</v>
      </c>
      <c r="I504">
        <f t="shared" si="35"/>
        <v>876765.55645964353</v>
      </c>
    </row>
    <row r="505" spans="2:9" x14ac:dyDescent="0.3">
      <c r="B505">
        <v>503</v>
      </c>
      <c r="C505" s="1">
        <v>59111</v>
      </c>
      <c r="D505" s="1" t="str">
        <f t="shared" si="32"/>
        <v>XI</v>
      </c>
      <c r="E505">
        <f t="shared" si="34"/>
        <v>876765.55645964353</v>
      </c>
      <c r="F505">
        <v>0</v>
      </c>
      <c r="G505">
        <v>-15000</v>
      </c>
      <c r="H505" s="4">
        <f t="shared" si="33"/>
        <v>11379.101867477784</v>
      </c>
      <c r="I505">
        <f t="shared" si="35"/>
        <v>873144.65832712129</v>
      </c>
    </row>
    <row r="506" spans="2:9" x14ac:dyDescent="0.3">
      <c r="B506">
        <v>504</v>
      </c>
      <c r="C506" s="1">
        <v>59141</v>
      </c>
      <c r="D506" s="1" t="str">
        <f t="shared" si="32"/>
        <v>XII</v>
      </c>
      <c r="E506">
        <f t="shared" si="34"/>
        <v>873144.65832712129</v>
      </c>
      <c r="F506">
        <v>0</v>
      </c>
      <c r="G506">
        <v>-15000</v>
      </c>
      <c r="H506" s="4">
        <f t="shared" si="33"/>
        <v>12825.748553678024</v>
      </c>
      <c r="I506">
        <f t="shared" si="35"/>
        <v>870970.40688079933</v>
      </c>
    </row>
    <row r="507" spans="2:9" x14ac:dyDescent="0.3">
      <c r="B507">
        <v>505</v>
      </c>
      <c r="C507" s="1">
        <v>59172</v>
      </c>
      <c r="D507" s="1" t="str">
        <f t="shared" si="32"/>
        <v>I</v>
      </c>
      <c r="E507">
        <f t="shared" si="34"/>
        <v>870970.40688079933</v>
      </c>
      <c r="F507">
        <v>0</v>
      </c>
      <c r="G507">
        <v>-15000</v>
      </c>
      <c r="H507" s="4">
        <f t="shared" si="33"/>
        <v>10936.844917365946</v>
      </c>
      <c r="I507">
        <f t="shared" si="35"/>
        <v>866907.25179816526</v>
      </c>
    </row>
    <row r="508" spans="2:9" x14ac:dyDescent="0.3">
      <c r="B508">
        <v>506</v>
      </c>
      <c r="C508" s="1">
        <v>59203</v>
      </c>
      <c r="D508" s="1" t="str">
        <f t="shared" si="32"/>
        <v>II</v>
      </c>
      <c r="E508">
        <f t="shared" si="34"/>
        <v>866907.25179816526</v>
      </c>
      <c r="F508">
        <v>0</v>
      </c>
      <c r="G508">
        <v>-15000</v>
      </c>
      <c r="H508" s="4">
        <f t="shared" si="33"/>
        <v>594.24156493655175</v>
      </c>
      <c r="I508">
        <f t="shared" si="35"/>
        <v>852501.49336310185</v>
      </c>
    </row>
    <row r="509" spans="2:9" x14ac:dyDescent="0.3">
      <c r="B509">
        <v>507</v>
      </c>
      <c r="C509" s="1">
        <v>59231</v>
      </c>
      <c r="D509" s="1" t="str">
        <f t="shared" si="32"/>
        <v>III</v>
      </c>
      <c r="E509">
        <f t="shared" si="34"/>
        <v>852501.49336310185</v>
      </c>
      <c r="F509">
        <v>0</v>
      </c>
      <c r="G509">
        <v>-15000</v>
      </c>
      <c r="H509" s="4">
        <f t="shared" si="33"/>
        <v>7346.6716620582656</v>
      </c>
      <c r="I509">
        <f t="shared" si="35"/>
        <v>844848.16502516007</v>
      </c>
    </row>
    <row r="510" spans="2:9" x14ac:dyDescent="0.3">
      <c r="B510">
        <v>508</v>
      </c>
      <c r="C510" s="1">
        <v>59262</v>
      </c>
      <c r="D510" s="1" t="str">
        <f t="shared" si="32"/>
        <v>IV</v>
      </c>
      <c r="E510">
        <f t="shared" si="34"/>
        <v>844848.16502516007</v>
      </c>
      <c r="F510">
        <v>0</v>
      </c>
      <c r="G510">
        <v>-15000</v>
      </c>
      <c r="H510" s="4">
        <f t="shared" si="33"/>
        <v>14290.139074583498</v>
      </c>
      <c r="I510">
        <f t="shared" si="35"/>
        <v>844138.3040997436</v>
      </c>
    </row>
    <row r="511" spans="2:9" x14ac:dyDescent="0.3">
      <c r="B511">
        <v>509</v>
      </c>
      <c r="C511" s="1">
        <v>59292</v>
      </c>
      <c r="D511" s="1" t="str">
        <f t="shared" si="32"/>
        <v>V</v>
      </c>
      <c r="E511">
        <f t="shared" si="34"/>
        <v>844138.3040997436</v>
      </c>
      <c r="F511">
        <v>0</v>
      </c>
      <c r="G511">
        <v>-15000</v>
      </c>
      <c r="H511" s="4">
        <f t="shared" si="33"/>
        <v>4728.9026128973137</v>
      </c>
      <c r="I511">
        <f t="shared" si="35"/>
        <v>833867.20671264094</v>
      </c>
    </row>
    <row r="512" spans="2:9" x14ac:dyDescent="0.3">
      <c r="B512">
        <v>510</v>
      </c>
      <c r="C512" s="1">
        <v>59323</v>
      </c>
      <c r="D512" s="1" t="str">
        <f t="shared" si="32"/>
        <v>VI</v>
      </c>
      <c r="E512">
        <f t="shared" si="34"/>
        <v>833867.20671264094</v>
      </c>
      <c r="F512">
        <v>0</v>
      </c>
      <c r="G512">
        <v>-15000</v>
      </c>
      <c r="H512" s="4">
        <f t="shared" si="33"/>
        <v>3537.4704402917623</v>
      </c>
      <c r="I512">
        <f t="shared" si="35"/>
        <v>822404.67715293274</v>
      </c>
    </row>
    <row r="513" spans="2:9" x14ac:dyDescent="0.3">
      <c r="B513">
        <v>511</v>
      </c>
      <c r="C513" s="1">
        <v>59353</v>
      </c>
      <c r="D513" s="1" t="str">
        <f t="shared" si="32"/>
        <v>VII</v>
      </c>
      <c r="E513">
        <f t="shared" si="34"/>
        <v>822404.67715293274</v>
      </c>
      <c r="F513">
        <v>0</v>
      </c>
      <c r="G513">
        <v>-15000</v>
      </c>
      <c r="H513" s="4">
        <f t="shared" si="33"/>
        <v>4884.2107536555195</v>
      </c>
      <c r="I513">
        <f t="shared" si="35"/>
        <v>812288.88790658826</v>
      </c>
    </row>
    <row r="514" spans="2:9" x14ac:dyDescent="0.3">
      <c r="B514">
        <v>512</v>
      </c>
      <c r="C514" s="1">
        <v>59384</v>
      </c>
      <c r="D514" s="1" t="str">
        <f t="shared" si="32"/>
        <v>VIII</v>
      </c>
      <c r="E514">
        <f t="shared" si="34"/>
        <v>812288.88790658826</v>
      </c>
      <c r="F514">
        <v>0</v>
      </c>
      <c r="G514">
        <v>-15000</v>
      </c>
      <c r="H514" s="4">
        <f t="shared" si="33"/>
        <v>186.41426157019407</v>
      </c>
      <c r="I514">
        <f t="shared" si="35"/>
        <v>797475.30216815847</v>
      </c>
    </row>
    <row r="515" spans="2:9" x14ac:dyDescent="0.3">
      <c r="B515">
        <v>513</v>
      </c>
      <c r="C515" s="1">
        <v>59415</v>
      </c>
      <c r="D515" s="1" t="str">
        <f t="shared" si="32"/>
        <v>IX</v>
      </c>
      <c r="E515">
        <f t="shared" si="34"/>
        <v>797475.30216815847</v>
      </c>
      <c r="F515">
        <v>0</v>
      </c>
      <c r="G515">
        <v>-15000</v>
      </c>
      <c r="H515" s="4">
        <f t="shared" si="33"/>
        <v>-4526.2039989816021</v>
      </c>
      <c r="I515">
        <f t="shared" si="35"/>
        <v>777949.09816917684</v>
      </c>
    </row>
    <row r="516" spans="2:9" x14ac:dyDescent="0.3">
      <c r="B516">
        <v>514</v>
      </c>
      <c r="C516" s="1">
        <v>59445</v>
      </c>
      <c r="D516" s="1" t="str">
        <f t="shared" ref="D516:D579" si="36">TEXT(C516,"mmm")</f>
        <v>X</v>
      </c>
      <c r="E516">
        <f t="shared" si="34"/>
        <v>777949.09816917684</v>
      </c>
      <c r="F516">
        <v>0</v>
      </c>
      <c r="G516">
        <v>-15000</v>
      </c>
      <c r="H516" s="4">
        <f t="shared" si="33"/>
        <v>6221.2117194398379</v>
      </c>
      <c r="I516">
        <f t="shared" si="35"/>
        <v>769170.30988861667</v>
      </c>
    </row>
    <row r="517" spans="2:9" x14ac:dyDescent="0.3">
      <c r="B517">
        <v>515</v>
      </c>
      <c r="C517" s="1">
        <v>59476</v>
      </c>
      <c r="D517" s="1" t="str">
        <f t="shared" si="36"/>
        <v>XI</v>
      </c>
      <c r="E517">
        <f t="shared" si="34"/>
        <v>769170.30988861667</v>
      </c>
      <c r="F517">
        <v>0</v>
      </c>
      <c r="G517">
        <v>-15000</v>
      </c>
      <c r="H517" s="4">
        <f t="shared" ref="H517:H580" si="37">SUM(E517:G517)*VLOOKUP(D517,$U$4:$V$15,2,FALSE)</f>
        <v>9958.3706001270675</v>
      </c>
      <c r="I517">
        <f t="shared" si="35"/>
        <v>764128.6804887437</v>
      </c>
    </row>
    <row r="518" spans="2:9" x14ac:dyDescent="0.3">
      <c r="B518">
        <v>516</v>
      </c>
      <c r="C518" s="1">
        <v>59506</v>
      </c>
      <c r="D518" s="1" t="str">
        <f t="shared" si="36"/>
        <v>XII</v>
      </c>
      <c r="E518">
        <f t="shared" si="34"/>
        <v>764128.6804887437</v>
      </c>
      <c r="F518">
        <v>0</v>
      </c>
      <c r="G518">
        <v>-15000</v>
      </c>
      <c r="H518" s="4">
        <f t="shared" si="37"/>
        <v>11196.406103636957</v>
      </c>
      <c r="I518">
        <f t="shared" si="35"/>
        <v>760325.08659238066</v>
      </c>
    </row>
    <row r="519" spans="2:9" x14ac:dyDescent="0.3">
      <c r="B519">
        <v>517</v>
      </c>
      <c r="C519" s="1">
        <v>59537</v>
      </c>
      <c r="D519" s="1" t="str">
        <f t="shared" si="36"/>
        <v>I</v>
      </c>
      <c r="E519">
        <f t="shared" si="34"/>
        <v>760325.08659238066</v>
      </c>
      <c r="F519">
        <v>0</v>
      </c>
      <c r="G519">
        <v>-15000</v>
      </c>
      <c r="H519" s="4">
        <f t="shared" si="37"/>
        <v>9523.1153081421598</v>
      </c>
      <c r="I519">
        <f t="shared" si="35"/>
        <v>754848.20190052281</v>
      </c>
    </row>
    <row r="520" spans="2:9" x14ac:dyDescent="0.3">
      <c r="B520">
        <v>518</v>
      </c>
      <c r="C520" s="1">
        <v>59568</v>
      </c>
      <c r="D520" s="1" t="str">
        <f t="shared" si="36"/>
        <v>II</v>
      </c>
      <c r="E520">
        <f t="shared" si="34"/>
        <v>754848.20190052281</v>
      </c>
      <c r="F520">
        <v>0</v>
      </c>
      <c r="G520">
        <v>-15000</v>
      </c>
      <c r="H520" s="4">
        <f t="shared" si="37"/>
        <v>516.07560844783427</v>
      </c>
      <c r="I520">
        <f t="shared" si="35"/>
        <v>740364.27750897058</v>
      </c>
    </row>
    <row r="521" spans="2:9" x14ac:dyDescent="0.3">
      <c r="B521">
        <v>519</v>
      </c>
      <c r="C521" s="1">
        <v>59596</v>
      </c>
      <c r="D521" s="1" t="str">
        <f t="shared" si="36"/>
        <v>III</v>
      </c>
      <c r="E521">
        <f t="shared" si="34"/>
        <v>740364.27750897058</v>
      </c>
      <c r="F521">
        <v>0</v>
      </c>
      <c r="G521">
        <v>-15000</v>
      </c>
      <c r="H521" s="4">
        <f t="shared" si="37"/>
        <v>6362.9894686457692</v>
      </c>
      <c r="I521">
        <f t="shared" si="35"/>
        <v>731727.26697761635</v>
      </c>
    </row>
    <row r="522" spans="2:9" x14ac:dyDescent="0.3">
      <c r="B522">
        <v>520</v>
      </c>
      <c r="C522" s="1">
        <v>59627</v>
      </c>
      <c r="D522" s="1" t="str">
        <f t="shared" si="36"/>
        <v>IV</v>
      </c>
      <c r="E522">
        <f t="shared" si="34"/>
        <v>731727.26697761635</v>
      </c>
      <c r="F522">
        <v>0</v>
      </c>
      <c r="G522">
        <v>-15000</v>
      </c>
      <c r="H522" s="4">
        <f t="shared" si="37"/>
        <v>12342.176262263283</v>
      </c>
      <c r="I522">
        <f t="shared" si="35"/>
        <v>729069.44323987968</v>
      </c>
    </row>
    <row r="523" spans="2:9" x14ac:dyDescent="0.3">
      <c r="B523">
        <v>521</v>
      </c>
      <c r="C523" s="1">
        <v>59657</v>
      </c>
      <c r="D523" s="1" t="str">
        <f t="shared" si="36"/>
        <v>V</v>
      </c>
      <c r="E523">
        <f t="shared" si="34"/>
        <v>729069.44323987968</v>
      </c>
      <c r="F523">
        <v>0</v>
      </c>
      <c r="G523">
        <v>-15000</v>
      </c>
      <c r="H523" s="4">
        <f t="shared" si="37"/>
        <v>4072.619536729278</v>
      </c>
      <c r="I523">
        <f t="shared" si="35"/>
        <v>718142.06277660897</v>
      </c>
    </row>
    <row r="524" spans="2:9" x14ac:dyDescent="0.3">
      <c r="B524">
        <v>522</v>
      </c>
      <c r="C524" s="1">
        <v>59688</v>
      </c>
      <c r="D524" s="1" t="str">
        <f t="shared" si="36"/>
        <v>VI</v>
      </c>
      <c r="E524">
        <f t="shared" si="34"/>
        <v>718142.06277660897</v>
      </c>
      <c r="F524">
        <v>0</v>
      </c>
      <c r="G524">
        <v>-15000</v>
      </c>
      <c r="H524" s="4">
        <f t="shared" si="37"/>
        <v>3037.5428909694929</v>
      </c>
      <c r="I524">
        <f t="shared" si="35"/>
        <v>706179.60566757852</v>
      </c>
    </row>
    <row r="525" spans="2:9" x14ac:dyDescent="0.3">
      <c r="B525">
        <v>523</v>
      </c>
      <c r="C525" s="1">
        <v>59718</v>
      </c>
      <c r="D525" s="1" t="str">
        <f t="shared" si="36"/>
        <v>VII</v>
      </c>
      <c r="E525">
        <f t="shared" si="34"/>
        <v>706179.60566757852</v>
      </c>
      <c r="F525">
        <v>0</v>
      </c>
      <c r="G525">
        <v>-15000</v>
      </c>
      <c r="H525" s="4">
        <f t="shared" si="37"/>
        <v>4181.1336473959218</v>
      </c>
      <c r="I525">
        <f t="shared" si="35"/>
        <v>695360.7393149744</v>
      </c>
    </row>
    <row r="526" spans="2:9" x14ac:dyDescent="0.3">
      <c r="B526">
        <v>524</v>
      </c>
      <c r="C526" s="1">
        <v>59749</v>
      </c>
      <c r="D526" s="1" t="str">
        <f t="shared" si="36"/>
        <v>VIII</v>
      </c>
      <c r="E526">
        <f t="shared" si="34"/>
        <v>695360.7393149744</v>
      </c>
      <c r="F526">
        <v>0</v>
      </c>
      <c r="G526">
        <v>-15000</v>
      </c>
      <c r="H526" s="4">
        <f t="shared" si="37"/>
        <v>159.07526963502815</v>
      </c>
      <c r="I526">
        <f t="shared" si="35"/>
        <v>680519.81458460947</v>
      </c>
    </row>
    <row r="527" spans="2:9" x14ac:dyDescent="0.3">
      <c r="B527">
        <v>525</v>
      </c>
      <c r="C527" s="1">
        <v>59780</v>
      </c>
      <c r="D527" s="1" t="str">
        <f t="shared" si="36"/>
        <v>IX</v>
      </c>
      <c r="E527">
        <f t="shared" si="34"/>
        <v>680519.81458460947</v>
      </c>
      <c r="F527">
        <v>0</v>
      </c>
      <c r="G527">
        <v>-15000</v>
      </c>
      <c r="H527" s="4">
        <f t="shared" si="37"/>
        <v>-3849.6786260571298</v>
      </c>
      <c r="I527">
        <f t="shared" si="35"/>
        <v>661670.13595855236</v>
      </c>
    </row>
    <row r="528" spans="2:9" x14ac:dyDescent="0.3">
      <c r="B528">
        <v>526</v>
      </c>
      <c r="C528" s="1">
        <v>59810</v>
      </c>
      <c r="D528" s="1" t="str">
        <f t="shared" si="36"/>
        <v>X</v>
      </c>
      <c r="E528">
        <f t="shared" si="34"/>
        <v>661670.13595855236</v>
      </c>
      <c r="F528">
        <v>0</v>
      </c>
      <c r="G528">
        <v>-15000</v>
      </c>
      <c r="H528" s="4">
        <f t="shared" si="37"/>
        <v>5273.0540452713412</v>
      </c>
      <c r="I528">
        <f t="shared" si="35"/>
        <v>651943.19000382372</v>
      </c>
    </row>
    <row r="529" spans="2:9" x14ac:dyDescent="0.3">
      <c r="B529">
        <v>527</v>
      </c>
      <c r="C529" s="1">
        <v>59841</v>
      </c>
      <c r="D529" s="1" t="str">
        <f t="shared" si="36"/>
        <v>XI</v>
      </c>
      <c r="E529">
        <f t="shared" si="34"/>
        <v>651943.19000382372</v>
      </c>
      <c r="F529">
        <v>0</v>
      </c>
      <c r="G529">
        <v>-15000</v>
      </c>
      <c r="H529" s="4">
        <f t="shared" si="37"/>
        <v>8410.4561716597036</v>
      </c>
      <c r="I529">
        <f t="shared" si="35"/>
        <v>645353.64617548347</v>
      </c>
    </row>
    <row r="530" spans="2:9" x14ac:dyDescent="0.3">
      <c r="B530">
        <v>528</v>
      </c>
      <c r="C530" s="1">
        <v>59871</v>
      </c>
      <c r="D530" s="1" t="str">
        <f t="shared" si="36"/>
        <v>XII</v>
      </c>
      <c r="E530">
        <f t="shared" si="34"/>
        <v>645353.64617548347</v>
      </c>
      <c r="F530">
        <v>0</v>
      </c>
      <c r="G530">
        <v>-15000</v>
      </c>
      <c r="H530" s="4">
        <f t="shared" si="37"/>
        <v>9421.205722472725</v>
      </c>
      <c r="I530">
        <f t="shared" si="35"/>
        <v>639774.85189795622</v>
      </c>
    </row>
    <row r="531" spans="2:9" x14ac:dyDescent="0.3">
      <c r="B531">
        <v>529</v>
      </c>
      <c r="C531" s="1">
        <v>59902</v>
      </c>
      <c r="D531" s="1" t="str">
        <f t="shared" si="36"/>
        <v>I</v>
      </c>
      <c r="E531">
        <f t="shared" si="34"/>
        <v>639774.85189795622</v>
      </c>
      <c r="F531">
        <v>0</v>
      </c>
      <c r="G531">
        <v>-15000</v>
      </c>
      <c r="H531" s="4">
        <f t="shared" si="37"/>
        <v>7982.8293227779586</v>
      </c>
      <c r="I531">
        <f t="shared" si="35"/>
        <v>632757.68122073414</v>
      </c>
    </row>
    <row r="532" spans="2:9" x14ac:dyDescent="0.3">
      <c r="B532">
        <v>530</v>
      </c>
      <c r="C532" s="1">
        <v>59933</v>
      </c>
      <c r="D532" s="1" t="str">
        <f t="shared" si="36"/>
        <v>II</v>
      </c>
      <c r="E532">
        <f t="shared" si="34"/>
        <v>632757.68122073414</v>
      </c>
      <c r="F532">
        <v>0</v>
      </c>
      <c r="G532">
        <v>-15000</v>
      </c>
      <c r="H532" s="4">
        <f t="shared" si="37"/>
        <v>430.91227415347504</v>
      </c>
      <c r="I532">
        <f t="shared" si="35"/>
        <v>618188.59349488758</v>
      </c>
    </row>
    <row r="533" spans="2:9" x14ac:dyDescent="0.3">
      <c r="B533">
        <v>531</v>
      </c>
      <c r="C533" s="1">
        <v>59962</v>
      </c>
      <c r="D533" s="1" t="str">
        <f t="shared" si="36"/>
        <v>III</v>
      </c>
      <c r="E533">
        <f t="shared" si="34"/>
        <v>618188.59349488758</v>
      </c>
      <c r="F533">
        <v>0</v>
      </c>
      <c r="G533">
        <v>-15000</v>
      </c>
      <c r="H533" s="4">
        <f t="shared" si="37"/>
        <v>5291.2485312840045</v>
      </c>
      <c r="I533">
        <f t="shared" si="35"/>
        <v>608479.84202617162</v>
      </c>
    </row>
    <row r="534" spans="2:9" x14ac:dyDescent="0.3">
      <c r="B534">
        <v>532</v>
      </c>
      <c r="C534" s="1">
        <v>59993</v>
      </c>
      <c r="D534" s="1" t="str">
        <f t="shared" si="36"/>
        <v>IV</v>
      </c>
      <c r="E534">
        <f t="shared" si="34"/>
        <v>608479.84202617162</v>
      </c>
      <c r="F534">
        <v>0</v>
      </c>
      <c r="G534">
        <v>-15000</v>
      </c>
      <c r="H534" s="4">
        <f t="shared" si="37"/>
        <v>10219.832781408517</v>
      </c>
      <c r="I534">
        <f t="shared" si="35"/>
        <v>603699.67480758019</v>
      </c>
    </row>
    <row r="535" spans="2:9" x14ac:dyDescent="0.3">
      <c r="B535">
        <v>533</v>
      </c>
      <c r="C535" s="1">
        <v>60023</v>
      </c>
      <c r="D535" s="1" t="str">
        <f t="shared" si="36"/>
        <v>V</v>
      </c>
      <c r="E535">
        <f t="shared" si="34"/>
        <v>603699.67480758019</v>
      </c>
      <c r="F535">
        <v>0</v>
      </c>
      <c r="G535">
        <v>-15000</v>
      </c>
      <c r="H535" s="4">
        <f t="shared" si="37"/>
        <v>3357.5863238305619</v>
      </c>
      <c r="I535">
        <f t="shared" si="35"/>
        <v>592057.26113141072</v>
      </c>
    </row>
    <row r="536" spans="2:9" x14ac:dyDescent="0.3">
      <c r="B536">
        <v>534</v>
      </c>
      <c r="C536" s="1">
        <v>60054</v>
      </c>
      <c r="D536" s="1" t="str">
        <f t="shared" si="36"/>
        <v>VI</v>
      </c>
      <c r="E536">
        <f t="shared" si="34"/>
        <v>592057.26113141072</v>
      </c>
      <c r="F536">
        <v>0</v>
      </c>
      <c r="G536">
        <v>-15000</v>
      </c>
      <c r="H536" s="4">
        <f t="shared" si="37"/>
        <v>2492.8620744296536</v>
      </c>
      <c r="I536">
        <f t="shared" si="35"/>
        <v>579550.12320584035</v>
      </c>
    </row>
    <row r="537" spans="2:9" x14ac:dyDescent="0.3">
      <c r="B537">
        <v>535</v>
      </c>
      <c r="C537" s="1">
        <v>60084</v>
      </c>
      <c r="D537" s="1" t="str">
        <f t="shared" si="36"/>
        <v>VII</v>
      </c>
      <c r="E537">
        <f t="shared" si="34"/>
        <v>579550.12320584035</v>
      </c>
      <c r="F537">
        <v>0</v>
      </c>
      <c r="G537">
        <v>-15000</v>
      </c>
      <c r="H537" s="4">
        <f t="shared" si="37"/>
        <v>3415.1174259512381</v>
      </c>
      <c r="I537">
        <f t="shared" si="35"/>
        <v>567965.24063179165</v>
      </c>
    </row>
    <row r="538" spans="2:9" x14ac:dyDescent="0.3">
      <c r="B538">
        <v>536</v>
      </c>
      <c r="C538" s="1">
        <v>60115</v>
      </c>
      <c r="D538" s="1" t="str">
        <f t="shared" si="36"/>
        <v>VIII</v>
      </c>
      <c r="E538">
        <f t="shared" si="34"/>
        <v>567965.24063179165</v>
      </c>
      <c r="F538">
        <v>0</v>
      </c>
      <c r="G538">
        <v>-15000</v>
      </c>
      <c r="H538" s="4">
        <f t="shared" si="37"/>
        <v>129.28890464912288</v>
      </c>
      <c r="I538">
        <f t="shared" si="35"/>
        <v>553094.52953644074</v>
      </c>
    </row>
    <row r="539" spans="2:9" x14ac:dyDescent="0.3">
      <c r="B539">
        <v>537</v>
      </c>
      <c r="C539" s="1">
        <v>60146</v>
      </c>
      <c r="D539" s="1" t="str">
        <f t="shared" si="36"/>
        <v>IX</v>
      </c>
      <c r="E539">
        <f t="shared" si="34"/>
        <v>553094.52953644074</v>
      </c>
      <c r="F539">
        <v>0</v>
      </c>
      <c r="G539">
        <v>-15000</v>
      </c>
      <c r="H539" s="4">
        <f t="shared" si="37"/>
        <v>-3112.5910359973936</v>
      </c>
      <c r="I539">
        <f t="shared" si="35"/>
        <v>534981.93850044336</v>
      </c>
    </row>
    <row r="540" spans="2:9" x14ac:dyDescent="0.3">
      <c r="B540">
        <v>538</v>
      </c>
      <c r="C540" s="1">
        <v>60176</v>
      </c>
      <c r="D540" s="1" t="str">
        <f t="shared" si="36"/>
        <v>X</v>
      </c>
      <c r="E540">
        <f t="shared" si="34"/>
        <v>534981.93850044336</v>
      </c>
      <c r="F540">
        <v>0</v>
      </c>
      <c r="G540">
        <v>-15000</v>
      </c>
      <c r="H540" s="4">
        <f t="shared" si="37"/>
        <v>4240.0177645648</v>
      </c>
      <c r="I540">
        <f t="shared" si="35"/>
        <v>524221.95626500814</v>
      </c>
    </row>
    <row r="541" spans="2:9" x14ac:dyDescent="0.3">
      <c r="B541">
        <v>539</v>
      </c>
      <c r="C541" s="1">
        <v>60207</v>
      </c>
      <c r="D541" s="1" t="str">
        <f t="shared" si="36"/>
        <v>XI</v>
      </c>
      <c r="E541">
        <f t="shared" si="34"/>
        <v>524221.95626500814</v>
      </c>
      <c r="F541">
        <v>0</v>
      </c>
      <c r="G541">
        <v>-15000</v>
      </c>
      <c r="H541" s="4">
        <f t="shared" si="37"/>
        <v>6723.9732083295448</v>
      </c>
      <c r="I541">
        <f t="shared" si="35"/>
        <v>515945.92947333766</v>
      </c>
    </row>
    <row r="542" spans="2:9" x14ac:dyDescent="0.3">
      <c r="B542">
        <v>540</v>
      </c>
      <c r="C542" s="1">
        <v>60237</v>
      </c>
      <c r="D542" s="1" t="str">
        <f t="shared" si="36"/>
        <v>XII</v>
      </c>
      <c r="E542">
        <f t="shared" si="34"/>
        <v>515945.92947333766</v>
      </c>
      <c r="F542">
        <v>0</v>
      </c>
      <c r="G542">
        <v>-15000</v>
      </c>
      <c r="H542" s="4">
        <f t="shared" si="37"/>
        <v>7487.0902802547862</v>
      </c>
      <c r="I542">
        <f t="shared" si="35"/>
        <v>508433.01975359244</v>
      </c>
    </row>
    <row r="543" spans="2:9" x14ac:dyDescent="0.3">
      <c r="B543">
        <v>541</v>
      </c>
      <c r="C543" s="1">
        <v>60268</v>
      </c>
      <c r="D543" s="1" t="str">
        <f t="shared" si="36"/>
        <v>I</v>
      </c>
      <c r="E543">
        <f t="shared" si="34"/>
        <v>508433.01975359244</v>
      </c>
      <c r="F543">
        <v>0</v>
      </c>
      <c r="G543">
        <v>-15000</v>
      </c>
      <c r="H543" s="4">
        <f t="shared" si="37"/>
        <v>6304.6576970085925</v>
      </c>
      <c r="I543">
        <f t="shared" si="35"/>
        <v>499737.67745060101</v>
      </c>
    </row>
    <row r="544" spans="2:9" x14ac:dyDescent="0.3">
      <c r="B544">
        <v>542</v>
      </c>
      <c r="C544" s="1">
        <v>60299</v>
      </c>
      <c r="D544" s="1" t="str">
        <f t="shared" si="36"/>
        <v>II</v>
      </c>
      <c r="E544">
        <f t="shared" si="34"/>
        <v>499737.67745060101</v>
      </c>
      <c r="F544">
        <v>0</v>
      </c>
      <c r="G544">
        <v>-15000</v>
      </c>
      <c r="H544" s="4">
        <f t="shared" si="37"/>
        <v>338.12516024948684</v>
      </c>
      <c r="I544">
        <f t="shared" si="35"/>
        <v>485075.80261085049</v>
      </c>
    </row>
    <row r="545" spans="2:9" x14ac:dyDescent="0.3">
      <c r="B545">
        <v>543</v>
      </c>
      <c r="C545" s="1">
        <v>60327</v>
      </c>
      <c r="D545" s="1" t="str">
        <f t="shared" si="36"/>
        <v>III</v>
      </c>
      <c r="E545">
        <f t="shared" si="34"/>
        <v>485075.80261085049</v>
      </c>
      <c r="F545">
        <v>0</v>
      </c>
      <c r="G545">
        <v>-15000</v>
      </c>
      <c r="H545" s="4">
        <f t="shared" si="37"/>
        <v>4123.5658747215575</v>
      </c>
      <c r="I545">
        <f t="shared" si="35"/>
        <v>474199.36848557205</v>
      </c>
    </row>
    <row r="546" spans="2:9" x14ac:dyDescent="0.3">
      <c r="B546">
        <v>544</v>
      </c>
      <c r="C546" s="1">
        <v>60358</v>
      </c>
      <c r="D546" s="1" t="str">
        <f t="shared" si="36"/>
        <v>IV</v>
      </c>
      <c r="E546">
        <f t="shared" si="34"/>
        <v>474199.36848557205</v>
      </c>
      <c r="F546">
        <v>0</v>
      </c>
      <c r="G546">
        <v>-15000</v>
      </c>
      <c r="H546" s="4">
        <f t="shared" si="37"/>
        <v>7907.498160727735</v>
      </c>
      <c r="I546">
        <f t="shared" si="35"/>
        <v>467106.86664629978</v>
      </c>
    </row>
    <row r="547" spans="2:9" x14ac:dyDescent="0.3">
      <c r="B547">
        <v>545</v>
      </c>
      <c r="C547" s="1">
        <v>60388</v>
      </c>
      <c r="D547" s="1" t="str">
        <f t="shared" si="36"/>
        <v>V</v>
      </c>
      <c r="E547">
        <f t="shared" si="34"/>
        <v>467106.86664629978</v>
      </c>
      <c r="F547">
        <v>0</v>
      </c>
      <c r="G547">
        <v>-15000</v>
      </c>
      <c r="H547" s="4">
        <f t="shared" si="37"/>
        <v>2578.5436909875425</v>
      </c>
      <c r="I547">
        <f t="shared" si="35"/>
        <v>454685.41033728735</v>
      </c>
    </row>
    <row r="548" spans="2:9" x14ac:dyDescent="0.3">
      <c r="B548">
        <v>546</v>
      </c>
      <c r="C548" s="1">
        <v>60419</v>
      </c>
      <c r="D548" s="1" t="str">
        <f t="shared" si="36"/>
        <v>VI</v>
      </c>
      <c r="E548">
        <f t="shared" si="34"/>
        <v>454685.41033728735</v>
      </c>
      <c r="F548">
        <v>0</v>
      </c>
      <c r="G548">
        <v>-15000</v>
      </c>
      <c r="H548" s="4">
        <f t="shared" si="37"/>
        <v>1899.4217003020419</v>
      </c>
      <c r="I548">
        <f t="shared" si="35"/>
        <v>441584.8320375894</v>
      </c>
    </row>
    <row r="549" spans="2:9" x14ac:dyDescent="0.3">
      <c r="B549">
        <v>547</v>
      </c>
      <c r="C549" s="1">
        <v>60449</v>
      </c>
      <c r="D549" s="1" t="str">
        <f t="shared" si="36"/>
        <v>VII</v>
      </c>
      <c r="E549">
        <f t="shared" si="34"/>
        <v>441584.8320375894</v>
      </c>
      <c r="F549">
        <v>0</v>
      </c>
      <c r="G549">
        <v>-15000</v>
      </c>
      <c r="H549" s="4">
        <f t="shared" si="37"/>
        <v>2580.5278108262441</v>
      </c>
      <c r="I549">
        <f t="shared" si="35"/>
        <v>429165.35984841565</v>
      </c>
    </row>
    <row r="550" spans="2:9" x14ac:dyDescent="0.3">
      <c r="B550">
        <v>548</v>
      </c>
      <c r="C550" s="1">
        <v>60480</v>
      </c>
      <c r="D550" s="1" t="str">
        <f t="shared" si="36"/>
        <v>VIII</v>
      </c>
      <c r="E550">
        <f t="shared" si="34"/>
        <v>429165.35984841565</v>
      </c>
      <c r="F550">
        <v>0</v>
      </c>
      <c r="G550">
        <v>-15000</v>
      </c>
      <c r="H550" s="4">
        <f t="shared" si="37"/>
        <v>96.836078986142525</v>
      </c>
      <c r="I550">
        <f t="shared" si="35"/>
        <v>414262.19592740177</v>
      </c>
    </row>
    <row r="551" spans="2:9" x14ac:dyDescent="0.3">
      <c r="B551">
        <v>549</v>
      </c>
      <c r="C551" s="1">
        <v>60511</v>
      </c>
      <c r="D551" s="1" t="str">
        <f t="shared" si="36"/>
        <v>IX</v>
      </c>
      <c r="E551">
        <f t="shared" si="34"/>
        <v>414262.19592740177</v>
      </c>
      <c r="F551">
        <v>0</v>
      </c>
      <c r="G551">
        <v>-15000</v>
      </c>
      <c r="H551" s="4">
        <f t="shared" si="37"/>
        <v>-2309.519729046242</v>
      </c>
      <c r="I551">
        <f t="shared" si="35"/>
        <v>396952.6761983555</v>
      </c>
    </row>
    <row r="552" spans="2:9" x14ac:dyDescent="0.3">
      <c r="B552">
        <v>550</v>
      </c>
      <c r="C552" s="1">
        <v>60541</v>
      </c>
      <c r="D552" s="1" t="str">
        <f t="shared" si="36"/>
        <v>X</v>
      </c>
      <c r="E552">
        <f t="shared" si="34"/>
        <v>396952.6761983555</v>
      </c>
      <c r="F552">
        <v>0</v>
      </c>
      <c r="G552">
        <v>-15000</v>
      </c>
      <c r="H552" s="4">
        <f t="shared" si="37"/>
        <v>3114.5045863986552</v>
      </c>
      <c r="I552">
        <f t="shared" si="35"/>
        <v>385067.18078475416</v>
      </c>
    </row>
    <row r="553" spans="2:9" x14ac:dyDescent="0.3">
      <c r="B553">
        <v>551</v>
      </c>
      <c r="C553" s="1">
        <v>60572</v>
      </c>
      <c r="D553" s="1" t="str">
        <f t="shared" si="36"/>
        <v>XI</v>
      </c>
      <c r="E553">
        <f t="shared" si="34"/>
        <v>385067.18078475416</v>
      </c>
      <c r="F553">
        <v>0</v>
      </c>
      <c r="G553">
        <v>-15000</v>
      </c>
      <c r="H553" s="4">
        <f t="shared" si="37"/>
        <v>4886.5171233578276</v>
      </c>
      <c r="I553">
        <f t="shared" si="35"/>
        <v>374953.69790811196</v>
      </c>
    </row>
    <row r="554" spans="2:9" x14ac:dyDescent="0.3">
      <c r="B554">
        <v>552</v>
      </c>
      <c r="C554" s="1">
        <v>60602</v>
      </c>
      <c r="D554" s="1" t="str">
        <f t="shared" si="36"/>
        <v>XII</v>
      </c>
      <c r="E554">
        <f t="shared" si="34"/>
        <v>374953.69790811196</v>
      </c>
      <c r="F554">
        <v>0</v>
      </c>
      <c r="G554">
        <v>-15000</v>
      </c>
      <c r="H554" s="4">
        <f t="shared" si="37"/>
        <v>5379.8337792323182</v>
      </c>
      <c r="I554">
        <f t="shared" si="35"/>
        <v>365333.53168734431</v>
      </c>
    </row>
    <row r="555" spans="2:9" x14ac:dyDescent="0.3">
      <c r="B555">
        <v>553</v>
      </c>
      <c r="C555" s="1">
        <v>60633</v>
      </c>
      <c r="D555" s="1" t="str">
        <f t="shared" si="36"/>
        <v>I</v>
      </c>
      <c r="E555">
        <f t="shared" si="34"/>
        <v>365333.53168734431</v>
      </c>
      <c r="F555">
        <v>0</v>
      </c>
      <c r="G555">
        <v>-15000</v>
      </c>
      <c r="H555" s="4">
        <f t="shared" si="37"/>
        <v>4476.2569764297541</v>
      </c>
      <c r="I555">
        <f t="shared" si="35"/>
        <v>354809.78866377409</v>
      </c>
    </row>
    <row r="556" spans="2:9" x14ac:dyDescent="0.3">
      <c r="B556">
        <v>554</v>
      </c>
      <c r="C556" s="1">
        <v>60664</v>
      </c>
      <c r="D556" s="1" t="str">
        <f t="shared" si="36"/>
        <v>II</v>
      </c>
      <c r="E556">
        <f t="shared" si="34"/>
        <v>354809.78866377409</v>
      </c>
      <c r="F556">
        <v>0</v>
      </c>
      <c r="G556">
        <v>-15000</v>
      </c>
      <c r="H556" s="4">
        <f t="shared" si="37"/>
        <v>237.03178975187461</v>
      </c>
      <c r="I556">
        <f t="shared" si="35"/>
        <v>340046.82045352599</v>
      </c>
    </row>
    <row r="557" spans="2:9" x14ac:dyDescent="0.3">
      <c r="B557">
        <v>555</v>
      </c>
      <c r="C557" s="1">
        <v>60692</v>
      </c>
      <c r="D557" s="1" t="str">
        <f t="shared" si="36"/>
        <v>III</v>
      </c>
      <c r="E557">
        <f t="shared" si="34"/>
        <v>340046.82045352599</v>
      </c>
      <c r="F557">
        <v>0</v>
      </c>
      <c r="G557">
        <v>-15000</v>
      </c>
      <c r="H557" s="4">
        <f t="shared" si="37"/>
        <v>2851.3528436572337</v>
      </c>
      <c r="I557">
        <f t="shared" si="35"/>
        <v>327898.17329718324</v>
      </c>
    </row>
    <row r="558" spans="2:9" x14ac:dyDescent="0.3">
      <c r="B558">
        <v>556</v>
      </c>
      <c r="C558" s="1">
        <v>60723</v>
      </c>
      <c r="D558" s="1" t="str">
        <f t="shared" si="36"/>
        <v>IV</v>
      </c>
      <c r="E558">
        <f t="shared" si="34"/>
        <v>327898.17329718324</v>
      </c>
      <c r="F558">
        <v>0</v>
      </c>
      <c r="G558">
        <v>-15000</v>
      </c>
      <c r="H558" s="4">
        <f t="shared" si="37"/>
        <v>5388.1644872520865</v>
      </c>
      <c r="I558">
        <f t="shared" si="35"/>
        <v>318286.33778443531</v>
      </c>
    </row>
    <row r="559" spans="2:9" x14ac:dyDescent="0.3">
      <c r="B559">
        <v>557</v>
      </c>
      <c r="C559" s="1">
        <v>60753</v>
      </c>
      <c r="D559" s="1" t="str">
        <f t="shared" si="36"/>
        <v>V</v>
      </c>
      <c r="E559">
        <f t="shared" si="34"/>
        <v>318286.33778443531</v>
      </c>
      <c r="F559">
        <v>0</v>
      </c>
      <c r="G559">
        <v>-15000</v>
      </c>
      <c r="H559" s="4">
        <f t="shared" si="37"/>
        <v>1729.761546551757</v>
      </c>
      <c r="I559">
        <f t="shared" si="35"/>
        <v>305016.09933098708</v>
      </c>
    </row>
    <row r="560" spans="2:9" x14ac:dyDescent="0.3">
      <c r="B560">
        <v>558</v>
      </c>
      <c r="C560" s="1">
        <v>60784</v>
      </c>
      <c r="D560" s="1" t="str">
        <f t="shared" si="36"/>
        <v>VI</v>
      </c>
      <c r="E560">
        <f t="shared" si="34"/>
        <v>305016.09933098708</v>
      </c>
      <c r="F560">
        <v>0</v>
      </c>
      <c r="G560">
        <v>-15000</v>
      </c>
      <c r="H560" s="4">
        <f t="shared" si="37"/>
        <v>1252.8568370818959</v>
      </c>
      <c r="I560">
        <f t="shared" si="35"/>
        <v>291268.95616806898</v>
      </c>
    </row>
    <row r="561" spans="2:9" x14ac:dyDescent="0.3">
      <c r="B561">
        <v>559</v>
      </c>
      <c r="C561" s="1">
        <v>60814</v>
      </c>
      <c r="D561" s="1" t="str">
        <f t="shared" si="36"/>
        <v>VII</v>
      </c>
      <c r="E561">
        <f t="shared" si="34"/>
        <v>291268.95616806898</v>
      </c>
      <c r="F561">
        <v>0</v>
      </c>
      <c r="G561">
        <v>-15000</v>
      </c>
      <c r="H561" s="4">
        <f t="shared" si="37"/>
        <v>1671.2261456985377</v>
      </c>
      <c r="I561">
        <f t="shared" si="35"/>
        <v>277940.18231376749</v>
      </c>
    </row>
    <row r="562" spans="2:9" x14ac:dyDescent="0.3">
      <c r="B562">
        <v>560</v>
      </c>
      <c r="C562" s="1">
        <v>60845</v>
      </c>
      <c r="D562" s="1" t="str">
        <f t="shared" si="36"/>
        <v>VIII</v>
      </c>
      <c r="E562">
        <f t="shared" si="34"/>
        <v>277940.18231376749</v>
      </c>
      <c r="F562">
        <v>0</v>
      </c>
      <c r="G562">
        <v>-15000</v>
      </c>
      <c r="H562" s="4">
        <f t="shared" si="37"/>
        <v>61.478092403685864</v>
      </c>
      <c r="I562">
        <f t="shared" si="35"/>
        <v>263001.66040617117</v>
      </c>
    </row>
    <row r="563" spans="2:9" x14ac:dyDescent="0.3">
      <c r="B563">
        <v>561</v>
      </c>
      <c r="C563" s="1">
        <v>60876</v>
      </c>
      <c r="D563" s="1" t="str">
        <f t="shared" si="36"/>
        <v>IX</v>
      </c>
      <c r="E563">
        <f t="shared" ref="E563:E626" si="38">I562</f>
        <v>263001.66040617117</v>
      </c>
      <c r="F563">
        <v>0</v>
      </c>
      <c r="G563">
        <v>-15000</v>
      </c>
      <c r="H563" s="4">
        <f t="shared" si="37"/>
        <v>-1434.5578754679418</v>
      </c>
      <c r="I563">
        <f t="shared" ref="I563:I626" si="39">SUM(E563:H563)</f>
        <v>246567.10253070324</v>
      </c>
    </row>
    <row r="564" spans="2:9" x14ac:dyDescent="0.3">
      <c r="B564">
        <v>562</v>
      </c>
      <c r="C564" s="1">
        <v>60906</v>
      </c>
      <c r="D564" s="1" t="str">
        <f t="shared" si="36"/>
        <v>X</v>
      </c>
      <c r="E564">
        <f t="shared" si="38"/>
        <v>246567.10253070324</v>
      </c>
      <c r="F564">
        <v>0</v>
      </c>
      <c r="G564">
        <v>-15000</v>
      </c>
      <c r="H564" s="4">
        <f t="shared" si="37"/>
        <v>1888.2360246021181</v>
      </c>
      <c r="I564">
        <f t="shared" si="39"/>
        <v>233455.33855530535</v>
      </c>
    </row>
    <row r="565" spans="2:9" x14ac:dyDescent="0.3">
      <c r="B565">
        <v>563</v>
      </c>
      <c r="C565" s="1">
        <v>60937</v>
      </c>
      <c r="D565" s="1" t="str">
        <f t="shared" si="36"/>
        <v>XI</v>
      </c>
      <c r="E565">
        <f t="shared" si="38"/>
        <v>233455.33855530535</v>
      </c>
      <c r="F565">
        <v>0</v>
      </c>
      <c r="G565">
        <v>-15000</v>
      </c>
      <c r="H565" s="4">
        <f t="shared" si="37"/>
        <v>2884.5728774860568</v>
      </c>
      <c r="I565">
        <f t="shared" si="39"/>
        <v>221339.91143279141</v>
      </c>
    </row>
    <row r="566" spans="2:9" x14ac:dyDescent="0.3">
      <c r="B566">
        <v>564</v>
      </c>
      <c r="C566" s="1">
        <v>60967</v>
      </c>
      <c r="D566" s="1" t="str">
        <f t="shared" si="36"/>
        <v>XII</v>
      </c>
      <c r="E566">
        <f t="shared" si="38"/>
        <v>221339.91143279141</v>
      </c>
      <c r="F566">
        <v>0</v>
      </c>
      <c r="G566">
        <v>-15000</v>
      </c>
      <c r="H566" s="4">
        <f t="shared" si="37"/>
        <v>3083.9367173644455</v>
      </c>
      <c r="I566">
        <f t="shared" si="39"/>
        <v>209423.84815015586</v>
      </c>
    </row>
    <row r="567" spans="2:9" x14ac:dyDescent="0.3">
      <c r="B567">
        <v>565</v>
      </c>
      <c r="C567" s="1">
        <v>60998</v>
      </c>
      <c r="D567" s="1" t="str">
        <f t="shared" si="36"/>
        <v>I</v>
      </c>
      <c r="E567">
        <f t="shared" si="38"/>
        <v>209423.84815015586</v>
      </c>
      <c r="F567">
        <v>0</v>
      </c>
      <c r="G567">
        <v>-15000</v>
      </c>
      <c r="H567" s="4">
        <f t="shared" si="37"/>
        <v>2484.1787266973547</v>
      </c>
      <c r="I567">
        <f t="shared" si="39"/>
        <v>196908.0268768532</v>
      </c>
    </row>
    <row r="568" spans="2:9" x14ac:dyDescent="0.3">
      <c r="B568">
        <v>566</v>
      </c>
      <c r="C568" s="1">
        <v>61029</v>
      </c>
      <c r="D568" s="1" t="str">
        <f t="shared" si="36"/>
        <v>II</v>
      </c>
      <c r="E568">
        <f t="shared" si="38"/>
        <v>196908.0268768532</v>
      </c>
      <c r="F568">
        <v>0</v>
      </c>
      <c r="G568">
        <v>-15000</v>
      </c>
      <c r="H568" s="4">
        <f t="shared" si="37"/>
        <v>126.88859067422527</v>
      </c>
      <c r="I568">
        <f t="shared" si="39"/>
        <v>182034.91546752743</v>
      </c>
    </row>
    <row r="569" spans="2:9" x14ac:dyDescent="0.3">
      <c r="B569">
        <v>567</v>
      </c>
      <c r="C569" s="1">
        <v>61057</v>
      </c>
      <c r="D569" s="1" t="str">
        <f t="shared" si="36"/>
        <v>III</v>
      </c>
      <c r="E569">
        <f t="shared" si="38"/>
        <v>182034.91546752743</v>
      </c>
      <c r="F569">
        <v>0</v>
      </c>
      <c r="G569">
        <v>-15000</v>
      </c>
      <c r="H569" s="4">
        <f t="shared" si="37"/>
        <v>1465.2519306106431</v>
      </c>
      <c r="I569">
        <f t="shared" si="39"/>
        <v>168500.16739813809</v>
      </c>
    </row>
    <row r="570" spans="2:9" x14ac:dyDescent="0.3">
      <c r="B570">
        <v>568</v>
      </c>
      <c r="C570" s="1">
        <v>61088</v>
      </c>
      <c r="D570" s="1" t="str">
        <f t="shared" si="36"/>
        <v>IV</v>
      </c>
      <c r="E570">
        <f t="shared" si="38"/>
        <v>168500.16739813809</v>
      </c>
      <c r="F570">
        <v>0</v>
      </c>
      <c r="G570">
        <v>-15000</v>
      </c>
      <c r="H570" s="4">
        <f t="shared" si="37"/>
        <v>2643.3013080467981</v>
      </c>
      <c r="I570">
        <f t="shared" si="39"/>
        <v>156143.46870618488</v>
      </c>
    </row>
    <row r="571" spans="2:9" x14ac:dyDescent="0.3">
      <c r="B571">
        <v>569</v>
      </c>
      <c r="C571" s="1">
        <v>61118</v>
      </c>
      <c r="D571" s="1" t="str">
        <f t="shared" si="36"/>
        <v>V</v>
      </c>
      <c r="E571">
        <f t="shared" si="38"/>
        <v>156143.46870618488</v>
      </c>
      <c r="F571">
        <v>0</v>
      </c>
      <c r="G571">
        <v>-15000</v>
      </c>
      <c r="H571" s="4">
        <f t="shared" si="37"/>
        <v>804.99684390141817</v>
      </c>
      <c r="I571">
        <f t="shared" si="39"/>
        <v>141948.46555008629</v>
      </c>
    </row>
    <row r="572" spans="2:9" x14ac:dyDescent="0.3">
      <c r="B572">
        <v>570</v>
      </c>
      <c r="C572" s="1">
        <v>61149</v>
      </c>
      <c r="D572" s="1" t="str">
        <f t="shared" si="36"/>
        <v>VI</v>
      </c>
      <c r="E572">
        <f t="shared" si="38"/>
        <v>141948.46555008629</v>
      </c>
      <c r="F572">
        <v>0</v>
      </c>
      <c r="G572">
        <v>-15000</v>
      </c>
      <c r="H572" s="4">
        <f t="shared" si="37"/>
        <v>548.4118067527138</v>
      </c>
      <c r="I572">
        <f t="shared" si="39"/>
        <v>127496.877356839</v>
      </c>
    </row>
    <row r="573" spans="2:9" x14ac:dyDescent="0.3">
      <c r="B573">
        <v>571</v>
      </c>
      <c r="C573" s="1">
        <v>61179</v>
      </c>
      <c r="D573" s="1" t="str">
        <f t="shared" si="36"/>
        <v>VII</v>
      </c>
      <c r="E573">
        <f t="shared" si="38"/>
        <v>127496.877356839</v>
      </c>
      <c r="F573">
        <v>0</v>
      </c>
      <c r="G573">
        <v>-15000</v>
      </c>
      <c r="H573" s="4">
        <f t="shared" si="37"/>
        <v>680.52424476464205</v>
      </c>
      <c r="I573">
        <f t="shared" si="39"/>
        <v>113177.40160160365</v>
      </c>
    </row>
    <row r="574" spans="2:9" x14ac:dyDescent="0.3">
      <c r="B574">
        <v>572</v>
      </c>
      <c r="C574" s="1">
        <v>61210</v>
      </c>
      <c r="D574" s="1" t="str">
        <f t="shared" si="36"/>
        <v>VIII</v>
      </c>
      <c r="E574">
        <f t="shared" si="38"/>
        <v>113177.40160160365</v>
      </c>
      <c r="F574">
        <v>0</v>
      </c>
      <c r="G574">
        <v>-15000</v>
      </c>
      <c r="H574" s="4">
        <f t="shared" si="37"/>
        <v>22.954876331585833</v>
      </c>
      <c r="I574">
        <f t="shared" si="39"/>
        <v>98200.356477935231</v>
      </c>
    </row>
    <row r="575" spans="2:9" x14ac:dyDescent="0.3">
      <c r="B575">
        <v>573</v>
      </c>
      <c r="C575" s="1">
        <v>61241</v>
      </c>
      <c r="D575" s="1" t="str">
        <f t="shared" si="36"/>
        <v>IX</v>
      </c>
      <c r="E575">
        <f t="shared" si="38"/>
        <v>98200.356477935231</v>
      </c>
      <c r="F575">
        <v>0</v>
      </c>
      <c r="G575">
        <v>-15000</v>
      </c>
      <c r="H575" s="4">
        <f t="shared" si="37"/>
        <v>-481.26986904718393</v>
      </c>
      <c r="I575">
        <f t="shared" si="39"/>
        <v>82719.086608888043</v>
      </c>
    </row>
    <row r="576" spans="2:9" x14ac:dyDescent="0.3">
      <c r="B576">
        <v>574</v>
      </c>
      <c r="C576" s="1">
        <v>61271</v>
      </c>
      <c r="D576" s="1" t="str">
        <f t="shared" si="36"/>
        <v>X</v>
      </c>
      <c r="E576">
        <f t="shared" si="38"/>
        <v>82719.086608888043</v>
      </c>
      <c r="F576">
        <v>0</v>
      </c>
      <c r="G576">
        <v>-15000</v>
      </c>
      <c r="H576" s="4">
        <f t="shared" si="37"/>
        <v>552.19250701251565</v>
      </c>
      <c r="I576">
        <f t="shared" si="39"/>
        <v>68271.279115900557</v>
      </c>
    </row>
    <row r="577" spans="2:9" x14ac:dyDescent="0.3">
      <c r="B577">
        <v>575</v>
      </c>
      <c r="C577" s="1">
        <v>61302</v>
      </c>
      <c r="D577" s="1" t="str">
        <f t="shared" si="36"/>
        <v>XI</v>
      </c>
      <c r="E577">
        <f t="shared" si="38"/>
        <v>68271.279115900557</v>
      </c>
      <c r="F577">
        <v>0</v>
      </c>
      <c r="G577">
        <v>-15000</v>
      </c>
      <c r="H577" s="4">
        <f t="shared" si="37"/>
        <v>703.41557181864664</v>
      </c>
      <c r="I577">
        <f t="shared" si="39"/>
        <v>53974.694687719202</v>
      </c>
    </row>
    <row r="578" spans="2:9" x14ac:dyDescent="0.3">
      <c r="B578">
        <v>576</v>
      </c>
      <c r="C578" s="1">
        <v>61332</v>
      </c>
      <c r="D578" s="1" t="str">
        <f t="shared" si="36"/>
        <v>XII</v>
      </c>
      <c r="E578">
        <f t="shared" si="38"/>
        <v>53974.694687719202</v>
      </c>
      <c r="F578">
        <v>0</v>
      </c>
      <c r="G578">
        <v>-15000</v>
      </c>
      <c r="H578" s="4">
        <f t="shared" si="37"/>
        <v>582.51208484537938</v>
      </c>
      <c r="I578">
        <f t="shared" si="39"/>
        <v>39557.206772564583</v>
      </c>
    </row>
    <row r="579" spans="2:9" x14ac:dyDescent="0.3">
      <c r="B579">
        <v>577</v>
      </c>
      <c r="C579" s="1">
        <v>61363</v>
      </c>
      <c r="D579" s="1" t="str">
        <f t="shared" si="36"/>
        <v>I</v>
      </c>
      <c r="E579">
        <f t="shared" si="38"/>
        <v>39557.206772564583</v>
      </c>
      <c r="F579">
        <v>0</v>
      </c>
      <c r="G579">
        <v>-15000</v>
      </c>
      <c r="H579" s="4">
        <f t="shared" si="37"/>
        <v>313.77061626924825</v>
      </c>
      <c r="I579">
        <f t="shared" si="39"/>
        <v>24870.977388833831</v>
      </c>
    </row>
    <row r="580" spans="2:9" x14ac:dyDescent="0.3">
      <c r="B580">
        <v>578</v>
      </c>
      <c r="C580" s="1">
        <v>61394</v>
      </c>
      <c r="D580" s="1" t="str">
        <f t="shared" ref="D580:D643" si="40">TEXT(C580,"mmm")</f>
        <v>II</v>
      </c>
      <c r="E580">
        <f t="shared" si="38"/>
        <v>24870.977388833831</v>
      </c>
      <c r="F580">
        <v>0</v>
      </c>
      <c r="G580">
        <v>-15000</v>
      </c>
      <c r="H580" s="4">
        <f t="shared" si="37"/>
        <v>6.8854268332765072</v>
      </c>
      <c r="I580">
        <f t="shared" si="39"/>
        <v>9877.8628156671075</v>
      </c>
    </row>
    <row r="581" spans="2:9" x14ac:dyDescent="0.3">
      <c r="B581">
        <v>579</v>
      </c>
      <c r="C581" s="1">
        <v>61423</v>
      </c>
      <c r="D581" s="1" t="str">
        <f t="shared" si="40"/>
        <v>III</v>
      </c>
      <c r="E581">
        <f t="shared" si="38"/>
        <v>9877.8628156671075</v>
      </c>
      <c r="F581">
        <v>0</v>
      </c>
      <c r="G581">
        <v>-15000</v>
      </c>
      <c r="H581" s="4">
        <f t="shared" ref="H581:H644" si="41">SUM(E581:G581)*VLOOKUP(D581,$U$4:$V$15,2,FALSE)</f>
        <v>-44.932051345009917</v>
      </c>
      <c r="I581">
        <f t="shared" si="39"/>
        <v>-5167.0692356779027</v>
      </c>
    </row>
    <row r="582" spans="2:9" x14ac:dyDescent="0.3">
      <c r="B582">
        <v>580</v>
      </c>
      <c r="C582" s="1">
        <v>61454</v>
      </c>
      <c r="D582" s="1" t="str">
        <f t="shared" si="40"/>
        <v>IV</v>
      </c>
      <c r="E582">
        <f t="shared" si="38"/>
        <v>-5167.0692356779027</v>
      </c>
      <c r="F582">
        <v>0</v>
      </c>
      <c r="G582">
        <v>-15000</v>
      </c>
      <c r="H582" s="4">
        <f t="shared" si="41"/>
        <v>-347.280666814337</v>
      </c>
      <c r="I582">
        <f t="shared" si="39"/>
        <v>-20514.349902492242</v>
      </c>
    </row>
    <row r="583" spans="2:9" x14ac:dyDescent="0.3">
      <c r="B583">
        <v>581</v>
      </c>
      <c r="C583" s="1">
        <v>61484</v>
      </c>
      <c r="D583" s="1" t="str">
        <f t="shared" si="40"/>
        <v>V</v>
      </c>
      <c r="E583">
        <f t="shared" si="38"/>
        <v>-20514.349902492242</v>
      </c>
      <c r="F583">
        <v>0</v>
      </c>
      <c r="G583">
        <v>-15000</v>
      </c>
      <c r="H583" s="4">
        <f t="shared" si="41"/>
        <v>-202.55233803435732</v>
      </c>
      <c r="I583">
        <f t="shared" si="39"/>
        <v>-35716.902240526601</v>
      </c>
    </row>
    <row r="584" spans="2:9" x14ac:dyDescent="0.3">
      <c r="B584">
        <v>582</v>
      </c>
      <c r="C584" s="1">
        <v>61515</v>
      </c>
      <c r="D584" s="1" t="str">
        <f t="shared" si="40"/>
        <v>VI</v>
      </c>
      <c r="E584">
        <f t="shared" si="38"/>
        <v>-35716.902240526601</v>
      </c>
      <c r="F584">
        <v>0</v>
      </c>
      <c r="G584">
        <v>-15000</v>
      </c>
      <c r="H584" s="4">
        <f t="shared" si="41"/>
        <v>-219.0947946484182</v>
      </c>
      <c r="I584">
        <f t="shared" si="39"/>
        <v>-50935.997035175016</v>
      </c>
    </row>
    <row r="585" spans="2:9" x14ac:dyDescent="0.3">
      <c r="B585">
        <v>583</v>
      </c>
      <c r="C585" s="1">
        <v>61545</v>
      </c>
      <c r="D585" s="1" t="str">
        <f t="shared" si="40"/>
        <v>VII</v>
      </c>
      <c r="E585">
        <f t="shared" si="38"/>
        <v>-50935.997035175016</v>
      </c>
      <c r="F585">
        <v>0</v>
      </c>
      <c r="G585">
        <v>-15000</v>
      </c>
      <c r="H585" s="4">
        <f t="shared" si="41"/>
        <v>-398.86480086763328</v>
      </c>
      <c r="I585">
        <f t="shared" si="39"/>
        <v>-66334.861836042648</v>
      </c>
    </row>
    <row r="586" spans="2:9" x14ac:dyDescent="0.3">
      <c r="B586">
        <v>584</v>
      </c>
      <c r="C586" s="1">
        <v>61576</v>
      </c>
      <c r="D586" s="1" t="str">
        <f t="shared" si="40"/>
        <v>VIII</v>
      </c>
      <c r="E586">
        <f t="shared" si="38"/>
        <v>-66334.861836042648</v>
      </c>
      <c r="F586">
        <v>0</v>
      </c>
      <c r="G586">
        <v>-15000</v>
      </c>
      <c r="H586" s="4">
        <f t="shared" si="41"/>
        <v>-19.016919010234663</v>
      </c>
      <c r="I586">
        <f t="shared" si="39"/>
        <v>-81353.87875505288</v>
      </c>
    </row>
    <row r="587" spans="2:9" x14ac:dyDescent="0.3">
      <c r="B587">
        <v>585</v>
      </c>
      <c r="C587" s="1">
        <v>61607</v>
      </c>
      <c r="D587" s="1" t="str">
        <f t="shared" si="40"/>
        <v>IX</v>
      </c>
      <c r="E587">
        <f t="shared" si="38"/>
        <v>-81353.87875505288</v>
      </c>
      <c r="F587">
        <v>0</v>
      </c>
      <c r="G587">
        <v>-15000</v>
      </c>
      <c r="H587" s="4">
        <f t="shared" si="41"/>
        <v>557.35600872011253</v>
      </c>
      <c r="I587">
        <f t="shared" si="39"/>
        <v>-95796.522746332761</v>
      </c>
    </row>
    <row r="588" spans="2:9" x14ac:dyDescent="0.3">
      <c r="B588">
        <v>586</v>
      </c>
      <c r="C588" s="1">
        <v>61637</v>
      </c>
      <c r="D588" s="1" t="str">
        <f t="shared" si="40"/>
        <v>X</v>
      </c>
      <c r="E588">
        <f t="shared" si="38"/>
        <v>-95796.522746332761</v>
      </c>
      <c r="F588">
        <v>0</v>
      </c>
      <c r="G588">
        <v>-15000</v>
      </c>
      <c r="H588" s="4">
        <f t="shared" si="41"/>
        <v>-903.45296617655174</v>
      </c>
      <c r="I588">
        <f t="shared" si="39"/>
        <v>-111699.97571250932</v>
      </c>
    </row>
    <row r="589" spans="2:9" x14ac:dyDescent="0.3">
      <c r="B589">
        <v>587</v>
      </c>
      <c r="C589" s="1">
        <v>61668</v>
      </c>
      <c r="D589" s="1" t="str">
        <f t="shared" si="40"/>
        <v>XI</v>
      </c>
      <c r="E589">
        <f t="shared" si="38"/>
        <v>-111699.97571250932</v>
      </c>
      <c r="F589">
        <v>0</v>
      </c>
      <c r="G589">
        <v>-15000</v>
      </c>
      <c r="H589" s="4">
        <f t="shared" si="41"/>
        <v>-1672.9978582140293</v>
      </c>
      <c r="I589">
        <f t="shared" si="39"/>
        <v>-128372.97357072335</v>
      </c>
    </row>
    <row r="590" spans="2:9" x14ac:dyDescent="0.3">
      <c r="B590">
        <v>588</v>
      </c>
      <c r="C590" s="1">
        <v>61698</v>
      </c>
      <c r="D590" s="1" t="str">
        <f t="shared" si="40"/>
        <v>XII</v>
      </c>
      <c r="E590">
        <f t="shared" si="38"/>
        <v>-128372.97357072335</v>
      </c>
      <c r="F590">
        <v>0</v>
      </c>
      <c r="G590">
        <v>-15000</v>
      </c>
      <c r="H590" s="4">
        <f t="shared" si="41"/>
        <v>-2142.8388449051608</v>
      </c>
      <c r="I590">
        <f t="shared" si="39"/>
        <v>-145515.81241562852</v>
      </c>
    </row>
    <row r="591" spans="2:9" x14ac:dyDescent="0.3">
      <c r="B591">
        <v>589</v>
      </c>
      <c r="C591" s="1">
        <v>61729</v>
      </c>
      <c r="D591" s="1" t="str">
        <f t="shared" si="40"/>
        <v>I</v>
      </c>
      <c r="E591">
        <f t="shared" si="38"/>
        <v>-145515.81241562852</v>
      </c>
      <c r="F591">
        <v>0</v>
      </c>
      <c r="G591">
        <v>-15000</v>
      </c>
      <c r="H591" s="4">
        <f t="shared" si="41"/>
        <v>-2050.9313558771255</v>
      </c>
      <c r="I591">
        <f t="shared" si="39"/>
        <v>-162566.74377150566</v>
      </c>
    </row>
    <row r="592" spans="2:9" x14ac:dyDescent="0.3">
      <c r="B592">
        <v>590</v>
      </c>
      <c r="C592" s="1">
        <v>61760</v>
      </c>
      <c r="D592" s="1" t="str">
        <f t="shared" si="40"/>
        <v>II</v>
      </c>
      <c r="E592">
        <f t="shared" si="38"/>
        <v>-162566.74377150566</v>
      </c>
      <c r="F592">
        <v>0</v>
      </c>
      <c r="G592">
        <v>-15000</v>
      </c>
      <c r="H592" s="4">
        <f t="shared" si="41"/>
        <v>-123.86036094509798</v>
      </c>
      <c r="I592">
        <f t="shared" si="39"/>
        <v>-177690.60413245077</v>
      </c>
    </row>
    <row r="593" spans="2:9" x14ac:dyDescent="0.3">
      <c r="B593">
        <v>591</v>
      </c>
      <c r="C593" s="1">
        <v>61788</v>
      </c>
      <c r="D593" s="1" t="str">
        <f t="shared" si="40"/>
        <v>III</v>
      </c>
      <c r="E593">
        <f t="shared" si="38"/>
        <v>-177690.60413245077</v>
      </c>
      <c r="F593">
        <v>0</v>
      </c>
      <c r="G593">
        <v>-15000</v>
      </c>
      <c r="H593" s="4">
        <f t="shared" si="41"/>
        <v>-1690.3069572331017</v>
      </c>
      <c r="I593">
        <f t="shared" si="39"/>
        <v>-194380.91108968388</v>
      </c>
    </row>
    <row r="594" spans="2:9" x14ac:dyDescent="0.3">
      <c r="B594">
        <v>592</v>
      </c>
      <c r="C594" s="1">
        <v>61819</v>
      </c>
      <c r="D594" s="1" t="str">
        <f t="shared" si="40"/>
        <v>IV</v>
      </c>
      <c r="E594">
        <f t="shared" si="38"/>
        <v>-194380.91108968388</v>
      </c>
      <c r="F594">
        <v>0</v>
      </c>
      <c r="G594">
        <v>-15000</v>
      </c>
      <c r="H594" s="4">
        <f t="shared" si="41"/>
        <v>-3605.5780625168559</v>
      </c>
      <c r="I594">
        <f t="shared" si="39"/>
        <v>-212986.48915220075</v>
      </c>
    </row>
    <row r="595" spans="2:9" x14ac:dyDescent="0.3">
      <c r="B595">
        <v>593</v>
      </c>
      <c r="C595" s="1">
        <v>61849</v>
      </c>
      <c r="D595" s="1" t="str">
        <f t="shared" si="40"/>
        <v>V</v>
      </c>
      <c r="E595">
        <f t="shared" si="38"/>
        <v>-212986.48915220075</v>
      </c>
      <c r="F595">
        <v>0</v>
      </c>
      <c r="G595">
        <v>-15000</v>
      </c>
      <c r="H595" s="4">
        <f t="shared" si="41"/>
        <v>-1300.2968249401138</v>
      </c>
      <c r="I595">
        <f t="shared" si="39"/>
        <v>-229286.78597714085</v>
      </c>
    </row>
    <row r="596" spans="2:9" x14ac:dyDescent="0.3">
      <c r="B596">
        <v>594</v>
      </c>
      <c r="C596" s="1">
        <v>61880</v>
      </c>
      <c r="D596" s="1" t="str">
        <f t="shared" si="40"/>
        <v>VI</v>
      </c>
      <c r="E596">
        <f t="shared" si="38"/>
        <v>-229286.78597714085</v>
      </c>
      <c r="F596">
        <v>0</v>
      </c>
      <c r="G596">
        <v>-15000</v>
      </c>
      <c r="H596" s="4">
        <f t="shared" si="41"/>
        <v>-1055.3082078072132</v>
      </c>
      <c r="I596">
        <f t="shared" si="39"/>
        <v>-245342.09418494807</v>
      </c>
    </row>
    <row r="597" spans="2:9" x14ac:dyDescent="0.3">
      <c r="B597">
        <v>595</v>
      </c>
      <c r="C597" s="1">
        <v>61910</v>
      </c>
      <c r="D597" s="1" t="str">
        <f t="shared" si="40"/>
        <v>VII</v>
      </c>
      <c r="E597">
        <f t="shared" si="38"/>
        <v>-245342.09418494807</v>
      </c>
      <c r="F597">
        <v>0</v>
      </c>
      <c r="G597">
        <v>-15000</v>
      </c>
      <c r="H597" s="4">
        <f t="shared" si="41"/>
        <v>-1574.8802205742868</v>
      </c>
      <c r="I597">
        <f t="shared" si="39"/>
        <v>-261916.97440552237</v>
      </c>
    </row>
    <row r="598" spans="2:9" x14ac:dyDescent="0.3">
      <c r="B598">
        <v>596</v>
      </c>
      <c r="C598" s="1">
        <v>61941</v>
      </c>
      <c r="D598" s="1" t="str">
        <f t="shared" si="40"/>
        <v>VIII</v>
      </c>
      <c r="E598">
        <f t="shared" si="38"/>
        <v>-261916.97440552237</v>
      </c>
      <c r="F598">
        <v>0</v>
      </c>
      <c r="G598">
        <v>-15000</v>
      </c>
      <c r="H598" s="4">
        <f t="shared" si="41"/>
        <v>-64.746008734171426</v>
      </c>
      <c r="I598">
        <f t="shared" si="39"/>
        <v>-276981.7204142565</v>
      </c>
    </row>
    <row r="599" spans="2:9" x14ac:dyDescent="0.3">
      <c r="B599">
        <v>597</v>
      </c>
      <c r="C599" s="1">
        <v>61972</v>
      </c>
      <c r="D599" s="1" t="str">
        <f t="shared" si="40"/>
        <v>IX</v>
      </c>
      <c r="E599">
        <f t="shared" si="38"/>
        <v>-276981.7204142565</v>
      </c>
      <c r="F599">
        <v>0</v>
      </c>
      <c r="G599">
        <v>-15000</v>
      </c>
      <c r="H599" s="4">
        <f t="shared" si="41"/>
        <v>1688.9591619142543</v>
      </c>
      <c r="I599">
        <f t="shared" si="39"/>
        <v>-290292.76125234226</v>
      </c>
    </row>
    <row r="600" spans="2:9" x14ac:dyDescent="0.3">
      <c r="B600">
        <v>598</v>
      </c>
      <c r="C600" s="1">
        <v>62002</v>
      </c>
      <c r="D600" s="1" t="str">
        <f t="shared" si="40"/>
        <v>X</v>
      </c>
      <c r="E600">
        <f t="shared" si="38"/>
        <v>-290292.76125234226</v>
      </c>
      <c r="F600">
        <v>0</v>
      </c>
      <c r="G600">
        <v>-15000</v>
      </c>
      <c r="H600" s="4">
        <f t="shared" si="41"/>
        <v>-2489.4071029389565</v>
      </c>
      <c r="I600">
        <f t="shared" si="39"/>
        <v>-307782.16835528123</v>
      </c>
    </row>
    <row r="601" spans="2:9" x14ac:dyDescent="0.3">
      <c r="B601">
        <v>599</v>
      </c>
      <c r="C601" s="1">
        <v>62033</v>
      </c>
      <c r="D601" s="1" t="str">
        <f t="shared" si="40"/>
        <v>XI</v>
      </c>
      <c r="E601">
        <f t="shared" si="38"/>
        <v>-307782.16835528123</v>
      </c>
      <c r="F601">
        <v>0</v>
      </c>
      <c r="G601">
        <v>-15000</v>
      </c>
      <c r="H601" s="4">
        <f t="shared" si="41"/>
        <v>-4262.1466443955214</v>
      </c>
      <c r="I601">
        <f t="shared" si="39"/>
        <v>-327044.31499967678</v>
      </c>
    </row>
    <row r="602" spans="2:9" x14ac:dyDescent="0.3">
      <c r="B602">
        <v>600</v>
      </c>
      <c r="C602" s="1">
        <v>62063</v>
      </c>
      <c r="D602" s="1" t="str">
        <f t="shared" si="40"/>
        <v>XII</v>
      </c>
      <c r="E602">
        <f t="shared" si="38"/>
        <v>-327044.31499967678</v>
      </c>
      <c r="F602">
        <v>0</v>
      </c>
      <c r="G602">
        <v>-15000</v>
      </c>
      <c r="H602" s="4">
        <f t="shared" si="41"/>
        <v>-5112.1618433807207</v>
      </c>
      <c r="I602">
        <f t="shared" si="39"/>
        <v>-347156.47684305749</v>
      </c>
    </row>
    <row r="603" spans="2:9" x14ac:dyDescent="0.3">
      <c r="B603">
        <v>601</v>
      </c>
      <c r="C603" s="1">
        <v>62094</v>
      </c>
      <c r="D603" s="1" t="str">
        <f t="shared" si="40"/>
        <v>I</v>
      </c>
      <c r="E603">
        <f t="shared" si="38"/>
        <v>-347156.47684305749</v>
      </c>
      <c r="F603">
        <v>0</v>
      </c>
      <c r="G603">
        <v>-15000</v>
      </c>
      <c r="H603" s="4">
        <f t="shared" si="41"/>
        <v>-4627.3202802485803</v>
      </c>
      <c r="I603">
        <f t="shared" si="39"/>
        <v>-366783.79712330608</v>
      </c>
    </row>
    <row r="604" spans="2:9" x14ac:dyDescent="0.3">
      <c r="B604">
        <v>602</v>
      </c>
      <c r="C604" s="1">
        <v>62125</v>
      </c>
      <c r="D604" s="1" t="str">
        <f t="shared" si="40"/>
        <v>II</v>
      </c>
      <c r="E604">
        <f t="shared" si="38"/>
        <v>-366783.79712330608</v>
      </c>
      <c r="F604">
        <v>0</v>
      </c>
      <c r="G604">
        <v>-15000</v>
      </c>
      <c r="H604" s="4">
        <f t="shared" si="41"/>
        <v>-266.31044704819942</v>
      </c>
      <c r="I604">
        <f t="shared" si="39"/>
        <v>-382050.1075703543</v>
      </c>
    </row>
    <row r="605" spans="2:9" x14ac:dyDescent="0.3">
      <c r="B605">
        <v>603</v>
      </c>
      <c r="C605" s="1">
        <v>62153</v>
      </c>
      <c r="D605" s="1" t="str">
        <f t="shared" si="40"/>
        <v>III</v>
      </c>
      <c r="E605">
        <f t="shared" si="38"/>
        <v>-382050.1075703543</v>
      </c>
      <c r="F605">
        <v>0</v>
      </c>
      <c r="G605">
        <v>-15000</v>
      </c>
      <c r="H605" s="4">
        <f t="shared" si="41"/>
        <v>-3482.9750117706753</v>
      </c>
      <c r="I605">
        <f t="shared" si="39"/>
        <v>-400533.08258212497</v>
      </c>
    </row>
    <row r="606" spans="2:9" x14ac:dyDescent="0.3">
      <c r="B606">
        <v>604</v>
      </c>
      <c r="C606" s="1">
        <v>62184</v>
      </c>
      <c r="D606" s="1" t="str">
        <f t="shared" si="40"/>
        <v>IV</v>
      </c>
      <c r="E606">
        <f t="shared" si="38"/>
        <v>-400533.08258212497</v>
      </c>
      <c r="F606">
        <v>0</v>
      </c>
      <c r="G606">
        <v>-15000</v>
      </c>
      <c r="H606" s="4">
        <f t="shared" si="41"/>
        <v>-7155.5566312650953</v>
      </c>
      <c r="I606">
        <f t="shared" si="39"/>
        <v>-422688.63921339007</v>
      </c>
    </row>
    <row r="607" spans="2:9" x14ac:dyDescent="0.3">
      <c r="B607">
        <v>605</v>
      </c>
      <c r="C607" s="1">
        <v>62214</v>
      </c>
      <c r="D607" s="1" t="str">
        <f t="shared" si="40"/>
        <v>V</v>
      </c>
      <c r="E607">
        <f t="shared" si="38"/>
        <v>-422688.63921339007</v>
      </c>
      <c r="F607">
        <v>0</v>
      </c>
      <c r="G607">
        <v>-15000</v>
      </c>
      <c r="H607" s="4">
        <f t="shared" si="41"/>
        <v>-2496.3108559542302</v>
      </c>
      <c r="I607">
        <f t="shared" si="39"/>
        <v>-440184.95006934431</v>
      </c>
    </row>
    <row r="608" spans="2:9" x14ac:dyDescent="0.3">
      <c r="B608">
        <v>606</v>
      </c>
      <c r="C608" s="1">
        <v>62245</v>
      </c>
      <c r="D608" s="1" t="str">
        <f t="shared" si="40"/>
        <v>VI</v>
      </c>
      <c r="E608">
        <f t="shared" si="38"/>
        <v>-440184.95006934431</v>
      </c>
      <c r="F608">
        <v>0</v>
      </c>
      <c r="G608">
        <v>-15000</v>
      </c>
      <c r="H608" s="4">
        <f t="shared" si="41"/>
        <v>-1966.3790325664415</v>
      </c>
      <c r="I608">
        <f t="shared" si="39"/>
        <v>-457151.32910191076</v>
      </c>
    </row>
    <row r="609" spans="2:9" x14ac:dyDescent="0.3">
      <c r="B609">
        <v>607</v>
      </c>
      <c r="C609" s="1">
        <v>62275</v>
      </c>
      <c r="D609" s="1" t="str">
        <f t="shared" si="40"/>
        <v>VII</v>
      </c>
      <c r="E609">
        <f t="shared" si="38"/>
        <v>-457151.32910191076</v>
      </c>
      <c r="F609">
        <v>0</v>
      </c>
      <c r="G609">
        <v>-15000</v>
      </c>
      <c r="H609" s="4">
        <f t="shared" si="41"/>
        <v>-2856.1719596225435</v>
      </c>
      <c r="I609">
        <f t="shared" si="39"/>
        <v>-475007.50106153329</v>
      </c>
    </row>
    <row r="610" spans="2:9" x14ac:dyDescent="0.3">
      <c r="B610">
        <v>608</v>
      </c>
      <c r="C610" s="1">
        <v>62306</v>
      </c>
      <c r="D610" s="1" t="str">
        <f t="shared" si="40"/>
        <v>VIII</v>
      </c>
      <c r="E610">
        <f t="shared" si="38"/>
        <v>-475007.50106153329</v>
      </c>
      <c r="F610">
        <v>0</v>
      </c>
      <c r="G610">
        <v>-15000</v>
      </c>
      <c r="H610" s="4">
        <f t="shared" si="41"/>
        <v>-114.56874397695593</v>
      </c>
      <c r="I610">
        <f t="shared" si="39"/>
        <v>-490122.06980551023</v>
      </c>
    </row>
    <row r="611" spans="2:9" x14ac:dyDescent="0.3">
      <c r="B611">
        <v>609</v>
      </c>
      <c r="C611" s="1">
        <v>62337</v>
      </c>
      <c r="D611" s="1" t="str">
        <f t="shared" si="40"/>
        <v>IX</v>
      </c>
      <c r="E611">
        <f t="shared" si="38"/>
        <v>-490122.06980551023</v>
      </c>
      <c r="F611">
        <v>0</v>
      </c>
      <c r="G611">
        <v>-15000</v>
      </c>
      <c r="H611" s="4">
        <f t="shared" si="41"/>
        <v>2921.8628702944393</v>
      </c>
      <c r="I611">
        <f t="shared" si="39"/>
        <v>-502200.2069352158</v>
      </c>
    </row>
    <row r="612" spans="2:9" x14ac:dyDescent="0.3">
      <c r="B612">
        <v>610</v>
      </c>
      <c r="C612" s="1">
        <v>62367</v>
      </c>
      <c r="D612" s="1" t="str">
        <f t="shared" si="40"/>
        <v>X</v>
      </c>
      <c r="E612">
        <f t="shared" si="38"/>
        <v>-502200.2069352158</v>
      </c>
      <c r="F612">
        <v>0</v>
      </c>
      <c r="G612">
        <v>-15000</v>
      </c>
      <c r="H612" s="4">
        <f t="shared" si="41"/>
        <v>-4217.3350704565592</v>
      </c>
      <c r="I612">
        <f t="shared" si="39"/>
        <v>-521417.54200567235</v>
      </c>
    </row>
    <row r="613" spans="2:9" x14ac:dyDescent="0.3">
      <c r="B613">
        <v>611</v>
      </c>
      <c r="C613" s="1">
        <v>62398</v>
      </c>
      <c r="D613" s="1" t="str">
        <f t="shared" si="40"/>
        <v>XI</v>
      </c>
      <c r="E613">
        <f t="shared" si="38"/>
        <v>-521417.54200567235</v>
      </c>
      <c r="F613">
        <v>0</v>
      </c>
      <c r="G613">
        <v>-15000</v>
      </c>
      <c r="H613" s="4">
        <f t="shared" si="41"/>
        <v>-7083.0747507027299</v>
      </c>
      <c r="I613">
        <f t="shared" si="39"/>
        <v>-543500.61675637506</v>
      </c>
    </row>
    <row r="614" spans="2:9" x14ac:dyDescent="0.3">
      <c r="B614">
        <v>612</v>
      </c>
      <c r="C614" s="1">
        <v>62428</v>
      </c>
      <c r="D614" s="1" t="str">
        <f t="shared" si="40"/>
        <v>XII</v>
      </c>
      <c r="E614">
        <f t="shared" si="38"/>
        <v>-543500.61675637506</v>
      </c>
      <c r="F614">
        <v>0</v>
      </c>
      <c r="G614">
        <v>-15000</v>
      </c>
      <c r="H614" s="4">
        <f t="shared" si="41"/>
        <v>-8347.2971696349869</v>
      </c>
      <c r="I614">
        <f t="shared" si="39"/>
        <v>-566847.91392601002</v>
      </c>
    </row>
    <row r="615" spans="2:9" x14ac:dyDescent="0.3">
      <c r="B615">
        <v>613</v>
      </c>
      <c r="C615" s="1">
        <v>62459</v>
      </c>
      <c r="D615" s="1" t="str">
        <f t="shared" si="40"/>
        <v>I</v>
      </c>
      <c r="E615">
        <f t="shared" si="38"/>
        <v>-566847.91392601002</v>
      </c>
      <c r="F615">
        <v>0</v>
      </c>
      <c r="G615">
        <v>-15000</v>
      </c>
      <c r="H615" s="4">
        <f t="shared" si="41"/>
        <v>-7434.3462682207428</v>
      </c>
      <c r="I615">
        <f t="shared" si="39"/>
        <v>-589282.26019423071</v>
      </c>
    </row>
    <row r="616" spans="2:9" x14ac:dyDescent="0.3">
      <c r="B616">
        <v>614</v>
      </c>
      <c r="C616" s="1">
        <v>62490</v>
      </c>
      <c r="D616" s="1" t="str">
        <f t="shared" si="40"/>
        <v>II</v>
      </c>
      <c r="E616">
        <f t="shared" si="38"/>
        <v>-589282.26019423071</v>
      </c>
      <c r="F616">
        <v>0</v>
      </c>
      <c r="G616">
        <v>-15000</v>
      </c>
      <c r="H616" s="4">
        <f t="shared" si="41"/>
        <v>-421.51259447934837</v>
      </c>
      <c r="I616">
        <f t="shared" si="39"/>
        <v>-604703.77278871008</v>
      </c>
    </row>
    <row r="617" spans="2:9" x14ac:dyDescent="0.3">
      <c r="B617">
        <v>615</v>
      </c>
      <c r="C617" s="1">
        <v>62518</v>
      </c>
      <c r="D617" s="1" t="str">
        <f t="shared" si="40"/>
        <v>III</v>
      </c>
      <c r="E617">
        <f t="shared" si="38"/>
        <v>-604703.77278871008</v>
      </c>
      <c r="F617">
        <v>0</v>
      </c>
      <c r="G617">
        <v>-15000</v>
      </c>
      <c r="H617" s="4">
        <f t="shared" si="41"/>
        <v>-5436.1218248521309</v>
      </c>
      <c r="I617">
        <f t="shared" si="39"/>
        <v>-625139.89461356215</v>
      </c>
    </row>
    <row r="618" spans="2:9" x14ac:dyDescent="0.3">
      <c r="B618">
        <v>616</v>
      </c>
      <c r="C618" s="1">
        <v>62549</v>
      </c>
      <c r="D618" s="1" t="str">
        <f t="shared" si="40"/>
        <v>IV</v>
      </c>
      <c r="E618">
        <f t="shared" si="38"/>
        <v>-625139.89461356215</v>
      </c>
      <c r="F618">
        <v>0</v>
      </c>
      <c r="G618">
        <v>-15000</v>
      </c>
      <c r="H618" s="4">
        <f t="shared" si="41"/>
        <v>-11023.327527560032</v>
      </c>
      <c r="I618">
        <f t="shared" si="39"/>
        <v>-651163.22214112221</v>
      </c>
    </row>
    <row r="619" spans="2:9" x14ac:dyDescent="0.3">
      <c r="B619">
        <v>617</v>
      </c>
      <c r="C619" s="1">
        <v>62579</v>
      </c>
      <c r="D619" s="1" t="str">
        <f t="shared" si="40"/>
        <v>V</v>
      </c>
      <c r="E619">
        <f t="shared" si="38"/>
        <v>-651163.22214112221</v>
      </c>
      <c r="F619">
        <v>0</v>
      </c>
      <c r="G619">
        <v>-15000</v>
      </c>
      <c r="H619" s="4">
        <f t="shared" si="41"/>
        <v>-3799.391472113537</v>
      </c>
      <c r="I619">
        <f t="shared" si="39"/>
        <v>-669962.61361323576</v>
      </c>
    </row>
    <row r="620" spans="2:9" x14ac:dyDescent="0.3">
      <c r="B620">
        <v>618</v>
      </c>
      <c r="C620" s="1">
        <v>62610</v>
      </c>
      <c r="D620" s="1" t="str">
        <f t="shared" si="40"/>
        <v>VI</v>
      </c>
      <c r="E620">
        <f t="shared" si="38"/>
        <v>-669962.61361323576</v>
      </c>
      <c r="F620">
        <v>0</v>
      </c>
      <c r="G620">
        <v>-15000</v>
      </c>
      <c r="H620" s="4">
        <f t="shared" si="41"/>
        <v>-2959.0084674279883</v>
      </c>
      <c r="I620">
        <f t="shared" si="39"/>
        <v>-687921.6220806638</v>
      </c>
    </row>
    <row r="621" spans="2:9" x14ac:dyDescent="0.3">
      <c r="B621">
        <v>619</v>
      </c>
      <c r="C621" s="1">
        <v>62640</v>
      </c>
      <c r="D621" s="1" t="str">
        <f t="shared" si="40"/>
        <v>VII</v>
      </c>
      <c r="E621">
        <f t="shared" si="38"/>
        <v>-687921.6220806638</v>
      </c>
      <c r="F621">
        <v>0</v>
      </c>
      <c r="G621">
        <v>-15000</v>
      </c>
      <c r="H621" s="4">
        <f t="shared" si="41"/>
        <v>-4252.1643021062955</v>
      </c>
      <c r="I621">
        <f t="shared" si="39"/>
        <v>-707173.78638277005</v>
      </c>
    </row>
    <row r="622" spans="2:9" x14ac:dyDescent="0.3">
      <c r="B622">
        <v>620</v>
      </c>
      <c r="C622" s="1">
        <v>62671</v>
      </c>
      <c r="D622" s="1" t="str">
        <f t="shared" si="40"/>
        <v>VIII</v>
      </c>
      <c r="E622">
        <f t="shared" si="38"/>
        <v>-707173.78638277005</v>
      </c>
      <c r="F622">
        <v>0</v>
      </c>
      <c r="G622">
        <v>-15000</v>
      </c>
      <c r="H622" s="4">
        <f t="shared" si="41"/>
        <v>-168.85158586289978</v>
      </c>
      <c r="I622">
        <f t="shared" si="39"/>
        <v>-722342.63796863297</v>
      </c>
    </row>
    <row r="623" spans="2:9" x14ac:dyDescent="0.3">
      <c r="B623">
        <v>621</v>
      </c>
      <c r="C623" s="1">
        <v>62702</v>
      </c>
      <c r="D623" s="1" t="str">
        <f t="shared" si="40"/>
        <v>IX</v>
      </c>
      <c r="E623">
        <f t="shared" si="38"/>
        <v>-722342.63796863297</v>
      </c>
      <c r="F623">
        <v>0</v>
      </c>
      <c r="G623">
        <v>-15000</v>
      </c>
      <c r="H623" s="4">
        <f t="shared" si="41"/>
        <v>4265.1355095116496</v>
      </c>
      <c r="I623">
        <f t="shared" si="39"/>
        <v>-733077.50245912129</v>
      </c>
    </row>
    <row r="624" spans="2:9" x14ac:dyDescent="0.3">
      <c r="B624">
        <v>622</v>
      </c>
      <c r="C624" s="1">
        <v>62732</v>
      </c>
      <c r="D624" s="1" t="str">
        <f t="shared" si="40"/>
        <v>X</v>
      </c>
      <c r="E624">
        <f t="shared" si="38"/>
        <v>-733077.50245912129</v>
      </c>
      <c r="F624">
        <v>0</v>
      </c>
      <c r="G624">
        <v>-15000</v>
      </c>
      <c r="H624" s="4">
        <f t="shared" si="41"/>
        <v>-6099.9462959139637</v>
      </c>
      <c r="I624">
        <f t="shared" si="39"/>
        <v>-754177.44875503529</v>
      </c>
    </row>
    <row r="625" spans="2:9" x14ac:dyDescent="0.3">
      <c r="B625">
        <v>623</v>
      </c>
      <c r="C625" s="1">
        <v>62763</v>
      </c>
      <c r="D625" s="1" t="str">
        <f t="shared" si="40"/>
        <v>XI</v>
      </c>
      <c r="E625">
        <f t="shared" si="38"/>
        <v>-754177.44875503529</v>
      </c>
      <c r="F625">
        <v>0</v>
      </c>
      <c r="G625">
        <v>-15000</v>
      </c>
      <c r="H625" s="4">
        <f t="shared" si="41"/>
        <v>-10156.530947358769</v>
      </c>
      <c r="I625">
        <f t="shared" si="39"/>
        <v>-779333.97970239411</v>
      </c>
    </row>
    <row r="626" spans="2:9" x14ac:dyDescent="0.3">
      <c r="B626">
        <v>624</v>
      </c>
      <c r="C626" s="1">
        <v>62793</v>
      </c>
      <c r="D626" s="1" t="str">
        <f t="shared" si="40"/>
        <v>XII</v>
      </c>
      <c r="E626">
        <f t="shared" si="38"/>
        <v>-779333.97970239411</v>
      </c>
      <c r="F626">
        <v>0</v>
      </c>
      <c r="G626">
        <v>-15000</v>
      </c>
      <c r="H626" s="4">
        <f t="shared" si="41"/>
        <v>-11872.040211921581</v>
      </c>
      <c r="I626">
        <f t="shared" si="39"/>
        <v>-806206.01991431566</v>
      </c>
    </row>
    <row r="627" spans="2:9" x14ac:dyDescent="0.3">
      <c r="B627">
        <v>625</v>
      </c>
      <c r="C627" s="1">
        <v>62824</v>
      </c>
      <c r="D627" s="1" t="str">
        <f t="shared" si="40"/>
        <v>I</v>
      </c>
      <c r="E627">
        <f t="shared" ref="E627:E690" si="42">I626</f>
        <v>-806206.01991431566</v>
      </c>
      <c r="F627">
        <v>0</v>
      </c>
      <c r="G627">
        <v>-15000</v>
      </c>
      <c r="H627" s="4">
        <f t="shared" si="41"/>
        <v>-10492.655835776965</v>
      </c>
      <c r="I627">
        <f t="shared" ref="I627:I690" si="43">SUM(E627:H627)</f>
        <v>-831698.6757500926</v>
      </c>
    </row>
    <row r="628" spans="2:9" x14ac:dyDescent="0.3">
      <c r="B628">
        <v>626</v>
      </c>
      <c r="C628" s="1">
        <v>62855</v>
      </c>
      <c r="D628" s="1" t="str">
        <f t="shared" si="40"/>
        <v>II</v>
      </c>
      <c r="E628">
        <f t="shared" si="42"/>
        <v>-831698.6757500926</v>
      </c>
      <c r="F628">
        <v>0</v>
      </c>
      <c r="G628">
        <v>-15000</v>
      </c>
      <c r="H628" s="4">
        <f t="shared" si="41"/>
        <v>-590.60836146825784</v>
      </c>
      <c r="I628">
        <f t="shared" si="43"/>
        <v>-847289.2841115609</v>
      </c>
    </row>
    <row r="629" spans="2:9" x14ac:dyDescent="0.3">
      <c r="B629">
        <v>627</v>
      </c>
      <c r="C629" s="1">
        <v>62884</v>
      </c>
      <c r="D629" s="1" t="str">
        <f t="shared" si="40"/>
        <v>III</v>
      </c>
      <c r="E629">
        <f t="shared" si="42"/>
        <v>-847289.2841115609</v>
      </c>
      <c r="F629">
        <v>0</v>
      </c>
      <c r="G629">
        <v>-15000</v>
      </c>
      <c r="H629" s="4">
        <f t="shared" si="41"/>
        <v>-7564.1133756550444</v>
      </c>
      <c r="I629">
        <f t="shared" si="43"/>
        <v>-869853.39748721593</v>
      </c>
    </row>
    <row r="630" spans="2:9" x14ac:dyDescent="0.3">
      <c r="B630">
        <v>628</v>
      </c>
      <c r="C630" s="1">
        <v>62915</v>
      </c>
      <c r="D630" s="1" t="str">
        <f t="shared" si="40"/>
        <v>IV</v>
      </c>
      <c r="E630">
        <f t="shared" si="42"/>
        <v>-869853.39748721593</v>
      </c>
      <c r="F630">
        <v>0</v>
      </c>
      <c r="G630">
        <v>-15000</v>
      </c>
      <c r="H630" s="4">
        <f t="shared" si="41"/>
        <v>-15237.339363552916</v>
      </c>
      <c r="I630">
        <f t="shared" si="43"/>
        <v>-900090.73685076879</v>
      </c>
    </row>
    <row r="631" spans="2:9" x14ac:dyDescent="0.3">
      <c r="B631">
        <v>629</v>
      </c>
      <c r="C631" s="1">
        <v>62945</v>
      </c>
      <c r="D631" s="1" t="str">
        <f t="shared" si="40"/>
        <v>V</v>
      </c>
      <c r="E631">
        <f t="shared" si="42"/>
        <v>-900090.73685076879</v>
      </c>
      <c r="F631">
        <v>0</v>
      </c>
      <c r="G631">
        <v>-15000</v>
      </c>
      <c r="H631" s="4">
        <f t="shared" si="41"/>
        <v>-5219.1232212221548</v>
      </c>
      <c r="I631">
        <f t="shared" si="43"/>
        <v>-920309.86007199099</v>
      </c>
    </row>
    <row r="632" spans="2:9" x14ac:dyDescent="0.3">
      <c r="B632">
        <v>630</v>
      </c>
      <c r="C632" s="1">
        <v>62976</v>
      </c>
      <c r="D632" s="1" t="str">
        <f t="shared" si="40"/>
        <v>VI</v>
      </c>
      <c r="E632">
        <f t="shared" si="42"/>
        <v>-920309.86007199099</v>
      </c>
      <c r="F632">
        <v>0</v>
      </c>
      <c r="G632">
        <v>-15000</v>
      </c>
      <c r="H632" s="4">
        <f t="shared" si="41"/>
        <v>-4040.4975988727879</v>
      </c>
      <c r="I632">
        <f t="shared" si="43"/>
        <v>-939350.35767086374</v>
      </c>
    </row>
    <row r="633" spans="2:9" x14ac:dyDescent="0.3">
      <c r="B633">
        <v>631</v>
      </c>
      <c r="C633" s="1">
        <v>63006</v>
      </c>
      <c r="D633" s="1" t="str">
        <f t="shared" si="40"/>
        <v>VII</v>
      </c>
      <c r="E633">
        <f t="shared" si="42"/>
        <v>-939350.35767086374</v>
      </c>
      <c r="F633">
        <v>0</v>
      </c>
      <c r="G633">
        <v>-15000</v>
      </c>
      <c r="H633" s="4">
        <f t="shared" si="41"/>
        <v>-5773.1251893752951</v>
      </c>
      <c r="I633">
        <f t="shared" si="43"/>
        <v>-960123.48286023899</v>
      </c>
    </row>
    <row r="634" spans="2:9" x14ac:dyDescent="0.3">
      <c r="B634">
        <v>632</v>
      </c>
      <c r="C634" s="1">
        <v>63037</v>
      </c>
      <c r="D634" s="1" t="str">
        <f t="shared" si="40"/>
        <v>VIII</v>
      </c>
      <c r="E634">
        <f t="shared" si="42"/>
        <v>-960123.48286023899</v>
      </c>
      <c r="F634">
        <v>0</v>
      </c>
      <c r="G634">
        <v>-15000</v>
      </c>
      <c r="H634" s="4">
        <f t="shared" si="41"/>
        <v>-227.99380093510666</v>
      </c>
      <c r="I634">
        <f t="shared" si="43"/>
        <v>-975351.47666117409</v>
      </c>
    </row>
    <row r="635" spans="2:9" x14ac:dyDescent="0.3">
      <c r="B635">
        <v>633</v>
      </c>
      <c r="C635" s="1">
        <v>63068</v>
      </c>
      <c r="D635" s="1" t="str">
        <f t="shared" si="40"/>
        <v>IX</v>
      </c>
      <c r="E635">
        <f t="shared" si="42"/>
        <v>-975351.47666117409</v>
      </c>
      <c r="F635">
        <v>0</v>
      </c>
      <c r="G635">
        <v>-15000</v>
      </c>
      <c r="H635" s="4">
        <f t="shared" si="41"/>
        <v>5728.657251724756</v>
      </c>
      <c r="I635">
        <f t="shared" si="43"/>
        <v>-984622.81940944935</v>
      </c>
    </row>
    <row r="636" spans="2:9" x14ac:dyDescent="0.3">
      <c r="B636">
        <v>634</v>
      </c>
      <c r="C636" s="1">
        <v>63098</v>
      </c>
      <c r="D636" s="1" t="str">
        <f t="shared" si="40"/>
        <v>X</v>
      </c>
      <c r="E636">
        <f t="shared" si="42"/>
        <v>-984622.81940944935</v>
      </c>
      <c r="F636">
        <v>0</v>
      </c>
      <c r="G636">
        <v>-15000</v>
      </c>
      <c r="H636" s="4">
        <f t="shared" si="41"/>
        <v>-8151.0879481380343</v>
      </c>
      <c r="I636">
        <f t="shared" si="43"/>
        <v>-1007773.9073575874</v>
      </c>
    </row>
    <row r="637" spans="2:9" x14ac:dyDescent="0.3">
      <c r="B637">
        <v>635</v>
      </c>
      <c r="C637" s="1">
        <v>63129</v>
      </c>
      <c r="D637" s="1" t="str">
        <f t="shared" si="40"/>
        <v>XI</v>
      </c>
      <c r="E637">
        <f t="shared" si="42"/>
        <v>-1007773.9073575874</v>
      </c>
      <c r="F637">
        <v>0</v>
      </c>
      <c r="G637">
        <v>-15000</v>
      </c>
      <c r="H637" s="4">
        <f t="shared" si="41"/>
        <v>-13505.121424245843</v>
      </c>
      <c r="I637">
        <f t="shared" si="43"/>
        <v>-1036279.0287818332</v>
      </c>
    </row>
    <row r="638" spans="2:9" x14ac:dyDescent="0.3">
      <c r="B638">
        <v>636</v>
      </c>
      <c r="C638" s="1">
        <v>63159</v>
      </c>
      <c r="D638" s="1" t="str">
        <f t="shared" si="40"/>
        <v>XII</v>
      </c>
      <c r="E638">
        <f t="shared" si="42"/>
        <v>-1036279.0287818332</v>
      </c>
      <c r="F638">
        <v>0</v>
      </c>
      <c r="G638">
        <v>-15000</v>
      </c>
      <c r="H638" s="4">
        <f t="shared" si="41"/>
        <v>-15712.316509894072</v>
      </c>
      <c r="I638">
        <f t="shared" si="43"/>
        <v>-1066991.3452917272</v>
      </c>
    </row>
    <row r="639" spans="2:9" x14ac:dyDescent="0.3">
      <c r="B639">
        <v>637</v>
      </c>
      <c r="C639" s="1">
        <v>63190</v>
      </c>
      <c r="D639" s="1" t="str">
        <f t="shared" si="40"/>
        <v>I</v>
      </c>
      <c r="E639">
        <f t="shared" si="42"/>
        <v>-1066991.3452917272</v>
      </c>
      <c r="F639">
        <v>0</v>
      </c>
      <c r="G639">
        <v>-15000</v>
      </c>
      <c r="H639" s="4">
        <f t="shared" si="41"/>
        <v>-13824.743764810655</v>
      </c>
      <c r="I639">
        <f t="shared" si="43"/>
        <v>-1095816.089056538</v>
      </c>
    </row>
    <row r="640" spans="2:9" x14ac:dyDescent="0.3">
      <c r="B640">
        <v>638</v>
      </c>
      <c r="C640" s="1">
        <v>63221</v>
      </c>
      <c r="D640" s="1" t="str">
        <f t="shared" si="40"/>
        <v>II</v>
      </c>
      <c r="E640">
        <f t="shared" si="42"/>
        <v>-1095816.089056538</v>
      </c>
      <c r="F640">
        <v>0</v>
      </c>
      <c r="G640">
        <v>-15000</v>
      </c>
      <c r="H640" s="4">
        <f t="shared" si="41"/>
        <v>-774.84149797335806</v>
      </c>
      <c r="I640">
        <f t="shared" si="43"/>
        <v>-1111590.9305545113</v>
      </c>
    </row>
    <row r="641" spans="2:9" x14ac:dyDescent="0.3">
      <c r="B641">
        <v>639</v>
      </c>
      <c r="C641" s="1">
        <v>63249</v>
      </c>
      <c r="D641" s="1" t="str">
        <f t="shared" si="40"/>
        <v>III</v>
      </c>
      <c r="E641">
        <f t="shared" si="42"/>
        <v>-1111590.9305545113</v>
      </c>
      <c r="F641">
        <v>0</v>
      </c>
      <c r="G641">
        <v>-15000</v>
      </c>
      <c r="H641" s="4">
        <f t="shared" si="41"/>
        <v>-9882.6016787152021</v>
      </c>
      <c r="I641">
        <f t="shared" si="43"/>
        <v>-1136473.5322332263</v>
      </c>
    </row>
    <row r="642" spans="2:9" x14ac:dyDescent="0.3">
      <c r="B642">
        <v>640</v>
      </c>
      <c r="C642" s="1">
        <v>63280</v>
      </c>
      <c r="D642" s="1" t="str">
        <f t="shared" si="40"/>
        <v>IV</v>
      </c>
      <c r="E642">
        <f t="shared" si="42"/>
        <v>-1136473.5322332263</v>
      </c>
      <c r="F642">
        <v>0</v>
      </c>
      <c r="G642">
        <v>-15000</v>
      </c>
      <c r="H642" s="4">
        <f t="shared" si="41"/>
        <v>-19828.587457099238</v>
      </c>
      <c r="I642">
        <f t="shared" si="43"/>
        <v>-1171302.1196903256</v>
      </c>
    </row>
    <row r="643" spans="2:9" x14ac:dyDescent="0.3">
      <c r="B643">
        <v>641</v>
      </c>
      <c r="C643" s="1">
        <v>63310</v>
      </c>
      <c r="D643" s="1" t="str">
        <f t="shared" si="40"/>
        <v>V</v>
      </c>
      <c r="E643">
        <f t="shared" si="42"/>
        <v>-1171302.1196903256</v>
      </c>
      <c r="F643">
        <v>0</v>
      </c>
      <c r="G643">
        <v>-15000</v>
      </c>
      <c r="H643" s="4">
        <f t="shared" si="41"/>
        <v>-6765.9486550682168</v>
      </c>
      <c r="I643">
        <f t="shared" si="43"/>
        <v>-1193068.0683453938</v>
      </c>
    </row>
    <row r="644" spans="2:9" x14ac:dyDescent="0.3">
      <c r="B644">
        <v>642</v>
      </c>
      <c r="C644" s="1">
        <v>63341</v>
      </c>
      <c r="D644" s="1" t="str">
        <f t="shared" ref="D644:D707" si="44">TEXT(C644,"mmm")</f>
        <v>VI</v>
      </c>
      <c r="E644">
        <f t="shared" si="42"/>
        <v>-1193068.0683453938</v>
      </c>
      <c r="F644">
        <v>0</v>
      </c>
      <c r="G644">
        <v>-15000</v>
      </c>
      <c r="H644" s="4">
        <f t="shared" si="41"/>
        <v>-5218.8011030363177</v>
      </c>
      <c r="I644">
        <f t="shared" si="43"/>
        <v>-1213286.8694484301</v>
      </c>
    </row>
    <row r="645" spans="2:9" x14ac:dyDescent="0.3">
      <c r="B645">
        <v>643</v>
      </c>
      <c r="C645" s="1">
        <v>63371</v>
      </c>
      <c r="D645" s="1" t="str">
        <f t="shared" si="44"/>
        <v>VII</v>
      </c>
      <c r="E645">
        <f t="shared" si="42"/>
        <v>-1213286.8694484301</v>
      </c>
      <c r="F645">
        <v>0</v>
      </c>
      <c r="G645">
        <v>-15000</v>
      </c>
      <c r="H645" s="4">
        <f t="shared" ref="H645:H708" si="45">SUM(E645:G645)*VLOOKUP(D645,$U$4:$V$15,2,FALSE)</f>
        <v>-7430.2417438158691</v>
      </c>
      <c r="I645">
        <f t="shared" si="43"/>
        <v>-1235717.111192246</v>
      </c>
    </row>
    <row r="646" spans="2:9" x14ac:dyDescent="0.3">
      <c r="B646">
        <v>644</v>
      </c>
      <c r="C646" s="1">
        <v>63402</v>
      </c>
      <c r="D646" s="1" t="str">
        <f t="shared" si="44"/>
        <v>VIII</v>
      </c>
      <c r="E646">
        <f t="shared" si="42"/>
        <v>-1235717.111192246</v>
      </c>
      <c r="F646">
        <v>0</v>
      </c>
      <c r="G646">
        <v>-15000</v>
      </c>
      <c r="H646" s="4">
        <f t="shared" si="45"/>
        <v>-292.43039788035435</v>
      </c>
      <c r="I646">
        <f t="shared" si="43"/>
        <v>-1251009.5415901262</v>
      </c>
    </row>
    <row r="647" spans="2:9" x14ac:dyDescent="0.3">
      <c r="B647">
        <v>645</v>
      </c>
      <c r="C647" s="1">
        <v>63433</v>
      </c>
      <c r="D647" s="1" t="str">
        <f t="shared" si="44"/>
        <v>IX</v>
      </c>
      <c r="E647">
        <f t="shared" si="42"/>
        <v>-1251009.5415901262</v>
      </c>
      <c r="F647">
        <v>0</v>
      </c>
      <c r="G647">
        <v>-15000</v>
      </c>
      <c r="H647" s="4">
        <f t="shared" si="45"/>
        <v>7323.1927372228256</v>
      </c>
      <c r="I647">
        <f t="shared" si="43"/>
        <v>-1258686.3488529033</v>
      </c>
    </row>
    <row r="648" spans="2:9" x14ac:dyDescent="0.3">
      <c r="B648">
        <v>646</v>
      </c>
      <c r="C648" s="1">
        <v>63463</v>
      </c>
      <c r="D648" s="1" t="str">
        <f t="shared" si="44"/>
        <v>X</v>
      </c>
      <c r="E648">
        <f t="shared" si="42"/>
        <v>-1258686.3488529033</v>
      </c>
      <c r="F648">
        <v>0</v>
      </c>
      <c r="G648">
        <v>-15000</v>
      </c>
      <c r="H648" s="4">
        <f t="shared" si="45"/>
        <v>-10385.846787667577</v>
      </c>
      <c r="I648">
        <f t="shared" si="43"/>
        <v>-1284072.1956405709</v>
      </c>
    </row>
    <row r="649" spans="2:9" x14ac:dyDescent="0.3">
      <c r="B649">
        <v>647</v>
      </c>
      <c r="C649" s="1">
        <v>63494</v>
      </c>
      <c r="D649" s="1" t="str">
        <f t="shared" si="44"/>
        <v>XI</v>
      </c>
      <c r="E649">
        <f t="shared" si="42"/>
        <v>-1284072.1956405709</v>
      </c>
      <c r="F649">
        <v>0</v>
      </c>
      <c r="G649">
        <v>-15000</v>
      </c>
      <c r="H649" s="4">
        <f t="shared" si="45"/>
        <v>-17153.476066195435</v>
      </c>
      <c r="I649">
        <f t="shared" si="43"/>
        <v>-1316225.6717067664</v>
      </c>
    </row>
    <row r="650" spans="2:9" x14ac:dyDescent="0.3">
      <c r="B650">
        <v>648</v>
      </c>
      <c r="C650" s="1">
        <v>63524</v>
      </c>
      <c r="D650" s="1" t="str">
        <f t="shared" si="44"/>
        <v>XII</v>
      </c>
      <c r="E650">
        <f t="shared" si="42"/>
        <v>-1316225.6717067664</v>
      </c>
      <c r="F650">
        <v>0</v>
      </c>
      <c r="G650">
        <v>-15000</v>
      </c>
      <c r="H650" s="4">
        <f t="shared" si="45"/>
        <v>-19896.372444706856</v>
      </c>
      <c r="I650">
        <f t="shared" si="43"/>
        <v>-1351122.0441514733</v>
      </c>
    </row>
    <row r="651" spans="2:9" x14ac:dyDescent="0.3">
      <c r="B651">
        <v>649</v>
      </c>
      <c r="C651" s="1">
        <v>63555</v>
      </c>
      <c r="D651" s="1" t="str">
        <f t="shared" si="44"/>
        <v>I</v>
      </c>
      <c r="E651">
        <f t="shared" si="42"/>
        <v>-1351122.0441514733</v>
      </c>
      <c r="F651">
        <v>0</v>
      </c>
      <c r="G651">
        <v>-15000</v>
      </c>
      <c r="H651" s="4">
        <f t="shared" si="45"/>
        <v>-17455.118558976399</v>
      </c>
      <c r="I651">
        <f t="shared" si="43"/>
        <v>-1383577.1627104497</v>
      </c>
    </row>
    <row r="652" spans="2:9" x14ac:dyDescent="0.3">
      <c r="B652">
        <v>650</v>
      </c>
      <c r="C652" s="1">
        <v>63586</v>
      </c>
      <c r="D652" s="1" t="str">
        <f t="shared" si="44"/>
        <v>II</v>
      </c>
      <c r="E652">
        <f t="shared" si="42"/>
        <v>-1383577.1627104497</v>
      </c>
      <c r="F652">
        <v>0</v>
      </c>
      <c r="G652">
        <v>-15000</v>
      </c>
      <c r="H652" s="4">
        <f t="shared" si="45"/>
        <v>-975.56709383486179</v>
      </c>
      <c r="I652">
        <f t="shared" si="43"/>
        <v>-1399552.7298042844</v>
      </c>
    </row>
    <row r="653" spans="2:9" x14ac:dyDescent="0.3">
      <c r="B653">
        <v>651</v>
      </c>
      <c r="C653" s="1">
        <v>63614</v>
      </c>
      <c r="D653" s="1" t="str">
        <f t="shared" si="44"/>
        <v>III</v>
      </c>
      <c r="E653">
        <f t="shared" si="42"/>
        <v>-1399552.7298042844</v>
      </c>
      <c r="F653">
        <v>0</v>
      </c>
      <c r="G653">
        <v>-15000</v>
      </c>
      <c r="H653" s="4">
        <f t="shared" si="45"/>
        <v>-12408.639909176494</v>
      </c>
      <c r="I653">
        <f t="shared" si="43"/>
        <v>-1426961.3697134608</v>
      </c>
    </row>
    <row r="654" spans="2:9" x14ac:dyDescent="0.3">
      <c r="B654">
        <v>652</v>
      </c>
      <c r="C654" s="1">
        <v>63645</v>
      </c>
      <c r="D654" s="1" t="str">
        <f t="shared" si="44"/>
        <v>IV</v>
      </c>
      <c r="E654">
        <f t="shared" si="42"/>
        <v>-1426961.3697134608</v>
      </c>
      <c r="F654">
        <v>0</v>
      </c>
      <c r="G654">
        <v>-15000</v>
      </c>
      <c r="H654" s="4">
        <f t="shared" si="45"/>
        <v>-24830.841811595161</v>
      </c>
      <c r="I654">
        <f t="shared" si="43"/>
        <v>-1466792.211525056</v>
      </c>
    </row>
    <row r="655" spans="2:9" x14ac:dyDescent="0.3">
      <c r="B655">
        <v>653</v>
      </c>
      <c r="C655" s="1">
        <v>63675</v>
      </c>
      <c r="D655" s="1" t="str">
        <f t="shared" si="44"/>
        <v>V</v>
      </c>
      <c r="E655">
        <f t="shared" si="42"/>
        <v>-1466792.211525056</v>
      </c>
      <c r="F655">
        <v>0</v>
      </c>
      <c r="G655">
        <v>-15000</v>
      </c>
      <c r="H655" s="4">
        <f t="shared" si="45"/>
        <v>-8451.2451375166092</v>
      </c>
      <c r="I655">
        <f t="shared" si="43"/>
        <v>-1490243.4566625727</v>
      </c>
    </row>
    <row r="656" spans="2:9" x14ac:dyDescent="0.3">
      <c r="B656">
        <v>654</v>
      </c>
      <c r="C656" s="1">
        <v>63706</v>
      </c>
      <c r="D656" s="1" t="str">
        <f t="shared" si="44"/>
        <v>VI</v>
      </c>
      <c r="E656">
        <f t="shared" si="42"/>
        <v>-1490243.4566625727</v>
      </c>
      <c r="F656">
        <v>0</v>
      </c>
      <c r="G656">
        <v>-15000</v>
      </c>
      <c r="H656" s="4">
        <f t="shared" si="45"/>
        <v>-6502.5857547315627</v>
      </c>
      <c r="I656">
        <f t="shared" si="43"/>
        <v>-1511746.0424173044</v>
      </c>
    </row>
    <row r="657" spans="2:9" x14ac:dyDescent="0.3">
      <c r="B657">
        <v>655</v>
      </c>
      <c r="C657" s="1">
        <v>63736</v>
      </c>
      <c r="D657" s="1" t="str">
        <f t="shared" si="44"/>
        <v>VII</v>
      </c>
      <c r="E657">
        <f t="shared" si="42"/>
        <v>-1511746.0424173044</v>
      </c>
      <c r="F657">
        <v>0</v>
      </c>
      <c r="G657">
        <v>-15000</v>
      </c>
      <c r="H657" s="4">
        <f t="shared" si="45"/>
        <v>-9235.702553483181</v>
      </c>
      <c r="I657">
        <f t="shared" si="43"/>
        <v>-1535981.7449707875</v>
      </c>
    </row>
    <row r="658" spans="2:9" x14ac:dyDescent="0.3">
      <c r="B658">
        <v>656</v>
      </c>
      <c r="C658" s="1">
        <v>63767</v>
      </c>
      <c r="D658" s="1" t="str">
        <f t="shared" si="44"/>
        <v>VIII</v>
      </c>
      <c r="E658">
        <f t="shared" si="42"/>
        <v>-1535981.7449707875</v>
      </c>
      <c r="F658">
        <v>0</v>
      </c>
      <c r="G658">
        <v>-15000</v>
      </c>
      <c r="H658" s="4">
        <f t="shared" si="45"/>
        <v>-362.63532714813761</v>
      </c>
      <c r="I658">
        <f t="shared" si="43"/>
        <v>-1551344.3802979358</v>
      </c>
    </row>
    <row r="659" spans="2:9" x14ac:dyDescent="0.3">
      <c r="B659">
        <v>657</v>
      </c>
      <c r="C659" s="1">
        <v>63798</v>
      </c>
      <c r="D659" s="1" t="str">
        <f t="shared" si="44"/>
        <v>IX</v>
      </c>
      <c r="E659">
        <f t="shared" si="42"/>
        <v>-1551344.3802979358</v>
      </c>
      <c r="F659">
        <v>0</v>
      </c>
      <c r="G659">
        <v>-15000</v>
      </c>
      <c r="H659" s="4">
        <f t="shared" si="45"/>
        <v>9060.4702515751505</v>
      </c>
      <c r="I659">
        <f t="shared" si="43"/>
        <v>-1557283.9100463607</v>
      </c>
    </row>
    <row r="660" spans="2:9" x14ac:dyDescent="0.3">
      <c r="B660">
        <v>658</v>
      </c>
      <c r="C660" s="1">
        <v>63828</v>
      </c>
      <c r="D660" s="1" t="str">
        <f t="shared" si="44"/>
        <v>X</v>
      </c>
      <c r="E660">
        <f t="shared" si="42"/>
        <v>-1557283.9100463607</v>
      </c>
      <c r="F660">
        <v>0</v>
      </c>
      <c r="G660">
        <v>-15000</v>
      </c>
      <c r="H660" s="4">
        <f t="shared" si="45"/>
        <v>-12820.660134390973</v>
      </c>
      <c r="I660">
        <f t="shared" si="43"/>
        <v>-1585104.5701807516</v>
      </c>
    </row>
    <row r="661" spans="2:9" x14ac:dyDescent="0.3">
      <c r="B661">
        <v>659</v>
      </c>
      <c r="C661" s="1">
        <v>63859</v>
      </c>
      <c r="D661" s="1" t="str">
        <f t="shared" si="44"/>
        <v>XI</v>
      </c>
      <c r="E661">
        <f t="shared" si="42"/>
        <v>-1585104.5701807516</v>
      </c>
      <c r="F661">
        <v>0</v>
      </c>
      <c r="G661">
        <v>-15000</v>
      </c>
      <c r="H661" s="4">
        <f t="shared" si="45"/>
        <v>-21128.429613160337</v>
      </c>
      <c r="I661">
        <f t="shared" si="43"/>
        <v>-1621232.9997939121</v>
      </c>
    </row>
    <row r="662" spans="2:9" x14ac:dyDescent="0.3">
      <c r="B662">
        <v>660</v>
      </c>
      <c r="C662" s="1">
        <v>63889</v>
      </c>
      <c r="D662" s="1" t="str">
        <f t="shared" si="44"/>
        <v>XII</v>
      </c>
      <c r="E662">
        <f t="shared" si="42"/>
        <v>-1621232.9997939121</v>
      </c>
      <c r="F662">
        <v>0</v>
      </c>
      <c r="G662">
        <v>-15000</v>
      </c>
      <c r="H662" s="4">
        <f t="shared" si="45"/>
        <v>-24454.982999599677</v>
      </c>
      <c r="I662">
        <f t="shared" si="43"/>
        <v>-1660687.9827935118</v>
      </c>
    </row>
    <row r="663" spans="2:9" x14ac:dyDescent="0.3">
      <c r="B663">
        <v>661</v>
      </c>
      <c r="C663" s="1">
        <v>63920</v>
      </c>
      <c r="D663" s="1" t="str">
        <f t="shared" si="44"/>
        <v>I</v>
      </c>
      <c r="E663">
        <f t="shared" si="42"/>
        <v>-1660687.9827935118</v>
      </c>
      <c r="F663">
        <v>0</v>
      </c>
      <c r="G663">
        <v>-15000</v>
      </c>
      <c r="H663" s="4">
        <f t="shared" si="45"/>
        <v>-21410.482711067089</v>
      </c>
      <c r="I663">
        <f t="shared" si="43"/>
        <v>-1697098.465504579</v>
      </c>
    </row>
    <row r="664" spans="2:9" x14ac:dyDescent="0.3">
      <c r="B664">
        <v>662</v>
      </c>
      <c r="C664" s="1">
        <v>63951</v>
      </c>
      <c r="D664" s="1" t="str">
        <f t="shared" si="44"/>
        <v>II</v>
      </c>
      <c r="E664">
        <f t="shared" si="42"/>
        <v>-1697098.465504579</v>
      </c>
      <c r="F664">
        <v>0</v>
      </c>
      <c r="G664">
        <v>-15000</v>
      </c>
      <c r="H664" s="4">
        <f t="shared" si="45"/>
        <v>-1194.2615458659734</v>
      </c>
      <c r="I664">
        <f t="shared" si="43"/>
        <v>-1713292.727050445</v>
      </c>
    </row>
    <row r="665" spans="2:9" x14ac:dyDescent="0.3">
      <c r="B665">
        <v>663</v>
      </c>
      <c r="C665" s="1">
        <v>63979</v>
      </c>
      <c r="D665" s="1" t="str">
        <f t="shared" si="44"/>
        <v>III</v>
      </c>
      <c r="E665">
        <f t="shared" si="42"/>
        <v>-1713292.727050445</v>
      </c>
      <c r="F665">
        <v>0</v>
      </c>
      <c r="G665">
        <v>-15000</v>
      </c>
      <c r="H665" s="4">
        <f t="shared" si="45"/>
        <v>-15160.807833996289</v>
      </c>
      <c r="I665">
        <f t="shared" si="43"/>
        <v>-1743453.5348844414</v>
      </c>
    </row>
    <row r="666" spans="2:9" x14ac:dyDescent="0.3">
      <c r="B666">
        <v>664</v>
      </c>
      <c r="C666" s="1">
        <v>64010</v>
      </c>
      <c r="D666" s="1" t="str">
        <f t="shared" si="44"/>
        <v>IV</v>
      </c>
      <c r="E666">
        <f t="shared" si="42"/>
        <v>-1743453.5348844414</v>
      </c>
      <c r="F666">
        <v>0</v>
      </c>
      <c r="G666">
        <v>-15000</v>
      </c>
      <c r="H666" s="4">
        <f t="shared" si="45"/>
        <v>-30280.895504456243</v>
      </c>
      <c r="I666">
        <f t="shared" si="43"/>
        <v>-1788734.4303888977</v>
      </c>
    </row>
    <row r="667" spans="2:9" x14ac:dyDescent="0.3">
      <c r="B667">
        <v>665</v>
      </c>
      <c r="C667" s="1">
        <v>64040</v>
      </c>
      <c r="D667" s="1" t="str">
        <f t="shared" si="44"/>
        <v>V</v>
      </c>
      <c r="E667">
        <f t="shared" si="42"/>
        <v>-1788734.4303888977</v>
      </c>
      <c r="F667">
        <v>0</v>
      </c>
      <c r="G667">
        <v>-15000</v>
      </c>
      <c r="H667" s="4">
        <f t="shared" si="45"/>
        <v>-10287.40852842423</v>
      </c>
      <c r="I667">
        <f t="shared" si="43"/>
        <v>-1814021.838917322</v>
      </c>
    </row>
    <row r="668" spans="2:9" x14ac:dyDescent="0.3">
      <c r="B668">
        <v>666</v>
      </c>
      <c r="C668" s="1">
        <v>64071</v>
      </c>
      <c r="D668" s="1" t="str">
        <f t="shared" si="44"/>
        <v>VI</v>
      </c>
      <c r="E668">
        <f t="shared" si="42"/>
        <v>-1814021.838917322</v>
      </c>
      <c r="F668">
        <v>0</v>
      </c>
      <c r="G668">
        <v>-15000</v>
      </c>
      <c r="H668" s="4">
        <f t="shared" si="45"/>
        <v>-7901.2941741708019</v>
      </c>
      <c r="I668">
        <f t="shared" si="43"/>
        <v>-1836923.1330914928</v>
      </c>
    </row>
    <row r="669" spans="2:9" x14ac:dyDescent="0.3">
      <c r="B669">
        <v>667</v>
      </c>
      <c r="C669" s="1">
        <v>64101</v>
      </c>
      <c r="D669" s="1" t="str">
        <f t="shared" si="44"/>
        <v>VII</v>
      </c>
      <c r="E669">
        <f t="shared" si="42"/>
        <v>-1836923.1330914928</v>
      </c>
      <c r="F669">
        <v>0</v>
      </c>
      <c r="G669">
        <v>-15000</v>
      </c>
      <c r="H669" s="4">
        <f t="shared" si="45"/>
        <v>-11202.787322813116</v>
      </c>
      <c r="I669">
        <f t="shared" si="43"/>
        <v>-1863125.920414306</v>
      </c>
    </row>
    <row r="670" spans="2:9" x14ac:dyDescent="0.3">
      <c r="B670">
        <v>668</v>
      </c>
      <c r="C670" s="1">
        <v>64132</v>
      </c>
      <c r="D670" s="1" t="str">
        <f t="shared" si="44"/>
        <v>VIII</v>
      </c>
      <c r="E670">
        <f t="shared" si="42"/>
        <v>-1863125.920414306</v>
      </c>
      <c r="F670">
        <v>0</v>
      </c>
      <c r="G670">
        <v>-15000</v>
      </c>
      <c r="H670" s="4">
        <f t="shared" si="45"/>
        <v>-439.12496699802665</v>
      </c>
      <c r="I670">
        <f t="shared" si="43"/>
        <v>-1878565.0453813041</v>
      </c>
    </row>
    <row r="671" spans="2:9" x14ac:dyDescent="0.3">
      <c r="B671">
        <v>669</v>
      </c>
      <c r="C671" s="1">
        <v>64163</v>
      </c>
      <c r="D671" s="1" t="str">
        <f t="shared" si="44"/>
        <v>IX</v>
      </c>
      <c r="E671">
        <f t="shared" si="42"/>
        <v>-1878565.0453813041</v>
      </c>
      <c r="F671">
        <v>0</v>
      </c>
      <c r="G671">
        <v>-15000</v>
      </c>
      <c r="H671" s="4">
        <f t="shared" si="45"/>
        <v>10953.267990680622</v>
      </c>
      <c r="I671">
        <f t="shared" si="43"/>
        <v>-1882611.7773906235</v>
      </c>
    </row>
    <row r="672" spans="2:9" x14ac:dyDescent="0.3">
      <c r="B672">
        <v>670</v>
      </c>
      <c r="C672" s="1">
        <v>64193</v>
      </c>
      <c r="D672" s="1" t="str">
        <f t="shared" si="44"/>
        <v>X</v>
      </c>
      <c r="E672">
        <f t="shared" si="42"/>
        <v>-1882611.7773906235</v>
      </c>
      <c r="F672">
        <v>0</v>
      </c>
      <c r="G672">
        <v>-15000</v>
      </c>
      <c r="H672" s="4">
        <f t="shared" si="45"/>
        <v>-15473.436768951866</v>
      </c>
      <c r="I672">
        <f t="shared" si="43"/>
        <v>-1913085.2141595753</v>
      </c>
    </row>
    <row r="673" spans="2:9" x14ac:dyDescent="0.3">
      <c r="B673">
        <v>671</v>
      </c>
      <c r="C673" s="1">
        <v>64224</v>
      </c>
      <c r="D673" s="1" t="str">
        <f t="shared" si="44"/>
        <v>XI</v>
      </c>
      <c r="E673">
        <f t="shared" si="42"/>
        <v>-1913085.2141595753</v>
      </c>
      <c r="F673">
        <v>0</v>
      </c>
      <c r="G673">
        <v>-15000</v>
      </c>
      <c r="H673" s="4">
        <f t="shared" si="45"/>
        <v>-25459.219037755742</v>
      </c>
      <c r="I673">
        <f t="shared" si="43"/>
        <v>-1953544.4331973311</v>
      </c>
    </row>
    <row r="674" spans="2:9" x14ac:dyDescent="0.3">
      <c r="B674">
        <v>672</v>
      </c>
      <c r="C674" s="1">
        <v>64254</v>
      </c>
      <c r="D674" s="1" t="str">
        <f t="shared" si="44"/>
        <v>XII</v>
      </c>
      <c r="E674">
        <f t="shared" si="42"/>
        <v>-1953544.4331973311</v>
      </c>
      <c r="F674">
        <v>0</v>
      </c>
      <c r="G674">
        <v>-15000</v>
      </c>
      <c r="H674" s="4">
        <f t="shared" si="45"/>
        <v>-29421.678119106975</v>
      </c>
      <c r="I674">
        <f t="shared" si="43"/>
        <v>-1997966.1113164381</v>
      </c>
    </row>
    <row r="675" spans="2:9" x14ac:dyDescent="0.3">
      <c r="B675">
        <v>673</v>
      </c>
      <c r="C675" s="1">
        <v>64285</v>
      </c>
      <c r="D675" s="1" t="str">
        <f t="shared" si="44"/>
        <v>I</v>
      </c>
      <c r="E675">
        <f t="shared" si="42"/>
        <v>-1997966.1113164381</v>
      </c>
      <c r="F675">
        <v>0</v>
      </c>
      <c r="G675">
        <v>-15000</v>
      </c>
      <c r="H675" s="4">
        <f t="shared" si="45"/>
        <v>-25719.929107837619</v>
      </c>
      <c r="I675">
        <f t="shared" si="43"/>
        <v>-2038686.0404242757</v>
      </c>
    </row>
    <row r="676" spans="2:9" x14ac:dyDescent="0.3">
      <c r="B676">
        <v>674</v>
      </c>
      <c r="C676" s="1">
        <v>64316</v>
      </c>
      <c r="D676" s="1" t="str">
        <f t="shared" si="44"/>
        <v>II</v>
      </c>
      <c r="E676">
        <f t="shared" si="42"/>
        <v>-2038686.0404242757</v>
      </c>
      <c r="F676">
        <v>0</v>
      </c>
      <c r="G676">
        <v>-15000</v>
      </c>
      <c r="H676" s="4">
        <f t="shared" si="45"/>
        <v>-1432.5334171931747</v>
      </c>
      <c r="I676">
        <f t="shared" si="43"/>
        <v>-2055118.5738414689</v>
      </c>
    </row>
    <row r="677" spans="2:9" x14ac:dyDescent="0.3">
      <c r="B677">
        <v>675</v>
      </c>
      <c r="C677" s="1">
        <v>64345</v>
      </c>
      <c r="D677" s="1" t="str">
        <f t="shared" si="44"/>
        <v>III</v>
      </c>
      <c r="E677">
        <f t="shared" si="42"/>
        <v>-2055118.5738414689</v>
      </c>
      <c r="F677">
        <v>0</v>
      </c>
      <c r="G677">
        <v>-15000</v>
      </c>
      <c r="H677" s="4">
        <f t="shared" si="45"/>
        <v>-18159.348471690304</v>
      </c>
      <c r="I677">
        <f t="shared" si="43"/>
        <v>-2088277.9223131591</v>
      </c>
    </row>
    <row r="678" spans="2:9" x14ac:dyDescent="0.3">
      <c r="B678">
        <v>676</v>
      </c>
      <c r="C678" s="1">
        <v>64376</v>
      </c>
      <c r="D678" s="1" t="str">
        <f t="shared" si="44"/>
        <v>IV</v>
      </c>
      <c r="E678">
        <f t="shared" si="42"/>
        <v>-2088277.9223131591</v>
      </c>
      <c r="F678">
        <v>0</v>
      </c>
      <c r="G678">
        <v>-15000</v>
      </c>
      <c r="H678" s="4">
        <f t="shared" si="45"/>
        <v>-36218.835311209979</v>
      </c>
      <c r="I678">
        <f t="shared" si="43"/>
        <v>-2139496.7576243691</v>
      </c>
    </row>
    <row r="679" spans="2:9" x14ac:dyDescent="0.3">
      <c r="B679">
        <v>677</v>
      </c>
      <c r="C679" s="1">
        <v>64406</v>
      </c>
      <c r="D679" s="1" t="str">
        <f t="shared" si="44"/>
        <v>V</v>
      </c>
      <c r="E679">
        <f t="shared" si="42"/>
        <v>-2139496.7576243691</v>
      </c>
      <c r="F679">
        <v>0</v>
      </c>
      <c r="G679">
        <v>-15000</v>
      </c>
      <c r="H679" s="4">
        <f t="shared" si="45"/>
        <v>-12287.944358897965</v>
      </c>
      <c r="I679">
        <f t="shared" si="43"/>
        <v>-2166784.701983267</v>
      </c>
    </row>
    <row r="680" spans="2:9" x14ac:dyDescent="0.3">
      <c r="B680">
        <v>678</v>
      </c>
      <c r="C680" s="1">
        <v>64437</v>
      </c>
      <c r="D680" s="1" t="str">
        <f t="shared" si="44"/>
        <v>VI</v>
      </c>
      <c r="E680">
        <f t="shared" si="42"/>
        <v>-2166784.701983267</v>
      </c>
      <c r="F680">
        <v>0</v>
      </c>
      <c r="G680">
        <v>-15000</v>
      </c>
      <c r="H680" s="4">
        <f t="shared" si="45"/>
        <v>-9425.2142802624148</v>
      </c>
      <c r="I680">
        <f t="shared" si="43"/>
        <v>-2191209.9162635296</v>
      </c>
    </row>
    <row r="681" spans="2:9" x14ac:dyDescent="0.3">
      <c r="B681">
        <v>679</v>
      </c>
      <c r="C681" s="1">
        <v>64467</v>
      </c>
      <c r="D681" s="1" t="str">
        <f t="shared" si="44"/>
        <v>VII</v>
      </c>
      <c r="E681">
        <f t="shared" si="42"/>
        <v>-2191209.9162635296</v>
      </c>
      <c r="F681">
        <v>0</v>
      </c>
      <c r="G681">
        <v>-15000</v>
      </c>
      <c r="H681" s="4">
        <f t="shared" si="45"/>
        <v>-13345.964548821581</v>
      </c>
      <c r="I681">
        <f t="shared" si="43"/>
        <v>-2219555.8808123511</v>
      </c>
    </row>
    <row r="682" spans="2:9" x14ac:dyDescent="0.3">
      <c r="B682">
        <v>680</v>
      </c>
      <c r="C682" s="1">
        <v>64498</v>
      </c>
      <c r="D682" s="1" t="str">
        <f t="shared" si="44"/>
        <v>VIII</v>
      </c>
      <c r="E682">
        <f t="shared" si="42"/>
        <v>-2219555.8808123511</v>
      </c>
      <c r="F682">
        <v>0</v>
      </c>
      <c r="G682">
        <v>-15000</v>
      </c>
      <c r="H682" s="4">
        <f t="shared" si="45"/>
        <v>-522.46192161626254</v>
      </c>
      <c r="I682">
        <f t="shared" si="43"/>
        <v>-2235078.3427339676</v>
      </c>
    </row>
    <row r="683" spans="2:9" x14ac:dyDescent="0.3">
      <c r="B683">
        <v>681</v>
      </c>
      <c r="C683" s="1">
        <v>64529</v>
      </c>
      <c r="D683" s="1" t="str">
        <f t="shared" si="44"/>
        <v>IX</v>
      </c>
      <c r="E683">
        <f t="shared" si="42"/>
        <v>-2235078.3427339676</v>
      </c>
      <c r="F683">
        <v>0</v>
      </c>
      <c r="G683">
        <v>-15000</v>
      </c>
      <c r="H683" s="4">
        <f t="shared" si="45"/>
        <v>13015.508048221709</v>
      </c>
      <c r="I683">
        <f t="shared" si="43"/>
        <v>-2237062.8346857456</v>
      </c>
    </row>
    <row r="684" spans="2:9" x14ac:dyDescent="0.3">
      <c r="B684">
        <v>682</v>
      </c>
      <c r="C684" s="1">
        <v>64559</v>
      </c>
      <c r="D684" s="1" t="str">
        <f t="shared" si="44"/>
        <v>X</v>
      </c>
      <c r="E684">
        <f t="shared" si="42"/>
        <v>-2237062.8346857456</v>
      </c>
      <c r="F684">
        <v>0</v>
      </c>
      <c r="G684">
        <v>-15000</v>
      </c>
      <c r="H684" s="4">
        <f t="shared" si="45"/>
        <v>-18363.688657188966</v>
      </c>
      <c r="I684">
        <f t="shared" si="43"/>
        <v>-2270426.5233429344</v>
      </c>
    </row>
    <row r="685" spans="2:9" x14ac:dyDescent="0.3">
      <c r="B685">
        <v>683</v>
      </c>
      <c r="C685" s="1">
        <v>64590</v>
      </c>
      <c r="D685" s="1" t="str">
        <f t="shared" si="44"/>
        <v>XI</v>
      </c>
      <c r="E685">
        <f t="shared" si="42"/>
        <v>-2270426.5233429344</v>
      </c>
      <c r="F685">
        <v>0</v>
      </c>
      <c r="G685">
        <v>-15000</v>
      </c>
      <c r="H685" s="4">
        <f t="shared" si="45"/>
        <v>-30177.698591940312</v>
      </c>
      <c r="I685">
        <f t="shared" si="43"/>
        <v>-2315604.2219348745</v>
      </c>
    </row>
    <row r="686" spans="2:9" x14ac:dyDescent="0.3">
      <c r="B686">
        <v>684</v>
      </c>
      <c r="C686" s="1">
        <v>64620</v>
      </c>
      <c r="D686" s="1" t="str">
        <f t="shared" si="44"/>
        <v>XII</v>
      </c>
      <c r="E686">
        <f t="shared" si="42"/>
        <v>-2315604.2219348745</v>
      </c>
      <c r="F686">
        <v>0</v>
      </c>
      <c r="G686">
        <v>-15000</v>
      </c>
      <c r="H686" s="4">
        <f t="shared" si="45"/>
        <v>-34832.989331831865</v>
      </c>
      <c r="I686">
        <f t="shared" si="43"/>
        <v>-2365437.2112667062</v>
      </c>
    </row>
    <row r="687" spans="2:9" x14ac:dyDescent="0.3">
      <c r="B687">
        <v>685</v>
      </c>
      <c r="C687" s="1">
        <v>64651</v>
      </c>
      <c r="D687" s="1" t="str">
        <f t="shared" si="44"/>
        <v>I</v>
      </c>
      <c r="E687">
        <f t="shared" si="42"/>
        <v>-2365437.2112667062</v>
      </c>
      <c r="F687">
        <v>0</v>
      </c>
      <c r="G687">
        <v>-15000</v>
      </c>
      <c r="H687" s="4">
        <f t="shared" si="45"/>
        <v>-30415.155016891316</v>
      </c>
      <c r="I687">
        <f t="shared" si="43"/>
        <v>-2410852.3662835974</v>
      </c>
    </row>
    <row r="688" spans="2:9" x14ac:dyDescent="0.3">
      <c r="B688">
        <v>686</v>
      </c>
      <c r="C688" s="1">
        <v>64682</v>
      </c>
      <c r="D688" s="1" t="str">
        <f t="shared" si="44"/>
        <v>II</v>
      </c>
      <c r="E688">
        <f t="shared" si="42"/>
        <v>-2410852.3662835974</v>
      </c>
      <c r="F688">
        <v>0</v>
      </c>
      <c r="G688">
        <v>-15000</v>
      </c>
      <c r="H688" s="4">
        <f t="shared" si="45"/>
        <v>-1692.1352687192921</v>
      </c>
      <c r="I688">
        <f t="shared" si="43"/>
        <v>-2427544.5015523168</v>
      </c>
    </row>
    <row r="689" spans="2:9" x14ac:dyDescent="0.3">
      <c r="B689">
        <v>687</v>
      </c>
      <c r="C689" s="1">
        <v>64710</v>
      </c>
      <c r="D689" s="1" t="str">
        <f t="shared" si="44"/>
        <v>III</v>
      </c>
      <c r="E689">
        <f t="shared" si="42"/>
        <v>-2427544.5015523168</v>
      </c>
      <c r="F689">
        <v>0</v>
      </c>
      <c r="G689">
        <v>-15000</v>
      </c>
      <c r="H689" s="4">
        <f t="shared" si="45"/>
        <v>-21426.316985790378</v>
      </c>
      <c r="I689">
        <f t="shared" si="43"/>
        <v>-2463970.818538107</v>
      </c>
    </row>
    <row r="690" spans="2:9" x14ac:dyDescent="0.3">
      <c r="B690">
        <v>688</v>
      </c>
      <c r="C690" s="1">
        <v>64741</v>
      </c>
      <c r="D690" s="1" t="str">
        <f t="shared" si="44"/>
        <v>IV</v>
      </c>
      <c r="E690">
        <f t="shared" si="42"/>
        <v>-2463970.818538107</v>
      </c>
      <c r="F690">
        <v>0</v>
      </c>
      <c r="G690">
        <v>-15000</v>
      </c>
      <c r="H690" s="4">
        <f t="shared" si="45"/>
        <v>-42688.336555723537</v>
      </c>
      <c r="I690">
        <f t="shared" si="43"/>
        <v>-2521659.1550938305</v>
      </c>
    </row>
    <row r="691" spans="2:9" x14ac:dyDescent="0.3">
      <c r="B691">
        <v>689</v>
      </c>
      <c r="C691" s="1">
        <v>64771</v>
      </c>
      <c r="D691" s="1" t="str">
        <f t="shared" si="44"/>
        <v>V</v>
      </c>
      <c r="E691">
        <f t="shared" ref="E691:E754" si="46">I690</f>
        <v>-2521659.1550938305</v>
      </c>
      <c r="F691">
        <v>0</v>
      </c>
      <c r="G691">
        <v>-15000</v>
      </c>
      <c r="H691" s="4">
        <f t="shared" si="45"/>
        <v>-14467.567168516749</v>
      </c>
      <c r="I691">
        <f t="shared" ref="I691:I754" si="47">SUM(E691:H691)</f>
        <v>-2551126.7222623471</v>
      </c>
    </row>
    <row r="692" spans="2:9" x14ac:dyDescent="0.3">
      <c r="B692">
        <v>690</v>
      </c>
      <c r="C692" s="1">
        <v>64802</v>
      </c>
      <c r="D692" s="1" t="str">
        <f t="shared" si="44"/>
        <v>VI</v>
      </c>
      <c r="E692">
        <f t="shared" si="46"/>
        <v>-2551126.7222623471</v>
      </c>
      <c r="F692">
        <v>0</v>
      </c>
      <c r="G692">
        <v>-15000</v>
      </c>
      <c r="H692" s="4">
        <f t="shared" si="45"/>
        <v>-11085.554961332547</v>
      </c>
      <c r="I692">
        <f t="shared" si="47"/>
        <v>-2577212.2772236797</v>
      </c>
    </row>
    <row r="693" spans="2:9" x14ac:dyDescent="0.3">
      <c r="B693">
        <v>691</v>
      </c>
      <c r="C693" s="1">
        <v>64832</v>
      </c>
      <c r="D693" s="1" t="str">
        <f t="shared" si="44"/>
        <v>VII</v>
      </c>
      <c r="E693">
        <f t="shared" si="46"/>
        <v>-2577212.2772236797</v>
      </c>
      <c r="F693">
        <v>0</v>
      </c>
      <c r="G693">
        <v>-15000</v>
      </c>
      <c r="H693" s="4">
        <f t="shared" si="45"/>
        <v>-15680.997941228945</v>
      </c>
      <c r="I693">
        <f t="shared" si="47"/>
        <v>-2607893.2751649087</v>
      </c>
    </row>
    <row r="694" spans="2:9" x14ac:dyDescent="0.3">
      <c r="B694">
        <v>692</v>
      </c>
      <c r="C694" s="1">
        <v>64863</v>
      </c>
      <c r="D694" s="1" t="str">
        <f t="shared" si="44"/>
        <v>VIII</v>
      </c>
      <c r="E694">
        <f t="shared" si="46"/>
        <v>-2607893.2751649087</v>
      </c>
      <c r="F694">
        <v>0</v>
      </c>
      <c r="G694">
        <v>-15000</v>
      </c>
      <c r="H694" s="4">
        <f t="shared" si="45"/>
        <v>-613.25915923787454</v>
      </c>
      <c r="I694">
        <f t="shared" si="47"/>
        <v>-2623506.5343241468</v>
      </c>
    </row>
    <row r="695" spans="2:9" x14ac:dyDescent="0.3">
      <c r="B695">
        <v>693</v>
      </c>
      <c r="C695" s="1">
        <v>64894</v>
      </c>
      <c r="D695" s="1" t="str">
        <f t="shared" si="44"/>
        <v>IX</v>
      </c>
      <c r="E695">
        <f t="shared" si="46"/>
        <v>-2623506.5343241468</v>
      </c>
      <c r="F695">
        <v>0</v>
      </c>
      <c r="G695">
        <v>-15000</v>
      </c>
      <c r="H695" s="4">
        <f t="shared" si="45"/>
        <v>15262.358816828888</v>
      </c>
      <c r="I695">
        <f t="shared" si="47"/>
        <v>-2623244.1755073178</v>
      </c>
    </row>
    <row r="696" spans="2:9" x14ac:dyDescent="0.3">
      <c r="B696">
        <v>694</v>
      </c>
      <c r="C696" s="1">
        <v>64924</v>
      </c>
      <c r="D696" s="1" t="str">
        <f t="shared" si="44"/>
        <v>X</v>
      </c>
      <c r="E696">
        <f t="shared" si="46"/>
        <v>-2623244.1755073178</v>
      </c>
      <c r="F696">
        <v>0</v>
      </c>
      <c r="G696">
        <v>-15000</v>
      </c>
      <c r="H696" s="4">
        <f t="shared" si="45"/>
        <v>-21512.674466482655</v>
      </c>
      <c r="I696">
        <f t="shared" si="47"/>
        <v>-2659756.8499738006</v>
      </c>
    </row>
    <row r="697" spans="2:9" x14ac:dyDescent="0.3">
      <c r="B697">
        <v>695</v>
      </c>
      <c r="C697" s="1">
        <v>64955</v>
      </c>
      <c r="D697" s="1" t="str">
        <f t="shared" si="44"/>
        <v>XI</v>
      </c>
      <c r="E697">
        <f t="shared" si="46"/>
        <v>-2659756.8499738006</v>
      </c>
      <c r="F697">
        <v>0</v>
      </c>
      <c r="G697">
        <v>-15000</v>
      </c>
      <c r="H697" s="4">
        <f t="shared" si="45"/>
        <v>-35318.57410456994</v>
      </c>
      <c r="I697">
        <f t="shared" si="47"/>
        <v>-2710075.4240783704</v>
      </c>
    </row>
    <row r="698" spans="2:9" x14ac:dyDescent="0.3">
      <c r="B698">
        <v>696</v>
      </c>
      <c r="C698" s="1">
        <v>64985</v>
      </c>
      <c r="D698" s="1" t="str">
        <f t="shared" si="44"/>
        <v>XII</v>
      </c>
      <c r="E698">
        <f t="shared" si="46"/>
        <v>-2710075.4240783704</v>
      </c>
      <c r="F698">
        <v>0</v>
      </c>
      <c r="G698">
        <v>-15000</v>
      </c>
      <c r="H698" s="4">
        <f t="shared" si="45"/>
        <v>-40728.718450769004</v>
      </c>
      <c r="I698">
        <f t="shared" si="47"/>
        <v>-2765804.1425291393</v>
      </c>
    </row>
    <row r="699" spans="2:9" x14ac:dyDescent="0.3">
      <c r="B699">
        <v>697</v>
      </c>
      <c r="C699" s="1">
        <v>65016</v>
      </c>
      <c r="D699" s="1" t="str">
        <f t="shared" si="44"/>
        <v>I</v>
      </c>
      <c r="E699">
        <f t="shared" si="46"/>
        <v>-2765804.1425291393</v>
      </c>
      <c r="F699">
        <v>0</v>
      </c>
      <c r="G699">
        <v>-15000</v>
      </c>
      <c r="H699" s="4">
        <f t="shared" si="45"/>
        <v>-35530.695229566823</v>
      </c>
      <c r="I699">
        <f t="shared" si="47"/>
        <v>-2816334.837758706</v>
      </c>
    </row>
    <row r="700" spans="2:9" x14ac:dyDescent="0.3">
      <c r="B700">
        <v>698</v>
      </c>
      <c r="C700" s="1">
        <v>65047</v>
      </c>
      <c r="D700" s="1" t="str">
        <f t="shared" si="44"/>
        <v>II</v>
      </c>
      <c r="E700">
        <f t="shared" si="46"/>
        <v>-2816334.837758706</v>
      </c>
      <c r="F700">
        <v>0</v>
      </c>
      <c r="G700">
        <v>-15000</v>
      </c>
      <c r="H700" s="4">
        <f t="shared" si="45"/>
        <v>-1974.9765497332919</v>
      </c>
      <c r="I700">
        <f t="shared" si="47"/>
        <v>-2833309.8143084394</v>
      </c>
    </row>
    <row r="701" spans="2:9" x14ac:dyDescent="0.3">
      <c r="B701">
        <v>699</v>
      </c>
      <c r="C701" s="1">
        <v>65075</v>
      </c>
      <c r="D701" s="1" t="str">
        <f t="shared" si="44"/>
        <v>III</v>
      </c>
      <c r="E701">
        <f t="shared" si="46"/>
        <v>-2833309.8143084394</v>
      </c>
      <c r="F701">
        <v>0</v>
      </c>
      <c r="G701">
        <v>-15000</v>
      </c>
      <c r="H701" s="4">
        <f t="shared" si="45"/>
        <v>-24985.74290717101</v>
      </c>
      <c r="I701">
        <f t="shared" si="47"/>
        <v>-2873295.5572156105</v>
      </c>
    </row>
    <row r="702" spans="2:9" x14ac:dyDescent="0.3">
      <c r="B702">
        <v>700</v>
      </c>
      <c r="C702" s="1">
        <v>65106</v>
      </c>
      <c r="D702" s="1" t="str">
        <f t="shared" si="44"/>
        <v>IV</v>
      </c>
      <c r="E702">
        <f t="shared" si="46"/>
        <v>-2873295.5572156105</v>
      </c>
      <c r="F702">
        <v>0</v>
      </c>
      <c r="G702">
        <v>-15000</v>
      </c>
      <c r="H702" s="4">
        <f t="shared" si="45"/>
        <v>-49736.984355278204</v>
      </c>
      <c r="I702">
        <f t="shared" si="47"/>
        <v>-2938032.5415708888</v>
      </c>
    </row>
    <row r="703" spans="2:9" x14ac:dyDescent="0.3">
      <c r="B703">
        <v>701</v>
      </c>
      <c r="C703" s="1">
        <v>65136</v>
      </c>
      <c r="D703" s="1" t="str">
        <f t="shared" si="44"/>
        <v>V</v>
      </c>
      <c r="E703">
        <f t="shared" si="46"/>
        <v>-2938032.5415708888</v>
      </c>
      <c r="F703">
        <v>0</v>
      </c>
      <c r="G703">
        <v>-15000</v>
      </c>
      <c r="H703" s="4">
        <f t="shared" si="45"/>
        <v>-16842.308735172675</v>
      </c>
      <c r="I703">
        <f t="shared" si="47"/>
        <v>-2969874.8503060616</v>
      </c>
    </row>
    <row r="704" spans="2:9" x14ac:dyDescent="0.3">
      <c r="B704">
        <v>702</v>
      </c>
      <c r="C704" s="1">
        <v>65167</v>
      </c>
      <c r="D704" s="1" t="str">
        <f t="shared" si="44"/>
        <v>VI</v>
      </c>
      <c r="E704">
        <f t="shared" si="46"/>
        <v>-2969874.8503060616</v>
      </c>
      <c r="F704">
        <v>0</v>
      </c>
      <c r="G704">
        <v>-15000</v>
      </c>
      <c r="H704" s="4">
        <f t="shared" si="45"/>
        <v>-12894.528519852365</v>
      </c>
      <c r="I704">
        <f t="shared" si="47"/>
        <v>-2997769.3788259141</v>
      </c>
    </row>
    <row r="705" spans="2:9" x14ac:dyDescent="0.3">
      <c r="B705">
        <v>703</v>
      </c>
      <c r="C705" s="1">
        <v>65197</v>
      </c>
      <c r="D705" s="1" t="str">
        <f t="shared" si="44"/>
        <v>VII</v>
      </c>
      <c r="E705">
        <f t="shared" si="46"/>
        <v>-2997769.3788259141</v>
      </c>
      <c r="F705">
        <v>0</v>
      </c>
      <c r="G705">
        <v>-15000</v>
      </c>
      <c r="H705" s="4">
        <f t="shared" si="45"/>
        <v>-18225.062369261432</v>
      </c>
      <c r="I705">
        <f t="shared" si="47"/>
        <v>-3030994.4411951755</v>
      </c>
    </row>
    <row r="706" spans="2:9" x14ac:dyDescent="0.3">
      <c r="B706">
        <v>704</v>
      </c>
      <c r="C706" s="1">
        <v>65228</v>
      </c>
      <c r="D706" s="1" t="str">
        <f t="shared" si="44"/>
        <v>VIII</v>
      </c>
      <c r="E706">
        <f t="shared" si="46"/>
        <v>-3030994.4411951755</v>
      </c>
      <c r="F706">
        <v>0</v>
      </c>
      <c r="G706">
        <v>-15000</v>
      </c>
      <c r="H706" s="4">
        <f t="shared" si="45"/>
        <v>-712.18452071144509</v>
      </c>
      <c r="I706">
        <f t="shared" si="47"/>
        <v>-3046706.6257158872</v>
      </c>
    </row>
    <row r="707" spans="2:9" x14ac:dyDescent="0.3">
      <c r="B707">
        <v>705</v>
      </c>
      <c r="C707" s="1">
        <v>65259</v>
      </c>
      <c r="D707" s="1" t="str">
        <f t="shared" si="44"/>
        <v>IX</v>
      </c>
      <c r="E707">
        <f t="shared" si="46"/>
        <v>-3046706.6257158872</v>
      </c>
      <c r="F707">
        <v>0</v>
      </c>
      <c r="G707">
        <v>-15000</v>
      </c>
      <c r="H707" s="4">
        <f t="shared" si="45"/>
        <v>17710.346556146727</v>
      </c>
      <c r="I707">
        <f t="shared" si="47"/>
        <v>-3043996.2791597405</v>
      </c>
    </row>
    <row r="708" spans="2:9" x14ac:dyDescent="0.3">
      <c r="B708">
        <v>706</v>
      </c>
      <c r="C708" s="1">
        <v>65289</v>
      </c>
      <c r="D708" s="1" t="str">
        <f t="shared" ref="D708:D771" si="48">TEXT(C708,"mmm")</f>
        <v>X</v>
      </c>
      <c r="E708">
        <f t="shared" si="46"/>
        <v>-3043996.2791597405</v>
      </c>
      <c r="F708">
        <v>0</v>
      </c>
      <c r="G708">
        <v>-15000</v>
      </c>
      <c r="H708" s="4">
        <f t="shared" si="45"/>
        <v>-24943.555929614016</v>
      </c>
      <c r="I708">
        <f t="shared" si="47"/>
        <v>-3083939.8350893548</v>
      </c>
    </row>
    <row r="709" spans="2:9" x14ac:dyDescent="0.3">
      <c r="B709">
        <v>707</v>
      </c>
      <c r="C709" s="1">
        <v>65320</v>
      </c>
      <c r="D709" s="1" t="str">
        <f t="shared" si="48"/>
        <v>XI</v>
      </c>
      <c r="E709">
        <f t="shared" si="46"/>
        <v>-3083939.8350893548</v>
      </c>
      <c r="F709">
        <v>0</v>
      </c>
      <c r="G709">
        <v>-15000</v>
      </c>
      <c r="H709" s="4">
        <f t="shared" ref="H709:H772" si="49">SUM(E709:G709)*VLOOKUP(D709,$U$4:$V$15,2,FALSE)</f>
        <v>-40919.658253152695</v>
      </c>
      <c r="I709">
        <f t="shared" si="47"/>
        <v>-3139859.4933425076</v>
      </c>
    </row>
    <row r="710" spans="2:9" x14ac:dyDescent="0.3">
      <c r="B710">
        <v>708</v>
      </c>
      <c r="C710" s="1">
        <v>65350</v>
      </c>
      <c r="D710" s="1" t="str">
        <f t="shared" si="48"/>
        <v>XII</v>
      </c>
      <c r="E710">
        <f t="shared" si="46"/>
        <v>-3139859.4933425076</v>
      </c>
      <c r="F710">
        <v>0</v>
      </c>
      <c r="G710">
        <v>-15000</v>
      </c>
      <c r="H710" s="4">
        <f t="shared" si="49"/>
        <v>-47152.230327547593</v>
      </c>
      <c r="I710">
        <f t="shared" si="47"/>
        <v>-3202011.7236700552</v>
      </c>
    </row>
    <row r="711" spans="2:9" x14ac:dyDescent="0.3">
      <c r="B711">
        <v>709</v>
      </c>
      <c r="C711" s="1">
        <v>65381</v>
      </c>
      <c r="D711" s="1" t="str">
        <f t="shared" si="48"/>
        <v>I</v>
      </c>
      <c r="E711">
        <f t="shared" si="46"/>
        <v>-3202011.7236700552</v>
      </c>
      <c r="F711">
        <v>0</v>
      </c>
      <c r="G711">
        <v>-15000</v>
      </c>
      <c r="H711" s="4">
        <f t="shared" si="49"/>
        <v>-41104.1760746609</v>
      </c>
      <c r="I711">
        <f t="shared" si="47"/>
        <v>-3258115.899744716</v>
      </c>
    </row>
    <row r="712" spans="2:9" x14ac:dyDescent="0.3">
      <c r="B712">
        <v>710</v>
      </c>
      <c r="C712" s="1">
        <v>65412</v>
      </c>
      <c r="D712" s="1" t="str">
        <f t="shared" si="48"/>
        <v>II</v>
      </c>
      <c r="E712">
        <f t="shared" si="46"/>
        <v>-3258115.899744716</v>
      </c>
      <c r="F712">
        <v>0</v>
      </c>
      <c r="G712">
        <v>-15000</v>
      </c>
      <c r="H712" s="4">
        <f t="shared" si="49"/>
        <v>-2283.1376424810924</v>
      </c>
      <c r="I712">
        <f t="shared" si="47"/>
        <v>-3275399.0373871969</v>
      </c>
    </row>
    <row r="713" spans="2:9" x14ac:dyDescent="0.3">
      <c r="B713">
        <v>711</v>
      </c>
      <c r="C713" s="1">
        <v>65440</v>
      </c>
      <c r="D713" s="1" t="str">
        <f t="shared" si="48"/>
        <v>III</v>
      </c>
      <c r="E713">
        <f t="shared" si="46"/>
        <v>-3275399.0373871969</v>
      </c>
      <c r="F713">
        <v>0</v>
      </c>
      <c r="G713">
        <v>-15000</v>
      </c>
      <c r="H713" s="4">
        <f t="shared" si="49"/>
        <v>-28863.806878438379</v>
      </c>
      <c r="I713">
        <f t="shared" si="47"/>
        <v>-3319262.8442656351</v>
      </c>
    </row>
    <row r="714" spans="2:9" x14ac:dyDescent="0.3">
      <c r="B714">
        <v>712</v>
      </c>
      <c r="C714" s="1">
        <v>65471</v>
      </c>
      <c r="D714" s="1" t="str">
        <f t="shared" si="48"/>
        <v>IV</v>
      </c>
      <c r="E714">
        <f t="shared" si="46"/>
        <v>-3319262.8442656351</v>
      </c>
      <c r="F714">
        <v>0</v>
      </c>
      <c r="G714">
        <v>-15000</v>
      </c>
      <c r="H714" s="4">
        <f t="shared" si="49"/>
        <v>-57416.623623343985</v>
      </c>
      <c r="I714">
        <f t="shared" si="47"/>
        <v>-3391679.4678889792</v>
      </c>
    </row>
    <row r="715" spans="2:9" x14ac:dyDescent="0.3">
      <c r="B715">
        <v>713</v>
      </c>
      <c r="C715" s="1">
        <v>65501</v>
      </c>
      <c r="D715" s="1" t="str">
        <f t="shared" si="48"/>
        <v>V</v>
      </c>
      <c r="E715">
        <f t="shared" si="46"/>
        <v>-3391679.4678889792</v>
      </c>
      <c r="F715">
        <v>0</v>
      </c>
      <c r="G715">
        <v>-15000</v>
      </c>
      <c r="H715" s="4">
        <f t="shared" si="49"/>
        <v>-19429.635993593951</v>
      </c>
      <c r="I715">
        <f t="shared" si="47"/>
        <v>-3426109.1038825731</v>
      </c>
    </row>
    <row r="716" spans="2:9" x14ac:dyDescent="0.3">
      <c r="B716">
        <v>714</v>
      </c>
      <c r="C716" s="1">
        <v>65532</v>
      </c>
      <c r="D716" s="1" t="str">
        <f t="shared" si="48"/>
        <v>VI</v>
      </c>
      <c r="E716">
        <f t="shared" si="46"/>
        <v>-3426109.1038825731</v>
      </c>
      <c r="F716">
        <v>0</v>
      </c>
      <c r="G716">
        <v>-15000</v>
      </c>
      <c r="H716" s="4">
        <f t="shared" si="49"/>
        <v>-14865.440497576545</v>
      </c>
      <c r="I716">
        <f t="shared" si="47"/>
        <v>-3455974.5443801498</v>
      </c>
    </row>
    <row r="717" spans="2:9" x14ac:dyDescent="0.3">
      <c r="B717">
        <v>715</v>
      </c>
      <c r="C717" s="1">
        <v>65562</v>
      </c>
      <c r="D717" s="1" t="str">
        <f t="shared" si="48"/>
        <v>VII</v>
      </c>
      <c r="E717">
        <f t="shared" si="46"/>
        <v>-3455974.5443801498</v>
      </c>
      <c r="F717">
        <v>0</v>
      </c>
      <c r="G717">
        <v>-15000</v>
      </c>
      <c r="H717" s="4">
        <f t="shared" si="49"/>
        <v>-20996.870187952834</v>
      </c>
      <c r="I717">
        <f t="shared" si="47"/>
        <v>-3491971.4145681025</v>
      </c>
    </row>
    <row r="718" spans="2:9" x14ac:dyDescent="0.3">
      <c r="B718">
        <v>716</v>
      </c>
      <c r="C718" s="1">
        <v>65593</v>
      </c>
      <c r="D718" s="1" t="str">
        <f t="shared" si="48"/>
        <v>VIII</v>
      </c>
      <c r="E718">
        <f t="shared" si="46"/>
        <v>-3491971.4145681025</v>
      </c>
      <c r="F718">
        <v>0</v>
      </c>
      <c r="G718">
        <v>-15000</v>
      </c>
      <c r="H718" s="4">
        <f t="shared" si="49"/>
        <v>-819.96563166836233</v>
      </c>
      <c r="I718">
        <f t="shared" si="47"/>
        <v>-3507791.3801997709</v>
      </c>
    </row>
    <row r="719" spans="2:9" x14ac:dyDescent="0.3">
      <c r="B719">
        <v>717</v>
      </c>
      <c r="C719" s="1">
        <v>65624</v>
      </c>
      <c r="D719" s="1" t="str">
        <f t="shared" si="48"/>
        <v>IX</v>
      </c>
      <c r="E719">
        <f t="shared" si="46"/>
        <v>-3507791.3801997709</v>
      </c>
      <c r="F719">
        <v>0</v>
      </c>
      <c r="G719">
        <v>-15000</v>
      </c>
      <c r="H719" s="4">
        <f t="shared" si="49"/>
        <v>20377.47694841808</v>
      </c>
      <c r="I719">
        <f t="shared" si="47"/>
        <v>-3502413.9032513527</v>
      </c>
    </row>
    <row r="720" spans="2:9" x14ac:dyDescent="0.3">
      <c r="B720">
        <v>718</v>
      </c>
      <c r="C720" s="1">
        <v>65654</v>
      </c>
      <c r="D720" s="1" t="str">
        <f t="shared" si="48"/>
        <v>X</v>
      </c>
      <c r="E720">
        <f t="shared" si="46"/>
        <v>-3502413.9032513527</v>
      </c>
      <c r="F720">
        <v>0</v>
      </c>
      <c r="G720">
        <v>-15000</v>
      </c>
      <c r="H720" s="4">
        <f t="shared" si="49"/>
        <v>-28681.568206239212</v>
      </c>
      <c r="I720">
        <f t="shared" si="47"/>
        <v>-3546095.4714575917</v>
      </c>
    </row>
    <row r="721" spans="2:9" x14ac:dyDescent="0.3">
      <c r="B721">
        <v>719</v>
      </c>
      <c r="C721" s="1">
        <v>65685</v>
      </c>
      <c r="D721" s="1" t="str">
        <f t="shared" si="48"/>
        <v>XI</v>
      </c>
      <c r="E721">
        <f t="shared" si="46"/>
        <v>-3546095.4714575917</v>
      </c>
      <c r="F721">
        <v>0</v>
      </c>
      <c r="G721">
        <v>-15000</v>
      </c>
      <c r="H721" s="4">
        <f t="shared" si="49"/>
        <v>-47022.148687405112</v>
      </c>
      <c r="I721">
        <f t="shared" si="47"/>
        <v>-3608117.6201449968</v>
      </c>
    </row>
    <row r="722" spans="2:9" x14ac:dyDescent="0.3">
      <c r="B722">
        <v>720</v>
      </c>
      <c r="C722" s="1">
        <v>65715</v>
      </c>
      <c r="D722" s="1" t="str">
        <f t="shared" si="48"/>
        <v>XII</v>
      </c>
      <c r="E722">
        <f t="shared" si="46"/>
        <v>-3608117.6201449968</v>
      </c>
      <c r="F722">
        <v>0</v>
      </c>
      <c r="G722">
        <v>-15000</v>
      </c>
      <c r="H722" s="4">
        <f t="shared" si="49"/>
        <v>-54150.771813889434</v>
      </c>
      <c r="I722">
        <f t="shared" si="47"/>
        <v>-3677268.3919588863</v>
      </c>
    </row>
    <row r="723" spans="2:9" x14ac:dyDescent="0.3">
      <c r="B723">
        <v>721</v>
      </c>
      <c r="C723" s="1">
        <v>65746</v>
      </c>
      <c r="D723" s="1" t="str">
        <f t="shared" si="48"/>
        <v>I</v>
      </c>
      <c r="E723">
        <f t="shared" si="46"/>
        <v>-3677268.3919588863</v>
      </c>
      <c r="F723">
        <v>0</v>
      </c>
      <c r="G723">
        <v>-15000</v>
      </c>
      <c r="H723" s="4">
        <f t="shared" si="49"/>
        <v>-47176.592171334218</v>
      </c>
      <c r="I723">
        <f t="shared" si="47"/>
        <v>-3739444.9841302205</v>
      </c>
    </row>
    <row r="724" spans="2:9" x14ac:dyDescent="0.3">
      <c r="B724">
        <v>722</v>
      </c>
      <c r="C724" s="1">
        <v>65777</v>
      </c>
      <c r="D724" s="1" t="str">
        <f t="shared" si="48"/>
        <v>II</v>
      </c>
      <c r="E724">
        <f t="shared" si="46"/>
        <v>-3739444.9841302205</v>
      </c>
      <c r="F724">
        <v>0</v>
      </c>
      <c r="G724">
        <v>-15000</v>
      </c>
      <c r="H724" s="4">
        <f t="shared" si="49"/>
        <v>-2618.8851639994155</v>
      </c>
      <c r="I724">
        <f t="shared" si="47"/>
        <v>-3757063.8692942201</v>
      </c>
    </row>
    <row r="725" spans="2:9" x14ac:dyDescent="0.3">
      <c r="B725">
        <v>723</v>
      </c>
      <c r="C725" s="1">
        <v>65806</v>
      </c>
      <c r="D725" s="1" t="str">
        <f t="shared" si="48"/>
        <v>III</v>
      </c>
      <c r="E725">
        <f t="shared" si="46"/>
        <v>-3757063.8692942201</v>
      </c>
      <c r="F725">
        <v>0</v>
      </c>
      <c r="G725">
        <v>-15000</v>
      </c>
      <c r="H725" s="4">
        <f t="shared" si="49"/>
        <v>-33089.033220389749</v>
      </c>
      <c r="I725">
        <f t="shared" si="47"/>
        <v>-3805152.90251461</v>
      </c>
    </row>
    <row r="726" spans="2:9" x14ac:dyDescent="0.3">
      <c r="B726">
        <v>724</v>
      </c>
      <c r="C726" s="1">
        <v>65837</v>
      </c>
      <c r="D726" s="1" t="str">
        <f t="shared" si="48"/>
        <v>IV</v>
      </c>
      <c r="E726">
        <f t="shared" si="46"/>
        <v>-3805152.90251461</v>
      </c>
      <c r="F726">
        <v>0</v>
      </c>
      <c r="G726">
        <v>-15000</v>
      </c>
      <c r="H726" s="4">
        <f t="shared" si="49"/>
        <v>-65783.740404429846</v>
      </c>
      <c r="I726">
        <f t="shared" si="47"/>
        <v>-3885936.6429190398</v>
      </c>
    </row>
    <row r="727" spans="2:9" x14ac:dyDescent="0.3">
      <c r="B727">
        <v>725</v>
      </c>
      <c r="C727" s="1">
        <v>65867</v>
      </c>
      <c r="D727" s="1" t="str">
        <f t="shared" si="48"/>
        <v>V</v>
      </c>
      <c r="E727">
        <f t="shared" si="46"/>
        <v>-3885936.6429190398</v>
      </c>
      <c r="F727">
        <v>0</v>
      </c>
      <c r="G727">
        <v>-15000</v>
      </c>
      <c r="H727" s="4">
        <f t="shared" si="49"/>
        <v>-22248.579509875795</v>
      </c>
      <c r="I727">
        <f t="shared" si="47"/>
        <v>-3923185.2224289156</v>
      </c>
    </row>
    <row r="728" spans="2:9" x14ac:dyDescent="0.3">
      <c r="B728">
        <v>726</v>
      </c>
      <c r="C728" s="1">
        <v>65898</v>
      </c>
      <c r="D728" s="1" t="str">
        <f t="shared" si="48"/>
        <v>VI</v>
      </c>
      <c r="E728">
        <f t="shared" si="46"/>
        <v>-3923185.2224289156</v>
      </c>
      <c r="F728">
        <v>0</v>
      </c>
      <c r="G728">
        <v>-15000</v>
      </c>
      <c r="H728" s="4">
        <f t="shared" si="49"/>
        <v>-17012.787541783811</v>
      </c>
      <c r="I728">
        <f t="shared" si="47"/>
        <v>-3955198.0099706994</v>
      </c>
    </row>
    <row r="729" spans="2:9" x14ac:dyDescent="0.3">
      <c r="B729">
        <v>727</v>
      </c>
      <c r="C729" s="1">
        <v>65928</v>
      </c>
      <c r="D729" s="1" t="str">
        <f t="shared" si="48"/>
        <v>VII</v>
      </c>
      <c r="E729">
        <f t="shared" si="46"/>
        <v>-3955198.0099706994</v>
      </c>
      <c r="F729">
        <v>0</v>
      </c>
      <c r="G729">
        <v>-15000</v>
      </c>
      <c r="H729" s="4">
        <f t="shared" si="49"/>
        <v>-24016.808873114416</v>
      </c>
      <c r="I729">
        <f t="shared" si="47"/>
        <v>-3994214.8188438141</v>
      </c>
    </row>
    <row r="730" spans="2:9" x14ac:dyDescent="0.3">
      <c r="B730">
        <v>728</v>
      </c>
      <c r="C730" s="1">
        <v>65959</v>
      </c>
      <c r="D730" s="1" t="str">
        <f t="shared" si="48"/>
        <v>VIII</v>
      </c>
      <c r="E730">
        <f t="shared" si="46"/>
        <v>-3994214.8188438141</v>
      </c>
      <c r="F730">
        <v>0</v>
      </c>
      <c r="G730">
        <v>-15000</v>
      </c>
      <c r="H730" s="4">
        <f t="shared" si="49"/>
        <v>-937.39525442704121</v>
      </c>
      <c r="I730">
        <f t="shared" si="47"/>
        <v>-4010152.2140982412</v>
      </c>
    </row>
    <row r="731" spans="2:9" x14ac:dyDescent="0.3">
      <c r="B731">
        <v>729</v>
      </c>
      <c r="C731" s="1">
        <v>65990</v>
      </c>
      <c r="D731" s="1" t="str">
        <f t="shared" si="48"/>
        <v>IX</v>
      </c>
      <c r="E731">
        <f t="shared" si="46"/>
        <v>-4010152.2140982412</v>
      </c>
      <c r="F731">
        <v>0</v>
      </c>
      <c r="G731">
        <v>-15000</v>
      </c>
      <c r="H731" s="4">
        <f t="shared" si="49"/>
        <v>23283.367535664165</v>
      </c>
      <c r="I731">
        <f t="shared" si="47"/>
        <v>-4001868.8465625769</v>
      </c>
    </row>
    <row r="732" spans="2:9" x14ac:dyDescent="0.3">
      <c r="B732">
        <v>730</v>
      </c>
      <c r="C732" s="1">
        <v>66020</v>
      </c>
      <c r="D732" s="1" t="str">
        <f t="shared" si="48"/>
        <v>X</v>
      </c>
      <c r="E732">
        <f t="shared" si="46"/>
        <v>-4001868.8465625769</v>
      </c>
      <c r="F732">
        <v>0</v>
      </c>
      <c r="G732">
        <v>-15000</v>
      </c>
      <c r="H732" s="4">
        <f t="shared" si="49"/>
        <v>-32754.205495038983</v>
      </c>
      <c r="I732">
        <f t="shared" si="47"/>
        <v>-4049623.0520576159</v>
      </c>
    </row>
    <row r="733" spans="2:9" x14ac:dyDescent="0.3">
      <c r="B733">
        <v>731</v>
      </c>
      <c r="C733" s="1">
        <v>66051</v>
      </c>
      <c r="D733" s="1" t="str">
        <f t="shared" si="48"/>
        <v>XI</v>
      </c>
      <c r="E733">
        <f t="shared" si="46"/>
        <v>-4049623.0520576159</v>
      </c>
      <c r="F733">
        <v>0</v>
      </c>
      <c r="G733">
        <v>-15000</v>
      </c>
      <c r="H733" s="4">
        <f t="shared" si="49"/>
        <v>-53670.931050292027</v>
      </c>
      <c r="I733">
        <f t="shared" si="47"/>
        <v>-4118293.9831079082</v>
      </c>
    </row>
    <row r="734" spans="2:9" x14ac:dyDescent="0.3">
      <c r="B734">
        <v>732</v>
      </c>
      <c r="C734" s="1">
        <v>66081</v>
      </c>
      <c r="D734" s="1" t="str">
        <f t="shared" si="48"/>
        <v>XII</v>
      </c>
      <c r="E734">
        <f t="shared" si="46"/>
        <v>-4118293.9831079082</v>
      </c>
      <c r="F734">
        <v>0</v>
      </c>
      <c r="G734">
        <v>-15000</v>
      </c>
      <c r="H734" s="4">
        <f t="shared" si="49"/>
        <v>-61775.819276339476</v>
      </c>
      <c r="I734">
        <f t="shared" si="47"/>
        <v>-4195069.802384248</v>
      </c>
    </row>
    <row r="735" spans="2:9" x14ac:dyDescent="0.3">
      <c r="B735">
        <v>733</v>
      </c>
      <c r="C735" s="1">
        <v>66112</v>
      </c>
      <c r="D735" s="1" t="str">
        <f t="shared" si="48"/>
        <v>I</v>
      </c>
      <c r="E735">
        <f t="shared" si="46"/>
        <v>-4195069.802384248</v>
      </c>
      <c r="F735">
        <v>0</v>
      </c>
      <c r="G735">
        <v>-15000</v>
      </c>
      <c r="H735" s="4">
        <f t="shared" si="49"/>
        <v>-53792.607956800697</v>
      </c>
      <c r="I735">
        <f t="shared" si="47"/>
        <v>-4263862.4103410486</v>
      </c>
    </row>
    <row r="736" spans="2:9" x14ac:dyDescent="0.3">
      <c r="B736">
        <v>734</v>
      </c>
      <c r="C736" s="1">
        <v>66143</v>
      </c>
      <c r="D736" s="1" t="str">
        <f t="shared" si="48"/>
        <v>II</v>
      </c>
      <c r="E736">
        <f t="shared" si="46"/>
        <v>-4263862.4103410486</v>
      </c>
      <c r="F736">
        <v>0</v>
      </c>
      <c r="G736">
        <v>-15000</v>
      </c>
      <c r="H736" s="4">
        <f t="shared" si="49"/>
        <v>-2984.6886377622527</v>
      </c>
      <c r="I736">
        <f t="shared" si="47"/>
        <v>-4281847.0989788109</v>
      </c>
    </row>
    <row r="737" spans="2:9" x14ac:dyDescent="0.3">
      <c r="B737">
        <v>735</v>
      </c>
      <c r="C737" s="1">
        <v>66171</v>
      </c>
      <c r="D737" s="1" t="str">
        <f t="shared" si="48"/>
        <v>III</v>
      </c>
      <c r="E737">
        <f t="shared" si="46"/>
        <v>-4281847.0989788109</v>
      </c>
      <c r="F737">
        <v>0</v>
      </c>
      <c r="G737">
        <v>-15000</v>
      </c>
      <c r="H737" s="4">
        <f t="shared" si="49"/>
        <v>-37692.499736927253</v>
      </c>
      <c r="I737">
        <f t="shared" si="47"/>
        <v>-4334539.5987157384</v>
      </c>
    </row>
    <row r="738" spans="2:9" x14ac:dyDescent="0.3">
      <c r="B738">
        <v>736</v>
      </c>
      <c r="C738" s="1">
        <v>66202</v>
      </c>
      <c r="D738" s="1" t="str">
        <f t="shared" si="48"/>
        <v>IV</v>
      </c>
      <c r="E738">
        <f t="shared" si="46"/>
        <v>-4334539.5987157384</v>
      </c>
      <c r="F738">
        <v>0</v>
      </c>
      <c r="G738">
        <v>-15000</v>
      </c>
      <c r="H738" s="4">
        <f t="shared" si="49"/>
        <v>-74899.877345841349</v>
      </c>
      <c r="I738">
        <f t="shared" si="47"/>
        <v>-4424439.4760615798</v>
      </c>
    </row>
    <row r="739" spans="2:9" x14ac:dyDescent="0.3">
      <c r="B739">
        <v>737</v>
      </c>
      <c r="C739" s="1">
        <v>66232</v>
      </c>
      <c r="D739" s="1" t="str">
        <f t="shared" si="48"/>
        <v>V</v>
      </c>
      <c r="E739">
        <f t="shared" si="46"/>
        <v>-4424439.4760615798</v>
      </c>
      <c r="F739">
        <v>0</v>
      </c>
      <c r="G739">
        <v>-15000</v>
      </c>
      <c r="H739" s="4">
        <f t="shared" si="49"/>
        <v>-25319.873456987931</v>
      </c>
      <c r="I739">
        <f t="shared" si="47"/>
        <v>-4464759.3495185673</v>
      </c>
    </row>
    <row r="740" spans="2:9" x14ac:dyDescent="0.3">
      <c r="B740">
        <v>738</v>
      </c>
      <c r="C740" s="1">
        <v>66263</v>
      </c>
      <c r="D740" s="1" t="str">
        <f t="shared" si="48"/>
        <v>VI</v>
      </c>
      <c r="E740">
        <f t="shared" si="46"/>
        <v>-4464759.3495185673</v>
      </c>
      <c r="F740">
        <v>0</v>
      </c>
      <c r="G740">
        <v>-15000</v>
      </c>
      <c r="H740" s="4">
        <f t="shared" si="49"/>
        <v>-19352.364032454974</v>
      </c>
      <c r="I740">
        <f t="shared" si="47"/>
        <v>-4499111.7135510221</v>
      </c>
    </row>
    <row r="741" spans="2:9" x14ac:dyDescent="0.3">
      <c r="B741">
        <v>739</v>
      </c>
      <c r="C741" s="1">
        <v>66293</v>
      </c>
      <c r="D741" s="1" t="str">
        <f t="shared" si="48"/>
        <v>VII</v>
      </c>
      <c r="E741">
        <f t="shared" si="46"/>
        <v>-4499111.7135510221</v>
      </c>
      <c r="F741">
        <v>0</v>
      </c>
      <c r="G741">
        <v>-15000</v>
      </c>
      <c r="H741" s="4">
        <f t="shared" si="49"/>
        <v>-27307.090977319294</v>
      </c>
      <c r="I741">
        <f t="shared" si="47"/>
        <v>-4541418.8045283416</v>
      </c>
    </row>
    <row r="742" spans="2:9" x14ac:dyDescent="0.3">
      <c r="B742">
        <v>740</v>
      </c>
      <c r="C742" s="1">
        <v>66324</v>
      </c>
      <c r="D742" s="1" t="str">
        <f t="shared" si="48"/>
        <v>VIII</v>
      </c>
      <c r="E742">
        <f t="shared" si="46"/>
        <v>-4541418.8045283416</v>
      </c>
      <c r="F742">
        <v>0</v>
      </c>
      <c r="G742">
        <v>-15000</v>
      </c>
      <c r="H742" s="4">
        <f t="shared" si="49"/>
        <v>-1065.337118996963</v>
      </c>
      <c r="I742">
        <f t="shared" si="47"/>
        <v>-4557484.1416473389</v>
      </c>
    </row>
    <row r="743" spans="2:9" x14ac:dyDescent="0.3">
      <c r="B743">
        <v>741</v>
      </c>
      <c r="C743" s="1">
        <v>66355</v>
      </c>
      <c r="D743" s="1" t="str">
        <f t="shared" si="48"/>
        <v>IX</v>
      </c>
      <c r="E743">
        <f t="shared" si="46"/>
        <v>-4557484.1416473389</v>
      </c>
      <c r="F743">
        <v>0</v>
      </c>
      <c r="G743">
        <v>-15000</v>
      </c>
      <c r="H743" s="4">
        <f t="shared" si="49"/>
        <v>26449.392012575569</v>
      </c>
      <c r="I743">
        <f t="shared" si="47"/>
        <v>-4546034.7496347632</v>
      </c>
    </row>
    <row r="744" spans="2:9" x14ac:dyDescent="0.3">
      <c r="B744">
        <v>742</v>
      </c>
      <c r="C744" s="1">
        <v>66385</v>
      </c>
      <c r="D744" s="1" t="str">
        <f t="shared" si="48"/>
        <v>X</v>
      </c>
      <c r="E744">
        <f t="shared" si="46"/>
        <v>-4546034.7496347632</v>
      </c>
      <c r="F744">
        <v>0</v>
      </c>
      <c r="G744">
        <v>-15000</v>
      </c>
      <c r="H744" s="4">
        <f t="shared" si="49"/>
        <v>-37191.423261775992</v>
      </c>
      <c r="I744">
        <f t="shared" si="47"/>
        <v>-4598226.1728965389</v>
      </c>
    </row>
    <row r="745" spans="2:9" x14ac:dyDescent="0.3">
      <c r="B745">
        <v>743</v>
      </c>
      <c r="C745" s="1">
        <v>66416</v>
      </c>
      <c r="D745" s="1" t="str">
        <f t="shared" si="48"/>
        <v>XI</v>
      </c>
      <c r="E745">
        <f t="shared" si="46"/>
        <v>-4598226.1728965389</v>
      </c>
      <c r="F745">
        <v>0</v>
      </c>
      <c r="G745">
        <v>-15000</v>
      </c>
      <c r="H745" s="4">
        <f t="shared" si="49"/>
        <v>-60914.909125359911</v>
      </c>
      <c r="I745">
        <f t="shared" si="47"/>
        <v>-4674141.0820218986</v>
      </c>
    </row>
    <row r="746" spans="2:9" x14ac:dyDescent="0.3">
      <c r="B746">
        <v>744</v>
      </c>
      <c r="C746" s="1">
        <v>66446</v>
      </c>
      <c r="D746" s="1" t="str">
        <f t="shared" si="48"/>
        <v>XII</v>
      </c>
      <c r="E746">
        <f t="shared" si="46"/>
        <v>-4674141.0820218986</v>
      </c>
      <c r="F746">
        <v>0</v>
      </c>
      <c r="G746">
        <v>-15000</v>
      </c>
      <c r="H746" s="4">
        <f t="shared" si="49"/>
        <v>-70083.457220342898</v>
      </c>
      <c r="I746">
        <f t="shared" si="47"/>
        <v>-4759224.5392422415</v>
      </c>
    </row>
    <row r="747" spans="2:9" x14ac:dyDescent="0.3">
      <c r="B747">
        <v>745</v>
      </c>
      <c r="C747" s="1">
        <v>66477</v>
      </c>
      <c r="D747" s="1" t="str">
        <f t="shared" si="48"/>
        <v>I</v>
      </c>
      <c r="E747">
        <f t="shared" si="46"/>
        <v>-4759224.5392422415</v>
      </c>
      <c r="F747">
        <v>0</v>
      </c>
      <c r="G747">
        <v>-15000</v>
      </c>
      <c r="H747" s="4">
        <f t="shared" si="49"/>
        <v>-61000.886206626339</v>
      </c>
      <c r="I747">
        <f t="shared" si="47"/>
        <v>-4835225.4254488675</v>
      </c>
    </row>
    <row r="748" spans="2:9" x14ac:dyDescent="0.3">
      <c r="B748">
        <v>746</v>
      </c>
      <c r="C748" s="1">
        <v>66508</v>
      </c>
      <c r="D748" s="1" t="str">
        <f t="shared" si="48"/>
        <v>II</v>
      </c>
      <c r="E748">
        <f t="shared" si="46"/>
        <v>-4835225.4254488675</v>
      </c>
      <c r="F748">
        <v>0</v>
      </c>
      <c r="G748">
        <v>-15000</v>
      </c>
      <c r="H748" s="4">
        <f t="shared" si="49"/>
        <v>-3383.238657764874</v>
      </c>
      <c r="I748">
        <f t="shared" si="47"/>
        <v>-4853608.6641066326</v>
      </c>
    </row>
    <row r="749" spans="2:9" x14ac:dyDescent="0.3">
      <c r="B749">
        <v>747</v>
      </c>
      <c r="C749" s="1">
        <v>66536</v>
      </c>
      <c r="D749" s="1" t="str">
        <f t="shared" si="48"/>
        <v>III</v>
      </c>
      <c r="E749">
        <f t="shared" si="46"/>
        <v>-4853608.6641066326</v>
      </c>
      <c r="F749">
        <v>0</v>
      </c>
      <c r="G749">
        <v>-15000</v>
      </c>
      <c r="H749" s="4">
        <f t="shared" si="49"/>
        <v>-42708.066301603794</v>
      </c>
      <c r="I749">
        <f t="shared" si="47"/>
        <v>-4911316.7304082364</v>
      </c>
    </row>
    <row r="750" spans="2:9" x14ac:dyDescent="0.3">
      <c r="B750">
        <v>748</v>
      </c>
      <c r="C750" s="1">
        <v>66567</v>
      </c>
      <c r="D750" s="1" t="str">
        <f t="shared" si="48"/>
        <v>IV</v>
      </c>
      <c r="E750">
        <f t="shared" si="46"/>
        <v>-4911316.7304082364</v>
      </c>
      <c r="F750">
        <v>0</v>
      </c>
      <c r="G750">
        <v>-15000</v>
      </c>
      <c r="H750" s="4">
        <f t="shared" si="49"/>
        <v>-84832.08636226457</v>
      </c>
      <c r="I750">
        <f t="shared" si="47"/>
        <v>-5011148.8167705005</v>
      </c>
    </row>
    <row r="751" spans="2:9" x14ac:dyDescent="0.3">
      <c r="B751">
        <v>749</v>
      </c>
      <c r="C751" s="1">
        <v>66597</v>
      </c>
      <c r="D751" s="1" t="str">
        <f t="shared" si="48"/>
        <v>V</v>
      </c>
      <c r="E751">
        <f t="shared" si="46"/>
        <v>-5011148.8167705005</v>
      </c>
      <c r="F751">
        <v>0</v>
      </c>
      <c r="G751">
        <v>-15000</v>
      </c>
      <c r="H751" s="4">
        <f t="shared" si="49"/>
        <v>-28666.108120820216</v>
      </c>
      <c r="I751">
        <f t="shared" si="47"/>
        <v>-5054814.924891321</v>
      </c>
    </row>
    <row r="752" spans="2:9" x14ac:dyDescent="0.3">
      <c r="B752">
        <v>750</v>
      </c>
      <c r="C752" s="1">
        <v>66628</v>
      </c>
      <c r="D752" s="1" t="str">
        <f t="shared" si="48"/>
        <v>VI</v>
      </c>
      <c r="E752">
        <f t="shared" si="46"/>
        <v>-5054814.924891321</v>
      </c>
      <c r="F752">
        <v>0</v>
      </c>
      <c r="G752">
        <v>-15000</v>
      </c>
      <c r="H752" s="4">
        <f t="shared" si="49"/>
        <v>-21901.378254663225</v>
      </c>
      <c r="I752">
        <f t="shared" si="47"/>
        <v>-5091716.3031459842</v>
      </c>
    </row>
    <row r="753" spans="2:9" x14ac:dyDescent="0.3">
      <c r="B753">
        <v>751</v>
      </c>
      <c r="C753" s="1">
        <v>66658</v>
      </c>
      <c r="D753" s="1" t="str">
        <f t="shared" si="48"/>
        <v>VII</v>
      </c>
      <c r="E753">
        <f t="shared" si="46"/>
        <v>-5091716.3031459842</v>
      </c>
      <c r="F753">
        <v>0</v>
      </c>
      <c r="G753">
        <v>-15000</v>
      </c>
      <c r="H753" s="4">
        <f t="shared" si="49"/>
        <v>-30891.917509872426</v>
      </c>
      <c r="I753">
        <f t="shared" si="47"/>
        <v>-5137608.2206558567</v>
      </c>
    </row>
    <row r="754" spans="2:9" x14ac:dyDescent="0.3">
      <c r="B754">
        <v>752</v>
      </c>
      <c r="C754" s="1">
        <v>66689</v>
      </c>
      <c r="D754" s="1" t="str">
        <f t="shared" si="48"/>
        <v>VIII</v>
      </c>
      <c r="E754">
        <f t="shared" si="46"/>
        <v>-5137608.2206558567</v>
      </c>
      <c r="F754">
        <v>0</v>
      </c>
      <c r="G754">
        <v>-15000</v>
      </c>
      <c r="H754" s="4">
        <f t="shared" si="49"/>
        <v>-1204.7322760713171</v>
      </c>
      <c r="I754">
        <f t="shared" si="47"/>
        <v>-5153812.9529319275</v>
      </c>
    </row>
    <row r="755" spans="2:9" x14ac:dyDescent="0.3">
      <c r="B755">
        <v>753</v>
      </c>
      <c r="C755" s="1">
        <v>66720</v>
      </c>
      <c r="D755" s="1" t="str">
        <f t="shared" si="48"/>
        <v>IX</v>
      </c>
      <c r="E755">
        <f t="shared" ref="E755:E818" si="50">I754</f>
        <v>-5153812.9529319275</v>
      </c>
      <c r="F755">
        <v>0</v>
      </c>
      <c r="G755">
        <v>-15000</v>
      </c>
      <c r="H755" s="4">
        <f t="shared" si="49"/>
        <v>29898.83743643151</v>
      </c>
      <c r="I755">
        <f t="shared" ref="I755:I818" si="51">SUM(E755:H755)</f>
        <v>-5138914.1154954964</v>
      </c>
    </row>
    <row r="756" spans="2:9" x14ac:dyDescent="0.3">
      <c r="B756">
        <v>754</v>
      </c>
      <c r="C756" s="1">
        <v>66750</v>
      </c>
      <c r="D756" s="1" t="str">
        <f t="shared" si="48"/>
        <v>X</v>
      </c>
      <c r="E756">
        <f t="shared" si="50"/>
        <v>-5138914.1154954964</v>
      </c>
      <c r="F756">
        <v>0</v>
      </c>
      <c r="G756">
        <v>-15000</v>
      </c>
      <c r="H756" s="4">
        <f t="shared" si="49"/>
        <v>-42025.858570707933</v>
      </c>
      <c r="I756">
        <f t="shared" si="51"/>
        <v>-5195939.9740662044</v>
      </c>
    </row>
    <row r="757" spans="2:9" x14ac:dyDescent="0.3">
      <c r="B757">
        <v>755</v>
      </c>
      <c r="C757" s="1">
        <v>66781</v>
      </c>
      <c r="D757" s="1" t="str">
        <f t="shared" si="48"/>
        <v>XI</v>
      </c>
      <c r="E757">
        <f t="shared" si="50"/>
        <v>-5195939.9740662044</v>
      </c>
      <c r="F757">
        <v>0</v>
      </c>
      <c r="G757">
        <v>-15000</v>
      </c>
      <c r="H757" s="4">
        <f t="shared" si="49"/>
        <v>-68807.364538696565</v>
      </c>
      <c r="I757">
        <f t="shared" si="51"/>
        <v>-5279747.338604901</v>
      </c>
    </row>
    <row r="758" spans="2:9" x14ac:dyDescent="0.3">
      <c r="B758">
        <v>756</v>
      </c>
      <c r="C758" s="1">
        <v>66811</v>
      </c>
      <c r="D758" s="1" t="str">
        <f t="shared" si="48"/>
        <v>XII</v>
      </c>
      <c r="E758">
        <f t="shared" si="50"/>
        <v>-5279747.338604901</v>
      </c>
      <c r="F758">
        <v>0</v>
      </c>
      <c r="G758">
        <v>-15000</v>
      </c>
      <c r="H758" s="4">
        <f t="shared" si="49"/>
        <v>-79134.790808562844</v>
      </c>
      <c r="I758">
        <f t="shared" si="51"/>
        <v>-5373882.1294134641</v>
      </c>
    </row>
    <row r="759" spans="2:9" x14ac:dyDescent="0.3">
      <c r="B759">
        <v>757</v>
      </c>
      <c r="C759" s="1">
        <v>66842</v>
      </c>
      <c r="D759" s="1" t="str">
        <f t="shared" si="48"/>
        <v>I</v>
      </c>
      <c r="E759">
        <f t="shared" si="50"/>
        <v>-5373882.1294134641</v>
      </c>
      <c r="F759">
        <v>0</v>
      </c>
      <c r="G759">
        <v>-15000</v>
      </c>
      <c r="H759" s="4">
        <f t="shared" si="49"/>
        <v>-68854.4459640032</v>
      </c>
      <c r="I759">
        <f t="shared" si="51"/>
        <v>-5457736.5753774671</v>
      </c>
    </row>
    <row r="760" spans="2:9" x14ac:dyDescent="0.3">
      <c r="B760">
        <v>758</v>
      </c>
      <c r="C760" s="1">
        <v>66873</v>
      </c>
      <c r="D760" s="1" t="str">
        <f t="shared" si="48"/>
        <v>II</v>
      </c>
      <c r="E760">
        <f t="shared" si="50"/>
        <v>-5457736.5753774671</v>
      </c>
      <c r="F760">
        <v>0</v>
      </c>
      <c r="G760">
        <v>-15000</v>
      </c>
      <c r="H760" s="4">
        <f t="shared" si="49"/>
        <v>-3817.4666786476751</v>
      </c>
      <c r="I760">
        <f t="shared" si="51"/>
        <v>-5476554.0420561144</v>
      </c>
    </row>
    <row r="761" spans="2:9" x14ac:dyDescent="0.3">
      <c r="B761">
        <v>759</v>
      </c>
      <c r="C761" s="1">
        <v>66901</v>
      </c>
      <c r="D761" s="1" t="str">
        <f t="shared" si="48"/>
        <v>III</v>
      </c>
      <c r="E761">
        <f t="shared" si="50"/>
        <v>-5476554.0420561144</v>
      </c>
      <c r="F761">
        <v>0</v>
      </c>
      <c r="G761">
        <v>-15000</v>
      </c>
      <c r="H761" s="4">
        <f t="shared" si="49"/>
        <v>-48172.623907123721</v>
      </c>
      <c r="I761">
        <f t="shared" si="51"/>
        <v>-5539726.6659632381</v>
      </c>
    </row>
    <row r="762" spans="2:9" x14ac:dyDescent="0.3">
      <c r="B762">
        <v>760</v>
      </c>
      <c r="C762" s="1">
        <v>66932</v>
      </c>
      <c r="D762" s="1" t="str">
        <f t="shared" si="48"/>
        <v>IV</v>
      </c>
      <c r="E762">
        <f t="shared" si="50"/>
        <v>-5539726.6659632381</v>
      </c>
      <c r="F762">
        <v>0</v>
      </c>
      <c r="G762">
        <v>-15000</v>
      </c>
      <c r="H762" s="4">
        <f t="shared" si="49"/>
        <v>-95653.42182266021</v>
      </c>
      <c r="I762">
        <f t="shared" si="51"/>
        <v>-5650380.0877858987</v>
      </c>
    </row>
    <row r="763" spans="2:9" x14ac:dyDescent="0.3">
      <c r="B763">
        <v>761</v>
      </c>
      <c r="C763" s="1">
        <v>66962</v>
      </c>
      <c r="D763" s="1" t="str">
        <f t="shared" si="48"/>
        <v>V</v>
      </c>
      <c r="E763">
        <f t="shared" si="50"/>
        <v>-5650380.0877858987</v>
      </c>
      <c r="F763">
        <v>0</v>
      </c>
      <c r="G763">
        <v>-15000</v>
      </c>
      <c r="H763" s="4">
        <f t="shared" si="49"/>
        <v>-32311.896058494294</v>
      </c>
      <c r="I763">
        <f t="shared" si="51"/>
        <v>-5697691.9838443929</v>
      </c>
    </row>
    <row r="764" spans="2:9" x14ac:dyDescent="0.3">
      <c r="B764">
        <v>762</v>
      </c>
      <c r="C764" s="1">
        <v>66993</v>
      </c>
      <c r="D764" s="1" t="str">
        <f t="shared" si="48"/>
        <v>VI</v>
      </c>
      <c r="E764">
        <f t="shared" si="50"/>
        <v>-5697691.9838443929</v>
      </c>
      <c r="F764">
        <v>0</v>
      </c>
      <c r="G764">
        <v>-15000</v>
      </c>
      <c r="H764" s="4">
        <f t="shared" si="49"/>
        <v>-24678.578970659473</v>
      </c>
      <c r="I764">
        <f t="shared" si="51"/>
        <v>-5737370.5628150525</v>
      </c>
    </row>
    <row r="765" spans="2:9" x14ac:dyDescent="0.3">
      <c r="B765">
        <v>763</v>
      </c>
      <c r="C765" s="1">
        <v>67023</v>
      </c>
      <c r="D765" s="1" t="str">
        <f t="shared" si="48"/>
        <v>VII</v>
      </c>
      <c r="E765">
        <f t="shared" si="50"/>
        <v>-5737370.5628150525</v>
      </c>
      <c r="F765">
        <v>0</v>
      </c>
      <c r="G765">
        <v>-15000</v>
      </c>
      <c r="H765" s="4">
        <f t="shared" si="49"/>
        <v>-34797.655942474841</v>
      </c>
      <c r="I765">
        <f t="shared" si="51"/>
        <v>-5787168.2187575269</v>
      </c>
    </row>
    <row r="766" spans="2:9" x14ac:dyDescent="0.3">
      <c r="B766">
        <v>764</v>
      </c>
      <c r="C766" s="1">
        <v>67054</v>
      </c>
      <c r="D766" s="1" t="str">
        <f t="shared" si="48"/>
        <v>VIII</v>
      </c>
      <c r="E766">
        <f t="shared" si="50"/>
        <v>-5787168.2187575269</v>
      </c>
      <c r="F766">
        <v>0</v>
      </c>
      <c r="G766">
        <v>-15000</v>
      </c>
      <c r="H766" s="4">
        <f t="shared" si="49"/>
        <v>-1356.6060187364051</v>
      </c>
      <c r="I766">
        <f t="shared" si="51"/>
        <v>-5803524.824776263</v>
      </c>
    </row>
    <row r="767" spans="2:9" x14ac:dyDescent="0.3">
      <c r="B767">
        <v>765</v>
      </c>
      <c r="C767" s="1">
        <v>67085</v>
      </c>
      <c r="D767" s="1" t="str">
        <f t="shared" si="48"/>
        <v>IX</v>
      </c>
      <c r="E767">
        <f t="shared" si="50"/>
        <v>-5803524.824776263</v>
      </c>
      <c r="F767">
        <v>0</v>
      </c>
      <c r="G767">
        <v>-15000</v>
      </c>
      <c r="H767" s="4">
        <f t="shared" si="49"/>
        <v>33657.075510373521</v>
      </c>
      <c r="I767">
        <f t="shared" si="51"/>
        <v>-5784867.7492658896</v>
      </c>
    </row>
    <row r="768" spans="2:9" x14ac:dyDescent="0.3">
      <c r="B768">
        <v>766</v>
      </c>
      <c r="C768" s="1">
        <v>67115</v>
      </c>
      <c r="D768" s="1" t="str">
        <f t="shared" si="48"/>
        <v>X</v>
      </c>
      <c r="E768">
        <f t="shared" si="50"/>
        <v>-5784867.7492658896</v>
      </c>
      <c r="F768">
        <v>0</v>
      </c>
      <c r="G768">
        <v>-15000</v>
      </c>
      <c r="H768" s="4">
        <f t="shared" si="49"/>
        <v>-47293.07013996</v>
      </c>
      <c r="I768">
        <f t="shared" si="51"/>
        <v>-5847160.81940585</v>
      </c>
    </row>
    <row r="769" spans="2:9" x14ac:dyDescent="0.3">
      <c r="B769">
        <v>767</v>
      </c>
      <c r="C769" s="1">
        <v>67146</v>
      </c>
      <c r="D769" s="1" t="str">
        <f t="shared" si="48"/>
        <v>XI</v>
      </c>
      <c r="E769">
        <f t="shared" si="50"/>
        <v>-5847160.81940585</v>
      </c>
      <c r="F769">
        <v>0</v>
      </c>
      <c r="G769">
        <v>-15000</v>
      </c>
      <c r="H769" s="4">
        <f t="shared" si="49"/>
        <v>-77406.348661232492</v>
      </c>
      <c r="I769">
        <f t="shared" si="51"/>
        <v>-5939567.1680670828</v>
      </c>
    </row>
    <row r="770" spans="2:9" x14ac:dyDescent="0.3">
      <c r="B770">
        <v>768</v>
      </c>
      <c r="C770" s="1">
        <v>67176</v>
      </c>
      <c r="D770" s="1" t="str">
        <f t="shared" si="48"/>
        <v>XII</v>
      </c>
      <c r="E770">
        <f t="shared" si="50"/>
        <v>-5939567.1680670828</v>
      </c>
      <c r="F770">
        <v>0</v>
      </c>
      <c r="G770">
        <v>-15000</v>
      </c>
      <c r="H770" s="4">
        <f t="shared" si="49"/>
        <v>-88996.39530763404</v>
      </c>
      <c r="I770">
        <f t="shared" si="51"/>
        <v>-6043563.5633747168</v>
      </c>
    </row>
    <row r="771" spans="2:9" x14ac:dyDescent="0.3">
      <c r="B771">
        <v>769</v>
      </c>
      <c r="C771" s="1">
        <v>67207</v>
      </c>
      <c r="D771" s="1" t="str">
        <f t="shared" si="48"/>
        <v>I</v>
      </c>
      <c r="E771">
        <f t="shared" si="50"/>
        <v>-6043563.5633747168</v>
      </c>
      <c r="F771">
        <v>0</v>
      </c>
      <c r="G771">
        <v>-15000</v>
      </c>
      <c r="H771" s="4">
        <f t="shared" si="49"/>
        <v>-77411.052510674868</v>
      </c>
      <c r="I771">
        <f t="shared" si="51"/>
        <v>-6135974.6158853918</v>
      </c>
    </row>
    <row r="772" spans="2:9" x14ac:dyDescent="0.3">
      <c r="B772">
        <v>770</v>
      </c>
      <c r="C772" s="1">
        <v>67238</v>
      </c>
      <c r="D772" s="1" t="str">
        <f t="shared" ref="D772:D835" si="52">TEXT(C772,"mmm")</f>
        <v>II</v>
      </c>
      <c r="E772">
        <f t="shared" si="50"/>
        <v>-6135974.6158853918</v>
      </c>
      <c r="F772">
        <v>0</v>
      </c>
      <c r="G772">
        <v>-15000</v>
      </c>
      <c r="H772" s="4">
        <f t="shared" si="49"/>
        <v>-4290.5665774221225</v>
      </c>
      <c r="I772">
        <f t="shared" si="51"/>
        <v>-6155265.1824628143</v>
      </c>
    </row>
    <row r="773" spans="2:9" x14ac:dyDescent="0.3">
      <c r="B773">
        <v>771</v>
      </c>
      <c r="C773" s="1">
        <v>67267</v>
      </c>
      <c r="D773" s="1" t="str">
        <f t="shared" si="52"/>
        <v>III</v>
      </c>
      <c r="E773">
        <f t="shared" si="50"/>
        <v>-6155265.1824628143</v>
      </c>
      <c r="F773">
        <v>0</v>
      </c>
      <c r="G773">
        <v>-15000</v>
      </c>
      <c r="H773" s="4">
        <f t="shared" ref="H773:H836" si="53">SUM(E773:G773)*VLOOKUP(D773,$U$4:$V$15,2,FALSE)</f>
        <v>-54126.366009631631</v>
      </c>
      <c r="I773">
        <f t="shared" si="51"/>
        <v>-6224391.5484724455</v>
      </c>
    </row>
    <row r="774" spans="2:9" x14ac:dyDescent="0.3">
      <c r="B774">
        <v>772</v>
      </c>
      <c r="C774" s="1">
        <v>67298</v>
      </c>
      <c r="D774" s="1" t="str">
        <f t="shared" si="52"/>
        <v>IV</v>
      </c>
      <c r="E774">
        <f t="shared" si="50"/>
        <v>-6224391.5484724455</v>
      </c>
      <c r="F774">
        <v>0</v>
      </c>
      <c r="G774">
        <v>-15000</v>
      </c>
      <c r="H774" s="4">
        <f t="shared" si="53"/>
        <v>-107443.4778870046</v>
      </c>
      <c r="I774">
        <f t="shared" si="51"/>
        <v>-6346835.0263594501</v>
      </c>
    </row>
    <row r="775" spans="2:9" x14ac:dyDescent="0.3">
      <c r="B775">
        <v>773</v>
      </c>
      <c r="C775" s="1">
        <v>67328</v>
      </c>
      <c r="D775" s="1" t="str">
        <f t="shared" si="52"/>
        <v>V</v>
      </c>
      <c r="E775">
        <f t="shared" si="50"/>
        <v>-6346835.0263594501</v>
      </c>
      <c r="F775">
        <v>0</v>
      </c>
      <c r="G775">
        <v>-15000</v>
      </c>
      <c r="H775" s="4">
        <f t="shared" si="53"/>
        <v>-36284.053131085057</v>
      </c>
      <c r="I775">
        <f t="shared" si="51"/>
        <v>-6398119.079490535</v>
      </c>
    </row>
    <row r="776" spans="2:9" x14ac:dyDescent="0.3">
      <c r="B776">
        <v>774</v>
      </c>
      <c r="C776" s="1">
        <v>67359</v>
      </c>
      <c r="D776" s="1" t="str">
        <f t="shared" si="52"/>
        <v>VI</v>
      </c>
      <c r="E776">
        <f t="shared" si="50"/>
        <v>-6398119.079490535</v>
      </c>
      <c r="F776">
        <v>0</v>
      </c>
      <c r="G776">
        <v>-15000</v>
      </c>
      <c r="H776" s="4">
        <f t="shared" si="53"/>
        <v>-27704.393322628184</v>
      </c>
      <c r="I776">
        <f t="shared" si="51"/>
        <v>-6440823.472813163</v>
      </c>
    </row>
    <row r="777" spans="2:9" x14ac:dyDescent="0.3">
      <c r="B777">
        <v>775</v>
      </c>
      <c r="C777" s="1">
        <v>67389</v>
      </c>
      <c r="D777" s="1" t="str">
        <f t="shared" si="52"/>
        <v>VII</v>
      </c>
      <c r="E777">
        <f t="shared" si="50"/>
        <v>-6440823.472813163</v>
      </c>
      <c r="F777">
        <v>0</v>
      </c>
      <c r="G777">
        <v>-15000</v>
      </c>
      <c r="H777" s="4">
        <f t="shared" si="53"/>
        <v>-39053.034149866937</v>
      </c>
      <c r="I777">
        <f t="shared" si="51"/>
        <v>-6494876.5069630295</v>
      </c>
    </row>
    <row r="778" spans="2:9" x14ac:dyDescent="0.3">
      <c r="B778">
        <v>776</v>
      </c>
      <c r="C778" s="1">
        <v>67420</v>
      </c>
      <c r="D778" s="1" t="str">
        <f t="shared" si="52"/>
        <v>VIII</v>
      </c>
      <c r="E778">
        <f t="shared" si="50"/>
        <v>-6494876.5069630295</v>
      </c>
      <c r="F778">
        <v>0</v>
      </c>
      <c r="G778">
        <v>-15000</v>
      </c>
      <c r="H778" s="4">
        <f t="shared" si="53"/>
        <v>-1522.0754238090512</v>
      </c>
      <c r="I778">
        <f t="shared" si="51"/>
        <v>-6511398.5823868383</v>
      </c>
    </row>
    <row r="779" spans="2:9" x14ac:dyDescent="0.3">
      <c r="B779">
        <v>777</v>
      </c>
      <c r="C779" s="1">
        <v>67451</v>
      </c>
      <c r="D779" s="1" t="str">
        <f t="shared" si="52"/>
        <v>IX</v>
      </c>
      <c r="E779">
        <f t="shared" si="50"/>
        <v>-6511398.5823868383</v>
      </c>
      <c r="F779">
        <v>0</v>
      </c>
      <c r="G779">
        <v>-15000</v>
      </c>
      <c r="H779" s="4">
        <f t="shared" si="53"/>
        <v>37751.749199873011</v>
      </c>
      <c r="I779">
        <f t="shared" si="51"/>
        <v>-6488646.8331869654</v>
      </c>
    </row>
    <row r="780" spans="2:9" x14ac:dyDescent="0.3">
      <c r="B780">
        <v>778</v>
      </c>
      <c r="C780" s="1">
        <v>67481</v>
      </c>
      <c r="D780" s="1" t="str">
        <f t="shared" si="52"/>
        <v>X</v>
      </c>
      <c r="E780">
        <f t="shared" si="50"/>
        <v>-6488646.8331869654</v>
      </c>
      <c r="F780">
        <v>0</v>
      </c>
      <c r="G780">
        <v>-15000</v>
      </c>
      <c r="H780" s="4">
        <f t="shared" si="53"/>
        <v>-53031.799886535533</v>
      </c>
      <c r="I780">
        <f t="shared" si="51"/>
        <v>-6556678.6330735013</v>
      </c>
    </row>
    <row r="781" spans="2:9" x14ac:dyDescent="0.3">
      <c r="B781">
        <v>779</v>
      </c>
      <c r="C781" s="1">
        <v>67512</v>
      </c>
      <c r="D781" s="1" t="str">
        <f t="shared" si="52"/>
        <v>XI</v>
      </c>
      <c r="E781">
        <f t="shared" si="50"/>
        <v>-6556678.6330735013</v>
      </c>
      <c r="F781">
        <v>0</v>
      </c>
      <c r="G781">
        <v>-15000</v>
      </c>
      <c r="H781" s="4">
        <f t="shared" si="53"/>
        <v>-86775.109593942645</v>
      </c>
      <c r="I781">
        <f t="shared" si="51"/>
        <v>-6658453.7426674441</v>
      </c>
    </row>
    <row r="782" spans="2:9" x14ac:dyDescent="0.3">
      <c r="B782">
        <v>780</v>
      </c>
      <c r="C782" s="1">
        <v>67542</v>
      </c>
      <c r="D782" s="1" t="str">
        <f t="shared" si="52"/>
        <v>XII</v>
      </c>
      <c r="E782">
        <f t="shared" si="50"/>
        <v>-6658453.7426674441</v>
      </c>
      <c r="F782">
        <v>0</v>
      </c>
      <c r="G782">
        <v>-15000</v>
      </c>
      <c r="H782" s="4">
        <f t="shared" si="53"/>
        <v>-99740.80576916768</v>
      </c>
      <c r="I782">
        <f t="shared" si="51"/>
        <v>-6773194.5484366119</v>
      </c>
    </row>
    <row r="783" spans="2:9" x14ac:dyDescent="0.3">
      <c r="B783">
        <v>781</v>
      </c>
      <c r="C783" s="1">
        <v>67573</v>
      </c>
      <c r="D783" s="1" t="str">
        <f t="shared" si="52"/>
        <v>I</v>
      </c>
      <c r="E783">
        <f t="shared" si="50"/>
        <v>-6773194.5484366119</v>
      </c>
      <c r="F783">
        <v>0</v>
      </c>
      <c r="G783">
        <v>-15000</v>
      </c>
      <c r="H783" s="4">
        <f t="shared" si="53"/>
        <v>-86733.642247866752</v>
      </c>
      <c r="I783">
        <f t="shared" si="51"/>
        <v>-6874928.1906844787</v>
      </c>
    </row>
    <row r="784" spans="2:9" x14ac:dyDescent="0.3">
      <c r="B784">
        <v>782</v>
      </c>
      <c r="C784" s="1">
        <v>67604</v>
      </c>
      <c r="D784" s="1" t="str">
        <f t="shared" si="52"/>
        <v>II</v>
      </c>
      <c r="E784">
        <f t="shared" si="50"/>
        <v>-6874928.1906844787</v>
      </c>
      <c r="F784">
        <v>0</v>
      </c>
      <c r="G784">
        <v>-15000</v>
      </c>
      <c r="H784" s="4">
        <f t="shared" si="53"/>
        <v>-4806.0181453917594</v>
      </c>
      <c r="I784">
        <f t="shared" si="51"/>
        <v>-6894734.2088298704</v>
      </c>
    </row>
    <row r="785" spans="2:9" x14ac:dyDescent="0.3">
      <c r="B785">
        <v>783</v>
      </c>
      <c r="C785" s="1">
        <v>67632</v>
      </c>
      <c r="D785" s="1" t="str">
        <f t="shared" si="52"/>
        <v>III</v>
      </c>
      <c r="E785">
        <f t="shared" si="50"/>
        <v>-6894734.2088298704</v>
      </c>
      <c r="F785">
        <v>0</v>
      </c>
      <c r="G785">
        <v>-15000</v>
      </c>
      <c r="H785" s="4">
        <f t="shared" si="53"/>
        <v>-60613.084163607906</v>
      </c>
      <c r="I785">
        <f t="shared" si="51"/>
        <v>-6970347.2929934785</v>
      </c>
    </row>
    <row r="786" spans="2:9" x14ac:dyDescent="0.3">
      <c r="B786">
        <v>784</v>
      </c>
      <c r="C786" s="1">
        <v>67663</v>
      </c>
      <c r="D786" s="1" t="str">
        <f t="shared" si="52"/>
        <v>IV</v>
      </c>
      <c r="E786">
        <f t="shared" si="50"/>
        <v>-6970347.2929934785</v>
      </c>
      <c r="F786">
        <v>0</v>
      </c>
      <c r="G786">
        <v>-15000</v>
      </c>
      <c r="H786" s="4">
        <f t="shared" si="53"/>
        <v>-120288.97394515018</v>
      </c>
      <c r="I786">
        <f t="shared" si="51"/>
        <v>-7105636.2669386286</v>
      </c>
    </row>
    <row r="787" spans="2:9" x14ac:dyDescent="0.3">
      <c r="B787">
        <v>785</v>
      </c>
      <c r="C787" s="1">
        <v>67693</v>
      </c>
      <c r="D787" s="1" t="str">
        <f t="shared" si="52"/>
        <v>V</v>
      </c>
      <c r="E787">
        <f t="shared" si="50"/>
        <v>-7105636.2669386286</v>
      </c>
      <c r="F787">
        <v>0</v>
      </c>
      <c r="G787">
        <v>-15000</v>
      </c>
      <c r="H787" s="4">
        <f t="shared" si="53"/>
        <v>-40611.795742301983</v>
      </c>
      <c r="I787">
        <f t="shared" si="51"/>
        <v>-7161248.0626809308</v>
      </c>
    </row>
    <row r="788" spans="2:9" x14ac:dyDescent="0.3">
      <c r="B788">
        <v>786</v>
      </c>
      <c r="C788" s="1">
        <v>67724</v>
      </c>
      <c r="D788" s="1" t="str">
        <f t="shared" si="52"/>
        <v>VI</v>
      </c>
      <c r="E788">
        <f t="shared" si="50"/>
        <v>-7161248.0626809308</v>
      </c>
      <c r="F788">
        <v>0</v>
      </c>
      <c r="G788">
        <v>-15000</v>
      </c>
      <c r="H788" s="4">
        <f t="shared" si="53"/>
        <v>-31001.077080429794</v>
      </c>
      <c r="I788">
        <f t="shared" si="51"/>
        <v>-7207249.1397613604</v>
      </c>
    </row>
    <row r="789" spans="2:9" x14ac:dyDescent="0.3">
      <c r="B789">
        <v>787</v>
      </c>
      <c r="C789" s="1">
        <v>67754</v>
      </c>
      <c r="D789" s="1" t="str">
        <f t="shared" si="52"/>
        <v>VII</v>
      </c>
      <c r="E789">
        <f t="shared" si="50"/>
        <v>-7207249.1397613604</v>
      </c>
      <c r="F789">
        <v>0</v>
      </c>
      <c r="G789">
        <v>-15000</v>
      </c>
      <c r="H789" s="4">
        <f t="shared" si="53"/>
        <v>-43689.351711942378</v>
      </c>
      <c r="I789">
        <f t="shared" si="51"/>
        <v>-7265938.4914733032</v>
      </c>
    </row>
    <row r="790" spans="2:9" x14ac:dyDescent="0.3">
      <c r="B790">
        <v>788</v>
      </c>
      <c r="C790" s="1">
        <v>67785</v>
      </c>
      <c r="D790" s="1" t="str">
        <f t="shared" si="52"/>
        <v>VIII</v>
      </c>
      <c r="E790">
        <f t="shared" si="50"/>
        <v>-7265938.4914733032</v>
      </c>
      <c r="F790">
        <v>0</v>
      </c>
      <c r="G790">
        <v>-15000</v>
      </c>
      <c r="H790" s="4">
        <f t="shared" si="53"/>
        <v>-1702.3575682708108</v>
      </c>
      <c r="I790">
        <f t="shared" si="51"/>
        <v>-7282640.8490415737</v>
      </c>
    </row>
    <row r="791" spans="2:9" x14ac:dyDescent="0.3">
      <c r="B791">
        <v>789</v>
      </c>
      <c r="C791" s="1">
        <v>67816</v>
      </c>
      <c r="D791" s="1" t="str">
        <f t="shared" si="52"/>
        <v>IX</v>
      </c>
      <c r="E791">
        <f t="shared" si="50"/>
        <v>-7282640.8490415737</v>
      </c>
      <c r="F791">
        <v>0</v>
      </c>
      <c r="G791">
        <v>-15000</v>
      </c>
      <c r="H791" s="4">
        <f t="shared" si="53"/>
        <v>42212.976055012914</v>
      </c>
      <c r="I791">
        <f t="shared" si="51"/>
        <v>-7255427.8729865607</v>
      </c>
    </row>
    <row r="792" spans="2:9" x14ac:dyDescent="0.3">
      <c r="B792">
        <v>790</v>
      </c>
      <c r="C792" s="1">
        <v>67846</v>
      </c>
      <c r="D792" s="1" t="str">
        <f t="shared" si="52"/>
        <v>X</v>
      </c>
      <c r="E792">
        <f t="shared" si="50"/>
        <v>-7255427.8729865607</v>
      </c>
      <c r="F792">
        <v>0</v>
      </c>
      <c r="G792">
        <v>-15000</v>
      </c>
      <c r="H792" s="4">
        <f t="shared" si="53"/>
        <v>-59284.257884706909</v>
      </c>
      <c r="I792">
        <f t="shared" si="51"/>
        <v>-7329712.130871268</v>
      </c>
    </row>
    <row r="793" spans="2:9" x14ac:dyDescent="0.3">
      <c r="B793">
        <v>791</v>
      </c>
      <c r="C793" s="1">
        <v>67877</v>
      </c>
      <c r="D793" s="1" t="str">
        <f t="shared" si="52"/>
        <v>XI</v>
      </c>
      <c r="E793">
        <f t="shared" si="50"/>
        <v>-7329712.130871268</v>
      </c>
      <c r="F793">
        <v>0</v>
      </c>
      <c r="G793">
        <v>-15000</v>
      </c>
      <c r="H793" s="4">
        <f t="shared" si="53"/>
        <v>-96982.557376552402</v>
      </c>
      <c r="I793">
        <f t="shared" si="51"/>
        <v>-7441694.6882478204</v>
      </c>
    </row>
    <row r="794" spans="2:9" x14ac:dyDescent="0.3">
      <c r="B794">
        <v>792</v>
      </c>
      <c r="C794" s="1">
        <v>67907</v>
      </c>
      <c r="D794" s="1" t="str">
        <f t="shared" si="52"/>
        <v>XII</v>
      </c>
      <c r="E794">
        <f t="shared" si="50"/>
        <v>-7441694.6882478204</v>
      </c>
      <c r="F794">
        <v>0</v>
      </c>
      <c r="G794">
        <v>-15000</v>
      </c>
      <c r="H794" s="4">
        <f t="shared" si="53"/>
        <v>-111447.05054675804</v>
      </c>
      <c r="I794">
        <f t="shared" si="51"/>
        <v>-7568141.7387945782</v>
      </c>
    </row>
    <row r="795" spans="2:9" x14ac:dyDescent="0.3">
      <c r="B795">
        <v>793</v>
      </c>
      <c r="C795" s="1">
        <v>67938</v>
      </c>
      <c r="D795" s="1" t="str">
        <f t="shared" si="52"/>
        <v>I</v>
      </c>
      <c r="E795">
        <f t="shared" si="50"/>
        <v>-7568141.7387945782</v>
      </c>
      <c r="F795">
        <v>0</v>
      </c>
      <c r="G795">
        <v>-15000</v>
      </c>
      <c r="H795" s="4">
        <f t="shared" si="53"/>
        <v>-96890.785612347114</v>
      </c>
      <c r="I795">
        <f t="shared" si="51"/>
        <v>-7680032.5244069258</v>
      </c>
    </row>
    <row r="796" spans="2:9" x14ac:dyDescent="0.3">
      <c r="B796">
        <v>794</v>
      </c>
      <c r="C796" s="1">
        <v>67969</v>
      </c>
      <c r="D796" s="1" t="str">
        <f t="shared" si="52"/>
        <v>II</v>
      </c>
      <c r="E796">
        <f t="shared" si="50"/>
        <v>-7680032.5244069258</v>
      </c>
      <c r="F796">
        <v>0</v>
      </c>
      <c r="G796">
        <v>-15000</v>
      </c>
      <c r="H796" s="4">
        <f t="shared" si="53"/>
        <v>-5367.6126830583735</v>
      </c>
      <c r="I796">
        <f t="shared" si="51"/>
        <v>-7700400.1370899845</v>
      </c>
    </row>
    <row r="797" spans="2:9" x14ac:dyDescent="0.3">
      <c r="B797">
        <v>795</v>
      </c>
      <c r="C797" s="1">
        <v>67997</v>
      </c>
      <c r="D797" s="1" t="str">
        <f t="shared" si="52"/>
        <v>III</v>
      </c>
      <c r="E797">
        <f t="shared" si="50"/>
        <v>-7700400.1370899845</v>
      </c>
      <c r="F797">
        <v>0</v>
      </c>
      <c r="G797">
        <v>-15000</v>
      </c>
      <c r="H797" s="4">
        <f t="shared" si="53"/>
        <v>-67680.490121854062</v>
      </c>
      <c r="I797">
        <f t="shared" si="51"/>
        <v>-7783080.627211839</v>
      </c>
    </row>
    <row r="798" spans="2:9" x14ac:dyDescent="0.3">
      <c r="B798">
        <v>796</v>
      </c>
      <c r="C798" s="1">
        <v>68028</v>
      </c>
      <c r="D798" s="1" t="str">
        <f t="shared" si="52"/>
        <v>IV</v>
      </c>
      <c r="E798">
        <f t="shared" si="50"/>
        <v>-7783080.627211839</v>
      </c>
      <c r="F798">
        <v>0</v>
      </c>
      <c r="G798">
        <v>-15000</v>
      </c>
      <c r="H798" s="4">
        <f t="shared" si="53"/>
        <v>-134284.39246388391</v>
      </c>
      <c r="I798">
        <f t="shared" si="51"/>
        <v>-7932365.0196757233</v>
      </c>
    </row>
    <row r="799" spans="2:9" x14ac:dyDescent="0.3">
      <c r="B799">
        <v>797</v>
      </c>
      <c r="C799" s="1">
        <v>68058</v>
      </c>
      <c r="D799" s="1" t="str">
        <f t="shared" si="52"/>
        <v>V</v>
      </c>
      <c r="E799">
        <f t="shared" si="50"/>
        <v>-7932365.0196757233</v>
      </c>
      <c r="F799">
        <v>0</v>
      </c>
      <c r="G799">
        <v>-15000</v>
      </c>
      <c r="H799" s="4">
        <f t="shared" si="53"/>
        <v>-45326.955733879789</v>
      </c>
      <c r="I799">
        <f t="shared" si="51"/>
        <v>-7992691.9754096027</v>
      </c>
    </row>
    <row r="800" spans="2:9" x14ac:dyDescent="0.3">
      <c r="B800">
        <v>798</v>
      </c>
      <c r="C800" s="1">
        <v>68089</v>
      </c>
      <c r="D800" s="1" t="str">
        <f t="shared" si="52"/>
        <v>VI</v>
      </c>
      <c r="E800">
        <f t="shared" si="50"/>
        <v>-7992691.9754096027</v>
      </c>
      <c r="F800">
        <v>0</v>
      </c>
      <c r="G800">
        <v>-15000</v>
      </c>
      <c r="H800" s="4">
        <f t="shared" si="53"/>
        <v>-34592.878339446797</v>
      </c>
      <c r="I800">
        <f t="shared" si="51"/>
        <v>-8042284.8537490498</v>
      </c>
    </row>
    <row r="801" spans="2:9" x14ac:dyDescent="0.3">
      <c r="B801">
        <v>799</v>
      </c>
      <c r="C801" s="1">
        <v>68119</v>
      </c>
      <c r="D801" s="1" t="str">
        <f t="shared" si="52"/>
        <v>VII</v>
      </c>
      <c r="E801">
        <f t="shared" si="50"/>
        <v>-8042284.8537490498</v>
      </c>
      <c r="F801">
        <v>0</v>
      </c>
      <c r="G801">
        <v>-15000</v>
      </c>
      <c r="H801" s="4">
        <f t="shared" si="53"/>
        <v>-48740.710131522806</v>
      </c>
      <c r="I801">
        <f t="shared" si="51"/>
        <v>-8106025.563880573</v>
      </c>
    </row>
    <row r="802" spans="2:9" x14ac:dyDescent="0.3">
      <c r="B802">
        <v>800</v>
      </c>
      <c r="C802" s="1">
        <v>68150</v>
      </c>
      <c r="D802" s="1" t="str">
        <f t="shared" si="52"/>
        <v>VIII</v>
      </c>
      <c r="E802">
        <f t="shared" si="50"/>
        <v>-8106025.563880573</v>
      </c>
      <c r="F802">
        <v>0</v>
      </c>
      <c r="G802">
        <v>-15000</v>
      </c>
      <c r="H802" s="4">
        <f t="shared" si="53"/>
        <v>-1898.7784812333095</v>
      </c>
      <c r="I802">
        <f t="shared" si="51"/>
        <v>-8122924.342361806</v>
      </c>
    </row>
    <row r="803" spans="2:9" x14ac:dyDescent="0.3">
      <c r="B803">
        <v>801</v>
      </c>
      <c r="C803" s="1">
        <v>68181</v>
      </c>
      <c r="D803" s="1" t="str">
        <f t="shared" si="52"/>
        <v>IX</v>
      </c>
      <c r="E803">
        <f t="shared" si="50"/>
        <v>-8122924.342361806</v>
      </c>
      <c r="F803">
        <v>0</v>
      </c>
      <c r="G803">
        <v>-15000</v>
      </c>
      <c r="H803" s="4">
        <f t="shared" si="53"/>
        <v>47073.569734079494</v>
      </c>
      <c r="I803">
        <f t="shared" si="51"/>
        <v>-8090850.7726277262</v>
      </c>
    </row>
    <row r="804" spans="2:9" x14ac:dyDescent="0.3">
      <c r="B804">
        <v>802</v>
      </c>
      <c r="C804" s="1">
        <v>68211</v>
      </c>
      <c r="D804" s="1" t="str">
        <f t="shared" si="52"/>
        <v>X</v>
      </c>
      <c r="E804">
        <f t="shared" si="50"/>
        <v>-8090850.7726277262</v>
      </c>
      <c r="F804">
        <v>0</v>
      </c>
      <c r="G804">
        <v>-15000</v>
      </c>
      <c r="H804" s="4">
        <f t="shared" si="53"/>
        <v>-66096.43283374075</v>
      </c>
      <c r="I804">
        <f t="shared" si="51"/>
        <v>-8171947.2054614667</v>
      </c>
    </row>
    <row r="805" spans="2:9" x14ac:dyDescent="0.3">
      <c r="B805">
        <v>803</v>
      </c>
      <c r="C805" s="1">
        <v>68242</v>
      </c>
      <c r="D805" s="1" t="str">
        <f t="shared" si="52"/>
        <v>XI</v>
      </c>
      <c r="E805">
        <f t="shared" si="50"/>
        <v>-8171947.2054614667</v>
      </c>
      <c r="F805">
        <v>0</v>
      </c>
      <c r="G805">
        <v>-15000</v>
      </c>
      <c r="H805" s="4">
        <f t="shared" si="53"/>
        <v>-108103.77084149719</v>
      </c>
      <c r="I805">
        <f t="shared" si="51"/>
        <v>-8295050.9763029637</v>
      </c>
    </row>
    <row r="806" spans="2:9" x14ac:dyDescent="0.3">
      <c r="B806">
        <v>804</v>
      </c>
      <c r="C806" s="1">
        <v>68272</v>
      </c>
      <c r="D806" s="1" t="str">
        <f t="shared" si="52"/>
        <v>XII</v>
      </c>
      <c r="E806">
        <f t="shared" si="50"/>
        <v>-8295050.9763029637</v>
      </c>
      <c r="F806">
        <v>0</v>
      </c>
      <c r="G806">
        <v>-15000</v>
      </c>
      <c r="H806" s="4">
        <f t="shared" si="53"/>
        <v>-124201.23257316778</v>
      </c>
      <c r="I806">
        <f t="shared" si="51"/>
        <v>-8434252.2088761311</v>
      </c>
    </row>
    <row r="807" spans="2:9" x14ac:dyDescent="0.3">
      <c r="B807">
        <v>805</v>
      </c>
      <c r="C807" s="1">
        <v>68303</v>
      </c>
      <c r="D807" s="1" t="str">
        <f t="shared" si="52"/>
        <v>I</v>
      </c>
      <c r="E807">
        <f t="shared" si="50"/>
        <v>-8434252.2088761311</v>
      </c>
      <c r="F807">
        <v>0</v>
      </c>
      <c r="G807">
        <v>-15000</v>
      </c>
      <c r="H807" s="4">
        <f t="shared" si="53"/>
        <v>-107957.19143250531</v>
      </c>
      <c r="I807">
        <f t="shared" si="51"/>
        <v>-8557209.4003086369</v>
      </c>
    </row>
    <row r="808" spans="2:9" x14ac:dyDescent="0.3">
      <c r="B808">
        <v>806</v>
      </c>
      <c r="C808" s="1">
        <v>68334</v>
      </c>
      <c r="D808" s="1" t="str">
        <f t="shared" si="52"/>
        <v>II</v>
      </c>
      <c r="E808">
        <f t="shared" si="50"/>
        <v>-8557209.4003086369</v>
      </c>
      <c r="F808">
        <v>0</v>
      </c>
      <c r="G808">
        <v>-15000</v>
      </c>
      <c r="H808" s="4">
        <f t="shared" si="53"/>
        <v>-5979.4808862715145</v>
      </c>
      <c r="I808">
        <f t="shared" si="51"/>
        <v>-8578188.8811949082</v>
      </c>
    </row>
    <row r="809" spans="2:9" x14ac:dyDescent="0.3">
      <c r="B809">
        <v>807</v>
      </c>
      <c r="C809" s="1">
        <v>68362</v>
      </c>
      <c r="D809" s="1" t="str">
        <f t="shared" si="52"/>
        <v>III</v>
      </c>
      <c r="E809">
        <f t="shared" si="50"/>
        <v>-8578188.8811949082</v>
      </c>
      <c r="F809">
        <v>0</v>
      </c>
      <c r="G809">
        <v>-15000</v>
      </c>
      <c r="H809" s="4">
        <f t="shared" si="53"/>
        <v>-75380.566769709607</v>
      </c>
      <c r="I809">
        <f t="shared" si="51"/>
        <v>-8668569.447964618</v>
      </c>
    </row>
    <row r="810" spans="2:9" x14ac:dyDescent="0.3">
      <c r="B810">
        <v>808</v>
      </c>
      <c r="C810" s="1">
        <v>68393</v>
      </c>
      <c r="D810" s="1" t="str">
        <f t="shared" si="52"/>
        <v>IV</v>
      </c>
      <c r="E810">
        <f t="shared" si="50"/>
        <v>-8668569.447964618</v>
      </c>
      <c r="F810">
        <v>0</v>
      </c>
      <c r="G810">
        <v>-15000</v>
      </c>
      <c r="H810" s="4">
        <f t="shared" si="53"/>
        <v>-149532.6739337387</v>
      </c>
      <c r="I810">
        <f t="shared" si="51"/>
        <v>-8833102.1218983568</v>
      </c>
    </row>
    <row r="811" spans="2:9" x14ac:dyDescent="0.3">
      <c r="B811">
        <v>809</v>
      </c>
      <c r="C811" s="1">
        <v>68423</v>
      </c>
      <c r="D811" s="1" t="str">
        <f t="shared" si="52"/>
        <v>V</v>
      </c>
      <c r="E811">
        <f t="shared" si="50"/>
        <v>-8833102.1218983568</v>
      </c>
      <c r="F811">
        <v>0</v>
      </c>
      <c r="G811">
        <v>-15000</v>
      </c>
      <c r="H811" s="4">
        <f t="shared" si="53"/>
        <v>-50464.214518298169</v>
      </c>
      <c r="I811">
        <f t="shared" si="51"/>
        <v>-8898566.3364166543</v>
      </c>
    </row>
    <row r="812" spans="2:9" x14ac:dyDescent="0.3">
      <c r="B812">
        <v>810</v>
      </c>
      <c r="C812" s="1">
        <v>68454</v>
      </c>
      <c r="D812" s="1" t="str">
        <f t="shared" si="52"/>
        <v>VI</v>
      </c>
      <c r="E812">
        <f t="shared" si="50"/>
        <v>-8898566.3364166543</v>
      </c>
      <c r="F812">
        <v>0</v>
      </c>
      <c r="G812">
        <v>-15000</v>
      </c>
      <c r="H812" s="4">
        <f t="shared" si="53"/>
        <v>-38506.215872580135</v>
      </c>
      <c r="I812">
        <f t="shared" si="51"/>
        <v>-8952072.5522892345</v>
      </c>
    </row>
    <row r="813" spans="2:9" x14ac:dyDescent="0.3">
      <c r="B813">
        <v>811</v>
      </c>
      <c r="C813" s="1">
        <v>68484</v>
      </c>
      <c r="D813" s="1" t="str">
        <f t="shared" si="52"/>
        <v>VII</v>
      </c>
      <c r="E813">
        <f t="shared" si="50"/>
        <v>-8952072.5522892345</v>
      </c>
      <c r="F813">
        <v>0</v>
      </c>
      <c r="G813">
        <v>-15000</v>
      </c>
      <c r="H813" s="4">
        <f t="shared" si="53"/>
        <v>-54244.263661114019</v>
      </c>
      <c r="I813">
        <f t="shared" si="51"/>
        <v>-9021316.815950349</v>
      </c>
    </row>
    <row r="814" spans="2:9" x14ac:dyDescent="0.3">
      <c r="B814">
        <v>812</v>
      </c>
      <c r="C814" s="1">
        <v>68515</v>
      </c>
      <c r="D814" s="1" t="str">
        <f t="shared" si="52"/>
        <v>VIII</v>
      </c>
      <c r="E814">
        <f t="shared" si="50"/>
        <v>-9021316.815950349</v>
      </c>
      <c r="F814">
        <v>0</v>
      </c>
      <c r="G814">
        <v>-15000</v>
      </c>
      <c r="H814" s="4">
        <f t="shared" si="53"/>
        <v>-2112.7828972790981</v>
      </c>
      <c r="I814">
        <f t="shared" si="51"/>
        <v>-9038429.5988476276</v>
      </c>
    </row>
    <row r="815" spans="2:9" x14ac:dyDescent="0.3">
      <c r="B815">
        <v>813</v>
      </c>
      <c r="C815" s="1">
        <v>68546</v>
      </c>
      <c r="D815" s="1" t="str">
        <f t="shared" si="52"/>
        <v>IX</v>
      </c>
      <c r="E815">
        <f t="shared" si="50"/>
        <v>-9038429.5988476276</v>
      </c>
      <c r="F815">
        <v>0</v>
      </c>
      <c r="G815">
        <v>-15000</v>
      </c>
      <c r="H815" s="4">
        <f t="shared" si="53"/>
        <v>52369.28135783664</v>
      </c>
      <c r="I815">
        <f t="shared" si="51"/>
        <v>-9001060.3174897917</v>
      </c>
    </row>
    <row r="816" spans="2:9" x14ac:dyDescent="0.3">
      <c r="B816">
        <v>814</v>
      </c>
      <c r="C816" s="1">
        <v>68576</v>
      </c>
      <c r="D816" s="1" t="str">
        <f t="shared" si="52"/>
        <v>X</v>
      </c>
      <c r="E816">
        <f t="shared" si="50"/>
        <v>-9001060.3174897917</v>
      </c>
      <c r="F816">
        <v>0</v>
      </c>
      <c r="G816">
        <v>-15000</v>
      </c>
      <c r="H816" s="4">
        <f t="shared" si="53"/>
        <v>-73518.430318540515</v>
      </c>
      <c r="I816">
        <f t="shared" si="51"/>
        <v>-9089578.7478083316</v>
      </c>
    </row>
    <row r="817" spans="2:9" x14ac:dyDescent="0.3">
      <c r="B817">
        <v>815</v>
      </c>
      <c r="C817" s="1">
        <v>68607</v>
      </c>
      <c r="D817" s="1" t="str">
        <f t="shared" si="52"/>
        <v>XI</v>
      </c>
      <c r="E817">
        <f t="shared" si="50"/>
        <v>-9089578.7478083316</v>
      </c>
      <c r="F817">
        <v>0</v>
      </c>
      <c r="G817">
        <v>-15000</v>
      </c>
      <c r="H817" s="4">
        <f t="shared" si="53"/>
        <v>-120220.54984119804</v>
      </c>
      <c r="I817">
        <f t="shared" si="51"/>
        <v>-9224799.2976495288</v>
      </c>
    </row>
    <row r="818" spans="2:9" x14ac:dyDescent="0.3">
      <c r="B818">
        <v>816</v>
      </c>
      <c r="C818" s="1">
        <v>68637</v>
      </c>
      <c r="D818" s="1" t="str">
        <f t="shared" si="52"/>
        <v>XII</v>
      </c>
      <c r="E818">
        <f t="shared" si="50"/>
        <v>-9224799.2976495288</v>
      </c>
      <c r="F818">
        <v>0</v>
      </c>
      <c r="G818">
        <v>-15000</v>
      </c>
      <c r="H818" s="4">
        <f t="shared" si="53"/>
        <v>-138097.16267315988</v>
      </c>
      <c r="I818">
        <f t="shared" si="51"/>
        <v>-9377896.4603226893</v>
      </c>
    </row>
    <row r="819" spans="2:9" x14ac:dyDescent="0.3">
      <c r="B819">
        <v>817</v>
      </c>
      <c r="C819" s="1">
        <v>68668</v>
      </c>
      <c r="D819" s="1" t="str">
        <f t="shared" si="52"/>
        <v>I</v>
      </c>
      <c r="E819">
        <f t="shared" ref="E819:E882" si="54">I818</f>
        <v>-9377896.4603226893</v>
      </c>
      <c r="F819">
        <v>0</v>
      </c>
      <c r="G819">
        <v>-15000</v>
      </c>
      <c r="H819" s="4">
        <f t="shared" si="53"/>
        <v>-120014.25643413696</v>
      </c>
      <c r="I819">
        <f t="shared" ref="I819:I882" si="55">SUM(E819:H819)</f>
        <v>-9512910.7167568263</v>
      </c>
    </row>
    <row r="820" spans="2:9" x14ac:dyDescent="0.3">
      <c r="B820">
        <v>818</v>
      </c>
      <c r="C820" s="1">
        <v>68699</v>
      </c>
      <c r="D820" s="1" t="str">
        <f t="shared" si="52"/>
        <v>II</v>
      </c>
      <c r="E820">
        <f t="shared" si="54"/>
        <v>-9512910.7167568263</v>
      </c>
      <c r="F820">
        <v>0</v>
      </c>
      <c r="G820">
        <v>-15000</v>
      </c>
      <c r="H820" s="4">
        <f t="shared" si="53"/>
        <v>-6646.1232287323419</v>
      </c>
      <c r="I820">
        <f t="shared" si="55"/>
        <v>-9534556.8399855588</v>
      </c>
    </row>
    <row r="821" spans="2:9" x14ac:dyDescent="0.3">
      <c r="B821">
        <v>819</v>
      </c>
      <c r="C821" s="1">
        <v>68728</v>
      </c>
      <c r="D821" s="1" t="str">
        <f t="shared" si="52"/>
        <v>III</v>
      </c>
      <c r="E821">
        <f t="shared" si="54"/>
        <v>-9534556.8399855588</v>
      </c>
      <c r="F821">
        <v>0</v>
      </c>
      <c r="G821">
        <v>-15000</v>
      </c>
      <c r="H821" s="4">
        <f t="shared" si="53"/>
        <v>-83769.95047472656</v>
      </c>
      <c r="I821">
        <f t="shared" si="55"/>
        <v>-9633326.7904602848</v>
      </c>
    </row>
    <row r="822" spans="2:9" x14ac:dyDescent="0.3">
      <c r="B822">
        <v>820</v>
      </c>
      <c r="C822" s="1">
        <v>68759</v>
      </c>
      <c r="D822" s="1" t="str">
        <f t="shared" si="52"/>
        <v>IV</v>
      </c>
      <c r="E822">
        <f t="shared" si="54"/>
        <v>-9633326.7904602848</v>
      </c>
      <c r="F822">
        <v>0</v>
      </c>
      <c r="G822">
        <v>-15000</v>
      </c>
      <c r="H822" s="4">
        <f t="shared" si="53"/>
        <v>-166145.97402710054</v>
      </c>
      <c r="I822">
        <f t="shared" si="55"/>
        <v>-9814472.7644873857</v>
      </c>
    </row>
    <row r="823" spans="2:9" x14ac:dyDescent="0.3">
      <c r="B823">
        <v>821</v>
      </c>
      <c r="C823" s="1">
        <v>68789</v>
      </c>
      <c r="D823" s="1" t="str">
        <f t="shared" si="52"/>
        <v>V</v>
      </c>
      <c r="E823">
        <f t="shared" si="54"/>
        <v>-9814472.7644873857</v>
      </c>
      <c r="F823">
        <v>0</v>
      </c>
      <c r="G823">
        <v>-15000</v>
      </c>
      <c r="H823" s="4">
        <f t="shared" si="53"/>
        <v>-56061.358170947096</v>
      </c>
      <c r="I823">
        <f t="shared" si="55"/>
        <v>-9885534.1226583328</v>
      </c>
    </row>
    <row r="824" spans="2:9" x14ac:dyDescent="0.3">
      <c r="B824">
        <v>822</v>
      </c>
      <c r="C824" s="1">
        <v>68820</v>
      </c>
      <c r="D824" s="1" t="str">
        <f t="shared" si="52"/>
        <v>VI</v>
      </c>
      <c r="E824">
        <f t="shared" si="54"/>
        <v>-9885534.1226583328</v>
      </c>
      <c r="F824">
        <v>0</v>
      </c>
      <c r="G824">
        <v>-15000</v>
      </c>
      <c r="H824" s="4">
        <f t="shared" si="53"/>
        <v>-42769.873448228216</v>
      </c>
      <c r="I824">
        <f t="shared" si="55"/>
        <v>-9943303.9961065613</v>
      </c>
    </row>
    <row r="825" spans="2:9" x14ac:dyDescent="0.3">
      <c r="B825">
        <v>823</v>
      </c>
      <c r="C825" s="1">
        <v>68850</v>
      </c>
      <c r="D825" s="1" t="str">
        <f t="shared" si="52"/>
        <v>VII</v>
      </c>
      <c r="E825">
        <f t="shared" si="54"/>
        <v>-9943303.9961065613</v>
      </c>
      <c r="F825">
        <v>0</v>
      </c>
      <c r="G825">
        <v>-15000</v>
      </c>
      <c r="H825" s="4">
        <f t="shared" si="53"/>
        <v>-60240.492583549472</v>
      </c>
      <c r="I825">
        <f t="shared" si="55"/>
        <v>-10018544.48869011</v>
      </c>
    </row>
    <row r="826" spans="2:9" x14ac:dyDescent="0.3">
      <c r="B826">
        <v>824</v>
      </c>
      <c r="C826" s="1">
        <v>68881</v>
      </c>
      <c r="D826" s="1" t="str">
        <f t="shared" si="52"/>
        <v>VIII</v>
      </c>
      <c r="E826">
        <f t="shared" si="54"/>
        <v>-10018544.48869011</v>
      </c>
      <c r="F826">
        <v>0</v>
      </c>
      <c r="G826">
        <v>-15000</v>
      </c>
      <c r="H826" s="4">
        <f t="shared" si="53"/>
        <v>-2345.9448829167632</v>
      </c>
      <c r="I826">
        <f t="shared" si="55"/>
        <v>-10035890.433573026</v>
      </c>
    </row>
    <row r="827" spans="2:9" x14ac:dyDescent="0.3">
      <c r="B827">
        <v>825</v>
      </c>
      <c r="C827" s="1">
        <v>68912</v>
      </c>
      <c r="D827" s="1" t="str">
        <f t="shared" si="52"/>
        <v>IX</v>
      </c>
      <c r="E827">
        <f t="shared" si="54"/>
        <v>-10035890.433573026</v>
      </c>
      <c r="F827">
        <v>0</v>
      </c>
      <c r="G827">
        <v>-15000</v>
      </c>
      <c r="H827" s="4">
        <f t="shared" si="53"/>
        <v>58139.062469715609</v>
      </c>
      <c r="I827">
        <f t="shared" si="55"/>
        <v>-9992751.371103311</v>
      </c>
    </row>
    <row r="828" spans="2:9" x14ac:dyDescent="0.3">
      <c r="B828">
        <v>826</v>
      </c>
      <c r="C828" s="1">
        <v>68942</v>
      </c>
      <c r="D828" s="1" t="str">
        <f t="shared" si="52"/>
        <v>X</v>
      </c>
      <c r="E828">
        <f t="shared" si="54"/>
        <v>-9992751.371103311</v>
      </c>
      <c r="F828">
        <v>0</v>
      </c>
      <c r="G828">
        <v>-15000</v>
      </c>
      <c r="H828" s="4">
        <f t="shared" si="53"/>
        <v>-81604.841351214724</v>
      </c>
      <c r="I828">
        <f t="shared" si="55"/>
        <v>-10089356.212454526</v>
      </c>
    </row>
    <row r="829" spans="2:9" x14ac:dyDescent="0.3">
      <c r="B829">
        <v>827</v>
      </c>
      <c r="C829" s="1">
        <v>68973</v>
      </c>
      <c r="D829" s="1" t="str">
        <f t="shared" si="52"/>
        <v>XI</v>
      </c>
      <c r="E829">
        <f t="shared" si="54"/>
        <v>-10089356.212454526</v>
      </c>
      <c r="F829">
        <v>0</v>
      </c>
      <c r="G829">
        <v>-15000</v>
      </c>
      <c r="H829" s="4">
        <f t="shared" si="53"/>
        <v>-133422.01691045015</v>
      </c>
      <c r="I829">
        <f t="shared" si="55"/>
        <v>-10237778.229364976</v>
      </c>
    </row>
    <row r="830" spans="2:9" x14ac:dyDescent="0.3">
      <c r="B830">
        <v>828</v>
      </c>
      <c r="C830" s="1">
        <v>69003</v>
      </c>
      <c r="D830" s="1" t="str">
        <f t="shared" si="52"/>
        <v>XII</v>
      </c>
      <c r="E830">
        <f t="shared" si="54"/>
        <v>-10237778.229364976</v>
      </c>
      <c r="F830">
        <v>0</v>
      </c>
      <c r="G830">
        <v>-15000</v>
      </c>
      <c r="H830" s="4">
        <f t="shared" si="53"/>
        <v>-153237.04957018129</v>
      </c>
      <c r="I830">
        <f t="shared" si="55"/>
        <v>-10406015.278935157</v>
      </c>
    </row>
    <row r="831" spans="2:9" x14ac:dyDescent="0.3">
      <c r="B831">
        <v>829</v>
      </c>
      <c r="C831" s="1">
        <v>69034</v>
      </c>
      <c r="D831" s="1" t="str">
        <f t="shared" si="52"/>
        <v>I</v>
      </c>
      <c r="E831">
        <f t="shared" si="54"/>
        <v>-10406015.278935157</v>
      </c>
      <c r="F831">
        <v>0</v>
      </c>
      <c r="G831">
        <v>-15000</v>
      </c>
      <c r="H831" s="4">
        <f t="shared" si="53"/>
        <v>-133150.66393771544</v>
      </c>
      <c r="I831">
        <f t="shared" si="55"/>
        <v>-10554165.942872873</v>
      </c>
    </row>
    <row r="832" spans="2:9" x14ac:dyDescent="0.3">
      <c r="B832">
        <v>830</v>
      </c>
      <c r="C832" s="1">
        <v>69065</v>
      </c>
      <c r="D832" s="1" t="str">
        <f t="shared" si="52"/>
        <v>II</v>
      </c>
      <c r="E832">
        <f t="shared" si="54"/>
        <v>-10554165.942872873</v>
      </c>
      <c r="F832">
        <v>0</v>
      </c>
      <c r="G832">
        <v>-15000</v>
      </c>
      <c r="H832" s="4">
        <f t="shared" si="53"/>
        <v>-7372.4430643242085</v>
      </c>
      <c r="I832">
        <f t="shared" si="55"/>
        <v>-10576538.385937197</v>
      </c>
    </row>
    <row r="833" spans="2:9" x14ac:dyDescent="0.3">
      <c r="B833">
        <v>831</v>
      </c>
      <c r="C833" s="1">
        <v>69093</v>
      </c>
      <c r="D833" s="1" t="str">
        <f t="shared" si="52"/>
        <v>III</v>
      </c>
      <c r="E833">
        <f t="shared" si="54"/>
        <v>-10576538.385937197</v>
      </c>
      <c r="F833">
        <v>0</v>
      </c>
      <c r="G833">
        <v>-15000</v>
      </c>
      <c r="H833" s="4">
        <f t="shared" si="53"/>
        <v>-92910.34766409811</v>
      </c>
      <c r="I833">
        <f t="shared" si="55"/>
        <v>-10684448.733601294</v>
      </c>
    </row>
    <row r="834" spans="2:9" x14ac:dyDescent="0.3">
      <c r="B834">
        <v>832</v>
      </c>
      <c r="C834" s="1">
        <v>69124</v>
      </c>
      <c r="D834" s="1" t="str">
        <f t="shared" si="52"/>
        <v>IV</v>
      </c>
      <c r="E834">
        <f t="shared" si="54"/>
        <v>-10684448.733601294</v>
      </c>
      <c r="F834">
        <v>0</v>
      </c>
      <c r="G834">
        <v>-15000</v>
      </c>
      <c r="H834" s="4">
        <f t="shared" si="53"/>
        <v>-184246.48853673507</v>
      </c>
      <c r="I834">
        <f t="shared" si="55"/>
        <v>-10883695.222138029</v>
      </c>
    </row>
    <row r="835" spans="2:9" x14ac:dyDescent="0.3">
      <c r="B835">
        <v>833</v>
      </c>
      <c r="C835" s="1">
        <v>69154</v>
      </c>
      <c r="D835" s="1" t="str">
        <f t="shared" si="52"/>
        <v>V</v>
      </c>
      <c r="E835">
        <f t="shared" si="54"/>
        <v>-10883695.222138029</v>
      </c>
      <c r="F835">
        <v>0</v>
      </c>
      <c r="G835">
        <v>-15000</v>
      </c>
      <c r="H835" s="4">
        <f t="shared" si="53"/>
        <v>-62159.555358016572</v>
      </c>
      <c r="I835">
        <f t="shared" si="55"/>
        <v>-10960854.777496045</v>
      </c>
    </row>
    <row r="836" spans="2:9" x14ac:dyDescent="0.3">
      <c r="B836">
        <v>834</v>
      </c>
      <c r="C836" s="1">
        <v>69185</v>
      </c>
      <c r="D836" s="1" t="str">
        <f t="shared" ref="D836:D899" si="56">TEXT(C836,"mmm")</f>
        <v>VI</v>
      </c>
      <c r="E836">
        <f t="shared" si="54"/>
        <v>-10960854.777496045</v>
      </c>
      <c r="F836">
        <v>0</v>
      </c>
      <c r="G836">
        <v>-15000</v>
      </c>
      <c r="H836" s="4">
        <f t="shared" si="53"/>
        <v>-47415.211543515346</v>
      </c>
      <c r="I836">
        <f t="shared" si="55"/>
        <v>-11023269.989039561</v>
      </c>
    </row>
    <row r="837" spans="2:9" x14ac:dyDescent="0.3">
      <c r="B837">
        <v>835</v>
      </c>
      <c r="C837" s="1">
        <v>69215</v>
      </c>
      <c r="D837" s="1" t="str">
        <f t="shared" si="56"/>
        <v>VII</v>
      </c>
      <c r="E837">
        <f t="shared" si="54"/>
        <v>-11023269.989039561</v>
      </c>
      <c r="F837">
        <v>0</v>
      </c>
      <c r="G837">
        <v>-15000</v>
      </c>
      <c r="H837" s="4">
        <f t="shared" ref="H837:H900" si="57">SUM(E837:G837)*VLOOKUP(D837,$U$4:$V$15,2,FALSE)</f>
        <v>-66773.500956581862</v>
      </c>
      <c r="I837">
        <f t="shared" si="55"/>
        <v>-11105043.489996143</v>
      </c>
    </row>
    <row r="838" spans="2:9" x14ac:dyDescent="0.3">
      <c r="B838">
        <v>836</v>
      </c>
      <c r="C838" s="1">
        <v>69246</v>
      </c>
      <c r="D838" s="1" t="str">
        <f t="shared" si="56"/>
        <v>VIII</v>
      </c>
      <c r="E838">
        <f t="shared" si="54"/>
        <v>-11105043.489996143</v>
      </c>
      <c r="F838">
        <v>0</v>
      </c>
      <c r="G838">
        <v>-15000</v>
      </c>
      <c r="H838" s="4">
        <f t="shared" si="57"/>
        <v>-2599.9794143110439</v>
      </c>
      <c r="I838">
        <f t="shared" si="55"/>
        <v>-11122643.469410453</v>
      </c>
    </row>
    <row r="839" spans="2:9" x14ac:dyDescent="0.3">
      <c r="B839">
        <v>837</v>
      </c>
      <c r="C839" s="1">
        <v>69277</v>
      </c>
      <c r="D839" s="1" t="str">
        <f t="shared" si="56"/>
        <v>IX</v>
      </c>
      <c r="E839">
        <f t="shared" si="54"/>
        <v>-11122643.469410453</v>
      </c>
      <c r="F839">
        <v>0</v>
      </c>
      <c r="G839">
        <v>-15000</v>
      </c>
      <c r="H839" s="4">
        <f t="shared" si="57"/>
        <v>64425.351536070913</v>
      </c>
      <c r="I839">
        <f t="shared" si="55"/>
        <v>-11073218.117874382</v>
      </c>
    </row>
    <row r="840" spans="2:9" x14ac:dyDescent="0.3">
      <c r="B840">
        <v>838</v>
      </c>
      <c r="C840" s="1">
        <v>69307</v>
      </c>
      <c r="D840" s="1" t="str">
        <f t="shared" si="56"/>
        <v>X</v>
      </c>
      <c r="E840">
        <f t="shared" si="54"/>
        <v>-11073218.117874382</v>
      </c>
      <c r="F840">
        <v>0</v>
      </c>
      <c r="G840">
        <v>-15000</v>
      </c>
      <c r="H840" s="4">
        <f t="shared" si="57"/>
        <v>-90415.143904304219</v>
      </c>
      <c r="I840">
        <f t="shared" si="55"/>
        <v>-11178633.261778686</v>
      </c>
    </row>
    <row r="841" spans="2:9" x14ac:dyDescent="0.3">
      <c r="B841">
        <v>839</v>
      </c>
      <c r="C841" s="1">
        <v>69338</v>
      </c>
      <c r="D841" s="1" t="str">
        <f t="shared" si="56"/>
        <v>XI</v>
      </c>
      <c r="E841">
        <f t="shared" si="54"/>
        <v>-11178633.261778686</v>
      </c>
      <c r="F841">
        <v>0</v>
      </c>
      <c r="G841">
        <v>-15000</v>
      </c>
      <c r="H841" s="4">
        <f t="shared" si="57"/>
        <v>-147805.27278933107</v>
      </c>
      <c r="I841">
        <f t="shared" si="55"/>
        <v>-11341438.534568017</v>
      </c>
    </row>
    <row r="842" spans="2:9" x14ac:dyDescent="0.3">
      <c r="B842">
        <v>840</v>
      </c>
      <c r="C842" s="1">
        <v>69368</v>
      </c>
      <c r="D842" s="1" t="str">
        <f t="shared" si="56"/>
        <v>XII</v>
      </c>
      <c r="E842">
        <f t="shared" si="54"/>
        <v>-11341438.534568017</v>
      </c>
      <c r="F842">
        <v>0</v>
      </c>
      <c r="G842">
        <v>-15000</v>
      </c>
      <c r="H842" s="4">
        <f t="shared" si="57"/>
        <v>-169732.25166210392</v>
      </c>
      <c r="I842">
        <f t="shared" si="55"/>
        <v>-11526170.786230121</v>
      </c>
    </row>
    <row r="843" spans="2:9" x14ac:dyDescent="0.3">
      <c r="B843">
        <v>841</v>
      </c>
      <c r="C843" s="1">
        <v>69399</v>
      </c>
      <c r="D843" s="1" t="str">
        <f t="shared" si="56"/>
        <v>I</v>
      </c>
      <c r="E843">
        <f t="shared" si="54"/>
        <v>-11526170.786230121</v>
      </c>
      <c r="F843">
        <v>0</v>
      </c>
      <c r="G843">
        <v>-15000</v>
      </c>
      <c r="H843" s="4">
        <f t="shared" si="57"/>
        <v>-147463.03615074736</v>
      </c>
      <c r="I843">
        <f t="shared" si="55"/>
        <v>-11688633.822380869</v>
      </c>
    </row>
    <row r="844" spans="2:9" x14ac:dyDescent="0.3">
      <c r="B844">
        <v>842</v>
      </c>
      <c r="C844" s="1">
        <v>69430</v>
      </c>
      <c r="D844" s="1" t="str">
        <f t="shared" si="56"/>
        <v>II</v>
      </c>
      <c r="E844">
        <f t="shared" si="54"/>
        <v>-11688633.822380869</v>
      </c>
      <c r="F844">
        <v>0</v>
      </c>
      <c r="G844">
        <v>-15000</v>
      </c>
      <c r="H844" s="4">
        <f t="shared" si="57"/>
        <v>-8163.782692747518</v>
      </c>
      <c r="I844">
        <f t="shared" si="55"/>
        <v>-11711797.605073616</v>
      </c>
    </row>
    <row r="845" spans="2:9" x14ac:dyDescent="0.3">
      <c r="B845">
        <v>843</v>
      </c>
      <c r="C845" s="1">
        <v>69458</v>
      </c>
      <c r="D845" s="1" t="str">
        <f t="shared" si="56"/>
        <v>III</v>
      </c>
      <c r="E845">
        <f t="shared" si="54"/>
        <v>-11711797.605073616</v>
      </c>
      <c r="F845">
        <v>0</v>
      </c>
      <c r="G845">
        <v>-15000</v>
      </c>
      <c r="H845" s="4">
        <f t="shared" si="57"/>
        <v>-102868.98869389258</v>
      </c>
      <c r="I845">
        <f t="shared" si="55"/>
        <v>-11829666.593767509</v>
      </c>
    </row>
    <row r="846" spans="2:9" x14ac:dyDescent="0.3">
      <c r="B846">
        <v>844</v>
      </c>
      <c r="C846" s="1">
        <v>69489</v>
      </c>
      <c r="D846" s="1" t="str">
        <f t="shared" si="56"/>
        <v>IV</v>
      </c>
      <c r="E846">
        <f t="shared" si="54"/>
        <v>-11829666.593767509</v>
      </c>
      <c r="F846">
        <v>0</v>
      </c>
      <c r="G846">
        <v>-15000</v>
      </c>
      <c r="H846" s="4">
        <f t="shared" si="57"/>
        <v>-203967.35216240317</v>
      </c>
      <c r="I846">
        <f t="shared" si="55"/>
        <v>-12048633.945929913</v>
      </c>
    </row>
    <row r="847" spans="2:9" x14ac:dyDescent="0.3">
      <c r="B847">
        <v>845</v>
      </c>
      <c r="C847" s="1">
        <v>69519</v>
      </c>
      <c r="D847" s="1" t="str">
        <f t="shared" si="56"/>
        <v>V</v>
      </c>
      <c r="E847">
        <f t="shared" si="54"/>
        <v>-12048633.945929913</v>
      </c>
      <c r="F847">
        <v>0</v>
      </c>
      <c r="G847">
        <v>-15000</v>
      </c>
      <c r="H847" s="4">
        <f t="shared" si="57"/>
        <v>-68803.660144353882</v>
      </c>
      <c r="I847">
        <f t="shared" si="55"/>
        <v>-12132437.606074266</v>
      </c>
    </row>
    <row r="848" spans="2:9" x14ac:dyDescent="0.3">
      <c r="B848">
        <v>846</v>
      </c>
      <c r="C848" s="1">
        <v>69550</v>
      </c>
      <c r="D848" s="1" t="str">
        <f t="shared" si="56"/>
        <v>VI</v>
      </c>
      <c r="E848">
        <f t="shared" si="54"/>
        <v>-12132437.606074266</v>
      </c>
      <c r="F848">
        <v>0</v>
      </c>
      <c r="G848">
        <v>-15000</v>
      </c>
      <c r="H848" s="4">
        <f t="shared" si="57"/>
        <v>-52476.398009983823</v>
      </c>
      <c r="I848">
        <f t="shared" si="55"/>
        <v>-12199914.00408425</v>
      </c>
    </row>
    <row r="849" spans="2:9" x14ac:dyDescent="0.3">
      <c r="B849">
        <v>847</v>
      </c>
      <c r="C849" s="1">
        <v>69580</v>
      </c>
      <c r="D849" s="1" t="str">
        <f t="shared" si="56"/>
        <v>VII</v>
      </c>
      <c r="E849">
        <f t="shared" si="54"/>
        <v>-12199914.00408425</v>
      </c>
      <c r="F849">
        <v>0</v>
      </c>
      <c r="G849">
        <v>-15000</v>
      </c>
      <c r="H849" s="4">
        <f t="shared" si="57"/>
        <v>-73891.341011423559</v>
      </c>
      <c r="I849">
        <f t="shared" si="55"/>
        <v>-12288805.345095674</v>
      </c>
    </row>
    <row r="850" spans="2:9" x14ac:dyDescent="0.3">
      <c r="B850">
        <v>848</v>
      </c>
      <c r="C850" s="1">
        <v>69611</v>
      </c>
      <c r="D850" s="1" t="str">
        <f t="shared" si="56"/>
        <v>VIII</v>
      </c>
      <c r="E850">
        <f t="shared" si="54"/>
        <v>-12288805.345095674</v>
      </c>
      <c r="F850">
        <v>0</v>
      </c>
      <c r="G850">
        <v>-15000</v>
      </c>
      <c r="H850" s="4">
        <f t="shared" si="57"/>
        <v>-2876.7549914456349</v>
      </c>
      <c r="I850">
        <f t="shared" si="55"/>
        <v>-12306682.100087119</v>
      </c>
    </row>
    <row r="851" spans="2:9" x14ac:dyDescent="0.3">
      <c r="B851">
        <v>849</v>
      </c>
      <c r="C851" s="1">
        <v>69642</v>
      </c>
      <c r="D851" s="1" t="str">
        <f t="shared" si="56"/>
        <v>IX</v>
      </c>
      <c r="E851">
        <f t="shared" si="54"/>
        <v>-12306682.100087119</v>
      </c>
      <c r="F851">
        <v>0</v>
      </c>
      <c r="G851">
        <v>-15000</v>
      </c>
      <c r="H851" s="4">
        <f t="shared" si="57"/>
        <v>71274.386093797701</v>
      </c>
      <c r="I851">
        <f t="shared" si="55"/>
        <v>-12250407.713993322</v>
      </c>
    </row>
    <row r="852" spans="2:9" x14ac:dyDescent="0.3">
      <c r="B852">
        <v>850</v>
      </c>
      <c r="C852" s="1">
        <v>69672</v>
      </c>
      <c r="D852" s="1" t="str">
        <f t="shared" si="56"/>
        <v>X</v>
      </c>
      <c r="E852">
        <f t="shared" si="54"/>
        <v>-12250407.713993322</v>
      </c>
      <c r="F852">
        <v>0</v>
      </c>
      <c r="G852">
        <v>-15000</v>
      </c>
      <c r="H852" s="4">
        <f t="shared" si="57"/>
        <v>-100014.14038906561</v>
      </c>
      <c r="I852">
        <f t="shared" si="55"/>
        <v>-12365421.854382388</v>
      </c>
    </row>
    <row r="853" spans="2:9" x14ac:dyDescent="0.3">
      <c r="B853">
        <v>851</v>
      </c>
      <c r="C853" s="1">
        <v>69703</v>
      </c>
      <c r="D853" s="1" t="str">
        <f t="shared" si="56"/>
        <v>XI</v>
      </c>
      <c r="E853">
        <f t="shared" si="54"/>
        <v>-12365421.854382388</v>
      </c>
      <c r="F853">
        <v>0</v>
      </c>
      <c r="G853">
        <v>-15000</v>
      </c>
      <c r="H853" s="4">
        <f t="shared" si="57"/>
        <v>-163476.11062819581</v>
      </c>
      <c r="I853">
        <f t="shared" si="55"/>
        <v>-12543897.965010583</v>
      </c>
    </row>
    <row r="854" spans="2:9" x14ac:dyDescent="0.3">
      <c r="B854">
        <v>852</v>
      </c>
      <c r="C854" s="1">
        <v>69733</v>
      </c>
      <c r="D854" s="1" t="str">
        <f t="shared" si="56"/>
        <v>XII</v>
      </c>
      <c r="E854">
        <f t="shared" si="54"/>
        <v>-12543897.965010583</v>
      </c>
      <c r="F854">
        <v>0</v>
      </c>
      <c r="G854">
        <v>-15000</v>
      </c>
      <c r="H854" s="4">
        <f t="shared" si="57"/>
        <v>-187704.09609555872</v>
      </c>
      <c r="I854">
        <f t="shared" si="55"/>
        <v>-12746602.061106142</v>
      </c>
    </row>
    <row r="855" spans="2:9" x14ac:dyDescent="0.3">
      <c r="B855">
        <v>853</v>
      </c>
      <c r="C855" s="1">
        <v>69764</v>
      </c>
      <c r="D855" s="1" t="str">
        <f t="shared" si="56"/>
        <v>I</v>
      </c>
      <c r="E855">
        <f t="shared" si="54"/>
        <v>-12746602.061106142</v>
      </c>
      <c r="F855">
        <v>0</v>
      </c>
      <c r="G855">
        <v>-15000</v>
      </c>
      <c r="H855" s="4">
        <f t="shared" si="57"/>
        <v>-163056.64485301764</v>
      </c>
      <c r="I855">
        <f t="shared" si="55"/>
        <v>-12924658.70595916</v>
      </c>
    </row>
    <row r="856" spans="2:9" x14ac:dyDescent="0.3">
      <c r="B856">
        <v>854</v>
      </c>
      <c r="C856" s="1">
        <v>69795</v>
      </c>
      <c r="D856" s="1" t="str">
        <f t="shared" si="56"/>
        <v>II</v>
      </c>
      <c r="E856">
        <f t="shared" si="54"/>
        <v>-12924658.70595916</v>
      </c>
      <c r="F856">
        <v>0</v>
      </c>
      <c r="G856">
        <v>-15000</v>
      </c>
      <c r="H856" s="4">
        <f t="shared" si="57"/>
        <v>-9025.9626537324039</v>
      </c>
      <c r="I856">
        <f t="shared" si="55"/>
        <v>-12948684.668612892</v>
      </c>
    </row>
    <row r="857" spans="2:9" x14ac:dyDescent="0.3">
      <c r="B857">
        <v>855</v>
      </c>
      <c r="C857" s="1">
        <v>69823</v>
      </c>
      <c r="D857" s="1" t="str">
        <f t="shared" si="56"/>
        <v>III</v>
      </c>
      <c r="E857">
        <f t="shared" si="54"/>
        <v>-12948684.668612892</v>
      </c>
      <c r="F857">
        <v>0</v>
      </c>
      <c r="G857">
        <v>-15000</v>
      </c>
      <c r="H857" s="4">
        <f t="shared" si="57"/>
        <v>-113719.1223484373</v>
      </c>
      <c r="I857">
        <f t="shared" si="55"/>
        <v>-13077403.790961329</v>
      </c>
    </row>
    <row r="858" spans="2:9" x14ac:dyDescent="0.3">
      <c r="B858">
        <v>856</v>
      </c>
      <c r="C858" s="1">
        <v>69854</v>
      </c>
      <c r="D858" s="1" t="str">
        <f t="shared" si="56"/>
        <v>IV</v>
      </c>
      <c r="E858">
        <f t="shared" si="54"/>
        <v>-13077403.790961329</v>
      </c>
      <c r="F858">
        <v>0</v>
      </c>
      <c r="G858">
        <v>-15000</v>
      </c>
      <c r="H858" s="4">
        <f t="shared" si="57"/>
        <v>-225453.61775641108</v>
      </c>
      <c r="I858">
        <f t="shared" si="55"/>
        <v>-13317857.40871774</v>
      </c>
    </row>
    <row r="859" spans="2:9" x14ac:dyDescent="0.3">
      <c r="B859">
        <v>857</v>
      </c>
      <c r="C859" s="1">
        <v>69884</v>
      </c>
      <c r="D859" s="1" t="str">
        <f t="shared" si="56"/>
        <v>V</v>
      </c>
      <c r="E859">
        <f t="shared" si="54"/>
        <v>-13317857.40871774</v>
      </c>
      <c r="F859">
        <v>0</v>
      </c>
      <c r="G859">
        <v>-15000</v>
      </c>
      <c r="H859" s="4">
        <f t="shared" si="57"/>
        <v>-76042.54190853046</v>
      </c>
      <c r="I859">
        <f t="shared" si="55"/>
        <v>-13408899.950626271</v>
      </c>
    </row>
    <row r="860" spans="2:9" x14ac:dyDescent="0.3">
      <c r="B860">
        <v>858</v>
      </c>
      <c r="C860" s="1">
        <v>69915</v>
      </c>
      <c r="D860" s="1" t="str">
        <f t="shared" si="56"/>
        <v>VI</v>
      </c>
      <c r="E860">
        <f t="shared" si="54"/>
        <v>-13408899.950626271</v>
      </c>
      <c r="F860">
        <v>0</v>
      </c>
      <c r="G860">
        <v>-15000</v>
      </c>
      <c r="H860" s="4">
        <f t="shared" si="57"/>
        <v>-57990.659388364809</v>
      </c>
      <c r="I860">
        <f t="shared" si="55"/>
        <v>-13481890.610014636</v>
      </c>
    </row>
    <row r="861" spans="2:9" x14ac:dyDescent="0.3">
      <c r="B861">
        <v>859</v>
      </c>
      <c r="C861" s="1">
        <v>69945</v>
      </c>
      <c r="D861" s="1" t="str">
        <f t="shared" si="56"/>
        <v>VII</v>
      </c>
      <c r="E861">
        <f t="shared" si="54"/>
        <v>-13481890.610014636</v>
      </c>
      <c r="F861">
        <v>0</v>
      </c>
      <c r="G861">
        <v>-15000</v>
      </c>
      <c r="H861" s="4">
        <f t="shared" si="57"/>
        <v>-81646.366591284052</v>
      </c>
      <c r="I861">
        <f t="shared" si="55"/>
        <v>-13578536.97660592</v>
      </c>
    </row>
    <row r="862" spans="2:9" x14ac:dyDescent="0.3">
      <c r="B862">
        <v>860</v>
      </c>
      <c r="C862" s="1">
        <v>69976</v>
      </c>
      <c r="D862" s="1" t="str">
        <f t="shared" si="56"/>
        <v>VIII</v>
      </c>
      <c r="E862">
        <f t="shared" si="54"/>
        <v>-13578536.97660592</v>
      </c>
      <c r="F862">
        <v>0</v>
      </c>
      <c r="G862">
        <v>-15000</v>
      </c>
      <c r="H862" s="4">
        <f t="shared" si="57"/>
        <v>-3178.307381499606</v>
      </c>
      <c r="I862">
        <f t="shared" si="55"/>
        <v>-13596715.28398742</v>
      </c>
    </row>
    <row r="863" spans="2:9" x14ac:dyDescent="0.3">
      <c r="B863">
        <v>861</v>
      </c>
      <c r="C863" s="1">
        <v>70007</v>
      </c>
      <c r="D863" s="1" t="str">
        <f t="shared" si="56"/>
        <v>IX</v>
      </c>
      <c r="E863">
        <f t="shared" si="54"/>
        <v>-13596715.28398742</v>
      </c>
      <c r="F863">
        <v>0</v>
      </c>
      <c r="G863">
        <v>-15000</v>
      </c>
      <c r="H863" s="4">
        <f t="shared" si="57"/>
        <v>78736.542841249495</v>
      </c>
      <c r="I863">
        <f t="shared" si="55"/>
        <v>-13532978.74114617</v>
      </c>
    </row>
    <row r="864" spans="2:9" x14ac:dyDescent="0.3">
      <c r="B864">
        <v>862</v>
      </c>
      <c r="C864" s="1">
        <v>70037</v>
      </c>
      <c r="D864" s="1" t="str">
        <f t="shared" si="56"/>
        <v>X</v>
      </c>
      <c r="E864">
        <f t="shared" si="54"/>
        <v>-13532978.74114617</v>
      </c>
      <c r="F864">
        <v>0</v>
      </c>
      <c r="G864">
        <v>-15000</v>
      </c>
      <c r="H864" s="4">
        <f t="shared" si="57"/>
        <v>-110472.43429659439</v>
      </c>
      <c r="I864">
        <f t="shared" si="55"/>
        <v>-13658451.175442765</v>
      </c>
    </row>
    <row r="865" spans="2:9" x14ac:dyDescent="0.3">
      <c r="B865">
        <v>863</v>
      </c>
      <c r="C865" s="1">
        <v>70068</v>
      </c>
      <c r="D865" s="1" t="str">
        <f t="shared" si="56"/>
        <v>XI</v>
      </c>
      <c r="E865">
        <f t="shared" si="54"/>
        <v>-13658451.175442765</v>
      </c>
      <c r="F865">
        <v>0</v>
      </c>
      <c r="G865">
        <v>-15000</v>
      </c>
      <c r="H865" s="4">
        <f t="shared" si="57"/>
        <v>-180549.79412795018</v>
      </c>
      <c r="I865">
        <f t="shared" si="55"/>
        <v>-13854000.969570715</v>
      </c>
    </row>
    <row r="866" spans="2:9" x14ac:dyDescent="0.3">
      <c r="B866">
        <v>864</v>
      </c>
      <c r="C866" s="1">
        <v>70098</v>
      </c>
      <c r="D866" s="1" t="str">
        <f t="shared" si="56"/>
        <v>XII</v>
      </c>
      <c r="E866">
        <f t="shared" si="54"/>
        <v>-13854000.969570715</v>
      </c>
      <c r="F866">
        <v>0</v>
      </c>
      <c r="G866">
        <v>-15000</v>
      </c>
      <c r="H866" s="4">
        <f t="shared" si="57"/>
        <v>-207284.77116339919</v>
      </c>
      <c r="I866">
        <f t="shared" si="55"/>
        <v>-14076285.740734113</v>
      </c>
    </row>
    <row r="867" spans="2:9" x14ac:dyDescent="0.3">
      <c r="B867">
        <v>865</v>
      </c>
      <c r="C867" s="1">
        <v>70129</v>
      </c>
      <c r="D867" s="1" t="str">
        <f t="shared" si="56"/>
        <v>I</v>
      </c>
      <c r="E867">
        <f t="shared" si="54"/>
        <v>-14076285.740734113</v>
      </c>
      <c r="F867">
        <v>0</v>
      </c>
      <c r="G867">
        <v>-15000</v>
      </c>
      <c r="H867" s="4">
        <f t="shared" si="57"/>
        <v>-180046.18570202598</v>
      </c>
      <c r="I867">
        <f t="shared" si="55"/>
        <v>-14271331.926436139</v>
      </c>
    </row>
    <row r="868" spans="2:9" x14ac:dyDescent="0.3">
      <c r="B868">
        <v>866</v>
      </c>
      <c r="C868" s="1">
        <v>70160</v>
      </c>
      <c r="D868" s="1" t="str">
        <f t="shared" si="56"/>
        <v>II</v>
      </c>
      <c r="E868">
        <f t="shared" si="54"/>
        <v>-14271331.926436139</v>
      </c>
      <c r="F868">
        <v>0</v>
      </c>
      <c r="G868">
        <v>-15000</v>
      </c>
      <c r="H868" s="4">
        <f t="shared" si="57"/>
        <v>-9965.3245388498945</v>
      </c>
      <c r="I868">
        <f t="shared" si="55"/>
        <v>-14296297.250974989</v>
      </c>
    </row>
    <row r="869" spans="2:9" x14ac:dyDescent="0.3">
      <c r="B869">
        <v>867</v>
      </c>
      <c r="C869" s="1">
        <v>70189</v>
      </c>
      <c r="D869" s="1" t="str">
        <f t="shared" si="56"/>
        <v>III</v>
      </c>
      <c r="E869">
        <f t="shared" si="54"/>
        <v>-14296297.250974989</v>
      </c>
      <c r="F869">
        <v>0</v>
      </c>
      <c r="G869">
        <v>-15000</v>
      </c>
      <c r="H869" s="4">
        <f t="shared" si="57"/>
        <v>-125540.55460704271</v>
      </c>
      <c r="I869">
        <f t="shared" si="55"/>
        <v>-14436837.805582032</v>
      </c>
    </row>
    <row r="870" spans="2:9" x14ac:dyDescent="0.3">
      <c r="B870">
        <v>868</v>
      </c>
      <c r="C870" s="1">
        <v>70220</v>
      </c>
      <c r="D870" s="1" t="str">
        <f t="shared" si="56"/>
        <v>IV</v>
      </c>
      <c r="E870">
        <f t="shared" si="54"/>
        <v>-14436837.805582032</v>
      </c>
      <c r="F870">
        <v>0</v>
      </c>
      <c r="G870">
        <v>-15000</v>
      </c>
      <c r="H870" s="4">
        <f t="shared" si="57"/>
        <v>-248863.3232307375</v>
      </c>
      <c r="I870">
        <f t="shared" si="55"/>
        <v>-14700701.128812769</v>
      </c>
    </row>
    <row r="871" spans="2:9" x14ac:dyDescent="0.3">
      <c r="B871">
        <v>869</v>
      </c>
      <c r="C871" s="1">
        <v>70250</v>
      </c>
      <c r="D871" s="1" t="str">
        <f t="shared" si="56"/>
        <v>V</v>
      </c>
      <c r="E871">
        <f t="shared" si="54"/>
        <v>-14700701.128812769</v>
      </c>
      <c r="F871">
        <v>0</v>
      </c>
      <c r="G871">
        <v>-15000</v>
      </c>
      <c r="H871" s="4">
        <f t="shared" si="57"/>
        <v>-83929.444791742761</v>
      </c>
      <c r="I871">
        <f t="shared" si="55"/>
        <v>-14799630.573604513</v>
      </c>
    </row>
    <row r="872" spans="2:9" x14ac:dyDescent="0.3">
      <c r="B872">
        <v>870</v>
      </c>
      <c r="C872" s="1">
        <v>70281</v>
      </c>
      <c r="D872" s="1" t="str">
        <f t="shared" si="56"/>
        <v>VI</v>
      </c>
      <c r="E872">
        <f t="shared" si="54"/>
        <v>-14799630.573604513</v>
      </c>
      <c r="F872">
        <v>0</v>
      </c>
      <c r="G872">
        <v>-15000</v>
      </c>
      <c r="H872" s="4">
        <f t="shared" si="57"/>
        <v>-63998.554720923297</v>
      </c>
      <c r="I872">
        <f t="shared" si="55"/>
        <v>-14878629.128325436</v>
      </c>
    </row>
    <row r="873" spans="2:9" x14ac:dyDescent="0.3">
      <c r="B873">
        <v>871</v>
      </c>
      <c r="C873" s="1">
        <v>70311</v>
      </c>
      <c r="D873" s="1" t="str">
        <f t="shared" si="56"/>
        <v>VII</v>
      </c>
      <c r="E873">
        <f t="shared" si="54"/>
        <v>-14878629.128325436</v>
      </c>
      <c r="F873">
        <v>0</v>
      </c>
      <c r="G873">
        <v>-15000</v>
      </c>
      <c r="H873" s="4">
        <f t="shared" si="57"/>
        <v>-90095.618229550601</v>
      </c>
      <c r="I873">
        <f t="shared" si="55"/>
        <v>-14983724.746554988</v>
      </c>
    </row>
    <row r="874" spans="2:9" x14ac:dyDescent="0.3">
      <c r="B874">
        <v>872</v>
      </c>
      <c r="C874" s="1">
        <v>70342</v>
      </c>
      <c r="D874" s="1" t="str">
        <f t="shared" si="56"/>
        <v>VIII</v>
      </c>
      <c r="E874">
        <f t="shared" si="54"/>
        <v>-14983724.746554988</v>
      </c>
      <c r="F874">
        <v>0</v>
      </c>
      <c r="G874">
        <v>-15000</v>
      </c>
      <c r="H874" s="4">
        <f t="shared" si="57"/>
        <v>-3506.854592524091</v>
      </c>
      <c r="I874">
        <f t="shared" si="55"/>
        <v>-15002231.601147512</v>
      </c>
    </row>
    <row r="875" spans="2:9" x14ac:dyDescent="0.3">
      <c r="B875">
        <v>873</v>
      </c>
      <c r="C875" s="1">
        <v>70373</v>
      </c>
      <c r="D875" s="1" t="str">
        <f t="shared" si="56"/>
        <v>IX</v>
      </c>
      <c r="E875">
        <f t="shared" si="54"/>
        <v>-15002231.601147512</v>
      </c>
      <c r="F875">
        <v>0</v>
      </c>
      <c r="G875">
        <v>-15000</v>
      </c>
      <c r="H875" s="4">
        <f t="shared" si="57"/>
        <v>86866.708173926978</v>
      </c>
      <c r="I875">
        <f t="shared" si="55"/>
        <v>-14930364.892973585</v>
      </c>
    </row>
    <row r="876" spans="2:9" x14ac:dyDescent="0.3">
      <c r="B876">
        <v>874</v>
      </c>
      <c r="C876" s="1">
        <v>70403</v>
      </c>
      <c r="D876" s="1" t="str">
        <f t="shared" si="56"/>
        <v>X</v>
      </c>
      <c r="E876">
        <f t="shared" si="54"/>
        <v>-14930364.892973585</v>
      </c>
      <c r="F876">
        <v>0</v>
      </c>
      <c r="G876">
        <v>-15000</v>
      </c>
      <c r="H876" s="4">
        <f t="shared" si="57"/>
        <v>-121866.94950762617</v>
      </c>
      <c r="I876">
        <f t="shared" si="55"/>
        <v>-15067231.842481211</v>
      </c>
    </row>
    <row r="877" spans="2:9" x14ac:dyDescent="0.3">
      <c r="B877">
        <v>875</v>
      </c>
      <c r="C877" s="1">
        <v>70434</v>
      </c>
      <c r="D877" s="1" t="str">
        <f t="shared" si="56"/>
        <v>XI</v>
      </c>
      <c r="E877">
        <f t="shared" si="54"/>
        <v>-15067231.842481211</v>
      </c>
      <c r="F877">
        <v>0</v>
      </c>
      <c r="G877">
        <v>-15000</v>
      </c>
      <c r="H877" s="4">
        <f t="shared" si="57"/>
        <v>-199151.90533905718</v>
      </c>
      <c r="I877">
        <f t="shared" si="55"/>
        <v>-15281383.747820267</v>
      </c>
    </row>
    <row r="878" spans="2:9" x14ac:dyDescent="0.3">
      <c r="B878">
        <v>876</v>
      </c>
      <c r="C878" s="1">
        <v>70464</v>
      </c>
      <c r="D878" s="1" t="str">
        <f t="shared" si="56"/>
        <v>XII</v>
      </c>
      <c r="E878">
        <f t="shared" si="54"/>
        <v>-15281383.747820267</v>
      </c>
      <c r="F878">
        <v>0</v>
      </c>
      <c r="G878">
        <v>-15000</v>
      </c>
      <c r="H878" s="4">
        <f t="shared" si="57"/>
        <v>-228618.29858914524</v>
      </c>
      <c r="I878">
        <f t="shared" si="55"/>
        <v>-15525002.046409413</v>
      </c>
    </row>
    <row r="879" spans="2:9" x14ac:dyDescent="0.3">
      <c r="B879">
        <v>877</v>
      </c>
      <c r="C879" s="1">
        <v>70495</v>
      </c>
      <c r="D879" s="1" t="str">
        <f t="shared" si="56"/>
        <v>I</v>
      </c>
      <c r="E879">
        <f t="shared" si="54"/>
        <v>-15525002.046409413</v>
      </c>
      <c r="F879">
        <v>0</v>
      </c>
      <c r="G879">
        <v>-15000</v>
      </c>
      <c r="H879" s="4">
        <f t="shared" si="57"/>
        <v>-198556.62185386426</v>
      </c>
      <c r="I879">
        <f t="shared" si="55"/>
        <v>-15738558.668263277</v>
      </c>
    </row>
    <row r="880" spans="2:9" x14ac:dyDescent="0.3">
      <c r="B880">
        <v>878</v>
      </c>
      <c r="C880" s="1">
        <v>70526</v>
      </c>
      <c r="D880" s="1" t="str">
        <f t="shared" si="56"/>
        <v>II</v>
      </c>
      <c r="E880">
        <f t="shared" si="54"/>
        <v>-15738558.668263277</v>
      </c>
      <c r="F880">
        <v>0</v>
      </c>
      <c r="G880">
        <v>-15000</v>
      </c>
      <c r="H880" s="4">
        <f t="shared" si="57"/>
        <v>-10988.777635815297</v>
      </c>
      <c r="I880">
        <f t="shared" si="55"/>
        <v>-15764547.445899092</v>
      </c>
    </row>
    <row r="881" spans="2:9" x14ac:dyDescent="0.3">
      <c r="B881">
        <v>879</v>
      </c>
      <c r="C881" s="1">
        <v>70554</v>
      </c>
      <c r="D881" s="1" t="str">
        <f t="shared" si="56"/>
        <v>III</v>
      </c>
      <c r="E881">
        <f t="shared" si="54"/>
        <v>-15764547.445899092</v>
      </c>
      <c r="F881">
        <v>0</v>
      </c>
      <c r="G881">
        <v>-15000</v>
      </c>
      <c r="H881" s="4">
        <f t="shared" si="57"/>
        <v>-138420.23564085766</v>
      </c>
      <c r="I881">
        <f t="shared" si="55"/>
        <v>-15917967.681539949</v>
      </c>
    </row>
    <row r="882" spans="2:9" x14ac:dyDescent="0.3">
      <c r="B882">
        <v>880</v>
      </c>
      <c r="C882" s="1">
        <v>70585</v>
      </c>
      <c r="D882" s="1" t="str">
        <f t="shared" si="56"/>
        <v>IV</v>
      </c>
      <c r="E882">
        <f t="shared" si="54"/>
        <v>-15917967.681539949</v>
      </c>
      <c r="F882">
        <v>0</v>
      </c>
      <c r="G882">
        <v>-15000</v>
      </c>
      <c r="H882" s="4">
        <f t="shared" si="57"/>
        <v>-274368.65397316014</v>
      </c>
      <c r="I882">
        <f t="shared" si="55"/>
        <v>-16207336.335513109</v>
      </c>
    </row>
    <row r="883" spans="2:9" x14ac:dyDescent="0.3">
      <c r="B883">
        <v>881</v>
      </c>
      <c r="C883" s="1">
        <v>70615</v>
      </c>
      <c r="D883" s="1" t="str">
        <f t="shared" si="56"/>
        <v>V</v>
      </c>
      <c r="E883">
        <f t="shared" ref="E883:E946" si="58">I882</f>
        <v>-16207336.335513109</v>
      </c>
      <c r="F883">
        <v>0</v>
      </c>
      <c r="G883">
        <v>-15000</v>
      </c>
      <c r="H883" s="4">
        <f t="shared" si="57"/>
        <v>-92522.379324400943</v>
      </c>
      <c r="I883">
        <f t="shared" ref="I883:I946" si="59">SUM(E883:H883)</f>
        <v>-16314858.71483751</v>
      </c>
    </row>
    <row r="884" spans="2:9" x14ac:dyDescent="0.3">
      <c r="B884">
        <v>882</v>
      </c>
      <c r="C884" s="1">
        <v>70646</v>
      </c>
      <c r="D884" s="1" t="str">
        <f t="shared" si="56"/>
        <v>VI</v>
      </c>
      <c r="E884">
        <f t="shared" si="58"/>
        <v>-16314858.71483751</v>
      </c>
      <c r="F884">
        <v>0</v>
      </c>
      <c r="G884">
        <v>-15000</v>
      </c>
      <c r="H884" s="4">
        <f t="shared" si="57"/>
        <v>-70544.273875348939</v>
      </c>
      <c r="I884">
        <f t="shared" si="59"/>
        <v>-16400402.988712858</v>
      </c>
    </row>
    <row r="885" spans="2:9" x14ac:dyDescent="0.3">
      <c r="B885">
        <v>883</v>
      </c>
      <c r="C885" s="1">
        <v>70676</v>
      </c>
      <c r="D885" s="1" t="str">
        <f t="shared" si="56"/>
        <v>VII</v>
      </c>
      <c r="E885">
        <f t="shared" si="58"/>
        <v>-16400402.988712858</v>
      </c>
      <c r="F885">
        <v>0</v>
      </c>
      <c r="G885">
        <v>-15000</v>
      </c>
      <c r="H885" s="4">
        <f t="shared" si="57"/>
        <v>-99301.242699977432</v>
      </c>
      <c r="I885">
        <f t="shared" si="59"/>
        <v>-16514704.231412835</v>
      </c>
    </row>
    <row r="886" spans="2:9" x14ac:dyDescent="0.3">
      <c r="B886">
        <v>884</v>
      </c>
      <c r="C886" s="1">
        <v>70707</v>
      </c>
      <c r="D886" s="1" t="str">
        <f t="shared" si="56"/>
        <v>VIII</v>
      </c>
      <c r="E886">
        <f t="shared" si="58"/>
        <v>-16514704.231412835</v>
      </c>
      <c r="F886">
        <v>0</v>
      </c>
      <c r="G886">
        <v>-15000</v>
      </c>
      <c r="H886" s="4">
        <f t="shared" si="57"/>
        <v>-3864.8131875551176</v>
      </c>
      <c r="I886">
        <f t="shared" si="59"/>
        <v>-16533569.04460039</v>
      </c>
    </row>
    <row r="887" spans="2:9" x14ac:dyDescent="0.3">
      <c r="B887">
        <v>885</v>
      </c>
      <c r="C887" s="1">
        <v>70738</v>
      </c>
      <c r="D887" s="1" t="str">
        <f t="shared" si="56"/>
        <v>IX</v>
      </c>
      <c r="E887">
        <f t="shared" si="58"/>
        <v>-16533569.04460039</v>
      </c>
      <c r="F887">
        <v>0</v>
      </c>
      <c r="G887">
        <v>-15000</v>
      </c>
      <c r="H887" s="4">
        <f t="shared" si="57"/>
        <v>95724.68189033847</v>
      </c>
      <c r="I887">
        <f t="shared" si="59"/>
        <v>-16452844.362710051</v>
      </c>
    </row>
    <row r="888" spans="2:9" x14ac:dyDescent="0.3">
      <c r="B888">
        <v>886</v>
      </c>
      <c r="C888" s="1">
        <v>70768</v>
      </c>
      <c r="D888" s="1" t="str">
        <f t="shared" si="56"/>
        <v>X</v>
      </c>
      <c r="E888">
        <f t="shared" si="58"/>
        <v>-16452844.362710051</v>
      </c>
      <c r="F888">
        <v>0</v>
      </c>
      <c r="G888">
        <v>-15000</v>
      </c>
      <c r="H888" s="4">
        <f t="shared" si="57"/>
        <v>-134281.49609069427</v>
      </c>
      <c r="I888">
        <f t="shared" si="59"/>
        <v>-16602125.858800745</v>
      </c>
    </row>
    <row r="889" spans="2:9" x14ac:dyDescent="0.3">
      <c r="B889">
        <v>887</v>
      </c>
      <c r="C889" s="1">
        <v>70799</v>
      </c>
      <c r="D889" s="1" t="str">
        <f t="shared" si="56"/>
        <v>XI</v>
      </c>
      <c r="E889">
        <f t="shared" si="58"/>
        <v>-16602125.858800745</v>
      </c>
      <c r="F889">
        <v>0</v>
      </c>
      <c r="G889">
        <v>-15000</v>
      </c>
      <c r="H889" s="4">
        <f t="shared" si="57"/>
        <v>-219419.2683550911</v>
      </c>
      <c r="I889">
        <f t="shared" si="59"/>
        <v>-16836545.127155837</v>
      </c>
    </row>
    <row r="890" spans="2:9" x14ac:dyDescent="0.3">
      <c r="B890">
        <v>888</v>
      </c>
      <c r="C890" s="1">
        <v>70829</v>
      </c>
      <c r="D890" s="1" t="str">
        <f t="shared" si="56"/>
        <v>XII</v>
      </c>
      <c r="E890">
        <f t="shared" si="58"/>
        <v>-16836545.127155837</v>
      </c>
      <c r="F890">
        <v>0</v>
      </c>
      <c r="G890">
        <v>-15000</v>
      </c>
      <c r="H890" s="4">
        <f t="shared" si="57"/>
        <v>-251861.59284984984</v>
      </c>
      <c r="I890">
        <f t="shared" si="59"/>
        <v>-17103406.720005687</v>
      </c>
    </row>
    <row r="891" spans="2:9" x14ac:dyDescent="0.3">
      <c r="B891">
        <v>889</v>
      </c>
      <c r="C891" s="1">
        <v>70860</v>
      </c>
      <c r="D891" s="1" t="str">
        <f t="shared" si="56"/>
        <v>I</v>
      </c>
      <c r="E891">
        <f t="shared" si="58"/>
        <v>-17103406.720005687</v>
      </c>
      <c r="F891">
        <v>0</v>
      </c>
      <c r="G891">
        <v>-15000</v>
      </c>
      <c r="H891" s="4">
        <f t="shared" si="57"/>
        <v>-218724.10310461742</v>
      </c>
      <c r="I891">
        <f t="shared" si="59"/>
        <v>-17337130.823110305</v>
      </c>
    </row>
    <row r="892" spans="2:9" x14ac:dyDescent="0.3">
      <c r="B892">
        <v>890</v>
      </c>
      <c r="C892" s="1">
        <v>70891</v>
      </c>
      <c r="D892" s="1" t="str">
        <f t="shared" si="56"/>
        <v>II</v>
      </c>
      <c r="E892">
        <f t="shared" si="58"/>
        <v>-17337130.823110305</v>
      </c>
      <c r="F892">
        <v>0</v>
      </c>
      <c r="G892">
        <v>-15000</v>
      </c>
      <c r="H892" s="4">
        <f t="shared" si="57"/>
        <v>-12103.849748366527</v>
      </c>
      <c r="I892">
        <f t="shared" si="59"/>
        <v>-17364234.67285867</v>
      </c>
    </row>
    <row r="893" spans="2:9" x14ac:dyDescent="0.3">
      <c r="B893">
        <v>891</v>
      </c>
      <c r="C893" s="1">
        <v>70919</v>
      </c>
      <c r="D893" s="1" t="str">
        <f t="shared" si="56"/>
        <v>III</v>
      </c>
      <c r="E893">
        <f t="shared" si="58"/>
        <v>-17364234.67285867</v>
      </c>
      <c r="F893">
        <v>0</v>
      </c>
      <c r="G893">
        <v>-15000</v>
      </c>
      <c r="H893" s="4">
        <f t="shared" si="57"/>
        <v>-152452.89935739292</v>
      </c>
      <c r="I893">
        <f t="shared" si="59"/>
        <v>-17531687.572216064</v>
      </c>
    </row>
    <row r="894" spans="2:9" x14ac:dyDescent="0.3">
      <c r="B894">
        <v>892</v>
      </c>
      <c r="C894" s="1">
        <v>70950</v>
      </c>
      <c r="D894" s="1" t="str">
        <f t="shared" si="56"/>
        <v>IV</v>
      </c>
      <c r="E894">
        <f t="shared" si="58"/>
        <v>-17531687.572216064</v>
      </c>
      <c r="F894">
        <v>0</v>
      </c>
      <c r="G894">
        <v>-15000</v>
      </c>
      <c r="H894" s="4">
        <f t="shared" si="57"/>
        <v>-302157.20932229946</v>
      </c>
      <c r="I894">
        <f t="shared" si="59"/>
        <v>-17848844.781538364</v>
      </c>
    </row>
    <row r="895" spans="2:9" x14ac:dyDescent="0.3">
      <c r="B895">
        <v>893</v>
      </c>
      <c r="C895" s="1">
        <v>70980</v>
      </c>
      <c r="D895" s="1" t="str">
        <f t="shared" si="56"/>
        <v>V</v>
      </c>
      <c r="E895">
        <f t="shared" si="58"/>
        <v>-17848844.781538364</v>
      </c>
      <c r="F895">
        <v>0</v>
      </c>
      <c r="G895">
        <v>-15000</v>
      </c>
      <c r="H895" s="4">
        <f t="shared" si="57"/>
        <v>-101884.54911093635</v>
      </c>
      <c r="I895">
        <f t="shared" si="59"/>
        <v>-17965729.330649301</v>
      </c>
    </row>
    <row r="896" spans="2:9" x14ac:dyDescent="0.3">
      <c r="B896">
        <v>894</v>
      </c>
      <c r="C896" s="1">
        <v>71011</v>
      </c>
      <c r="D896" s="1" t="str">
        <f t="shared" si="56"/>
        <v>VI</v>
      </c>
      <c r="E896">
        <f t="shared" si="58"/>
        <v>-17965729.330649301</v>
      </c>
      <c r="F896">
        <v>0</v>
      </c>
      <c r="G896">
        <v>-15000</v>
      </c>
      <c r="H896" s="4">
        <f t="shared" si="57"/>
        <v>-77675.962574454243</v>
      </c>
      <c r="I896">
        <f t="shared" si="59"/>
        <v>-18058405.293223757</v>
      </c>
    </row>
    <row r="897" spans="2:9" x14ac:dyDescent="0.3">
      <c r="B897">
        <v>895</v>
      </c>
      <c r="C897" s="1">
        <v>71041</v>
      </c>
      <c r="D897" s="1" t="str">
        <f t="shared" si="56"/>
        <v>VII</v>
      </c>
      <c r="E897">
        <f t="shared" si="58"/>
        <v>-18058405.293223757</v>
      </c>
      <c r="F897">
        <v>0</v>
      </c>
      <c r="G897">
        <v>-15000</v>
      </c>
      <c r="H897" s="4">
        <f t="shared" si="57"/>
        <v>-109330.95012480066</v>
      </c>
      <c r="I897">
        <f t="shared" si="59"/>
        <v>-18182736.243348558</v>
      </c>
    </row>
    <row r="898" spans="2:9" x14ac:dyDescent="0.3">
      <c r="B898">
        <v>896</v>
      </c>
      <c r="C898" s="1">
        <v>71072</v>
      </c>
      <c r="D898" s="1" t="str">
        <f t="shared" si="56"/>
        <v>VIII</v>
      </c>
      <c r="E898">
        <f t="shared" si="58"/>
        <v>-18182736.243348558</v>
      </c>
      <c r="F898">
        <v>0</v>
      </c>
      <c r="G898">
        <v>-15000</v>
      </c>
      <c r="H898" s="4">
        <f t="shared" si="57"/>
        <v>-4254.8160591577553</v>
      </c>
      <c r="I898">
        <f t="shared" si="59"/>
        <v>-18201991.059407715</v>
      </c>
    </row>
    <row r="899" spans="2:9" x14ac:dyDescent="0.3">
      <c r="B899">
        <v>897</v>
      </c>
      <c r="C899" s="1">
        <v>71103</v>
      </c>
      <c r="D899" s="1" t="str">
        <f t="shared" si="56"/>
        <v>IX</v>
      </c>
      <c r="E899">
        <f t="shared" si="58"/>
        <v>-18201991.059407715</v>
      </c>
      <c r="F899">
        <v>0</v>
      </c>
      <c r="G899">
        <v>-15000</v>
      </c>
      <c r="H899" s="4">
        <f t="shared" si="57"/>
        <v>105375.61703740968</v>
      </c>
      <c r="I899">
        <f t="shared" si="59"/>
        <v>-18111615.442370307</v>
      </c>
    </row>
    <row r="900" spans="2:9" x14ac:dyDescent="0.3">
      <c r="B900">
        <v>898</v>
      </c>
      <c r="C900" s="1">
        <v>71133</v>
      </c>
      <c r="D900" s="1" t="str">
        <f t="shared" ref="D900:D962" si="60">TEXT(C900,"mmm")</f>
        <v>X</v>
      </c>
      <c r="E900">
        <f t="shared" si="58"/>
        <v>-18111615.442370307</v>
      </c>
      <c r="F900">
        <v>0</v>
      </c>
      <c r="G900">
        <v>-15000</v>
      </c>
      <c r="H900" s="4">
        <f t="shared" si="57"/>
        <v>-147807.38675025958</v>
      </c>
      <c r="I900">
        <f t="shared" si="59"/>
        <v>-18274422.829120565</v>
      </c>
    </row>
    <row r="901" spans="2:9" x14ac:dyDescent="0.3">
      <c r="B901">
        <v>899</v>
      </c>
      <c r="C901" s="1">
        <v>71164</v>
      </c>
      <c r="D901" s="1" t="str">
        <f t="shared" si="60"/>
        <v>XI</v>
      </c>
      <c r="E901">
        <f t="shared" si="58"/>
        <v>-18274422.829120565</v>
      </c>
      <c r="F901">
        <v>0</v>
      </c>
      <c r="G901">
        <v>-15000</v>
      </c>
      <c r="H901" s="4">
        <f t="shared" ref="H901:H962" si="61">SUM(E901:G901)*VLOOKUP(D901,$U$4:$V$15,2,FALSE)</f>
        <v>-241500.9556948831</v>
      </c>
      <c r="I901">
        <f t="shared" si="59"/>
        <v>-18530923.784815449</v>
      </c>
    </row>
    <row r="902" spans="2:9" x14ac:dyDescent="0.3">
      <c r="B902">
        <v>900</v>
      </c>
      <c r="C902" s="1">
        <v>71194</v>
      </c>
      <c r="D902" s="1" t="str">
        <f t="shared" si="60"/>
        <v>XII</v>
      </c>
      <c r="E902">
        <f t="shared" si="58"/>
        <v>-18530923.784815449</v>
      </c>
      <c r="F902">
        <v>0</v>
      </c>
      <c r="G902">
        <v>-15000</v>
      </c>
      <c r="H902" s="4">
        <f t="shared" si="61"/>
        <v>-277185.61532902572</v>
      </c>
      <c r="I902">
        <f t="shared" si="59"/>
        <v>-18823109.400144476</v>
      </c>
    </row>
    <row r="903" spans="2:9" x14ac:dyDescent="0.3">
      <c r="B903">
        <v>901</v>
      </c>
      <c r="C903" s="1">
        <v>71225</v>
      </c>
      <c r="D903" s="1" t="str">
        <f t="shared" si="60"/>
        <v>I</v>
      </c>
      <c r="E903">
        <f t="shared" si="58"/>
        <v>-18823109.400144476</v>
      </c>
      <c r="F903">
        <v>0</v>
      </c>
      <c r="G903">
        <v>-15000</v>
      </c>
      <c r="H903" s="4">
        <f t="shared" si="61"/>
        <v>-240696.96731284895</v>
      </c>
      <c r="I903">
        <f t="shared" si="59"/>
        <v>-19078806.367457327</v>
      </c>
    </row>
    <row r="904" spans="2:9" x14ac:dyDescent="0.3">
      <c r="B904">
        <v>902</v>
      </c>
      <c r="C904" s="1">
        <v>71256</v>
      </c>
      <c r="D904" s="1" t="str">
        <f t="shared" si="60"/>
        <v>II</v>
      </c>
      <c r="E904">
        <f t="shared" si="58"/>
        <v>-19078806.367457327</v>
      </c>
      <c r="F904">
        <v>0</v>
      </c>
      <c r="G904">
        <v>-15000</v>
      </c>
      <c r="H904" s="4">
        <f t="shared" si="61"/>
        <v>-13318.742565512897</v>
      </c>
      <c r="I904">
        <f t="shared" si="59"/>
        <v>-19107125.110022839</v>
      </c>
    </row>
    <row r="905" spans="2:9" x14ac:dyDescent="0.3">
      <c r="B905">
        <v>903</v>
      </c>
      <c r="C905" s="1">
        <v>71284</v>
      </c>
      <c r="D905" s="1" t="str">
        <f t="shared" si="60"/>
        <v>III</v>
      </c>
      <c r="E905">
        <f t="shared" si="58"/>
        <v>-19107125.110022839</v>
      </c>
      <c r="F905">
        <v>0</v>
      </c>
      <c r="G905">
        <v>-15000</v>
      </c>
      <c r="H905" s="4">
        <f t="shared" si="61"/>
        <v>-167741.76019675494</v>
      </c>
      <c r="I905">
        <f t="shared" si="59"/>
        <v>-19289866.870219596</v>
      </c>
    </row>
    <row r="906" spans="2:9" x14ac:dyDescent="0.3">
      <c r="B906">
        <v>904</v>
      </c>
      <c r="C906" s="1">
        <v>71315</v>
      </c>
      <c r="D906" s="1" t="str">
        <f t="shared" si="60"/>
        <v>IV</v>
      </c>
      <c r="E906">
        <f t="shared" si="58"/>
        <v>-19289866.870219596</v>
      </c>
      <c r="F906">
        <v>0</v>
      </c>
      <c r="G906">
        <v>-15000</v>
      </c>
      <c r="H906" s="4">
        <f t="shared" si="61"/>
        <v>-332433.38241688273</v>
      </c>
      <c r="I906">
        <f t="shared" si="59"/>
        <v>-19637300.252636477</v>
      </c>
    </row>
    <row r="907" spans="2:9" x14ac:dyDescent="0.3">
      <c r="B907">
        <v>905</v>
      </c>
      <c r="C907" s="1">
        <v>71345</v>
      </c>
      <c r="D907" s="1" t="str">
        <f t="shared" si="60"/>
        <v>V</v>
      </c>
      <c r="E907">
        <f t="shared" si="58"/>
        <v>-19637300.252636477</v>
      </c>
      <c r="F907">
        <v>0</v>
      </c>
      <c r="G907">
        <v>-15000</v>
      </c>
      <c r="H907" s="4">
        <f t="shared" si="61"/>
        <v>-112084.81571122233</v>
      </c>
      <c r="I907">
        <f t="shared" si="59"/>
        <v>-19764385.0683477</v>
      </c>
    </row>
    <row r="908" spans="2:9" x14ac:dyDescent="0.3">
      <c r="B908">
        <v>906</v>
      </c>
      <c r="C908" s="1">
        <v>71376</v>
      </c>
      <c r="D908" s="1" t="str">
        <f t="shared" si="60"/>
        <v>VI</v>
      </c>
      <c r="E908">
        <f t="shared" si="58"/>
        <v>-19764385.0683477</v>
      </c>
      <c r="F908">
        <v>0</v>
      </c>
      <c r="G908">
        <v>-15000</v>
      </c>
      <c r="H908" s="4">
        <f t="shared" si="61"/>
        <v>-85446.076522370684</v>
      </c>
      <c r="I908">
        <f t="shared" si="59"/>
        <v>-19864831.144870069</v>
      </c>
    </row>
    <row r="909" spans="2:9" x14ac:dyDescent="0.3">
      <c r="B909">
        <v>907</v>
      </c>
      <c r="C909" s="1">
        <v>71406</v>
      </c>
      <c r="D909" s="1" t="str">
        <f t="shared" si="60"/>
        <v>VII</v>
      </c>
      <c r="E909">
        <f t="shared" si="58"/>
        <v>-19864831.144870069</v>
      </c>
      <c r="F909">
        <v>0</v>
      </c>
      <c r="G909">
        <v>-15000</v>
      </c>
      <c r="H909" s="4">
        <f t="shared" si="61"/>
        <v>-120258.51200294551</v>
      </c>
      <c r="I909">
        <f t="shared" si="59"/>
        <v>-20000089.656873014</v>
      </c>
    </row>
    <row r="910" spans="2:9" x14ac:dyDescent="0.3">
      <c r="B910">
        <v>908</v>
      </c>
      <c r="C910" s="1">
        <v>71437</v>
      </c>
      <c r="D910" s="1" t="str">
        <f t="shared" si="60"/>
        <v>VIII</v>
      </c>
      <c r="E910">
        <f t="shared" si="58"/>
        <v>-20000089.656873014</v>
      </c>
      <c r="F910">
        <v>0</v>
      </c>
      <c r="G910">
        <v>-15000</v>
      </c>
      <c r="H910" s="4">
        <f t="shared" si="61"/>
        <v>-4679.7317951386703</v>
      </c>
      <c r="I910">
        <f t="shared" si="59"/>
        <v>-20019769.388668153</v>
      </c>
    </row>
    <row r="911" spans="2:9" x14ac:dyDescent="0.3">
      <c r="B911">
        <v>909</v>
      </c>
      <c r="C911" s="1">
        <v>71468</v>
      </c>
      <c r="D911" s="1" t="str">
        <f t="shared" si="60"/>
        <v>IX</v>
      </c>
      <c r="E911">
        <f t="shared" si="58"/>
        <v>-20019769.388668153</v>
      </c>
      <c r="F911">
        <v>0</v>
      </c>
      <c r="G911">
        <v>-15000</v>
      </c>
      <c r="H911" s="4">
        <f t="shared" si="61"/>
        <v>115890.49913063712</v>
      </c>
      <c r="I911">
        <f t="shared" si="59"/>
        <v>-19918878.889537517</v>
      </c>
    </row>
    <row r="912" spans="2:9" x14ac:dyDescent="0.3">
      <c r="B912">
        <v>910</v>
      </c>
      <c r="C912" s="1">
        <v>71498</v>
      </c>
      <c r="D912" s="1" t="str">
        <f t="shared" si="60"/>
        <v>X</v>
      </c>
      <c r="E912">
        <f t="shared" si="58"/>
        <v>-19918878.889537517</v>
      </c>
      <c r="F912">
        <v>0</v>
      </c>
      <c r="G912">
        <v>-15000</v>
      </c>
      <c r="H912" s="4">
        <f t="shared" si="61"/>
        <v>-162544.10845897152</v>
      </c>
      <c r="I912">
        <f t="shared" si="59"/>
        <v>-20096422.997996487</v>
      </c>
    </row>
    <row r="913" spans="2:9" x14ac:dyDescent="0.3">
      <c r="B913">
        <v>911</v>
      </c>
      <c r="C913" s="1">
        <v>71529</v>
      </c>
      <c r="D913" s="1" t="str">
        <f t="shared" si="60"/>
        <v>XI</v>
      </c>
      <c r="E913">
        <f t="shared" si="58"/>
        <v>-20096422.997996487</v>
      </c>
      <c r="F913">
        <v>0</v>
      </c>
      <c r="G913">
        <v>-15000</v>
      </c>
      <c r="H913" s="4">
        <f t="shared" si="61"/>
        <v>-265559.38477549783</v>
      </c>
      <c r="I913">
        <f t="shared" si="59"/>
        <v>-20376982.382771984</v>
      </c>
    </row>
    <row r="914" spans="2:9" x14ac:dyDescent="0.3">
      <c r="B914">
        <v>912</v>
      </c>
      <c r="C914" s="1">
        <v>71559</v>
      </c>
      <c r="D914" s="1" t="str">
        <f t="shared" si="60"/>
        <v>XII</v>
      </c>
      <c r="E914">
        <f t="shared" si="58"/>
        <v>-20376982.382771984</v>
      </c>
      <c r="F914">
        <v>0</v>
      </c>
      <c r="G914">
        <v>-15000</v>
      </c>
      <c r="H914" s="4">
        <f t="shared" si="61"/>
        <v>-304776.63178877073</v>
      </c>
      <c r="I914">
        <f t="shared" si="59"/>
        <v>-20696759.014560755</v>
      </c>
    </row>
    <row r="915" spans="2:9" x14ac:dyDescent="0.3">
      <c r="B915">
        <v>913</v>
      </c>
      <c r="C915" s="1">
        <v>71590</v>
      </c>
      <c r="D915" s="1" t="str">
        <f t="shared" si="60"/>
        <v>I</v>
      </c>
      <c r="E915">
        <f t="shared" si="58"/>
        <v>-20696759.014560755</v>
      </c>
      <c r="F915">
        <v>0</v>
      </c>
      <c r="G915">
        <v>-15000</v>
      </c>
      <c r="H915" s="4">
        <f t="shared" si="61"/>
        <v>-264636.83146893186</v>
      </c>
      <c r="I915">
        <f t="shared" si="59"/>
        <v>-20976395.846029688</v>
      </c>
    </row>
    <row r="916" spans="2:9" x14ac:dyDescent="0.3">
      <c r="B916">
        <v>914</v>
      </c>
      <c r="C916" s="1">
        <v>71621</v>
      </c>
      <c r="D916" s="1" t="str">
        <f t="shared" si="60"/>
        <v>II</v>
      </c>
      <c r="E916">
        <f t="shared" si="58"/>
        <v>-20976395.846029688</v>
      </c>
      <c r="F916">
        <v>0</v>
      </c>
      <c r="G916">
        <v>-15000</v>
      </c>
      <c r="H916" s="4">
        <f t="shared" si="61"/>
        <v>-14642.391987411624</v>
      </c>
      <c r="I916">
        <f t="shared" si="59"/>
        <v>-21006038.238017101</v>
      </c>
    </row>
    <row r="917" spans="2:9" x14ac:dyDescent="0.3">
      <c r="B917">
        <v>915</v>
      </c>
      <c r="C917" s="1">
        <v>71650</v>
      </c>
      <c r="D917" s="1" t="str">
        <f t="shared" si="60"/>
        <v>III</v>
      </c>
      <c r="E917">
        <f t="shared" si="58"/>
        <v>-21006038.238017101</v>
      </c>
      <c r="F917">
        <v>0</v>
      </c>
      <c r="G917">
        <v>-15000</v>
      </c>
      <c r="H917" s="4">
        <f t="shared" si="61"/>
        <v>-184399.27230473334</v>
      </c>
      <c r="I917">
        <f t="shared" si="59"/>
        <v>-21205437.510321833</v>
      </c>
    </row>
    <row r="918" spans="2:9" x14ac:dyDescent="0.3">
      <c r="B918">
        <v>916</v>
      </c>
      <c r="C918" s="1">
        <v>71681</v>
      </c>
      <c r="D918" s="1" t="str">
        <f t="shared" si="60"/>
        <v>IV</v>
      </c>
      <c r="E918">
        <f t="shared" si="58"/>
        <v>-21205437.510321833</v>
      </c>
      <c r="F918">
        <v>0</v>
      </c>
      <c r="G918">
        <v>-15000</v>
      </c>
      <c r="H918" s="4">
        <f t="shared" si="61"/>
        <v>-365419.8635684317</v>
      </c>
      <c r="I918">
        <f t="shared" si="59"/>
        <v>-21585857.373890266</v>
      </c>
    </row>
    <row r="919" spans="2:9" x14ac:dyDescent="0.3">
      <c r="B919">
        <v>917</v>
      </c>
      <c r="C919" s="1">
        <v>71711</v>
      </c>
      <c r="D919" s="1" t="str">
        <f t="shared" si="60"/>
        <v>V</v>
      </c>
      <c r="E919">
        <f t="shared" si="58"/>
        <v>-21585857.373890266</v>
      </c>
      <c r="F919">
        <v>0</v>
      </c>
      <c r="G919">
        <v>-15000</v>
      </c>
      <c r="H919" s="4">
        <f t="shared" si="61"/>
        <v>-123198.20513794964</v>
      </c>
      <c r="I919">
        <f t="shared" si="59"/>
        <v>-21724055.579028215</v>
      </c>
    </row>
    <row r="920" spans="2:9" x14ac:dyDescent="0.3">
      <c r="B920">
        <v>918</v>
      </c>
      <c r="C920" s="1">
        <v>71742</v>
      </c>
      <c r="D920" s="1" t="str">
        <f t="shared" si="60"/>
        <v>VI</v>
      </c>
      <c r="E920">
        <f t="shared" si="58"/>
        <v>-21724055.579028215</v>
      </c>
      <c r="F920">
        <v>0</v>
      </c>
      <c r="G920">
        <v>-15000</v>
      </c>
      <c r="H920" s="4">
        <f t="shared" si="61"/>
        <v>-93911.76723194684</v>
      </c>
      <c r="I920">
        <f t="shared" si="59"/>
        <v>-21832967.346260164</v>
      </c>
    </row>
    <row r="921" spans="2:9" x14ac:dyDescent="0.3">
      <c r="B921">
        <v>919</v>
      </c>
      <c r="C921" s="1">
        <v>71772</v>
      </c>
      <c r="D921" s="1" t="str">
        <f t="shared" si="60"/>
        <v>VII</v>
      </c>
      <c r="E921">
        <f t="shared" si="58"/>
        <v>-21832967.346260164</v>
      </c>
      <c r="F921">
        <v>0</v>
      </c>
      <c r="G921">
        <v>-15000</v>
      </c>
      <c r="H921" s="4">
        <f t="shared" si="61"/>
        <v>-132164.30382147303</v>
      </c>
      <c r="I921">
        <f t="shared" si="59"/>
        <v>-21980131.650081638</v>
      </c>
    </row>
    <row r="922" spans="2:9" x14ac:dyDescent="0.3">
      <c r="B922">
        <v>920</v>
      </c>
      <c r="C922" s="1">
        <v>71803</v>
      </c>
      <c r="D922" s="1" t="str">
        <f t="shared" si="60"/>
        <v>VIII</v>
      </c>
      <c r="E922">
        <f t="shared" si="58"/>
        <v>-21980131.650081638</v>
      </c>
      <c r="F922">
        <v>0</v>
      </c>
      <c r="G922">
        <v>-15000</v>
      </c>
      <c r="H922" s="4">
        <f t="shared" si="61"/>
        <v>-5142.6857778677086</v>
      </c>
      <c r="I922">
        <f t="shared" si="59"/>
        <v>-22000274.335859507</v>
      </c>
    </row>
    <row r="923" spans="2:9" x14ac:dyDescent="0.3">
      <c r="B923">
        <v>921</v>
      </c>
      <c r="C923" s="1">
        <v>71834</v>
      </c>
      <c r="D923" s="1" t="str">
        <f t="shared" si="60"/>
        <v>IX</v>
      </c>
      <c r="E923">
        <f t="shared" si="58"/>
        <v>-22000274.335859507</v>
      </c>
      <c r="F923">
        <v>0</v>
      </c>
      <c r="G923">
        <v>-15000</v>
      </c>
      <c r="H923" s="4">
        <f t="shared" si="61"/>
        <v>127346.66827379289</v>
      </c>
      <c r="I923">
        <f t="shared" si="59"/>
        <v>-21887927.667585716</v>
      </c>
    </row>
    <row r="924" spans="2:9" x14ac:dyDescent="0.3">
      <c r="B924">
        <v>922</v>
      </c>
      <c r="C924" s="1">
        <v>71864</v>
      </c>
      <c r="D924" s="1" t="str">
        <f t="shared" si="60"/>
        <v>X</v>
      </c>
      <c r="E924">
        <f t="shared" si="58"/>
        <v>-21887927.667585716</v>
      </c>
      <c r="F924">
        <v>0</v>
      </c>
      <c r="G924">
        <v>-15000</v>
      </c>
      <c r="H924" s="4">
        <f t="shared" si="61"/>
        <v>-178600.05421411787</v>
      </c>
      <c r="I924">
        <f t="shared" si="59"/>
        <v>-22081527.721799832</v>
      </c>
    </row>
    <row r="925" spans="2:9" x14ac:dyDescent="0.3">
      <c r="B925">
        <v>923</v>
      </c>
      <c r="C925" s="1">
        <v>71895</v>
      </c>
      <c r="D925" s="1" t="str">
        <f t="shared" si="60"/>
        <v>XI</v>
      </c>
      <c r="E925">
        <f t="shared" si="58"/>
        <v>-22081527.721799832</v>
      </c>
      <c r="F925">
        <v>0</v>
      </c>
      <c r="G925">
        <v>-15000</v>
      </c>
      <c r="H925" s="4">
        <f t="shared" si="61"/>
        <v>-291771.51254093082</v>
      </c>
      <c r="I925">
        <f t="shared" si="59"/>
        <v>-22388299.234340761</v>
      </c>
    </row>
    <row r="926" spans="2:9" x14ac:dyDescent="0.3">
      <c r="B926">
        <v>924</v>
      </c>
      <c r="C926" s="1">
        <v>71925</v>
      </c>
      <c r="D926" s="1" t="str">
        <f t="shared" si="60"/>
        <v>XII</v>
      </c>
      <c r="E926">
        <f t="shared" si="58"/>
        <v>-22388299.234340761</v>
      </c>
      <c r="F926">
        <v>0</v>
      </c>
      <c r="G926">
        <v>-15000</v>
      </c>
      <c r="H926" s="4">
        <f t="shared" si="61"/>
        <v>-334837.58241017855</v>
      </c>
      <c r="I926">
        <f t="shared" si="59"/>
        <v>-22738136.81675094</v>
      </c>
    </row>
    <row r="927" spans="2:9" x14ac:dyDescent="0.3">
      <c r="B927">
        <v>925</v>
      </c>
      <c r="C927" s="1">
        <v>71956</v>
      </c>
      <c r="D927" s="1" t="str">
        <f t="shared" si="60"/>
        <v>I</v>
      </c>
      <c r="E927">
        <f t="shared" si="58"/>
        <v>-22738136.81675094</v>
      </c>
      <c r="F927">
        <v>0</v>
      </c>
      <c r="G927">
        <v>-15000</v>
      </c>
      <c r="H927" s="4">
        <f t="shared" si="61"/>
        <v>-290719.78043636796</v>
      </c>
      <c r="I927">
        <f t="shared" si="59"/>
        <v>-23043856.597187307</v>
      </c>
    </row>
    <row r="928" spans="2:9" x14ac:dyDescent="0.3">
      <c r="B928">
        <v>926</v>
      </c>
      <c r="C928" s="1">
        <v>71987</v>
      </c>
      <c r="D928" s="1" t="str">
        <f t="shared" si="60"/>
        <v>II</v>
      </c>
      <c r="E928">
        <f t="shared" si="58"/>
        <v>-23043856.597187307</v>
      </c>
      <c r="F928">
        <v>0</v>
      </c>
      <c r="G928">
        <v>-15000</v>
      </c>
      <c r="H928" s="4">
        <f t="shared" si="61"/>
        <v>-16084.533851587088</v>
      </c>
      <c r="I928">
        <f t="shared" si="59"/>
        <v>-23074941.131038893</v>
      </c>
    </row>
    <row r="929" spans="2:9" x14ac:dyDescent="0.3">
      <c r="B929">
        <v>927</v>
      </c>
      <c r="C929" s="1">
        <v>72015</v>
      </c>
      <c r="D929" s="1" t="str">
        <f t="shared" si="60"/>
        <v>III</v>
      </c>
      <c r="E929">
        <f t="shared" si="58"/>
        <v>-23074941.131038893</v>
      </c>
      <c r="F929">
        <v>0</v>
      </c>
      <c r="G929">
        <v>-15000</v>
      </c>
      <c r="H929" s="4">
        <f t="shared" si="61"/>
        <v>-202547.95666668916</v>
      </c>
      <c r="I929">
        <f t="shared" si="59"/>
        <v>-23292489.087705582</v>
      </c>
    </row>
    <row r="930" spans="2:9" x14ac:dyDescent="0.3">
      <c r="B930">
        <v>928</v>
      </c>
      <c r="C930" s="1">
        <v>72046</v>
      </c>
      <c r="D930" s="1" t="str">
        <f t="shared" si="60"/>
        <v>IV</v>
      </c>
      <c r="E930">
        <f t="shared" si="58"/>
        <v>-23292489.087705582</v>
      </c>
      <c r="F930">
        <v>0</v>
      </c>
      <c r="G930">
        <v>-15000</v>
      </c>
      <c r="H930" s="4">
        <f t="shared" si="61"/>
        <v>-401359.27821513201</v>
      </c>
      <c r="I930">
        <f t="shared" si="59"/>
        <v>-23708848.365920715</v>
      </c>
    </row>
    <row r="931" spans="2:9" x14ac:dyDescent="0.3">
      <c r="B931">
        <v>929</v>
      </c>
      <c r="C931" s="1">
        <v>72076</v>
      </c>
      <c r="D931" s="1" t="str">
        <f t="shared" si="60"/>
        <v>V</v>
      </c>
      <c r="E931">
        <f t="shared" si="58"/>
        <v>-23708848.365920715</v>
      </c>
      <c r="F931">
        <v>0</v>
      </c>
      <c r="G931">
        <v>-15000</v>
      </c>
      <c r="H931" s="4">
        <f t="shared" si="61"/>
        <v>-135306.45969539744</v>
      </c>
      <c r="I931">
        <f t="shared" si="59"/>
        <v>-23859154.825616114</v>
      </c>
    </row>
    <row r="932" spans="2:9" x14ac:dyDescent="0.3">
      <c r="B932">
        <v>930</v>
      </c>
      <c r="C932" s="1">
        <v>72107</v>
      </c>
      <c r="D932" s="1" t="str">
        <f t="shared" si="60"/>
        <v>VI</v>
      </c>
      <c r="E932">
        <f t="shared" si="58"/>
        <v>-23859154.825616114</v>
      </c>
      <c r="F932">
        <v>0</v>
      </c>
      <c r="G932">
        <v>-15000</v>
      </c>
      <c r="H932" s="4">
        <f t="shared" si="61"/>
        <v>-103135.30239122495</v>
      </c>
      <c r="I932">
        <f t="shared" si="59"/>
        <v>-23977290.128007337</v>
      </c>
    </row>
    <row r="933" spans="2:9" x14ac:dyDescent="0.3">
      <c r="B933">
        <v>931</v>
      </c>
      <c r="C933" s="1">
        <v>72137</v>
      </c>
      <c r="D933" s="1" t="str">
        <f t="shared" si="60"/>
        <v>VII</v>
      </c>
      <c r="E933">
        <f t="shared" si="58"/>
        <v>-23977290.128007337</v>
      </c>
      <c r="F933">
        <v>0</v>
      </c>
      <c r="G933">
        <v>-15000</v>
      </c>
      <c r="H933" s="4">
        <f t="shared" si="61"/>
        <v>-145135.89624133497</v>
      </c>
      <c r="I933">
        <f t="shared" si="59"/>
        <v>-24137426.024248671</v>
      </c>
    </row>
    <row r="934" spans="2:9" x14ac:dyDescent="0.3">
      <c r="B934">
        <v>932</v>
      </c>
      <c r="C934" s="1">
        <v>72168</v>
      </c>
      <c r="D934" s="1" t="str">
        <f t="shared" si="60"/>
        <v>VIII</v>
      </c>
      <c r="E934">
        <f t="shared" si="58"/>
        <v>-24137426.024248671</v>
      </c>
      <c r="F934">
        <v>0</v>
      </c>
      <c r="G934">
        <v>-15000</v>
      </c>
      <c r="H934" s="4">
        <f t="shared" si="61"/>
        <v>-5647.0831724003137</v>
      </c>
      <c r="I934">
        <f t="shared" si="59"/>
        <v>-24158073.10742107</v>
      </c>
    </row>
    <row r="935" spans="2:9" x14ac:dyDescent="0.3">
      <c r="B935">
        <v>933</v>
      </c>
      <c r="C935" s="1">
        <v>72199</v>
      </c>
      <c r="D935" s="1" t="str">
        <f t="shared" si="60"/>
        <v>IX</v>
      </c>
      <c r="E935">
        <f t="shared" si="58"/>
        <v>-24158073.10742107</v>
      </c>
      <c r="F935">
        <v>0</v>
      </c>
      <c r="G935">
        <v>-15000</v>
      </c>
      <c r="H935" s="4">
        <f t="shared" si="61"/>
        <v>139828.38801852756</v>
      </c>
      <c r="I935">
        <f t="shared" si="59"/>
        <v>-24033244.719402544</v>
      </c>
    </row>
    <row r="936" spans="2:9" x14ac:dyDescent="0.3">
      <c r="B936">
        <v>934</v>
      </c>
      <c r="C936" s="1">
        <v>72229</v>
      </c>
      <c r="D936" s="1" t="str">
        <f t="shared" si="60"/>
        <v>X</v>
      </c>
      <c r="E936">
        <f t="shared" si="58"/>
        <v>-24033244.719402544</v>
      </c>
      <c r="F936">
        <v>0</v>
      </c>
      <c r="G936">
        <v>-15000</v>
      </c>
      <c r="H936" s="4">
        <f t="shared" si="61"/>
        <v>-196093.3203005502</v>
      </c>
      <c r="I936">
        <f t="shared" si="59"/>
        <v>-24244338.039703093</v>
      </c>
    </row>
    <row r="937" spans="2:9" x14ac:dyDescent="0.3">
      <c r="B937">
        <v>935</v>
      </c>
      <c r="C937" s="1">
        <v>72260</v>
      </c>
      <c r="D937" s="1" t="str">
        <f t="shared" si="60"/>
        <v>XI</v>
      </c>
      <c r="E937">
        <f t="shared" si="58"/>
        <v>-24244338.039703093</v>
      </c>
      <c r="F937">
        <v>0</v>
      </c>
      <c r="G937">
        <v>-15000</v>
      </c>
      <c r="H937" s="4">
        <f t="shared" si="61"/>
        <v>-320330.13703337504</v>
      </c>
      <c r="I937">
        <f t="shared" si="59"/>
        <v>-24579668.17673647</v>
      </c>
    </row>
    <row r="938" spans="2:9" x14ac:dyDescent="0.3">
      <c r="B938">
        <v>936</v>
      </c>
      <c r="C938" s="1">
        <v>72290</v>
      </c>
      <c r="D938" s="1" t="str">
        <f t="shared" si="60"/>
        <v>XII</v>
      </c>
      <c r="E938">
        <f t="shared" si="58"/>
        <v>-24579668.17673647</v>
      </c>
      <c r="F938">
        <v>0</v>
      </c>
      <c r="G938">
        <v>-15000</v>
      </c>
      <c r="H938" s="4">
        <f t="shared" si="61"/>
        <v>-367589.57447908784</v>
      </c>
      <c r="I938">
        <f t="shared" si="59"/>
        <v>-24962257.751215558</v>
      </c>
    </row>
    <row r="939" spans="2:9" x14ac:dyDescent="0.3">
      <c r="B939">
        <v>937</v>
      </c>
      <c r="C939" s="1">
        <v>72321</v>
      </c>
      <c r="D939" s="1" t="str">
        <f t="shared" si="60"/>
        <v>I</v>
      </c>
      <c r="E939">
        <f t="shared" si="58"/>
        <v>-24962257.751215558</v>
      </c>
      <c r="F939">
        <v>0</v>
      </c>
      <c r="G939">
        <v>-15000</v>
      </c>
      <c r="H939" s="4">
        <f t="shared" si="61"/>
        <v>-319137.6621086417</v>
      </c>
      <c r="I939">
        <f t="shared" si="59"/>
        <v>-25296395.4133242</v>
      </c>
    </row>
    <row r="940" spans="2:9" x14ac:dyDescent="0.3">
      <c r="B940">
        <v>938</v>
      </c>
      <c r="C940" s="1">
        <v>72352</v>
      </c>
      <c r="D940" s="1" t="str">
        <f t="shared" si="60"/>
        <v>II</v>
      </c>
      <c r="E940">
        <f t="shared" si="58"/>
        <v>-25296395.4133242</v>
      </c>
      <c r="F940">
        <v>0</v>
      </c>
      <c r="G940">
        <v>-15000</v>
      </c>
      <c r="H940" s="4">
        <f t="shared" si="61"/>
        <v>-17655.775542928677</v>
      </c>
      <c r="I940">
        <f t="shared" si="59"/>
        <v>-25329051.188867129</v>
      </c>
    </row>
    <row r="941" spans="2:9" x14ac:dyDescent="0.3">
      <c r="B941">
        <v>939</v>
      </c>
      <c r="C941" s="1">
        <v>72380</v>
      </c>
      <c r="D941" s="1" t="str">
        <f t="shared" si="60"/>
        <v>III</v>
      </c>
      <c r="E941">
        <f t="shared" si="58"/>
        <v>-25329051.188867129</v>
      </c>
      <c r="F941">
        <v>0</v>
      </c>
      <c r="G941">
        <v>-15000</v>
      </c>
      <c r="H941" s="4">
        <f t="shared" si="61"/>
        <v>-222321.30228605928</v>
      </c>
      <c r="I941">
        <f t="shared" si="59"/>
        <v>-25566372.491153188</v>
      </c>
    </row>
    <row r="942" spans="2:9" x14ac:dyDescent="0.3">
      <c r="B942">
        <v>940</v>
      </c>
      <c r="C942" s="1">
        <v>72411</v>
      </c>
      <c r="D942" s="1" t="str">
        <f t="shared" si="60"/>
        <v>IV</v>
      </c>
      <c r="E942">
        <f t="shared" si="58"/>
        <v>-25566372.491153188</v>
      </c>
      <c r="F942">
        <v>0</v>
      </c>
      <c r="G942">
        <v>-15000</v>
      </c>
      <c r="H942" s="4">
        <f t="shared" si="61"/>
        <v>-440515.97150452231</v>
      </c>
      <c r="I942">
        <f t="shared" si="59"/>
        <v>-26021888.462657709</v>
      </c>
    </row>
    <row r="943" spans="2:9" x14ac:dyDescent="0.3">
      <c r="B943">
        <v>941</v>
      </c>
      <c r="C943" s="1">
        <v>72441</v>
      </c>
      <c r="D943" s="1" t="str">
        <f t="shared" si="60"/>
        <v>V</v>
      </c>
      <c r="E943">
        <f t="shared" si="58"/>
        <v>-26021888.462657709</v>
      </c>
      <c r="F943">
        <v>0</v>
      </c>
      <c r="G943">
        <v>-15000</v>
      </c>
      <c r="H943" s="4">
        <f t="shared" si="61"/>
        <v>-148498.63921853763</v>
      </c>
      <c r="I943">
        <f t="shared" si="59"/>
        <v>-26185387.101876248</v>
      </c>
    </row>
    <row r="944" spans="2:9" x14ac:dyDescent="0.3">
      <c r="B944">
        <v>942</v>
      </c>
      <c r="C944" s="1">
        <v>72472</v>
      </c>
      <c r="D944" s="1" t="str">
        <f t="shared" si="60"/>
        <v>VI</v>
      </c>
      <c r="E944">
        <f t="shared" si="58"/>
        <v>-26185387.101876248</v>
      </c>
      <c r="F944">
        <v>0</v>
      </c>
      <c r="G944">
        <v>-15000</v>
      </c>
      <c r="H944" s="4">
        <f t="shared" si="61"/>
        <v>-113184.52386091629</v>
      </c>
      <c r="I944">
        <f t="shared" si="59"/>
        <v>-26313571.625737164</v>
      </c>
    </row>
    <row r="945" spans="2:9" x14ac:dyDescent="0.3">
      <c r="B945">
        <v>943</v>
      </c>
      <c r="C945" s="1">
        <v>72502</v>
      </c>
      <c r="D945" s="1" t="str">
        <f t="shared" si="60"/>
        <v>VII</v>
      </c>
      <c r="E945">
        <f t="shared" si="58"/>
        <v>-26313571.625737164</v>
      </c>
      <c r="F945">
        <v>0</v>
      </c>
      <c r="G945">
        <v>-15000</v>
      </c>
      <c r="H945" s="4">
        <f t="shared" si="61"/>
        <v>-159268.69920578582</v>
      </c>
      <c r="I945">
        <f t="shared" si="59"/>
        <v>-26487840.32494295</v>
      </c>
    </row>
    <row r="946" spans="2:9" x14ac:dyDescent="0.3">
      <c r="B946">
        <v>944</v>
      </c>
      <c r="C946" s="1">
        <v>72533</v>
      </c>
      <c r="D946" s="1" t="str">
        <f t="shared" si="60"/>
        <v>VIII</v>
      </c>
      <c r="E946">
        <f t="shared" si="58"/>
        <v>-26487840.32494295</v>
      </c>
      <c r="F946">
        <v>0</v>
      </c>
      <c r="G946">
        <v>-15000</v>
      </c>
      <c r="H946" s="4">
        <f t="shared" si="61"/>
        <v>-6196.6339724853169</v>
      </c>
      <c r="I946">
        <f t="shared" si="59"/>
        <v>-26509036.958915435</v>
      </c>
    </row>
    <row r="947" spans="2:9" x14ac:dyDescent="0.3">
      <c r="B947">
        <v>945</v>
      </c>
      <c r="C947" s="1">
        <v>72564</v>
      </c>
      <c r="D947" s="1" t="str">
        <f t="shared" si="60"/>
        <v>IX</v>
      </c>
      <c r="E947">
        <f t="shared" ref="E947:E962" si="62">I946</f>
        <v>-26509036.958915435</v>
      </c>
      <c r="F947">
        <v>0</v>
      </c>
      <c r="G947">
        <v>-15000</v>
      </c>
      <c r="H947" s="4">
        <f t="shared" si="61"/>
        <v>153427.46514800377</v>
      </c>
      <c r="I947">
        <f t="shared" ref="I947:I962" si="63">SUM(E947:H947)</f>
        <v>-26370609.493767433</v>
      </c>
    </row>
    <row r="948" spans="2:9" x14ac:dyDescent="0.3">
      <c r="B948">
        <v>946</v>
      </c>
      <c r="C948" s="1">
        <v>72594</v>
      </c>
      <c r="D948" s="1" t="str">
        <f t="shared" si="60"/>
        <v>X</v>
      </c>
      <c r="E948">
        <f t="shared" si="62"/>
        <v>-26370609.493767433</v>
      </c>
      <c r="F948">
        <v>0</v>
      </c>
      <c r="G948">
        <v>-15000</v>
      </c>
      <c r="H948" s="4">
        <f t="shared" si="61"/>
        <v>-215152.57492419262</v>
      </c>
      <c r="I948">
        <f t="shared" si="63"/>
        <v>-26600762.068691626</v>
      </c>
    </row>
    <row r="949" spans="2:9" x14ac:dyDescent="0.3">
      <c r="B949">
        <v>947</v>
      </c>
      <c r="C949" s="1">
        <v>72625</v>
      </c>
      <c r="D949" s="1" t="str">
        <f t="shared" si="60"/>
        <v>XI</v>
      </c>
      <c r="E949">
        <f t="shared" si="62"/>
        <v>-26600762.068691626</v>
      </c>
      <c r="F949">
        <v>0</v>
      </c>
      <c r="G949">
        <v>-15000</v>
      </c>
      <c r="H949" s="4">
        <f t="shared" si="61"/>
        <v>-351445.31548050605</v>
      </c>
      <c r="I949">
        <f t="shared" si="63"/>
        <v>-26967207.384172134</v>
      </c>
    </row>
    <row r="950" spans="2:9" x14ac:dyDescent="0.3">
      <c r="B950">
        <v>948</v>
      </c>
      <c r="C950" s="1">
        <v>72655</v>
      </c>
      <c r="D950" s="1" t="str">
        <f t="shared" si="60"/>
        <v>XII</v>
      </c>
      <c r="E950">
        <f t="shared" si="62"/>
        <v>-26967207.384172134</v>
      </c>
      <c r="F950">
        <v>0</v>
      </c>
      <c r="G950">
        <v>-15000</v>
      </c>
      <c r="H950" s="4">
        <f t="shared" si="61"/>
        <v>-403273.5086963239</v>
      </c>
      <c r="I950">
        <f t="shared" si="63"/>
        <v>-27385480.892868459</v>
      </c>
    </row>
    <row r="951" spans="2:9" x14ac:dyDescent="0.3">
      <c r="B951">
        <v>949</v>
      </c>
      <c r="C951" s="1">
        <v>72686</v>
      </c>
      <c r="D951" s="1" t="str">
        <f t="shared" si="60"/>
        <v>I</v>
      </c>
      <c r="E951">
        <f t="shared" si="62"/>
        <v>-27385480.892868459</v>
      </c>
      <c r="F951">
        <v>0</v>
      </c>
      <c r="G951">
        <v>-15000</v>
      </c>
      <c r="H951" s="4">
        <f t="shared" si="61"/>
        <v>-350099.49850787688</v>
      </c>
      <c r="I951">
        <f t="shared" si="63"/>
        <v>-27750580.391376335</v>
      </c>
    </row>
    <row r="952" spans="2:9" x14ac:dyDescent="0.3">
      <c r="B952">
        <v>950</v>
      </c>
      <c r="C952" s="1">
        <v>72717</v>
      </c>
      <c r="D952" s="1" t="str">
        <f t="shared" si="60"/>
        <v>II</v>
      </c>
      <c r="E952">
        <f t="shared" si="62"/>
        <v>-27750580.391376335</v>
      </c>
      <c r="F952">
        <v>0</v>
      </c>
      <c r="G952">
        <v>-15000</v>
      </c>
      <c r="H952" s="4">
        <f t="shared" si="61"/>
        <v>-19367.674014180331</v>
      </c>
      <c r="I952">
        <f t="shared" si="63"/>
        <v>-27784948.065390516</v>
      </c>
    </row>
    <row r="953" spans="2:9" x14ac:dyDescent="0.3">
      <c r="B953">
        <v>951</v>
      </c>
      <c r="C953" s="1">
        <v>72745</v>
      </c>
      <c r="D953" s="1" t="str">
        <f t="shared" si="60"/>
        <v>III</v>
      </c>
      <c r="E953">
        <f t="shared" si="62"/>
        <v>-27784948.065390516</v>
      </c>
      <c r="F953">
        <v>0</v>
      </c>
      <c r="G953">
        <v>-15000</v>
      </c>
      <c r="H953" s="4">
        <f t="shared" si="61"/>
        <v>-243864.74803591575</v>
      </c>
      <c r="I953">
        <f t="shared" si="63"/>
        <v>-28043812.813426431</v>
      </c>
    </row>
    <row r="954" spans="2:9" x14ac:dyDescent="0.3">
      <c r="B954">
        <v>952</v>
      </c>
      <c r="C954" s="1">
        <v>72776</v>
      </c>
      <c r="D954" s="1" t="str">
        <f t="shared" si="60"/>
        <v>IV</v>
      </c>
      <c r="E954">
        <f t="shared" si="62"/>
        <v>-28043812.813426431</v>
      </c>
      <c r="F954">
        <v>0</v>
      </c>
      <c r="G954">
        <v>-15000</v>
      </c>
      <c r="H954" s="4">
        <f t="shared" si="61"/>
        <v>-483177.95263114473</v>
      </c>
      <c r="I954">
        <f t="shared" si="63"/>
        <v>-28541990.766057577</v>
      </c>
    </row>
    <row r="955" spans="2:9" x14ac:dyDescent="0.3">
      <c r="B955">
        <v>953</v>
      </c>
      <c r="C955" s="1">
        <v>72806</v>
      </c>
      <c r="D955" s="1" t="str">
        <f t="shared" si="60"/>
        <v>V</v>
      </c>
      <c r="E955">
        <f t="shared" si="62"/>
        <v>-28541990.766057577</v>
      </c>
      <c r="F955">
        <v>0</v>
      </c>
      <c r="G955">
        <v>-15000</v>
      </c>
      <c r="H955" s="4">
        <f t="shared" si="61"/>
        <v>-162871.77613476739</v>
      </c>
      <c r="I955">
        <f t="shared" si="63"/>
        <v>-28719862.542192344</v>
      </c>
    </row>
    <row r="956" spans="2:9" x14ac:dyDescent="0.3">
      <c r="B956">
        <v>954</v>
      </c>
      <c r="C956" s="1">
        <v>72837</v>
      </c>
      <c r="D956" s="1" t="str">
        <f t="shared" si="60"/>
        <v>VI</v>
      </c>
      <c r="E956">
        <f t="shared" si="62"/>
        <v>-28719862.542192344</v>
      </c>
      <c r="F956">
        <v>0</v>
      </c>
      <c r="G956">
        <v>-15000</v>
      </c>
      <c r="H956" s="4">
        <f t="shared" si="61"/>
        <v>-124133.34667158463</v>
      </c>
      <c r="I956">
        <f t="shared" si="63"/>
        <v>-28858995.888863929</v>
      </c>
    </row>
    <row r="957" spans="2:9" x14ac:dyDescent="0.3">
      <c r="B957">
        <v>955</v>
      </c>
      <c r="C957" s="1">
        <v>72867</v>
      </c>
      <c r="D957" s="1" t="str">
        <f t="shared" si="60"/>
        <v>VII</v>
      </c>
      <c r="E957">
        <f t="shared" si="62"/>
        <v>-28858995.888863929</v>
      </c>
      <c r="F957">
        <v>0</v>
      </c>
      <c r="G957">
        <v>-15000</v>
      </c>
      <c r="H957" s="4">
        <f t="shared" si="61"/>
        <v>-174666.66370906125</v>
      </c>
      <c r="I957">
        <f t="shared" si="63"/>
        <v>-29048662.552572992</v>
      </c>
    </row>
    <row r="958" spans="2:9" x14ac:dyDescent="0.3">
      <c r="B958">
        <v>956</v>
      </c>
      <c r="C958" s="1">
        <v>72898</v>
      </c>
      <c r="D958" s="1" t="str">
        <f t="shared" si="60"/>
        <v>VIII</v>
      </c>
      <c r="E958">
        <f t="shared" si="62"/>
        <v>-29048662.552572992</v>
      </c>
      <c r="F958">
        <v>0</v>
      </c>
      <c r="G958">
        <v>-15000</v>
      </c>
      <c r="H958" s="4">
        <f t="shared" si="61"/>
        <v>-6795.3802886789572</v>
      </c>
      <c r="I958">
        <f t="shared" si="63"/>
        <v>-29070457.932861671</v>
      </c>
    </row>
    <row r="959" spans="2:9" x14ac:dyDescent="0.3">
      <c r="B959">
        <v>957</v>
      </c>
      <c r="C959" s="1">
        <v>72929</v>
      </c>
      <c r="D959" s="1" t="str">
        <f t="shared" si="60"/>
        <v>IX</v>
      </c>
      <c r="E959">
        <f t="shared" si="62"/>
        <v>-29070457.932861671</v>
      </c>
      <c r="F959">
        <v>0</v>
      </c>
      <c r="G959">
        <v>-15000</v>
      </c>
      <c r="H959" s="4">
        <f t="shared" si="61"/>
        <v>168243.92494325401</v>
      </c>
      <c r="I959">
        <f t="shared" si="63"/>
        <v>-28917214.007918417</v>
      </c>
    </row>
    <row r="960" spans="2:9" x14ac:dyDescent="0.3">
      <c r="B960">
        <v>958</v>
      </c>
      <c r="C960" s="1">
        <v>72959</v>
      </c>
      <c r="D960" s="1" t="str">
        <f t="shared" si="60"/>
        <v>X</v>
      </c>
      <c r="E960">
        <f t="shared" si="62"/>
        <v>-28917214.007918417</v>
      </c>
      <c r="F960">
        <v>0</v>
      </c>
      <c r="G960">
        <v>-15000</v>
      </c>
      <c r="H960" s="4">
        <f t="shared" si="61"/>
        <v>-235918.00460519275</v>
      </c>
      <c r="I960">
        <f t="shared" si="63"/>
        <v>-29168132.01252361</v>
      </c>
    </row>
    <row r="961" spans="2:9" x14ac:dyDescent="0.3">
      <c r="B961">
        <v>959</v>
      </c>
      <c r="C961" s="1">
        <v>72990</v>
      </c>
      <c r="D961" s="1" t="str">
        <f t="shared" si="60"/>
        <v>XI</v>
      </c>
      <c r="E961">
        <f t="shared" si="62"/>
        <v>-29168132.01252361</v>
      </c>
      <c r="F961">
        <v>0</v>
      </c>
      <c r="G961">
        <v>-15000</v>
      </c>
      <c r="H961" s="4">
        <f t="shared" si="61"/>
        <v>-385345.909329238</v>
      </c>
      <c r="I961">
        <f t="shared" si="63"/>
        <v>-29568477.921852849</v>
      </c>
    </row>
    <row r="962" spans="2:9" x14ac:dyDescent="0.3">
      <c r="B962">
        <v>960</v>
      </c>
      <c r="C962" s="1">
        <v>73020</v>
      </c>
      <c r="D962" s="1" t="str">
        <f t="shared" si="60"/>
        <v>XII</v>
      </c>
      <c r="E962">
        <f t="shared" si="62"/>
        <v>-29568477.921852849</v>
      </c>
      <c r="F962">
        <v>0</v>
      </c>
      <c r="G962">
        <v>-15000</v>
      </c>
      <c r="H962" s="4">
        <f t="shared" si="61"/>
        <v>-442151.85107442882</v>
      </c>
      <c r="I962">
        <f t="shared" si="63"/>
        <v>-30025629.772927277</v>
      </c>
    </row>
    <row r="963" spans="2:9" x14ac:dyDescent="0.3">
      <c r="C963" s="1"/>
      <c r="D963" s="1"/>
    </row>
    <row r="964" spans="2:9" x14ac:dyDescent="0.3">
      <c r="C964" s="1"/>
      <c r="D964" s="1"/>
    </row>
    <row r="965" spans="2:9" x14ac:dyDescent="0.3">
      <c r="C965" s="1"/>
      <c r="D965" s="1"/>
    </row>
    <row r="966" spans="2:9" x14ac:dyDescent="0.3">
      <c r="C966" s="1"/>
      <c r="D966" s="1"/>
    </row>
    <row r="967" spans="2:9" x14ac:dyDescent="0.3">
      <c r="C967" s="1"/>
      <c r="D967" s="1"/>
    </row>
    <row r="968" spans="2:9" x14ac:dyDescent="0.3">
      <c r="C968" s="1"/>
      <c r="D968" s="1"/>
    </row>
    <row r="969" spans="2:9" x14ac:dyDescent="0.3">
      <c r="C969" s="1"/>
      <c r="D969" s="1"/>
    </row>
    <row r="970" spans="2:9" x14ac:dyDescent="0.3">
      <c r="C970" s="1"/>
      <c r="D970" s="1"/>
    </row>
    <row r="971" spans="2:9" x14ac:dyDescent="0.3">
      <c r="C971" s="1"/>
      <c r="D971" s="1"/>
    </row>
    <row r="972" spans="2:9" x14ac:dyDescent="0.3">
      <c r="C972" s="1"/>
      <c r="D972" s="1"/>
    </row>
    <row r="973" spans="2:9" x14ac:dyDescent="0.3">
      <c r="C973" s="1"/>
      <c r="D973" s="1"/>
    </row>
    <row r="974" spans="2:9" x14ac:dyDescent="0.3">
      <c r="C974" s="1"/>
      <c r="D974" s="1"/>
    </row>
    <row r="975" spans="2:9" x14ac:dyDescent="0.3">
      <c r="C975" s="1"/>
      <c r="D975" s="1"/>
    </row>
    <row r="976" spans="2:9" x14ac:dyDescent="0.3">
      <c r="C976" s="1"/>
      <c r="D976" s="1"/>
    </row>
    <row r="977" spans="3:4" x14ac:dyDescent="0.3">
      <c r="C977" s="1"/>
      <c r="D977" s="1"/>
    </row>
    <row r="978" spans="3:4" x14ac:dyDescent="0.3">
      <c r="C978" s="1"/>
      <c r="D978" s="1"/>
    </row>
    <row r="979" spans="3:4" x14ac:dyDescent="0.3">
      <c r="C979" s="1"/>
      <c r="D979" s="1"/>
    </row>
    <row r="980" spans="3:4" x14ac:dyDescent="0.3">
      <c r="C980" s="1"/>
      <c r="D980" s="1"/>
    </row>
    <row r="981" spans="3:4" x14ac:dyDescent="0.3">
      <c r="C981" s="1"/>
      <c r="D981" s="1"/>
    </row>
    <row r="982" spans="3:4" x14ac:dyDescent="0.3">
      <c r="C982" s="1"/>
      <c r="D982" s="1"/>
    </row>
    <row r="983" spans="3:4" x14ac:dyDescent="0.3">
      <c r="C983" s="1"/>
      <c r="D983" s="1"/>
    </row>
    <row r="984" spans="3:4" x14ac:dyDescent="0.3">
      <c r="C984" s="1"/>
      <c r="D984" s="1"/>
    </row>
    <row r="985" spans="3:4" x14ac:dyDescent="0.3">
      <c r="C985" s="1"/>
      <c r="D985" s="1"/>
    </row>
    <row r="986" spans="3:4" x14ac:dyDescent="0.3">
      <c r="C986" s="1"/>
      <c r="D986" s="1"/>
    </row>
    <row r="987" spans="3:4" x14ac:dyDescent="0.3">
      <c r="C987" s="1"/>
      <c r="D987" s="1"/>
    </row>
    <row r="988" spans="3:4" x14ac:dyDescent="0.3">
      <c r="C988" s="1"/>
      <c r="D988" s="1"/>
    </row>
    <row r="989" spans="3:4" x14ac:dyDescent="0.3">
      <c r="C989" s="1"/>
      <c r="D989" s="1"/>
    </row>
    <row r="990" spans="3:4" x14ac:dyDescent="0.3">
      <c r="C990" s="1"/>
      <c r="D990" s="1"/>
    </row>
    <row r="991" spans="3:4" x14ac:dyDescent="0.3">
      <c r="C991" s="1"/>
      <c r="D991" s="1"/>
    </row>
    <row r="992" spans="3:4" x14ac:dyDescent="0.3">
      <c r="C992" s="1"/>
      <c r="D992" s="1"/>
    </row>
    <row r="993" spans="3:4" x14ac:dyDescent="0.3">
      <c r="C993" s="1"/>
      <c r="D993" s="1"/>
    </row>
    <row r="994" spans="3:4" x14ac:dyDescent="0.3">
      <c r="C994" s="1"/>
      <c r="D994" s="1"/>
    </row>
    <row r="995" spans="3:4" x14ac:dyDescent="0.3">
      <c r="C995" s="1"/>
      <c r="D995" s="1"/>
    </row>
    <row r="996" spans="3:4" x14ac:dyDescent="0.3">
      <c r="C996" s="1"/>
      <c r="D996" s="1"/>
    </row>
    <row r="997" spans="3:4" x14ac:dyDescent="0.3">
      <c r="C997" s="1"/>
      <c r="D997" s="1"/>
    </row>
    <row r="998" spans="3:4" x14ac:dyDescent="0.3">
      <c r="C998" s="1"/>
      <c r="D998" s="1"/>
    </row>
    <row r="999" spans="3:4" x14ac:dyDescent="0.3">
      <c r="C999" s="1"/>
      <c r="D999" s="1"/>
    </row>
    <row r="1000" spans="3:4" x14ac:dyDescent="0.3">
      <c r="C1000" s="1"/>
      <c r="D1000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254F2-FD2B-4770-AA21-ADAD1181A171}">
  <sheetPr codeName="Sheet6"/>
  <dimension ref="B2:P27"/>
  <sheetViews>
    <sheetView workbookViewId="0">
      <selection activeCell="F20" sqref="F20"/>
    </sheetView>
  </sheetViews>
  <sheetFormatPr defaultRowHeight="14.4" x14ac:dyDescent="0.3"/>
  <cols>
    <col min="3" max="3" width="16.44140625" bestFit="1" customWidth="1"/>
    <col min="4" max="4" width="19" bestFit="1" customWidth="1"/>
    <col min="9" max="9" width="13.33203125" customWidth="1"/>
    <col min="10" max="10" width="17.5546875" bestFit="1" customWidth="1"/>
    <col min="11" max="11" width="15.44140625" bestFit="1" customWidth="1"/>
    <col min="16" max="16" width="15.44140625" bestFit="1" customWidth="1"/>
  </cols>
  <sheetData>
    <row r="2" spans="2:16" x14ac:dyDescent="0.3">
      <c r="B2" t="s">
        <v>1722</v>
      </c>
      <c r="I2" t="s">
        <v>1723</v>
      </c>
      <c r="N2" t="s">
        <v>1724</v>
      </c>
    </row>
    <row r="3" spans="2:16" x14ac:dyDescent="0.3">
      <c r="B3" t="s">
        <v>1725</v>
      </c>
      <c r="I3" t="s">
        <v>1725</v>
      </c>
      <c r="N3" t="s">
        <v>1725</v>
      </c>
    </row>
    <row r="4" spans="2:16" x14ac:dyDescent="0.3">
      <c r="C4" t="s">
        <v>1726</v>
      </c>
      <c r="D4">
        <v>360</v>
      </c>
      <c r="J4" t="s">
        <v>1726</v>
      </c>
      <c r="K4">
        <v>330.50392987200428</v>
      </c>
      <c r="O4" t="s">
        <v>1726</v>
      </c>
      <c r="P4">
        <v>300</v>
      </c>
    </row>
    <row r="5" spans="2:16" x14ac:dyDescent="0.3">
      <c r="C5" t="s">
        <v>1727</v>
      </c>
      <c r="D5">
        <v>4203.7373801318336</v>
      </c>
      <c r="J5" t="s">
        <v>1727</v>
      </c>
      <c r="K5">
        <v>4203.7373801318336</v>
      </c>
      <c r="O5" t="s">
        <v>1727</v>
      </c>
      <c r="P5">
        <v>4203.7373801318336</v>
      </c>
    </row>
    <row r="6" spans="2:16" x14ac:dyDescent="0.3">
      <c r="C6" t="s">
        <v>1728</v>
      </c>
      <c r="D6" s="9">
        <f>FV(D12,D4,D5,,1)</f>
        <v>-14838830.480810396</v>
      </c>
      <c r="J6" t="s">
        <v>1728</v>
      </c>
      <c r="K6" s="9">
        <f>FV(K13,K4,K5,,1)</f>
        <v>-13977447.970334856</v>
      </c>
      <c r="O6" t="s">
        <v>1728</v>
      </c>
      <c r="P6" s="9">
        <f>FV(P13,P4,P5,,1)</f>
        <v>-9901869.7322609033</v>
      </c>
    </row>
    <row r="7" spans="2:16" x14ac:dyDescent="0.3">
      <c r="B7" t="s">
        <v>1729</v>
      </c>
      <c r="I7" t="s">
        <v>1729</v>
      </c>
      <c r="N7" t="s">
        <v>1729</v>
      </c>
    </row>
    <row r="8" spans="2:16" x14ac:dyDescent="0.3">
      <c r="C8" t="s">
        <v>1726</v>
      </c>
      <c r="D8">
        <v>240</v>
      </c>
      <c r="J8" t="s">
        <v>1726</v>
      </c>
      <c r="K8">
        <v>240</v>
      </c>
      <c r="O8" t="s">
        <v>1726</v>
      </c>
      <c r="P8">
        <v>221.24248308331369</v>
      </c>
    </row>
    <row r="9" spans="2:16" x14ac:dyDescent="0.3">
      <c r="C9" t="s">
        <v>1730</v>
      </c>
      <c r="D9" s="9">
        <f>PMT(D12,D8,,D6,)</f>
        <v>14999.999999999982</v>
      </c>
      <c r="J9" t="s">
        <v>1730</v>
      </c>
      <c r="K9" s="9">
        <f>PMT(K13,K8,,K6,)</f>
        <v>12000.000000222992</v>
      </c>
      <c r="O9" t="s">
        <v>1730</v>
      </c>
      <c r="P9" s="9">
        <f>PMT(P13,P8,,P6,)</f>
        <v>10626.264174598615</v>
      </c>
    </row>
    <row r="11" spans="2:16" x14ac:dyDescent="0.3">
      <c r="B11" t="s">
        <v>8</v>
      </c>
      <c r="I11" t="s">
        <v>8</v>
      </c>
      <c r="N11" t="s">
        <v>8</v>
      </c>
    </row>
    <row r="12" spans="2:16" x14ac:dyDescent="0.3">
      <c r="C12" t="s">
        <v>880</v>
      </c>
      <c r="D12" s="10">
        <v>0.01</v>
      </c>
      <c r="J12" t="s">
        <v>880</v>
      </c>
      <c r="K12" s="10">
        <v>0.01</v>
      </c>
      <c r="O12" t="s">
        <v>880</v>
      </c>
      <c r="P12" s="10">
        <v>0.01</v>
      </c>
    </row>
    <row r="13" spans="2:16" x14ac:dyDescent="0.3">
      <c r="C13" t="s">
        <v>1731</v>
      </c>
      <c r="D13" s="11">
        <v>1.0999999999999999E-2</v>
      </c>
      <c r="J13" t="s">
        <v>1731</v>
      </c>
      <c r="K13" s="11">
        <v>1.0999999999999999E-2</v>
      </c>
      <c r="O13" t="s">
        <v>1731</v>
      </c>
      <c r="P13" s="11">
        <v>1.0999999999999999E-2</v>
      </c>
    </row>
    <row r="16" spans="2:16" x14ac:dyDescent="0.3">
      <c r="B16" t="s">
        <v>1732</v>
      </c>
    </row>
    <row r="17" spans="2:4" x14ac:dyDescent="0.3">
      <c r="B17" t="s">
        <v>1725</v>
      </c>
    </row>
    <row r="18" spans="2:4" x14ac:dyDescent="0.3">
      <c r="C18" t="s">
        <v>1726</v>
      </c>
      <c r="D18">
        <v>360</v>
      </c>
    </row>
    <row r="19" spans="2:4" x14ac:dyDescent="0.3">
      <c r="C19" t="s">
        <v>1727</v>
      </c>
      <c r="D19">
        <v>4203.7373801318336</v>
      </c>
    </row>
    <row r="20" spans="2:4" x14ac:dyDescent="0.3">
      <c r="C20" t="s">
        <v>1728</v>
      </c>
      <c r="D20" s="9">
        <f>FV(D26,D18,D19,,1)</f>
        <v>-14838830.480810396</v>
      </c>
    </row>
    <row r="21" spans="2:4" x14ac:dyDescent="0.3">
      <c r="B21" t="s">
        <v>1729</v>
      </c>
    </row>
    <row r="22" spans="2:4" x14ac:dyDescent="0.3">
      <c r="C22" t="s">
        <v>1726</v>
      </c>
      <c r="D22">
        <v>240</v>
      </c>
    </row>
    <row r="23" spans="2:4" x14ac:dyDescent="0.3">
      <c r="C23" t="s">
        <v>1730</v>
      </c>
      <c r="D23" s="9">
        <f>PMT(D26,D22,,D20,)</f>
        <v>14999.999999999982</v>
      </c>
    </row>
    <row r="25" spans="2:4" x14ac:dyDescent="0.3">
      <c r="B25" t="s">
        <v>8</v>
      </c>
    </row>
    <row r="26" spans="2:4" x14ac:dyDescent="0.3">
      <c r="C26" t="s">
        <v>880</v>
      </c>
      <c r="D26" s="10">
        <v>0.01</v>
      </c>
    </row>
    <row r="27" spans="2:4" x14ac:dyDescent="0.3">
      <c r="C27" t="s">
        <v>1731</v>
      </c>
      <c r="D27" s="11">
        <v>1.0999999999999999E-2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Cover Sheet</vt:lpstr>
      <vt:lpstr>Documentaion</vt:lpstr>
      <vt:lpstr>Retirement Income Calculator</vt:lpstr>
      <vt:lpstr>Stock Prices Links</vt:lpstr>
      <vt:lpstr>DJI</vt:lpstr>
      <vt:lpstr>S&amp;P_500</vt:lpstr>
      <vt:lpstr>Calculation</vt:lpstr>
      <vt:lpstr>Goal Seek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Černý</dc:creator>
  <cp:lastModifiedBy>Jan</cp:lastModifiedBy>
  <dcterms:created xsi:type="dcterms:W3CDTF">2020-07-28T08:14:30Z</dcterms:created>
  <dcterms:modified xsi:type="dcterms:W3CDTF">2020-08-01T13:51:17Z</dcterms:modified>
</cp:coreProperties>
</file>