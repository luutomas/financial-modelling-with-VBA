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janek\Documents\GitHub\financial-modelling-with-VBA\"/>
    </mc:Choice>
  </mc:AlternateContent>
  <xr:revisionPtr revIDLastSave="0" documentId="13_ncr:1_{EB3A40E9-999A-45AF-B474-EECED5FA9A66}" xr6:coauthVersionLast="45" xr6:coauthVersionMax="45" xr10:uidLastSave="{00000000-0000-0000-0000-000000000000}"/>
  <bookViews>
    <workbookView xWindow="-108" yWindow="-108" windowWidth="23256" windowHeight="12720" firstSheet="1" activeTab="7" xr2:uid="{010FAFBA-36AA-4242-AAF6-B8A6A840039F}"/>
  </bookViews>
  <sheets>
    <sheet name="Cover Sheet" sheetId="101" r:id="rId1"/>
    <sheet name="Documentation" sheetId="102" r:id="rId2"/>
    <sheet name="Retirement Income Calculator" sheetId="2" r:id="rId3"/>
    <sheet name="DJI" sheetId="153" state="hidden" r:id="rId4"/>
    <sheet name="S&amp;P_500" sheetId="152" state="hidden" r:id="rId5"/>
    <sheet name="Monthly Investments" sheetId="54" r:id="rId6"/>
    <sheet name="Retirement Length" sheetId="77" r:id="rId7"/>
    <sheet name="Retirement Age" sheetId="78" r:id="rId8"/>
    <sheet name="Expected Retirement Spending" sheetId="7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78" l="1"/>
  <c r="A1" i="54"/>
  <c r="A1" i="79"/>
  <c r="D6" i="77" l="1"/>
  <c r="D6" i="79"/>
  <c r="M4" i="153"/>
  <c r="M5" i="153"/>
  <c r="M6" i="153"/>
  <c r="M7" i="153"/>
  <c r="M8" i="153"/>
  <c r="M9" i="153"/>
  <c r="M10" i="153"/>
  <c r="M11" i="153"/>
  <c r="M12" i="153"/>
  <c r="M13" i="153"/>
  <c r="M14" i="153"/>
  <c r="M15" i="153"/>
  <c r="M16" i="153"/>
  <c r="M17" i="153"/>
  <c r="M18" i="153"/>
  <c r="M19" i="153"/>
  <c r="M20" i="153"/>
  <c r="M21" i="153"/>
  <c r="M22" i="153"/>
  <c r="M23" i="153"/>
  <c r="M24" i="153"/>
  <c r="M25" i="153"/>
  <c r="M26" i="153"/>
  <c r="M27" i="153"/>
  <c r="M28" i="153"/>
  <c r="M29" i="153"/>
  <c r="M30" i="153"/>
  <c r="M31" i="153"/>
  <c r="M32" i="153"/>
  <c r="M33" i="153"/>
  <c r="M34" i="153"/>
  <c r="M35" i="153"/>
  <c r="M36" i="153"/>
  <c r="M37" i="153"/>
  <c r="M38" i="153"/>
  <c r="M39" i="153"/>
  <c r="M40" i="153"/>
  <c r="M41" i="153"/>
  <c r="M42" i="153"/>
  <c r="M43" i="153"/>
  <c r="M44" i="153"/>
  <c r="M45" i="153"/>
  <c r="M46" i="153"/>
  <c r="M47" i="153"/>
  <c r="M48" i="153"/>
  <c r="M49" i="153"/>
  <c r="M50" i="153"/>
  <c r="M51" i="153"/>
  <c r="M52" i="153"/>
  <c r="M53" i="153"/>
  <c r="M54" i="153"/>
  <c r="M55" i="153"/>
  <c r="M56" i="153"/>
  <c r="M57" i="153"/>
  <c r="M58" i="153"/>
  <c r="M59" i="153"/>
  <c r="M60" i="153"/>
  <c r="M61" i="153"/>
  <c r="M62" i="153"/>
  <c r="M63" i="153"/>
  <c r="M64" i="153"/>
  <c r="M65" i="153"/>
  <c r="M66" i="153"/>
  <c r="M67" i="153"/>
  <c r="M68" i="153"/>
  <c r="M69" i="153"/>
  <c r="M70" i="153"/>
  <c r="M71" i="153"/>
  <c r="M72" i="153"/>
  <c r="M73" i="153"/>
  <c r="M74" i="153"/>
  <c r="M75" i="153"/>
  <c r="M76" i="153"/>
  <c r="M77" i="153"/>
  <c r="M78" i="153"/>
  <c r="M79" i="153"/>
  <c r="M80" i="153"/>
  <c r="M81" i="153"/>
  <c r="M82" i="153"/>
  <c r="M83" i="153"/>
  <c r="M84" i="153"/>
  <c r="M85" i="153"/>
  <c r="M86" i="153"/>
  <c r="M87" i="153"/>
  <c r="M88" i="153"/>
  <c r="M89" i="153"/>
  <c r="M90" i="153"/>
  <c r="M91" i="153"/>
  <c r="M92" i="153"/>
  <c r="M93" i="153"/>
  <c r="M94" i="153"/>
  <c r="M95" i="153"/>
  <c r="M96" i="153"/>
  <c r="M97" i="153"/>
  <c r="M98" i="153"/>
  <c r="M99" i="153"/>
  <c r="M100" i="153"/>
  <c r="M101" i="153"/>
  <c r="M102" i="153"/>
  <c r="M103" i="153"/>
  <c r="M104" i="153"/>
  <c r="M105" i="153"/>
  <c r="M106" i="153"/>
  <c r="M107" i="153"/>
  <c r="M108" i="153"/>
  <c r="M109" i="153"/>
  <c r="M110" i="153"/>
  <c r="M111" i="153"/>
  <c r="M112" i="153"/>
  <c r="M113" i="153"/>
  <c r="M114" i="153"/>
  <c r="M115" i="153"/>
  <c r="M116" i="153"/>
  <c r="M117" i="153"/>
  <c r="M118" i="153"/>
  <c r="M119" i="153"/>
  <c r="M120" i="153"/>
  <c r="M121" i="153"/>
  <c r="M122" i="153"/>
  <c r="M123" i="153"/>
  <c r="M124" i="153"/>
  <c r="M125" i="153"/>
  <c r="M126" i="153"/>
  <c r="M127" i="153"/>
  <c r="M128" i="153"/>
  <c r="M129" i="153"/>
  <c r="M130" i="153"/>
  <c r="M131" i="153"/>
  <c r="M132" i="153"/>
  <c r="M133" i="153"/>
  <c r="M134" i="153"/>
  <c r="M135" i="153"/>
  <c r="M136" i="153"/>
  <c r="M137" i="153"/>
  <c r="M138" i="153"/>
  <c r="M139" i="153"/>
  <c r="M140" i="153"/>
  <c r="M141" i="153"/>
  <c r="M142" i="153"/>
  <c r="M143" i="153"/>
  <c r="M144" i="153"/>
  <c r="M145" i="153"/>
  <c r="M146" i="153"/>
  <c r="M147" i="153"/>
  <c r="M148" i="153"/>
  <c r="M149" i="153"/>
  <c r="M150" i="153"/>
  <c r="M151" i="153"/>
  <c r="M152" i="153"/>
  <c r="M153" i="153"/>
  <c r="M154" i="153"/>
  <c r="M155" i="153"/>
  <c r="M156" i="153"/>
  <c r="M157" i="153"/>
  <c r="M158" i="153"/>
  <c r="M159" i="153"/>
  <c r="M160" i="153"/>
  <c r="M161" i="153"/>
  <c r="M162" i="153"/>
  <c r="M163" i="153"/>
  <c r="M164" i="153"/>
  <c r="M165" i="153"/>
  <c r="M166" i="153"/>
  <c r="M167" i="153"/>
  <c r="M168" i="153"/>
  <c r="M169" i="153"/>
  <c r="M170" i="153"/>
  <c r="M171" i="153"/>
  <c r="M172" i="153"/>
  <c r="M173" i="153"/>
  <c r="M174" i="153"/>
  <c r="M175" i="153"/>
  <c r="M176" i="153"/>
  <c r="M177" i="153"/>
  <c r="M178" i="153"/>
  <c r="M179" i="153"/>
  <c r="M180" i="153"/>
  <c r="M181" i="153"/>
  <c r="M182" i="153"/>
  <c r="M183" i="153"/>
  <c r="M184" i="153"/>
  <c r="M185" i="153"/>
  <c r="M186" i="153"/>
  <c r="M187" i="153"/>
  <c r="M188" i="153"/>
  <c r="M189" i="153"/>
  <c r="M190" i="153"/>
  <c r="M191" i="153"/>
  <c r="M192" i="153"/>
  <c r="M193" i="153"/>
  <c r="M194" i="153"/>
  <c r="M195" i="153"/>
  <c r="M196" i="153"/>
  <c r="M197" i="153"/>
  <c r="M198" i="153"/>
  <c r="M199" i="153"/>
  <c r="M200" i="153"/>
  <c r="M201" i="153"/>
  <c r="M202" i="153"/>
  <c r="M203" i="153"/>
  <c r="M204" i="153"/>
  <c r="M205" i="153"/>
  <c r="M206" i="153"/>
  <c r="M207" i="153"/>
  <c r="M208" i="153"/>
  <c r="M209" i="153"/>
  <c r="M210" i="153"/>
  <c r="M211" i="153"/>
  <c r="M212" i="153"/>
  <c r="M213" i="153"/>
  <c r="M214" i="153"/>
  <c r="M215" i="153"/>
  <c r="M216" i="153"/>
  <c r="M217" i="153"/>
  <c r="M218" i="153"/>
  <c r="M219" i="153"/>
  <c r="M220" i="153"/>
  <c r="M221" i="153"/>
  <c r="M222" i="153"/>
  <c r="M223" i="153"/>
  <c r="M224" i="153"/>
  <c r="M225" i="153"/>
  <c r="M226" i="153"/>
  <c r="M227" i="153"/>
  <c r="M228" i="153"/>
  <c r="M229" i="153"/>
  <c r="M230" i="153"/>
  <c r="M231" i="153"/>
  <c r="M232" i="153"/>
  <c r="M233" i="153"/>
  <c r="M234" i="153"/>
  <c r="M235" i="153"/>
  <c r="M236" i="153"/>
  <c r="M237" i="153"/>
  <c r="M238" i="153"/>
  <c r="M239" i="153"/>
  <c r="M240" i="153"/>
  <c r="M241" i="153"/>
  <c r="M242" i="153"/>
  <c r="M243" i="153"/>
  <c r="M244" i="153"/>
  <c r="M245" i="153"/>
  <c r="M246" i="153"/>
  <c r="M247" i="153"/>
  <c r="M248" i="153"/>
  <c r="M249" i="153"/>
  <c r="M250" i="153"/>
  <c r="M251" i="153"/>
  <c r="M252" i="153"/>
  <c r="M253" i="153"/>
  <c r="M254" i="153"/>
  <c r="M255" i="153"/>
  <c r="M256" i="153"/>
  <c r="M257" i="153"/>
  <c r="M258" i="153"/>
  <c r="M259" i="153"/>
  <c r="M260" i="153"/>
  <c r="M261" i="153"/>
  <c r="M262" i="153"/>
  <c r="M263" i="153"/>
  <c r="M264" i="153"/>
  <c r="M265" i="153"/>
  <c r="M266" i="153"/>
  <c r="M267" i="153"/>
  <c r="M268" i="153"/>
  <c r="M269" i="153"/>
  <c r="M270" i="153"/>
  <c r="M271" i="153"/>
  <c r="M272" i="153"/>
  <c r="M273" i="153"/>
  <c r="M274" i="153"/>
  <c r="M275" i="153"/>
  <c r="M276" i="153"/>
  <c r="M277" i="153"/>
  <c r="M278" i="153"/>
  <c r="M279" i="153"/>
  <c r="M280" i="153"/>
  <c r="M281" i="153"/>
  <c r="M282" i="153"/>
  <c r="M283" i="153"/>
  <c r="M284" i="153"/>
  <c r="M285" i="153"/>
  <c r="M286" i="153"/>
  <c r="M287" i="153"/>
  <c r="M288" i="153"/>
  <c r="M289" i="153"/>
  <c r="M290" i="153"/>
  <c r="M291" i="153"/>
  <c r="M292" i="153"/>
  <c r="M293" i="153"/>
  <c r="M294" i="153"/>
  <c r="M295" i="153"/>
  <c r="M296" i="153"/>
  <c r="M297" i="153"/>
  <c r="M298" i="153"/>
  <c r="M299" i="153"/>
  <c r="M300" i="153"/>
  <c r="M301" i="153"/>
  <c r="M302" i="153"/>
  <c r="M303" i="153"/>
  <c r="M304" i="153"/>
  <c r="M305" i="153"/>
  <c r="M306" i="153"/>
  <c r="M307" i="153"/>
  <c r="M308" i="153"/>
  <c r="M309" i="153"/>
  <c r="M310" i="153"/>
  <c r="M311" i="153"/>
  <c r="M312" i="153"/>
  <c r="M313" i="153"/>
  <c r="M314" i="153"/>
  <c r="M315" i="153"/>
  <c r="M316" i="153"/>
  <c r="M317" i="153"/>
  <c r="M318" i="153"/>
  <c r="M319" i="153"/>
  <c r="M320" i="153"/>
  <c r="M321" i="153"/>
  <c r="M322" i="153"/>
  <c r="M323" i="153"/>
  <c r="M324" i="153"/>
  <c r="M325" i="153"/>
  <c r="M326" i="153"/>
  <c r="M327" i="153"/>
  <c r="M328" i="153"/>
  <c r="M329" i="153"/>
  <c r="M330" i="153"/>
  <c r="M331" i="153"/>
  <c r="M332" i="153"/>
  <c r="M333" i="153"/>
  <c r="M334" i="153"/>
  <c r="M335" i="153"/>
  <c r="M336" i="153"/>
  <c r="M337" i="153"/>
  <c r="M338" i="153"/>
  <c r="M339" i="153"/>
  <c r="M340" i="153"/>
  <c r="M341" i="153"/>
  <c r="M342" i="153"/>
  <c r="M343" i="153"/>
  <c r="M344" i="153"/>
  <c r="M345" i="153"/>
  <c r="M346" i="153"/>
  <c r="M347" i="153"/>
  <c r="M348" i="153"/>
  <c r="M349" i="153"/>
  <c r="M350" i="153"/>
  <c r="M351" i="153"/>
  <c r="M352" i="153"/>
  <c r="M353" i="153"/>
  <c r="M354" i="153"/>
  <c r="M355" i="153"/>
  <c r="M356" i="153"/>
  <c r="M357" i="153"/>
  <c r="M358" i="153"/>
  <c r="M359" i="153"/>
  <c r="M360" i="153"/>
  <c r="M361" i="153"/>
  <c r="M362" i="153"/>
  <c r="M363" i="153"/>
  <c r="M364" i="153"/>
  <c r="M365" i="153"/>
  <c r="M366" i="153"/>
  <c r="M367" i="153"/>
  <c r="M368" i="153"/>
  <c r="M369" i="153"/>
  <c r="M370" i="153"/>
  <c r="M371" i="153"/>
  <c r="M372" i="153"/>
  <c r="M373" i="153"/>
  <c r="M374" i="153"/>
  <c r="M375" i="153"/>
  <c r="M376" i="153"/>
  <c r="M377" i="153"/>
  <c r="M378" i="153"/>
  <c r="M379" i="153"/>
  <c r="M380" i="153"/>
  <c r="M381" i="153"/>
  <c r="M382" i="153"/>
  <c r="M383" i="153"/>
  <c r="M384" i="153"/>
  <c r="M385" i="153"/>
  <c r="M386" i="153"/>
  <c r="M387" i="153"/>
  <c r="M388" i="153"/>
  <c r="M389" i="153"/>
  <c r="M390" i="153"/>
  <c r="M391" i="153"/>
  <c r="M392" i="153"/>
  <c r="M393" i="153"/>
  <c r="M394" i="153"/>
  <c r="M395" i="153"/>
  <c r="M396" i="153"/>
  <c r="M397" i="153"/>
  <c r="M398" i="153"/>
  <c r="M399" i="153"/>
  <c r="M400" i="153"/>
  <c r="M401" i="153"/>
  <c r="M402" i="153"/>
  <c r="M403" i="153"/>
  <c r="M404" i="153"/>
  <c r="M405" i="153"/>
  <c r="M406" i="153"/>
  <c r="M407" i="153"/>
  <c r="M408" i="153"/>
  <c r="M409" i="153"/>
  <c r="M410" i="153"/>
  <c r="M411" i="153"/>
  <c r="M412" i="153"/>
  <c r="M413" i="153"/>
  <c r="M414" i="153"/>
  <c r="M415" i="153"/>
  <c r="M416" i="153"/>
  <c r="M417" i="153"/>
  <c r="M418" i="153"/>
  <c r="M419" i="153"/>
  <c r="M420" i="153"/>
  <c r="M421" i="153"/>
  <c r="M422" i="153"/>
  <c r="M3" i="153"/>
  <c r="K3" i="153"/>
  <c r="K4" i="153"/>
  <c r="K5" i="153"/>
  <c r="K6" i="153"/>
  <c r="K7" i="153"/>
  <c r="K8" i="153"/>
  <c r="K9" i="153"/>
  <c r="K10" i="153"/>
  <c r="K11" i="153"/>
  <c r="K12" i="153"/>
  <c r="K13" i="153"/>
  <c r="K14" i="153"/>
  <c r="K15" i="153"/>
  <c r="K16" i="153"/>
  <c r="K17" i="153"/>
  <c r="K18" i="153"/>
  <c r="K19" i="153"/>
  <c r="K20" i="153"/>
  <c r="K21" i="153"/>
  <c r="K22" i="153"/>
  <c r="K23" i="153"/>
  <c r="K24" i="153"/>
  <c r="K25" i="153"/>
  <c r="K26" i="153"/>
  <c r="K27" i="153"/>
  <c r="K28" i="153"/>
  <c r="K29" i="153"/>
  <c r="K30" i="153"/>
  <c r="K31" i="153"/>
  <c r="K32" i="153"/>
  <c r="K33" i="153"/>
  <c r="K34" i="153"/>
  <c r="K35" i="153"/>
  <c r="K36" i="153"/>
  <c r="K37" i="153"/>
  <c r="K38" i="153"/>
  <c r="K39" i="153"/>
  <c r="K40" i="153"/>
  <c r="K41" i="153"/>
  <c r="K42" i="153"/>
  <c r="K43" i="153"/>
  <c r="K44" i="153"/>
  <c r="K45" i="153"/>
  <c r="K46" i="153"/>
  <c r="K47" i="153"/>
  <c r="K48" i="153"/>
  <c r="K49" i="153"/>
  <c r="K50" i="153"/>
  <c r="K51" i="153"/>
  <c r="K52" i="153"/>
  <c r="K53" i="153"/>
  <c r="K54" i="153"/>
  <c r="K55" i="153"/>
  <c r="K56" i="153"/>
  <c r="K57" i="153"/>
  <c r="K58" i="153"/>
  <c r="K59" i="153"/>
  <c r="K60" i="153"/>
  <c r="K61" i="153"/>
  <c r="K62" i="153"/>
  <c r="K63" i="153"/>
  <c r="K64" i="153"/>
  <c r="K65" i="153"/>
  <c r="K66" i="153"/>
  <c r="K67" i="153"/>
  <c r="K68" i="153"/>
  <c r="K69" i="153"/>
  <c r="K70" i="153"/>
  <c r="K71" i="153"/>
  <c r="K72" i="153"/>
  <c r="K73" i="153"/>
  <c r="K74" i="153"/>
  <c r="K75" i="153"/>
  <c r="K76" i="153"/>
  <c r="K77" i="153"/>
  <c r="K78" i="153"/>
  <c r="K79" i="153"/>
  <c r="K80" i="153"/>
  <c r="K81" i="153"/>
  <c r="K82" i="153"/>
  <c r="K83" i="153"/>
  <c r="K84" i="153"/>
  <c r="K85" i="153"/>
  <c r="K86" i="153"/>
  <c r="K87" i="153"/>
  <c r="K88" i="153"/>
  <c r="K89" i="153"/>
  <c r="K90" i="153"/>
  <c r="K91" i="153"/>
  <c r="K92" i="153"/>
  <c r="K93" i="153"/>
  <c r="K94" i="153"/>
  <c r="K95" i="153"/>
  <c r="K96" i="153"/>
  <c r="K97" i="153"/>
  <c r="K98" i="153"/>
  <c r="K99" i="153"/>
  <c r="K100" i="153"/>
  <c r="K101" i="153"/>
  <c r="K102" i="153"/>
  <c r="K103" i="153"/>
  <c r="K104" i="153"/>
  <c r="K105" i="153"/>
  <c r="K106" i="153"/>
  <c r="K107" i="153"/>
  <c r="K108" i="153"/>
  <c r="K109" i="153"/>
  <c r="K110" i="153"/>
  <c r="K111" i="153"/>
  <c r="K112" i="153"/>
  <c r="K113" i="153"/>
  <c r="K114" i="153"/>
  <c r="K115" i="153"/>
  <c r="K116" i="153"/>
  <c r="K117" i="153"/>
  <c r="K118" i="153"/>
  <c r="K119" i="153"/>
  <c r="K120" i="153"/>
  <c r="K121" i="153"/>
  <c r="K122" i="153"/>
  <c r="K123" i="153"/>
  <c r="K124" i="153"/>
  <c r="K125" i="153"/>
  <c r="K126" i="153"/>
  <c r="K127" i="153"/>
  <c r="K128" i="153"/>
  <c r="K129" i="153"/>
  <c r="K130" i="153"/>
  <c r="K131" i="153"/>
  <c r="K132" i="153"/>
  <c r="K133" i="153"/>
  <c r="K134" i="153"/>
  <c r="K135" i="153"/>
  <c r="K136" i="153"/>
  <c r="K137" i="153"/>
  <c r="K138" i="153"/>
  <c r="K139" i="153"/>
  <c r="K140" i="153"/>
  <c r="K141" i="153"/>
  <c r="K142" i="153"/>
  <c r="K143" i="153"/>
  <c r="K144" i="153"/>
  <c r="K145" i="153"/>
  <c r="K146" i="153"/>
  <c r="K147" i="153"/>
  <c r="K148" i="153"/>
  <c r="K149" i="153"/>
  <c r="K150" i="153"/>
  <c r="K151" i="153"/>
  <c r="K152" i="153"/>
  <c r="K153" i="153"/>
  <c r="K154" i="153"/>
  <c r="K155" i="153"/>
  <c r="K156" i="153"/>
  <c r="K157" i="153"/>
  <c r="K158" i="153"/>
  <c r="K159" i="153"/>
  <c r="K160" i="153"/>
  <c r="K161" i="153"/>
  <c r="K162" i="153"/>
  <c r="K163" i="153"/>
  <c r="K164" i="153"/>
  <c r="K165" i="153"/>
  <c r="K166" i="153"/>
  <c r="K167" i="153"/>
  <c r="K168" i="153"/>
  <c r="K169" i="153"/>
  <c r="K170" i="153"/>
  <c r="K171" i="153"/>
  <c r="K172" i="153"/>
  <c r="K173" i="153"/>
  <c r="K174" i="153"/>
  <c r="K175" i="153"/>
  <c r="K176" i="153"/>
  <c r="K177" i="153"/>
  <c r="K178" i="153"/>
  <c r="K179" i="153"/>
  <c r="K180" i="153"/>
  <c r="K181" i="153"/>
  <c r="K182" i="153"/>
  <c r="K183" i="153"/>
  <c r="K184" i="153"/>
  <c r="K185" i="153"/>
  <c r="K186" i="153"/>
  <c r="K187" i="153"/>
  <c r="K188" i="153"/>
  <c r="K189" i="153"/>
  <c r="K190" i="153"/>
  <c r="K191" i="153"/>
  <c r="K192" i="153"/>
  <c r="K193" i="153"/>
  <c r="K194" i="153"/>
  <c r="K195" i="153"/>
  <c r="K196" i="153"/>
  <c r="K197" i="153"/>
  <c r="K198" i="153"/>
  <c r="K199" i="153"/>
  <c r="K200" i="153"/>
  <c r="K201" i="153"/>
  <c r="K202" i="153"/>
  <c r="K203" i="153"/>
  <c r="K204" i="153"/>
  <c r="K205" i="153"/>
  <c r="K206" i="153"/>
  <c r="K207" i="153"/>
  <c r="K208" i="153"/>
  <c r="K209" i="153"/>
  <c r="K210" i="153"/>
  <c r="K211" i="153"/>
  <c r="K212" i="153"/>
  <c r="K213" i="153"/>
  <c r="K214" i="153"/>
  <c r="K215" i="153"/>
  <c r="K216" i="153"/>
  <c r="K217" i="153"/>
  <c r="K218" i="153"/>
  <c r="K219" i="153"/>
  <c r="K220" i="153"/>
  <c r="K221" i="153"/>
  <c r="K222" i="153"/>
  <c r="K223" i="153"/>
  <c r="K224" i="153"/>
  <c r="K225" i="153"/>
  <c r="K226" i="153"/>
  <c r="K227" i="153"/>
  <c r="K228" i="153"/>
  <c r="K229" i="153"/>
  <c r="K230" i="153"/>
  <c r="K231" i="153"/>
  <c r="K232" i="153"/>
  <c r="K233" i="153"/>
  <c r="K234" i="153"/>
  <c r="K235" i="153"/>
  <c r="K236" i="153"/>
  <c r="K237" i="153"/>
  <c r="K238" i="153"/>
  <c r="K239" i="153"/>
  <c r="K240" i="153"/>
  <c r="K241" i="153"/>
  <c r="K242" i="153"/>
  <c r="K243" i="153"/>
  <c r="K244" i="153"/>
  <c r="K245" i="153"/>
  <c r="K246" i="153"/>
  <c r="K247" i="153"/>
  <c r="K248" i="153"/>
  <c r="K249" i="153"/>
  <c r="K250" i="153"/>
  <c r="K251" i="153"/>
  <c r="K252" i="153"/>
  <c r="K253" i="153"/>
  <c r="K254" i="153"/>
  <c r="K255" i="153"/>
  <c r="K256" i="153"/>
  <c r="K257" i="153"/>
  <c r="K258" i="153"/>
  <c r="K259" i="153"/>
  <c r="K260" i="153"/>
  <c r="K261" i="153"/>
  <c r="K262" i="153"/>
  <c r="K263" i="153"/>
  <c r="K264" i="153"/>
  <c r="K265" i="153"/>
  <c r="K266" i="153"/>
  <c r="K267" i="153"/>
  <c r="K268" i="153"/>
  <c r="K269" i="153"/>
  <c r="K270" i="153"/>
  <c r="K271" i="153"/>
  <c r="K272" i="153"/>
  <c r="K273" i="153"/>
  <c r="K274" i="153"/>
  <c r="K275" i="153"/>
  <c r="K276" i="153"/>
  <c r="K277" i="153"/>
  <c r="K278" i="153"/>
  <c r="K279" i="153"/>
  <c r="K280" i="153"/>
  <c r="K281" i="153"/>
  <c r="K282" i="153"/>
  <c r="K283" i="153"/>
  <c r="K284" i="153"/>
  <c r="K285" i="153"/>
  <c r="K286" i="153"/>
  <c r="K287" i="153"/>
  <c r="K288" i="153"/>
  <c r="K289" i="153"/>
  <c r="K290" i="153"/>
  <c r="K291" i="153"/>
  <c r="K292" i="153"/>
  <c r="K293" i="153"/>
  <c r="K294" i="153"/>
  <c r="K295" i="153"/>
  <c r="K296" i="153"/>
  <c r="K297" i="153"/>
  <c r="K298" i="153"/>
  <c r="K299" i="153"/>
  <c r="K300" i="153"/>
  <c r="K301" i="153"/>
  <c r="K302" i="153"/>
  <c r="K303" i="153"/>
  <c r="K304" i="153"/>
  <c r="K305" i="153"/>
  <c r="K306" i="153"/>
  <c r="K307" i="153"/>
  <c r="K308" i="153"/>
  <c r="K309" i="153"/>
  <c r="K310" i="153"/>
  <c r="K311" i="153"/>
  <c r="K312" i="153"/>
  <c r="K313" i="153"/>
  <c r="K314" i="153"/>
  <c r="K315" i="153"/>
  <c r="K316" i="153"/>
  <c r="K317" i="153"/>
  <c r="K318" i="153"/>
  <c r="K319" i="153"/>
  <c r="K320" i="153"/>
  <c r="K321" i="153"/>
  <c r="K322" i="153"/>
  <c r="K323" i="153"/>
  <c r="K324" i="153"/>
  <c r="K325" i="153"/>
  <c r="K326" i="153"/>
  <c r="K327" i="153"/>
  <c r="K328" i="153"/>
  <c r="K329" i="153"/>
  <c r="K330" i="153"/>
  <c r="K331" i="153"/>
  <c r="K332" i="153"/>
  <c r="K333" i="153"/>
  <c r="K334" i="153"/>
  <c r="K335" i="153"/>
  <c r="K336" i="153"/>
  <c r="K337" i="153"/>
  <c r="K338" i="153"/>
  <c r="K339" i="153"/>
  <c r="K340" i="153"/>
  <c r="K341" i="153"/>
  <c r="K342" i="153"/>
  <c r="K343" i="153"/>
  <c r="K344" i="153"/>
  <c r="K345" i="153"/>
  <c r="K346" i="153"/>
  <c r="K347" i="153"/>
  <c r="K348" i="153"/>
  <c r="K349" i="153"/>
  <c r="K350" i="153"/>
  <c r="K351" i="153"/>
  <c r="K352" i="153"/>
  <c r="K353" i="153"/>
  <c r="K354" i="153"/>
  <c r="K355" i="153"/>
  <c r="K356" i="153"/>
  <c r="K357" i="153"/>
  <c r="K358" i="153"/>
  <c r="K359" i="153"/>
  <c r="K360" i="153"/>
  <c r="K361" i="153"/>
  <c r="K362" i="153"/>
  <c r="K363" i="153"/>
  <c r="K364" i="153"/>
  <c r="K365" i="153"/>
  <c r="K366" i="153"/>
  <c r="K367" i="153"/>
  <c r="K368" i="153"/>
  <c r="K369" i="153"/>
  <c r="K370" i="153"/>
  <c r="K371" i="153"/>
  <c r="K372" i="153"/>
  <c r="K373" i="153"/>
  <c r="K374" i="153"/>
  <c r="K375" i="153"/>
  <c r="K376" i="153"/>
  <c r="K377" i="153"/>
  <c r="K378" i="153"/>
  <c r="K379" i="153"/>
  <c r="K380" i="153"/>
  <c r="K381" i="153"/>
  <c r="K382" i="153"/>
  <c r="K383" i="153"/>
  <c r="K384" i="153"/>
  <c r="K385" i="153"/>
  <c r="K386" i="153"/>
  <c r="K387" i="153"/>
  <c r="K388" i="153"/>
  <c r="K389" i="153"/>
  <c r="K390" i="153"/>
  <c r="K391" i="153"/>
  <c r="K392" i="153"/>
  <c r="K393" i="153"/>
  <c r="K394" i="153"/>
  <c r="K395" i="153"/>
  <c r="K396" i="153"/>
  <c r="K397" i="153"/>
  <c r="K398" i="153"/>
  <c r="K399" i="153"/>
  <c r="K400" i="153"/>
  <c r="K401" i="153"/>
  <c r="K402" i="153"/>
  <c r="K403" i="153"/>
  <c r="K404" i="153"/>
  <c r="K405" i="153"/>
  <c r="K406" i="153"/>
  <c r="K407" i="153"/>
  <c r="K408" i="153"/>
  <c r="K409" i="153"/>
  <c r="K410" i="153"/>
  <c r="K411" i="153"/>
  <c r="K412" i="153"/>
  <c r="K413" i="153"/>
  <c r="K414" i="153"/>
  <c r="K415" i="153"/>
  <c r="K416" i="153"/>
  <c r="K417" i="153"/>
  <c r="K418" i="153"/>
  <c r="K419" i="153"/>
  <c r="K420" i="153"/>
  <c r="K421" i="153"/>
  <c r="K422" i="153"/>
  <c r="K2" i="153"/>
  <c r="M4" i="152"/>
  <c r="M5" i="152"/>
  <c r="M6" i="152"/>
  <c r="M7" i="152"/>
  <c r="M8" i="152"/>
  <c r="M9" i="152"/>
  <c r="M10" i="152"/>
  <c r="M11" i="152"/>
  <c r="M12" i="152"/>
  <c r="M13" i="152"/>
  <c r="M14" i="152"/>
  <c r="M15" i="152"/>
  <c r="M16" i="152"/>
  <c r="M17" i="152"/>
  <c r="M18" i="152"/>
  <c r="M19" i="152"/>
  <c r="M20" i="152"/>
  <c r="M21" i="152"/>
  <c r="M22" i="152"/>
  <c r="M23" i="152"/>
  <c r="M24" i="152"/>
  <c r="M25" i="152"/>
  <c r="M26" i="152"/>
  <c r="M27" i="152"/>
  <c r="M28" i="152"/>
  <c r="M29" i="152"/>
  <c r="M30" i="152"/>
  <c r="M31" i="152"/>
  <c r="M32" i="152"/>
  <c r="M33" i="152"/>
  <c r="M34" i="152"/>
  <c r="M35" i="152"/>
  <c r="M36" i="152"/>
  <c r="M37" i="152"/>
  <c r="M38" i="152"/>
  <c r="M39" i="152"/>
  <c r="M40" i="152"/>
  <c r="M41" i="152"/>
  <c r="M42" i="152"/>
  <c r="M43" i="152"/>
  <c r="M44" i="152"/>
  <c r="M45" i="152"/>
  <c r="M46" i="152"/>
  <c r="M47" i="152"/>
  <c r="M48" i="152"/>
  <c r="M49" i="152"/>
  <c r="M50" i="152"/>
  <c r="M51" i="152"/>
  <c r="M52" i="152"/>
  <c r="M53" i="152"/>
  <c r="M54" i="152"/>
  <c r="M55" i="152"/>
  <c r="M56" i="152"/>
  <c r="M57" i="152"/>
  <c r="M58" i="152"/>
  <c r="M59" i="152"/>
  <c r="M60" i="152"/>
  <c r="M61" i="152"/>
  <c r="M62" i="152"/>
  <c r="M63" i="152"/>
  <c r="M64" i="152"/>
  <c r="M65" i="152"/>
  <c r="M66" i="152"/>
  <c r="M67" i="152"/>
  <c r="M68" i="152"/>
  <c r="M69" i="152"/>
  <c r="M70" i="152"/>
  <c r="M71" i="152"/>
  <c r="M72" i="152"/>
  <c r="M73" i="152"/>
  <c r="M74" i="152"/>
  <c r="M75" i="152"/>
  <c r="M76" i="152"/>
  <c r="M77" i="152"/>
  <c r="M78" i="152"/>
  <c r="M79" i="152"/>
  <c r="M80" i="152"/>
  <c r="M81" i="152"/>
  <c r="M82" i="152"/>
  <c r="M83" i="152"/>
  <c r="M84" i="152"/>
  <c r="M85" i="152"/>
  <c r="M86" i="152"/>
  <c r="M87" i="152"/>
  <c r="M88" i="152"/>
  <c r="M89" i="152"/>
  <c r="M90" i="152"/>
  <c r="M91" i="152"/>
  <c r="M92" i="152"/>
  <c r="M93" i="152"/>
  <c r="M94" i="152"/>
  <c r="M95" i="152"/>
  <c r="M96" i="152"/>
  <c r="M97" i="152"/>
  <c r="M98" i="152"/>
  <c r="M99" i="152"/>
  <c r="M100" i="152"/>
  <c r="M101" i="152"/>
  <c r="M102" i="152"/>
  <c r="M103" i="152"/>
  <c r="M104" i="152"/>
  <c r="M105" i="152"/>
  <c r="M106" i="152"/>
  <c r="M107" i="152"/>
  <c r="M108" i="152"/>
  <c r="M109" i="152"/>
  <c r="M110" i="152"/>
  <c r="M111" i="152"/>
  <c r="M112" i="152"/>
  <c r="M113" i="152"/>
  <c r="M114" i="152"/>
  <c r="M115" i="152"/>
  <c r="M116" i="152"/>
  <c r="M117" i="152"/>
  <c r="M118" i="152"/>
  <c r="M119" i="152"/>
  <c r="M120" i="152"/>
  <c r="M121" i="152"/>
  <c r="M122" i="152"/>
  <c r="M123" i="152"/>
  <c r="M124" i="152"/>
  <c r="M125" i="152"/>
  <c r="M126" i="152"/>
  <c r="M127" i="152"/>
  <c r="M128" i="152"/>
  <c r="M129" i="152"/>
  <c r="M130" i="152"/>
  <c r="M131" i="152"/>
  <c r="M132" i="152"/>
  <c r="M133" i="152"/>
  <c r="M134" i="152"/>
  <c r="M135" i="152"/>
  <c r="M136" i="152"/>
  <c r="M137" i="152"/>
  <c r="M138" i="152"/>
  <c r="M139" i="152"/>
  <c r="M140" i="152"/>
  <c r="M141" i="152"/>
  <c r="M142" i="152"/>
  <c r="M143" i="152"/>
  <c r="M144" i="152"/>
  <c r="M145" i="152"/>
  <c r="M146" i="152"/>
  <c r="M147" i="152"/>
  <c r="M148" i="152"/>
  <c r="M149" i="152"/>
  <c r="M150" i="152"/>
  <c r="M151" i="152"/>
  <c r="M152" i="152"/>
  <c r="M153" i="152"/>
  <c r="M154" i="152"/>
  <c r="M155" i="152"/>
  <c r="M156" i="152"/>
  <c r="M157" i="152"/>
  <c r="M158" i="152"/>
  <c r="M159" i="152"/>
  <c r="M160" i="152"/>
  <c r="M161" i="152"/>
  <c r="M162" i="152"/>
  <c r="M163" i="152"/>
  <c r="M164" i="152"/>
  <c r="M165" i="152"/>
  <c r="M166" i="152"/>
  <c r="M167" i="152"/>
  <c r="M168" i="152"/>
  <c r="M169" i="152"/>
  <c r="M170" i="152"/>
  <c r="M171" i="152"/>
  <c r="M172" i="152"/>
  <c r="M173" i="152"/>
  <c r="M174" i="152"/>
  <c r="M175" i="152"/>
  <c r="M176" i="152"/>
  <c r="M177" i="152"/>
  <c r="M178" i="152"/>
  <c r="M179" i="152"/>
  <c r="M180" i="152"/>
  <c r="M181" i="152"/>
  <c r="M182" i="152"/>
  <c r="M183" i="152"/>
  <c r="M184" i="152"/>
  <c r="M185" i="152"/>
  <c r="M186" i="152"/>
  <c r="M187" i="152"/>
  <c r="M188" i="152"/>
  <c r="M189" i="152"/>
  <c r="M190" i="152"/>
  <c r="M191" i="152"/>
  <c r="M192" i="152"/>
  <c r="M193" i="152"/>
  <c r="M194" i="152"/>
  <c r="M195" i="152"/>
  <c r="M196" i="152"/>
  <c r="M197" i="152"/>
  <c r="M198" i="152"/>
  <c r="M199" i="152"/>
  <c r="M200" i="152"/>
  <c r="M201" i="152"/>
  <c r="M202" i="152"/>
  <c r="M203" i="152"/>
  <c r="M204" i="152"/>
  <c r="M205" i="152"/>
  <c r="M206" i="152"/>
  <c r="M207" i="152"/>
  <c r="M208" i="152"/>
  <c r="M209" i="152"/>
  <c r="M210" i="152"/>
  <c r="M211" i="152"/>
  <c r="M212" i="152"/>
  <c r="M213" i="152"/>
  <c r="M214" i="152"/>
  <c r="M215" i="152"/>
  <c r="M216" i="152"/>
  <c r="M217" i="152"/>
  <c r="M218" i="152"/>
  <c r="M219" i="152"/>
  <c r="M220" i="152"/>
  <c r="M221" i="152"/>
  <c r="M222" i="152"/>
  <c r="M223" i="152"/>
  <c r="M224" i="152"/>
  <c r="M225" i="152"/>
  <c r="M226" i="152"/>
  <c r="M227" i="152"/>
  <c r="M228" i="152"/>
  <c r="M229" i="152"/>
  <c r="M230" i="152"/>
  <c r="M231" i="152"/>
  <c r="M232" i="152"/>
  <c r="M233" i="152"/>
  <c r="M234" i="152"/>
  <c r="M235" i="152"/>
  <c r="M236" i="152"/>
  <c r="M237" i="152"/>
  <c r="M238" i="152"/>
  <c r="M239" i="152"/>
  <c r="M240" i="152"/>
  <c r="M241" i="152"/>
  <c r="M242" i="152"/>
  <c r="M243" i="152"/>
  <c r="M244" i="152"/>
  <c r="M245" i="152"/>
  <c r="M246" i="152"/>
  <c r="M247" i="152"/>
  <c r="M248" i="152"/>
  <c r="M249" i="152"/>
  <c r="M250" i="152"/>
  <c r="M251" i="152"/>
  <c r="M252" i="152"/>
  <c r="M253" i="152"/>
  <c r="M254" i="152"/>
  <c r="M255" i="152"/>
  <c r="M256" i="152"/>
  <c r="M257" i="152"/>
  <c r="M258" i="152"/>
  <c r="M259" i="152"/>
  <c r="M260" i="152"/>
  <c r="M261" i="152"/>
  <c r="M262" i="152"/>
  <c r="M263" i="152"/>
  <c r="M264" i="152"/>
  <c r="M265" i="152"/>
  <c r="M266" i="152"/>
  <c r="M267" i="152"/>
  <c r="M268" i="152"/>
  <c r="M269" i="152"/>
  <c r="M270" i="152"/>
  <c r="M271" i="152"/>
  <c r="M272" i="152"/>
  <c r="M273" i="152"/>
  <c r="M274" i="152"/>
  <c r="M275" i="152"/>
  <c r="M276" i="152"/>
  <c r="M277" i="152"/>
  <c r="M278" i="152"/>
  <c r="M279" i="152"/>
  <c r="M280" i="152"/>
  <c r="M281" i="152"/>
  <c r="M282" i="152"/>
  <c r="M283" i="152"/>
  <c r="M284" i="152"/>
  <c r="M285" i="152"/>
  <c r="M286" i="152"/>
  <c r="M287" i="152"/>
  <c r="M288" i="152"/>
  <c r="M289" i="152"/>
  <c r="M290" i="152"/>
  <c r="M291" i="152"/>
  <c r="M292" i="152"/>
  <c r="M293" i="152"/>
  <c r="M294" i="152"/>
  <c r="M295" i="152"/>
  <c r="M296" i="152"/>
  <c r="M297" i="152"/>
  <c r="M298" i="152"/>
  <c r="M299" i="152"/>
  <c r="M300" i="152"/>
  <c r="M301" i="152"/>
  <c r="M302" i="152"/>
  <c r="M303" i="152"/>
  <c r="M304" i="152"/>
  <c r="M305" i="152"/>
  <c r="M306" i="152"/>
  <c r="M307" i="152"/>
  <c r="M308" i="152"/>
  <c r="M309" i="152"/>
  <c r="M310" i="152"/>
  <c r="M311" i="152"/>
  <c r="M312" i="152"/>
  <c r="M313" i="152"/>
  <c r="M314" i="152"/>
  <c r="M315" i="152"/>
  <c r="M316" i="152"/>
  <c r="M317" i="152"/>
  <c r="M318" i="152"/>
  <c r="M319" i="152"/>
  <c r="M320" i="152"/>
  <c r="M321" i="152"/>
  <c r="M322" i="152"/>
  <c r="M323" i="152"/>
  <c r="M324" i="152"/>
  <c r="M325" i="152"/>
  <c r="M326" i="152"/>
  <c r="M327" i="152"/>
  <c r="M328" i="152"/>
  <c r="M329" i="152"/>
  <c r="M330" i="152"/>
  <c r="M331" i="152"/>
  <c r="M332" i="152"/>
  <c r="M333" i="152"/>
  <c r="M334" i="152"/>
  <c r="M335" i="152"/>
  <c r="M336" i="152"/>
  <c r="M337" i="152"/>
  <c r="M338" i="152"/>
  <c r="M339" i="152"/>
  <c r="M340" i="152"/>
  <c r="M341" i="152"/>
  <c r="M342" i="152"/>
  <c r="M343" i="152"/>
  <c r="M344" i="152"/>
  <c r="M345" i="152"/>
  <c r="M346" i="152"/>
  <c r="M347" i="152"/>
  <c r="M348" i="152"/>
  <c r="M349" i="152"/>
  <c r="M350" i="152"/>
  <c r="M351" i="152"/>
  <c r="M352" i="152"/>
  <c r="M353" i="152"/>
  <c r="M354" i="152"/>
  <c r="M355" i="152"/>
  <c r="M356" i="152"/>
  <c r="M357" i="152"/>
  <c r="M358" i="152"/>
  <c r="M359" i="152"/>
  <c r="M360" i="152"/>
  <c r="M361" i="152"/>
  <c r="M362" i="152"/>
  <c r="M363" i="152"/>
  <c r="M364" i="152"/>
  <c r="M365" i="152"/>
  <c r="M366" i="152"/>
  <c r="M367" i="152"/>
  <c r="M368" i="152"/>
  <c r="M369" i="152"/>
  <c r="M370" i="152"/>
  <c r="M371" i="152"/>
  <c r="M372" i="152"/>
  <c r="M373" i="152"/>
  <c r="M374" i="152"/>
  <c r="M375" i="152"/>
  <c r="M376" i="152"/>
  <c r="M377" i="152"/>
  <c r="M378" i="152"/>
  <c r="M379" i="152"/>
  <c r="M380" i="152"/>
  <c r="M381" i="152"/>
  <c r="M382" i="152"/>
  <c r="M383" i="152"/>
  <c r="M384" i="152"/>
  <c r="M385" i="152"/>
  <c r="M386" i="152"/>
  <c r="M387" i="152"/>
  <c r="M388" i="152"/>
  <c r="M389" i="152"/>
  <c r="M390" i="152"/>
  <c r="M391" i="152"/>
  <c r="M392" i="152"/>
  <c r="M393" i="152"/>
  <c r="M394" i="152"/>
  <c r="M395" i="152"/>
  <c r="M396" i="152"/>
  <c r="M397" i="152"/>
  <c r="M398" i="152"/>
  <c r="M399" i="152"/>
  <c r="M400" i="152"/>
  <c r="M401" i="152"/>
  <c r="M402" i="152"/>
  <c r="M403" i="152"/>
  <c r="M404" i="152"/>
  <c r="M405" i="152"/>
  <c r="M406" i="152"/>
  <c r="M407" i="152"/>
  <c r="M408" i="152"/>
  <c r="M409" i="152"/>
  <c r="M410" i="152"/>
  <c r="M411" i="152"/>
  <c r="M412" i="152"/>
  <c r="M413" i="152"/>
  <c r="M414" i="152"/>
  <c r="M415" i="152"/>
  <c r="M416" i="152"/>
  <c r="M417" i="152"/>
  <c r="M418" i="152"/>
  <c r="M419" i="152"/>
  <c r="M420" i="152"/>
  <c r="M421" i="152"/>
  <c r="M422" i="152"/>
  <c r="M3" i="152"/>
  <c r="K3" i="152"/>
  <c r="K4" i="152"/>
  <c r="K5" i="152"/>
  <c r="K6" i="152"/>
  <c r="K7" i="152"/>
  <c r="K8" i="152"/>
  <c r="K9" i="152"/>
  <c r="K10" i="152"/>
  <c r="K11" i="152"/>
  <c r="K12" i="152"/>
  <c r="K13" i="152"/>
  <c r="K14" i="152"/>
  <c r="K15" i="152"/>
  <c r="K16" i="152"/>
  <c r="K17" i="152"/>
  <c r="K18" i="152"/>
  <c r="K19" i="152"/>
  <c r="K20" i="152"/>
  <c r="K21" i="152"/>
  <c r="K22" i="152"/>
  <c r="K23" i="152"/>
  <c r="K24" i="152"/>
  <c r="K25" i="152"/>
  <c r="K26" i="152"/>
  <c r="K27" i="152"/>
  <c r="K28" i="152"/>
  <c r="K29" i="152"/>
  <c r="K30" i="152"/>
  <c r="K31" i="152"/>
  <c r="K32" i="152"/>
  <c r="K33" i="152"/>
  <c r="K34" i="152"/>
  <c r="K35" i="152"/>
  <c r="K36" i="152"/>
  <c r="K37" i="152"/>
  <c r="K38" i="152"/>
  <c r="K39" i="152"/>
  <c r="K40" i="152"/>
  <c r="K41" i="152"/>
  <c r="K42" i="152"/>
  <c r="K43" i="152"/>
  <c r="K44" i="152"/>
  <c r="K45" i="152"/>
  <c r="K46" i="152"/>
  <c r="K47" i="152"/>
  <c r="K48" i="152"/>
  <c r="K49" i="152"/>
  <c r="K50" i="152"/>
  <c r="K51" i="152"/>
  <c r="K52" i="152"/>
  <c r="K53" i="152"/>
  <c r="K54" i="152"/>
  <c r="K55" i="152"/>
  <c r="K56" i="152"/>
  <c r="K57" i="152"/>
  <c r="K58" i="152"/>
  <c r="K59" i="152"/>
  <c r="K60" i="152"/>
  <c r="K61" i="152"/>
  <c r="K62" i="152"/>
  <c r="K63" i="152"/>
  <c r="K64" i="152"/>
  <c r="K65" i="152"/>
  <c r="K66" i="152"/>
  <c r="K67" i="152"/>
  <c r="K68" i="152"/>
  <c r="K69" i="152"/>
  <c r="K70" i="152"/>
  <c r="K71" i="152"/>
  <c r="K72" i="152"/>
  <c r="K73" i="152"/>
  <c r="K74" i="152"/>
  <c r="K75" i="152"/>
  <c r="K76" i="152"/>
  <c r="K77" i="152"/>
  <c r="K78" i="152"/>
  <c r="K79" i="152"/>
  <c r="K80" i="152"/>
  <c r="K81" i="152"/>
  <c r="K82" i="152"/>
  <c r="K83" i="152"/>
  <c r="K84" i="152"/>
  <c r="K85" i="152"/>
  <c r="K86" i="152"/>
  <c r="K87" i="152"/>
  <c r="K88" i="152"/>
  <c r="K89" i="152"/>
  <c r="K90" i="152"/>
  <c r="K91" i="152"/>
  <c r="K92" i="152"/>
  <c r="K93" i="152"/>
  <c r="K94" i="152"/>
  <c r="K95" i="152"/>
  <c r="K96" i="152"/>
  <c r="K97" i="152"/>
  <c r="K98" i="152"/>
  <c r="K99" i="152"/>
  <c r="K100" i="152"/>
  <c r="K101" i="152"/>
  <c r="K102" i="152"/>
  <c r="K103" i="152"/>
  <c r="K104" i="152"/>
  <c r="K105" i="152"/>
  <c r="K106" i="152"/>
  <c r="K107" i="152"/>
  <c r="K108" i="152"/>
  <c r="K109" i="152"/>
  <c r="K110" i="152"/>
  <c r="K111" i="152"/>
  <c r="K112" i="152"/>
  <c r="K113" i="152"/>
  <c r="K114" i="152"/>
  <c r="K115" i="152"/>
  <c r="K116" i="152"/>
  <c r="K117" i="152"/>
  <c r="K118" i="152"/>
  <c r="K119" i="152"/>
  <c r="K120" i="152"/>
  <c r="K121" i="152"/>
  <c r="K122" i="152"/>
  <c r="K123" i="152"/>
  <c r="K124" i="152"/>
  <c r="K125" i="152"/>
  <c r="K126" i="152"/>
  <c r="K127" i="152"/>
  <c r="K128" i="152"/>
  <c r="K129" i="152"/>
  <c r="K130" i="152"/>
  <c r="K131" i="152"/>
  <c r="K132" i="152"/>
  <c r="K133" i="152"/>
  <c r="K134" i="152"/>
  <c r="K135" i="152"/>
  <c r="K136" i="152"/>
  <c r="K137" i="152"/>
  <c r="K138" i="152"/>
  <c r="K139" i="152"/>
  <c r="K140" i="152"/>
  <c r="K141" i="152"/>
  <c r="K142" i="152"/>
  <c r="K143" i="152"/>
  <c r="K144" i="152"/>
  <c r="K145" i="152"/>
  <c r="K146" i="152"/>
  <c r="K147" i="152"/>
  <c r="K148" i="152"/>
  <c r="K149" i="152"/>
  <c r="K150" i="152"/>
  <c r="K151" i="152"/>
  <c r="K152" i="152"/>
  <c r="K153" i="152"/>
  <c r="K154" i="152"/>
  <c r="K155" i="152"/>
  <c r="K156" i="152"/>
  <c r="K157" i="152"/>
  <c r="K158" i="152"/>
  <c r="K159" i="152"/>
  <c r="K160" i="152"/>
  <c r="K161" i="152"/>
  <c r="K162" i="152"/>
  <c r="K163" i="152"/>
  <c r="K164" i="152"/>
  <c r="K165" i="152"/>
  <c r="K166" i="152"/>
  <c r="K167" i="152"/>
  <c r="K168" i="152"/>
  <c r="K169" i="152"/>
  <c r="K170" i="152"/>
  <c r="K171" i="152"/>
  <c r="K172" i="152"/>
  <c r="K173" i="152"/>
  <c r="K174" i="152"/>
  <c r="K175" i="152"/>
  <c r="K176" i="152"/>
  <c r="K177" i="152"/>
  <c r="K178" i="152"/>
  <c r="K179" i="152"/>
  <c r="K180" i="152"/>
  <c r="K181" i="152"/>
  <c r="K182" i="152"/>
  <c r="K183" i="152"/>
  <c r="K184" i="152"/>
  <c r="K185" i="152"/>
  <c r="K186" i="152"/>
  <c r="K187" i="152"/>
  <c r="K188" i="152"/>
  <c r="K189" i="152"/>
  <c r="K190" i="152"/>
  <c r="K191" i="152"/>
  <c r="K192" i="152"/>
  <c r="K193" i="152"/>
  <c r="K194" i="152"/>
  <c r="K195" i="152"/>
  <c r="K196" i="152"/>
  <c r="K197" i="152"/>
  <c r="K198" i="152"/>
  <c r="K199" i="152"/>
  <c r="K200" i="152"/>
  <c r="K201" i="152"/>
  <c r="K202" i="152"/>
  <c r="K203" i="152"/>
  <c r="K204" i="152"/>
  <c r="K205" i="152"/>
  <c r="K206" i="152"/>
  <c r="K207" i="152"/>
  <c r="K208" i="152"/>
  <c r="K209" i="152"/>
  <c r="K210" i="152"/>
  <c r="K211" i="152"/>
  <c r="K212" i="152"/>
  <c r="K213" i="152"/>
  <c r="K214" i="152"/>
  <c r="K215" i="152"/>
  <c r="K216" i="152"/>
  <c r="K217" i="152"/>
  <c r="K218" i="152"/>
  <c r="K219" i="152"/>
  <c r="K220" i="152"/>
  <c r="K221" i="152"/>
  <c r="K222" i="152"/>
  <c r="K223" i="152"/>
  <c r="K224" i="152"/>
  <c r="K225" i="152"/>
  <c r="K226" i="152"/>
  <c r="K227" i="152"/>
  <c r="K228" i="152"/>
  <c r="K229" i="152"/>
  <c r="K230" i="152"/>
  <c r="K231" i="152"/>
  <c r="K232" i="152"/>
  <c r="K233" i="152"/>
  <c r="K234" i="152"/>
  <c r="K235" i="152"/>
  <c r="K236" i="152"/>
  <c r="K237" i="152"/>
  <c r="K238" i="152"/>
  <c r="K239" i="152"/>
  <c r="K240" i="152"/>
  <c r="K241" i="152"/>
  <c r="K242" i="152"/>
  <c r="K243" i="152"/>
  <c r="K244" i="152"/>
  <c r="K245" i="152"/>
  <c r="K246" i="152"/>
  <c r="K247" i="152"/>
  <c r="K248" i="152"/>
  <c r="K249" i="152"/>
  <c r="K250" i="152"/>
  <c r="K251" i="152"/>
  <c r="K252" i="152"/>
  <c r="K253" i="152"/>
  <c r="K254" i="152"/>
  <c r="K255" i="152"/>
  <c r="K256" i="152"/>
  <c r="K257" i="152"/>
  <c r="K258" i="152"/>
  <c r="K259" i="152"/>
  <c r="K260" i="152"/>
  <c r="K261" i="152"/>
  <c r="K262" i="152"/>
  <c r="K263" i="152"/>
  <c r="K264" i="152"/>
  <c r="K265" i="152"/>
  <c r="K266" i="152"/>
  <c r="K267" i="152"/>
  <c r="K268" i="152"/>
  <c r="K269" i="152"/>
  <c r="K270" i="152"/>
  <c r="K271" i="152"/>
  <c r="K272" i="152"/>
  <c r="K273" i="152"/>
  <c r="K274" i="152"/>
  <c r="K275" i="152"/>
  <c r="K276" i="152"/>
  <c r="K277" i="152"/>
  <c r="K278" i="152"/>
  <c r="K279" i="152"/>
  <c r="K280" i="152"/>
  <c r="K281" i="152"/>
  <c r="K282" i="152"/>
  <c r="K283" i="152"/>
  <c r="K284" i="152"/>
  <c r="K285" i="152"/>
  <c r="K286" i="152"/>
  <c r="K287" i="152"/>
  <c r="K288" i="152"/>
  <c r="K289" i="152"/>
  <c r="K290" i="152"/>
  <c r="K291" i="152"/>
  <c r="K292" i="152"/>
  <c r="K293" i="152"/>
  <c r="K294" i="152"/>
  <c r="K295" i="152"/>
  <c r="K296" i="152"/>
  <c r="K297" i="152"/>
  <c r="K298" i="152"/>
  <c r="K299" i="152"/>
  <c r="K300" i="152"/>
  <c r="K301" i="152"/>
  <c r="K302" i="152"/>
  <c r="K303" i="152"/>
  <c r="K304" i="152"/>
  <c r="K305" i="152"/>
  <c r="K306" i="152"/>
  <c r="K307" i="152"/>
  <c r="K308" i="152"/>
  <c r="K309" i="152"/>
  <c r="K310" i="152"/>
  <c r="K311" i="152"/>
  <c r="K312" i="152"/>
  <c r="K313" i="152"/>
  <c r="K314" i="152"/>
  <c r="K315" i="152"/>
  <c r="K316" i="152"/>
  <c r="K317" i="152"/>
  <c r="K318" i="152"/>
  <c r="K319" i="152"/>
  <c r="K320" i="152"/>
  <c r="K321" i="152"/>
  <c r="K322" i="152"/>
  <c r="K323" i="152"/>
  <c r="K324" i="152"/>
  <c r="K325" i="152"/>
  <c r="K326" i="152"/>
  <c r="K327" i="152"/>
  <c r="K328" i="152"/>
  <c r="K329" i="152"/>
  <c r="K330" i="152"/>
  <c r="K331" i="152"/>
  <c r="K332" i="152"/>
  <c r="K333" i="152"/>
  <c r="K334" i="152"/>
  <c r="K335" i="152"/>
  <c r="K336" i="152"/>
  <c r="K337" i="152"/>
  <c r="K338" i="152"/>
  <c r="K339" i="152"/>
  <c r="K340" i="152"/>
  <c r="K341" i="152"/>
  <c r="K342" i="152"/>
  <c r="K343" i="152"/>
  <c r="K344" i="152"/>
  <c r="K345" i="152"/>
  <c r="K346" i="152"/>
  <c r="K347" i="152"/>
  <c r="K348" i="152"/>
  <c r="K349" i="152"/>
  <c r="K350" i="152"/>
  <c r="K351" i="152"/>
  <c r="K352" i="152"/>
  <c r="K353" i="152"/>
  <c r="K354" i="152"/>
  <c r="K355" i="152"/>
  <c r="K356" i="152"/>
  <c r="K357" i="152"/>
  <c r="K358" i="152"/>
  <c r="K359" i="152"/>
  <c r="K360" i="152"/>
  <c r="K361" i="152"/>
  <c r="K362" i="152"/>
  <c r="K363" i="152"/>
  <c r="K364" i="152"/>
  <c r="K365" i="152"/>
  <c r="K366" i="152"/>
  <c r="K367" i="152"/>
  <c r="K368" i="152"/>
  <c r="K369" i="152"/>
  <c r="K370" i="152"/>
  <c r="K371" i="152"/>
  <c r="K372" i="152"/>
  <c r="K373" i="152"/>
  <c r="K374" i="152"/>
  <c r="K375" i="152"/>
  <c r="K376" i="152"/>
  <c r="K377" i="152"/>
  <c r="K378" i="152"/>
  <c r="K379" i="152"/>
  <c r="K380" i="152"/>
  <c r="K381" i="152"/>
  <c r="K382" i="152"/>
  <c r="K383" i="152"/>
  <c r="K384" i="152"/>
  <c r="K385" i="152"/>
  <c r="K386" i="152"/>
  <c r="K387" i="152"/>
  <c r="K388" i="152"/>
  <c r="K389" i="152"/>
  <c r="K390" i="152"/>
  <c r="K391" i="152"/>
  <c r="K392" i="152"/>
  <c r="K393" i="152"/>
  <c r="K394" i="152"/>
  <c r="K395" i="152"/>
  <c r="K396" i="152"/>
  <c r="K397" i="152"/>
  <c r="K398" i="152"/>
  <c r="K399" i="152"/>
  <c r="K400" i="152"/>
  <c r="K401" i="152"/>
  <c r="K402" i="152"/>
  <c r="K403" i="152"/>
  <c r="K404" i="152"/>
  <c r="K405" i="152"/>
  <c r="K406" i="152"/>
  <c r="K407" i="152"/>
  <c r="K408" i="152"/>
  <c r="K409" i="152"/>
  <c r="K410" i="152"/>
  <c r="K411" i="152"/>
  <c r="K412" i="152"/>
  <c r="K413" i="152"/>
  <c r="K414" i="152"/>
  <c r="K415" i="152"/>
  <c r="K416" i="152"/>
  <c r="K417" i="152"/>
  <c r="K418" i="152"/>
  <c r="K419" i="152"/>
  <c r="K420" i="152"/>
  <c r="K421" i="152"/>
  <c r="K422" i="152"/>
  <c r="K2" i="152"/>
  <c r="D9" i="79" l="1"/>
  <c r="D8" i="77"/>
  <c r="A1" i="77" s="1"/>
  <c r="D6" i="78"/>
  <c r="D4" i="78" s="1"/>
  <c r="D6" i="54" l="1"/>
  <c r="D5" i="54" s="1"/>
</calcChain>
</file>

<file path=xl/sharedStrings.xml><?xml version="1.0" encoding="utf-8"?>
<sst xmlns="http://schemas.openxmlformats.org/spreadsheetml/2006/main" count="916" uniqueCount="884">
  <si>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</si>
  <si>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</si>
  <si>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</si>
  <si>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</si>
  <si>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</si>
  <si>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</si>
  <si>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</si>
  <si>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</si>
  <si>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</si>
  <si>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</si>
  <si>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</si>
  <si>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</si>
  <si>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</si>
  <si>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</si>
  <si>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</si>
  <si>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</si>
  <si>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</si>
  <si>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</si>
  <si>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</si>
  <si>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</si>
  <si>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</si>
  <si>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</si>
  <si>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</si>
  <si>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</si>
  <si>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</si>
  <si>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</si>
  <si>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</si>
  <si>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</si>
  <si>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</si>
  <si>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</si>
  <si>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</si>
  <si>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</si>
  <si>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</si>
  <si>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</si>
  <si>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</si>
  <si>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</si>
  <si>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</si>
  <si>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</si>
  <si>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</si>
  <si>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</si>
  <si>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</si>
  <si>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</si>
  <si>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</si>
  <si>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</si>
  <si>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</si>
  <si>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</si>
  <si>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</si>
  <si>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</si>
  <si>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</si>
  <si>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</si>
  <si>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</si>
  <si>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</si>
  <si>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</si>
  <si>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</si>
  <si>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</si>
  <si>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</si>
  <si>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</si>
  <si>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</si>
  <si>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</si>
  <si>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</si>
  <si>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</si>
  <si>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</si>
  <si>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</si>
  <si>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</si>
  <si>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</si>
  <si>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</si>
  <si>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</si>
  <si>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</si>
  <si>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</si>
  <si>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</si>
  <si>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</si>
  <si>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</si>
  <si>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</si>
  <si>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</si>
  <si>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</si>
  <si>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</si>
  <si>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</si>
  <si>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</si>
  <si>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</si>
  <si>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</si>
  <si>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</si>
  <si>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</si>
  <si>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</si>
  <si>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</si>
  <si>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</si>
  <si>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</si>
  <si>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</si>
  <si>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</si>
  <si>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</si>
  <si>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</si>
  <si>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</si>
  <si>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</si>
  <si>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</si>
  <si>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</si>
  <si>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</si>
  <si>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</si>
  <si>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</si>
  <si>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</si>
  <si>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</si>
  <si>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</si>
  <si>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</si>
  <si>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</si>
  <si>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</si>
  <si>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</si>
  <si>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</si>
  <si>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</si>
  <si>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</si>
  <si>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</si>
  <si>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</si>
  <si>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</si>
  <si>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</si>
  <si>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</si>
  <si>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</si>
  <si>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</si>
  <si>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</si>
  <si>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</si>
  <si>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</si>
  <si>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</si>
  <si>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</si>
  <si>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</si>
  <si>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</si>
  <si>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</si>
  <si>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</si>
  <si>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</si>
  <si>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</si>
  <si>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</si>
  <si>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</si>
  <si>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</si>
  <si>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</si>
  <si>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</si>
  <si>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</si>
  <si>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</si>
  <si>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</si>
  <si>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</si>
  <si>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</si>
  <si>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</si>
  <si>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</si>
  <si>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</si>
  <si>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</si>
  <si>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</si>
  <si>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</si>
  <si>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</si>
  <si>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</si>
  <si>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</si>
  <si>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</si>
  <si>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</si>
  <si>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</si>
  <si>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</si>
  <si>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</si>
  <si>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</si>
  <si>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</si>
  <si>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</si>
  <si>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</si>
  <si>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</si>
  <si>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</si>
  <si>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</si>
  <si>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</si>
  <si>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</si>
  <si>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</si>
  <si>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</si>
  <si>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</si>
  <si>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</si>
  <si>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</si>
  <si>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</si>
  <si>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</si>
  <si>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</si>
  <si>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</si>
  <si>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</si>
  <si>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</si>
  <si>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</si>
  <si>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</si>
  <si>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</si>
  <si>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</si>
  <si>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</si>
  <si>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</si>
  <si>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</si>
  <si>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</si>
  <si>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</si>
  <si>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</si>
  <si>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</si>
  <si>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</si>
  <si>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</si>
  <si>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</si>
  <si>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</si>
  <si>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</si>
  <si>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</si>
  <si>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</si>
  <si>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</si>
  <si>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</si>
  <si>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</si>
  <si>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</si>
  <si>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</si>
  <si>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</si>
  <si>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</si>
  <si>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</si>
  <si>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</si>
  <si>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</si>
  <si>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</si>
  <si>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</si>
  <si>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</si>
  <si>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</si>
  <si>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</si>
  <si>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</si>
  <si>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</si>
  <si>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</si>
  <si>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</si>
  <si>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</si>
  <si>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</si>
  <si>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</si>
  <si>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</si>
  <si>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</si>
  <si>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</si>
  <si>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</si>
  <si>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</si>
  <si>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</si>
  <si>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</si>
  <si>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</si>
  <si>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</si>
  <si>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</si>
  <si>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</si>
  <si>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</si>
  <si>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</si>
  <si>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</si>
  <si>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</si>
  <si>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</si>
  <si>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</si>
  <si>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</si>
  <si>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</si>
  <si>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</si>
  <si>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</si>
  <si>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</si>
  <si>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</si>
  <si>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</si>
  <si>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</si>
  <si>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</si>
  <si>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</si>
  <si>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</si>
  <si>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</si>
  <si>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</si>
  <si>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</si>
  <si>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</si>
  <si>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</si>
  <si>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</si>
  <si>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</si>
  <si>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</si>
  <si>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</si>
  <si>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</si>
  <si>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</si>
  <si>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</si>
  <si>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</si>
  <si>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</si>
  <si>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</si>
  <si>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</si>
  <si>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</si>
  <si>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</si>
  <si>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</si>
  <si>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</si>
  <si>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</si>
  <si>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</si>
  <si>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</si>
  <si>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</si>
  <si>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</si>
  <si>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</si>
  <si>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</si>
  <si>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</si>
  <si>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</si>
  <si>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</si>
  <si>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</si>
  <si>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</si>
  <si>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</si>
  <si>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</si>
  <si>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</si>
  <si>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</si>
  <si>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</si>
  <si>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</si>
  <si>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</si>
  <si>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</si>
  <si>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</si>
  <si>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</si>
  <si>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</si>
  <si>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</si>
  <si>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</si>
  <si>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</si>
  <si>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</si>
  <si>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</si>
  <si>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</si>
  <si>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</si>
  <si>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</si>
  <si>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</si>
  <si>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</si>
  <si>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</si>
  <si>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</si>
  <si>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</si>
  <si>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</si>
  <si>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</si>
  <si>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</si>
  <si>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</si>
  <si>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</si>
  <si>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</si>
  <si>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</si>
  <si>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</si>
  <si>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</si>
  <si>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</si>
  <si>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</si>
  <si>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</si>
  <si>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</si>
  <si>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</si>
  <si>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</si>
  <si>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</si>
  <si>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</si>
  <si>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</si>
  <si>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</si>
  <si>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</si>
  <si>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</si>
  <si>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</si>
  <si>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</si>
  <si>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</si>
  <si>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</si>
  <si>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</si>
  <si>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</si>
  <si>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</si>
  <si>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</si>
  <si>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</si>
  <si>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</si>
  <si>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</si>
  <si>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</si>
  <si>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</si>
  <si>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</si>
  <si>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</si>
  <si>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</si>
  <si>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</si>
  <si>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</si>
  <si>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</si>
  <si>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</si>
  <si>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</si>
  <si>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</si>
  <si>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</si>
  <si>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</si>
  <si>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</si>
  <si>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</si>
  <si>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</si>
  <si>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</si>
  <si>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</si>
  <si>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</si>
  <si>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</si>
  <si>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</si>
  <si>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</si>
  <si>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</si>
  <si>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</si>
  <si>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</si>
  <si>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</si>
  <si>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</si>
  <si>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</si>
  <si>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</si>
  <si>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</si>
  <si>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</si>
  <si>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</si>
  <si>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</si>
  <si>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</si>
  <si>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</si>
  <si>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</si>
  <si>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</si>
  <si>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</si>
  <si>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</si>
  <si>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</si>
  <si>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</si>
  <si>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</si>
  <si>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</si>
  <si>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</si>
  <si>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</si>
  <si>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</si>
  <si>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</si>
  <si>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</si>
  <si>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</si>
  <si>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</si>
  <si>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</si>
  <si>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</si>
  <si>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</si>
  <si>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</si>
  <si>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</si>
  <si>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</si>
  <si>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</si>
  <si>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</si>
  <si>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</si>
  <si>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</si>
  <si>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</si>
  <si>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</si>
  <si>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</si>
  <si>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</si>
  <si>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</si>
  <si>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</si>
  <si>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</si>
  <si>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</si>
  <si>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</si>
  <si>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</si>
  <si>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</si>
  <si>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</si>
  <si>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</si>
  <si>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</si>
  <si>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</si>
  <si>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</si>
  <si>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</si>
  <si>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</si>
  <si>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</si>
  <si>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</si>
  <si>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</si>
  <si>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</si>
  <si>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</si>
  <si>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</si>
  <si>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</si>
  <si>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</si>
  <si>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</si>
  <si>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</si>
  <si>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</si>
  <si>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</si>
  <si>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</si>
  <si>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</si>
  <si>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</si>
  <si>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</si>
  <si>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</si>
  <si>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</si>
  <si>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</si>
  <si>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</si>
  <si>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</si>
  <si>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</si>
  <si>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</si>
  <si>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</si>
  <si>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</si>
  <si>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</si>
  <si>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</si>
  <si>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</si>
  <si>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</si>
  <si>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</si>
  <si>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</si>
  <si>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</si>
  <si>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</si>
  <si>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</si>
  <si>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</si>
  <si>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</si>
  <si>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</si>
  <si>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</si>
  <si>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</si>
  <si>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</si>
  <si>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</si>
  <si>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</si>
  <si>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</si>
  <si>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</si>
  <si>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</si>
  <si>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</si>
  <si>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</si>
  <si>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</si>
  <si>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</si>
  <si>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</si>
  <si>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</si>
  <si>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</si>
  <si>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</si>
  <si>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</si>
  <si>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</si>
  <si>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</si>
  <si>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</si>
  <si>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</si>
  <si>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</si>
  <si>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</si>
  <si>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</si>
  <si>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</si>
  <si>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</si>
  <si>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</si>
  <si>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</si>
  <si>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</si>
  <si>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</si>
  <si>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</si>
  <si>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</si>
  <si>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</si>
  <si>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</si>
  <si>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</si>
  <si>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</si>
  <si>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</si>
  <si>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</si>
  <si>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</si>
  <si>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</si>
  <si>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</si>
  <si>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</si>
  <si>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</si>
  <si>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</si>
  <si>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</si>
  <si>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</si>
  <si>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</si>
  <si>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</si>
  <si>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</si>
  <si>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</si>
  <si>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</si>
  <si>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</si>
  <si>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</si>
  <si>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</si>
  <si>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</si>
  <si>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</si>
  <si>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</si>
  <si>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</si>
  <si>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</si>
  <si>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</si>
  <si>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</si>
  <si>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</si>
  <si>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</si>
  <si>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</si>
  <si>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</si>
  <si>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</si>
  <si>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</si>
  <si>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</si>
  <si>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</si>
  <si>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</si>
  <si>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</si>
  <si>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</si>
  <si>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</si>
  <si>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</si>
  <si>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</si>
  <si>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</si>
  <si>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</si>
  <si>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</si>
  <si>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</si>
  <si>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</si>
  <si>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</si>
  <si>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</si>
  <si>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</si>
  <si>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</si>
  <si>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</si>
  <si>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</si>
  <si>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</si>
  <si>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</si>
  <si>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</si>
  <si>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</si>
  <si>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</si>
  <si>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</si>
  <si>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</si>
  <si>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</si>
  <si>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</si>
  <si>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</si>
  <si>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</si>
  <si>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</si>
  <si>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</si>
  <si>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</si>
  <si>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</si>
  <si>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</si>
  <si>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</si>
  <si>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</si>
  <si>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</si>
  <si>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</si>
  <si>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</si>
  <si>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</si>
  <si>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</si>
  <si>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</si>
  <si>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</si>
  <si>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</si>
  <si>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</si>
  <si>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</si>
  <si>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</si>
  <si>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</si>
  <si>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</si>
  <si>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</si>
  <si>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</si>
  <si>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</si>
  <si>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</si>
  <si>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</si>
  <si>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</si>
  <si>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</si>
  <si>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</si>
  <si>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</si>
  <si>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</si>
  <si>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</si>
  <si>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</si>
  <si>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</si>
  <si>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</si>
  <si>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</si>
  <si>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</si>
  <si>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</si>
  <si>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</si>
  <si>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</si>
  <si>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</si>
  <si>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</si>
  <si>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</si>
  <si>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</si>
  <si>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</si>
  <si>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</si>
  <si>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</si>
  <si>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</si>
  <si>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</si>
  <si>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</si>
  <si>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</si>
  <si>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</si>
  <si>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</si>
  <si>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</si>
  <si>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</si>
  <si>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</si>
  <si>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</si>
  <si>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</si>
  <si>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</si>
  <si>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</si>
  <si>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</si>
  <si>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</si>
  <si>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</si>
  <si>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</si>
  <si>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</si>
  <si>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</si>
  <si>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</si>
  <si>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</si>
  <si>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</si>
  <si>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</si>
  <si>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</si>
  <si>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</si>
  <si>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</si>
  <si>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</si>
  <si>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</si>
  <si>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</si>
  <si>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</si>
  <si>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</si>
  <si>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</si>
  <si>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</si>
  <si>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</si>
  <si>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</si>
  <si>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</si>
  <si>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</si>
  <si>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</si>
  <si>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</si>
  <si>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</si>
  <si>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</si>
  <si>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</si>
  <si>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</si>
  <si>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</si>
  <si>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</si>
  <si>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</si>
  <si>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</si>
  <si>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</si>
  <si>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</si>
  <si>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</si>
  <si>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</si>
  <si>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</si>
  <si>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</si>
  <si>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</si>
  <si>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</si>
  <si>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</si>
  <si>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</si>
  <si>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</si>
  <si>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</si>
  <si>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</si>
  <si>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</si>
  <si>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</si>
  <si>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</si>
  <si>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</si>
  <si>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</si>
  <si>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</si>
  <si>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</si>
  <si>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</si>
  <si>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</si>
  <si>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</si>
  <si>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</si>
  <si>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</si>
  <si>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</si>
  <si>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</si>
  <si>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</si>
  <si>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</si>
  <si>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</si>
  <si>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</si>
  <si>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</si>
  <si>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</si>
  <si>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</si>
  <si>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</si>
  <si>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</si>
  <si>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</si>
  <si>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</si>
  <si>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</si>
  <si>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</si>
  <si>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</si>
  <si>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</si>
  <si>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</si>
  <si>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</si>
  <si>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</si>
  <si>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</si>
  <si>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</si>
  <si>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</si>
  <si>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</si>
  <si>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</si>
  <si>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</si>
  <si>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</si>
  <si>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</si>
  <si>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</si>
  <si>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</si>
  <si>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</si>
  <si>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</si>
  <si>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</si>
  <si>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</si>
  <si>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</si>
  <si>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</si>
  <si>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</si>
  <si>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</si>
  <si>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</si>
  <si>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</si>
  <si>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</si>
  <si>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</si>
  <si>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</si>
  <si>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</si>
  <si>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</si>
  <si>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</si>
  <si>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</si>
  <si>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</si>
  <si>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</si>
  <si>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</si>
  <si>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</si>
  <si>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</si>
  <si>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</si>
  <si>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</si>
  <si>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</si>
  <si>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</si>
  <si>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</si>
  <si>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</si>
  <si>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</si>
  <si>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</si>
  <si>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</si>
  <si>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</si>
  <si>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</si>
  <si>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</si>
  <si>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</si>
  <si>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</si>
  <si>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</si>
  <si>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</si>
  <si>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</si>
  <si>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</si>
  <si>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</si>
  <si>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</si>
  <si>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</si>
  <si>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</si>
  <si>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</si>
  <si>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</si>
  <si>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</si>
  <si>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</si>
  <si>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</si>
  <si>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</si>
  <si>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</si>
  <si>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</si>
  <si>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</si>
  <si>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</si>
  <si>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</si>
  <si>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</si>
  <si>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</si>
  <si>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</si>
  <si>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</si>
  <si>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</si>
  <si>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</si>
  <si>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</si>
  <si>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</si>
  <si>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</si>
  <si>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</si>
  <si>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</si>
  <si>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</si>
  <si>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</si>
  <si>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</si>
  <si>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</si>
  <si>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</si>
  <si>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</si>
  <si>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</si>
  <si>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</si>
  <si>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</si>
  <si>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</si>
  <si>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</si>
  <si>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</si>
  <si>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</si>
  <si>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</si>
  <si>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</si>
  <si>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</si>
  <si>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</si>
  <si>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</si>
  <si>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</si>
  <si>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</si>
  <si>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</si>
  <si>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</si>
  <si>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</si>
  <si>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</si>
  <si>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</si>
  <si>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</si>
  <si>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</si>
  <si>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</si>
  <si>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</si>
  <si>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</si>
  <si>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</si>
  <si>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</si>
  <si>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</si>
  <si>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</si>
  <si>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</si>
  <si>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</si>
  <si>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</si>
  <si>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</si>
  <si>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</si>
  <si>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</si>
  <si>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</si>
  <si>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</si>
  <si>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</si>
  <si>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</si>
  <si>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</si>
  <si>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</si>
  <si>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</si>
  <si>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</si>
  <si>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</si>
  <si>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</si>
  <si>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</si>
  <si>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</si>
  <si>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</si>
  <si>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</si>
  <si>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</si>
  <si>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</si>
  <si>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</si>
  <si>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</si>
  <si>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</si>
  <si>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</si>
  <si>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</si>
  <si>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</si>
  <si>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</si>
  <si>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</si>
  <si>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</si>
  <si>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</si>
  <si>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</si>
  <si>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</si>
  <si>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</si>
  <si>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</si>
  <si>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</si>
  <si>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</si>
  <si>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</si>
  <si>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</si>
  <si>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</si>
  <si>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</si>
  <si>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</si>
  <si>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</si>
  <si>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</si>
  <si>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</si>
  <si>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</si>
  <si>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</si>
  <si>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</si>
  <si>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</si>
  <si>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</si>
  <si>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</si>
  <si>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</si>
  <si>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</si>
  <si>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</si>
  <si>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</si>
  <si>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</si>
  <si>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</si>
  <si>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</si>
  <si>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</si>
  <si>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</si>
  <si>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</si>
  <si>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</si>
  <si>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</si>
  <si>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</si>
  <si>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</si>
  <si>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</si>
  <si>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</si>
  <si>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</si>
  <si>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</si>
  <si>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</si>
  <si>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</si>
  <si>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</si>
  <si>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</si>
  <si>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</si>
  <si>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Case 1 - monthly investment missing</t>
  </si>
  <si>
    <t>Case 2 - lenght of retirement missing</t>
  </si>
  <si>
    <t>Case 3 - retirement age missing</t>
  </si>
  <si>
    <t>Monthly interest</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</si>
  <si>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</si>
  <si>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</si>
  <si>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</si>
  <si>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</si>
  <si>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</si>
  <si>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</si>
  <si>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</si>
  <si>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</si>
  <si>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</si>
  <si>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</si>
  <si>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</si>
  <si>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</si>
  <si>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</si>
  <si>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</si>
  <si>
    <t>Average</t>
  </si>
  <si>
    <t>Jakub Černý, Jan Malecha and Tiep Luu Danh</t>
  </si>
  <si>
    <t xml:space="preserve">Whether the goal is to achieve early financial independence or to not entirely be dependent on the state retirement system, the FIRE movement have made a huge uproar among the so-called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</si>
  <si>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Manual:
1. Download the actual financial data by clicking on the button "Download Actual Data"
2. Click on "Start Estimation" to bring out the calculator
3. Fill in  Retirement Income Calculator. Fill in Only 3 out of 4 information.
4. Click on "Estimate" to calculate the the last information. 
5. Click "Done" when it is done
6. Click "Delete" if you want to fill in the information again. 
7. Click "Reset" If you want to reset the process</t>
  </si>
  <si>
    <t>S&amp;P 500</t>
  </si>
  <si>
    <t>Case 4 - expected monthly pension missing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</si>
</sst>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0.00\ &quot;Kč&quot;;[Red]\-#,##0.00\ &quot;Kč&quot;"/>
    <numFmt numFmtId="43" formatCode="_-* #,##0.00_-;\-* #,##0.00_-;_-* &quot;-&quot;??_-;_-@_-"/>
    <numFmt numFmtId="164" formatCode="#,###.00"/>
    <numFmt numFmtId="165" formatCode="#\ ###.00"/>
  </numFmts>
  <fonts count="12"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b/>
      <sz val="11"/>
      <color theme="1"/>
      <name val="Calibri"/>
      <family val="2"/>
      <charset val="238"/>
      <scheme val="minor"/>
    </font>
    <font>
      <b/>
      <sz val="14"/>
      <color theme="1"/>
      <name val="Calibri"/>
      <family val="2"/>
      <scheme val="minor"/>
    </font>
    <font>
      <b/>
      <sz val="18"/>
      <color theme="1"/>
      <name val="Calibri"/>
      <family val="2"/>
      <scheme val="minor"/>
    </font>
    <font>
      <sz val="11"/>
      <color rgb="FF000000"/>
      <name val="Calibri"/>
      <family val="2"/>
      <charset val="238"/>
    </font>
    <font>
      <b/>
      <sz val="11"/>
      <color theme="0"/>
      <name val="Calibri"/>
      <family val="2"/>
      <charset val="238"/>
      <scheme val="minor"/>
    </font>
    <font>
      <sz val="11"/>
      <color theme="0" tint="-4.9989318521683403E-2"/>
      <name val="Calibri"/>
      <family val="2"/>
      <scheme val="minor"/>
    </font>
    <font>
      <b/>
      <sz val="11"/>
      <color theme="0" tint="-4.9989318521683403E-2"/>
      <name val="Calibri"/>
      <family val="2"/>
      <charset val="238"/>
      <scheme val="minor"/>
    </font>
  </fonts>
  <fills count="5">
    <fill>
      <patternFill patternType="none"/>
    </fill>
    <fill>
      <patternFill patternType="gray125"/>
    </fill>
    <fill>
      <patternFill patternType="solid">
        <fgColor theme="0" tint="-4.9989318521683403E-2"/>
        <bgColor indexed="64"/>
      </patternFill>
    </fill>
    <fill>
      <patternFill patternType="solid">
        <fgColor theme="8" tint="0.39997558519241921"/>
        <bgColor indexed="64"/>
      </patternFill>
    </fill>
    <fill>
      <patternFill patternType="solid">
        <fgColor theme="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67">
    <xf numFmtId="0" fontId="0" fillId="0" borderId="0" xfId="0"/>
    <xf numFmtId="14" fontId="0" fillId="0" borderId="0" xfId="0" applyNumberFormat="1"/>
    <xf numFmtId="10" fontId="0" fillId="0" borderId="0" xfId="1" applyNumberFormat="1" applyFont="1"/>
    <xf numFmtId="0" fontId="0" fillId="2" borderId="0" xfId="0" applyFill="1"/>
    <xf numFmtId="0" fontId="2" fillId="2" borderId="0" xfId="0" applyFont="1" applyFill="1" applyBorder="1"/>
    <xf numFmtId="0" fontId="0" fillId="2" borderId="0" xfId="0" applyFill="1" applyBorder="1"/>
    <xf numFmtId="0" fontId="4" fillId="2" borderId="0" xfId="0" applyFont="1" applyFill="1" applyBorder="1" applyAlignment="1">
      <alignment vertical="center" wrapText="1"/>
    </xf>
    <xf numFmtId="0" fontId="2" fillId="2" borderId="5" xfId="0" applyFont="1" applyFill="1" applyBorder="1"/>
    <xf numFmtId="0" fontId="4" fillId="2" borderId="5" xfId="0" applyFont="1" applyFill="1" applyBorder="1" applyAlignment="1">
      <alignment vertical="center" wrapText="1"/>
    </xf>
    <xf numFmtId="0" fontId="4" fillId="2" borderId="6" xfId="0" applyFont="1" applyFill="1" applyBorder="1" applyAlignment="1">
      <alignment vertical="center" wrapText="1"/>
    </xf>
    <xf numFmtId="0" fontId="5" fillId="2" borderId="1" xfId="0" applyFont="1" applyFill="1" applyBorder="1" applyAlignment="1">
      <alignment horizontal="left" vertical="center"/>
    </xf>
    <xf numFmtId="0" fontId="0" fillId="2" borderId="1" xfId="0" applyFill="1" applyBorder="1" applyAlignment="1">
      <alignment horizontal="left" wrapText="1"/>
    </xf>
    <xf numFmtId="0" fontId="0" fillId="2" borderId="1" xfId="0" applyFill="1" applyBorder="1" applyAlignment="1">
      <alignment horizontal="left" vertical="top" wrapText="1"/>
    </xf>
    <xf numFmtId="0" fontId="0" fillId="2" borderId="0" xfId="0" applyFill="1" applyAlignment="1">
      <alignment vertical="center"/>
    </xf>
    <xf numFmtId="0" fontId="0" fillId="2" borderId="0" xfId="0" applyFill="1" applyAlignment="1">
      <alignment horizontal="left" wrapText="1"/>
    </xf>
    <xf numFmtId="0" fontId="0" fillId="2" borderId="0" xfId="0" applyFill="1" applyAlignment="1">
      <alignment horizontal="left" vertical="top" wrapText="1"/>
    </xf>
    <xf numFmtId="0" fontId="6" fillId="3" borderId="1" xfId="0" applyFont="1" applyFill="1" applyBorder="1" applyAlignment="1">
      <alignment horizontal="center" vertical="center"/>
    </xf>
    <xf numFmtId="0" fontId="6" fillId="3" borderId="1" xfId="0" applyFont="1" applyFill="1" applyBorder="1" applyAlignment="1">
      <alignment horizontal="center" wrapText="1"/>
    </xf>
    <xf numFmtId="0" fontId="6" fillId="3" borderId="1" xfId="0" applyFont="1" applyFill="1" applyBorder="1" applyAlignment="1">
      <alignment horizontal="center" vertical="top" wrapText="1"/>
    </xf>
    <xf numFmtId="0" fontId="0" fillId="3" borderId="0" xfId="0" applyFill="1"/>
    <xf numFmtId="0" fontId="2" fillId="3" borderId="0" xfId="0" applyFont="1" applyFill="1"/>
    <xf numFmtId="0" fontId="0" fillId="3" borderId="0" xfId="0" applyFill="1" applyBorder="1"/>
    <xf numFmtId="0" fontId="0" fillId="3" borderId="6" xfId="0" applyFill="1" applyBorder="1"/>
    <xf numFmtId="0" fontId="0" fillId="2" borderId="0" xfId="0" applyFont="1" applyFill="1" applyBorder="1"/>
    <xf numFmtId="0" fontId="0" fillId="2" borderId="6" xfId="0" applyFont="1" applyFill="1" applyBorder="1"/>
    <xf numFmtId="14" fontId="0" fillId="2" borderId="0" xfId="0" applyNumberFormat="1" applyFill="1"/>
    <xf numFmtId="0" fontId="3" fillId="2" borderId="0" xfId="2" applyFill="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2" borderId="0" xfId="0" applyFill="1" applyAlignment="1">
      <alignment wrapText="1"/>
    </xf>
    <xf numFmtId="10" fontId="0" fillId="2" borderId="0" xfId="1" applyNumberFormat="1" applyFont="1" applyFill="1"/>
    <xf numFmtId="8" fontId="0" fillId="2" borderId="0" xfId="0" applyNumberFormat="1" applyFill="1"/>
    <xf numFmtId="10" fontId="0" fillId="2" borderId="0" xfId="0" applyNumberFormat="1" applyFill="1"/>
    <xf numFmtId="164" fontId="0" fillId="3" borderId="6" xfId="3" applyNumberFormat="1" applyFont="1" applyFill="1" applyBorder="1"/>
    <xf numFmtId="164" fontId="0" fillId="3" borderId="6" xfId="0" applyNumberFormat="1" applyFill="1" applyBorder="1"/>
    <xf numFmtId="164" fontId="9" fillId="4" borderId="6" xfId="3" applyNumberFormat="1" applyFont="1" applyFill="1" applyBorder="1"/>
    <xf numFmtId="8" fontId="0" fillId="3" borderId="6" xfId="0" applyNumberFormat="1" applyFill="1" applyBorder="1"/>
    <xf numFmtId="10" fontId="0" fillId="3" borderId="9" xfId="0" applyNumberFormat="1" applyFill="1" applyBorder="1"/>
    <xf numFmtId="0" fontId="10" fillId="2" borderId="0" xfId="0" applyFont="1" applyFill="1"/>
    <xf numFmtId="2" fontId="9" fillId="4" borderId="6" xfId="0" applyNumberFormat="1" applyFont="1" applyFill="1" applyBorder="1"/>
    <xf numFmtId="165" fontId="0" fillId="3" borderId="5" xfId="0" applyNumberFormat="1" applyFill="1" applyBorder="1"/>
    <xf numFmtId="164" fontId="11" fillId="4" borderId="6" xfId="3" applyNumberFormat="1" applyFont="1" applyFill="1" applyBorder="1"/>
    <xf numFmtId="0" fontId="7" fillId="2" borderId="2"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6" xfId="0" applyFont="1" applyFill="1" applyBorder="1" applyAlignment="1">
      <alignment horizontal="center" vertical="center"/>
    </xf>
    <xf numFmtId="0" fontId="0" fillId="2" borderId="5" xfId="0" applyFont="1" applyFill="1" applyBorder="1" applyAlignment="1">
      <alignment horizontal="center"/>
    </xf>
    <xf numFmtId="0" fontId="0" fillId="2" borderId="0" xfId="0" applyFont="1" applyFill="1" applyBorder="1" applyAlignment="1">
      <alignment horizontal="center"/>
    </xf>
    <xf numFmtId="0" fontId="0" fillId="2" borderId="6" xfId="0" applyFont="1" applyFill="1" applyBorder="1" applyAlignment="1">
      <alignment horizontal="center"/>
    </xf>
    <xf numFmtId="0" fontId="4" fillId="2" borderId="5"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0" fillId="2" borderId="3" xfId="0" applyFill="1" applyBorder="1" applyAlignment="1">
      <alignment horizontal="left" vertical="top" wrapText="1"/>
    </xf>
    <xf numFmtId="0" fontId="0" fillId="2" borderId="0" xfId="0" applyFill="1" applyAlignment="1">
      <alignment horizontal="left" vertical="top" wrapText="1"/>
    </xf>
    <xf numFmtId="0" fontId="5" fillId="3" borderId="2" xfId="0" applyFont="1" applyFill="1" applyBorder="1" applyAlignment="1">
      <alignment horizontal="center"/>
    </xf>
    <xf numFmtId="0" fontId="5" fillId="3" borderId="3" xfId="0" applyFont="1" applyFill="1" applyBorder="1" applyAlignment="1">
      <alignment horizontal="center"/>
    </xf>
    <xf numFmtId="0" fontId="5" fillId="3" borderId="4" xfId="0" applyFont="1" applyFill="1" applyBorder="1" applyAlignment="1">
      <alignment horizontal="center"/>
    </xf>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60960</xdr:rowOff>
        </xdr:from>
        <xdr:to>
          <xdr:col>10</xdr:col>
          <xdr:colOff>7620</xdr:colOff>
          <xdr:row>9</xdr:row>
          <xdr:rowOff>175260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xdr:row>
          <xdr:rowOff>7620</xdr:rowOff>
        </xdr:from>
        <xdr:to>
          <xdr:col>5</xdr:col>
          <xdr:colOff>609600</xdr:colOff>
          <xdr:row>13</xdr:row>
          <xdr:rowOff>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175260</xdr:rowOff>
        </xdr:from>
        <xdr:to>
          <xdr:col>10</xdr:col>
          <xdr:colOff>7620</xdr:colOff>
          <xdr:row>12</xdr:row>
          <xdr:rowOff>175260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7620</xdr:colOff>
      <xdr:row>1</xdr:row>
      <xdr:rowOff>7620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500-000002000000}"/>
            </a:ext>
          </a:extLst>
        </xdr:cNvPr>
        <xdr:cNvSpPr txBox="1"/>
      </xdr:nvSpPr>
      <xdr:spPr>
        <a:xfrm>
          <a:off x="6339840" y="198120"/>
          <a:ext cx="326898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0DDD9D-A419-4F10-B4A3-CFB4E4ED4337}" type="TxLink">
            <a:rPr lang="en-US" sz="1100" b="0" i="0" u="none" strike="noStrike">
              <a:solidFill>
                <a:srgbClr val="000000"/>
              </a:solidFill>
              <a:latin typeface="Calibri"/>
              <a:cs typeface="Calibri"/>
            </a:rPr>
            <a:pPr algn="ctr"/>
            <a:t>If you invest 264 USD for 21 years on the S&amp;P 500 index. By the time of expected retirement, you accumulate 28332 USD. This fortune enable you to withdraw 1311 USD every month for 20 months, i.e. 1,7 years.</a:t>
          </a:fld>
          <a:endParaRPr lang="en-GB" sz="1100"/>
        </a:p>
      </xdr:txBody>
    </xdr:sp>
    <xdr:clientData/>
  </xdr:twoCellAnchor>
  <xdr:twoCellAnchor editAs="oneCell">
    <xdr:from>
      <xdr:col>5</xdr:col>
      <xdr:colOff>106680</xdr:colOff>
      <xdr:row>3</xdr:row>
      <xdr:rowOff>167640</xdr:rowOff>
    </xdr:from>
    <xdr:to>
      <xdr:col>6</xdr:col>
      <xdr:colOff>411480</xdr:colOff>
      <xdr:row>8</xdr:row>
      <xdr:rowOff>167640</xdr:rowOff>
    </xdr:to>
    <xdr:pic>
      <xdr:nvPicPr>
        <xdr:cNvPr id="3" name="Graphic 2" descr="Arrow Right">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10100" y="7239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22860</xdr:colOff>
      <xdr:row>1</xdr:row>
      <xdr:rowOff>7620</xdr:rowOff>
    </xdr:from>
    <xdr:to>
      <xdr:col>13</xdr:col>
      <xdr:colOff>182880</xdr:colOff>
      <xdr:row>12</xdr:row>
      <xdr:rowOff>22860</xdr:rowOff>
    </xdr:to>
    <xdr:sp macro="" textlink="$A$1">
      <xdr:nvSpPr>
        <xdr:cNvPr id="2" name="TextBox 1">
          <a:extLst>
            <a:ext uri="{FF2B5EF4-FFF2-40B4-BE49-F238E27FC236}">
              <a16:creationId xmlns:a16="http://schemas.microsoft.com/office/drawing/2014/main" id="{00000000-0008-0000-0600-000002000000}"/>
            </a:ext>
          </a:extLst>
        </xdr:cNvPr>
        <xdr:cNvSpPr txBox="1"/>
      </xdr:nvSpPr>
      <xdr:spPr>
        <a:xfrm>
          <a:off x="6294120" y="198120"/>
          <a:ext cx="320802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545054-865C-44CE-92C2-8AB825ED8DE0}" type="TxLink">
            <a:rPr lang="en-US" sz="1100" b="0" i="0" u="none" strike="noStrike">
              <a:solidFill>
                <a:srgbClr val="000000"/>
              </a:solidFill>
              <a:latin typeface="Calibri"/>
              <a:cs typeface="Calibri"/>
            </a:rPr>
            <a:pPr algn="ctr"/>
            <a:t>If you invest 494 USD for 30 years on the S&amp;P 500 index. By the time of expected retirement, you accumulate 1054003 USD. This fortune enable you to withdraw 1122 USD every month for 267 months, i.e. 22,3 years.</a:t>
          </a:fld>
          <a:endParaRPr lang="en-GB" sz="1100"/>
        </a:p>
      </xdr:txBody>
    </xdr:sp>
    <xdr:clientData/>
  </xdr:twoCellAnchor>
  <xdr:twoCellAnchor editAs="oneCell">
    <xdr:from>
      <xdr:col>5</xdr:col>
      <xdr:colOff>106680</xdr:colOff>
      <xdr:row>3</xdr:row>
      <xdr:rowOff>137160</xdr:rowOff>
    </xdr:from>
    <xdr:to>
      <xdr:col>6</xdr:col>
      <xdr:colOff>411480</xdr:colOff>
      <xdr:row>8</xdr:row>
      <xdr:rowOff>137160</xdr:rowOff>
    </xdr:to>
    <xdr:pic>
      <xdr:nvPicPr>
        <xdr:cNvPr id="4" name="Graphic 3" descr="Arrow Right">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49140" y="69342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15240</xdr:colOff>
      <xdr:row>1</xdr:row>
      <xdr:rowOff>0</xdr:rowOff>
    </xdr:from>
    <xdr:to>
      <xdr:col>13</xdr:col>
      <xdr:colOff>175260</xdr:colOff>
      <xdr:row>12</xdr:row>
      <xdr:rowOff>7620</xdr:rowOff>
    </xdr:to>
    <xdr:sp macro="" textlink="$A$1">
      <xdr:nvSpPr>
        <xdr:cNvPr id="2" name="TextBox 1">
          <a:extLst>
            <a:ext uri="{FF2B5EF4-FFF2-40B4-BE49-F238E27FC236}">
              <a16:creationId xmlns:a16="http://schemas.microsoft.com/office/drawing/2014/main" id="{00000000-0008-0000-0700-000002000000}"/>
            </a:ext>
          </a:extLst>
        </xdr:cNvPr>
        <xdr:cNvSpPr txBox="1"/>
      </xdr:nvSpPr>
      <xdr:spPr>
        <a:xfrm>
          <a:off x="6278880" y="190500"/>
          <a:ext cx="320802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FB11D4-14B1-40B3-ABEB-9FEAF5A452FA}" type="TxLink">
            <a:rPr lang="en-US" sz="1100" b="0" i="0" u="none" strike="noStrike">
              <a:solidFill>
                <a:srgbClr val="000000"/>
              </a:solidFill>
              <a:latin typeface="Calibri"/>
              <a:cs typeface="Calibri"/>
            </a:rPr>
            <a:pPr algn="ctr"/>
            <a:t>If you invest 339 USD for 4 years on the S&amp;P 500 index. By the time of expected retirement, you accumulate 20017 USD. This fortune enable you to withdraw 1177 USD every month for 16 months, i.e. 1,3 years.</a:t>
          </a:fld>
          <a:endParaRPr lang="en-GB" sz="1100"/>
        </a:p>
      </xdr:txBody>
    </xdr:sp>
    <xdr:clientData/>
  </xdr:twoCellAnchor>
  <xdr:twoCellAnchor editAs="oneCell">
    <xdr:from>
      <xdr:col>5</xdr:col>
      <xdr:colOff>68580</xdr:colOff>
      <xdr:row>3</xdr:row>
      <xdr:rowOff>144780</xdr:rowOff>
    </xdr:from>
    <xdr:to>
      <xdr:col>6</xdr:col>
      <xdr:colOff>373380</xdr:colOff>
      <xdr:row>8</xdr:row>
      <xdr:rowOff>144780</xdr:rowOff>
    </xdr:to>
    <xdr:pic>
      <xdr:nvPicPr>
        <xdr:cNvPr id="4" name="Graphic 3" descr="Arrow Right">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03420" y="701040"/>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15240</xdr:colOff>
      <xdr:row>1</xdr:row>
      <xdr:rowOff>15240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800-000002000000}"/>
            </a:ext>
          </a:extLst>
        </xdr:cNvPr>
        <xdr:cNvSpPr txBox="1"/>
      </xdr:nvSpPr>
      <xdr:spPr>
        <a:xfrm>
          <a:off x="6332220" y="205740"/>
          <a:ext cx="326136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EA157B-F3D3-4100-8E31-9250CF91BC52}" type="TxLink">
            <a:rPr lang="en-US" sz="1100" b="0" i="0" u="none" strike="noStrike">
              <a:solidFill>
                <a:schemeClr val="tx1"/>
              </a:solidFill>
              <a:latin typeface="Calibri"/>
              <a:cs typeface="Calibri"/>
            </a:rPr>
            <a:pPr algn="ctr"/>
            <a:t>If you invest 309 USD for 39 years on the S&amp;P 500 index. By the time of expected retirement, you accumulate 1624880 USD. This fortune enable you to withdraw 67789 USD every month for 22 months, i.e. 1,8 years.</a:t>
          </a:fld>
          <a:endParaRPr lang="en-GB" sz="1100">
            <a:solidFill>
              <a:schemeClr val="tx1"/>
            </a:solidFill>
          </a:endParaRPr>
        </a:p>
      </xdr:txBody>
    </xdr:sp>
    <xdr:clientData/>
  </xdr:twoCellAnchor>
  <xdr:twoCellAnchor editAs="oneCell">
    <xdr:from>
      <xdr:col>5</xdr:col>
      <xdr:colOff>83820</xdr:colOff>
      <xdr:row>3</xdr:row>
      <xdr:rowOff>91440</xdr:rowOff>
    </xdr:from>
    <xdr:to>
      <xdr:col>6</xdr:col>
      <xdr:colOff>388620</xdr:colOff>
      <xdr:row>8</xdr:row>
      <xdr:rowOff>91440</xdr:rowOff>
    </xdr:to>
    <xdr:pic>
      <xdr:nvPicPr>
        <xdr:cNvPr id="3" name="Graphic 2" descr="Arrow Right">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72000" y="647700"/>
          <a:ext cx="914400" cy="914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2.bin"/><Relationship Id="rId7" Type="http://schemas.openxmlformats.org/officeDocument/2006/relationships/image" Target="../media/image1.emf"/><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 Id="rId6" Type="http://schemas.openxmlformats.org/officeDocument/2006/relationships/control" Target="../activeX/activeX1.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emf"/></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D2:T29"/>
  <sheetViews>
    <sheetView topLeftCell="A2" workbookViewId="0">
      <selection activeCell="D3" sqref="D3:N5"/>
    </sheetView>
  </sheetViews>
  <sheetFormatPr defaultColWidth="8.88671875" defaultRowHeight="14.4" x14ac:dyDescent="0.3"/>
  <cols>
    <col min="1" max="16384" width="8.88671875" style="19"/>
  </cols>
  <sheetData>
    <row r="2" spans="4:20" ht="15" thickBot="1" x14ac:dyDescent="0.35"/>
    <row r="3" spans="4:20" ht="15" customHeight="1" x14ac:dyDescent="0.45">
      <c r="D3" s="47" t="s">
        <v>6</v>
      </c>
      <c r="E3" s="48"/>
      <c r="F3" s="48"/>
      <c r="G3" s="48"/>
      <c r="H3" s="48"/>
      <c r="I3" s="48"/>
      <c r="J3" s="48"/>
      <c r="K3" s="48"/>
      <c r="L3" s="48"/>
      <c r="M3" s="48"/>
      <c r="N3" s="49"/>
      <c r="O3" s="20"/>
      <c r="P3" s="20"/>
      <c r="Q3" s="20"/>
      <c r="R3" s="20"/>
      <c r="S3" s="20"/>
      <c r="T3" s="20"/>
    </row>
    <row r="4" spans="4:20" ht="15" customHeight="1" x14ac:dyDescent="0.45">
      <c r="D4" s="50"/>
      <c r="E4" s="51"/>
      <c r="F4" s="51"/>
      <c r="G4" s="51"/>
      <c r="H4" s="51"/>
      <c r="I4" s="51"/>
      <c r="J4" s="51"/>
      <c r="K4" s="51"/>
      <c r="L4" s="51"/>
      <c r="M4" s="51"/>
      <c r="N4" s="52"/>
      <c r="O4" s="20"/>
      <c r="P4" s="20"/>
      <c r="Q4" s="20"/>
      <c r="R4" s="20"/>
      <c r="S4" s="20"/>
      <c r="T4" s="20"/>
    </row>
    <row r="5" spans="4:20" ht="15" customHeight="1" x14ac:dyDescent="0.3">
      <c r="D5" s="50"/>
      <c r="E5" s="51"/>
      <c r="F5" s="51"/>
      <c r="G5" s="51"/>
      <c r="H5" s="51"/>
      <c r="I5" s="51"/>
      <c r="J5" s="51"/>
      <c r="K5" s="51"/>
      <c r="L5" s="51"/>
      <c r="M5" s="51"/>
      <c r="N5" s="52"/>
    </row>
    <row r="6" spans="4:20" ht="15" customHeight="1" x14ac:dyDescent="0.45">
      <c r="D6" s="7"/>
      <c r="E6" s="4"/>
      <c r="F6" s="4"/>
      <c r="G6" s="4"/>
      <c r="H6" s="4"/>
      <c r="I6" s="4"/>
      <c r="J6" s="4"/>
      <c r="K6" s="4"/>
      <c r="L6" s="23"/>
      <c r="M6" s="23"/>
      <c r="N6" s="24"/>
    </row>
    <row r="7" spans="4:20" ht="15" customHeight="1" x14ac:dyDescent="0.3">
      <c r="D7" s="53" t="s">
        <v>879</v>
      </c>
      <c r="E7" s="54"/>
      <c r="F7" s="54"/>
      <c r="G7" s="54"/>
      <c r="H7" s="54"/>
      <c r="I7" s="54"/>
      <c r="J7" s="54"/>
      <c r="K7" s="54"/>
      <c r="L7" s="54"/>
      <c r="M7" s="54"/>
      <c r="N7" s="55"/>
    </row>
    <row r="8" spans="4:20" ht="15" customHeight="1" x14ac:dyDescent="0.3">
      <c r="D8" s="8"/>
      <c r="E8" s="6"/>
      <c r="F8" s="6"/>
      <c r="G8" s="6"/>
      <c r="H8" s="6"/>
      <c r="I8" s="6"/>
      <c r="J8" s="6"/>
      <c r="K8" s="6"/>
      <c r="L8" s="6"/>
      <c r="M8" s="6"/>
      <c r="N8" s="9"/>
    </row>
    <row r="9" spans="4:20" ht="15" customHeight="1" x14ac:dyDescent="0.3">
      <c r="D9" s="56" t="s">
        <v>880</v>
      </c>
      <c r="E9" s="57"/>
      <c r="F9" s="57"/>
      <c r="G9" s="57"/>
      <c r="H9" s="57"/>
      <c r="I9" s="57"/>
      <c r="J9" s="57"/>
      <c r="K9" s="57"/>
      <c r="L9" s="57"/>
      <c r="M9" s="57"/>
      <c r="N9" s="58"/>
    </row>
    <row r="10" spans="4:20" ht="15" customHeight="1" x14ac:dyDescent="0.3">
      <c r="D10" s="56"/>
      <c r="E10" s="57"/>
      <c r="F10" s="57"/>
      <c r="G10" s="57"/>
      <c r="H10" s="57"/>
      <c r="I10" s="57"/>
      <c r="J10" s="57"/>
      <c r="K10" s="57"/>
      <c r="L10" s="57"/>
      <c r="M10" s="57"/>
      <c r="N10" s="58"/>
    </row>
    <row r="11" spans="4:20" ht="15" customHeight="1" x14ac:dyDescent="0.3">
      <c r="D11" s="56"/>
      <c r="E11" s="57"/>
      <c r="F11" s="57"/>
      <c r="G11" s="57"/>
      <c r="H11" s="57"/>
      <c r="I11" s="57"/>
      <c r="J11" s="57"/>
      <c r="K11" s="57"/>
      <c r="L11" s="57"/>
      <c r="M11" s="57"/>
      <c r="N11" s="58"/>
    </row>
    <row r="12" spans="4:20" ht="15" customHeight="1" x14ac:dyDescent="0.3">
      <c r="D12" s="56"/>
      <c r="E12" s="57"/>
      <c r="F12" s="57"/>
      <c r="G12" s="57"/>
      <c r="H12" s="57"/>
      <c r="I12" s="57"/>
      <c r="J12" s="57"/>
      <c r="K12" s="57"/>
      <c r="L12" s="57"/>
      <c r="M12" s="57"/>
      <c r="N12" s="58"/>
    </row>
    <row r="13" spans="4:20" ht="15" customHeight="1" x14ac:dyDescent="0.3">
      <c r="D13" s="56"/>
      <c r="E13" s="57"/>
      <c r="F13" s="57"/>
      <c r="G13" s="57"/>
      <c r="H13" s="57"/>
      <c r="I13" s="57"/>
      <c r="J13" s="57"/>
      <c r="K13" s="57"/>
      <c r="L13" s="57"/>
      <c r="M13" s="57"/>
      <c r="N13" s="58"/>
    </row>
    <row r="14" spans="4:20" ht="15" customHeight="1" x14ac:dyDescent="0.3">
      <c r="D14" s="56"/>
      <c r="E14" s="57"/>
      <c r="F14" s="57"/>
      <c r="G14" s="57"/>
      <c r="H14" s="57"/>
      <c r="I14" s="57"/>
      <c r="J14" s="57"/>
      <c r="K14" s="57"/>
      <c r="L14" s="57"/>
      <c r="M14" s="57"/>
      <c r="N14" s="58"/>
    </row>
    <row r="15" spans="4:20" ht="15" customHeight="1" x14ac:dyDescent="0.3">
      <c r="D15" s="56"/>
      <c r="E15" s="57"/>
      <c r="F15" s="57"/>
      <c r="G15" s="57"/>
      <c r="H15" s="57"/>
      <c r="I15" s="57"/>
      <c r="J15" s="57"/>
      <c r="K15" s="57"/>
      <c r="L15" s="57"/>
      <c r="M15" s="57"/>
      <c r="N15" s="58"/>
    </row>
    <row r="16" spans="4:20" ht="15" customHeight="1" x14ac:dyDescent="0.3">
      <c r="D16" s="56"/>
      <c r="E16" s="57"/>
      <c r="F16" s="57"/>
      <c r="G16" s="57"/>
      <c r="H16" s="57"/>
      <c r="I16" s="57"/>
      <c r="J16" s="57"/>
      <c r="K16" s="57"/>
      <c r="L16" s="57"/>
      <c r="M16" s="57"/>
      <c r="N16" s="58"/>
    </row>
    <row r="17" spans="4:14" ht="15" customHeight="1" x14ac:dyDescent="0.3">
      <c r="D17" s="56"/>
      <c r="E17" s="57"/>
      <c r="F17" s="57"/>
      <c r="G17" s="57"/>
      <c r="H17" s="57"/>
      <c r="I17" s="57"/>
      <c r="J17" s="57"/>
      <c r="K17" s="57"/>
      <c r="L17" s="57"/>
      <c r="M17" s="57"/>
      <c r="N17" s="58"/>
    </row>
    <row r="18" spans="4:14" ht="15" customHeight="1" x14ac:dyDescent="0.3">
      <c r="D18" s="56"/>
      <c r="E18" s="57"/>
      <c r="F18" s="57"/>
      <c r="G18" s="57"/>
      <c r="H18" s="57"/>
      <c r="I18" s="57"/>
      <c r="J18" s="57"/>
      <c r="K18" s="57"/>
      <c r="L18" s="57"/>
      <c r="M18" s="57"/>
      <c r="N18" s="58"/>
    </row>
    <row r="19" spans="4:14" ht="15" customHeight="1" x14ac:dyDescent="0.3">
      <c r="D19" s="56"/>
      <c r="E19" s="57"/>
      <c r="F19" s="57"/>
      <c r="G19" s="57"/>
      <c r="H19" s="57"/>
      <c r="I19" s="57"/>
      <c r="J19" s="57"/>
      <c r="K19" s="57"/>
      <c r="L19" s="57"/>
      <c r="M19" s="57"/>
      <c r="N19" s="58"/>
    </row>
    <row r="20" spans="4:14" ht="15" customHeight="1" x14ac:dyDescent="0.3">
      <c r="D20" s="56"/>
      <c r="E20" s="57"/>
      <c r="F20" s="57"/>
      <c r="G20" s="57"/>
      <c r="H20" s="57"/>
      <c r="I20" s="57"/>
      <c r="J20" s="57"/>
      <c r="K20" s="57"/>
      <c r="L20" s="57"/>
      <c r="M20" s="57"/>
      <c r="N20" s="58"/>
    </row>
    <row r="21" spans="4:14" ht="15" customHeight="1" x14ac:dyDescent="0.3">
      <c r="D21" s="56"/>
      <c r="E21" s="57"/>
      <c r="F21" s="57"/>
      <c r="G21" s="57"/>
      <c r="H21" s="57"/>
      <c r="I21" s="57"/>
      <c r="J21" s="57"/>
      <c r="K21" s="57"/>
      <c r="L21" s="57"/>
      <c r="M21" s="57"/>
      <c r="N21" s="58"/>
    </row>
    <row r="22" spans="4:14" ht="15" customHeight="1" x14ac:dyDescent="0.3">
      <c r="D22" s="56"/>
      <c r="E22" s="57"/>
      <c r="F22" s="57"/>
      <c r="G22" s="57"/>
      <c r="H22" s="57"/>
      <c r="I22" s="57"/>
      <c r="J22" s="57"/>
      <c r="K22" s="57"/>
      <c r="L22" s="57"/>
      <c r="M22" s="57"/>
      <c r="N22" s="58"/>
    </row>
    <row r="23" spans="4:14" ht="15" customHeight="1" x14ac:dyDescent="0.3">
      <c r="D23" s="56"/>
      <c r="E23" s="57"/>
      <c r="F23" s="57"/>
      <c r="G23" s="57"/>
      <c r="H23" s="57"/>
      <c r="I23" s="57"/>
      <c r="J23" s="57"/>
      <c r="K23" s="57"/>
      <c r="L23" s="57"/>
      <c r="M23" s="57"/>
      <c r="N23" s="58"/>
    </row>
    <row r="24" spans="4:14" ht="15" customHeight="1" x14ac:dyDescent="0.3">
      <c r="D24" s="56"/>
      <c r="E24" s="57"/>
      <c r="F24" s="57"/>
      <c r="G24" s="57"/>
      <c r="H24" s="57"/>
      <c r="I24" s="57"/>
      <c r="J24" s="57"/>
      <c r="K24" s="57"/>
      <c r="L24" s="57"/>
      <c r="M24" s="57"/>
      <c r="N24" s="58"/>
    </row>
    <row r="25" spans="4:14" ht="15" customHeight="1" x14ac:dyDescent="0.3">
      <c r="D25" s="56"/>
      <c r="E25" s="57"/>
      <c r="F25" s="57"/>
      <c r="G25" s="57"/>
      <c r="H25" s="57"/>
      <c r="I25" s="57"/>
      <c r="J25" s="57"/>
      <c r="K25" s="57"/>
      <c r="L25" s="57"/>
      <c r="M25" s="57"/>
      <c r="N25" s="58"/>
    </row>
    <row r="26" spans="4:14" ht="15" customHeight="1" x14ac:dyDescent="0.3">
      <c r="D26" s="56"/>
      <c r="E26" s="57"/>
      <c r="F26" s="57"/>
      <c r="G26" s="57"/>
      <c r="H26" s="57"/>
      <c r="I26" s="57"/>
      <c r="J26" s="57"/>
      <c r="K26" s="57"/>
      <c r="L26" s="57"/>
      <c r="M26" s="57"/>
      <c r="N26" s="58"/>
    </row>
    <row r="27" spans="4:14" ht="15" customHeight="1" x14ac:dyDescent="0.3">
      <c r="D27" s="56"/>
      <c r="E27" s="57"/>
      <c r="F27" s="57"/>
      <c r="G27" s="57"/>
      <c r="H27" s="57"/>
      <c r="I27" s="57"/>
      <c r="J27" s="57"/>
      <c r="K27" s="57"/>
      <c r="L27" s="57"/>
      <c r="M27" s="57"/>
      <c r="N27" s="58"/>
    </row>
    <row r="28" spans="4:14" ht="15" customHeight="1" x14ac:dyDescent="0.3">
      <c r="D28" s="56"/>
      <c r="E28" s="57"/>
      <c r="F28" s="57"/>
      <c r="G28" s="57"/>
      <c r="H28" s="57"/>
      <c r="I28" s="57"/>
      <c r="J28" s="57"/>
      <c r="K28" s="57"/>
      <c r="L28" s="57"/>
      <c r="M28" s="57"/>
      <c r="N28" s="58"/>
    </row>
    <row r="29" spans="4:14" ht="15.75" customHeight="1" thickBot="1" x14ac:dyDescent="0.35">
      <c r="D29" s="59"/>
      <c r="E29" s="60"/>
      <c r="F29" s="60"/>
      <c r="G29" s="60"/>
      <c r="H29" s="60"/>
      <c r="I29" s="60"/>
      <c r="J29" s="60"/>
      <c r="K29" s="60"/>
      <c r="L29" s="60"/>
      <c r="M29" s="60"/>
      <c r="N29" s="61"/>
    </row>
  </sheetData>
  <mergeCells count="3">
    <mergeCell ref="D3:N5"/>
    <mergeCell ref="D7:N7"/>
    <mergeCell ref="D9:N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B1:D6"/>
  <sheetViews>
    <sheetView showGridLines="0" zoomScaleNormal="100" workbookViewId="0">
      <selection activeCell="C26" sqref="C26"/>
    </sheetView>
  </sheetViews>
  <sheetFormatPr defaultColWidth="8.88671875" defaultRowHeight="14.4" x14ac:dyDescent="0.3"/>
  <cols>
    <col min="1" max="1" width="2.6640625" style="5" customWidth="1"/>
    <col min="2" max="2" width="36.44140625" style="13" customWidth="1"/>
    <col min="3" max="3" width="48.6640625" style="14" bestFit="1" customWidth="1"/>
    <col min="4" max="4" width="40.44140625" style="15" customWidth="1"/>
    <col min="5" max="16384" width="8.88671875" style="5"/>
  </cols>
  <sheetData>
    <row r="1" spans="2:4" ht="18" x14ac:dyDescent="0.35">
      <c r="B1" s="16" t="s">
        <v>864</v>
      </c>
      <c r="C1" s="17" t="s">
        <v>865</v>
      </c>
      <c r="D1" s="18" t="s">
        <v>866</v>
      </c>
    </row>
    <row r="2" spans="2:4" ht="28.8" x14ac:dyDescent="0.3">
      <c r="B2" s="10" t="s">
        <v>867</v>
      </c>
      <c r="C2" s="11" t="s">
        <v>868</v>
      </c>
      <c r="D2" s="12" t="s">
        <v>869</v>
      </c>
    </row>
    <row r="3" spans="2:4" x14ac:dyDescent="0.3">
      <c r="B3" s="10" t="s">
        <v>870</v>
      </c>
      <c r="C3" s="11" t="s">
        <v>871</v>
      </c>
      <c r="D3" s="12"/>
    </row>
    <row r="4" spans="2:4" ht="28.8" x14ac:dyDescent="0.3">
      <c r="B4" s="10" t="s">
        <v>872</v>
      </c>
      <c r="C4" s="11" t="s">
        <v>873</v>
      </c>
      <c r="D4" s="12"/>
    </row>
    <row r="5" spans="2:4" ht="28.8" x14ac:dyDescent="0.3">
      <c r="B5" s="10" t="s">
        <v>874</v>
      </c>
      <c r="C5" s="11" t="s">
        <v>875</v>
      </c>
      <c r="D5" s="12"/>
    </row>
    <row r="6" spans="2:4" ht="28.8" x14ac:dyDescent="0.3">
      <c r="B6" s="10" t="s">
        <v>876</v>
      </c>
      <c r="C6" s="11" t="s">
        <v>877</v>
      </c>
      <c r="D6"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C1:AB29"/>
  <sheetViews>
    <sheetView showGridLines="0" workbookViewId="0">
      <selection activeCell="G11" sqref="G11"/>
    </sheetView>
  </sheetViews>
  <sheetFormatPr defaultColWidth="8.88671875" defaultRowHeight="14.4" x14ac:dyDescent="0.3"/>
  <cols>
    <col min="1" max="28" width="8.88671875" style="3"/>
    <col min="29" max="30" width="8.88671875" style="3" customWidth="1"/>
    <col min="31" max="16384" width="8.88671875" style="3"/>
  </cols>
  <sheetData>
    <row r="1" spans="3:28" x14ac:dyDescent="0.3">
      <c r="AA1" s="3" t="s">
        <v>1</v>
      </c>
      <c r="AB1" s="3" t="s">
        <v>0</v>
      </c>
    </row>
    <row r="2" spans="3:28" ht="15" thickBot="1" x14ac:dyDescent="0.35">
      <c r="AA2" s="25" t="s">
        <v>850</v>
      </c>
      <c r="AB2" s="26" t="s">
        <v>853</v>
      </c>
    </row>
    <row r="3" spans="3:28" x14ac:dyDescent="0.3">
      <c r="C3" s="27"/>
      <c r="D3" s="28"/>
      <c r="E3" s="28"/>
      <c r="F3" s="28"/>
      <c r="G3" s="28"/>
      <c r="H3" s="28"/>
      <c r="I3" s="28"/>
      <c r="J3" s="28"/>
      <c r="K3" s="29"/>
      <c r="AA3" s="25" t="s">
        <v>851</v>
      </c>
      <c r="AB3" s="26" t="s">
        <v>7</v>
      </c>
    </row>
    <row r="4" spans="3:28" x14ac:dyDescent="0.3">
      <c r="C4" s="30"/>
      <c r="D4" s="21"/>
      <c r="E4" s="21"/>
      <c r="F4" s="21"/>
      <c r="G4" s="21"/>
      <c r="H4" s="21"/>
      <c r="I4" s="21"/>
      <c r="J4" s="21"/>
      <c r="K4" s="22"/>
    </row>
    <row r="5" spans="3:28" x14ac:dyDescent="0.3">
      <c r="C5" s="30"/>
      <c r="D5" s="21"/>
      <c r="E5" s="21"/>
      <c r="F5" s="21"/>
      <c r="G5" s="21"/>
      <c r="H5" s="21"/>
      <c r="I5" s="21"/>
      <c r="J5" s="21"/>
      <c r="K5" s="22"/>
    </row>
    <row r="6" spans="3:28" x14ac:dyDescent="0.3">
      <c r="C6" s="30"/>
      <c r="D6" s="21"/>
      <c r="E6" s="21"/>
      <c r="F6" s="21"/>
      <c r="G6" s="21"/>
      <c r="H6" s="21"/>
      <c r="I6" s="21"/>
      <c r="J6" s="21"/>
      <c r="K6" s="22"/>
    </row>
    <row r="7" spans="3:28" x14ac:dyDescent="0.3">
      <c r="C7" s="30"/>
      <c r="D7" s="21"/>
      <c r="E7" s="21"/>
      <c r="F7" s="21"/>
      <c r="G7" s="21"/>
      <c r="H7" s="21"/>
      <c r="I7" s="21"/>
      <c r="J7" s="21"/>
      <c r="K7" s="22"/>
    </row>
    <row r="8" spans="3:28" x14ac:dyDescent="0.3">
      <c r="C8" s="30"/>
      <c r="D8" s="21"/>
      <c r="E8" s="21"/>
      <c r="F8" s="21"/>
      <c r="G8" s="21"/>
      <c r="H8" s="21"/>
      <c r="I8" s="21"/>
      <c r="J8" s="21"/>
      <c r="K8" s="22"/>
    </row>
    <row r="9" spans="3:28" x14ac:dyDescent="0.3">
      <c r="C9" s="30"/>
      <c r="D9" s="21"/>
      <c r="E9" s="21"/>
      <c r="F9" s="21"/>
      <c r="G9" s="21"/>
      <c r="H9" s="21"/>
      <c r="I9" s="21"/>
      <c r="J9" s="21"/>
      <c r="K9" s="22"/>
    </row>
    <row r="10" spans="3:28" x14ac:dyDescent="0.3">
      <c r="C10" s="30"/>
      <c r="D10" s="21"/>
      <c r="E10" s="21"/>
      <c r="F10" s="21"/>
      <c r="G10" s="21"/>
      <c r="H10" s="21"/>
      <c r="I10" s="21"/>
      <c r="J10" s="21"/>
      <c r="K10" s="22"/>
    </row>
    <row r="11" spans="3:28" x14ac:dyDescent="0.3">
      <c r="C11" s="30"/>
      <c r="D11" s="21"/>
      <c r="E11" s="21"/>
      <c r="F11" s="21"/>
      <c r="G11" s="21"/>
      <c r="H11" s="21"/>
      <c r="I11" s="21"/>
      <c r="J11" s="21"/>
      <c r="K11" s="22"/>
    </row>
    <row r="12" spans="3:28" x14ac:dyDescent="0.3">
      <c r="C12" s="30"/>
      <c r="D12" s="21"/>
      <c r="E12" s="21"/>
      <c r="F12" s="21"/>
      <c r="G12" s="21"/>
      <c r="H12" s="21"/>
      <c r="I12" s="21"/>
      <c r="J12" s="21"/>
      <c r="K12" s="22"/>
    </row>
    <row r="13" spans="3:28" x14ac:dyDescent="0.3">
      <c r="C13" s="30"/>
      <c r="D13" s="21"/>
      <c r="E13" s="21"/>
      <c r="F13" s="21"/>
      <c r="G13" s="21"/>
      <c r="H13" s="21"/>
      <c r="I13" s="21"/>
      <c r="J13" s="21"/>
      <c r="K13" s="22"/>
    </row>
    <row r="14" spans="3:28" x14ac:dyDescent="0.3">
      <c r="C14" s="30"/>
      <c r="D14" s="21"/>
      <c r="E14" s="21"/>
      <c r="F14" s="21"/>
      <c r="G14" s="21"/>
      <c r="H14" s="21"/>
      <c r="I14" s="21"/>
      <c r="J14" s="21"/>
      <c r="K14" s="22"/>
    </row>
    <row r="15" spans="3:28" x14ac:dyDescent="0.3">
      <c r="C15" s="30"/>
      <c r="D15" s="21"/>
      <c r="E15" s="21"/>
      <c r="F15" s="21"/>
      <c r="G15" s="21"/>
      <c r="H15" s="21"/>
      <c r="I15" s="21"/>
      <c r="J15" s="21"/>
      <c r="K15" s="22"/>
    </row>
    <row r="16" spans="3:28" x14ac:dyDescent="0.3">
      <c r="C16" s="30"/>
      <c r="D16" s="21"/>
      <c r="E16" s="21"/>
      <c r="F16" s="21"/>
      <c r="G16" s="21"/>
      <c r="H16" s="21"/>
      <c r="I16" s="21"/>
      <c r="J16" s="21"/>
      <c r="K16" s="22"/>
    </row>
    <row r="17" spans="3:12" ht="15" thickBot="1" x14ac:dyDescent="0.35">
      <c r="C17" s="31"/>
      <c r="D17" s="32"/>
      <c r="E17" s="32"/>
      <c r="F17" s="32"/>
      <c r="G17" s="32"/>
      <c r="H17" s="32"/>
      <c r="I17" s="32"/>
      <c r="J17" s="32"/>
      <c r="K17" s="33"/>
    </row>
    <row r="18" spans="3:12" ht="15" customHeight="1" x14ac:dyDescent="0.3">
      <c r="C18" s="62" t="s">
        <v>881</v>
      </c>
      <c r="D18" s="62"/>
      <c r="E18" s="62"/>
      <c r="F18" s="62"/>
      <c r="G18" s="62"/>
      <c r="H18" s="62"/>
      <c r="I18" s="62"/>
      <c r="J18" s="62"/>
      <c r="K18" s="62"/>
      <c r="L18" s="34"/>
    </row>
    <row r="19" spans="3:12" x14ac:dyDescent="0.3">
      <c r="C19" s="63"/>
      <c r="D19" s="63"/>
      <c r="E19" s="63"/>
      <c r="F19" s="63"/>
      <c r="G19" s="63"/>
      <c r="H19" s="63"/>
      <c r="I19" s="63"/>
      <c r="J19" s="63"/>
      <c r="K19" s="63"/>
      <c r="L19" s="34"/>
    </row>
    <row r="20" spans="3:12" x14ac:dyDescent="0.3">
      <c r="C20" s="63"/>
      <c r="D20" s="63"/>
      <c r="E20" s="63"/>
      <c r="F20" s="63"/>
      <c r="G20" s="63"/>
      <c r="H20" s="63"/>
      <c r="I20" s="63"/>
      <c r="J20" s="63"/>
      <c r="K20" s="63"/>
      <c r="L20" s="34"/>
    </row>
    <row r="21" spans="3:12" x14ac:dyDescent="0.3">
      <c r="C21" s="63"/>
      <c r="D21" s="63"/>
      <c r="E21" s="63"/>
      <c r="F21" s="63"/>
      <c r="G21" s="63"/>
      <c r="H21" s="63"/>
      <c r="I21" s="63"/>
      <c r="J21" s="63"/>
      <c r="K21" s="63"/>
      <c r="L21" s="34"/>
    </row>
    <row r="22" spans="3:12" x14ac:dyDescent="0.3">
      <c r="C22" s="63"/>
      <c r="D22" s="63"/>
      <c r="E22" s="63"/>
      <c r="F22" s="63"/>
      <c r="G22" s="63"/>
      <c r="H22" s="63"/>
      <c r="I22" s="63"/>
      <c r="J22" s="63"/>
      <c r="K22" s="63"/>
      <c r="L22" s="34"/>
    </row>
    <row r="23" spans="3:12" x14ac:dyDescent="0.3">
      <c r="C23" s="63"/>
      <c r="D23" s="63"/>
      <c r="E23" s="63"/>
      <c r="F23" s="63"/>
      <c r="G23" s="63"/>
      <c r="H23" s="63"/>
      <c r="I23" s="63"/>
      <c r="J23" s="63"/>
      <c r="K23" s="63"/>
      <c r="L23" s="34"/>
    </row>
    <row r="24" spans="3:12" x14ac:dyDescent="0.3">
      <c r="C24" s="63"/>
      <c r="D24" s="63"/>
      <c r="E24" s="63"/>
      <c r="F24" s="63"/>
      <c r="G24" s="63"/>
      <c r="H24" s="63"/>
      <c r="I24" s="63"/>
      <c r="J24" s="63"/>
      <c r="K24" s="63"/>
      <c r="L24" s="34"/>
    </row>
    <row r="25" spans="3:12" x14ac:dyDescent="0.3">
      <c r="C25" s="63"/>
      <c r="D25" s="63"/>
      <c r="E25" s="63"/>
      <c r="F25" s="63"/>
      <c r="G25" s="63"/>
      <c r="H25" s="63"/>
      <c r="I25" s="63"/>
      <c r="J25" s="63"/>
      <c r="K25" s="63"/>
      <c r="L25" s="34"/>
    </row>
    <row r="26" spans="3:12" x14ac:dyDescent="0.3">
      <c r="C26" s="63"/>
      <c r="D26" s="63"/>
      <c r="E26" s="63"/>
      <c r="F26" s="63"/>
      <c r="G26" s="63"/>
      <c r="H26" s="63"/>
      <c r="I26" s="63"/>
      <c r="J26" s="63"/>
      <c r="K26" s="63"/>
      <c r="L26" s="34"/>
    </row>
    <row r="27" spans="3:12" x14ac:dyDescent="0.3">
      <c r="C27" s="63"/>
      <c r="D27" s="63"/>
      <c r="E27" s="63"/>
      <c r="F27" s="63"/>
      <c r="G27" s="63"/>
      <c r="H27" s="63"/>
      <c r="I27" s="63"/>
      <c r="J27" s="63"/>
      <c r="K27" s="63"/>
      <c r="L27" s="34"/>
    </row>
    <row r="28" spans="3:12" x14ac:dyDescent="0.3">
      <c r="C28" s="63"/>
      <c r="D28" s="63"/>
      <c r="E28" s="63"/>
      <c r="F28" s="63"/>
      <c r="G28" s="63"/>
      <c r="H28" s="63"/>
      <c r="I28" s="63"/>
      <c r="J28" s="63"/>
      <c r="K28" s="63"/>
      <c r="L28" s="34"/>
    </row>
    <row r="29" spans="3:12" x14ac:dyDescent="0.3">
      <c r="C29" s="34"/>
      <c r="D29" s="34"/>
      <c r="E29" s="34"/>
      <c r="F29" s="34"/>
      <c r="G29" s="34"/>
      <c r="H29" s="34"/>
      <c r="I29" s="34"/>
      <c r="J29" s="34"/>
      <c r="K29" s="34"/>
      <c r="L29" s="34"/>
    </row>
  </sheetData>
  <mergeCells count="1">
    <mergeCell ref="C18:K28"/>
  </mergeCells>
  <hyperlinks>
    <hyperlink ref="AB3" r:id="rId1" xr:uid="{1FBFD298-08D7-48E6-AB20-54A1692CC07E}"/>
    <hyperlink ref="AB2" r:id="rId2" xr:uid="{B2D4A8A8-81A2-4AE4-A67E-B20FBDE168A6}"/>
  </hyperlinks>
  <pageMargins left="0.7" right="0.7" top="0.75" bottom="0.75" header="0.3" footer="0.3"/>
  <pageSetup paperSize="9" orientation="portrait" r:id="rId3"/>
  <drawing r:id="rId4"/>
  <legacyDrawing r:id="rId5"/>
  <controls>
    <mc:AlternateContent xmlns:mc="http://schemas.openxmlformats.org/markup-compatibility/2006">
      <mc:Choice Requires="x14">
        <control shapeId="3073" r:id="rId6" name="CommandButton1">
          <controlPr defaultSize="0" autoFill="0" autoLine="0" autoPict="0" r:id="rId7">
            <anchor moveWithCells="1">
              <from>
                <xdr:col>3</xdr:col>
                <xdr:colOff>60960</xdr:colOff>
                <xdr:row>4</xdr:row>
                <xdr:rowOff>60960</xdr:rowOff>
              </from>
              <to>
                <xdr:col>10</xdr:col>
                <xdr:colOff>7620</xdr:colOff>
                <xdr:row>9</xdr:row>
                <xdr:rowOff>175260</xdr:rowOff>
              </to>
            </anchor>
          </controlPr>
        </control>
      </mc:Choice>
      <mc:Fallback>
        <control shapeId="3073" r:id="rId6" name="CommandButton1"/>
      </mc:Fallback>
    </mc:AlternateContent>
    <mc:AlternateContent xmlns:mc="http://schemas.openxmlformats.org/markup-compatibility/2006">
      <mc:Choice Requires="x14">
        <control shapeId="3074" r:id="rId8" name="CommandButton2">
          <controlPr defaultSize="0" autoLine="0" autoPict="0" r:id="rId9">
            <anchor moveWithCells="1">
              <from>
                <xdr:col>3</xdr:col>
                <xdr:colOff>7620</xdr:colOff>
                <xdr:row>11</xdr:row>
                <xdr:rowOff>7620</xdr:rowOff>
              </from>
              <to>
                <xdr:col>5</xdr:col>
                <xdr:colOff>609600</xdr:colOff>
                <xdr:row>13</xdr:row>
                <xdr:rowOff>0</xdr:rowOff>
              </to>
            </anchor>
          </controlPr>
        </control>
      </mc:Choice>
      <mc:Fallback>
        <control shapeId="3074" r:id="rId8" name="CommandButton2"/>
      </mc:Fallback>
    </mc:AlternateContent>
    <mc:AlternateContent xmlns:mc="http://schemas.openxmlformats.org/markup-compatibility/2006">
      <mc:Choice Requires="x14">
        <control shapeId="3075" r:id="rId10" name="Button 3">
          <controlPr defaultSize="0" print="0" autoFill="0" autoPict="0" macro="[0]!Sheet2.Reset">
            <anchor moveWithCells="1" sizeWithCells="1">
              <from>
                <xdr:col>7</xdr:col>
                <xdr:colOff>7620</xdr:colOff>
                <xdr:row>10</xdr:row>
                <xdr:rowOff>175260</xdr:rowOff>
              </from>
              <to>
                <xdr:col>10</xdr:col>
                <xdr:colOff>7620</xdr:colOff>
                <xdr:row>12</xdr:row>
                <xdr:rowOff>175260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6ABCD-F922-4FFF-BEA2-C7D1B4E8BF10}">
  <sheetPr codeName="Sheet3"/>
  <dimension ref="A1:O422"/>
  <sheetViews>
    <sheetView workbookViewId="0">
      <selection activeCell="M3" sqref="M3:M422"/>
    </sheetView>
  </sheetViews>
  <sheetFormatPr defaultRowHeight="14.4" x14ac:dyDescent="0.3"/>
  <cols>
    <col min="11" max="11" width="10.44140625" bestFit="1" customWidth="1"/>
    <col min="12" max="12" width="12.5546875" bestFit="1" customWidth="1"/>
  </cols>
  <sheetData>
    <row r="1" spans="1:15" x14ac:dyDescent="0.3">
      <c r="A1" t="s">
        <v>2</v>
      </c>
      <c r="K1" t="s">
        <v>3</v>
      </c>
      <c r="L1" t="s">
        <v>4</v>
      </c>
      <c r="M1" t="s">
        <v>852</v>
      </c>
      <c r="O1" t="s">
        <v>878</v>
      </c>
    </row>
    <row r="2" spans="1:15" x14ac:dyDescent="0.3">
      <c r="A2" t="s">
        <v>428</v>
      </c>
      <c r="K2" s="1" t="str">
        <f>LEFT(A2,10)</f>
        <v>1985-07-01</v>
      </c>
      <c r="L2">
        <v>1347.4499510000001</v>
      </c>
      <c r="O2" s="2">
        <v>8.0753412546213238E-3</v>
      </c>
    </row>
    <row r="3" spans="1:15" x14ac:dyDescent="0.3">
      <c r="A3" t="s">
        <v>429</v>
      </c>
      <c r="K3" s="1" t="str">
        <f t="shared" ref="K3:K66" si="0">LEFT(A3,10)</f>
        <v>1985-08-01</v>
      </c>
      <c r="L3">
        <v>1334.01001</v>
      </c>
      <c r="M3" s="2">
        <f>(L3/L2)-1</f>
        <v>-9.9743526577931174E-3</v>
      </c>
    </row>
    <row r="4" spans="1:15" x14ac:dyDescent="0.3">
      <c r="A4" t="s">
        <v>430</v>
      </c>
      <c r="K4" s="1" t="str">
        <f t="shared" si="0"/>
        <v>1985-09-01</v>
      </c>
      <c r="L4">
        <v>1328.630005</v>
      </c>
      <c r="M4" s="2">
        <f t="shared" ref="M4:M67" si="1">(L4/L3)-1</f>
        <v>-4.0329569940783516E-3</v>
      </c>
    </row>
    <row r="5" spans="1:15" x14ac:dyDescent="0.3">
      <c r="A5" t="s">
        <v>431</v>
      </c>
      <c r="K5" s="1" t="str">
        <f t="shared" si="0"/>
        <v>1985-10-01</v>
      </c>
      <c r="L5">
        <v>1374.3100589999999</v>
      </c>
      <c r="M5" s="2">
        <f t="shared" si="1"/>
        <v>3.4381320479059951E-2</v>
      </c>
    </row>
    <row r="6" spans="1:15" x14ac:dyDescent="0.3">
      <c r="A6" t="s">
        <v>432</v>
      </c>
      <c r="K6" s="1" t="str">
        <f t="shared" si="0"/>
        <v>1985-11-01</v>
      </c>
      <c r="L6">
        <v>1472.130005</v>
      </c>
      <c r="M6" s="2">
        <f t="shared" si="1"/>
        <v>7.1177494015562726E-2</v>
      </c>
    </row>
    <row r="7" spans="1:15" x14ac:dyDescent="0.3">
      <c r="A7" t="s">
        <v>433</v>
      </c>
      <c r="K7" s="1" t="str">
        <f t="shared" si="0"/>
        <v>1985-12-01</v>
      </c>
      <c r="L7">
        <v>1546.670044</v>
      </c>
      <c r="M7" s="2">
        <f t="shared" si="1"/>
        <v>5.0634141513880682E-2</v>
      </c>
    </row>
    <row r="8" spans="1:15" x14ac:dyDescent="0.3">
      <c r="A8" t="s">
        <v>434</v>
      </c>
      <c r="K8" s="1" t="str">
        <f t="shared" si="0"/>
        <v>1986-01-01</v>
      </c>
      <c r="L8">
        <v>1570.98999</v>
      </c>
      <c r="M8" s="2">
        <f t="shared" si="1"/>
        <v>1.572406868183962E-2</v>
      </c>
    </row>
    <row r="9" spans="1:15" x14ac:dyDescent="0.3">
      <c r="A9" t="s">
        <v>435</v>
      </c>
      <c r="K9" s="1" t="str">
        <f t="shared" si="0"/>
        <v>1986-02-01</v>
      </c>
      <c r="L9">
        <v>1709.0600589999999</v>
      </c>
      <c r="M9" s="2">
        <f t="shared" si="1"/>
        <v>8.7887300287635695E-2</v>
      </c>
    </row>
    <row r="10" spans="1:15" x14ac:dyDescent="0.3">
      <c r="A10" t="s">
        <v>436</v>
      </c>
      <c r="K10" s="1" t="str">
        <f t="shared" si="0"/>
        <v>1986-03-01</v>
      </c>
      <c r="L10">
        <v>1818.6099850000001</v>
      </c>
      <c r="M10" s="2">
        <f t="shared" si="1"/>
        <v>6.4099517991251576E-2</v>
      </c>
    </row>
    <row r="11" spans="1:15" x14ac:dyDescent="0.3">
      <c r="A11" t="s">
        <v>437</v>
      </c>
      <c r="K11" s="1" t="str">
        <f t="shared" si="0"/>
        <v>1986-04-01</v>
      </c>
      <c r="L11">
        <v>1783.9799800000001</v>
      </c>
      <c r="M11" s="2">
        <f t="shared" si="1"/>
        <v>-1.9042018511737147E-2</v>
      </c>
    </row>
    <row r="12" spans="1:15" x14ac:dyDescent="0.3">
      <c r="A12" t="s">
        <v>438</v>
      </c>
      <c r="K12" s="1" t="str">
        <f t="shared" si="0"/>
        <v>1986-05-01</v>
      </c>
      <c r="L12">
        <v>1876.709961</v>
      </c>
      <c r="M12" s="2">
        <f t="shared" si="1"/>
        <v>5.1979272211339467E-2</v>
      </c>
    </row>
    <row r="13" spans="1:15" x14ac:dyDescent="0.3">
      <c r="A13" t="s">
        <v>439</v>
      </c>
      <c r="K13" s="1" t="str">
        <f t="shared" si="0"/>
        <v>1986-06-01</v>
      </c>
      <c r="L13">
        <v>1892.719971</v>
      </c>
      <c r="M13" s="2">
        <f t="shared" si="1"/>
        <v>8.5308920039348646E-3</v>
      </c>
    </row>
    <row r="14" spans="1:15" x14ac:dyDescent="0.3">
      <c r="A14" t="s">
        <v>440</v>
      </c>
      <c r="K14" s="1" t="str">
        <f t="shared" si="0"/>
        <v>1986-07-01</v>
      </c>
      <c r="L14">
        <v>1775.3100589999999</v>
      </c>
      <c r="M14" s="2">
        <f t="shared" si="1"/>
        <v>-6.2032373409135477E-2</v>
      </c>
    </row>
    <row r="15" spans="1:15" x14ac:dyDescent="0.3">
      <c r="A15" t="s">
        <v>441</v>
      </c>
      <c r="K15" s="1" t="str">
        <f t="shared" si="0"/>
        <v>1986-08-01</v>
      </c>
      <c r="L15">
        <v>1898.339966</v>
      </c>
      <c r="M15" s="2">
        <f t="shared" si="1"/>
        <v>6.9300518169372882E-2</v>
      </c>
    </row>
    <row r="16" spans="1:15" x14ac:dyDescent="0.3">
      <c r="A16" t="s">
        <v>442</v>
      </c>
      <c r="K16" s="1" t="str">
        <f t="shared" si="0"/>
        <v>1986-09-01</v>
      </c>
      <c r="L16">
        <v>1767.579956</v>
      </c>
      <c r="M16" s="2">
        <f t="shared" si="1"/>
        <v>-6.8881239578769904E-2</v>
      </c>
    </row>
    <row r="17" spans="1:13" x14ac:dyDescent="0.3">
      <c r="A17" t="s">
        <v>443</v>
      </c>
      <c r="K17" s="1" t="str">
        <f t="shared" si="0"/>
        <v>1986-10-01</v>
      </c>
      <c r="L17">
        <v>1877.709961</v>
      </c>
      <c r="M17" s="2">
        <f t="shared" si="1"/>
        <v>6.2305529447857166E-2</v>
      </c>
    </row>
    <row r="18" spans="1:13" x14ac:dyDescent="0.3">
      <c r="A18" t="s">
        <v>444</v>
      </c>
      <c r="K18" s="1" t="str">
        <f t="shared" si="0"/>
        <v>1986-11-01</v>
      </c>
      <c r="L18">
        <v>1914.2299800000001</v>
      </c>
      <c r="M18" s="2">
        <f t="shared" si="1"/>
        <v>1.944923324609249E-2</v>
      </c>
    </row>
    <row r="19" spans="1:13" x14ac:dyDescent="0.3">
      <c r="A19" t="s">
        <v>445</v>
      </c>
      <c r="K19" s="1" t="str">
        <f t="shared" si="0"/>
        <v>1986-12-01</v>
      </c>
      <c r="L19">
        <v>1895.9499510000001</v>
      </c>
      <c r="M19" s="2">
        <f t="shared" si="1"/>
        <v>-9.5495469149428081E-3</v>
      </c>
    </row>
    <row r="20" spans="1:13" x14ac:dyDescent="0.3">
      <c r="A20" t="s">
        <v>446</v>
      </c>
      <c r="K20" s="1" t="str">
        <f t="shared" si="0"/>
        <v>1987-01-01</v>
      </c>
      <c r="L20">
        <v>2158.040039</v>
      </c>
      <c r="M20" s="2">
        <f t="shared" si="1"/>
        <v>0.13823681783464958</v>
      </c>
    </row>
    <row r="21" spans="1:13" x14ac:dyDescent="0.3">
      <c r="A21" t="s">
        <v>447</v>
      </c>
      <c r="K21" s="1" t="str">
        <f t="shared" si="0"/>
        <v>1987-02-01</v>
      </c>
      <c r="L21">
        <v>2223.98999</v>
      </c>
      <c r="M21" s="2">
        <f t="shared" si="1"/>
        <v>3.0560114644842429E-2</v>
      </c>
    </row>
    <row r="22" spans="1:13" x14ac:dyDescent="0.3">
      <c r="A22" t="s">
        <v>448</v>
      </c>
      <c r="K22" s="1" t="str">
        <f t="shared" si="0"/>
        <v>1987-03-01</v>
      </c>
      <c r="L22">
        <v>2304.6899410000001</v>
      </c>
      <c r="M22" s="2">
        <f t="shared" si="1"/>
        <v>3.6286112510785173E-2</v>
      </c>
    </row>
    <row r="23" spans="1:13" x14ac:dyDescent="0.3">
      <c r="A23" t="s">
        <v>449</v>
      </c>
      <c r="K23" s="1" t="str">
        <f t="shared" si="0"/>
        <v>1987-04-01</v>
      </c>
      <c r="L23">
        <v>2286.360107</v>
      </c>
      <c r="M23" s="2">
        <f t="shared" si="1"/>
        <v>-7.9532754814067852E-3</v>
      </c>
    </row>
    <row r="24" spans="1:13" x14ac:dyDescent="0.3">
      <c r="A24" t="s">
        <v>450</v>
      </c>
      <c r="K24" s="1" t="str">
        <f t="shared" si="0"/>
        <v>1987-05-01</v>
      </c>
      <c r="L24">
        <v>2291.570068</v>
      </c>
      <c r="M24" s="2">
        <f t="shared" si="1"/>
        <v>2.2787140940960793E-3</v>
      </c>
    </row>
    <row r="25" spans="1:13" x14ac:dyDescent="0.3">
      <c r="A25" t="s">
        <v>451</v>
      </c>
      <c r="K25" s="1" t="str">
        <f t="shared" si="0"/>
        <v>1987-06-01</v>
      </c>
      <c r="L25">
        <v>2418.530029</v>
      </c>
      <c r="M25" s="2">
        <f t="shared" si="1"/>
        <v>5.5403045611782664E-2</v>
      </c>
    </row>
    <row r="26" spans="1:13" x14ac:dyDescent="0.3">
      <c r="A26" t="s">
        <v>452</v>
      </c>
      <c r="K26" s="1" t="str">
        <f t="shared" si="0"/>
        <v>1987-07-01</v>
      </c>
      <c r="L26">
        <v>2572.070068</v>
      </c>
      <c r="M26" s="2">
        <f t="shared" si="1"/>
        <v>6.3484859463781351E-2</v>
      </c>
    </row>
    <row r="27" spans="1:13" x14ac:dyDescent="0.3">
      <c r="A27" t="s">
        <v>453</v>
      </c>
      <c r="K27" s="1" t="str">
        <f t="shared" si="0"/>
        <v>1987-08-01</v>
      </c>
      <c r="L27">
        <v>2662.9499510000001</v>
      </c>
      <c r="M27" s="2">
        <f t="shared" si="1"/>
        <v>3.533336207697757E-2</v>
      </c>
    </row>
    <row r="28" spans="1:13" x14ac:dyDescent="0.3">
      <c r="A28" t="s">
        <v>454</v>
      </c>
      <c r="K28" s="1" t="str">
        <f t="shared" si="0"/>
        <v>1987-09-01</v>
      </c>
      <c r="L28">
        <v>2596.280029</v>
      </c>
      <c r="M28" s="2">
        <f t="shared" si="1"/>
        <v>-2.503611529573202E-2</v>
      </c>
    </row>
    <row r="29" spans="1:13" x14ac:dyDescent="0.3">
      <c r="A29" t="s">
        <v>455</v>
      </c>
      <c r="K29" s="1" t="str">
        <f t="shared" si="0"/>
        <v>1987-10-01</v>
      </c>
      <c r="L29">
        <v>1993.530029</v>
      </c>
      <c r="M29" s="2">
        <f t="shared" si="1"/>
        <v>-0.23215908656515727</v>
      </c>
    </row>
    <row r="30" spans="1:13" x14ac:dyDescent="0.3">
      <c r="A30" t="s">
        <v>456</v>
      </c>
      <c r="K30" s="1" t="str">
        <f t="shared" si="0"/>
        <v>1987-11-01</v>
      </c>
      <c r="L30">
        <v>1833.5500489999999</v>
      </c>
      <c r="M30" s="2">
        <f t="shared" si="1"/>
        <v>-8.0249596280347779E-2</v>
      </c>
    </row>
    <row r="31" spans="1:13" x14ac:dyDescent="0.3">
      <c r="A31" t="s">
        <v>457</v>
      </c>
      <c r="K31" s="1" t="str">
        <f t="shared" si="0"/>
        <v>1987-12-01</v>
      </c>
      <c r="L31">
        <v>1938.829956</v>
      </c>
      <c r="M31" s="2">
        <f t="shared" si="1"/>
        <v>5.7418616447049597E-2</v>
      </c>
    </row>
    <row r="32" spans="1:13" x14ac:dyDescent="0.3">
      <c r="A32" t="s">
        <v>458</v>
      </c>
      <c r="K32" s="1" t="str">
        <f t="shared" si="0"/>
        <v>1988-01-01</v>
      </c>
      <c r="L32">
        <v>1958.219971</v>
      </c>
      <c r="M32" s="2">
        <f t="shared" si="1"/>
        <v>1.000088478104777E-2</v>
      </c>
    </row>
    <row r="33" spans="1:13" x14ac:dyDescent="0.3">
      <c r="A33" t="s">
        <v>459</v>
      </c>
      <c r="K33" s="1" t="str">
        <f t="shared" si="0"/>
        <v>1988-02-01</v>
      </c>
      <c r="L33">
        <v>2071.6201169999999</v>
      </c>
      <c r="M33" s="2">
        <f t="shared" si="1"/>
        <v>5.7909809765697595E-2</v>
      </c>
    </row>
    <row r="34" spans="1:13" x14ac:dyDescent="0.3">
      <c r="A34" t="s">
        <v>460</v>
      </c>
      <c r="K34" s="1" t="str">
        <f t="shared" si="0"/>
        <v>1988-03-01</v>
      </c>
      <c r="L34">
        <v>1988.0600589999999</v>
      </c>
      <c r="M34" s="2">
        <f t="shared" si="1"/>
        <v>-4.0335608499982523E-2</v>
      </c>
    </row>
    <row r="35" spans="1:13" x14ac:dyDescent="0.3">
      <c r="A35" t="s">
        <v>461</v>
      </c>
      <c r="K35" s="1" t="str">
        <f t="shared" si="0"/>
        <v>1988-04-01</v>
      </c>
      <c r="L35">
        <v>2032.329956</v>
      </c>
      <c r="M35" s="2">
        <f t="shared" si="1"/>
        <v>2.2267887129258979E-2</v>
      </c>
    </row>
    <row r="36" spans="1:13" x14ac:dyDescent="0.3">
      <c r="A36" t="s">
        <v>462</v>
      </c>
      <c r="K36" s="1" t="str">
        <f t="shared" si="0"/>
        <v>1988-05-01</v>
      </c>
      <c r="L36">
        <v>2031.119995</v>
      </c>
      <c r="M36" s="2">
        <f t="shared" si="1"/>
        <v>-5.9535657407783216E-4</v>
      </c>
    </row>
    <row r="37" spans="1:13" x14ac:dyDescent="0.3">
      <c r="A37" t="s">
        <v>463</v>
      </c>
      <c r="K37" s="1" t="str">
        <f t="shared" si="0"/>
        <v>1988-06-01</v>
      </c>
      <c r="L37">
        <v>2141.709961</v>
      </c>
      <c r="M37" s="2">
        <f t="shared" si="1"/>
        <v>5.4447775745519067E-2</v>
      </c>
    </row>
    <row r="38" spans="1:13" x14ac:dyDescent="0.3">
      <c r="A38" t="s">
        <v>464</v>
      </c>
      <c r="K38" s="1" t="str">
        <f t="shared" si="0"/>
        <v>1988-07-01</v>
      </c>
      <c r="L38">
        <v>2128.7299800000001</v>
      </c>
      <c r="M38" s="2">
        <f t="shared" si="1"/>
        <v>-6.0605690015744784E-3</v>
      </c>
    </row>
    <row r="39" spans="1:13" x14ac:dyDescent="0.3">
      <c r="A39" t="s">
        <v>465</v>
      </c>
      <c r="K39" s="1" t="str">
        <f t="shared" si="0"/>
        <v>1988-08-01</v>
      </c>
      <c r="L39">
        <v>2031.650024</v>
      </c>
      <c r="M39" s="2">
        <f t="shared" si="1"/>
        <v>-4.5604636056283732E-2</v>
      </c>
    </row>
    <row r="40" spans="1:13" x14ac:dyDescent="0.3">
      <c r="A40" t="s">
        <v>466</v>
      </c>
      <c r="K40" s="1" t="str">
        <f t="shared" si="0"/>
        <v>1988-09-01</v>
      </c>
      <c r="L40">
        <v>2112.9099120000001</v>
      </c>
      <c r="M40" s="2">
        <f t="shared" si="1"/>
        <v>3.9996991135319737E-2</v>
      </c>
    </row>
    <row r="41" spans="1:13" x14ac:dyDescent="0.3">
      <c r="A41" t="s">
        <v>467</v>
      </c>
      <c r="K41" s="1" t="str">
        <f t="shared" si="0"/>
        <v>1988-10-01</v>
      </c>
      <c r="L41">
        <v>2148.6499020000001</v>
      </c>
      <c r="M41" s="2">
        <f t="shared" si="1"/>
        <v>1.6915056244007021E-2</v>
      </c>
    </row>
    <row r="42" spans="1:13" x14ac:dyDescent="0.3">
      <c r="A42" t="s">
        <v>468</v>
      </c>
      <c r="K42" s="1" t="str">
        <f t="shared" si="0"/>
        <v>1988-11-01</v>
      </c>
      <c r="L42">
        <v>2114.51001</v>
      </c>
      <c r="M42" s="2">
        <f t="shared" si="1"/>
        <v>-1.5888997071240918E-2</v>
      </c>
    </row>
    <row r="43" spans="1:13" x14ac:dyDescent="0.3">
      <c r="A43" t="s">
        <v>469</v>
      </c>
      <c r="K43" s="1" t="str">
        <f t="shared" si="0"/>
        <v>1988-12-01</v>
      </c>
      <c r="L43">
        <v>2168.570068</v>
      </c>
      <c r="M43" s="2">
        <f t="shared" si="1"/>
        <v>2.5566234136673582E-2</v>
      </c>
    </row>
    <row r="44" spans="1:13" x14ac:dyDescent="0.3">
      <c r="A44" t="s">
        <v>470</v>
      </c>
      <c r="K44" s="1" t="str">
        <f t="shared" si="0"/>
        <v>1989-01-01</v>
      </c>
      <c r="L44">
        <v>2342.320068</v>
      </c>
      <c r="M44" s="2">
        <f t="shared" si="1"/>
        <v>8.0121921151592668E-2</v>
      </c>
    </row>
    <row r="45" spans="1:13" x14ac:dyDescent="0.3">
      <c r="A45" t="s">
        <v>471</v>
      </c>
      <c r="K45" s="1" t="str">
        <f t="shared" si="0"/>
        <v>1989-02-01</v>
      </c>
      <c r="L45">
        <v>2258.389893</v>
      </c>
      <c r="M45" s="2">
        <f t="shared" si="1"/>
        <v>-3.5832069300274605E-2</v>
      </c>
    </row>
    <row r="46" spans="1:13" x14ac:dyDescent="0.3">
      <c r="A46" t="s">
        <v>472</v>
      </c>
      <c r="K46" s="1" t="str">
        <f t="shared" si="0"/>
        <v>1989-03-01</v>
      </c>
      <c r="L46">
        <v>2293.6201169999999</v>
      </c>
      <c r="M46" s="2">
        <f t="shared" si="1"/>
        <v>1.5599708495507292E-2</v>
      </c>
    </row>
    <row r="47" spans="1:13" x14ac:dyDescent="0.3">
      <c r="A47" t="s">
        <v>473</v>
      </c>
      <c r="K47" s="1" t="str">
        <f t="shared" si="0"/>
        <v>1989-04-01</v>
      </c>
      <c r="L47">
        <v>2418.8000489999999</v>
      </c>
      <c r="M47" s="2">
        <f t="shared" si="1"/>
        <v>5.4577447709053262E-2</v>
      </c>
    </row>
    <row r="48" spans="1:13" x14ac:dyDescent="0.3">
      <c r="A48" t="s">
        <v>474</v>
      </c>
      <c r="K48" s="1" t="str">
        <f t="shared" si="0"/>
        <v>1989-05-01</v>
      </c>
      <c r="L48">
        <v>2480.1499020000001</v>
      </c>
      <c r="M48" s="2">
        <f t="shared" si="1"/>
        <v>2.5363755480889649E-2</v>
      </c>
    </row>
    <row r="49" spans="1:13" x14ac:dyDescent="0.3">
      <c r="A49" t="s">
        <v>475</v>
      </c>
      <c r="K49" s="1" t="str">
        <f t="shared" si="0"/>
        <v>1989-06-01</v>
      </c>
      <c r="L49">
        <v>2440.0600589999999</v>
      </c>
      <c r="M49" s="2">
        <f t="shared" si="1"/>
        <v>-1.616428223458255E-2</v>
      </c>
    </row>
    <row r="50" spans="1:13" x14ac:dyDescent="0.3">
      <c r="A50" t="s">
        <v>476</v>
      </c>
      <c r="K50" s="1" t="str">
        <f t="shared" si="0"/>
        <v>1989-07-01</v>
      </c>
      <c r="L50">
        <v>2660.6599120000001</v>
      </c>
      <c r="M50" s="2">
        <f t="shared" si="1"/>
        <v>9.0407550497100253E-2</v>
      </c>
    </row>
    <row r="51" spans="1:13" x14ac:dyDescent="0.3">
      <c r="A51" t="s">
        <v>477</v>
      </c>
      <c r="K51" s="1" t="str">
        <f t="shared" si="0"/>
        <v>1989-08-01</v>
      </c>
      <c r="L51">
        <v>2737.2700199999999</v>
      </c>
      <c r="M51" s="2">
        <f t="shared" si="1"/>
        <v>2.8793649144889244E-2</v>
      </c>
    </row>
    <row r="52" spans="1:13" x14ac:dyDescent="0.3">
      <c r="A52" t="s">
        <v>478</v>
      </c>
      <c r="K52" s="1" t="str">
        <f t="shared" si="0"/>
        <v>1989-09-01</v>
      </c>
      <c r="L52">
        <v>2692.820068</v>
      </c>
      <c r="M52" s="2">
        <f t="shared" si="1"/>
        <v>-1.6238789624415606E-2</v>
      </c>
    </row>
    <row r="53" spans="1:13" x14ac:dyDescent="0.3">
      <c r="A53" t="s">
        <v>479</v>
      </c>
      <c r="K53" s="1" t="str">
        <f t="shared" si="0"/>
        <v>1989-10-01</v>
      </c>
      <c r="L53">
        <v>2645.080078</v>
      </c>
      <c r="M53" s="2">
        <f t="shared" si="1"/>
        <v>-1.7728622334375777E-2</v>
      </c>
    </row>
    <row r="54" spans="1:13" x14ac:dyDescent="0.3">
      <c r="A54" t="s">
        <v>480</v>
      </c>
      <c r="K54" s="1" t="str">
        <f t="shared" si="0"/>
        <v>1989-11-01</v>
      </c>
      <c r="L54">
        <v>2706.2700199999999</v>
      </c>
      <c r="M54" s="2">
        <f t="shared" si="1"/>
        <v>2.3133493200805821E-2</v>
      </c>
    </row>
    <row r="55" spans="1:13" x14ac:dyDescent="0.3">
      <c r="A55" t="s">
        <v>481</v>
      </c>
      <c r="K55" s="1" t="str">
        <f t="shared" si="0"/>
        <v>1989-12-01</v>
      </c>
      <c r="L55">
        <v>2753.1999510000001</v>
      </c>
      <c r="M55" s="2">
        <f t="shared" si="1"/>
        <v>1.7341185710655793E-2</v>
      </c>
    </row>
    <row r="56" spans="1:13" x14ac:dyDescent="0.3">
      <c r="A56" t="s">
        <v>482</v>
      </c>
      <c r="K56" s="1" t="str">
        <f t="shared" si="0"/>
        <v>1990-01-01</v>
      </c>
      <c r="L56">
        <v>2590.540039</v>
      </c>
      <c r="M56" s="2">
        <f t="shared" si="1"/>
        <v>-5.9080311962420251E-2</v>
      </c>
    </row>
    <row r="57" spans="1:13" x14ac:dyDescent="0.3">
      <c r="A57" t="s">
        <v>483</v>
      </c>
      <c r="K57" s="1" t="str">
        <f t="shared" si="0"/>
        <v>1990-02-01</v>
      </c>
      <c r="L57">
        <v>2627.25</v>
      </c>
      <c r="M57" s="2">
        <f t="shared" si="1"/>
        <v>1.4170775377851719E-2</v>
      </c>
    </row>
    <row r="58" spans="1:13" x14ac:dyDescent="0.3">
      <c r="A58" t="s">
        <v>484</v>
      </c>
      <c r="K58" s="1" t="str">
        <f t="shared" si="0"/>
        <v>1990-03-01</v>
      </c>
      <c r="L58">
        <v>2707.209961</v>
      </c>
      <c r="M58" s="2">
        <f t="shared" si="1"/>
        <v>3.0434850509087452E-2</v>
      </c>
    </row>
    <row r="59" spans="1:13" x14ac:dyDescent="0.3">
      <c r="A59" t="s">
        <v>485</v>
      </c>
      <c r="K59" s="1" t="str">
        <f t="shared" si="0"/>
        <v>1990-04-01</v>
      </c>
      <c r="L59">
        <v>2656.76001</v>
      </c>
      <c r="M59" s="2">
        <f t="shared" si="1"/>
        <v>-1.8635403875865153E-2</v>
      </c>
    </row>
    <row r="60" spans="1:13" x14ac:dyDescent="0.3">
      <c r="A60" t="s">
        <v>486</v>
      </c>
      <c r="K60" s="1" t="str">
        <f t="shared" si="0"/>
        <v>1990-05-01</v>
      </c>
      <c r="L60">
        <v>2876.6599120000001</v>
      </c>
      <c r="M60" s="2">
        <f t="shared" si="1"/>
        <v>8.276995331618231E-2</v>
      </c>
    </row>
    <row r="61" spans="1:13" x14ac:dyDescent="0.3">
      <c r="A61" t="s">
        <v>487</v>
      </c>
      <c r="K61" s="1" t="str">
        <f t="shared" si="0"/>
        <v>1990-06-01</v>
      </c>
      <c r="L61">
        <v>2880.6899410000001</v>
      </c>
      <c r="M61" s="2">
        <f t="shared" si="1"/>
        <v>1.4009403694850153E-3</v>
      </c>
    </row>
    <row r="62" spans="1:13" x14ac:dyDescent="0.3">
      <c r="A62" t="s">
        <v>488</v>
      </c>
      <c r="K62" s="1" t="str">
        <f t="shared" si="0"/>
        <v>1990-07-01</v>
      </c>
      <c r="L62">
        <v>2905.1999510000001</v>
      </c>
      <c r="M62" s="2">
        <f t="shared" si="1"/>
        <v>8.5083818467084349E-3</v>
      </c>
    </row>
    <row r="63" spans="1:13" x14ac:dyDescent="0.3">
      <c r="A63" t="s">
        <v>489</v>
      </c>
      <c r="K63" s="1" t="str">
        <f t="shared" si="0"/>
        <v>1990-08-01</v>
      </c>
      <c r="L63">
        <v>2614.360107</v>
      </c>
      <c r="M63" s="2">
        <f t="shared" si="1"/>
        <v>-0.10011009531371151</v>
      </c>
    </row>
    <row r="64" spans="1:13" x14ac:dyDescent="0.3">
      <c r="A64" t="s">
        <v>490</v>
      </c>
      <c r="K64" s="1" t="str">
        <f t="shared" si="0"/>
        <v>1990-09-01</v>
      </c>
      <c r="L64">
        <v>2452.4799800000001</v>
      </c>
      <c r="M64" s="2">
        <f t="shared" si="1"/>
        <v>-6.1919598056351388E-2</v>
      </c>
    </row>
    <row r="65" spans="1:13" x14ac:dyDescent="0.3">
      <c r="A65" t="s">
        <v>491</v>
      </c>
      <c r="K65" s="1" t="str">
        <f t="shared" si="0"/>
        <v>1990-10-01</v>
      </c>
      <c r="L65">
        <v>2442.330078</v>
      </c>
      <c r="M65" s="2">
        <f t="shared" si="1"/>
        <v>-4.1386278716942781E-3</v>
      </c>
    </row>
    <row r="66" spans="1:13" x14ac:dyDescent="0.3">
      <c r="A66" t="s">
        <v>492</v>
      </c>
      <c r="K66" s="1" t="str">
        <f t="shared" si="0"/>
        <v>1990-11-01</v>
      </c>
      <c r="L66">
        <v>2559.6499020000001</v>
      </c>
      <c r="M66" s="2">
        <f t="shared" si="1"/>
        <v>4.8036023081725387E-2</v>
      </c>
    </row>
    <row r="67" spans="1:13" x14ac:dyDescent="0.3">
      <c r="A67" t="s">
        <v>493</v>
      </c>
      <c r="K67" s="1" t="str">
        <f t="shared" ref="K67:K130" si="2">LEFT(A67,10)</f>
        <v>1990-12-01</v>
      </c>
      <c r="L67">
        <v>2633.6599120000001</v>
      </c>
      <c r="M67" s="2">
        <f t="shared" si="1"/>
        <v>2.8914114364691823E-2</v>
      </c>
    </row>
    <row r="68" spans="1:13" x14ac:dyDescent="0.3">
      <c r="A68" t="s">
        <v>494</v>
      </c>
      <c r="K68" s="1" t="str">
        <f t="shared" si="2"/>
        <v>1991-01-01</v>
      </c>
      <c r="L68">
        <v>2736.389893</v>
      </c>
      <c r="M68" s="2">
        <f t="shared" ref="M68:M131" si="3">(L68/L67)-1</f>
        <v>3.9006547706452732E-2</v>
      </c>
    </row>
    <row r="69" spans="1:13" x14ac:dyDescent="0.3">
      <c r="A69" t="s">
        <v>495</v>
      </c>
      <c r="K69" s="1" t="str">
        <f t="shared" si="2"/>
        <v>1991-02-01</v>
      </c>
      <c r="L69">
        <v>2882.179932</v>
      </c>
      <c r="M69" s="2">
        <f t="shared" si="3"/>
        <v>5.3278240565406199E-2</v>
      </c>
    </row>
    <row r="70" spans="1:13" x14ac:dyDescent="0.3">
      <c r="A70" t="s">
        <v>496</v>
      </c>
      <c r="K70" s="1" t="str">
        <f t="shared" si="2"/>
        <v>1991-03-01</v>
      </c>
      <c r="L70">
        <v>2913.860107</v>
      </c>
      <c r="M70" s="2">
        <f t="shared" si="3"/>
        <v>1.099174088621746E-2</v>
      </c>
    </row>
    <row r="71" spans="1:13" x14ac:dyDescent="0.3">
      <c r="A71" t="s">
        <v>497</v>
      </c>
      <c r="K71" s="1" t="str">
        <f t="shared" si="2"/>
        <v>1991-04-01</v>
      </c>
      <c r="L71">
        <v>2887.8701169999999</v>
      </c>
      <c r="M71" s="2">
        <f t="shared" si="3"/>
        <v>-8.9194364333291531E-3</v>
      </c>
    </row>
    <row r="72" spans="1:13" x14ac:dyDescent="0.3">
      <c r="A72" t="s">
        <v>498</v>
      </c>
      <c r="K72" s="1" t="str">
        <f t="shared" si="2"/>
        <v>1991-05-01</v>
      </c>
      <c r="L72">
        <v>3027.5</v>
      </c>
      <c r="M72" s="2">
        <f t="shared" si="3"/>
        <v>4.8350471919786919E-2</v>
      </c>
    </row>
    <row r="73" spans="1:13" x14ac:dyDescent="0.3">
      <c r="A73" t="s">
        <v>499</v>
      </c>
      <c r="K73" s="1" t="str">
        <f t="shared" si="2"/>
        <v>1991-06-01</v>
      </c>
      <c r="L73">
        <v>2906.75</v>
      </c>
      <c r="M73" s="2">
        <f t="shared" si="3"/>
        <v>-3.9884393063583823E-2</v>
      </c>
    </row>
    <row r="74" spans="1:13" x14ac:dyDescent="0.3">
      <c r="A74" t="s">
        <v>500</v>
      </c>
      <c r="K74" s="1" t="str">
        <f t="shared" si="2"/>
        <v>1991-07-01</v>
      </c>
      <c r="L74">
        <v>3024.820068</v>
      </c>
      <c r="M74" s="2">
        <f t="shared" si="3"/>
        <v>4.0619271695192305E-2</v>
      </c>
    </row>
    <row r="75" spans="1:13" x14ac:dyDescent="0.3">
      <c r="A75" t="s">
        <v>501</v>
      </c>
      <c r="K75" s="1" t="str">
        <f t="shared" si="2"/>
        <v>1991-08-01</v>
      </c>
      <c r="L75">
        <v>3043.6000979999999</v>
      </c>
      <c r="M75" s="2">
        <f t="shared" si="3"/>
        <v>6.2086436805535161E-3</v>
      </c>
    </row>
    <row r="76" spans="1:13" x14ac:dyDescent="0.3">
      <c r="A76" t="s">
        <v>502</v>
      </c>
      <c r="K76" s="1" t="str">
        <f t="shared" si="2"/>
        <v>1991-09-01</v>
      </c>
      <c r="L76">
        <v>3016.7700199999999</v>
      </c>
      <c r="M76" s="2">
        <f t="shared" si="3"/>
        <v>-8.8152441635254153E-3</v>
      </c>
    </row>
    <row r="77" spans="1:13" x14ac:dyDescent="0.3">
      <c r="A77" t="s">
        <v>503</v>
      </c>
      <c r="K77" s="1" t="str">
        <f t="shared" si="2"/>
        <v>1991-10-01</v>
      </c>
      <c r="L77">
        <v>3069.1000979999999</v>
      </c>
      <c r="M77" s="2">
        <f t="shared" si="3"/>
        <v>1.7346392881483208E-2</v>
      </c>
    </row>
    <row r="78" spans="1:13" x14ac:dyDescent="0.3">
      <c r="A78" t="s">
        <v>504</v>
      </c>
      <c r="K78" s="1" t="str">
        <f t="shared" si="2"/>
        <v>1991-11-01</v>
      </c>
      <c r="L78">
        <v>2894.679932</v>
      </c>
      <c r="M78" s="2">
        <f t="shared" si="3"/>
        <v>-5.6831045072026853E-2</v>
      </c>
    </row>
    <row r="79" spans="1:13" x14ac:dyDescent="0.3">
      <c r="A79" t="s">
        <v>505</v>
      </c>
      <c r="K79" s="1" t="str">
        <f t="shared" si="2"/>
        <v>1991-12-01</v>
      </c>
      <c r="L79">
        <v>3168.830078</v>
      </c>
      <c r="M79" s="2">
        <f t="shared" si="3"/>
        <v>9.4708276023658167E-2</v>
      </c>
    </row>
    <row r="80" spans="1:13" x14ac:dyDescent="0.3">
      <c r="A80" t="s">
        <v>506</v>
      </c>
      <c r="K80" s="1" t="str">
        <f t="shared" si="2"/>
        <v>1992-01-01</v>
      </c>
      <c r="L80">
        <v>3223.3999020000001</v>
      </c>
      <c r="M80" s="2">
        <f t="shared" si="3"/>
        <v>1.7220811042806705E-2</v>
      </c>
    </row>
    <row r="81" spans="1:13" x14ac:dyDescent="0.3">
      <c r="A81" t="s">
        <v>507</v>
      </c>
      <c r="K81" s="1" t="str">
        <f t="shared" si="2"/>
        <v>1992-02-01</v>
      </c>
      <c r="L81">
        <v>3267.6999510000001</v>
      </c>
      <c r="M81" s="2">
        <f t="shared" si="3"/>
        <v>1.3743268085512295E-2</v>
      </c>
    </row>
    <row r="82" spans="1:13" x14ac:dyDescent="0.3">
      <c r="A82" t="s">
        <v>508</v>
      </c>
      <c r="K82" s="1" t="str">
        <f t="shared" si="2"/>
        <v>1992-03-01</v>
      </c>
      <c r="L82">
        <v>3235.5</v>
      </c>
      <c r="M82" s="2">
        <f t="shared" si="3"/>
        <v>-9.8540109198661519E-3</v>
      </c>
    </row>
    <row r="83" spans="1:13" x14ac:dyDescent="0.3">
      <c r="A83" t="s">
        <v>509</v>
      </c>
      <c r="K83" s="1" t="str">
        <f t="shared" si="2"/>
        <v>1992-04-01</v>
      </c>
      <c r="L83">
        <v>3359.1000979999999</v>
      </c>
      <c r="M83" s="2">
        <f t="shared" si="3"/>
        <v>3.8201235666821098E-2</v>
      </c>
    </row>
    <row r="84" spans="1:13" x14ac:dyDescent="0.3">
      <c r="A84" t="s">
        <v>510</v>
      </c>
      <c r="K84" s="1" t="str">
        <f t="shared" si="2"/>
        <v>1992-05-01</v>
      </c>
      <c r="L84">
        <v>3396.8999020000001</v>
      </c>
      <c r="M84" s="2">
        <f t="shared" si="3"/>
        <v>1.1252955522970565E-2</v>
      </c>
    </row>
    <row r="85" spans="1:13" x14ac:dyDescent="0.3">
      <c r="A85" t="s">
        <v>511</v>
      </c>
      <c r="K85" s="1" t="str">
        <f t="shared" si="2"/>
        <v>1992-06-01</v>
      </c>
      <c r="L85">
        <v>3318.5</v>
      </c>
      <c r="M85" s="2">
        <f t="shared" si="3"/>
        <v>-2.3079838753517712E-2</v>
      </c>
    </row>
    <row r="86" spans="1:13" x14ac:dyDescent="0.3">
      <c r="A86" t="s">
        <v>512</v>
      </c>
      <c r="K86" s="1" t="str">
        <f t="shared" si="2"/>
        <v>1992-07-01</v>
      </c>
      <c r="L86">
        <v>3393.8000489999999</v>
      </c>
      <c r="M86" s="2">
        <f t="shared" si="3"/>
        <v>2.2690989603736611E-2</v>
      </c>
    </row>
    <row r="87" spans="1:13" x14ac:dyDescent="0.3">
      <c r="A87" t="s">
        <v>513</v>
      </c>
      <c r="K87" s="1" t="str">
        <f t="shared" si="2"/>
        <v>1992-08-01</v>
      </c>
      <c r="L87">
        <v>3257.3999020000001</v>
      </c>
      <c r="M87" s="2">
        <f t="shared" si="3"/>
        <v>-4.0190979147457728E-2</v>
      </c>
    </row>
    <row r="88" spans="1:13" x14ac:dyDescent="0.3">
      <c r="A88" t="s">
        <v>514</v>
      </c>
      <c r="K88" s="1" t="str">
        <f t="shared" si="2"/>
        <v>1992-09-01</v>
      </c>
      <c r="L88">
        <v>3271.6999510000001</v>
      </c>
      <c r="M88" s="2">
        <f t="shared" si="3"/>
        <v>4.3900194726536057E-3</v>
      </c>
    </row>
    <row r="89" spans="1:13" x14ac:dyDescent="0.3">
      <c r="A89" t="s">
        <v>515</v>
      </c>
      <c r="K89" s="1" t="str">
        <f t="shared" si="2"/>
        <v>1992-10-01</v>
      </c>
      <c r="L89">
        <v>3226.3000489999999</v>
      </c>
      <c r="M89" s="2">
        <f t="shared" si="3"/>
        <v>-1.3876548179830306E-2</v>
      </c>
    </row>
    <row r="90" spans="1:13" x14ac:dyDescent="0.3">
      <c r="A90" t="s">
        <v>516</v>
      </c>
      <c r="K90" s="1" t="str">
        <f t="shared" si="2"/>
        <v>1992-11-01</v>
      </c>
      <c r="L90">
        <v>3305.1999510000001</v>
      </c>
      <c r="M90" s="2">
        <f t="shared" si="3"/>
        <v>2.4455227598702445E-2</v>
      </c>
    </row>
    <row r="91" spans="1:13" x14ac:dyDescent="0.3">
      <c r="A91" t="s">
        <v>517</v>
      </c>
      <c r="K91" s="1" t="str">
        <f t="shared" si="2"/>
        <v>1992-12-01</v>
      </c>
      <c r="L91">
        <v>3301.110107</v>
      </c>
      <c r="M91" s="2">
        <f t="shared" si="3"/>
        <v>-1.2373968475833941E-3</v>
      </c>
    </row>
    <row r="92" spans="1:13" x14ac:dyDescent="0.3">
      <c r="A92" t="s">
        <v>518</v>
      </c>
      <c r="K92" s="1" t="str">
        <f t="shared" si="2"/>
        <v>1993-01-01</v>
      </c>
      <c r="L92">
        <v>3310</v>
      </c>
      <c r="M92" s="2">
        <f t="shared" si="3"/>
        <v>2.6930010547510097E-3</v>
      </c>
    </row>
    <row r="93" spans="1:13" x14ac:dyDescent="0.3">
      <c r="A93" t="s">
        <v>519</v>
      </c>
      <c r="K93" s="1" t="str">
        <f t="shared" si="2"/>
        <v>1993-02-01</v>
      </c>
      <c r="L93">
        <v>3370.8100589999999</v>
      </c>
      <c r="M93" s="2">
        <f t="shared" si="3"/>
        <v>1.8371619033232589E-2</v>
      </c>
    </row>
    <row r="94" spans="1:13" x14ac:dyDescent="0.3">
      <c r="A94" t="s">
        <v>520</v>
      </c>
      <c r="K94" s="1" t="str">
        <f t="shared" si="2"/>
        <v>1993-03-01</v>
      </c>
      <c r="L94">
        <v>3435.110107</v>
      </c>
      <c r="M94" s="2">
        <f t="shared" si="3"/>
        <v>1.9075547679798799E-2</v>
      </c>
    </row>
    <row r="95" spans="1:13" x14ac:dyDescent="0.3">
      <c r="A95" t="s">
        <v>521</v>
      </c>
      <c r="K95" s="1" t="str">
        <f t="shared" si="2"/>
        <v>1993-04-01</v>
      </c>
      <c r="L95">
        <v>3427.5500489999999</v>
      </c>
      <c r="M95" s="2">
        <f t="shared" si="3"/>
        <v>-2.2008197014105058E-3</v>
      </c>
    </row>
    <row r="96" spans="1:13" x14ac:dyDescent="0.3">
      <c r="A96" t="s">
        <v>522</v>
      </c>
      <c r="K96" s="1" t="str">
        <f t="shared" si="2"/>
        <v>1993-05-01</v>
      </c>
      <c r="L96">
        <v>3527.429932</v>
      </c>
      <c r="M96" s="2">
        <f t="shared" si="3"/>
        <v>2.9140313510269689E-2</v>
      </c>
    </row>
    <row r="97" spans="1:13" x14ac:dyDescent="0.3">
      <c r="A97" t="s">
        <v>523</v>
      </c>
      <c r="K97" s="1" t="str">
        <f t="shared" si="2"/>
        <v>1993-06-01</v>
      </c>
      <c r="L97">
        <v>3516.080078</v>
      </c>
      <c r="M97" s="2">
        <f t="shared" si="3"/>
        <v>-3.2175987103348902E-3</v>
      </c>
    </row>
    <row r="98" spans="1:13" x14ac:dyDescent="0.3">
      <c r="A98" t="s">
        <v>524</v>
      </c>
      <c r="K98" s="1" t="str">
        <f t="shared" si="2"/>
        <v>1993-07-01</v>
      </c>
      <c r="L98">
        <v>3539.469971</v>
      </c>
      <c r="M98" s="2">
        <f t="shared" si="3"/>
        <v>6.6522640216160056E-3</v>
      </c>
    </row>
    <row r="99" spans="1:13" x14ac:dyDescent="0.3">
      <c r="A99" t="s">
        <v>525</v>
      </c>
      <c r="K99" s="1" t="str">
        <f t="shared" si="2"/>
        <v>1993-08-01</v>
      </c>
      <c r="L99">
        <v>3651.25</v>
      </c>
      <c r="M99" s="2">
        <f t="shared" si="3"/>
        <v>3.1581007867236943E-2</v>
      </c>
    </row>
    <row r="100" spans="1:13" x14ac:dyDescent="0.3">
      <c r="A100" t="s">
        <v>526</v>
      </c>
      <c r="K100" s="1" t="str">
        <f t="shared" si="2"/>
        <v>1993-09-01</v>
      </c>
      <c r="L100">
        <v>3555.1201169999999</v>
      </c>
      <c r="M100" s="2">
        <f t="shared" si="3"/>
        <v>-2.6327937829510484E-2</v>
      </c>
    </row>
    <row r="101" spans="1:13" x14ac:dyDescent="0.3">
      <c r="A101" t="s">
        <v>527</v>
      </c>
      <c r="K101" s="1" t="str">
        <f t="shared" si="2"/>
        <v>1993-10-01</v>
      </c>
      <c r="L101">
        <v>3680.5900879999999</v>
      </c>
      <c r="M101" s="2">
        <f t="shared" si="3"/>
        <v>3.5292751544462098E-2</v>
      </c>
    </row>
    <row r="102" spans="1:13" x14ac:dyDescent="0.3">
      <c r="A102" t="s">
        <v>528</v>
      </c>
      <c r="K102" s="1" t="str">
        <f t="shared" si="2"/>
        <v>1993-11-01</v>
      </c>
      <c r="L102">
        <v>3683.9499510000001</v>
      </c>
      <c r="M102" s="2">
        <f t="shared" si="3"/>
        <v>9.1285987291933601E-4</v>
      </c>
    </row>
    <row r="103" spans="1:13" x14ac:dyDescent="0.3">
      <c r="A103" t="s">
        <v>529</v>
      </c>
      <c r="K103" s="1" t="str">
        <f t="shared" si="2"/>
        <v>1993-12-01</v>
      </c>
      <c r="L103">
        <v>3754.0900879999999</v>
      </c>
      <c r="M103" s="2">
        <f t="shared" si="3"/>
        <v>1.9039383795363518E-2</v>
      </c>
    </row>
    <row r="104" spans="1:13" x14ac:dyDescent="0.3">
      <c r="A104" t="s">
        <v>530</v>
      </c>
      <c r="K104" s="1" t="str">
        <f t="shared" si="2"/>
        <v>1994-01-01</v>
      </c>
      <c r="L104">
        <v>3978.360107</v>
      </c>
      <c r="M104" s="2">
        <f t="shared" si="3"/>
        <v>5.9740180374701746E-2</v>
      </c>
    </row>
    <row r="105" spans="1:13" x14ac:dyDescent="0.3">
      <c r="A105" t="s">
        <v>531</v>
      </c>
      <c r="K105" s="1" t="str">
        <f t="shared" si="2"/>
        <v>1994-02-01</v>
      </c>
      <c r="L105">
        <v>3832.0200199999999</v>
      </c>
      <c r="M105" s="2">
        <f t="shared" si="3"/>
        <v>-3.6784022326815435E-2</v>
      </c>
    </row>
    <row r="106" spans="1:13" x14ac:dyDescent="0.3">
      <c r="A106" t="s">
        <v>532</v>
      </c>
      <c r="K106" s="1" t="str">
        <f t="shared" si="2"/>
        <v>1994-03-01</v>
      </c>
      <c r="L106">
        <v>3635.959961</v>
      </c>
      <c r="M106" s="2">
        <f t="shared" si="3"/>
        <v>-5.1163631185830782E-2</v>
      </c>
    </row>
    <row r="107" spans="1:13" x14ac:dyDescent="0.3">
      <c r="A107" t="s">
        <v>533</v>
      </c>
      <c r="K107" s="1" t="str">
        <f t="shared" si="2"/>
        <v>1994-04-01</v>
      </c>
      <c r="L107">
        <v>3681.6899410000001</v>
      </c>
      <c r="M107" s="2">
        <f t="shared" si="3"/>
        <v>1.2577140697507261E-2</v>
      </c>
    </row>
    <row r="108" spans="1:13" x14ac:dyDescent="0.3">
      <c r="A108" t="s">
        <v>534</v>
      </c>
      <c r="K108" s="1" t="str">
        <f t="shared" si="2"/>
        <v>1994-05-01</v>
      </c>
      <c r="L108">
        <v>3758.3701169999999</v>
      </c>
      <c r="M108" s="2">
        <f t="shared" si="3"/>
        <v>2.0827439906352385E-2</v>
      </c>
    </row>
    <row r="109" spans="1:13" x14ac:dyDescent="0.3">
      <c r="A109" t="s">
        <v>535</v>
      </c>
      <c r="K109" s="1" t="str">
        <f t="shared" si="2"/>
        <v>1994-06-01</v>
      </c>
      <c r="L109">
        <v>3624.959961</v>
      </c>
      <c r="M109" s="2">
        <f t="shared" si="3"/>
        <v>-3.549681160898821E-2</v>
      </c>
    </row>
    <row r="110" spans="1:13" x14ac:dyDescent="0.3">
      <c r="A110" t="s">
        <v>536</v>
      </c>
      <c r="K110" s="1" t="str">
        <f t="shared" si="2"/>
        <v>1994-07-01</v>
      </c>
      <c r="L110">
        <v>3764.5</v>
      </c>
      <c r="M110" s="2">
        <f t="shared" si="3"/>
        <v>3.8494229040120453E-2</v>
      </c>
    </row>
    <row r="111" spans="1:13" x14ac:dyDescent="0.3">
      <c r="A111" t="s">
        <v>537</v>
      </c>
      <c r="K111" s="1" t="str">
        <f t="shared" si="2"/>
        <v>1994-08-01</v>
      </c>
      <c r="L111">
        <v>3913.419922</v>
      </c>
      <c r="M111" s="2">
        <f t="shared" si="3"/>
        <v>3.9559017665028673E-2</v>
      </c>
    </row>
    <row r="112" spans="1:13" x14ac:dyDescent="0.3">
      <c r="A112" t="s">
        <v>538</v>
      </c>
      <c r="K112" s="1" t="str">
        <f t="shared" si="2"/>
        <v>1994-09-01</v>
      </c>
      <c r="L112">
        <v>3843.1899410000001</v>
      </c>
      <c r="M112" s="2">
        <f t="shared" si="3"/>
        <v>-1.7945935371052157E-2</v>
      </c>
    </row>
    <row r="113" spans="1:13" x14ac:dyDescent="0.3">
      <c r="A113" t="s">
        <v>539</v>
      </c>
      <c r="K113" s="1" t="str">
        <f t="shared" si="2"/>
        <v>1994-10-01</v>
      </c>
      <c r="L113">
        <v>3908.1201169999999</v>
      </c>
      <c r="M113" s="2">
        <f t="shared" si="3"/>
        <v>1.6894865202291998E-2</v>
      </c>
    </row>
    <row r="114" spans="1:13" x14ac:dyDescent="0.3">
      <c r="A114" t="s">
        <v>540</v>
      </c>
      <c r="K114" s="1" t="str">
        <f t="shared" si="2"/>
        <v>1994-11-01</v>
      </c>
      <c r="L114">
        <v>3739.2299800000001</v>
      </c>
      <c r="M114" s="2">
        <f t="shared" si="3"/>
        <v>-4.3215185803870737E-2</v>
      </c>
    </row>
    <row r="115" spans="1:13" x14ac:dyDescent="0.3">
      <c r="A115" t="s">
        <v>541</v>
      </c>
      <c r="K115" s="1" t="str">
        <f t="shared" si="2"/>
        <v>1994-12-01</v>
      </c>
      <c r="L115">
        <v>3834.4399410000001</v>
      </c>
      <c r="M115" s="2">
        <f t="shared" si="3"/>
        <v>2.5462451229062877E-2</v>
      </c>
    </row>
    <row r="116" spans="1:13" x14ac:dyDescent="0.3">
      <c r="A116" t="s">
        <v>542</v>
      </c>
      <c r="K116" s="1" t="str">
        <f t="shared" si="2"/>
        <v>1995-01-01</v>
      </c>
      <c r="L116">
        <v>3843.860107</v>
      </c>
      <c r="M116" s="2">
        <f t="shared" si="3"/>
        <v>2.4567254005660732E-3</v>
      </c>
    </row>
    <row r="117" spans="1:13" x14ac:dyDescent="0.3">
      <c r="A117" t="s">
        <v>543</v>
      </c>
      <c r="K117" s="1" t="str">
        <f t="shared" si="2"/>
        <v>1995-02-01</v>
      </c>
      <c r="L117">
        <v>4011.0500489999999</v>
      </c>
      <c r="M117" s="2">
        <f t="shared" si="3"/>
        <v>4.3495324321385365E-2</v>
      </c>
    </row>
    <row r="118" spans="1:13" x14ac:dyDescent="0.3">
      <c r="A118" t="s">
        <v>544</v>
      </c>
      <c r="K118" s="1" t="str">
        <f t="shared" si="2"/>
        <v>1995-03-01</v>
      </c>
      <c r="L118">
        <v>4157.6899409999996</v>
      </c>
      <c r="M118" s="2">
        <f t="shared" si="3"/>
        <v>3.6558978374393147E-2</v>
      </c>
    </row>
    <row r="119" spans="1:13" x14ac:dyDescent="0.3">
      <c r="A119" t="s">
        <v>545</v>
      </c>
      <c r="K119" s="1" t="str">
        <f t="shared" si="2"/>
        <v>1995-04-01</v>
      </c>
      <c r="L119">
        <v>4321.2700199999999</v>
      </c>
      <c r="M119" s="2">
        <f t="shared" si="3"/>
        <v>3.9343982192346028E-2</v>
      </c>
    </row>
    <row r="120" spans="1:13" x14ac:dyDescent="0.3">
      <c r="A120" t="s">
        <v>546</v>
      </c>
      <c r="K120" s="1" t="str">
        <f t="shared" si="2"/>
        <v>1995-05-01</v>
      </c>
      <c r="L120">
        <v>4465.1401370000003</v>
      </c>
      <c r="M120" s="2">
        <f t="shared" si="3"/>
        <v>3.329348000336263E-2</v>
      </c>
    </row>
    <row r="121" spans="1:13" x14ac:dyDescent="0.3">
      <c r="A121" t="s">
        <v>547</v>
      </c>
      <c r="K121" s="1" t="str">
        <f t="shared" si="2"/>
        <v>1995-06-01</v>
      </c>
      <c r="L121">
        <v>4556.1000979999999</v>
      </c>
      <c r="M121" s="2">
        <f t="shared" si="3"/>
        <v>2.0371132418950832E-2</v>
      </c>
    </row>
    <row r="122" spans="1:13" x14ac:dyDescent="0.3">
      <c r="A122" t="s">
        <v>548</v>
      </c>
      <c r="K122" s="1" t="str">
        <f t="shared" si="2"/>
        <v>1995-07-01</v>
      </c>
      <c r="L122">
        <v>4708.4702150000003</v>
      </c>
      <c r="M122" s="2">
        <f t="shared" si="3"/>
        <v>3.3443101275778986E-2</v>
      </c>
    </row>
    <row r="123" spans="1:13" x14ac:dyDescent="0.3">
      <c r="A123" t="s">
        <v>549</v>
      </c>
      <c r="K123" s="1" t="str">
        <f t="shared" si="2"/>
        <v>1995-08-01</v>
      </c>
      <c r="L123">
        <v>4610.5600590000004</v>
      </c>
      <c r="M123" s="2">
        <f t="shared" si="3"/>
        <v>-2.0794472839199996E-2</v>
      </c>
    </row>
    <row r="124" spans="1:13" x14ac:dyDescent="0.3">
      <c r="A124" t="s">
        <v>550</v>
      </c>
      <c r="K124" s="1" t="str">
        <f t="shared" si="2"/>
        <v>1995-09-01</v>
      </c>
      <c r="L124">
        <v>4789.080078</v>
      </c>
      <c r="M124" s="2">
        <f t="shared" si="3"/>
        <v>3.8719812065243886E-2</v>
      </c>
    </row>
    <row r="125" spans="1:13" x14ac:dyDescent="0.3">
      <c r="A125" t="s">
        <v>551</v>
      </c>
      <c r="K125" s="1" t="str">
        <f t="shared" si="2"/>
        <v>1995-10-01</v>
      </c>
      <c r="L125">
        <v>4755.4799800000001</v>
      </c>
      <c r="M125" s="2">
        <f t="shared" si="3"/>
        <v>-7.015981660935533E-3</v>
      </c>
    </row>
    <row r="126" spans="1:13" x14ac:dyDescent="0.3">
      <c r="A126" t="s">
        <v>552</v>
      </c>
      <c r="K126" s="1" t="str">
        <f t="shared" si="2"/>
        <v>1995-11-01</v>
      </c>
      <c r="L126">
        <v>5074.4902339999999</v>
      </c>
      <c r="M126" s="2">
        <f t="shared" si="3"/>
        <v>6.7082661548708566E-2</v>
      </c>
    </row>
    <row r="127" spans="1:13" x14ac:dyDescent="0.3">
      <c r="A127" t="s">
        <v>553</v>
      </c>
      <c r="K127" s="1" t="str">
        <f t="shared" si="2"/>
        <v>1995-12-01</v>
      </c>
      <c r="L127">
        <v>5117.1201170000004</v>
      </c>
      <c r="M127" s="2">
        <f t="shared" si="3"/>
        <v>8.4008207788779377E-3</v>
      </c>
    </row>
    <row r="128" spans="1:13" x14ac:dyDescent="0.3">
      <c r="A128" t="s">
        <v>554</v>
      </c>
      <c r="K128" s="1" t="str">
        <f t="shared" si="2"/>
        <v>1996-01-01</v>
      </c>
      <c r="L128">
        <v>5395.2998049999997</v>
      </c>
      <c r="M128" s="2">
        <f t="shared" si="3"/>
        <v>5.4362548003482614E-2</v>
      </c>
    </row>
    <row r="129" spans="1:13" x14ac:dyDescent="0.3">
      <c r="A129" t="s">
        <v>555</v>
      </c>
      <c r="K129" s="1" t="str">
        <f t="shared" si="2"/>
        <v>1996-02-01</v>
      </c>
      <c r="L129">
        <v>5485.6201170000004</v>
      </c>
      <c r="M129" s="2">
        <f t="shared" si="3"/>
        <v>1.6740554791097706E-2</v>
      </c>
    </row>
    <row r="130" spans="1:13" x14ac:dyDescent="0.3">
      <c r="A130" t="s">
        <v>556</v>
      </c>
      <c r="K130" s="1" t="str">
        <f t="shared" si="2"/>
        <v>1996-03-01</v>
      </c>
      <c r="L130">
        <v>5587.1401370000003</v>
      </c>
      <c r="M130" s="2">
        <f t="shared" si="3"/>
        <v>1.8506571332817634E-2</v>
      </c>
    </row>
    <row r="131" spans="1:13" x14ac:dyDescent="0.3">
      <c r="A131" t="s">
        <v>557</v>
      </c>
      <c r="K131" s="1" t="str">
        <f t="shared" ref="K131:K194" si="4">LEFT(A131,10)</f>
        <v>1996-04-01</v>
      </c>
      <c r="L131">
        <v>5569.080078</v>
      </c>
      <c r="M131" s="2">
        <f t="shared" si="3"/>
        <v>-3.2324335093011358E-3</v>
      </c>
    </row>
    <row r="132" spans="1:13" x14ac:dyDescent="0.3">
      <c r="A132" t="s">
        <v>558</v>
      </c>
      <c r="K132" s="1" t="str">
        <f t="shared" si="4"/>
        <v>1996-05-01</v>
      </c>
      <c r="L132">
        <v>5643.1801759999998</v>
      </c>
      <c r="M132" s="2">
        <f t="shared" ref="M132:M195" si="5">(L132/L131)-1</f>
        <v>1.3305626236678414E-2</v>
      </c>
    </row>
    <row r="133" spans="1:13" x14ac:dyDescent="0.3">
      <c r="A133" t="s">
        <v>559</v>
      </c>
      <c r="K133" s="1" t="str">
        <f t="shared" si="4"/>
        <v>1996-06-01</v>
      </c>
      <c r="L133">
        <v>5654.6298829999996</v>
      </c>
      <c r="M133" s="2">
        <f t="shared" si="5"/>
        <v>2.0289458501954183E-3</v>
      </c>
    </row>
    <row r="134" spans="1:13" x14ac:dyDescent="0.3">
      <c r="A134" t="s">
        <v>560</v>
      </c>
      <c r="K134" s="1" t="str">
        <f t="shared" si="4"/>
        <v>1996-07-01</v>
      </c>
      <c r="L134">
        <v>5528.9101559999999</v>
      </c>
      <c r="M134" s="2">
        <f t="shared" si="5"/>
        <v>-2.2233060271187988E-2</v>
      </c>
    </row>
    <row r="135" spans="1:13" x14ac:dyDescent="0.3">
      <c r="A135" t="s">
        <v>561</v>
      </c>
      <c r="K135" s="1" t="str">
        <f t="shared" si="4"/>
        <v>1996-08-01</v>
      </c>
      <c r="L135">
        <v>5616.2099609999996</v>
      </c>
      <c r="M135" s="2">
        <f t="shared" si="5"/>
        <v>1.5789694991744652E-2</v>
      </c>
    </row>
    <row r="136" spans="1:13" x14ac:dyDescent="0.3">
      <c r="A136" t="s">
        <v>562</v>
      </c>
      <c r="K136" s="1" t="str">
        <f t="shared" si="4"/>
        <v>1996-09-01</v>
      </c>
      <c r="L136">
        <v>5882.169922</v>
      </c>
      <c r="M136" s="2">
        <f t="shared" si="5"/>
        <v>4.7355772459875212E-2</v>
      </c>
    </row>
    <row r="137" spans="1:13" x14ac:dyDescent="0.3">
      <c r="A137" t="s">
        <v>563</v>
      </c>
      <c r="K137" s="1" t="str">
        <f t="shared" si="4"/>
        <v>1996-10-01</v>
      </c>
      <c r="L137">
        <v>6029.3798829999996</v>
      </c>
      <c r="M137" s="2">
        <f t="shared" si="5"/>
        <v>2.5026472025130975E-2</v>
      </c>
    </row>
    <row r="138" spans="1:13" x14ac:dyDescent="0.3">
      <c r="A138" t="s">
        <v>564</v>
      </c>
      <c r="K138" s="1" t="str">
        <f t="shared" si="4"/>
        <v>1996-11-01</v>
      </c>
      <c r="L138">
        <v>6521.7001950000003</v>
      </c>
      <c r="M138" s="2">
        <f t="shared" si="5"/>
        <v>8.1653556676385852E-2</v>
      </c>
    </row>
    <row r="139" spans="1:13" x14ac:dyDescent="0.3">
      <c r="A139" t="s">
        <v>565</v>
      </c>
      <c r="K139" s="1" t="str">
        <f t="shared" si="4"/>
        <v>1996-12-01</v>
      </c>
      <c r="L139">
        <v>6448.2700199999999</v>
      </c>
      <c r="M139" s="2">
        <f t="shared" si="5"/>
        <v>-1.1259360719509504E-2</v>
      </c>
    </row>
    <row r="140" spans="1:13" x14ac:dyDescent="0.3">
      <c r="A140" t="s">
        <v>566</v>
      </c>
      <c r="K140" s="1" t="str">
        <f t="shared" si="4"/>
        <v>1997-01-01</v>
      </c>
      <c r="L140">
        <v>6813.0898440000001</v>
      </c>
      <c r="M140" s="2">
        <f t="shared" si="5"/>
        <v>5.6576387599848177E-2</v>
      </c>
    </row>
    <row r="141" spans="1:13" x14ac:dyDescent="0.3">
      <c r="A141" t="s">
        <v>567</v>
      </c>
      <c r="K141" s="1" t="str">
        <f t="shared" si="4"/>
        <v>1997-02-01</v>
      </c>
      <c r="L141">
        <v>6877.7402339999999</v>
      </c>
      <c r="M141" s="2">
        <f t="shared" si="5"/>
        <v>9.489143909783504E-3</v>
      </c>
    </row>
    <row r="142" spans="1:13" x14ac:dyDescent="0.3">
      <c r="A142" t="s">
        <v>568</v>
      </c>
      <c r="K142" s="1" t="str">
        <f t="shared" si="4"/>
        <v>1997-03-01</v>
      </c>
      <c r="L142">
        <v>6583.4799800000001</v>
      </c>
      <c r="M142" s="2">
        <f t="shared" si="5"/>
        <v>-4.2784438491196397E-2</v>
      </c>
    </row>
    <row r="143" spans="1:13" x14ac:dyDescent="0.3">
      <c r="A143" t="s">
        <v>569</v>
      </c>
      <c r="K143" s="1" t="str">
        <f t="shared" si="4"/>
        <v>1997-04-01</v>
      </c>
      <c r="L143">
        <v>7009</v>
      </c>
      <c r="M143" s="2">
        <f t="shared" si="5"/>
        <v>6.4634512642658626E-2</v>
      </c>
    </row>
    <row r="144" spans="1:13" x14ac:dyDescent="0.3">
      <c r="A144" t="s">
        <v>570</v>
      </c>
      <c r="K144" s="1" t="str">
        <f t="shared" si="4"/>
        <v>1997-05-01</v>
      </c>
      <c r="L144">
        <v>7331</v>
      </c>
      <c r="M144" s="2">
        <f t="shared" si="5"/>
        <v>4.594093308603231E-2</v>
      </c>
    </row>
    <row r="145" spans="1:13" x14ac:dyDescent="0.3">
      <c r="A145" t="s">
        <v>571</v>
      </c>
      <c r="K145" s="1" t="str">
        <f t="shared" si="4"/>
        <v>1997-06-01</v>
      </c>
      <c r="L145">
        <v>7672.7998049999997</v>
      </c>
      <c r="M145" s="2">
        <f t="shared" si="5"/>
        <v>4.6623899195198382E-2</v>
      </c>
    </row>
    <row r="146" spans="1:13" x14ac:dyDescent="0.3">
      <c r="A146" t="s">
        <v>572</v>
      </c>
      <c r="K146" s="1" t="str">
        <f t="shared" si="4"/>
        <v>1997-07-01</v>
      </c>
      <c r="L146">
        <v>8222.5996090000008</v>
      </c>
      <c r="M146" s="2">
        <f t="shared" si="5"/>
        <v>7.1655695179447143E-2</v>
      </c>
    </row>
    <row r="147" spans="1:13" x14ac:dyDescent="0.3">
      <c r="A147" t="s">
        <v>573</v>
      </c>
      <c r="K147" s="1" t="str">
        <f t="shared" si="4"/>
        <v>1997-08-01</v>
      </c>
      <c r="L147">
        <v>7622.3999020000001</v>
      </c>
      <c r="M147" s="2">
        <f t="shared" si="5"/>
        <v>-7.2993911359013008E-2</v>
      </c>
    </row>
    <row r="148" spans="1:13" x14ac:dyDescent="0.3">
      <c r="A148" t="s">
        <v>574</v>
      </c>
      <c r="K148" s="1" t="str">
        <f t="shared" si="4"/>
        <v>1997-09-01</v>
      </c>
      <c r="L148">
        <v>7945.2998049999997</v>
      </c>
      <c r="M148" s="2">
        <f t="shared" si="5"/>
        <v>4.2361973545270937E-2</v>
      </c>
    </row>
    <row r="149" spans="1:13" x14ac:dyDescent="0.3">
      <c r="A149" t="s">
        <v>575</v>
      </c>
      <c r="K149" s="1" t="str">
        <f t="shared" si="4"/>
        <v>1997-10-01</v>
      </c>
      <c r="L149">
        <v>7442.1000979999999</v>
      </c>
      <c r="M149" s="2">
        <f t="shared" si="5"/>
        <v>-6.3333004335888621E-2</v>
      </c>
    </row>
    <row r="150" spans="1:13" x14ac:dyDescent="0.3">
      <c r="A150" t="s">
        <v>576</v>
      </c>
      <c r="K150" s="1" t="str">
        <f t="shared" si="4"/>
        <v>1997-11-01</v>
      </c>
      <c r="L150">
        <v>7823.1000979999999</v>
      </c>
      <c r="M150" s="2">
        <f t="shared" si="5"/>
        <v>5.1195226479470612E-2</v>
      </c>
    </row>
    <row r="151" spans="1:13" x14ac:dyDescent="0.3">
      <c r="A151" t="s">
        <v>577</v>
      </c>
      <c r="K151" s="1" t="str">
        <f t="shared" si="4"/>
        <v>1997-12-01</v>
      </c>
      <c r="L151">
        <v>7908.2998049999997</v>
      </c>
      <c r="M151" s="2">
        <f t="shared" si="5"/>
        <v>1.0890785741292097E-2</v>
      </c>
    </row>
    <row r="152" spans="1:13" x14ac:dyDescent="0.3">
      <c r="A152" t="s">
        <v>578</v>
      </c>
      <c r="K152" s="1" t="str">
        <f t="shared" si="4"/>
        <v>1998-01-01</v>
      </c>
      <c r="L152">
        <v>7906.5</v>
      </c>
      <c r="M152" s="2">
        <f t="shared" si="5"/>
        <v>-2.2758431576674898E-4</v>
      </c>
    </row>
    <row r="153" spans="1:13" x14ac:dyDescent="0.3">
      <c r="A153" t="s">
        <v>579</v>
      </c>
      <c r="K153" s="1" t="str">
        <f t="shared" si="4"/>
        <v>1998-02-01</v>
      </c>
      <c r="L153">
        <v>8545.7197269999997</v>
      </c>
      <c r="M153" s="2">
        <f t="shared" si="5"/>
        <v>8.0847369506102496E-2</v>
      </c>
    </row>
    <row r="154" spans="1:13" x14ac:dyDescent="0.3">
      <c r="A154" t="s">
        <v>580</v>
      </c>
      <c r="K154" s="1" t="str">
        <f t="shared" si="4"/>
        <v>1998-03-01</v>
      </c>
      <c r="L154">
        <v>8799.8095699999994</v>
      </c>
      <c r="M154" s="2">
        <f t="shared" si="5"/>
        <v>2.9732995127046857E-2</v>
      </c>
    </row>
    <row r="155" spans="1:13" x14ac:dyDescent="0.3">
      <c r="A155" t="s">
        <v>581</v>
      </c>
      <c r="K155" s="1" t="str">
        <f t="shared" si="4"/>
        <v>1998-04-01</v>
      </c>
      <c r="L155">
        <v>9063.3701170000004</v>
      </c>
      <c r="M155" s="2">
        <f t="shared" si="5"/>
        <v>2.9950710285654658E-2</v>
      </c>
    </row>
    <row r="156" spans="1:13" x14ac:dyDescent="0.3">
      <c r="A156" t="s">
        <v>582</v>
      </c>
      <c r="K156" s="1" t="str">
        <f t="shared" si="4"/>
        <v>1998-05-01</v>
      </c>
      <c r="L156">
        <v>8899.9501949999994</v>
      </c>
      <c r="M156" s="2">
        <f t="shared" si="5"/>
        <v>-1.8030811926512569E-2</v>
      </c>
    </row>
    <row r="157" spans="1:13" x14ac:dyDescent="0.3">
      <c r="A157" t="s">
        <v>583</v>
      </c>
      <c r="K157" s="1" t="str">
        <f t="shared" si="4"/>
        <v>1998-06-01</v>
      </c>
      <c r="L157">
        <v>8952.0195309999999</v>
      </c>
      <c r="M157" s="2">
        <f t="shared" si="5"/>
        <v>5.8505199309153433E-3</v>
      </c>
    </row>
    <row r="158" spans="1:13" x14ac:dyDescent="0.3">
      <c r="A158" t="s">
        <v>584</v>
      </c>
      <c r="K158" s="1" t="str">
        <f t="shared" si="4"/>
        <v>1998-07-01</v>
      </c>
      <c r="L158">
        <v>8883.2900389999995</v>
      </c>
      <c r="M158" s="2">
        <f t="shared" si="5"/>
        <v>-7.6775404434715755E-3</v>
      </c>
    </row>
    <row r="159" spans="1:13" x14ac:dyDescent="0.3">
      <c r="A159" t="s">
        <v>585</v>
      </c>
      <c r="K159" s="1" t="str">
        <f t="shared" si="4"/>
        <v>1998-08-01</v>
      </c>
      <c r="L159">
        <v>7539.0698240000002</v>
      </c>
      <c r="M159" s="2">
        <f t="shared" si="5"/>
        <v>-0.15132008626291793</v>
      </c>
    </row>
    <row r="160" spans="1:13" x14ac:dyDescent="0.3">
      <c r="A160" t="s">
        <v>586</v>
      </c>
      <c r="K160" s="1" t="str">
        <f t="shared" si="4"/>
        <v>1998-09-01</v>
      </c>
      <c r="L160">
        <v>7842.6201170000004</v>
      </c>
      <c r="M160" s="2">
        <f t="shared" si="5"/>
        <v>4.0263626692204513E-2</v>
      </c>
    </row>
    <row r="161" spans="1:13" x14ac:dyDescent="0.3">
      <c r="A161" t="s">
        <v>587</v>
      </c>
      <c r="K161" s="1" t="str">
        <f t="shared" si="4"/>
        <v>1998-10-01</v>
      </c>
      <c r="L161">
        <v>8592.0996090000008</v>
      </c>
      <c r="M161" s="2">
        <f t="shared" si="5"/>
        <v>9.5564936311959947E-2</v>
      </c>
    </row>
    <row r="162" spans="1:13" x14ac:dyDescent="0.3">
      <c r="A162" t="s">
        <v>588</v>
      </c>
      <c r="K162" s="1" t="str">
        <f t="shared" si="4"/>
        <v>1998-11-01</v>
      </c>
      <c r="L162">
        <v>9116.5498050000006</v>
      </c>
      <c r="M162" s="2">
        <f t="shared" si="5"/>
        <v>6.1038654096916112E-2</v>
      </c>
    </row>
    <row r="163" spans="1:13" x14ac:dyDescent="0.3">
      <c r="A163" t="s">
        <v>589</v>
      </c>
      <c r="K163" s="1" t="str">
        <f t="shared" si="4"/>
        <v>1998-12-01</v>
      </c>
      <c r="L163">
        <v>9181.4296880000002</v>
      </c>
      <c r="M163" s="2">
        <f t="shared" si="5"/>
        <v>7.11671458915486E-3</v>
      </c>
    </row>
    <row r="164" spans="1:13" x14ac:dyDescent="0.3">
      <c r="A164" t="s">
        <v>590</v>
      </c>
      <c r="K164" s="1" t="str">
        <f t="shared" si="4"/>
        <v>1999-01-01</v>
      </c>
      <c r="L164">
        <v>9358.8300780000009</v>
      </c>
      <c r="M164" s="2">
        <f t="shared" si="5"/>
        <v>1.9321652076893958E-2</v>
      </c>
    </row>
    <row r="165" spans="1:13" x14ac:dyDescent="0.3">
      <c r="A165" t="s">
        <v>591</v>
      </c>
      <c r="K165" s="1" t="str">
        <f t="shared" si="4"/>
        <v>1999-02-01</v>
      </c>
      <c r="L165">
        <v>9306.5800780000009</v>
      </c>
      <c r="M165" s="2">
        <f t="shared" si="5"/>
        <v>-5.5829627810879412E-3</v>
      </c>
    </row>
    <row r="166" spans="1:13" x14ac:dyDescent="0.3">
      <c r="A166" t="s">
        <v>592</v>
      </c>
      <c r="K166" s="1" t="str">
        <f t="shared" si="4"/>
        <v>1999-03-01</v>
      </c>
      <c r="L166">
        <v>9786.1601559999999</v>
      </c>
      <c r="M166" s="2">
        <f t="shared" si="5"/>
        <v>5.1531290117374784E-2</v>
      </c>
    </row>
    <row r="167" spans="1:13" x14ac:dyDescent="0.3">
      <c r="A167" t="s">
        <v>593</v>
      </c>
      <c r="K167" s="1" t="str">
        <f t="shared" si="4"/>
        <v>1999-04-01</v>
      </c>
      <c r="L167">
        <v>10789.040039</v>
      </c>
      <c r="M167" s="2">
        <f t="shared" si="5"/>
        <v>0.10247940632620067</v>
      </c>
    </row>
    <row r="168" spans="1:13" x14ac:dyDescent="0.3">
      <c r="A168" t="s">
        <v>594</v>
      </c>
      <c r="K168" s="1" t="str">
        <f t="shared" si="4"/>
        <v>1999-05-01</v>
      </c>
      <c r="L168">
        <v>10559.740234000001</v>
      </c>
      <c r="M168" s="2">
        <f t="shared" si="5"/>
        <v>-2.1253031240140996E-2</v>
      </c>
    </row>
    <row r="169" spans="1:13" x14ac:dyDescent="0.3">
      <c r="A169" t="s">
        <v>595</v>
      </c>
      <c r="K169" s="1" t="str">
        <f t="shared" si="4"/>
        <v>1999-06-01</v>
      </c>
      <c r="L169">
        <v>10970.799805000001</v>
      </c>
      <c r="M169" s="2">
        <f t="shared" si="5"/>
        <v>3.8927053307284964E-2</v>
      </c>
    </row>
    <row r="170" spans="1:13" x14ac:dyDescent="0.3">
      <c r="A170" t="s">
        <v>596</v>
      </c>
      <c r="K170" s="1" t="str">
        <f t="shared" si="4"/>
        <v>1999-07-01</v>
      </c>
      <c r="L170">
        <v>10655.150390999999</v>
      </c>
      <c r="M170" s="2">
        <f t="shared" si="5"/>
        <v>-2.8771777774683538E-2</v>
      </c>
    </row>
    <row r="171" spans="1:13" x14ac:dyDescent="0.3">
      <c r="A171" t="s">
        <v>597</v>
      </c>
      <c r="K171" s="1" t="str">
        <f t="shared" si="4"/>
        <v>1999-08-01</v>
      </c>
      <c r="L171">
        <v>10829.280273</v>
      </c>
      <c r="M171" s="2">
        <f t="shared" si="5"/>
        <v>1.634232043754924E-2</v>
      </c>
    </row>
    <row r="172" spans="1:13" x14ac:dyDescent="0.3">
      <c r="A172" t="s">
        <v>598</v>
      </c>
      <c r="K172" s="1" t="str">
        <f t="shared" si="4"/>
        <v>1999-09-01</v>
      </c>
      <c r="L172">
        <v>10336.950194999999</v>
      </c>
      <c r="M172" s="2">
        <f t="shared" si="5"/>
        <v>-4.5462862312973695E-2</v>
      </c>
    </row>
    <row r="173" spans="1:13" x14ac:dyDescent="0.3">
      <c r="A173" t="s">
        <v>599</v>
      </c>
      <c r="K173" s="1" t="str">
        <f t="shared" si="4"/>
        <v>1999-10-01</v>
      </c>
      <c r="L173">
        <v>10729.860352</v>
      </c>
      <c r="M173" s="2">
        <f t="shared" si="5"/>
        <v>3.8010259272609481E-2</v>
      </c>
    </row>
    <row r="174" spans="1:13" x14ac:dyDescent="0.3">
      <c r="A174" t="s">
        <v>600</v>
      </c>
      <c r="K174" s="1" t="str">
        <f t="shared" si="4"/>
        <v>1999-11-01</v>
      </c>
      <c r="L174">
        <v>10877.809569999999</v>
      </c>
      <c r="M174" s="2">
        <f t="shared" si="5"/>
        <v>1.3788550190443338E-2</v>
      </c>
    </row>
    <row r="175" spans="1:13" x14ac:dyDescent="0.3">
      <c r="A175" t="s">
        <v>601</v>
      </c>
      <c r="K175" s="1" t="str">
        <f t="shared" si="4"/>
        <v>1999-12-01</v>
      </c>
      <c r="L175">
        <v>11497.120117</v>
      </c>
      <c r="M175" s="2">
        <f t="shared" si="5"/>
        <v>5.6933387463226293E-2</v>
      </c>
    </row>
    <row r="176" spans="1:13" x14ac:dyDescent="0.3">
      <c r="A176" t="s">
        <v>602</v>
      </c>
      <c r="K176" s="1" t="str">
        <f t="shared" si="4"/>
        <v>2000-01-01</v>
      </c>
      <c r="L176">
        <v>10940.530273</v>
      </c>
      <c r="M176" s="2">
        <f t="shared" si="5"/>
        <v>-4.841124023545762E-2</v>
      </c>
    </row>
    <row r="177" spans="1:13" x14ac:dyDescent="0.3">
      <c r="A177" t="s">
        <v>603</v>
      </c>
      <c r="K177" s="1" t="str">
        <f t="shared" si="4"/>
        <v>2000-02-01</v>
      </c>
      <c r="L177">
        <v>10128.309569999999</v>
      </c>
      <c r="M177" s="2">
        <f t="shared" si="5"/>
        <v>-7.4239610213818419E-2</v>
      </c>
    </row>
    <row r="178" spans="1:13" x14ac:dyDescent="0.3">
      <c r="A178" t="s">
        <v>604</v>
      </c>
      <c r="K178" s="1" t="str">
        <f t="shared" si="4"/>
        <v>2000-03-01</v>
      </c>
      <c r="L178">
        <v>10921.919921999999</v>
      </c>
      <c r="M178" s="2">
        <f t="shared" si="5"/>
        <v>7.835565713262449E-2</v>
      </c>
    </row>
    <row r="179" spans="1:13" x14ac:dyDescent="0.3">
      <c r="A179" t="s">
        <v>605</v>
      </c>
      <c r="K179" s="1" t="str">
        <f t="shared" si="4"/>
        <v>2000-04-01</v>
      </c>
      <c r="L179">
        <v>10733.910156</v>
      </c>
      <c r="M179" s="2">
        <f t="shared" si="5"/>
        <v>-1.7213985026688583E-2</v>
      </c>
    </row>
    <row r="180" spans="1:13" x14ac:dyDescent="0.3">
      <c r="A180" t="s">
        <v>606</v>
      </c>
      <c r="K180" s="1" t="str">
        <f t="shared" si="4"/>
        <v>2000-05-01</v>
      </c>
      <c r="L180">
        <v>10522.330078000001</v>
      </c>
      <c r="M180" s="2">
        <f t="shared" si="5"/>
        <v>-1.9711370313802212E-2</v>
      </c>
    </row>
    <row r="181" spans="1:13" x14ac:dyDescent="0.3">
      <c r="A181" t="s">
        <v>607</v>
      </c>
      <c r="K181" s="1" t="str">
        <f t="shared" si="4"/>
        <v>2000-06-01</v>
      </c>
      <c r="L181">
        <v>10447.889648</v>
      </c>
      <c r="M181" s="2">
        <f t="shared" si="5"/>
        <v>-7.0745195644109637E-3</v>
      </c>
    </row>
    <row r="182" spans="1:13" x14ac:dyDescent="0.3">
      <c r="A182" t="s">
        <v>608</v>
      </c>
      <c r="K182" s="1" t="str">
        <f t="shared" si="4"/>
        <v>2000-07-01</v>
      </c>
      <c r="L182">
        <v>10521.980469</v>
      </c>
      <c r="M182" s="2">
        <f t="shared" si="5"/>
        <v>7.091462821315675E-3</v>
      </c>
    </row>
    <row r="183" spans="1:13" x14ac:dyDescent="0.3">
      <c r="A183" t="s">
        <v>609</v>
      </c>
      <c r="K183" s="1" t="str">
        <f t="shared" si="4"/>
        <v>2000-08-01</v>
      </c>
      <c r="L183">
        <v>11215.099609000001</v>
      </c>
      <c r="M183" s="2">
        <f t="shared" si="5"/>
        <v>6.5873448638502863E-2</v>
      </c>
    </row>
    <row r="184" spans="1:13" x14ac:dyDescent="0.3">
      <c r="A184" t="s">
        <v>610</v>
      </c>
      <c r="K184" s="1" t="str">
        <f t="shared" si="4"/>
        <v>2000-09-01</v>
      </c>
      <c r="L184">
        <v>10650.919921999999</v>
      </c>
      <c r="M184" s="2">
        <f t="shared" si="5"/>
        <v>-5.0305365682820402E-2</v>
      </c>
    </row>
    <row r="185" spans="1:13" x14ac:dyDescent="0.3">
      <c r="A185" t="s">
        <v>611</v>
      </c>
      <c r="K185" s="1" t="str">
        <f t="shared" si="4"/>
        <v>2000-10-01</v>
      </c>
      <c r="L185">
        <v>10971.139648</v>
      </c>
      <c r="M185" s="2">
        <f t="shared" si="5"/>
        <v>3.006498296345006E-2</v>
      </c>
    </row>
    <row r="186" spans="1:13" x14ac:dyDescent="0.3">
      <c r="A186" t="s">
        <v>612</v>
      </c>
      <c r="K186" s="1" t="str">
        <f t="shared" si="4"/>
        <v>2000-11-01</v>
      </c>
      <c r="L186">
        <v>10414.490234000001</v>
      </c>
      <c r="M186" s="2">
        <f t="shared" si="5"/>
        <v>-5.0737610846241954E-2</v>
      </c>
    </row>
    <row r="187" spans="1:13" x14ac:dyDescent="0.3">
      <c r="A187" t="s">
        <v>613</v>
      </c>
      <c r="K187" s="1" t="str">
        <f t="shared" si="4"/>
        <v>2000-12-01</v>
      </c>
      <c r="L187">
        <v>10787.990234000001</v>
      </c>
      <c r="M187" s="2">
        <f t="shared" si="5"/>
        <v>3.5863493229907784E-2</v>
      </c>
    </row>
    <row r="188" spans="1:13" x14ac:dyDescent="0.3">
      <c r="A188" t="s">
        <v>614</v>
      </c>
      <c r="K188" s="1" t="str">
        <f t="shared" si="4"/>
        <v>2001-01-01</v>
      </c>
      <c r="L188">
        <v>10887.360352</v>
      </c>
      <c r="M188" s="2">
        <f t="shared" si="5"/>
        <v>9.2111798253968757E-3</v>
      </c>
    </row>
    <row r="189" spans="1:13" x14ac:dyDescent="0.3">
      <c r="A189" t="s">
        <v>615</v>
      </c>
      <c r="K189" s="1" t="str">
        <f t="shared" si="4"/>
        <v>2001-02-01</v>
      </c>
      <c r="L189">
        <v>10495.280273</v>
      </c>
      <c r="M189" s="2">
        <f t="shared" si="5"/>
        <v>-3.6012409465989159E-2</v>
      </c>
    </row>
    <row r="190" spans="1:13" x14ac:dyDescent="0.3">
      <c r="A190" t="s">
        <v>616</v>
      </c>
      <c r="K190" s="1" t="str">
        <f t="shared" si="4"/>
        <v>2001-03-01</v>
      </c>
      <c r="L190">
        <v>9878.7802730000003</v>
      </c>
      <c r="M190" s="2">
        <f t="shared" si="5"/>
        <v>-5.8740689525557332E-2</v>
      </c>
    </row>
    <row r="191" spans="1:13" x14ac:dyDescent="0.3">
      <c r="A191" t="s">
        <v>617</v>
      </c>
      <c r="K191" s="1" t="str">
        <f t="shared" si="4"/>
        <v>2001-04-01</v>
      </c>
      <c r="L191">
        <v>10734.969727</v>
      </c>
      <c r="M191" s="2">
        <f t="shared" si="5"/>
        <v>8.6669551335206485E-2</v>
      </c>
    </row>
    <row r="192" spans="1:13" x14ac:dyDescent="0.3">
      <c r="A192" t="s">
        <v>618</v>
      </c>
      <c r="K192" s="1" t="str">
        <f t="shared" si="4"/>
        <v>2001-05-01</v>
      </c>
      <c r="L192">
        <v>10911.940430000001</v>
      </c>
      <c r="M192" s="2">
        <f t="shared" si="5"/>
        <v>1.6485440341288848E-2</v>
      </c>
    </row>
    <row r="193" spans="1:13" x14ac:dyDescent="0.3">
      <c r="A193" t="s">
        <v>619</v>
      </c>
      <c r="K193" s="1" t="str">
        <f t="shared" si="4"/>
        <v>2001-06-01</v>
      </c>
      <c r="L193">
        <v>10502.400390999999</v>
      </c>
      <c r="M193" s="2">
        <f t="shared" si="5"/>
        <v>-3.7531366820337531E-2</v>
      </c>
    </row>
    <row r="194" spans="1:13" x14ac:dyDescent="0.3">
      <c r="A194" t="s">
        <v>620</v>
      </c>
      <c r="K194" s="1" t="str">
        <f t="shared" si="4"/>
        <v>2001-07-01</v>
      </c>
      <c r="L194">
        <v>10522.809569999999</v>
      </c>
      <c r="M194" s="2">
        <f t="shared" si="5"/>
        <v>1.9432870810647263E-3</v>
      </c>
    </row>
    <row r="195" spans="1:13" x14ac:dyDescent="0.3">
      <c r="A195" t="s">
        <v>621</v>
      </c>
      <c r="K195" s="1" t="str">
        <f t="shared" ref="K195:K258" si="6">LEFT(A195,10)</f>
        <v>2001-08-01</v>
      </c>
      <c r="L195">
        <v>9949.75</v>
      </c>
      <c r="M195" s="2">
        <f t="shared" si="5"/>
        <v>-5.4458798877608072E-2</v>
      </c>
    </row>
    <row r="196" spans="1:13" x14ac:dyDescent="0.3">
      <c r="A196" t="s">
        <v>622</v>
      </c>
      <c r="K196" s="1" t="str">
        <f t="shared" si="6"/>
        <v>2001-09-01</v>
      </c>
      <c r="L196">
        <v>8847.5595699999994</v>
      </c>
      <c r="M196" s="2">
        <f t="shared" ref="M196:M259" si="7">(L196/L195)-1</f>
        <v>-0.11077569084650374</v>
      </c>
    </row>
    <row r="197" spans="1:13" x14ac:dyDescent="0.3">
      <c r="A197" t="s">
        <v>623</v>
      </c>
      <c r="K197" s="1" t="str">
        <f t="shared" si="6"/>
        <v>2001-10-01</v>
      </c>
      <c r="L197">
        <v>9075.1396480000003</v>
      </c>
      <c r="M197" s="2">
        <f t="shared" si="7"/>
        <v>2.5722356114071365E-2</v>
      </c>
    </row>
    <row r="198" spans="1:13" x14ac:dyDescent="0.3">
      <c r="A198" t="s">
        <v>624</v>
      </c>
      <c r="K198" s="1" t="str">
        <f t="shared" si="6"/>
        <v>2001-11-01</v>
      </c>
      <c r="L198">
        <v>9851.5595699999994</v>
      </c>
      <c r="M198" s="2">
        <f t="shared" si="7"/>
        <v>8.5554597737910187E-2</v>
      </c>
    </row>
    <row r="199" spans="1:13" x14ac:dyDescent="0.3">
      <c r="A199" t="s">
        <v>625</v>
      </c>
      <c r="K199" s="1" t="str">
        <f t="shared" si="6"/>
        <v>2001-12-01</v>
      </c>
      <c r="L199">
        <v>10021.570313</v>
      </c>
      <c r="M199" s="2">
        <f t="shared" si="7"/>
        <v>1.7257241535413081E-2</v>
      </c>
    </row>
    <row r="200" spans="1:13" x14ac:dyDescent="0.3">
      <c r="A200" t="s">
        <v>626</v>
      </c>
      <c r="K200" s="1" t="str">
        <f t="shared" si="6"/>
        <v>2002-01-01</v>
      </c>
      <c r="L200">
        <v>9920</v>
      </c>
      <c r="M200" s="2">
        <f t="shared" si="7"/>
        <v>-1.0135169422325285E-2</v>
      </c>
    </row>
    <row r="201" spans="1:13" x14ac:dyDescent="0.3">
      <c r="A201" t="s">
        <v>627</v>
      </c>
      <c r="K201" s="1" t="str">
        <f t="shared" si="6"/>
        <v>2002-02-01</v>
      </c>
      <c r="L201">
        <v>10106.129883</v>
      </c>
      <c r="M201" s="2">
        <f t="shared" si="7"/>
        <v>1.8763093044354751E-2</v>
      </c>
    </row>
    <row r="202" spans="1:13" x14ac:dyDescent="0.3">
      <c r="A202" t="s">
        <v>628</v>
      </c>
      <c r="K202" s="1" t="str">
        <f t="shared" si="6"/>
        <v>2002-03-01</v>
      </c>
      <c r="L202">
        <v>10403.940430000001</v>
      </c>
      <c r="M202" s="2">
        <f t="shared" si="7"/>
        <v>2.9468307893109724E-2</v>
      </c>
    </row>
    <row r="203" spans="1:13" x14ac:dyDescent="0.3">
      <c r="A203" t="s">
        <v>629</v>
      </c>
      <c r="K203" s="1" t="str">
        <f t="shared" si="6"/>
        <v>2002-04-01</v>
      </c>
      <c r="L203">
        <v>9946.2197269999997</v>
      </c>
      <c r="M203" s="2">
        <f t="shared" si="7"/>
        <v>-4.399493692602785E-2</v>
      </c>
    </row>
    <row r="204" spans="1:13" x14ac:dyDescent="0.3">
      <c r="A204" t="s">
        <v>630</v>
      </c>
      <c r="K204" s="1" t="str">
        <f t="shared" si="6"/>
        <v>2002-05-01</v>
      </c>
      <c r="L204">
        <v>9925.25</v>
      </c>
      <c r="M204" s="2">
        <f t="shared" si="7"/>
        <v>-2.1083112554889372E-3</v>
      </c>
    </row>
    <row r="205" spans="1:13" x14ac:dyDescent="0.3">
      <c r="A205" t="s">
        <v>631</v>
      </c>
      <c r="K205" s="1" t="str">
        <f t="shared" si="6"/>
        <v>2002-06-01</v>
      </c>
      <c r="L205">
        <v>9243.2597659999992</v>
      </c>
      <c r="M205" s="2">
        <f t="shared" si="7"/>
        <v>-6.8712650462205094E-2</v>
      </c>
    </row>
    <row r="206" spans="1:13" x14ac:dyDescent="0.3">
      <c r="A206" t="s">
        <v>632</v>
      </c>
      <c r="K206" s="1" t="str">
        <f t="shared" si="6"/>
        <v>2002-07-01</v>
      </c>
      <c r="L206">
        <v>8736.5898440000001</v>
      </c>
      <c r="M206" s="2">
        <f t="shared" si="7"/>
        <v>-5.4815069015339279E-2</v>
      </c>
    </row>
    <row r="207" spans="1:13" x14ac:dyDescent="0.3">
      <c r="A207" t="s">
        <v>633</v>
      </c>
      <c r="K207" s="1" t="str">
        <f t="shared" si="6"/>
        <v>2002-08-01</v>
      </c>
      <c r="L207">
        <v>8663.5</v>
      </c>
      <c r="M207" s="2">
        <f t="shared" si="7"/>
        <v>-8.3659465884386996E-3</v>
      </c>
    </row>
    <row r="208" spans="1:13" x14ac:dyDescent="0.3">
      <c r="A208" t="s">
        <v>634</v>
      </c>
      <c r="K208" s="1" t="str">
        <f t="shared" si="6"/>
        <v>2002-09-01</v>
      </c>
      <c r="L208">
        <v>7591.9301759999998</v>
      </c>
      <c r="M208" s="2">
        <f t="shared" si="7"/>
        <v>-0.12368786564321577</v>
      </c>
    </row>
    <row r="209" spans="1:13" x14ac:dyDescent="0.3">
      <c r="A209" t="s">
        <v>635</v>
      </c>
      <c r="K209" s="1" t="str">
        <f t="shared" si="6"/>
        <v>2002-10-01</v>
      </c>
      <c r="L209">
        <v>8397.0302730000003</v>
      </c>
      <c r="M209" s="2">
        <f t="shared" si="7"/>
        <v>0.10604682581843594</v>
      </c>
    </row>
    <row r="210" spans="1:13" x14ac:dyDescent="0.3">
      <c r="A210" t="s">
        <v>636</v>
      </c>
      <c r="K210" s="1" t="str">
        <f t="shared" si="6"/>
        <v>2002-11-01</v>
      </c>
      <c r="L210">
        <v>8896.0898440000001</v>
      </c>
      <c r="M210" s="2">
        <f t="shared" si="7"/>
        <v>5.9432865522074829E-2</v>
      </c>
    </row>
    <row r="211" spans="1:13" x14ac:dyDescent="0.3">
      <c r="A211" t="s">
        <v>637</v>
      </c>
      <c r="K211" s="1" t="str">
        <f t="shared" si="6"/>
        <v>2002-12-01</v>
      </c>
      <c r="L211">
        <v>8341.6298829999996</v>
      </c>
      <c r="M211" s="2">
        <f t="shared" si="7"/>
        <v>-6.2326254649278101E-2</v>
      </c>
    </row>
    <row r="212" spans="1:13" x14ac:dyDescent="0.3">
      <c r="A212" t="s">
        <v>638</v>
      </c>
      <c r="K212" s="1" t="str">
        <f t="shared" si="6"/>
        <v>2003-01-01</v>
      </c>
      <c r="L212">
        <v>8053.8100590000004</v>
      </c>
      <c r="M212" s="2">
        <f t="shared" si="7"/>
        <v>-3.4504027155000894E-2</v>
      </c>
    </row>
    <row r="213" spans="1:13" x14ac:dyDescent="0.3">
      <c r="A213" t="s">
        <v>639</v>
      </c>
      <c r="K213" s="1" t="str">
        <f t="shared" si="6"/>
        <v>2003-02-01</v>
      </c>
      <c r="L213">
        <v>7891.080078</v>
      </c>
      <c r="M213" s="2">
        <f t="shared" si="7"/>
        <v>-2.020534129907281E-2</v>
      </c>
    </row>
    <row r="214" spans="1:13" x14ac:dyDescent="0.3">
      <c r="A214" t="s">
        <v>640</v>
      </c>
      <c r="K214" s="1" t="str">
        <f t="shared" si="6"/>
        <v>2003-03-01</v>
      </c>
      <c r="L214">
        <v>7992.1298829999996</v>
      </c>
      <c r="M214" s="2">
        <f t="shared" si="7"/>
        <v>1.2805573381738045E-2</v>
      </c>
    </row>
    <row r="215" spans="1:13" x14ac:dyDescent="0.3">
      <c r="A215" t="s">
        <v>641</v>
      </c>
      <c r="K215" s="1" t="str">
        <f t="shared" si="6"/>
        <v>2003-04-01</v>
      </c>
      <c r="L215">
        <v>8480.0898440000001</v>
      </c>
      <c r="M215" s="2">
        <f t="shared" si="7"/>
        <v>6.1055058932154793E-2</v>
      </c>
    </row>
    <row r="216" spans="1:13" x14ac:dyDescent="0.3">
      <c r="A216" t="s">
        <v>642</v>
      </c>
      <c r="K216" s="1" t="str">
        <f t="shared" si="6"/>
        <v>2003-05-01</v>
      </c>
      <c r="L216">
        <v>8850.2597659999992</v>
      </c>
      <c r="M216" s="2">
        <f t="shared" si="7"/>
        <v>4.365165096239032E-2</v>
      </c>
    </row>
    <row r="217" spans="1:13" x14ac:dyDescent="0.3">
      <c r="A217" t="s">
        <v>643</v>
      </c>
      <c r="K217" s="1" t="str">
        <f t="shared" si="6"/>
        <v>2003-06-01</v>
      </c>
      <c r="L217">
        <v>8985.4404300000006</v>
      </c>
      <c r="M217" s="2">
        <f t="shared" si="7"/>
        <v>1.5274202969648876E-2</v>
      </c>
    </row>
    <row r="218" spans="1:13" x14ac:dyDescent="0.3">
      <c r="A218" t="s">
        <v>644</v>
      </c>
      <c r="K218" s="1" t="str">
        <f t="shared" si="6"/>
        <v>2003-07-01</v>
      </c>
      <c r="L218">
        <v>9233.7998050000006</v>
      </c>
      <c r="M218" s="2">
        <f t="shared" si="7"/>
        <v>2.7640200492654143E-2</v>
      </c>
    </row>
    <row r="219" spans="1:13" x14ac:dyDescent="0.3">
      <c r="A219" t="s">
        <v>645</v>
      </c>
      <c r="K219" s="1" t="str">
        <f t="shared" si="6"/>
        <v>2003-08-01</v>
      </c>
      <c r="L219">
        <v>9415.8203130000002</v>
      </c>
      <c r="M219" s="2">
        <f t="shared" si="7"/>
        <v>1.9712416539660937E-2</v>
      </c>
    </row>
    <row r="220" spans="1:13" x14ac:dyDescent="0.3">
      <c r="A220" t="s">
        <v>646</v>
      </c>
      <c r="K220" s="1" t="str">
        <f t="shared" si="6"/>
        <v>2003-09-01</v>
      </c>
      <c r="L220">
        <v>9275.0595699999994</v>
      </c>
      <c r="M220" s="2">
        <f t="shared" si="7"/>
        <v>-1.4949387129410185E-2</v>
      </c>
    </row>
    <row r="221" spans="1:13" x14ac:dyDescent="0.3">
      <c r="A221" t="s">
        <v>647</v>
      </c>
      <c r="K221" s="1" t="str">
        <f t="shared" si="6"/>
        <v>2003-10-01</v>
      </c>
      <c r="L221">
        <v>9801.1201170000004</v>
      </c>
      <c r="M221" s="2">
        <f t="shared" si="7"/>
        <v>5.6717753997131526E-2</v>
      </c>
    </row>
    <row r="222" spans="1:13" x14ac:dyDescent="0.3">
      <c r="A222" t="s">
        <v>648</v>
      </c>
      <c r="K222" s="1" t="str">
        <f t="shared" si="6"/>
        <v>2003-11-01</v>
      </c>
      <c r="L222">
        <v>9782.4599610000005</v>
      </c>
      <c r="M222" s="2">
        <f t="shared" si="7"/>
        <v>-1.903879942011355E-3</v>
      </c>
    </row>
    <row r="223" spans="1:13" x14ac:dyDescent="0.3">
      <c r="A223" t="s">
        <v>649</v>
      </c>
      <c r="K223" s="1" t="str">
        <f t="shared" si="6"/>
        <v>2003-12-01</v>
      </c>
      <c r="L223">
        <v>10453.919921999999</v>
      </c>
      <c r="M223" s="2">
        <f t="shared" si="7"/>
        <v>6.8639172935736736E-2</v>
      </c>
    </row>
    <row r="224" spans="1:13" x14ac:dyDescent="0.3">
      <c r="A224" t="s">
        <v>650</v>
      </c>
      <c r="K224" s="1" t="str">
        <f t="shared" si="6"/>
        <v>2004-01-01</v>
      </c>
      <c r="L224">
        <v>10488.070313</v>
      </c>
      <c r="M224" s="2">
        <f t="shared" si="7"/>
        <v>3.2667546006481807E-3</v>
      </c>
    </row>
    <row r="225" spans="1:13" x14ac:dyDescent="0.3">
      <c r="A225" t="s">
        <v>651</v>
      </c>
      <c r="K225" s="1" t="str">
        <f t="shared" si="6"/>
        <v>2004-02-01</v>
      </c>
      <c r="L225">
        <v>10583.919921999999</v>
      </c>
      <c r="M225" s="2">
        <f t="shared" si="7"/>
        <v>9.1389174690403863E-3</v>
      </c>
    </row>
    <row r="226" spans="1:13" x14ac:dyDescent="0.3">
      <c r="A226" t="s">
        <v>652</v>
      </c>
      <c r="K226" s="1" t="str">
        <f t="shared" si="6"/>
        <v>2004-03-01</v>
      </c>
      <c r="L226">
        <v>10357.700194999999</v>
      </c>
      <c r="M226" s="2">
        <f t="shared" si="7"/>
        <v>-2.1373907651150437E-2</v>
      </c>
    </row>
    <row r="227" spans="1:13" x14ac:dyDescent="0.3">
      <c r="A227" t="s">
        <v>653</v>
      </c>
      <c r="K227" s="1" t="str">
        <f t="shared" si="6"/>
        <v>2004-04-01</v>
      </c>
      <c r="L227">
        <v>10225.570313</v>
      </c>
      <c r="M227" s="2">
        <f t="shared" si="7"/>
        <v>-1.2756681455578622E-2</v>
      </c>
    </row>
    <row r="228" spans="1:13" x14ac:dyDescent="0.3">
      <c r="A228" t="s">
        <v>654</v>
      </c>
      <c r="K228" s="1" t="str">
        <f t="shared" si="6"/>
        <v>2004-05-01</v>
      </c>
      <c r="L228">
        <v>10188.450194999999</v>
      </c>
      <c r="M228" s="2">
        <f t="shared" si="7"/>
        <v>-3.6301269135873282E-3</v>
      </c>
    </row>
    <row r="229" spans="1:13" x14ac:dyDescent="0.3">
      <c r="A229" t="s">
        <v>655</v>
      </c>
      <c r="K229" s="1" t="str">
        <f t="shared" si="6"/>
        <v>2004-06-01</v>
      </c>
      <c r="L229">
        <v>10435.480469</v>
      </c>
      <c r="M229" s="2">
        <f t="shared" si="7"/>
        <v>2.4246109003038585E-2</v>
      </c>
    </row>
    <row r="230" spans="1:13" x14ac:dyDescent="0.3">
      <c r="A230" t="s">
        <v>656</v>
      </c>
      <c r="K230" s="1" t="str">
        <f t="shared" si="6"/>
        <v>2004-07-01</v>
      </c>
      <c r="L230">
        <v>10139.709961</v>
      </c>
      <c r="M230" s="2">
        <f t="shared" si="7"/>
        <v>-2.8342778167102622E-2</v>
      </c>
    </row>
    <row r="231" spans="1:13" x14ac:dyDescent="0.3">
      <c r="A231" t="s">
        <v>657</v>
      </c>
      <c r="K231" s="1" t="str">
        <f t="shared" si="6"/>
        <v>2004-08-01</v>
      </c>
      <c r="L231">
        <v>10173.919921999999</v>
      </c>
      <c r="M231" s="2">
        <f t="shared" si="7"/>
        <v>3.3738599162678184E-3</v>
      </c>
    </row>
    <row r="232" spans="1:13" x14ac:dyDescent="0.3">
      <c r="A232" t="s">
        <v>658</v>
      </c>
      <c r="K232" s="1" t="str">
        <f t="shared" si="6"/>
        <v>2004-09-01</v>
      </c>
      <c r="L232">
        <v>10080.269531</v>
      </c>
      <c r="M232" s="2">
        <f t="shared" si="7"/>
        <v>-9.204946738128994E-3</v>
      </c>
    </row>
    <row r="233" spans="1:13" x14ac:dyDescent="0.3">
      <c r="A233" t="s">
        <v>659</v>
      </c>
      <c r="K233" s="1" t="str">
        <f t="shared" si="6"/>
        <v>2004-10-01</v>
      </c>
      <c r="L233">
        <v>10027.469727</v>
      </c>
      <c r="M233" s="2">
        <f t="shared" si="7"/>
        <v>-5.2379357355102352E-3</v>
      </c>
    </row>
    <row r="234" spans="1:13" x14ac:dyDescent="0.3">
      <c r="A234" t="s">
        <v>660</v>
      </c>
      <c r="K234" s="1" t="str">
        <f t="shared" si="6"/>
        <v>2004-11-01</v>
      </c>
      <c r="L234">
        <v>10428.019531</v>
      </c>
      <c r="M234" s="2">
        <f t="shared" si="7"/>
        <v>3.9945251883581223E-2</v>
      </c>
    </row>
    <row r="235" spans="1:13" x14ac:dyDescent="0.3">
      <c r="A235" t="s">
        <v>661</v>
      </c>
      <c r="K235" s="1" t="str">
        <f t="shared" si="6"/>
        <v>2004-12-01</v>
      </c>
      <c r="L235">
        <v>10783.009765999999</v>
      </c>
      <c r="M235" s="2">
        <f t="shared" si="7"/>
        <v>3.404196107848656E-2</v>
      </c>
    </row>
    <row r="236" spans="1:13" x14ac:dyDescent="0.3">
      <c r="A236" t="s">
        <v>662</v>
      </c>
      <c r="K236" s="1" t="str">
        <f t="shared" si="6"/>
        <v>2005-01-01</v>
      </c>
      <c r="L236">
        <v>10489.940430000001</v>
      </c>
      <c r="M236" s="2">
        <f t="shared" si="7"/>
        <v>-2.7178806507630049E-2</v>
      </c>
    </row>
    <row r="237" spans="1:13" x14ac:dyDescent="0.3">
      <c r="A237" t="s">
        <v>663</v>
      </c>
      <c r="K237" s="1" t="str">
        <f t="shared" si="6"/>
        <v>2005-02-01</v>
      </c>
      <c r="L237">
        <v>10766.230469</v>
      </c>
      <c r="M237" s="2">
        <f t="shared" si="7"/>
        <v>2.6338570828280616E-2</v>
      </c>
    </row>
    <row r="238" spans="1:13" x14ac:dyDescent="0.3">
      <c r="A238" t="s">
        <v>664</v>
      </c>
      <c r="K238" s="1" t="str">
        <f t="shared" si="6"/>
        <v>2005-03-01</v>
      </c>
      <c r="L238">
        <v>10503.759765999999</v>
      </c>
      <c r="M238" s="2">
        <f t="shared" si="7"/>
        <v>-2.4379071556730247E-2</v>
      </c>
    </row>
    <row r="239" spans="1:13" x14ac:dyDescent="0.3">
      <c r="A239" t="s">
        <v>665</v>
      </c>
      <c r="K239" s="1" t="str">
        <f t="shared" si="6"/>
        <v>2005-04-01</v>
      </c>
      <c r="L239">
        <v>10192.509765999999</v>
      </c>
      <c r="M239" s="2">
        <f t="shared" si="7"/>
        <v>-2.9632246636818182E-2</v>
      </c>
    </row>
    <row r="240" spans="1:13" x14ac:dyDescent="0.3">
      <c r="A240" t="s">
        <v>666</v>
      </c>
      <c r="K240" s="1" t="str">
        <f t="shared" si="6"/>
        <v>2005-05-01</v>
      </c>
      <c r="L240">
        <v>10467.480469</v>
      </c>
      <c r="M240" s="2">
        <f t="shared" si="7"/>
        <v>2.6977722789851333E-2</v>
      </c>
    </row>
    <row r="241" spans="1:13" x14ac:dyDescent="0.3">
      <c r="A241" t="s">
        <v>667</v>
      </c>
      <c r="K241" s="1" t="str">
        <f t="shared" si="6"/>
        <v>2005-06-01</v>
      </c>
      <c r="L241">
        <v>10274.969727</v>
      </c>
      <c r="M241" s="2">
        <f t="shared" si="7"/>
        <v>-1.8391316092743693E-2</v>
      </c>
    </row>
    <row r="242" spans="1:13" x14ac:dyDescent="0.3">
      <c r="A242" t="s">
        <v>668</v>
      </c>
      <c r="K242" s="1" t="str">
        <f t="shared" si="6"/>
        <v>2005-07-01</v>
      </c>
      <c r="L242">
        <v>10640.910156</v>
      </c>
      <c r="M242" s="2">
        <f t="shared" si="7"/>
        <v>3.5614745222888766E-2</v>
      </c>
    </row>
    <row r="243" spans="1:13" x14ac:dyDescent="0.3">
      <c r="A243" t="s">
        <v>669</v>
      </c>
      <c r="K243" s="1" t="str">
        <f t="shared" si="6"/>
        <v>2005-08-01</v>
      </c>
      <c r="L243">
        <v>10481.599609000001</v>
      </c>
      <c r="M243" s="2">
        <f t="shared" si="7"/>
        <v>-1.4971515092641829E-2</v>
      </c>
    </row>
    <row r="244" spans="1:13" x14ac:dyDescent="0.3">
      <c r="A244" t="s">
        <v>670</v>
      </c>
      <c r="K244" s="1" t="str">
        <f t="shared" si="6"/>
        <v>2005-09-01</v>
      </c>
      <c r="L244">
        <v>10568.700194999999</v>
      </c>
      <c r="M244" s="2">
        <f t="shared" si="7"/>
        <v>8.3098562480110605E-3</v>
      </c>
    </row>
    <row r="245" spans="1:13" x14ac:dyDescent="0.3">
      <c r="A245" t="s">
        <v>671</v>
      </c>
      <c r="K245" s="1" t="str">
        <f t="shared" si="6"/>
        <v>2005-10-01</v>
      </c>
      <c r="L245">
        <v>10440.070313</v>
      </c>
      <c r="M245" s="2">
        <f t="shared" si="7"/>
        <v>-1.2170832706641987E-2</v>
      </c>
    </row>
    <row r="246" spans="1:13" x14ac:dyDescent="0.3">
      <c r="A246" t="s">
        <v>672</v>
      </c>
      <c r="K246" s="1" t="str">
        <f t="shared" si="6"/>
        <v>2005-11-01</v>
      </c>
      <c r="L246">
        <v>10805.870117</v>
      </c>
      <c r="M246" s="2">
        <f t="shared" si="7"/>
        <v>3.5038059422311196E-2</v>
      </c>
    </row>
    <row r="247" spans="1:13" x14ac:dyDescent="0.3">
      <c r="A247" t="s">
        <v>673</v>
      </c>
      <c r="K247" s="1" t="str">
        <f t="shared" si="6"/>
        <v>2005-12-01</v>
      </c>
      <c r="L247">
        <v>10717.5</v>
      </c>
      <c r="M247" s="2">
        <f t="shared" si="7"/>
        <v>-8.1779732722286891E-3</v>
      </c>
    </row>
    <row r="248" spans="1:13" x14ac:dyDescent="0.3">
      <c r="A248" t="s">
        <v>674</v>
      </c>
      <c r="K248" s="1" t="str">
        <f t="shared" si="6"/>
        <v>2006-01-01</v>
      </c>
      <c r="L248">
        <v>10864.860352</v>
      </c>
      <c r="M248" s="2">
        <f t="shared" si="7"/>
        <v>1.3749508000933108E-2</v>
      </c>
    </row>
    <row r="249" spans="1:13" x14ac:dyDescent="0.3">
      <c r="A249" t="s">
        <v>675</v>
      </c>
      <c r="K249" s="1" t="str">
        <f t="shared" si="6"/>
        <v>2006-02-01</v>
      </c>
      <c r="L249">
        <v>10993.410156</v>
      </c>
      <c r="M249" s="2">
        <f t="shared" si="7"/>
        <v>1.1831703292563445E-2</v>
      </c>
    </row>
    <row r="250" spans="1:13" x14ac:dyDescent="0.3">
      <c r="A250" t="s">
        <v>676</v>
      </c>
      <c r="K250" s="1" t="str">
        <f t="shared" si="6"/>
        <v>2006-03-01</v>
      </c>
      <c r="L250">
        <v>11109.320313</v>
      </c>
      <c r="M250" s="2">
        <f t="shared" si="7"/>
        <v>1.05436034274351E-2</v>
      </c>
    </row>
    <row r="251" spans="1:13" x14ac:dyDescent="0.3">
      <c r="A251" t="s">
        <v>677</v>
      </c>
      <c r="K251" s="1" t="str">
        <f t="shared" si="6"/>
        <v>2006-04-01</v>
      </c>
      <c r="L251">
        <v>11367.139648</v>
      </c>
      <c r="M251" s="2">
        <f t="shared" si="7"/>
        <v>2.3207480542108749E-2</v>
      </c>
    </row>
    <row r="252" spans="1:13" x14ac:dyDescent="0.3">
      <c r="A252" t="s">
        <v>678</v>
      </c>
      <c r="K252" s="1" t="str">
        <f t="shared" si="6"/>
        <v>2006-05-01</v>
      </c>
      <c r="L252">
        <v>11168.309569999999</v>
      </c>
      <c r="M252" s="2">
        <f t="shared" si="7"/>
        <v>-1.74916543789434E-2</v>
      </c>
    </row>
    <row r="253" spans="1:13" x14ac:dyDescent="0.3">
      <c r="A253" t="s">
        <v>679</v>
      </c>
      <c r="K253" s="1" t="str">
        <f t="shared" si="6"/>
        <v>2006-06-01</v>
      </c>
      <c r="L253">
        <v>11150.219727</v>
      </c>
      <c r="M253" s="2">
        <f t="shared" si="7"/>
        <v>-1.6197476338399852E-3</v>
      </c>
    </row>
    <row r="254" spans="1:13" x14ac:dyDescent="0.3">
      <c r="A254" t="s">
        <v>680</v>
      </c>
      <c r="K254" s="1" t="str">
        <f t="shared" si="6"/>
        <v>2006-07-01</v>
      </c>
      <c r="L254">
        <v>11185.679688</v>
      </c>
      <c r="M254" s="2">
        <f t="shared" si="7"/>
        <v>3.1802028900054236E-3</v>
      </c>
    </row>
    <row r="255" spans="1:13" x14ac:dyDescent="0.3">
      <c r="A255" t="s">
        <v>681</v>
      </c>
      <c r="K255" s="1" t="str">
        <f t="shared" si="6"/>
        <v>2006-08-01</v>
      </c>
      <c r="L255">
        <v>11381.150390999999</v>
      </c>
      <c r="M255" s="2">
        <f t="shared" si="7"/>
        <v>1.7475084970446586E-2</v>
      </c>
    </row>
    <row r="256" spans="1:13" x14ac:dyDescent="0.3">
      <c r="A256" t="s">
        <v>682</v>
      </c>
      <c r="K256" s="1" t="str">
        <f t="shared" si="6"/>
        <v>2006-09-01</v>
      </c>
      <c r="L256">
        <v>11679.070313</v>
      </c>
      <c r="M256" s="2">
        <f t="shared" si="7"/>
        <v>2.6176608845762228E-2</v>
      </c>
    </row>
    <row r="257" spans="1:13" x14ac:dyDescent="0.3">
      <c r="A257" t="s">
        <v>683</v>
      </c>
      <c r="K257" s="1" t="str">
        <f t="shared" si="6"/>
        <v>2006-10-01</v>
      </c>
      <c r="L257">
        <v>12080.730469</v>
      </c>
      <c r="M257" s="2">
        <f t="shared" si="7"/>
        <v>3.4391449424952203E-2</v>
      </c>
    </row>
    <row r="258" spans="1:13" x14ac:dyDescent="0.3">
      <c r="A258" t="s">
        <v>684</v>
      </c>
      <c r="K258" s="1" t="str">
        <f t="shared" si="6"/>
        <v>2006-11-01</v>
      </c>
      <c r="L258">
        <v>12221.929688</v>
      </c>
      <c r="M258" s="2">
        <f t="shared" si="7"/>
        <v>1.1687970306292872E-2</v>
      </c>
    </row>
    <row r="259" spans="1:13" x14ac:dyDescent="0.3">
      <c r="A259" t="s">
        <v>685</v>
      </c>
      <c r="K259" s="1" t="str">
        <f t="shared" ref="K259:K322" si="8">LEFT(A259,10)</f>
        <v>2006-12-01</v>
      </c>
      <c r="L259">
        <v>12463.150390999999</v>
      </c>
      <c r="M259" s="2">
        <f t="shared" si="7"/>
        <v>1.9736711727022849E-2</v>
      </c>
    </row>
    <row r="260" spans="1:13" x14ac:dyDescent="0.3">
      <c r="A260" t="s">
        <v>686</v>
      </c>
      <c r="K260" s="1" t="str">
        <f t="shared" si="8"/>
        <v>2007-01-01</v>
      </c>
      <c r="L260">
        <v>12621.690430000001</v>
      </c>
      <c r="M260" s="2">
        <f t="shared" ref="M260:M323" si="9">(L260/L259)-1</f>
        <v>1.2720703355588725E-2</v>
      </c>
    </row>
    <row r="261" spans="1:13" x14ac:dyDescent="0.3">
      <c r="A261" t="s">
        <v>687</v>
      </c>
      <c r="K261" s="1" t="str">
        <f t="shared" si="8"/>
        <v>2007-02-01</v>
      </c>
      <c r="L261">
        <v>12268.629883</v>
      </c>
      <c r="M261" s="2">
        <f t="shared" si="9"/>
        <v>-2.7972524675524024E-2</v>
      </c>
    </row>
    <row r="262" spans="1:13" x14ac:dyDescent="0.3">
      <c r="A262" t="s">
        <v>688</v>
      </c>
      <c r="K262" s="1" t="str">
        <f t="shared" si="8"/>
        <v>2007-03-01</v>
      </c>
      <c r="L262">
        <v>12354.349609000001</v>
      </c>
      <c r="M262" s="2">
        <f t="shared" si="9"/>
        <v>6.986902923755034E-3</v>
      </c>
    </row>
    <row r="263" spans="1:13" x14ac:dyDescent="0.3">
      <c r="A263" t="s">
        <v>689</v>
      </c>
      <c r="K263" s="1" t="str">
        <f t="shared" si="8"/>
        <v>2007-04-01</v>
      </c>
      <c r="L263">
        <v>13062.910156</v>
      </c>
      <c r="M263" s="2">
        <f t="shared" si="9"/>
        <v>5.7353124156679369E-2</v>
      </c>
    </row>
    <row r="264" spans="1:13" x14ac:dyDescent="0.3">
      <c r="A264" t="s">
        <v>690</v>
      </c>
      <c r="K264" s="1" t="str">
        <f t="shared" si="8"/>
        <v>2007-05-01</v>
      </c>
      <c r="L264">
        <v>13627.639648</v>
      </c>
      <c r="M264" s="2">
        <f t="shared" si="9"/>
        <v>4.3231522322046301E-2</v>
      </c>
    </row>
    <row r="265" spans="1:13" x14ac:dyDescent="0.3">
      <c r="A265" t="s">
        <v>691</v>
      </c>
      <c r="K265" s="1" t="str">
        <f t="shared" si="8"/>
        <v>2007-06-01</v>
      </c>
      <c r="L265">
        <v>13408.620117</v>
      </c>
      <c r="M265" s="2">
        <f t="shared" si="9"/>
        <v>-1.6071714299559114E-2</v>
      </c>
    </row>
    <row r="266" spans="1:13" x14ac:dyDescent="0.3">
      <c r="A266" t="s">
        <v>692</v>
      </c>
      <c r="K266" s="1" t="str">
        <f t="shared" si="8"/>
        <v>2007-07-01</v>
      </c>
      <c r="L266">
        <v>13211.990234000001</v>
      </c>
      <c r="M266" s="2">
        <f t="shared" si="9"/>
        <v>-1.4664438345203368E-2</v>
      </c>
    </row>
    <row r="267" spans="1:13" x14ac:dyDescent="0.3">
      <c r="A267" t="s">
        <v>693</v>
      </c>
      <c r="K267" s="1" t="str">
        <f t="shared" si="8"/>
        <v>2007-08-01</v>
      </c>
      <c r="L267">
        <v>13357.740234000001</v>
      </c>
      <c r="M267" s="2">
        <f t="shared" si="9"/>
        <v>1.1031646059268541E-2</v>
      </c>
    </row>
    <row r="268" spans="1:13" x14ac:dyDescent="0.3">
      <c r="A268" t="s">
        <v>694</v>
      </c>
      <c r="K268" s="1" t="str">
        <f t="shared" si="8"/>
        <v>2007-09-01</v>
      </c>
      <c r="L268">
        <v>13895.629883</v>
      </c>
      <c r="M268" s="2">
        <f t="shared" si="9"/>
        <v>4.0268012371649897E-2</v>
      </c>
    </row>
    <row r="269" spans="1:13" x14ac:dyDescent="0.3">
      <c r="A269" t="s">
        <v>695</v>
      </c>
      <c r="K269" s="1" t="str">
        <f t="shared" si="8"/>
        <v>2007-10-01</v>
      </c>
      <c r="L269">
        <v>13930.009765999999</v>
      </c>
      <c r="M269" s="2">
        <f t="shared" si="9"/>
        <v>2.4741507430374732E-3</v>
      </c>
    </row>
    <row r="270" spans="1:13" x14ac:dyDescent="0.3">
      <c r="A270" t="s">
        <v>696</v>
      </c>
      <c r="K270" s="1" t="str">
        <f t="shared" si="8"/>
        <v>2007-11-01</v>
      </c>
      <c r="L270">
        <v>13371.719727</v>
      </c>
      <c r="M270" s="2">
        <f t="shared" si="9"/>
        <v>-4.0078223086580933E-2</v>
      </c>
    </row>
    <row r="271" spans="1:13" x14ac:dyDescent="0.3">
      <c r="A271" t="s">
        <v>697</v>
      </c>
      <c r="K271" s="1" t="str">
        <f t="shared" si="8"/>
        <v>2007-12-01</v>
      </c>
      <c r="L271">
        <v>13264.820313</v>
      </c>
      <c r="M271" s="2">
        <f t="shared" si="9"/>
        <v>-7.9944402202919429E-3</v>
      </c>
    </row>
    <row r="272" spans="1:13" x14ac:dyDescent="0.3">
      <c r="A272" t="s">
        <v>698</v>
      </c>
      <c r="K272" s="1" t="str">
        <f t="shared" si="8"/>
        <v>2008-01-01</v>
      </c>
      <c r="L272">
        <v>12650.360352</v>
      </c>
      <c r="M272" s="2">
        <f t="shared" si="9"/>
        <v>-4.6322524278584298E-2</v>
      </c>
    </row>
    <row r="273" spans="1:13" x14ac:dyDescent="0.3">
      <c r="A273" t="s">
        <v>699</v>
      </c>
      <c r="K273" s="1" t="str">
        <f t="shared" si="8"/>
        <v>2008-02-01</v>
      </c>
      <c r="L273">
        <v>12266.389648</v>
      </c>
      <c r="M273" s="2">
        <f t="shared" si="9"/>
        <v>-3.0352550703371395E-2</v>
      </c>
    </row>
    <row r="274" spans="1:13" x14ac:dyDescent="0.3">
      <c r="A274" t="s">
        <v>700</v>
      </c>
      <c r="K274" s="1" t="str">
        <f t="shared" si="8"/>
        <v>2008-03-01</v>
      </c>
      <c r="L274">
        <v>12262.889648</v>
      </c>
      <c r="M274" s="2">
        <f t="shared" si="9"/>
        <v>-2.853325306334531E-4</v>
      </c>
    </row>
    <row r="275" spans="1:13" x14ac:dyDescent="0.3">
      <c r="A275" t="s">
        <v>701</v>
      </c>
      <c r="K275" s="1" t="str">
        <f t="shared" si="8"/>
        <v>2008-04-01</v>
      </c>
      <c r="L275">
        <v>12820.129883</v>
      </c>
      <c r="M275" s="2">
        <f t="shared" si="9"/>
        <v>4.5441184826357839E-2</v>
      </c>
    </row>
    <row r="276" spans="1:13" x14ac:dyDescent="0.3">
      <c r="A276" t="s">
        <v>702</v>
      </c>
      <c r="K276" s="1" t="str">
        <f t="shared" si="8"/>
        <v>2008-05-01</v>
      </c>
      <c r="L276">
        <v>12638.320313</v>
      </c>
      <c r="M276" s="2">
        <f t="shared" si="9"/>
        <v>-1.4181570051102654E-2</v>
      </c>
    </row>
    <row r="277" spans="1:13" x14ac:dyDescent="0.3">
      <c r="A277" t="s">
        <v>703</v>
      </c>
      <c r="K277" s="1" t="str">
        <f t="shared" si="8"/>
        <v>2008-06-01</v>
      </c>
      <c r="L277">
        <v>11350.009765999999</v>
      </c>
      <c r="M277" s="2">
        <f t="shared" si="9"/>
        <v>-0.10193684881327325</v>
      </c>
    </row>
    <row r="278" spans="1:13" x14ac:dyDescent="0.3">
      <c r="A278" t="s">
        <v>704</v>
      </c>
      <c r="K278" s="1" t="str">
        <f t="shared" si="8"/>
        <v>2008-07-01</v>
      </c>
      <c r="L278">
        <v>11378.019531</v>
      </c>
      <c r="M278" s="2">
        <f t="shared" si="9"/>
        <v>2.4678185814348552E-3</v>
      </c>
    </row>
    <row r="279" spans="1:13" x14ac:dyDescent="0.3">
      <c r="A279" t="s">
        <v>705</v>
      </c>
      <c r="K279" s="1" t="str">
        <f t="shared" si="8"/>
        <v>2008-08-01</v>
      </c>
      <c r="L279">
        <v>11543.959961</v>
      </c>
      <c r="M279" s="2">
        <f t="shared" si="9"/>
        <v>1.4584298220607472E-2</v>
      </c>
    </row>
    <row r="280" spans="1:13" x14ac:dyDescent="0.3">
      <c r="A280" t="s">
        <v>706</v>
      </c>
      <c r="K280" s="1" t="str">
        <f t="shared" si="8"/>
        <v>2008-09-01</v>
      </c>
      <c r="L280">
        <v>10850.660156</v>
      </c>
      <c r="M280" s="2">
        <f t="shared" si="9"/>
        <v>-6.0057363967151445E-2</v>
      </c>
    </row>
    <row r="281" spans="1:13" x14ac:dyDescent="0.3">
      <c r="A281" t="s">
        <v>707</v>
      </c>
      <c r="K281" s="1" t="str">
        <f t="shared" si="8"/>
        <v>2008-10-01</v>
      </c>
      <c r="L281">
        <v>9325.0097659999992</v>
      </c>
      <c r="M281" s="2">
        <f t="shared" si="9"/>
        <v>-0.14060438425549382</v>
      </c>
    </row>
    <row r="282" spans="1:13" x14ac:dyDescent="0.3">
      <c r="A282" t="s">
        <v>708</v>
      </c>
      <c r="K282" s="1" t="str">
        <f t="shared" si="8"/>
        <v>2008-11-01</v>
      </c>
      <c r="L282">
        <v>8829.0400389999995</v>
      </c>
      <c r="M282" s="2">
        <f t="shared" si="9"/>
        <v>-5.3187046388772585E-2</v>
      </c>
    </row>
    <row r="283" spans="1:13" x14ac:dyDescent="0.3">
      <c r="A283" t="s">
        <v>709</v>
      </c>
      <c r="K283" s="1" t="str">
        <f t="shared" si="8"/>
        <v>2008-12-01</v>
      </c>
      <c r="L283">
        <v>8776.3896480000003</v>
      </c>
      <c r="M283" s="2">
        <f t="shared" si="9"/>
        <v>-5.9633199948612159E-3</v>
      </c>
    </row>
    <row r="284" spans="1:13" x14ac:dyDescent="0.3">
      <c r="A284" t="s">
        <v>710</v>
      </c>
      <c r="K284" s="1" t="str">
        <f t="shared" si="8"/>
        <v>2009-01-01</v>
      </c>
      <c r="L284">
        <v>8000.8598629999997</v>
      </c>
      <c r="M284" s="2">
        <f t="shared" si="9"/>
        <v>-8.8365468729699304E-2</v>
      </c>
    </row>
    <row r="285" spans="1:13" x14ac:dyDescent="0.3">
      <c r="A285" t="s">
        <v>711</v>
      </c>
      <c r="K285" s="1" t="str">
        <f t="shared" si="8"/>
        <v>2009-02-01</v>
      </c>
      <c r="L285">
        <v>7062.9301759999998</v>
      </c>
      <c r="M285" s="2">
        <f t="shared" si="9"/>
        <v>-0.11722861080687819</v>
      </c>
    </row>
    <row r="286" spans="1:13" x14ac:dyDescent="0.3">
      <c r="A286" t="s">
        <v>712</v>
      </c>
      <c r="K286" s="1" t="str">
        <f t="shared" si="8"/>
        <v>2009-03-01</v>
      </c>
      <c r="L286">
        <v>7608.919922</v>
      </c>
      <c r="M286" s="2">
        <f t="shared" si="9"/>
        <v>7.7303574068350089E-2</v>
      </c>
    </row>
    <row r="287" spans="1:13" x14ac:dyDescent="0.3">
      <c r="A287" t="s">
        <v>713</v>
      </c>
      <c r="K287" s="1" t="str">
        <f t="shared" si="8"/>
        <v>2009-04-01</v>
      </c>
      <c r="L287">
        <v>8168.1201170000004</v>
      </c>
      <c r="M287" s="2">
        <f t="shared" si="9"/>
        <v>7.3492716539591996E-2</v>
      </c>
    </row>
    <row r="288" spans="1:13" x14ac:dyDescent="0.3">
      <c r="A288" t="s">
        <v>714</v>
      </c>
      <c r="K288" s="1" t="str">
        <f t="shared" si="8"/>
        <v>2009-05-01</v>
      </c>
      <c r="L288">
        <v>8500.3300780000009</v>
      </c>
      <c r="M288" s="2">
        <f t="shared" si="9"/>
        <v>4.0671532279328737E-2</v>
      </c>
    </row>
    <row r="289" spans="1:13" x14ac:dyDescent="0.3">
      <c r="A289" t="s">
        <v>715</v>
      </c>
      <c r="K289" s="1" t="str">
        <f t="shared" si="8"/>
        <v>2009-06-01</v>
      </c>
      <c r="L289">
        <v>8447</v>
      </c>
      <c r="M289" s="2">
        <f t="shared" si="9"/>
        <v>-6.2738831916687721E-3</v>
      </c>
    </row>
    <row r="290" spans="1:13" x14ac:dyDescent="0.3">
      <c r="A290" t="s">
        <v>716</v>
      </c>
      <c r="K290" s="1" t="str">
        <f t="shared" si="8"/>
        <v>2009-07-01</v>
      </c>
      <c r="L290">
        <v>9171.6103519999997</v>
      </c>
      <c r="M290" s="2">
        <f t="shared" si="9"/>
        <v>8.5783159938439546E-2</v>
      </c>
    </row>
    <row r="291" spans="1:13" x14ac:dyDescent="0.3">
      <c r="A291" t="s">
        <v>717</v>
      </c>
      <c r="K291" s="1" t="str">
        <f t="shared" si="8"/>
        <v>2009-08-01</v>
      </c>
      <c r="L291">
        <v>9496.2802730000003</v>
      </c>
      <c r="M291" s="2">
        <f t="shared" si="9"/>
        <v>3.5399445521494766E-2</v>
      </c>
    </row>
    <row r="292" spans="1:13" x14ac:dyDescent="0.3">
      <c r="A292" t="s">
        <v>718</v>
      </c>
      <c r="K292" s="1" t="str">
        <f t="shared" si="8"/>
        <v>2009-09-01</v>
      </c>
      <c r="L292">
        <v>9712.2802730000003</v>
      </c>
      <c r="M292" s="2">
        <f t="shared" si="9"/>
        <v>2.2745748207762428E-2</v>
      </c>
    </row>
    <row r="293" spans="1:13" x14ac:dyDescent="0.3">
      <c r="A293" t="s">
        <v>719</v>
      </c>
      <c r="K293" s="1" t="str">
        <f t="shared" si="8"/>
        <v>2009-10-01</v>
      </c>
      <c r="L293">
        <v>9712.7304690000001</v>
      </c>
      <c r="M293" s="2">
        <f t="shared" si="9"/>
        <v>4.6353275167554386E-5</v>
      </c>
    </row>
    <row r="294" spans="1:13" x14ac:dyDescent="0.3">
      <c r="A294" t="s">
        <v>720</v>
      </c>
      <c r="K294" s="1" t="str">
        <f t="shared" si="8"/>
        <v>2009-11-01</v>
      </c>
      <c r="L294">
        <v>10344.839844</v>
      </c>
      <c r="M294" s="2">
        <f t="shared" si="9"/>
        <v>6.5080502029526643E-2</v>
      </c>
    </row>
    <row r="295" spans="1:13" x14ac:dyDescent="0.3">
      <c r="A295" t="s">
        <v>721</v>
      </c>
      <c r="K295" s="1" t="str">
        <f t="shared" si="8"/>
        <v>2009-12-01</v>
      </c>
      <c r="L295">
        <v>10428.049805000001</v>
      </c>
      <c r="M295" s="2">
        <f t="shared" si="9"/>
        <v>8.043620032287091E-3</v>
      </c>
    </row>
    <row r="296" spans="1:13" x14ac:dyDescent="0.3">
      <c r="A296" t="s">
        <v>722</v>
      </c>
      <c r="K296" s="1" t="str">
        <f t="shared" si="8"/>
        <v>2010-01-01</v>
      </c>
      <c r="L296">
        <v>10067.330078000001</v>
      </c>
      <c r="M296" s="2">
        <f t="shared" si="9"/>
        <v>-3.459129307447717E-2</v>
      </c>
    </row>
    <row r="297" spans="1:13" x14ac:dyDescent="0.3">
      <c r="A297" t="s">
        <v>723</v>
      </c>
      <c r="K297" s="1" t="str">
        <f t="shared" si="8"/>
        <v>2010-02-01</v>
      </c>
      <c r="L297">
        <v>10325.259765999999</v>
      </c>
      <c r="M297" s="2">
        <f t="shared" si="9"/>
        <v>2.5620466002564957E-2</v>
      </c>
    </row>
    <row r="298" spans="1:13" x14ac:dyDescent="0.3">
      <c r="A298" t="s">
        <v>724</v>
      </c>
      <c r="K298" s="1" t="str">
        <f t="shared" si="8"/>
        <v>2010-03-01</v>
      </c>
      <c r="L298">
        <v>10856.629883</v>
      </c>
      <c r="M298" s="2">
        <f t="shared" si="9"/>
        <v>5.1463123354024143E-2</v>
      </c>
    </row>
    <row r="299" spans="1:13" x14ac:dyDescent="0.3">
      <c r="A299" t="s">
        <v>725</v>
      </c>
      <c r="K299" s="1" t="str">
        <f t="shared" si="8"/>
        <v>2010-04-01</v>
      </c>
      <c r="L299">
        <v>11008.610352</v>
      </c>
      <c r="M299" s="2">
        <f t="shared" si="9"/>
        <v>1.3998862505019138E-2</v>
      </c>
    </row>
    <row r="300" spans="1:13" x14ac:dyDescent="0.3">
      <c r="A300" t="s">
        <v>726</v>
      </c>
      <c r="K300" s="1" t="str">
        <f t="shared" si="8"/>
        <v>2010-05-01</v>
      </c>
      <c r="L300">
        <v>10136.629883</v>
      </c>
      <c r="M300" s="2">
        <f t="shared" si="9"/>
        <v>-7.9208950187030891E-2</v>
      </c>
    </row>
    <row r="301" spans="1:13" x14ac:dyDescent="0.3">
      <c r="A301" t="s">
        <v>727</v>
      </c>
      <c r="K301" s="1" t="str">
        <f t="shared" si="8"/>
        <v>2010-06-01</v>
      </c>
      <c r="L301">
        <v>9774.0195309999999</v>
      </c>
      <c r="M301" s="2">
        <f t="shared" si="9"/>
        <v>-3.5772278970955473E-2</v>
      </c>
    </row>
    <row r="302" spans="1:13" x14ac:dyDescent="0.3">
      <c r="A302" t="s">
        <v>728</v>
      </c>
      <c r="K302" s="1" t="str">
        <f t="shared" si="8"/>
        <v>2010-07-01</v>
      </c>
      <c r="L302">
        <v>10465.940430000001</v>
      </c>
      <c r="M302" s="2">
        <f t="shared" si="9"/>
        <v>7.0791847387398077E-2</v>
      </c>
    </row>
    <row r="303" spans="1:13" x14ac:dyDescent="0.3">
      <c r="A303" t="s">
        <v>729</v>
      </c>
      <c r="K303" s="1" t="str">
        <f t="shared" si="8"/>
        <v>2010-08-01</v>
      </c>
      <c r="L303">
        <v>10014.719727</v>
      </c>
      <c r="M303" s="2">
        <f t="shared" si="9"/>
        <v>-4.3113249690071132E-2</v>
      </c>
    </row>
    <row r="304" spans="1:13" x14ac:dyDescent="0.3">
      <c r="A304" t="s">
        <v>730</v>
      </c>
      <c r="K304" s="1" t="str">
        <f t="shared" si="8"/>
        <v>2010-09-01</v>
      </c>
      <c r="L304">
        <v>10788.049805000001</v>
      </c>
      <c r="M304" s="2">
        <f t="shared" si="9"/>
        <v>7.7219343035140442E-2</v>
      </c>
    </row>
    <row r="305" spans="1:13" x14ac:dyDescent="0.3">
      <c r="A305" t="s">
        <v>731</v>
      </c>
      <c r="K305" s="1" t="str">
        <f t="shared" si="8"/>
        <v>2010-10-01</v>
      </c>
      <c r="L305">
        <v>11118.490234000001</v>
      </c>
      <c r="M305" s="2">
        <f t="shared" si="9"/>
        <v>3.0630228352009459E-2</v>
      </c>
    </row>
    <row r="306" spans="1:13" x14ac:dyDescent="0.3">
      <c r="A306" t="s">
        <v>732</v>
      </c>
      <c r="K306" s="1" t="str">
        <f t="shared" si="8"/>
        <v>2010-11-01</v>
      </c>
      <c r="L306">
        <v>11006.019531</v>
      </c>
      <c r="M306" s="2">
        <f t="shared" si="9"/>
        <v>-1.0115645256949413E-2</v>
      </c>
    </row>
    <row r="307" spans="1:13" x14ac:dyDescent="0.3">
      <c r="A307" t="s">
        <v>733</v>
      </c>
      <c r="K307" s="1" t="str">
        <f t="shared" si="8"/>
        <v>2010-12-01</v>
      </c>
      <c r="L307">
        <v>11577.509765999999</v>
      </c>
      <c r="M307" s="2">
        <f t="shared" si="9"/>
        <v>5.1925242672004712E-2</v>
      </c>
    </row>
    <row r="308" spans="1:13" x14ac:dyDescent="0.3">
      <c r="A308" t="s">
        <v>734</v>
      </c>
      <c r="K308" s="1" t="str">
        <f t="shared" si="8"/>
        <v>2011-01-01</v>
      </c>
      <c r="L308">
        <v>11891.929688</v>
      </c>
      <c r="M308" s="2">
        <f t="shared" si="9"/>
        <v>2.7157819630899027E-2</v>
      </c>
    </row>
    <row r="309" spans="1:13" x14ac:dyDescent="0.3">
      <c r="A309" t="s">
        <v>735</v>
      </c>
      <c r="K309" s="1" t="str">
        <f t="shared" si="8"/>
        <v>2011-02-01</v>
      </c>
      <c r="L309">
        <v>12226.339844</v>
      </c>
      <c r="M309" s="2">
        <f t="shared" si="9"/>
        <v>2.812076465079083E-2</v>
      </c>
    </row>
    <row r="310" spans="1:13" x14ac:dyDescent="0.3">
      <c r="A310" t="s">
        <v>736</v>
      </c>
      <c r="K310" s="1" t="str">
        <f t="shared" si="8"/>
        <v>2011-03-01</v>
      </c>
      <c r="L310">
        <v>12319.730469</v>
      </c>
      <c r="M310" s="2">
        <f t="shared" si="9"/>
        <v>7.6384777612599208E-3</v>
      </c>
    </row>
    <row r="311" spans="1:13" x14ac:dyDescent="0.3">
      <c r="A311" t="s">
        <v>737</v>
      </c>
      <c r="K311" s="1" t="str">
        <f t="shared" si="8"/>
        <v>2011-04-01</v>
      </c>
      <c r="L311">
        <v>12810.540039</v>
      </c>
      <c r="M311" s="2">
        <f t="shared" si="9"/>
        <v>3.9839310708543296E-2</v>
      </c>
    </row>
    <row r="312" spans="1:13" x14ac:dyDescent="0.3">
      <c r="A312" t="s">
        <v>738</v>
      </c>
      <c r="K312" s="1" t="str">
        <f t="shared" si="8"/>
        <v>2011-05-01</v>
      </c>
      <c r="L312">
        <v>12569.790039</v>
      </c>
      <c r="M312" s="2">
        <f t="shared" si="9"/>
        <v>-1.879311873403211E-2</v>
      </c>
    </row>
    <row r="313" spans="1:13" x14ac:dyDescent="0.3">
      <c r="A313" t="s">
        <v>739</v>
      </c>
      <c r="K313" s="1" t="str">
        <f t="shared" si="8"/>
        <v>2011-06-01</v>
      </c>
      <c r="L313">
        <v>12414.339844</v>
      </c>
      <c r="M313" s="2">
        <f t="shared" si="9"/>
        <v>-1.2366968303980208E-2</v>
      </c>
    </row>
    <row r="314" spans="1:13" x14ac:dyDescent="0.3">
      <c r="A314" t="s">
        <v>740</v>
      </c>
      <c r="K314" s="1" t="str">
        <f t="shared" si="8"/>
        <v>2011-07-01</v>
      </c>
      <c r="L314">
        <v>12143.240234000001</v>
      </c>
      <c r="M314" s="2">
        <f t="shared" si="9"/>
        <v>-2.1837617900481887E-2</v>
      </c>
    </row>
    <row r="315" spans="1:13" x14ac:dyDescent="0.3">
      <c r="A315" t="s">
        <v>741</v>
      </c>
      <c r="K315" s="1" t="str">
        <f t="shared" si="8"/>
        <v>2011-08-01</v>
      </c>
      <c r="L315">
        <v>11613.530273</v>
      </c>
      <c r="M315" s="2">
        <f t="shared" si="9"/>
        <v>-4.3621797048604805E-2</v>
      </c>
    </row>
    <row r="316" spans="1:13" x14ac:dyDescent="0.3">
      <c r="A316" t="s">
        <v>742</v>
      </c>
      <c r="K316" s="1" t="str">
        <f t="shared" si="8"/>
        <v>2011-09-01</v>
      </c>
      <c r="L316">
        <v>10913.379883</v>
      </c>
      <c r="M316" s="2">
        <f t="shared" si="9"/>
        <v>-6.0287472761642702E-2</v>
      </c>
    </row>
    <row r="317" spans="1:13" x14ac:dyDescent="0.3">
      <c r="A317" t="s">
        <v>743</v>
      </c>
      <c r="K317" s="1" t="str">
        <f t="shared" si="8"/>
        <v>2011-10-01</v>
      </c>
      <c r="L317">
        <v>11955.009765999999</v>
      </c>
      <c r="M317" s="2">
        <f t="shared" si="9"/>
        <v>9.5445214421846281E-2</v>
      </c>
    </row>
    <row r="318" spans="1:13" x14ac:dyDescent="0.3">
      <c r="A318" t="s">
        <v>744</v>
      </c>
      <c r="K318" s="1" t="str">
        <f t="shared" si="8"/>
        <v>2011-11-01</v>
      </c>
      <c r="L318">
        <v>12045.679688</v>
      </c>
      <c r="M318" s="2">
        <f t="shared" si="9"/>
        <v>7.5842616421666342E-3</v>
      </c>
    </row>
    <row r="319" spans="1:13" x14ac:dyDescent="0.3">
      <c r="A319" t="s">
        <v>745</v>
      </c>
      <c r="K319" s="1" t="str">
        <f t="shared" si="8"/>
        <v>2011-12-01</v>
      </c>
      <c r="L319">
        <v>12217.559569999999</v>
      </c>
      <c r="M319" s="2">
        <f t="shared" si="9"/>
        <v>1.4269006519509908E-2</v>
      </c>
    </row>
    <row r="320" spans="1:13" x14ac:dyDescent="0.3">
      <c r="A320" t="s">
        <v>746</v>
      </c>
      <c r="K320" s="1" t="str">
        <f t="shared" si="8"/>
        <v>2012-01-01</v>
      </c>
      <c r="L320">
        <v>12632.910156</v>
      </c>
      <c r="M320" s="2">
        <f t="shared" si="9"/>
        <v>3.3996198964307611E-2</v>
      </c>
    </row>
    <row r="321" spans="1:13" x14ac:dyDescent="0.3">
      <c r="A321" t="s">
        <v>747</v>
      </c>
      <c r="K321" s="1" t="str">
        <f t="shared" si="8"/>
        <v>2012-02-01</v>
      </c>
      <c r="L321">
        <v>12952.070313</v>
      </c>
      <c r="M321" s="2">
        <f t="shared" si="9"/>
        <v>2.5264183237178717E-2</v>
      </c>
    </row>
    <row r="322" spans="1:13" x14ac:dyDescent="0.3">
      <c r="A322" t="s">
        <v>748</v>
      </c>
      <c r="K322" s="1" t="str">
        <f t="shared" si="8"/>
        <v>2012-03-01</v>
      </c>
      <c r="L322">
        <v>13212.040039</v>
      </c>
      <c r="M322" s="2">
        <f t="shared" si="9"/>
        <v>2.00716734635904E-2</v>
      </c>
    </row>
    <row r="323" spans="1:13" x14ac:dyDescent="0.3">
      <c r="A323" t="s">
        <v>749</v>
      </c>
      <c r="K323" s="1" t="str">
        <f t="shared" ref="K323:K386" si="10">LEFT(A323,10)</f>
        <v>2012-04-01</v>
      </c>
      <c r="L323">
        <v>13213.629883</v>
      </c>
      <c r="M323" s="2">
        <f t="shared" si="9"/>
        <v>1.2033296866387211E-4</v>
      </c>
    </row>
    <row r="324" spans="1:13" x14ac:dyDescent="0.3">
      <c r="A324" t="s">
        <v>750</v>
      </c>
      <c r="K324" s="1" t="str">
        <f t="shared" si="10"/>
        <v>2012-05-01</v>
      </c>
      <c r="L324">
        <v>12393.450194999999</v>
      </c>
      <c r="M324" s="2">
        <f t="shared" ref="M324:M387" si="11">(L324/L323)-1</f>
        <v>-6.2070732664852524E-2</v>
      </c>
    </row>
    <row r="325" spans="1:13" x14ac:dyDescent="0.3">
      <c r="A325" t="s">
        <v>751</v>
      </c>
      <c r="K325" s="1" t="str">
        <f t="shared" si="10"/>
        <v>2012-06-01</v>
      </c>
      <c r="L325">
        <v>12880.089844</v>
      </c>
      <c r="M325" s="2">
        <f t="shared" si="11"/>
        <v>3.9265873614139357E-2</v>
      </c>
    </row>
    <row r="326" spans="1:13" x14ac:dyDescent="0.3">
      <c r="A326" t="s">
        <v>752</v>
      </c>
      <c r="K326" s="1" t="str">
        <f t="shared" si="10"/>
        <v>2012-07-01</v>
      </c>
      <c r="L326">
        <v>13008.679688</v>
      </c>
      <c r="M326" s="2">
        <f t="shared" si="11"/>
        <v>9.9836139000148982E-3</v>
      </c>
    </row>
    <row r="327" spans="1:13" x14ac:dyDescent="0.3">
      <c r="A327" t="s">
        <v>753</v>
      </c>
      <c r="K327" s="1" t="str">
        <f t="shared" si="10"/>
        <v>2012-08-01</v>
      </c>
      <c r="L327">
        <v>13090.839844</v>
      </c>
      <c r="M327" s="2">
        <f t="shared" si="11"/>
        <v>6.3157951437446957E-3</v>
      </c>
    </row>
    <row r="328" spans="1:13" x14ac:dyDescent="0.3">
      <c r="A328" t="s">
        <v>754</v>
      </c>
      <c r="K328" s="1" t="str">
        <f t="shared" si="10"/>
        <v>2012-09-01</v>
      </c>
      <c r="L328">
        <v>13437.129883</v>
      </c>
      <c r="M328" s="2">
        <f t="shared" si="11"/>
        <v>2.6452851240000186E-2</v>
      </c>
    </row>
    <row r="329" spans="1:13" x14ac:dyDescent="0.3">
      <c r="A329" t="s">
        <v>755</v>
      </c>
      <c r="K329" s="1" t="str">
        <f t="shared" si="10"/>
        <v>2012-10-01</v>
      </c>
      <c r="L329">
        <v>13096.459961</v>
      </c>
      <c r="M329" s="2">
        <f t="shared" si="11"/>
        <v>-2.5352878551170188E-2</v>
      </c>
    </row>
    <row r="330" spans="1:13" x14ac:dyDescent="0.3">
      <c r="A330" t="s">
        <v>756</v>
      </c>
      <c r="K330" s="1" t="str">
        <f t="shared" si="10"/>
        <v>2012-11-01</v>
      </c>
      <c r="L330">
        <v>13025.580078000001</v>
      </c>
      <c r="M330" s="2">
        <f t="shared" si="11"/>
        <v>-5.4121406251057547E-3</v>
      </c>
    </row>
    <row r="331" spans="1:13" x14ac:dyDescent="0.3">
      <c r="A331" t="s">
        <v>757</v>
      </c>
      <c r="K331" s="1" t="str">
        <f t="shared" si="10"/>
        <v>2012-12-01</v>
      </c>
      <c r="L331">
        <v>13104.139648</v>
      </c>
      <c r="M331" s="2">
        <f t="shared" si="11"/>
        <v>6.031176310733688E-3</v>
      </c>
    </row>
    <row r="332" spans="1:13" x14ac:dyDescent="0.3">
      <c r="A332" t="s">
        <v>758</v>
      </c>
      <c r="K332" s="1" t="str">
        <f t="shared" si="10"/>
        <v>2013-01-01</v>
      </c>
      <c r="L332">
        <v>13860.580078000001</v>
      </c>
      <c r="M332" s="2">
        <f t="shared" si="11"/>
        <v>5.7725302867590589E-2</v>
      </c>
    </row>
    <row r="333" spans="1:13" x14ac:dyDescent="0.3">
      <c r="A333" t="s">
        <v>759</v>
      </c>
      <c r="K333" s="1" t="str">
        <f t="shared" si="10"/>
        <v>2013-02-01</v>
      </c>
      <c r="L333">
        <v>14054.490234000001</v>
      </c>
      <c r="M333" s="2">
        <f t="shared" si="11"/>
        <v>1.3990046225250019E-2</v>
      </c>
    </row>
    <row r="334" spans="1:13" x14ac:dyDescent="0.3">
      <c r="A334" t="s">
        <v>760</v>
      </c>
      <c r="K334" s="1" t="str">
        <f t="shared" si="10"/>
        <v>2013-03-01</v>
      </c>
      <c r="L334">
        <v>14578.540039</v>
      </c>
      <c r="M334" s="2">
        <f t="shared" si="11"/>
        <v>3.7287001966975764E-2</v>
      </c>
    </row>
    <row r="335" spans="1:13" x14ac:dyDescent="0.3">
      <c r="A335" t="s">
        <v>761</v>
      </c>
      <c r="K335" s="1" t="str">
        <f t="shared" si="10"/>
        <v>2013-04-01</v>
      </c>
      <c r="L335">
        <v>14839.799805000001</v>
      </c>
      <c r="M335" s="2">
        <f t="shared" si="11"/>
        <v>1.7920845660888363E-2</v>
      </c>
    </row>
    <row r="336" spans="1:13" x14ac:dyDescent="0.3">
      <c r="A336" t="s">
        <v>762</v>
      </c>
      <c r="K336" s="1" t="str">
        <f t="shared" si="10"/>
        <v>2013-05-01</v>
      </c>
      <c r="L336">
        <v>15115.570313</v>
      </c>
      <c r="M336" s="2">
        <f t="shared" si="11"/>
        <v>1.858316902004864E-2</v>
      </c>
    </row>
    <row r="337" spans="1:13" x14ac:dyDescent="0.3">
      <c r="A337" t="s">
        <v>763</v>
      </c>
      <c r="K337" s="1" t="str">
        <f t="shared" si="10"/>
        <v>2013-06-01</v>
      </c>
      <c r="L337">
        <v>14909.599609000001</v>
      </c>
      <c r="M337" s="2">
        <f t="shared" si="11"/>
        <v>-1.3626393165123041E-2</v>
      </c>
    </row>
    <row r="338" spans="1:13" x14ac:dyDescent="0.3">
      <c r="A338" t="s">
        <v>764</v>
      </c>
      <c r="K338" s="1" t="str">
        <f t="shared" si="10"/>
        <v>2013-07-01</v>
      </c>
      <c r="L338">
        <v>15499.540039</v>
      </c>
      <c r="M338" s="2">
        <f t="shared" si="11"/>
        <v>3.9567825124149358E-2</v>
      </c>
    </row>
    <row r="339" spans="1:13" x14ac:dyDescent="0.3">
      <c r="A339" t="s">
        <v>765</v>
      </c>
      <c r="K339" s="1" t="str">
        <f t="shared" si="10"/>
        <v>2013-08-01</v>
      </c>
      <c r="L339">
        <v>14810.309569999999</v>
      </c>
      <c r="M339" s="2">
        <f t="shared" si="11"/>
        <v>-4.4467801448672351E-2</v>
      </c>
    </row>
    <row r="340" spans="1:13" x14ac:dyDescent="0.3">
      <c r="A340" t="s">
        <v>766</v>
      </c>
      <c r="K340" s="1" t="str">
        <f t="shared" si="10"/>
        <v>2013-09-01</v>
      </c>
      <c r="L340">
        <v>15129.669921999999</v>
      </c>
      <c r="M340" s="2">
        <f t="shared" si="11"/>
        <v>2.1563381271037185E-2</v>
      </c>
    </row>
    <row r="341" spans="1:13" x14ac:dyDescent="0.3">
      <c r="A341" t="s">
        <v>767</v>
      </c>
      <c r="K341" s="1" t="str">
        <f t="shared" si="10"/>
        <v>2013-10-01</v>
      </c>
      <c r="L341">
        <v>15545.75</v>
      </c>
      <c r="M341" s="2">
        <f t="shared" si="11"/>
        <v>2.7500935588487652E-2</v>
      </c>
    </row>
    <row r="342" spans="1:13" x14ac:dyDescent="0.3">
      <c r="A342" t="s">
        <v>768</v>
      </c>
      <c r="K342" s="1" t="str">
        <f t="shared" si="10"/>
        <v>2013-11-01</v>
      </c>
      <c r="L342">
        <v>16086.410156</v>
      </c>
      <c r="M342" s="2">
        <f t="shared" si="11"/>
        <v>3.4778647283019382E-2</v>
      </c>
    </row>
    <row r="343" spans="1:13" x14ac:dyDescent="0.3">
      <c r="A343" t="s">
        <v>769</v>
      </c>
      <c r="K343" s="1" t="str">
        <f t="shared" si="10"/>
        <v>2013-12-01</v>
      </c>
      <c r="L343">
        <v>16576.660156000002</v>
      </c>
      <c r="M343" s="2">
        <f t="shared" si="11"/>
        <v>3.0476035065980511E-2</v>
      </c>
    </row>
    <row r="344" spans="1:13" x14ac:dyDescent="0.3">
      <c r="A344" t="s">
        <v>770</v>
      </c>
      <c r="K344" s="1" t="str">
        <f t="shared" si="10"/>
        <v>2014-01-01</v>
      </c>
      <c r="L344">
        <v>15698.849609000001</v>
      </c>
      <c r="M344" s="2">
        <f t="shared" si="11"/>
        <v>-5.2954608391502345E-2</v>
      </c>
    </row>
    <row r="345" spans="1:13" x14ac:dyDescent="0.3">
      <c r="A345" t="s">
        <v>771</v>
      </c>
      <c r="K345" s="1" t="str">
        <f t="shared" si="10"/>
        <v>2014-02-01</v>
      </c>
      <c r="L345">
        <v>16321.709961</v>
      </c>
      <c r="M345" s="2">
        <f t="shared" si="11"/>
        <v>3.9675541043652007E-2</v>
      </c>
    </row>
    <row r="346" spans="1:13" x14ac:dyDescent="0.3">
      <c r="A346" t="s">
        <v>772</v>
      </c>
      <c r="K346" s="1" t="str">
        <f t="shared" si="10"/>
        <v>2014-03-01</v>
      </c>
      <c r="L346">
        <v>16457.660156000002</v>
      </c>
      <c r="M346" s="2">
        <f t="shared" si="11"/>
        <v>8.3294088257204191E-3</v>
      </c>
    </row>
    <row r="347" spans="1:13" x14ac:dyDescent="0.3">
      <c r="A347" t="s">
        <v>773</v>
      </c>
      <c r="K347" s="1" t="str">
        <f t="shared" si="10"/>
        <v>2014-04-01</v>
      </c>
      <c r="L347">
        <v>16580.839843999998</v>
      </c>
      <c r="M347" s="2">
        <f t="shared" si="11"/>
        <v>7.4846416095843971E-3</v>
      </c>
    </row>
    <row r="348" spans="1:13" x14ac:dyDescent="0.3">
      <c r="A348" t="s">
        <v>774</v>
      </c>
      <c r="K348" s="1" t="str">
        <f t="shared" si="10"/>
        <v>2014-05-01</v>
      </c>
      <c r="L348">
        <v>16717.169922000001</v>
      </c>
      <c r="M348" s="2">
        <f t="shared" si="11"/>
        <v>8.2221455175164326E-3</v>
      </c>
    </row>
    <row r="349" spans="1:13" x14ac:dyDescent="0.3">
      <c r="A349" t="s">
        <v>775</v>
      </c>
      <c r="K349" s="1" t="str">
        <f t="shared" si="10"/>
        <v>2014-06-01</v>
      </c>
      <c r="L349">
        <v>16826.599609000001</v>
      </c>
      <c r="M349" s="2">
        <f t="shared" si="11"/>
        <v>6.545945725896507E-3</v>
      </c>
    </row>
    <row r="350" spans="1:13" x14ac:dyDescent="0.3">
      <c r="A350" t="s">
        <v>776</v>
      </c>
      <c r="K350" s="1" t="str">
        <f t="shared" si="10"/>
        <v>2014-07-01</v>
      </c>
      <c r="L350">
        <v>16563.300781000002</v>
      </c>
      <c r="M350" s="2">
        <f t="shared" si="11"/>
        <v>-1.5647774007718662E-2</v>
      </c>
    </row>
    <row r="351" spans="1:13" x14ac:dyDescent="0.3">
      <c r="A351" t="s">
        <v>777</v>
      </c>
      <c r="K351" s="1" t="str">
        <f t="shared" si="10"/>
        <v>2014-08-01</v>
      </c>
      <c r="L351">
        <v>17098.449218999998</v>
      </c>
      <c r="M351" s="2">
        <f t="shared" si="11"/>
        <v>3.2309286963735584E-2</v>
      </c>
    </row>
    <row r="352" spans="1:13" x14ac:dyDescent="0.3">
      <c r="A352" t="s">
        <v>778</v>
      </c>
      <c r="K352" s="1" t="str">
        <f t="shared" si="10"/>
        <v>2014-09-01</v>
      </c>
      <c r="L352">
        <v>17042.900390999999</v>
      </c>
      <c r="M352" s="2">
        <f t="shared" si="11"/>
        <v>-3.2487641006806456E-3</v>
      </c>
    </row>
    <row r="353" spans="1:13" x14ac:dyDescent="0.3">
      <c r="A353" t="s">
        <v>779</v>
      </c>
      <c r="K353" s="1" t="str">
        <f t="shared" si="10"/>
        <v>2014-10-01</v>
      </c>
      <c r="L353">
        <v>17390.519531000002</v>
      </c>
      <c r="M353" s="2">
        <f t="shared" si="11"/>
        <v>2.0396712532778416E-2</v>
      </c>
    </row>
    <row r="354" spans="1:13" x14ac:dyDescent="0.3">
      <c r="A354" t="s">
        <v>780</v>
      </c>
      <c r="K354" s="1" t="str">
        <f t="shared" si="10"/>
        <v>2014-11-01</v>
      </c>
      <c r="L354">
        <v>17828.240234000001</v>
      </c>
      <c r="M354" s="2">
        <f t="shared" si="11"/>
        <v>2.5170076271713748E-2</v>
      </c>
    </row>
    <row r="355" spans="1:13" x14ac:dyDescent="0.3">
      <c r="A355" t="s">
        <v>781</v>
      </c>
      <c r="K355" s="1" t="str">
        <f t="shared" si="10"/>
        <v>2014-12-01</v>
      </c>
      <c r="L355">
        <v>17823.070313</v>
      </c>
      <c r="M355" s="2">
        <f t="shared" si="11"/>
        <v>-2.8998493020870875E-4</v>
      </c>
    </row>
    <row r="356" spans="1:13" x14ac:dyDescent="0.3">
      <c r="A356" t="s">
        <v>782</v>
      </c>
      <c r="K356" s="1" t="str">
        <f t="shared" si="10"/>
        <v>2015-01-01</v>
      </c>
      <c r="L356">
        <v>17164.949218999998</v>
      </c>
      <c r="M356" s="2">
        <f t="shared" si="11"/>
        <v>-3.6925236922842331E-2</v>
      </c>
    </row>
    <row r="357" spans="1:13" x14ac:dyDescent="0.3">
      <c r="A357" t="s">
        <v>783</v>
      </c>
      <c r="K357" s="1" t="str">
        <f t="shared" si="10"/>
        <v>2015-02-01</v>
      </c>
      <c r="L357">
        <v>18132.699218999998</v>
      </c>
      <c r="M357" s="2">
        <f t="shared" si="11"/>
        <v>5.6379426915448727E-2</v>
      </c>
    </row>
    <row r="358" spans="1:13" x14ac:dyDescent="0.3">
      <c r="A358" t="s">
        <v>784</v>
      </c>
      <c r="K358" s="1" t="str">
        <f t="shared" si="10"/>
        <v>2015-03-01</v>
      </c>
      <c r="L358">
        <v>17776.119140999999</v>
      </c>
      <c r="M358" s="2">
        <f t="shared" si="11"/>
        <v>-1.9665030213834034E-2</v>
      </c>
    </row>
    <row r="359" spans="1:13" x14ac:dyDescent="0.3">
      <c r="A359" t="s">
        <v>785</v>
      </c>
      <c r="K359" s="1" t="str">
        <f t="shared" si="10"/>
        <v>2015-04-01</v>
      </c>
      <c r="L359">
        <v>17840.519531000002</v>
      </c>
      <c r="M359" s="2">
        <f t="shared" si="11"/>
        <v>3.6228599442420517E-3</v>
      </c>
    </row>
    <row r="360" spans="1:13" x14ac:dyDescent="0.3">
      <c r="A360" t="s">
        <v>786</v>
      </c>
      <c r="K360" s="1" t="str">
        <f t="shared" si="10"/>
        <v>2015-05-01</v>
      </c>
      <c r="L360">
        <v>18010.679688</v>
      </c>
      <c r="M360" s="2">
        <f t="shared" si="11"/>
        <v>9.5378476341074769E-3</v>
      </c>
    </row>
    <row r="361" spans="1:13" x14ac:dyDescent="0.3">
      <c r="A361" t="s">
        <v>787</v>
      </c>
      <c r="K361" s="1" t="str">
        <f t="shared" si="10"/>
        <v>2015-06-01</v>
      </c>
      <c r="L361">
        <v>17619.509765999999</v>
      </c>
      <c r="M361" s="2">
        <f t="shared" si="11"/>
        <v>-2.1718776235892245E-2</v>
      </c>
    </row>
    <row r="362" spans="1:13" x14ac:dyDescent="0.3">
      <c r="A362" t="s">
        <v>788</v>
      </c>
      <c r="K362" s="1" t="str">
        <f t="shared" si="10"/>
        <v>2015-07-01</v>
      </c>
      <c r="L362">
        <v>17689.859375</v>
      </c>
      <c r="M362" s="2">
        <f t="shared" si="11"/>
        <v>3.9927109172896991E-3</v>
      </c>
    </row>
    <row r="363" spans="1:13" x14ac:dyDescent="0.3">
      <c r="A363" t="s">
        <v>789</v>
      </c>
      <c r="K363" s="1" t="str">
        <f t="shared" si="10"/>
        <v>2015-08-01</v>
      </c>
      <c r="L363">
        <v>16528.029297000001</v>
      </c>
      <c r="M363" s="2">
        <f t="shared" si="11"/>
        <v>-6.5677745276027655E-2</v>
      </c>
    </row>
    <row r="364" spans="1:13" x14ac:dyDescent="0.3">
      <c r="A364" t="s">
        <v>790</v>
      </c>
      <c r="K364" s="1" t="str">
        <f t="shared" si="10"/>
        <v>2015-09-01</v>
      </c>
      <c r="L364">
        <v>16284.700194999999</v>
      </c>
      <c r="M364" s="2">
        <f t="shared" si="11"/>
        <v>-1.4722209020053501E-2</v>
      </c>
    </row>
    <row r="365" spans="1:13" x14ac:dyDescent="0.3">
      <c r="A365" t="s">
        <v>791</v>
      </c>
      <c r="K365" s="1" t="str">
        <f t="shared" si="10"/>
        <v>2015-10-01</v>
      </c>
      <c r="L365">
        <v>17663.539063</v>
      </c>
      <c r="M365" s="2">
        <f t="shared" si="11"/>
        <v>8.4670816870386911E-2</v>
      </c>
    </row>
    <row r="366" spans="1:13" x14ac:dyDescent="0.3">
      <c r="A366" t="s">
        <v>792</v>
      </c>
      <c r="K366" s="1" t="str">
        <f t="shared" si="10"/>
        <v>2015-11-01</v>
      </c>
      <c r="L366">
        <v>17719.919922000001</v>
      </c>
      <c r="M366" s="2">
        <f t="shared" si="11"/>
        <v>3.191934458825596E-3</v>
      </c>
    </row>
    <row r="367" spans="1:13" x14ac:dyDescent="0.3">
      <c r="A367" t="s">
        <v>793</v>
      </c>
      <c r="K367" s="1" t="str">
        <f t="shared" si="10"/>
        <v>2015-12-01</v>
      </c>
      <c r="L367">
        <v>17425.029297000001</v>
      </c>
      <c r="M367" s="2">
        <f t="shared" si="11"/>
        <v>-1.6641758331756407E-2</v>
      </c>
    </row>
    <row r="368" spans="1:13" x14ac:dyDescent="0.3">
      <c r="A368" t="s">
        <v>794</v>
      </c>
      <c r="K368" s="1" t="str">
        <f t="shared" si="10"/>
        <v>2016-01-01</v>
      </c>
      <c r="L368">
        <v>16466.300781000002</v>
      </c>
      <c r="M368" s="2">
        <f t="shared" si="11"/>
        <v>-5.5020195355715118E-2</v>
      </c>
    </row>
    <row r="369" spans="1:13" x14ac:dyDescent="0.3">
      <c r="A369" t="s">
        <v>795</v>
      </c>
      <c r="K369" s="1" t="str">
        <f t="shared" si="10"/>
        <v>2016-02-01</v>
      </c>
      <c r="L369">
        <v>16516.5</v>
      </c>
      <c r="M369" s="2">
        <f t="shared" si="11"/>
        <v>3.0486033060881379E-3</v>
      </c>
    </row>
    <row r="370" spans="1:13" x14ac:dyDescent="0.3">
      <c r="A370" t="s">
        <v>796</v>
      </c>
      <c r="K370" s="1" t="str">
        <f t="shared" si="10"/>
        <v>2016-03-01</v>
      </c>
      <c r="L370">
        <v>17685.089843999998</v>
      </c>
      <c r="M370" s="2">
        <f t="shared" si="11"/>
        <v>7.0752874035055813E-2</v>
      </c>
    </row>
    <row r="371" spans="1:13" x14ac:dyDescent="0.3">
      <c r="A371" t="s">
        <v>797</v>
      </c>
      <c r="K371" s="1" t="str">
        <f t="shared" si="10"/>
        <v>2016-04-01</v>
      </c>
      <c r="L371">
        <v>17773.640625</v>
      </c>
      <c r="M371" s="2">
        <f t="shared" si="11"/>
        <v>5.0070868613678599E-3</v>
      </c>
    </row>
    <row r="372" spans="1:13" x14ac:dyDescent="0.3">
      <c r="A372" t="s">
        <v>798</v>
      </c>
      <c r="K372" s="1" t="str">
        <f t="shared" si="10"/>
        <v>2016-05-01</v>
      </c>
      <c r="L372">
        <v>17787.199218999998</v>
      </c>
      <c r="M372" s="2">
        <f t="shared" si="11"/>
        <v>7.6284843865503937E-4</v>
      </c>
    </row>
    <row r="373" spans="1:13" x14ac:dyDescent="0.3">
      <c r="A373" t="s">
        <v>799</v>
      </c>
      <c r="K373" s="1" t="str">
        <f t="shared" si="10"/>
        <v>2016-06-01</v>
      </c>
      <c r="L373">
        <v>17929.990234000001</v>
      </c>
      <c r="M373" s="2">
        <f t="shared" si="11"/>
        <v>8.0277402440893653E-3</v>
      </c>
    </row>
    <row r="374" spans="1:13" x14ac:dyDescent="0.3">
      <c r="A374" t="s">
        <v>800</v>
      </c>
      <c r="K374" s="1" t="str">
        <f t="shared" si="10"/>
        <v>2016-07-01</v>
      </c>
      <c r="L374">
        <v>18432.240234000001</v>
      </c>
      <c r="M374" s="2">
        <f t="shared" si="11"/>
        <v>2.8011727471418224E-2</v>
      </c>
    </row>
    <row r="375" spans="1:13" x14ac:dyDescent="0.3">
      <c r="A375" t="s">
        <v>801</v>
      </c>
      <c r="K375" s="1" t="str">
        <f t="shared" si="10"/>
        <v>2016-08-01</v>
      </c>
      <c r="L375">
        <v>18400.880859000001</v>
      </c>
      <c r="M375" s="2">
        <f t="shared" si="11"/>
        <v>-1.7013328060988542E-3</v>
      </c>
    </row>
    <row r="376" spans="1:13" x14ac:dyDescent="0.3">
      <c r="A376" t="s">
        <v>802</v>
      </c>
      <c r="K376" s="1" t="str">
        <f t="shared" si="10"/>
        <v>2016-09-01</v>
      </c>
      <c r="L376">
        <v>18308.150390999999</v>
      </c>
      <c r="M376" s="2">
        <f t="shared" si="11"/>
        <v>-5.0394580949990608E-3</v>
      </c>
    </row>
    <row r="377" spans="1:13" x14ac:dyDescent="0.3">
      <c r="A377" t="s">
        <v>803</v>
      </c>
      <c r="K377" s="1" t="str">
        <f t="shared" si="10"/>
        <v>2016-10-01</v>
      </c>
      <c r="L377">
        <v>18142.419922000001</v>
      </c>
      <c r="M377" s="2">
        <f t="shared" si="11"/>
        <v>-9.0522781089600324E-3</v>
      </c>
    </row>
    <row r="378" spans="1:13" x14ac:dyDescent="0.3">
      <c r="A378" t="s">
        <v>804</v>
      </c>
      <c r="K378" s="1" t="str">
        <f t="shared" si="10"/>
        <v>2016-11-01</v>
      </c>
      <c r="L378">
        <v>19123.580077999999</v>
      </c>
      <c r="M378" s="2">
        <f t="shared" si="11"/>
        <v>5.4080996924242619E-2</v>
      </c>
    </row>
    <row r="379" spans="1:13" x14ac:dyDescent="0.3">
      <c r="A379" t="s">
        <v>805</v>
      </c>
      <c r="K379" s="1" t="str">
        <f t="shared" si="10"/>
        <v>2016-12-01</v>
      </c>
      <c r="L379">
        <v>19762.599609000001</v>
      </c>
      <c r="M379" s="2">
        <f t="shared" si="11"/>
        <v>3.3415266827320655E-2</v>
      </c>
    </row>
    <row r="380" spans="1:13" x14ac:dyDescent="0.3">
      <c r="A380" t="s">
        <v>806</v>
      </c>
      <c r="K380" s="1" t="str">
        <f t="shared" si="10"/>
        <v>2017-01-01</v>
      </c>
      <c r="L380">
        <v>19864.089843999998</v>
      </c>
      <c r="M380" s="2">
        <f t="shared" si="11"/>
        <v>5.1354698778482977E-3</v>
      </c>
    </row>
    <row r="381" spans="1:13" x14ac:dyDescent="0.3">
      <c r="A381" t="s">
        <v>807</v>
      </c>
      <c r="K381" s="1" t="str">
        <f t="shared" si="10"/>
        <v>2017-02-01</v>
      </c>
      <c r="L381">
        <v>20812.240234000001</v>
      </c>
      <c r="M381" s="2">
        <f t="shared" si="11"/>
        <v>4.7731881875594517E-2</v>
      </c>
    </row>
    <row r="382" spans="1:13" x14ac:dyDescent="0.3">
      <c r="A382" t="s">
        <v>808</v>
      </c>
      <c r="K382" s="1" t="str">
        <f t="shared" si="10"/>
        <v>2017-03-01</v>
      </c>
      <c r="L382">
        <v>20663.220702999999</v>
      </c>
      <c r="M382" s="2">
        <f t="shared" si="11"/>
        <v>-7.1601869536637164E-3</v>
      </c>
    </row>
    <row r="383" spans="1:13" x14ac:dyDescent="0.3">
      <c r="A383" t="s">
        <v>809</v>
      </c>
      <c r="K383" s="1" t="str">
        <f t="shared" si="10"/>
        <v>2017-04-01</v>
      </c>
      <c r="L383">
        <v>20940.509765999999</v>
      </c>
      <c r="M383" s="2">
        <f t="shared" si="11"/>
        <v>1.3419450287328161E-2</v>
      </c>
    </row>
    <row r="384" spans="1:13" x14ac:dyDescent="0.3">
      <c r="A384" t="s">
        <v>810</v>
      </c>
      <c r="K384" s="1" t="str">
        <f t="shared" si="10"/>
        <v>2017-05-01</v>
      </c>
      <c r="L384">
        <v>21008.650390999999</v>
      </c>
      <c r="M384" s="2">
        <f t="shared" si="11"/>
        <v>3.2540098479663104E-3</v>
      </c>
    </row>
    <row r="385" spans="1:13" x14ac:dyDescent="0.3">
      <c r="A385" t="s">
        <v>811</v>
      </c>
      <c r="K385" s="1" t="str">
        <f t="shared" si="10"/>
        <v>2017-06-01</v>
      </c>
      <c r="L385">
        <v>21349.630859000001</v>
      </c>
      <c r="M385" s="2">
        <f t="shared" si="11"/>
        <v>1.6230479428896327E-2</v>
      </c>
    </row>
    <row r="386" spans="1:13" x14ac:dyDescent="0.3">
      <c r="A386" t="s">
        <v>812</v>
      </c>
      <c r="K386" s="1" t="str">
        <f t="shared" si="10"/>
        <v>2017-07-01</v>
      </c>
      <c r="L386">
        <v>21891.119140999999</v>
      </c>
      <c r="M386" s="2">
        <f t="shared" si="11"/>
        <v>2.5362887329348549E-2</v>
      </c>
    </row>
    <row r="387" spans="1:13" x14ac:dyDescent="0.3">
      <c r="A387" t="s">
        <v>813</v>
      </c>
      <c r="K387" s="1" t="str">
        <f t="shared" ref="K387:K422" si="12">LEFT(A387,10)</f>
        <v>2017-08-01</v>
      </c>
      <c r="L387">
        <v>21948.099609000001</v>
      </c>
      <c r="M387" s="2">
        <f t="shared" si="11"/>
        <v>2.6029033798131707E-3</v>
      </c>
    </row>
    <row r="388" spans="1:13" x14ac:dyDescent="0.3">
      <c r="A388" t="s">
        <v>814</v>
      </c>
      <c r="K388" s="1" t="str">
        <f t="shared" si="12"/>
        <v>2017-09-01</v>
      </c>
      <c r="L388">
        <v>22405.089843999998</v>
      </c>
      <c r="M388" s="2">
        <f t="shared" ref="M388:M422" si="13">(L388/L387)-1</f>
        <v>2.082140336253091E-2</v>
      </c>
    </row>
    <row r="389" spans="1:13" x14ac:dyDescent="0.3">
      <c r="A389" t="s">
        <v>815</v>
      </c>
      <c r="K389" s="1" t="str">
        <f t="shared" si="12"/>
        <v>2017-10-01</v>
      </c>
      <c r="L389">
        <v>23377.240234000001</v>
      </c>
      <c r="M389" s="2">
        <f t="shared" si="13"/>
        <v>4.3389711747143123E-2</v>
      </c>
    </row>
    <row r="390" spans="1:13" x14ac:dyDescent="0.3">
      <c r="A390" t="s">
        <v>816</v>
      </c>
      <c r="K390" s="1" t="str">
        <f t="shared" si="12"/>
        <v>2017-11-01</v>
      </c>
      <c r="L390">
        <v>24272.349609000001</v>
      </c>
      <c r="M390" s="2">
        <f t="shared" si="13"/>
        <v>3.8289779547978853E-2</v>
      </c>
    </row>
    <row r="391" spans="1:13" x14ac:dyDescent="0.3">
      <c r="A391" t="s">
        <v>817</v>
      </c>
      <c r="K391" s="1" t="str">
        <f t="shared" si="12"/>
        <v>2017-12-01</v>
      </c>
      <c r="L391">
        <v>24719.220702999999</v>
      </c>
      <c r="M391" s="2">
        <f t="shared" si="13"/>
        <v>1.8410706058481496E-2</v>
      </c>
    </row>
    <row r="392" spans="1:13" x14ac:dyDescent="0.3">
      <c r="A392" t="s">
        <v>818</v>
      </c>
      <c r="K392" s="1" t="str">
        <f t="shared" si="12"/>
        <v>2018-01-01</v>
      </c>
      <c r="L392">
        <v>26149.390625</v>
      </c>
      <c r="M392" s="2">
        <f t="shared" si="13"/>
        <v>5.7856594234236169E-2</v>
      </c>
    </row>
    <row r="393" spans="1:13" x14ac:dyDescent="0.3">
      <c r="A393" t="s">
        <v>819</v>
      </c>
      <c r="K393" s="1" t="str">
        <f t="shared" si="12"/>
        <v>2018-02-01</v>
      </c>
      <c r="L393">
        <v>25029.199218999998</v>
      </c>
      <c r="M393" s="2">
        <f t="shared" si="13"/>
        <v>-4.2838145716827869E-2</v>
      </c>
    </row>
    <row r="394" spans="1:13" x14ac:dyDescent="0.3">
      <c r="A394" t="s">
        <v>820</v>
      </c>
      <c r="K394" s="1" t="str">
        <f t="shared" si="12"/>
        <v>2018-03-01</v>
      </c>
      <c r="L394">
        <v>24103.109375</v>
      </c>
      <c r="M394" s="2">
        <f t="shared" si="13"/>
        <v>-3.7000378473834306E-2</v>
      </c>
    </row>
    <row r="395" spans="1:13" x14ac:dyDescent="0.3">
      <c r="A395" t="s">
        <v>821</v>
      </c>
      <c r="K395" s="1" t="str">
        <f t="shared" si="12"/>
        <v>2018-04-01</v>
      </c>
      <c r="L395">
        <v>24163.150390999999</v>
      </c>
      <c r="M395" s="2">
        <f t="shared" si="13"/>
        <v>2.4910070757209191E-3</v>
      </c>
    </row>
    <row r="396" spans="1:13" x14ac:dyDescent="0.3">
      <c r="A396" t="s">
        <v>822</v>
      </c>
      <c r="K396" s="1" t="str">
        <f t="shared" si="12"/>
        <v>2018-05-01</v>
      </c>
      <c r="L396">
        <v>24415.839843999998</v>
      </c>
      <c r="M396" s="2">
        <f t="shared" si="13"/>
        <v>1.0457636893826505E-2</v>
      </c>
    </row>
    <row r="397" spans="1:13" x14ac:dyDescent="0.3">
      <c r="A397" t="s">
        <v>823</v>
      </c>
      <c r="K397" s="1" t="str">
        <f t="shared" si="12"/>
        <v>2018-06-01</v>
      </c>
      <c r="L397">
        <v>24271.410156000002</v>
      </c>
      <c r="M397" s="2">
        <f t="shared" si="13"/>
        <v>-5.9154093786165651E-3</v>
      </c>
    </row>
    <row r="398" spans="1:13" x14ac:dyDescent="0.3">
      <c r="A398" t="s">
        <v>824</v>
      </c>
      <c r="K398" s="1" t="str">
        <f t="shared" si="12"/>
        <v>2018-07-01</v>
      </c>
      <c r="L398">
        <v>25415.189452999999</v>
      </c>
      <c r="M398" s="2">
        <f t="shared" si="13"/>
        <v>4.7124550639973783E-2</v>
      </c>
    </row>
    <row r="399" spans="1:13" x14ac:dyDescent="0.3">
      <c r="A399" t="s">
        <v>825</v>
      </c>
      <c r="K399" s="1" t="str">
        <f t="shared" si="12"/>
        <v>2018-08-01</v>
      </c>
      <c r="L399">
        <v>25964.820313</v>
      </c>
      <c r="M399" s="2">
        <f t="shared" si="13"/>
        <v>2.1626077626390572E-2</v>
      </c>
    </row>
    <row r="400" spans="1:13" x14ac:dyDescent="0.3">
      <c r="A400" t="s">
        <v>826</v>
      </c>
      <c r="K400" s="1" t="str">
        <f t="shared" si="12"/>
        <v>2018-09-01</v>
      </c>
      <c r="L400">
        <v>26458.310547000001</v>
      </c>
      <c r="M400" s="2">
        <f t="shared" si="13"/>
        <v>1.9006110115575181E-2</v>
      </c>
    </row>
    <row r="401" spans="1:13" x14ac:dyDescent="0.3">
      <c r="A401" t="s">
        <v>827</v>
      </c>
      <c r="K401" s="1" t="str">
        <f t="shared" si="12"/>
        <v>2018-10-01</v>
      </c>
      <c r="L401">
        <v>25115.759765999999</v>
      </c>
      <c r="M401" s="2">
        <f t="shared" si="13"/>
        <v>-5.0742120462118012E-2</v>
      </c>
    </row>
    <row r="402" spans="1:13" x14ac:dyDescent="0.3">
      <c r="A402" t="s">
        <v>828</v>
      </c>
      <c r="K402" s="1" t="str">
        <f t="shared" si="12"/>
        <v>2018-11-01</v>
      </c>
      <c r="L402">
        <v>25538.460938</v>
      </c>
      <c r="M402" s="2">
        <f t="shared" si="13"/>
        <v>1.6830116864400946E-2</v>
      </c>
    </row>
    <row r="403" spans="1:13" x14ac:dyDescent="0.3">
      <c r="A403" t="s">
        <v>829</v>
      </c>
      <c r="K403" s="1" t="str">
        <f t="shared" si="12"/>
        <v>2018-12-01</v>
      </c>
      <c r="L403">
        <v>23327.460938</v>
      </c>
      <c r="M403" s="2">
        <f t="shared" si="13"/>
        <v>-8.6575303240381984E-2</v>
      </c>
    </row>
    <row r="404" spans="1:13" x14ac:dyDescent="0.3">
      <c r="A404" t="s">
        <v>830</v>
      </c>
      <c r="K404" s="1" t="str">
        <f t="shared" si="12"/>
        <v>2019-01-01</v>
      </c>
      <c r="L404">
        <v>24999.669922000001</v>
      </c>
      <c r="M404" s="2">
        <f t="shared" si="13"/>
        <v>7.1684140354769665E-2</v>
      </c>
    </row>
    <row r="405" spans="1:13" x14ac:dyDescent="0.3">
      <c r="A405" t="s">
        <v>831</v>
      </c>
      <c r="K405" s="1" t="str">
        <f t="shared" si="12"/>
        <v>2019-02-01</v>
      </c>
      <c r="L405">
        <v>25916</v>
      </c>
      <c r="M405" s="2">
        <f t="shared" si="13"/>
        <v>3.6653687063028739E-2</v>
      </c>
    </row>
    <row r="406" spans="1:13" x14ac:dyDescent="0.3">
      <c r="A406" t="s">
        <v>832</v>
      </c>
      <c r="K406" s="1" t="str">
        <f t="shared" si="12"/>
        <v>2019-03-01</v>
      </c>
      <c r="L406">
        <v>25928.679688</v>
      </c>
      <c r="M406" s="2">
        <f t="shared" si="13"/>
        <v>4.892609970674755E-4</v>
      </c>
    </row>
    <row r="407" spans="1:13" x14ac:dyDescent="0.3">
      <c r="A407" t="s">
        <v>833</v>
      </c>
      <c r="K407" s="1" t="str">
        <f t="shared" si="12"/>
        <v>2019-04-01</v>
      </c>
      <c r="L407">
        <v>26592.910156000002</v>
      </c>
      <c r="M407" s="2">
        <f t="shared" si="13"/>
        <v>2.5617597038981144E-2</v>
      </c>
    </row>
    <row r="408" spans="1:13" x14ac:dyDescent="0.3">
      <c r="A408" t="s">
        <v>834</v>
      </c>
      <c r="K408" s="1" t="str">
        <f t="shared" si="12"/>
        <v>2019-05-01</v>
      </c>
      <c r="L408">
        <v>24815.039063</v>
      </c>
      <c r="M408" s="2">
        <f t="shared" si="13"/>
        <v>-6.6855078386329647E-2</v>
      </c>
    </row>
    <row r="409" spans="1:13" x14ac:dyDescent="0.3">
      <c r="A409" t="s">
        <v>835</v>
      </c>
      <c r="K409" s="1" t="str">
        <f t="shared" si="12"/>
        <v>2019-06-01</v>
      </c>
      <c r="L409">
        <v>26599.960938</v>
      </c>
      <c r="M409" s="2">
        <f t="shared" si="13"/>
        <v>7.1929037486842873E-2</v>
      </c>
    </row>
    <row r="410" spans="1:13" x14ac:dyDescent="0.3">
      <c r="A410" t="s">
        <v>836</v>
      </c>
      <c r="K410" s="1" t="str">
        <f t="shared" si="12"/>
        <v>2019-07-01</v>
      </c>
      <c r="L410">
        <v>26864.269531000002</v>
      </c>
      <c r="M410" s="2">
        <f t="shared" si="13"/>
        <v>9.9364278622837698E-3</v>
      </c>
    </row>
    <row r="411" spans="1:13" x14ac:dyDescent="0.3">
      <c r="A411" t="s">
        <v>837</v>
      </c>
      <c r="K411" s="1" t="str">
        <f t="shared" si="12"/>
        <v>2019-08-01</v>
      </c>
      <c r="L411">
        <v>26403.279297000001</v>
      </c>
      <c r="M411" s="2">
        <f t="shared" si="13"/>
        <v>-1.7159976505895402E-2</v>
      </c>
    </row>
    <row r="412" spans="1:13" x14ac:dyDescent="0.3">
      <c r="A412" t="s">
        <v>838</v>
      </c>
      <c r="K412" s="1" t="str">
        <f t="shared" si="12"/>
        <v>2019-09-01</v>
      </c>
      <c r="L412">
        <v>26916.830077999999</v>
      </c>
      <c r="M412" s="2">
        <f t="shared" si="13"/>
        <v>1.9450265068337469E-2</v>
      </c>
    </row>
    <row r="413" spans="1:13" x14ac:dyDescent="0.3">
      <c r="A413" t="s">
        <v>839</v>
      </c>
      <c r="K413" s="1" t="str">
        <f t="shared" si="12"/>
        <v>2019-10-01</v>
      </c>
      <c r="L413">
        <v>27046.230468999998</v>
      </c>
      <c r="M413" s="2">
        <f t="shared" si="13"/>
        <v>4.8074156810078428E-3</v>
      </c>
    </row>
    <row r="414" spans="1:13" x14ac:dyDescent="0.3">
      <c r="A414" t="s">
        <v>840</v>
      </c>
      <c r="K414" s="1" t="str">
        <f t="shared" si="12"/>
        <v>2019-11-01</v>
      </c>
      <c r="L414">
        <v>28051.410156000002</v>
      </c>
      <c r="M414" s="2">
        <f t="shared" si="13"/>
        <v>3.7165241498334778E-2</v>
      </c>
    </row>
    <row r="415" spans="1:13" x14ac:dyDescent="0.3">
      <c r="A415" t="s">
        <v>841</v>
      </c>
      <c r="K415" s="1" t="str">
        <f t="shared" si="12"/>
        <v>2019-12-01</v>
      </c>
      <c r="L415">
        <v>28538.439452999999</v>
      </c>
      <c r="M415" s="2">
        <f t="shared" si="13"/>
        <v>1.7362025448685925E-2</v>
      </c>
    </row>
    <row r="416" spans="1:13" x14ac:dyDescent="0.3">
      <c r="A416" t="s">
        <v>842</v>
      </c>
      <c r="K416" s="1" t="str">
        <f t="shared" si="12"/>
        <v>2020-01-01</v>
      </c>
      <c r="L416">
        <v>28256.029297000001</v>
      </c>
      <c r="M416" s="2">
        <f t="shared" si="13"/>
        <v>-9.8957813185650556E-3</v>
      </c>
    </row>
    <row r="417" spans="1:13" x14ac:dyDescent="0.3">
      <c r="A417" t="s">
        <v>843</v>
      </c>
      <c r="K417" s="1" t="str">
        <f t="shared" si="12"/>
        <v>2020-02-01</v>
      </c>
      <c r="L417">
        <v>25409.359375</v>
      </c>
      <c r="M417" s="2">
        <f t="shared" si="13"/>
        <v>-0.1007455751152635</v>
      </c>
    </row>
    <row r="418" spans="1:13" x14ac:dyDescent="0.3">
      <c r="A418" t="s">
        <v>844</v>
      </c>
      <c r="K418" s="1" t="str">
        <f t="shared" si="12"/>
        <v>2020-03-01</v>
      </c>
      <c r="L418">
        <v>21917.160156000002</v>
      </c>
      <c r="M418" s="2">
        <f t="shared" si="13"/>
        <v>-0.13743751534467796</v>
      </c>
    </row>
    <row r="419" spans="1:13" x14ac:dyDescent="0.3">
      <c r="A419" t="s">
        <v>845</v>
      </c>
      <c r="K419" s="1" t="str">
        <f t="shared" si="12"/>
        <v>2020-04-01</v>
      </c>
      <c r="L419">
        <v>24345.720702999999</v>
      </c>
      <c r="M419" s="2">
        <f t="shared" si="13"/>
        <v>0.11080635126604932</v>
      </c>
    </row>
    <row r="420" spans="1:13" x14ac:dyDescent="0.3">
      <c r="A420" t="s">
        <v>846</v>
      </c>
      <c r="K420" s="1" t="str">
        <f t="shared" si="12"/>
        <v>2020-05-01</v>
      </c>
      <c r="L420">
        <v>25383.109375</v>
      </c>
      <c r="M420" s="2">
        <f t="shared" si="13"/>
        <v>4.2610719339771563E-2</v>
      </c>
    </row>
    <row r="421" spans="1:13" x14ac:dyDescent="0.3">
      <c r="A421" t="s">
        <v>847</v>
      </c>
      <c r="K421" s="1" t="str">
        <f t="shared" si="12"/>
        <v>2020-06-01</v>
      </c>
      <c r="L421">
        <v>25812.880859000001</v>
      </c>
      <c r="M421" s="2">
        <f t="shared" si="13"/>
        <v>1.6931396293918377E-2</v>
      </c>
    </row>
    <row r="422" spans="1:13" x14ac:dyDescent="0.3">
      <c r="A422" t="s">
        <v>849</v>
      </c>
      <c r="K422" s="1" t="str">
        <f t="shared" si="12"/>
        <v>2020-07-01</v>
      </c>
      <c r="L422">
        <v>26428.320313</v>
      </c>
      <c r="M422" s="2">
        <f t="shared" si="13"/>
        <v>2.3842338922252404E-2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AA9C5-333C-4055-82DA-DC0C824C047B}">
  <sheetPr codeName="Sheet1"/>
  <dimension ref="A1:O422"/>
  <sheetViews>
    <sheetView workbookViewId="0">
      <selection activeCell="M3" sqref="M3:M422"/>
    </sheetView>
  </sheetViews>
  <sheetFormatPr defaultRowHeight="14.4" x14ac:dyDescent="0.3"/>
  <cols>
    <col min="11" max="11" width="10.44140625" bestFit="1" customWidth="1"/>
    <col min="12" max="12" width="12.33203125" bestFit="1" customWidth="1"/>
  </cols>
  <sheetData>
    <row r="1" spans="1:15" x14ac:dyDescent="0.3">
      <c r="A1" t="s">
        <v>2</v>
      </c>
      <c r="K1" t="s">
        <v>3</v>
      </c>
      <c r="L1" t="s">
        <v>4</v>
      </c>
      <c r="M1" t="s">
        <v>852</v>
      </c>
      <c r="O1" t="s">
        <v>878</v>
      </c>
    </row>
    <row r="2" spans="1:15" x14ac:dyDescent="0.3">
      <c r="A2" t="s">
        <v>8</v>
      </c>
      <c r="K2" s="1" t="str">
        <f>LEFT(A2,10)</f>
        <v>1985-07-01</v>
      </c>
      <c r="L2">
        <v>190.91999799999999</v>
      </c>
      <c r="O2" s="2">
        <v>7.7541719889258759E-3</v>
      </c>
    </row>
    <row r="3" spans="1:15" x14ac:dyDescent="0.3">
      <c r="A3" t="s">
        <v>9</v>
      </c>
      <c r="K3" s="1" t="str">
        <f t="shared" ref="K3:K66" si="0">LEFT(A3,10)</f>
        <v>1985-08-01</v>
      </c>
      <c r="L3">
        <v>188.63000500000001</v>
      </c>
      <c r="M3" s="2">
        <f>(L3/L2)-1</f>
        <v>-1.1994516153305157E-2</v>
      </c>
    </row>
    <row r="4" spans="1:15" x14ac:dyDescent="0.3">
      <c r="A4" t="s">
        <v>10</v>
      </c>
      <c r="K4" s="1" t="str">
        <f t="shared" si="0"/>
        <v>1985-09-01</v>
      </c>
      <c r="L4">
        <v>182.08000200000001</v>
      </c>
      <c r="M4" s="2">
        <f t="shared" ref="M4:M67" si="1">(L4/L3)-1</f>
        <v>-3.4724077964160549E-2</v>
      </c>
    </row>
    <row r="5" spans="1:15" x14ac:dyDescent="0.3">
      <c r="A5" t="s">
        <v>11</v>
      </c>
      <c r="K5" s="1" t="str">
        <f t="shared" si="0"/>
        <v>1985-10-01</v>
      </c>
      <c r="L5">
        <v>189.820007</v>
      </c>
      <c r="M5" s="2">
        <f t="shared" si="1"/>
        <v>4.2508814339753842E-2</v>
      </c>
    </row>
    <row r="6" spans="1:15" x14ac:dyDescent="0.3">
      <c r="A6" t="s">
        <v>12</v>
      </c>
      <c r="K6" s="1" t="str">
        <f t="shared" si="0"/>
        <v>1985-11-01</v>
      </c>
      <c r="L6">
        <v>202.16999799999999</v>
      </c>
      <c r="M6" s="2">
        <f t="shared" si="1"/>
        <v>6.5061587528020715E-2</v>
      </c>
    </row>
    <row r="7" spans="1:15" x14ac:dyDescent="0.3">
      <c r="A7" t="s">
        <v>13</v>
      </c>
      <c r="K7" s="1" t="str">
        <f t="shared" si="0"/>
        <v>1985-12-01</v>
      </c>
      <c r="L7">
        <v>211.279999</v>
      </c>
      <c r="M7" s="2">
        <f t="shared" si="1"/>
        <v>4.5061092595944929E-2</v>
      </c>
    </row>
    <row r="8" spans="1:15" x14ac:dyDescent="0.3">
      <c r="A8" t="s">
        <v>14</v>
      </c>
      <c r="K8" s="1" t="str">
        <f t="shared" si="0"/>
        <v>1986-01-01</v>
      </c>
      <c r="L8">
        <v>211.779999</v>
      </c>
      <c r="M8" s="2">
        <f t="shared" si="1"/>
        <v>2.3665278415681001E-3</v>
      </c>
    </row>
    <row r="9" spans="1:15" x14ac:dyDescent="0.3">
      <c r="A9" t="s">
        <v>15</v>
      </c>
      <c r="K9" s="1" t="str">
        <f t="shared" si="0"/>
        <v>1986-02-01</v>
      </c>
      <c r="L9">
        <v>226.91999799999999</v>
      </c>
      <c r="M9" s="2">
        <f t="shared" si="1"/>
        <v>7.1489276945364333E-2</v>
      </c>
    </row>
    <row r="10" spans="1:15" x14ac:dyDescent="0.3">
      <c r="A10" t="s">
        <v>16</v>
      </c>
      <c r="K10" s="1" t="str">
        <f t="shared" si="0"/>
        <v>1986-03-01</v>
      </c>
      <c r="L10">
        <v>238.89999399999999</v>
      </c>
      <c r="M10" s="2">
        <f t="shared" si="1"/>
        <v>5.2793919026916214E-2</v>
      </c>
    </row>
    <row r="11" spans="1:15" x14ac:dyDescent="0.3">
      <c r="A11" t="s">
        <v>17</v>
      </c>
      <c r="K11" s="1" t="str">
        <f t="shared" si="0"/>
        <v>1986-04-01</v>
      </c>
      <c r="L11">
        <v>235.520004</v>
      </c>
      <c r="M11" s="2">
        <f t="shared" si="1"/>
        <v>-1.4148137651271764E-2</v>
      </c>
    </row>
    <row r="12" spans="1:15" x14ac:dyDescent="0.3">
      <c r="A12" t="s">
        <v>18</v>
      </c>
      <c r="K12" s="1" t="str">
        <f t="shared" si="0"/>
        <v>1986-05-01</v>
      </c>
      <c r="L12">
        <v>247.35000600000001</v>
      </c>
      <c r="M12" s="2">
        <f t="shared" si="1"/>
        <v>5.0229287530073163E-2</v>
      </c>
    </row>
    <row r="13" spans="1:15" x14ac:dyDescent="0.3">
      <c r="A13" t="s">
        <v>19</v>
      </c>
      <c r="K13" s="1" t="str">
        <f t="shared" si="0"/>
        <v>1986-06-01</v>
      </c>
      <c r="L13">
        <v>250.83999600000001</v>
      </c>
      <c r="M13" s="2">
        <f t="shared" si="1"/>
        <v>1.4109520579514312E-2</v>
      </c>
    </row>
    <row r="14" spans="1:15" x14ac:dyDescent="0.3">
      <c r="A14" t="s">
        <v>20</v>
      </c>
      <c r="K14" s="1" t="str">
        <f t="shared" si="0"/>
        <v>1986-07-01</v>
      </c>
      <c r="L14">
        <v>236.11999499999999</v>
      </c>
      <c r="M14" s="2">
        <f t="shared" si="1"/>
        <v>-5.868283062801527E-2</v>
      </c>
    </row>
    <row r="15" spans="1:15" x14ac:dyDescent="0.3">
      <c r="A15" t="s">
        <v>21</v>
      </c>
      <c r="K15" s="1" t="str">
        <f t="shared" si="0"/>
        <v>1986-08-01</v>
      </c>
      <c r="L15">
        <v>252.929993</v>
      </c>
      <c r="M15" s="2">
        <f t="shared" si="1"/>
        <v>7.1192606962404925E-2</v>
      </c>
    </row>
    <row r="16" spans="1:15" x14ac:dyDescent="0.3">
      <c r="A16" t="s">
        <v>22</v>
      </c>
      <c r="K16" s="1" t="str">
        <f t="shared" si="0"/>
        <v>1986-09-01</v>
      </c>
      <c r="L16">
        <v>231.320007</v>
      </c>
      <c r="M16" s="2">
        <f t="shared" si="1"/>
        <v>-8.5438605930772238E-2</v>
      </c>
    </row>
    <row r="17" spans="1:13" x14ac:dyDescent="0.3">
      <c r="A17" t="s">
        <v>23</v>
      </c>
      <c r="K17" s="1" t="str">
        <f t="shared" si="0"/>
        <v>1986-10-01</v>
      </c>
      <c r="L17">
        <v>243.979996</v>
      </c>
      <c r="M17" s="2">
        <f t="shared" si="1"/>
        <v>5.4729330005596877E-2</v>
      </c>
    </row>
    <row r="18" spans="1:13" x14ac:dyDescent="0.3">
      <c r="A18" t="s">
        <v>24</v>
      </c>
      <c r="K18" s="1" t="str">
        <f t="shared" si="0"/>
        <v>1986-11-01</v>
      </c>
      <c r="L18">
        <v>249.220001</v>
      </c>
      <c r="M18" s="2">
        <f t="shared" si="1"/>
        <v>2.1477191105454319E-2</v>
      </c>
    </row>
    <row r="19" spans="1:13" x14ac:dyDescent="0.3">
      <c r="A19" t="s">
        <v>25</v>
      </c>
      <c r="K19" s="1" t="str">
        <f t="shared" si="0"/>
        <v>1986-12-01</v>
      </c>
      <c r="L19">
        <v>242.16999799999999</v>
      </c>
      <c r="M19" s="2">
        <f t="shared" si="1"/>
        <v>-2.828827129328193E-2</v>
      </c>
    </row>
    <row r="20" spans="1:13" x14ac:dyDescent="0.3">
      <c r="A20" t="s">
        <v>26</v>
      </c>
      <c r="K20" s="1" t="str">
        <f t="shared" si="0"/>
        <v>1987-01-01</v>
      </c>
      <c r="L20">
        <v>274.07998700000002</v>
      </c>
      <c r="M20" s="2">
        <f t="shared" si="1"/>
        <v>0.13176689624451354</v>
      </c>
    </row>
    <row r="21" spans="1:13" x14ac:dyDescent="0.3">
      <c r="A21" t="s">
        <v>27</v>
      </c>
      <c r="K21" s="1" t="str">
        <f t="shared" si="0"/>
        <v>1987-02-01</v>
      </c>
      <c r="L21">
        <v>284.20001200000002</v>
      </c>
      <c r="M21" s="2">
        <f t="shared" si="1"/>
        <v>3.6923618943399905E-2</v>
      </c>
    </row>
    <row r="22" spans="1:13" x14ac:dyDescent="0.3">
      <c r="A22" t="s">
        <v>28</v>
      </c>
      <c r="K22" s="1" t="str">
        <f t="shared" si="0"/>
        <v>1987-03-01</v>
      </c>
      <c r="L22">
        <v>291.70001200000002</v>
      </c>
      <c r="M22" s="2">
        <f t="shared" si="1"/>
        <v>2.6389865177064209E-2</v>
      </c>
    </row>
    <row r="23" spans="1:13" x14ac:dyDescent="0.3">
      <c r="A23" t="s">
        <v>29</v>
      </c>
      <c r="K23" s="1" t="str">
        <f t="shared" si="0"/>
        <v>1987-04-01</v>
      </c>
      <c r="L23">
        <v>288.35998499999999</v>
      </c>
      <c r="M23" s="2">
        <f t="shared" si="1"/>
        <v>-1.1450212076096977E-2</v>
      </c>
    </row>
    <row r="24" spans="1:13" x14ac:dyDescent="0.3">
      <c r="A24" t="s">
        <v>30</v>
      </c>
      <c r="K24" s="1" t="str">
        <f t="shared" si="0"/>
        <v>1987-05-01</v>
      </c>
      <c r="L24">
        <v>290.10000600000001</v>
      </c>
      <c r="M24" s="2">
        <f t="shared" si="1"/>
        <v>6.0341971511754799E-3</v>
      </c>
    </row>
    <row r="25" spans="1:13" x14ac:dyDescent="0.3">
      <c r="A25" t="s">
        <v>31</v>
      </c>
      <c r="K25" s="1" t="str">
        <f t="shared" si="0"/>
        <v>1987-06-01</v>
      </c>
      <c r="L25">
        <v>304</v>
      </c>
      <c r="M25" s="2">
        <f t="shared" si="1"/>
        <v>4.7914490563643719E-2</v>
      </c>
    </row>
    <row r="26" spans="1:13" x14ac:dyDescent="0.3">
      <c r="A26" t="s">
        <v>32</v>
      </c>
      <c r="K26" s="1" t="str">
        <f t="shared" si="0"/>
        <v>1987-07-01</v>
      </c>
      <c r="L26">
        <v>318.66000400000001</v>
      </c>
      <c r="M26" s="2">
        <f t="shared" si="1"/>
        <v>4.8223697368421137E-2</v>
      </c>
    </row>
    <row r="27" spans="1:13" x14ac:dyDescent="0.3">
      <c r="A27" t="s">
        <v>33</v>
      </c>
      <c r="K27" s="1" t="str">
        <f t="shared" si="0"/>
        <v>1987-08-01</v>
      </c>
      <c r="L27">
        <v>329.79998799999998</v>
      </c>
      <c r="M27" s="2">
        <f t="shared" si="1"/>
        <v>3.4958839704276157E-2</v>
      </c>
    </row>
    <row r="28" spans="1:13" x14ac:dyDescent="0.3">
      <c r="A28" t="s">
        <v>34</v>
      </c>
      <c r="K28" s="1" t="str">
        <f t="shared" si="0"/>
        <v>1987-09-01</v>
      </c>
      <c r="L28">
        <v>321.82998700000002</v>
      </c>
      <c r="M28" s="2">
        <f t="shared" si="1"/>
        <v>-2.4166165221327973E-2</v>
      </c>
    </row>
    <row r="29" spans="1:13" x14ac:dyDescent="0.3">
      <c r="A29" t="s">
        <v>35</v>
      </c>
      <c r="K29" s="1" t="str">
        <f t="shared" si="0"/>
        <v>1987-10-01</v>
      </c>
      <c r="L29">
        <v>251.78999300000001</v>
      </c>
      <c r="M29" s="2">
        <f t="shared" si="1"/>
        <v>-0.21763041614888423</v>
      </c>
    </row>
    <row r="30" spans="1:13" x14ac:dyDescent="0.3">
      <c r="A30" t="s">
        <v>36</v>
      </c>
      <c r="K30" s="1" t="str">
        <f t="shared" si="0"/>
        <v>1987-11-01</v>
      </c>
      <c r="L30">
        <v>230.300003</v>
      </c>
      <c r="M30" s="2">
        <f t="shared" si="1"/>
        <v>-8.5348864519806389E-2</v>
      </c>
    </row>
    <row r="31" spans="1:13" x14ac:dyDescent="0.3">
      <c r="A31" t="s">
        <v>37</v>
      </c>
      <c r="K31" s="1" t="str">
        <f t="shared" si="0"/>
        <v>1987-12-01</v>
      </c>
      <c r="L31">
        <v>247.08000200000001</v>
      </c>
      <c r="M31" s="2">
        <f t="shared" si="1"/>
        <v>7.2861479728248302E-2</v>
      </c>
    </row>
    <row r="32" spans="1:13" x14ac:dyDescent="0.3">
      <c r="A32" t="s">
        <v>38</v>
      </c>
      <c r="K32" s="1" t="str">
        <f t="shared" si="0"/>
        <v>1988-01-01</v>
      </c>
      <c r="L32">
        <v>257.07000699999998</v>
      </c>
      <c r="M32" s="2">
        <f t="shared" si="1"/>
        <v>4.0432268573479924E-2</v>
      </c>
    </row>
    <row r="33" spans="1:13" x14ac:dyDescent="0.3">
      <c r="A33" t="s">
        <v>39</v>
      </c>
      <c r="K33" s="1" t="str">
        <f t="shared" si="0"/>
        <v>1988-02-01</v>
      </c>
      <c r="L33">
        <v>267.82000699999998</v>
      </c>
      <c r="M33" s="2">
        <f t="shared" si="1"/>
        <v>4.1817402681285865E-2</v>
      </c>
    </row>
    <row r="34" spans="1:13" x14ac:dyDescent="0.3">
      <c r="A34" t="s">
        <v>40</v>
      </c>
      <c r="K34" s="1" t="str">
        <f t="shared" si="0"/>
        <v>1988-03-01</v>
      </c>
      <c r="L34">
        <v>258.89001500000001</v>
      </c>
      <c r="M34" s="2">
        <f t="shared" si="1"/>
        <v>-3.3343259527283786E-2</v>
      </c>
    </row>
    <row r="35" spans="1:13" x14ac:dyDescent="0.3">
      <c r="A35" t="s">
        <v>41</v>
      </c>
      <c r="K35" s="1" t="str">
        <f t="shared" si="0"/>
        <v>1988-04-01</v>
      </c>
      <c r="L35">
        <v>261.32998700000002</v>
      </c>
      <c r="M35" s="2">
        <f t="shared" si="1"/>
        <v>9.4247435537442303E-3</v>
      </c>
    </row>
    <row r="36" spans="1:13" x14ac:dyDescent="0.3">
      <c r="A36" t="s">
        <v>42</v>
      </c>
      <c r="K36" s="1" t="str">
        <f t="shared" si="0"/>
        <v>1988-05-01</v>
      </c>
      <c r="L36">
        <v>262.16000400000001</v>
      </c>
      <c r="M36" s="2">
        <f t="shared" si="1"/>
        <v>3.1761261289926512E-3</v>
      </c>
    </row>
    <row r="37" spans="1:13" x14ac:dyDescent="0.3">
      <c r="A37" t="s">
        <v>43</v>
      </c>
      <c r="K37" s="1" t="str">
        <f t="shared" si="0"/>
        <v>1988-06-01</v>
      </c>
      <c r="L37">
        <v>273.5</v>
      </c>
      <c r="M37" s="2">
        <f t="shared" si="1"/>
        <v>4.3256010935977862E-2</v>
      </c>
    </row>
    <row r="38" spans="1:13" x14ac:dyDescent="0.3">
      <c r="A38" t="s">
        <v>44</v>
      </c>
      <c r="K38" s="1" t="str">
        <f t="shared" si="0"/>
        <v>1988-07-01</v>
      </c>
      <c r="L38">
        <v>272.01998900000001</v>
      </c>
      <c r="M38" s="2">
        <f t="shared" si="1"/>
        <v>-5.4113747714807925E-3</v>
      </c>
    </row>
    <row r="39" spans="1:13" x14ac:dyDescent="0.3">
      <c r="A39" t="s">
        <v>45</v>
      </c>
      <c r="K39" s="1" t="str">
        <f t="shared" si="0"/>
        <v>1988-08-01</v>
      </c>
      <c r="L39">
        <v>261.51998900000001</v>
      </c>
      <c r="M39" s="2">
        <f t="shared" si="1"/>
        <v>-3.8600104494526666E-2</v>
      </c>
    </row>
    <row r="40" spans="1:13" x14ac:dyDescent="0.3">
      <c r="A40" t="s">
        <v>46</v>
      </c>
      <c r="K40" s="1" t="str">
        <f t="shared" si="0"/>
        <v>1988-09-01</v>
      </c>
      <c r="L40">
        <v>271.91000400000001</v>
      </c>
      <c r="M40" s="2">
        <f t="shared" si="1"/>
        <v>3.9729334035724539E-2</v>
      </c>
    </row>
    <row r="41" spans="1:13" x14ac:dyDescent="0.3">
      <c r="A41" t="s">
        <v>47</v>
      </c>
      <c r="K41" s="1" t="str">
        <f t="shared" si="0"/>
        <v>1988-10-01</v>
      </c>
      <c r="L41">
        <v>278.97000100000002</v>
      </c>
      <c r="M41" s="2">
        <f t="shared" si="1"/>
        <v>2.5964462124019594E-2</v>
      </c>
    </row>
    <row r="42" spans="1:13" x14ac:dyDescent="0.3">
      <c r="A42" t="s">
        <v>48</v>
      </c>
      <c r="K42" s="1" t="str">
        <f t="shared" si="0"/>
        <v>1988-11-01</v>
      </c>
      <c r="L42">
        <v>273.70001200000002</v>
      </c>
      <c r="M42" s="2">
        <f t="shared" si="1"/>
        <v>-1.8890880672148058E-2</v>
      </c>
    </row>
    <row r="43" spans="1:13" x14ac:dyDescent="0.3">
      <c r="A43" t="s">
        <v>49</v>
      </c>
      <c r="K43" s="1" t="str">
        <f t="shared" si="0"/>
        <v>1988-12-01</v>
      </c>
      <c r="L43">
        <v>277.72000100000002</v>
      </c>
      <c r="M43" s="2">
        <f t="shared" si="1"/>
        <v>1.4687573342159865E-2</v>
      </c>
    </row>
    <row r="44" spans="1:13" x14ac:dyDescent="0.3">
      <c r="A44" t="s">
        <v>50</v>
      </c>
      <c r="K44" s="1" t="str">
        <f t="shared" si="0"/>
        <v>1989-01-01</v>
      </c>
      <c r="L44">
        <v>297.47000100000002</v>
      </c>
      <c r="M44" s="2">
        <f t="shared" si="1"/>
        <v>7.1114791620643825E-2</v>
      </c>
    </row>
    <row r="45" spans="1:13" x14ac:dyDescent="0.3">
      <c r="A45" t="s">
        <v>51</v>
      </c>
      <c r="K45" s="1" t="str">
        <f t="shared" si="0"/>
        <v>1989-02-01</v>
      </c>
      <c r="L45">
        <v>288.85998499999999</v>
      </c>
      <c r="M45" s="2">
        <f t="shared" si="1"/>
        <v>-2.8944148892513177E-2</v>
      </c>
    </row>
    <row r="46" spans="1:13" x14ac:dyDescent="0.3">
      <c r="A46" t="s">
        <v>52</v>
      </c>
      <c r="K46" s="1" t="str">
        <f t="shared" si="0"/>
        <v>1989-03-01</v>
      </c>
      <c r="L46">
        <v>294.86999500000002</v>
      </c>
      <c r="M46" s="2">
        <f t="shared" si="1"/>
        <v>2.0805962445785031E-2</v>
      </c>
    </row>
    <row r="47" spans="1:13" x14ac:dyDescent="0.3">
      <c r="A47" t="s">
        <v>53</v>
      </c>
      <c r="K47" s="1" t="str">
        <f t="shared" si="0"/>
        <v>1989-04-01</v>
      </c>
      <c r="L47">
        <v>309.64001500000001</v>
      </c>
      <c r="M47" s="2">
        <f t="shared" si="1"/>
        <v>5.0089938788108856E-2</v>
      </c>
    </row>
    <row r="48" spans="1:13" x14ac:dyDescent="0.3">
      <c r="A48" t="s">
        <v>54</v>
      </c>
      <c r="K48" s="1" t="str">
        <f t="shared" si="0"/>
        <v>1989-05-01</v>
      </c>
      <c r="L48">
        <v>320.51998900000001</v>
      </c>
      <c r="M48" s="2">
        <f t="shared" si="1"/>
        <v>3.5137493453486712E-2</v>
      </c>
    </row>
    <row r="49" spans="1:13" x14ac:dyDescent="0.3">
      <c r="A49" t="s">
        <v>55</v>
      </c>
      <c r="K49" s="1" t="str">
        <f t="shared" si="0"/>
        <v>1989-06-01</v>
      </c>
      <c r="L49">
        <v>317.98001099999999</v>
      </c>
      <c r="M49" s="2">
        <f t="shared" si="1"/>
        <v>-7.9245541219584714E-3</v>
      </c>
    </row>
    <row r="50" spans="1:13" x14ac:dyDescent="0.3">
      <c r="A50" t="s">
        <v>56</v>
      </c>
      <c r="K50" s="1" t="str">
        <f t="shared" si="0"/>
        <v>1989-07-01</v>
      </c>
      <c r="L50">
        <v>346.07998700000002</v>
      </c>
      <c r="M50" s="2">
        <f t="shared" si="1"/>
        <v>8.8370259223621517E-2</v>
      </c>
    </row>
    <row r="51" spans="1:13" x14ac:dyDescent="0.3">
      <c r="A51" t="s">
        <v>57</v>
      </c>
      <c r="K51" s="1" t="str">
        <f t="shared" si="0"/>
        <v>1989-08-01</v>
      </c>
      <c r="L51">
        <v>351.45001200000002</v>
      </c>
      <c r="M51" s="2">
        <f t="shared" si="1"/>
        <v>1.5516716371120287E-2</v>
      </c>
    </row>
    <row r="52" spans="1:13" x14ac:dyDescent="0.3">
      <c r="A52" t="s">
        <v>58</v>
      </c>
      <c r="K52" s="1" t="str">
        <f t="shared" si="0"/>
        <v>1989-09-01</v>
      </c>
      <c r="L52">
        <v>349.14999399999999</v>
      </c>
      <c r="M52" s="2">
        <f t="shared" si="1"/>
        <v>-6.5443673964080684E-3</v>
      </c>
    </row>
    <row r="53" spans="1:13" x14ac:dyDescent="0.3">
      <c r="A53" t="s">
        <v>59</v>
      </c>
      <c r="K53" s="1" t="str">
        <f t="shared" si="0"/>
        <v>1989-10-01</v>
      </c>
      <c r="L53">
        <v>340.35998499999999</v>
      </c>
      <c r="M53" s="2">
        <f t="shared" si="1"/>
        <v>-2.517545224417217E-2</v>
      </c>
    </row>
    <row r="54" spans="1:13" x14ac:dyDescent="0.3">
      <c r="A54" t="s">
        <v>60</v>
      </c>
      <c r="K54" s="1" t="str">
        <f t="shared" si="0"/>
        <v>1989-11-01</v>
      </c>
      <c r="L54">
        <v>345.98998999999998</v>
      </c>
      <c r="M54" s="2">
        <f t="shared" si="1"/>
        <v>1.6541324621341724E-2</v>
      </c>
    </row>
    <row r="55" spans="1:13" x14ac:dyDescent="0.3">
      <c r="A55" t="s">
        <v>61</v>
      </c>
      <c r="K55" s="1" t="str">
        <f t="shared" si="0"/>
        <v>1989-12-01</v>
      </c>
      <c r="L55">
        <v>353.39999399999999</v>
      </c>
      <c r="M55" s="2">
        <f t="shared" si="1"/>
        <v>2.141681613390034E-2</v>
      </c>
    </row>
    <row r="56" spans="1:13" x14ac:dyDescent="0.3">
      <c r="A56" t="s">
        <v>62</v>
      </c>
      <c r="K56" s="1" t="str">
        <f t="shared" si="0"/>
        <v>1990-01-01</v>
      </c>
      <c r="L56">
        <v>329.07998700000002</v>
      </c>
      <c r="M56" s="2">
        <f t="shared" si="1"/>
        <v>-6.8817225277032601E-2</v>
      </c>
    </row>
    <row r="57" spans="1:13" x14ac:dyDescent="0.3">
      <c r="A57" t="s">
        <v>63</v>
      </c>
      <c r="K57" s="1" t="str">
        <f t="shared" si="0"/>
        <v>1990-02-01</v>
      </c>
      <c r="L57">
        <v>331.89001500000001</v>
      </c>
      <c r="M57" s="2">
        <f t="shared" si="1"/>
        <v>8.5390425155207339E-3</v>
      </c>
    </row>
    <row r="58" spans="1:13" x14ac:dyDescent="0.3">
      <c r="A58" t="s">
        <v>64</v>
      </c>
      <c r="K58" s="1" t="str">
        <f t="shared" si="0"/>
        <v>1990-03-01</v>
      </c>
      <c r="L58">
        <v>339.94000199999999</v>
      </c>
      <c r="M58" s="2">
        <f t="shared" si="1"/>
        <v>2.4254983989199008E-2</v>
      </c>
    </row>
    <row r="59" spans="1:13" x14ac:dyDescent="0.3">
      <c r="A59" t="s">
        <v>65</v>
      </c>
      <c r="K59" s="1" t="str">
        <f t="shared" si="0"/>
        <v>1990-04-01</v>
      </c>
      <c r="L59">
        <v>330.79998799999998</v>
      </c>
      <c r="M59" s="2">
        <f t="shared" si="1"/>
        <v>-2.688713874867843E-2</v>
      </c>
    </row>
    <row r="60" spans="1:13" x14ac:dyDescent="0.3">
      <c r="A60" t="s">
        <v>66</v>
      </c>
      <c r="K60" s="1" t="str">
        <f t="shared" si="0"/>
        <v>1990-05-01</v>
      </c>
      <c r="L60">
        <v>361.23001099999999</v>
      </c>
      <c r="M60" s="2">
        <f t="shared" si="1"/>
        <v>9.1989190156802625E-2</v>
      </c>
    </row>
    <row r="61" spans="1:13" x14ac:dyDescent="0.3">
      <c r="A61" t="s">
        <v>67</v>
      </c>
      <c r="K61" s="1" t="str">
        <f t="shared" si="0"/>
        <v>1990-06-01</v>
      </c>
      <c r="L61">
        <v>358.01998900000001</v>
      </c>
      <c r="M61" s="2">
        <f t="shared" si="1"/>
        <v>-8.8863657565815268E-3</v>
      </c>
    </row>
    <row r="62" spans="1:13" x14ac:dyDescent="0.3">
      <c r="A62" t="s">
        <v>68</v>
      </c>
      <c r="K62" s="1" t="str">
        <f t="shared" si="0"/>
        <v>1990-07-01</v>
      </c>
      <c r="L62">
        <v>356.14999399999999</v>
      </c>
      <c r="M62" s="2">
        <f t="shared" si="1"/>
        <v>-5.2231580846174852E-3</v>
      </c>
    </row>
    <row r="63" spans="1:13" x14ac:dyDescent="0.3">
      <c r="A63" t="s">
        <v>69</v>
      </c>
      <c r="K63" s="1" t="str">
        <f t="shared" si="0"/>
        <v>1990-08-01</v>
      </c>
      <c r="L63">
        <v>322.55999800000001</v>
      </c>
      <c r="M63" s="2">
        <f t="shared" si="1"/>
        <v>-9.4314183815485286E-2</v>
      </c>
    </row>
    <row r="64" spans="1:13" x14ac:dyDescent="0.3">
      <c r="A64" t="s">
        <v>70</v>
      </c>
      <c r="K64" s="1" t="str">
        <f t="shared" si="0"/>
        <v>1990-09-01</v>
      </c>
      <c r="L64">
        <v>306.04998799999998</v>
      </c>
      <c r="M64" s="2">
        <f t="shared" si="1"/>
        <v>-5.118430711299804E-2</v>
      </c>
    </row>
    <row r="65" spans="1:13" x14ac:dyDescent="0.3">
      <c r="A65" t="s">
        <v>71</v>
      </c>
      <c r="K65" s="1" t="str">
        <f t="shared" si="0"/>
        <v>1990-10-01</v>
      </c>
      <c r="L65">
        <v>304</v>
      </c>
      <c r="M65" s="2">
        <f t="shared" si="1"/>
        <v>-6.6982129729734607E-3</v>
      </c>
    </row>
    <row r="66" spans="1:13" x14ac:dyDescent="0.3">
      <c r="A66" t="s">
        <v>72</v>
      </c>
      <c r="K66" s="1" t="str">
        <f t="shared" si="0"/>
        <v>1990-11-01</v>
      </c>
      <c r="L66">
        <v>322.22000100000002</v>
      </c>
      <c r="M66" s="2">
        <f t="shared" si="1"/>
        <v>5.993421381578945E-2</v>
      </c>
    </row>
    <row r="67" spans="1:13" x14ac:dyDescent="0.3">
      <c r="A67" t="s">
        <v>73</v>
      </c>
      <c r="K67" s="1" t="str">
        <f t="shared" ref="K67:K130" si="2">LEFT(A67,10)</f>
        <v>1990-12-01</v>
      </c>
      <c r="L67">
        <v>330.22000100000002</v>
      </c>
      <c r="M67" s="2">
        <f t="shared" si="1"/>
        <v>2.4827757355757596E-2</v>
      </c>
    </row>
    <row r="68" spans="1:13" x14ac:dyDescent="0.3">
      <c r="A68" t="s">
        <v>74</v>
      </c>
      <c r="K68" s="1" t="str">
        <f t="shared" si="2"/>
        <v>1991-01-01</v>
      </c>
      <c r="L68">
        <v>343.92999300000002</v>
      </c>
      <c r="M68" s="2">
        <f t="shared" ref="M68:M131" si="3">(L68/L67)-1</f>
        <v>4.1517751676101611E-2</v>
      </c>
    </row>
    <row r="69" spans="1:13" x14ac:dyDescent="0.3">
      <c r="A69" t="s">
        <v>75</v>
      </c>
      <c r="K69" s="1" t="str">
        <f t="shared" si="2"/>
        <v>1991-02-01</v>
      </c>
      <c r="L69">
        <v>367.07000699999998</v>
      </c>
      <c r="M69" s="2">
        <f t="shared" si="3"/>
        <v>6.7281174863978555E-2</v>
      </c>
    </row>
    <row r="70" spans="1:13" x14ac:dyDescent="0.3">
      <c r="A70" t="s">
        <v>76</v>
      </c>
      <c r="K70" s="1" t="str">
        <f t="shared" si="2"/>
        <v>1991-03-01</v>
      </c>
      <c r="L70">
        <v>375.22000100000002</v>
      </c>
      <c r="M70" s="2">
        <f t="shared" si="3"/>
        <v>2.2202832823658314E-2</v>
      </c>
    </row>
    <row r="71" spans="1:13" x14ac:dyDescent="0.3">
      <c r="A71" t="s">
        <v>77</v>
      </c>
      <c r="K71" s="1" t="str">
        <f t="shared" si="2"/>
        <v>1991-04-01</v>
      </c>
      <c r="L71">
        <v>375.33999599999999</v>
      </c>
      <c r="M71" s="2">
        <f t="shared" si="3"/>
        <v>3.1979905037093914E-4</v>
      </c>
    </row>
    <row r="72" spans="1:13" x14ac:dyDescent="0.3">
      <c r="A72" t="s">
        <v>78</v>
      </c>
      <c r="K72" s="1" t="str">
        <f t="shared" si="2"/>
        <v>1991-05-01</v>
      </c>
      <c r="L72">
        <v>389.82998700000002</v>
      </c>
      <c r="M72" s="2">
        <f t="shared" si="3"/>
        <v>3.8604974568178019E-2</v>
      </c>
    </row>
    <row r="73" spans="1:13" x14ac:dyDescent="0.3">
      <c r="A73" t="s">
        <v>79</v>
      </c>
      <c r="K73" s="1" t="str">
        <f t="shared" si="2"/>
        <v>1991-06-01</v>
      </c>
      <c r="L73">
        <v>371.16000400000001</v>
      </c>
      <c r="M73" s="2">
        <f t="shared" si="3"/>
        <v>-4.7892629152718302E-2</v>
      </c>
    </row>
    <row r="74" spans="1:13" x14ac:dyDescent="0.3">
      <c r="A74" t="s">
        <v>80</v>
      </c>
      <c r="K74" s="1" t="str">
        <f t="shared" si="2"/>
        <v>1991-07-01</v>
      </c>
      <c r="L74">
        <v>387.80999800000001</v>
      </c>
      <c r="M74" s="2">
        <f t="shared" si="3"/>
        <v>4.4859343195825518E-2</v>
      </c>
    </row>
    <row r="75" spans="1:13" x14ac:dyDescent="0.3">
      <c r="A75" t="s">
        <v>81</v>
      </c>
      <c r="K75" s="1" t="str">
        <f t="shared" si="2"/>
        <v>1991-08-01</v>
      </c>
      <c r="L75">
        <v>395.42999300000002</v>
      </c>
      <c r="M75" s="2">
        <f t="shared" si="3"/>
        <v>1.9648784299779676E-2</v>
      </c>
    </row>
    <row r="76" spans="1:13" x14ac:dyDescent="0.3">
      <c r="A76" t="s">
        <v>82</v>
      </c>
      <c r="K76" s="1" t="str">
        <f t="shared" si="2"/>
        <v>1991-09-01</v>
      </c>
      <c r="L76">
        <v>387.85998499999999</v>
      </c>
      <c r="M76" s="2">
        <f t="shared" si="3"/>
        <v>-1.9143737536368444E-2</v>
      </c>
    </row>
    <row r="77" spans="1:13" x14ac:dyDescent="0.3">
      <c r="A77" t="s">
        <v>83</v>
      </c>
      <c r="K77" s="1" t="str">
        <f t="shared" si="2"/>
        <v>1991-10-01</v>
      </c>
      <c r="L77">
        <v>392.45001200000002</v>
      </c>
      <c r="M77" s="2">
        <f t="shared" si="3"/>
        <v>1.1834237037883666E-2</v>
      </c>
    </row>
    <row r="78" spans="1:13" x14ac:dyDescent="0.3">
      <c r="A78" t="s">
        <v>84</v>
      </c>
      <c r="K78" s="1" t="str">
        <f t="shared" si="2"/>
        <v>1991-11-01</v>
      </c>
      <c r="L78">
        <v>375.22000100000002</v>
      </c>
      <c r="M78" s="2">
        <f t="shared" si="3"/>
        <v>-4.3903708684304932E-2</v>
      </c>
    </row>
    <row r="79" spans="1:13" x14ac:dyDescent="0.3">
      <c r="A79" t="s">
        <v>85</v>
      </c>
      <c r="K79" s="1" t="str">
        <f t="shared" si="2"/>
        <v>1991-12-01</v>
      </c>
      <c r="L79">
        <v>417.08999599999999</v>
      </c>
      <c r="M79" s="2">
        <f t="shared" si="3"/>
        <v>0.11158785482760014</v>
      </c>
    </row>
    <row r="80" spans="1:13" x14ac:dyDescent="0.3">
      <c r="A80" t="s">
        <v>86</v>
      </c>
      <c r="K80" s="1" t="str">
        <f t="shared" si="2"/>
        <v>1992-01-01</v>
      </c>
      <c r="L80">
        <v>408.77999899999998</v>
      </c>
      <c r="M80" s="2">
        <f t="shared" si="3"/>
        <v>-1.9923750460799861E-2</v>
      </c>
    </row>
    <row r="81" spans="1:13" x14ac:dyDescent="0.3">
      <c r="A81" t="s">
        <v>87</v>
      </c>
      <c r="K81" s="1" t="str">
        <f t="shared" si="2"/>
        <v>1992-02-01</v>
      </c>
      <c r="L81">
        <v>412.70001200000002</v>
      </c>
      <c r="M81" s="2">
        <f t="shared" si="3"/>
        <v>9.5895420754186222E-3</v>
      </c>
    </row>
    <row r="82" spans="1:13" x14ac:dyDescent="0.3">
      <c r="A82" t="s">
        <v>88</v>
      </c>
      <c r="K82" s="1" t="str">
        <f t="shared" si="2"/>
        <v>1992-03-01</v>
      </c>
      <c r="L82">
        <v>403.69000199999999</v>
      </c>
      <c r="M82" s="2">
        <f t="shared" si="3"/>
        <v>-2.1831862704186245E-2</v>
      </c>
    </row>
    <row r="83" spans="1:13" x14ac:dyDescent="0.3">
      <c r="A83" t="s">
        <v>89</v>
      </c>
      <c r="K83" s="1" t="str">
        <f t="shared" si="2"/>
        <v>1992-04-01</v>
      </c>
      <c r="L83">
        <v>414.95001200000002</v>
      </c>
      <c r="M83" s="2">
        <f t="shared" si="3"/>
        <v>2.7892714568640731E-2</v>
      </c>
    </row>
    <row r="84" spans="1:13" x14ac:dyDescent="0.3">
      <c r="A84" t="s">
        <v>90</v>
      </c>
      <c r="K84" s="1" t="str">
        <f t="shared" si="2"/>
        <v>1992-05-01</v>
      </c>
      <c r="L84">
        <v>415.35000600000001</v>
      </c>
      <c r="M84" s="2">
        <f t="shared" si="3"/>
        <v>9.6395707538854403E-4</v>
      </c>
    </row>
    <row r="85" spans="1:13" x14ac:dyDescent="0.3">
      <c r="A85" t="s">
        <v>91</v>
      </c>
      <c r="K85" s="1" t="str">
        <f t="shared" si="2"/>
        <v>1992-06-01</v>
      </c>
      <c r="L85">
        <v>408.14001500000001</v>
      </c>
      <c r="M85" s="2">
        <f t="shared" si="3"/>
        <v>-1.7358832059340301E-2</v>
      </c>
    </row>
    <row r="86" spans="1:13" x14ac:dyDescent="0.3">
      <c r="A86" t="s">
        <v>92</v>
      </c>
      <c r="K86" s="1" t="str">
        <f t="shared" si="2"/>
        <v>1992-07-01</v>
      </c>
      <c r="L86">
        <v>424.209991</v>
      </c>
      <c r="M86" s="2">
        <f t="shared" si="3"/>
        <v>3.9373684053008118E-2</v>
      </c>
    </row>
    <row r="87" spans="1:13" x14ac:dyDescent="0.3">
      <c r="A87" t="s">
        <v>93</v>
      </c>
      <c r="K87" s="1" t="str">
        <f t="shared" si="2"/>
        <v>1992-08-01</v>
      </c>
      <c r="L87">
        <v>414.02999899999998</v>
      </c>
      <c r="M87" s="2">
        <f t="shared" si="3"/>
        <v>-2.3997530034600256E-2</v>
      </c>
    </row>
    <row r="88" spans="1:13" x14ac:dyDescent="0.3">
      <c r="A88" t="s">
        <v>94</v>
      </c>
      <c r="K88" s="1" t="str">
        <f t="shared" si="2"/>
        <v>1992-09-01</v>
      </c>
      <c r="L88">
        <v>417.79998799999998</v>
      </c>
      <c r="M88" s="2">
        <f t="shared" si="3"/>
        <v>9.105593819543456E-3</v>
      </c>
    </row>
    <row r="89" spans="1:13" x14ac:dyDescent="0.3">
      <c r="A89" t="s">
        <v>95</v>
      </c>
      <c r="K89" s="1" t="str">
        <f t="shared" si="2"/>
        <v>1992-10-01</v>
      </c>
      <c r="L89">
        <v>418.67999300000002</v>
      </c>
      <c r="M89" s="2">
        <f t="shared" si="3"/>
        <v>2.1062829709799225E-3</v>
      </c>
    </row>
    <row r="90" spans="1:13" x14ac:dyDescent="0.3">
      <c r="A90" t="s">
        <v>96</v>
      </c>
      <c r="K90" s="1" t="str">
        <f t="shared" si="2"/>
        <v>1992-11-01</v>
      </c>
      <c r="L90">
        <v>431.35000600000001</v>
      </c>
      <c r="M90" s="2">
        <f t="shared" si="3"/>
        <v>3.0261806658623769E-2</v>
      </c>
    </row>
    <row r="91" spans="1:13" x14ac:dyDescent="0.3">
      <c r="A91" t="s">
        <v>97</v>
      </c>
      <c r="K91" s="1" t="str">
        <f t="shared" si="2"/>
        <v>1992-12-01</v>
      </c>
      <c r="L91">
        <v>435.709991</v>
      </c>
      <c r="M91" s="2">
        <f t="shared" si="3"/>
        <v>1.0107766174460187E-2</v>
      </c>
    </row>
    <row r="92" spans="1:13" x14ac:dyDescent="0.3">
      <c r="A92" t="s">
        <v>98</v>
      </c>
      <c r="K92" s="1" t="str">
        <f t="shared" si="2"/>
        <v>1993-01-01</v>
      </c>
      <c r="L92">
        <v>438.77999899999998</v>
      </c>
      <c r="M92" s="2">
        <f t="shared" si="3"/>
        <v>7.0459894503542841E-3</v>
      </c>
    </row>
    <row r="93" spans="1:13" x14ac:dyDescent="0.3">
      <c r="A93" t="s">
        <v>99</v>
      </c>
      <c r="K93" s="1" t="str">
        <f t="shared" si="2"/>
        <v>1993-02-01</v>
      </c>
      <c r="L93">
        <v>443.38000499999998</v>
      </c>
      <c r="M93" s="2">
        <f t="shared" si="3"/>
        <v>1.0483627354217706E-2</v>
      </c>
    </row>
    <row r="94" spans="1:13" x14ac:dyDescent="0.3">
      <c r="A94" t="s">
        <v>100</v>
      </c>
      <c r="K94" s="1" t="str">
        <f t="shared" si="2"/>
        <v>1993-03-01</v>
      </c>
      <c r="L94">
        <v>451.67001299999998</v>
      </c>
      <c r="M94" s="2">
        <f t="shared" si="3"/>
        <v>1.8697297817929392E-2</v>
      </c>
    </row>
    <row r="95" spans="1:13" x14ac:dyDescent="0.3">
      <c r="A95" t="s">
        <v>101</v>
      </c>
      <c r="K95" s="1" t="str">
        <f t="shared" si="2"/>
        <v>1993-04-01</v>
      </c>
      <c r="L95">
        <v>440.19000199999999</v>
      </c>
      <c r="M95" s="2">
        <f t="shared" si="3"/>
        <v>-2.5416810214496155E-2</v>
      </c>
    </row>
    <row r="96" spans="1:13" x14ac:dyDescent="0.3">
      <c r="A96" t="s">
        <v>102</v>
      </c>
      <c r="K96" s="1" t="str">
        <f t="shared" si="2"/>
        <v>1993-05-01</v>
      </c>
      <c r="L96">
        <v>450.19000199999999</v>
      </c>
      <c r="M96" s="2">
        <f t="shared" si="3"/>
        <v>2.2717462810525113E-2</v>
      </c>
    </row>
    <row r="97" spans="1:13" x14ac:dyDescent="0.3">
      <c r="A97" t="s">
        <v>103</v>
      </c>
      <c r="K97" s="1" t="str">
        <f t="shared" si="2"/>
        <v>1993-06-01</v>
      </c>
      <c r="L97">
        <v>450.52999899999998</v>
      </c>
      <c r="M97" s="2">
        <f t="shared" si="3"/>
        <v>7.5523001063881878E-4</v>
      </c>
    </row>
    <row r="98" spans="1:13" x14ac:dyDescent="0.3">
      <c r="A98" t="s">
        <v>104</v>
      </c>
      <c r="K98" s="1" t="str">
        <f t="shared" si="2"/>
        <v>1993-07-01</v>
      </c>
      <c r="L98">
        <v>448.13000499999998</v>
      </c>
      <c r="M98" s="2">
        <f t="shared" si="3"/>
        <v>-5.3270459355138078E-3</v>
      </c>
    </row>
    <row r="99" spans="1:13" x14ac:dyDescent="0.3">
      <c r="A99" t="s">
        <v>105</v>
      </c>
      <c r="K99" s="1" t="str">
        <f t="shared" si="2"/>
        <v>1993-08-01</v>
      </c>
      <c r="L99">
        <v>463.55999800000001</v>
      </c>
      <c r="M99" s="2">
        <f t="shared" si="3"/>
        <v>3.4431956860375923E-2</v>
      </c>
    </row>
    <row r="100" spans="1:13" x14ac:dyDescent="0.3">
      <c r="A100" t="s">
        <v>106</v>
      </c>
      <c r="K100" s="1" t="str">
        <f t="shared" si="2"/>
        <v>1993-09-01</v>
      </c>
      <c r="L100">
        <v>458.92999300000002</v>
      </c>
      <c r="M100" s="2">
        <f t="shared" si="3"/>
        <v>-9.9879304080935372E-3</v>
      </c>
    </row>
    <row r="101" spans="1:13" x14ac:dyDescent="0.3">
      <c r="A101" t="s">
        <v>107</v>
      </c>
      <c r="K101" s="1" t="str">
        <f t="shared" si="2"/>
        <v>1993-10-01</v>
      </c>
      <c r="L101">
        <v>467.82998700000002</v>
      </c>
      <c r="M101" s="2">
        <f t="shared" si="3"/>
        <v>1.9392922963742842E-2</v>
      </c>
    </row>
    <row r="102" spans="1:13" x14ac:dyDescent="0.3">
      <c r="A102" t="s">
        <v>108</v>
      </c>
      <c r="K102" s="1" t="str">
        <f t="shared" si="2"/>
        <v>1993-11-01</v>
      </c>
      <c r="L102">
        <v>461.790009</v>
      </c>
      <c r="M102" s="2">
        <f t="shared" si="3"/>
        <v>-1.2910626013377002E-2</v>
      </c>
    </row>
    <row r="103" spans="1:13" x14ac:dyDescent="0.3">
      <c r="A103" t="s">
        <v>109</v>
      </c>
      <c r="K103" s="1" t="str">
        <f t="shared" si="2"/>
        <v>1993-12-01</v>
      </c>
      <c r="L103">
        <v>466.45001200000002</v>
      </c>
      <c r="M103" s="2">
        <f t="shared" si="3"/>
        <v>1.0091173280450949E-2</v>
      </c>
    </row>
    <row r="104" spans="1:13" x14ac:dyDescent="0.3">
      <c r="A104" t="s">
        <v>110</v>
      </c>
      <c r="K104" s="1" t="str">
        <f t="shared" si="2"/>
        <v>1994-01-01</v>
      </c>
      <c r="L104">
        <v>481.60998499999999</v>
      </c>
      <c r="M104" s="2">
        <f t="shared" si="3"/>
        <v>3.2500745224549377E-2</v>
      </c>
    </row>
    <row r="105" spans="1:13" x14ac:dyDescent="0.3">
      <c r="A105" t="s">
        <v>111</v>
      </c>
      <c r="K105" s="1" t="str">
        <f t="shared" si="2"/>
        <v>1994-02-01</v>
      </c>
      <c r="L105">
        <v>467.14001500000001</v>
      </c>
      <c r="M105" s="2">
        <f t="shared" si="3"/>
        <v>-3.0044995848663714E-2</v>
      </c>
    </row>
    <row r="106" spans="1:13" x14ac:dyDescent="0.3">
      <c r="A106" t="s">
        <v>112</v>
      </c>
      <c r="K106" s="1" t="str">
        <f t="shared" si="2"/>
        <v>1994-03-01</v>
      </c>
      <c r="L106">
        <v>445.76998900000001</v>
      </c>
      <c r="M106" s="2">
        <f t="shared" si="3"/>
        <v>-4.5746511353774721E-2</v>
      </c>
    </row>
    <row r="107" spans="1:13" x14ac:dyDescent="0.3">
      <c r="A107" t="s">
        <v>113</v>
      </c>
      <c r="K107" s="1" t="str">
        <f t="shared" si="2"/>
        <v>1994-04-01</v>
      </c>
      <c r="L107">
        <v>450.91000400000001</v>
      </c>
      <c r="M107" s="2">
        <f t="shared" si="3"/>
        <v>1.1530643889981596E-2</v>
      </c>
    </row>
    <row r="108" spans="1:13" x14ac:dyDescent="0.3">
      <c r="A108" t="s">
        <v>114</v>
      </c>
      <c r="K108" s="1" t="str">
        <f t="shared" si="2"/>
        <v>1994-05-01</v>
      </c>
      <c r="L108">
        <v>456.5</v>
      </c>
      <c r="M108" s="2">
        <f t="shared" si="3"/>
        <v>1.2397143444171643E-2</v>
      </c>
    </row>
    <row r="109" spans="1:13" x14ac:dyDescent="0.3">
      <c r="A109" t="s">
        <v>115</v>
      </c>
      <c r="K109" s="1" t="str">
        <f t="shared" si="2"/>
        <v>1994-06-01</v>
      </c>
      <c r="L109">
        <v>444.26998900000001</v>
      </c>
      <c r="M109" s="2">
        <f t="shared" si="3"/>
        <v>-2.6790823658269458E-2</v>
      </c>
    </row>
    <row r="110" spans="1:13" x14ac:dyDescent="0.3">
      <c r="A110" t="s">
        <v>116</v>
      </c>
      <c r="K110" s="1" t="str">
        <f t="shared" si="2"/>
        <v>1994-07-01</v>
      </c>
      <c r="L110">
        <v>458.26001000000002</v>
      </c>
      <c r="M110" s="2">
        <f t="shared" si="3"/>
        <v>3.148990781819383E-2</v>
      </c>
    </row>
    <row r="111" spans="1:13" x14ac:dyDescent="0.3">
      <c r="A111" t="s">
        <v>117</v>
      </c>
      <c r="K111" s="1" t="str">
        <f t="shared" si="2"/>
        <v>1994-08-01</v>
      </c>
      <c r="L111">
        <v>475.48998999999998</v>
      </c>
      <c r="M111" s="2">
        <f t="shared" si="3"/>
        <v>3.7598698607805625E-2</v>
      </c>
    </row>
    <row r="112" spans="1:13" x14ac:dyDescent="0.3">
      <c r="A112" t="s">
        <v>118</v>
      </c>
      <c r="K112" s="1" t="str">
        <f t="shared" si="2"/>
        <v>1994-09-01</v>
      </c>
      <c r="L112">
        <v>462.709991</v>
      </c>
      <c r="M112" s="2">
        <f t="shared" si="3"/>
        <v>-2.6877535318882262E-2</v>
      </c>
    </row>
    <row r="113" spans="1:13" x14ac:dyDescent="0.3">
      <c r="A113" t="s">
        <v>119</v>
      </c>
      <c r="K113" s="1" t="str">
        <f t="shared" si="2"/>
        <v>1994-10-01</v>
      </c>
      <c r="L113">
        <v>472.35000600000001</v>
      </c>
      <c r="M113" s="2">
        <f t="shared" si="3"/>
        <v>2.0833816402291649E-2</v>
      </c>
    </row>
    <row r="114" spans="1:13" x14ac:dyDescent="0.3">
      <c r="A114" t="s">
        <v>120</v>
      </c>
      <c r="K114" s="1" t="str">
        <f t="shared" si="2"/>
        <v>1994-11-01</v>
      </c>
      <c r="L114">
        <v>453.69000199999999</v>
      </c>
      <c r="M114" s="2">
        <f t="shared" si="3"/>
        <v>-3.9504612602884182E-2</v>
      </c>
    </row>
    <row r="115" spans="1:13" x14ac:dyDescent="0.3">
      <c r="A115" t="s">
        <v>121</v>
      </c>
      <c r="K115" s="1" t="str">
        <f t="shared" si="2"/>
        <v>1994-12-01</v>
      </c>
      <c r="L115">
        <v>459.26998900000001</v>
      </c>
      <c r="M115" s="2">
        <f t="shared" si="3"/>
        <v>1.22991182864991E-2</v>
      </c>
    </row>
    <row r="116" spans="1:13" x14ac:dyDescent="0.3">
      <c r="A116" t="s">
        <v>122</v>
      </c>
      <c r="K116" s="1" t="str">
        <f t="shared" si="2"/>
        <v>1995-01-01</v>
      </c>
      <c r="L116">
        <v>470.42001299999998</v>
      </c>
      <c r="M116" s="2">
        <f t="shared" si="3"/>
        <v>2.4277710860832968E-2</v>
      </c>
    </row>
    <row r="117" spans="1:13" x14ac:dyDescent="0.3">
      <c r="A117" t="s">
        <v>123</v>
      </c>
      <c r="K117" s="1" t="str">
        <f t="shared" si="2"/>
        <v>1995-02-01</v>
      </c>
      <c r="L117">
        <v>487.39001500000001</v>
      </c>
      <c r="M117" s="2">
        <f t="shared" si="3"/>
        <v>3.6074149761991636E-2</v>
      </c>
    </row>
    <row r="118" spans="1:13" x14ac:dyDescent="0.3">
      <c r="A118" t="s">
        <v>124</v>
      </c>
      <c r="K118" s="1" t="str">
        <f t="shared" si="2"/>
        <v>1995-03-01</v>
      </c>
      <c r="L118">
        <v>500.709991</v>
      </c>
      <c r="M118" s="2">
        <f t="shared" si="3"/>
        <v>2.7329193438646815E-2</v>
      </c>
    </row>
    <row r="119" spans="1:13" x14ac:dyDescent="0.3">
      <c r="A119" t="s">
        <v>125</v>
      </c>
      <c r="K119" s="1" t="str">
        <f t="shared" si="2"/>
        <v>1995-04-01</v>
      </c>
      <c r="L119">
        <v>514.71002199999998</v>
      </c>
      <c r="M119" s="2">
        <f t="shared" si="3"/>
        <v>2.7960358793799323E-2</v>
      </c>
    </row>
    <row r="120" spans="1:13" x14ac:dyDescent="0.3">
      <c r="A120" t="s">
        <v>126</v>
      </c>
      <c r="K120" s="1" t="str">
        <f t="shared" si="2"/>
        <v>1995-05-01</v>
      </c>
      <c r="L120">
        <v>533.40002400000003</v>
      </c>
      <c r="M120" s="2">
        <f t="shared" si="3"/>
        <v>3.6311711839953409E-2</v>
      </c>
    </row>
    <row r="121" spans="1:13" x14ac:dyDescent="0.3">
      <c r="A121" t="s">
        <v>127</v>
      </c>
      <c r="K121" s="1" t="str">
        <f t="shared" si="2"/>
        <v>1995-06-01</v>
      </c>
      <c r="L121">
        <v>544.75</v>
      </c>
      <c r="M121" s="2">
        <f t="shared" si="3"/>
        <v>2.1278544224437423E-2</v>
      </c>
    </row>
    <row r="122" spans="1:13" x14ac:dyDescent="0.3">
      <c r="A122" t="s">
        <v>128</v>
      </c>
      <c r="K122" s="1" t="str">
        <f t="shared" si="2"/>
        <v>1995-07-01</v>
      </c>
      <c r="L122">
        <v>562.05999799999995</v>
      </c>
      <c r="M122" s="2">
        <f t="shared" si="3"/>
        <v>3.1776040385497861E-2</v>
      </c>
    </row>
    <row r="123" spans="1:13" x14ac:dyDescent="0.3">
      <c r="A123" t="s">
        <v>129</v>
      </c>
      <c r="K123" s="1" t="str">
        <f t="shared" si="2"/>
        <v>1995-08-01</v>
      </c>
      <c r="L123">
        <v>561.88000499999998</v>
      </c>
      <c r="M123" s="2">
        <f t="shared" si="3"/>
        <v>-3.2023805401637517E-4</v>
      </c>
    </row>
    <row r="124" spans="1:13" x14ac:dyDescent="0.3">
      <c r="A124" t="s">
        <v>130</v>
      </c>
      <c r="K124" s="1" t="str">
        <f t="shared" si="2"/>
        <v>1995-09-01</v>
      </c>
      <c r="L124">
        <v>584.40997300000004</v>
      </c>
      <c r="M124" s="2">
        <f t="shared" si="3"/>
        <v>4.0097472413171298E-2</v>
      </c>
    </row>
    <row r="125" spans="1:13" x14ac:dyDescent="0.3">
      <c r="A125" t="s">
        <v>131</v>
      </c>
      <c r="K125" s="1" t="str">
        <f t="shared" si="2"/>
        <v>1995-10-01</v>
      </c>
      <c r="L125">
        <v>581.5</v>
      </c>
      <c r="M125" s="2">
        <f t="shared" si="3"/>
        <v>-4.9793349436904055E-3</v>
      </c>
    </row>
    <row r="126" spans="1:13" x14ac:dyDescent="0.3">
      <c r="A126" t="s">
        <v>132</v>
      </c>
      <c r="K126" s="1" t="str">
        <f t="shared" si="2"/>
        <v>1995-11-01</v>
      </c>
      <c r="L126">
        <v>605.36999500000002</v>
      </c>
      <c r="M126" s="2">
        <f t="shared" si="3"/>
        <v>4.1049002579535809E-2</v>
      </c>
    </row>
    <row r="127" spans="1:13" x14ac:dyDescent="0.3">
      <c r="A127" t="s">
        <v>133</v>
      </c>
      <c r="K127" s="1" t="str">
        <f t="shared" si="2"/>
        <v>1995-12-01</v>
      </c>
      <c r="L127">
        <v>615.92999299999997</v>
      </c>
      <c r="M127" s="2">
        <f t="shared" si="3"/>
        <v>1.7443874138492799E-2</v>
      </c>
    </row>
    <row r="128" spans="1:13" x14ac:dyDescent="0.3">
      <c r="A128" t="s">
        <v>134</v>
      </c>
      <c r="K128" s="1" t="str">
        <f t="shared" si="2"/>
        <v>1996-01-01</v>
      </c>
      <c r="L128">
        <v>636.02002000000005</v>
      </c>
      <c r="M128" s="2">
        <f t="shared" si="3"/>
        <v>3.2617387086717242E-2</v>
      </c>
    </row>
    <row r="129" spans="1:13" x14ac:dyDescent="0.3">
      <c r="A129" t="s">
        <v>135</v>
      </c>
      <c r="K129" s="1" t="str">
        <f t="shared" si="2"/>
        <v>1996-02-01</v>
      </c>
      <c r="L129">
        <v>640.42999299999997</v>
      </c>
      <c r="M129" s="2">
        <f t="shared" si="3"/>
        <v>6.933701552350291E-3</v>
      </c>
    </row>
    <row r="130" spans="1:13" x14ac:dyDescent="0.3">
      <c r="A130" t="s">
        <v>136</v>
      </c>
      <c r="K130" s="1" t="str">
        <f t="shared" si="2"/>
        <v>1996-03-01</v>
      </c>
      <c r="L130">
        <v>645.5</v>
      </c>
      <c r="M130" s="2">
        <f t="shared" si="3"/>
        <v>7.9165670805803057E-3</v>
      </c>
    </row>
    <row r="131" spans="1:13" x14ac:dyDescent="0.3">
      <c r="A131" t="s">
        <v>137</v>
      </c>
      <c r="K131" s="1" t="str">
        <f t="shared" ref="K131:K194" si="4">LEFT(A131,10)</f>
        <v>1996-04-01</v>
      </c>
      <c r="L131">
        <v>654.169983</v>
      </c>
      <c r="M131" s="2">
        <f t="shared" si="3"/>
        <v>1.3431422153369565E-2</v>
      </c>
    </row>
    <row r="132" spans="1:13" x14ac:dyDescent="0.3">
      <c r="A132" t="s">
        <v>138</v>
      </c>
      <c r="K132" s="1" t="str">
        <f t="shared" si="4"/>
        <v>1996-05-01</v>
      </c>
      <c r="L132">
        <v>669.11999500000002</v>
      </c>
      <c r="M132" s="2">
        <f t="shared" ref="M132:M195" si="5">(L132/L131)-1</f>
        <v>2.2853405672085048E-2</v>
      </c>
    </row>
    <row r="133" spans="1:13" x14ac:dyDescent="0.3">
      <c r="A133" t="s">
        <v>139</v>
      </c>
      <c r="K133" s="1" t="str">
        <f t="shared" si="4"/>
        <v>1996-06-01</v>
      </c>
      <c r="L133">
        <v>670.63000499999998</v>
      </c>
      <c r="M133" s="2">
        <f t="shared" si="5"/>
        <v>2.2567103229369501E-3</v>
      </c>
    </row>
    <row r="134" spans="1:13" x14ac:dyDescent="0.3">
      <c r="A134" t="s">
        <v>140</v>
      </c>
      <c r="K134" s="1" t="str">
        <f t="shared" si="4"/>
        <v>1996-07-01</v>
      </c>
      <c r="L134">
        <v>639.95001200000002</v>
      </c>
      <c r="M134" s="2">
        <f t="shared" si="5"/>
        <v>-4.5748017194667479E-2</v>
      </c>
    </row>
    <row r="135" spans="1:13" x14ac:dyDescent="0.3">
      <c r="A135" t="s">
        <v>141</v>
      </c>
      <c r="K135" s="1" t="str">
        <f t="shared" si="4"/>
        <v>1996-08-01</v>
      </c>
      <c r="L135">
        <v>651.98999000000003</v>
      </c>
      <c r="M135" s="2">
        <f t="shared" si="5"/>
        <v>1.8813935110919333E-2</v>
      </c>
    </row>
    <row r="136" spans="1:13" x14ac:dyDescent="0.3">
      <c r="A136" t="s">
        <v>142</v>
      </c>
      <c r="K136" s="1" t="str">
        <f t="shared" si="4"/>
        <v>1996-09-01</v>
      </c>
      <c r="L136">
        <v>687.330017</v>
      </c>
      <c r="M136" s="2">
        <f t="shared" si="5"/>
        <v>5.4203327569492199E-2</v>
      </c>
    </row>
    <row r="137" spans="1:13" x14ac:dyDescent="0.3">
      <c r="A137" t="s">
        <v>143</v>
      </c>
      <c r="K137" s="1" t="str">
        <f t="shared" si="4"/>
        <v>1996-10-01</v>
      </c>
      <c r="L137">
        <v>705.27002000000005</v>
      </c>
      <c r="M137" s="2">
        <f t="shared" si="5"/>
        <v>2.6101003239030751E-2</v>
      </c>
    </row>
    <row r="138" spans="1:13" x14ac:dyDescent="0.3">
      <c r="A138" t="s">
        <v>144</v>
      </c>
      <c r="K138" s="1" t="str">
        <f t="shared" si="4"/>
        <v>1996-11-01</v>
      </c>
      <c r="L138">
        <v>757.02002000000005</v>
      </c>
      <c r="M138" s="2">
        <f t="shared" si="5"/>
        <v>7.3376151732637007E-2</v>
      </c>
    </row>
    <row r="139" spans="1:13" x14ac:dyDescent="0.3">
      <c r="A139" t="s">
        <v>145</v>
      </c>
      <c r="K139" s="1" t="str">
        <f t="shared" si="4"/>
        <v>1996-12-01</v>
      </c>
      <c r="L139">
        <v>740.73999000000003</v>
      </c>
      <c r="M139" s="2">
        <f t="shared" si="5"/>
        <v>-2.1505415404998174E-2</v>
      </c>
    </row>
    <row r="140" spans="1:13" x14ac:dyDescent="0.3">
      <c r="A140" t="s">
        <v>146</v>
      </c>
      <c r="K140" s="1" t="str">
        <f t="shared" si="4"/>
        <v>1997-01-01</v>
      </c>
      <c r="L140">
        <v>786.15997300000004</v>
      </c>
      <c r="M140" s="2">
        <f t="shared" si="5"/>
        <v>6.1317039194819234E-2</v>
      </c>
    </row>
    <row r="141" spans="1:13" x14ac:dyDescent="0.3">
      <c r="A141" t="s">
        <v>147</v>
      </c>
      <c r="K141" s="1" t="str">
        <f t="shared" si="4"/>
        <v>1997-02-01</v>
      </c>
      <c r="L141">
        <v>790.82000700000003</v>
      </c>
      <c r="M141" s="2">
        <f t="shared" si="5"/>
        <v>5.927590007180461E-3</v>
      </c>
    </row>
    <row r="142" spans="1:13" x14ac:dyDescent="0.3">
      <c r="A142" t="s">
        <v>148</v>
      </c>
      <c r="K142" s="1" t="str">
        <f t="shared" si="4"/>
        <v>1997-03-01</v>
      </c>
      <c r="L142">
        <v>757.11999500000002</v>
      </c>
      <c r="M142" s="2">
        <f t="shared" si="5"/>
        <v>-4.2614010396426427E-2</v>
      </c>
    </row>
    <row r="143" spans="1:13" x14ac:dyDescent="0.3">
      <c r="A143" t="s">
        <v>149</v>
      </c>
      <c r="K143" s="1" t="str">
        <f t="shared" si="4"/>
        <v>1997-04-01</v>
      </c>
      <c r="L143">
        <v>801.34002699999996</v>
      </c>
      <c r="M143" s="2">
        <f t="shared" si="5"/>
        <v>5.8405579422057041E-2</v>
      </c>
    </row>
    <row r="144" spans="1:13" x14ac:dyDescent="0.3">
      <c r="A144" t="s">
        <v>150</v>
      </c>
      <c r="K144" s="1" t="str">
        <f t="shared" si="4"/>
        <v>1997-05-01</v>
      </c>
      <c r="L144">
        <v>848.28002900000001</v>
      </c>
      <c r="M144" s="2">
        <f t="shared" si="5"/>
        <v>5.8576884241924976E-2</v>
      </c>
    </row>
    <row r="145" spans="1:13" x14ac:dyDescent="0.3">
      <c r="A145" t="s">
        <v>151</v>
      </c>
      <c r="K145" s="1" t="str">
        <f t="shared" si="4"/>
        <v>1997-06-01</v>
      </c>
      <c r="L145">
        <v>885.14001499999995</v>
      </c>
      <c r="M145" s="2">
        <f t="shared" si="5"/>
        <v>4.3452615574897546E-2</v>
      </c>
    </row>
    <row r="146" spans="1:13" x14ac:dyDescent="0.3">
      <c r="A146" t="s">
        <v>152</v>
      </c>
      <c r="K146" s="1" t="str">
        <f t="shared" si="4"/>
        <v>1997-07-01</v>
      </c>
      <c r="L146">
        <v>954.30999799999995</v>
      </c>
      <c r="M146" s="2">
        <f t="shared" si="5"/>
        <v>7.8145809507889075E-2</v>
      </c>
    </row>
    <row r="147" spans="1:13" x14ac:dyDescent="0.3">
      <c r="A147" t="s">
        <v>153</v>
      </c>
      <c r="K147" s="1" t="str">
        <f t="shared" si="4"/>
        <v>1997-08-01</v>
      </c>
      <c r="L147">
        <v>899.46997099999999</v>
      </c>
      <c r="M147" s="2">
        <f t="shared" si="5"/>
        <v>-5.7465631833399256E-2</v>
      </c>
    </row>
    <row r="148" spans="1:13" x14ac:dyDescent="0.3">
      <c r="A148" t="s">
        <v>154</v>
      </c>
      <c r="K148" s="1" t="str">
        <f t="shared" si="4"/>
        <v>1997-09-01</v>
      </c>
      <c r="L148">
        <v>947.28002900000001</v>
      </c>
      <c r="M148" s="2">
        <f t="shared" si="5"/>
        <v>5.3153589937912527E-2</v>
      </c>
    </row>
    <row r="149" spans="1:13" x14ac:dyDescent="0.3">
      <c r="A149" t="s">
        <v>155</v>
      </c>
      <c r="K149" s="1" t="str">
        <f t="shared" si="4"/>
        <v>1997-10-01</v>
      </c>
      <c r="L149">
        <v>914.61999500000002</v>
      </c>
      <c r="M149" s="2">
        <f t="shared" si="5"/>
        <v>-3.4477697196337753E-2</v>
      </c>
    </row>
    <row r="150" spans="1:13" x14ac:dyDescent="0.3">
      <c r="A150" t="s">
        <v>156</v>
      </c>
      <c r="K150" s="1" t="str">
        <f t="shared" si="4"/>
        <v>1997-11-01</v>
      </c>
      <c r="L150">
        <v>955.40002400000003</v>
      </c>
      <c r="M150" s="2">
        <f t="shared" si="5"/>
        <v>4.4586854893763794E-2</v>
      </c>
    </row>
    <row r="151" spans="1:13" x14ac:dyDescent="0.3">
      <c r="A151" t="s">
        <v>157</v>
      </c>
      <c r="K151" s="1" t="str">
        <f t="shared" si="4"/>
        <v>1997-12-01</v>
      </c>
      <c r="L151">
        <v>970.42999299999997</v>
      </c>
      <c r="M151" s="2">
        <f t="shared" si="5"/>
        <v>1.5731597888257953E-2</v>
      </c>
    </row>
    <row r="152" spans="1:13" x14ac:dyDescent="0.3">
      <c r="A152" t="s">
        <v>158</v>
      </c>
      <c r="K152" s="1" t="str">
        <f t="shared" si="4"/>
        <v>1998-01-01</v>
      </c>
      <c r="L152">
        <v>980.28002900000001</v>
      </c>
      <c r="M152" s="2">
        <f t="shared" si="5"/>
        <v>1.0150176798997546E-2</v>
      </c>
    </row>
    <row r="153" spans="1:13" x14ac:dyDescent="0.3">
      <c r="A153" t="s">
        <v>159</v>
      </c>
      <c r="K153" s="1" t="str">
        <f t="shared" si="4"/>
        <v>1998-02-01</v>
      </c>
      <c r="L153">
        <v>1049.339966</v>
      </c>
      <c r="M153" s="2">
        <f t="shared" si="5"/>
        <v>7.0449193043797154E-2</v>
      </c>
    </row>
    <row r="154" spans="1:13" x14ac:dyDescent="0.3">
      <c r="A154" t="s">
        <v>160</v>
      </c>
      <c r="K154" s="1" t="str">
        <f t="shared" si="4"/>
        <v>1998-03-01</v>
      </c>
      <c r="L154">
        <v>1101.75</v>
      </c>
      <c r="M154" s="2">
        <f t="shared" si="5"/>
        <v>4.9945714161429455E-2</v>
      </c>
    </row>
    <row r="155" spans="1:13" x14ac:dyDescent="0.3">
      <c r="A155" t="s">
        <v>161</v>
      </c>
      <c r="K155" s="1" t="str">
        <f t="shared" si="4"/>
        <v>1998-04-01</v>
      </c>
      <c r="L155">
        <v>1111.75</v>
      </c>
      <c r="M155" s="2">
        <f t="shared" si="5"/>
        <v>9.0764692534603952E-3</v>
      </c>
    </row>
    <row r="156" spans="1:13" x14ac:dyDescent="0.3">
      <c r="A156" t="s">
        <v>162</v>
      </c>
      <c r="K156" s="1" t="str">
        <f t="shared" si="4"/>
        <v>1998-05-01</v>
      </c>
      <c r="L156">
        <v>1090.8199460000001</v>
      </c>
      <c r="M156" s="2">
        <f t="shared" si="5"/>
        <v>-1.8826223521475116E-2</v>
      </c>
    </row>
    <row r="157" spans="1:13" x14ac:dyDescent="0.3">
      <c r="A157" t="s">
        <v>163</v>
      </c>
      <c r="K157" s="1" t="str">
        <f t="shared" si="4"/>
        <v>1998-06-01</v>
      </c>
      <c r="L157">
        <v>1133.839966</v>
      </c>
      <c r="M157" s="2">
        <f t="shared" si="5"/>
        <v>3.9438241075214098E-2</v>
      </c>
    </row>
    <row r="158" spans="1:13" x14ac:dyDescent="0.3">
      <c r="A158" t="s">
        <v>164</v>
      </c>
      <c r="K158" s="1" t="str">
        <f t="shared" si="4"/>
        <v>1998-07-01</v>
      </c>
      <c r="L158">
        <v>1120.670044</v>
      </c>
      <c r="M158" s="2">
        <f t="shared" si="5"/>
        <v>-1.161532702578949E-2</v>
      </c>
    </row>
    <row r="159" spans="1:13" x14ac:dyDescent="0.3">
      <c r="A159" t="s">
        <v>165</v>
      </c>
      <c r="K159" s="1" t="str">
        <f t="shared" si="4"/>
        <v>1998-08-01</v>
      </c>
      <c r="L159">
        <v>957.28002900000001</v>
      </c>
      <c r="M159" s="2">
        <f t="shared" si="5"/>
        <v>-0.14579671855670651</v>
      </c>
    </row>
    <row r="160" spans="1:13" x14ac:dyDescent="0.3">
      <c r="A160" t="s">
        <v>166</v>
      </c>
      <c r="K160" s="1" t="str">
        <f t="shared" si="4"/>
        <v>1998-09-01</v>
      </c>
      <c r="L160">
        <v>1017.01001</v>
      </c>
      <c r="M160" s="2">
        <f t="shared" si="5"/>
        <v>6.2395515617718944E-2</v>
      </c>
    </row>
    <row r="161" spans="1:13" x14ac:dyDescent="0.3">
      <c r="A161" t="s">
        <v>167</v>
      </c>
      <c r="K161" s="1" t="str">
        <f t="shared" si="4"/>
        <v>1998-10-01</v>
      </c>
      <c r="L161">
        <v>1098.670044</v>
      </c>
      <c r="M161" s="2">
        <f t="shared" si="5"/>
        <v>8.0294228372442378E-2</v>
      </c>
    </row>
    <row r="162" spans="1:13" x14ac:dyDescent="0.3">
      <c r="A162" t="s">
        <v>168</v>
      </c>
      <c r="K162" s="1" t="str">
        <f t="shared" si="4"/>
        <v>1998-11-01</v>
      </c>
      <c r="L162">
        <v>1163.630005</v>
      </c>
      <c r="M162" s="2">
        <f t="shared" si="5"/>
        <v>5.9125996339625342E-2</v>
      </c>
    </row>
    <row r="163" spans="1:13" x14ac:dyDescent="0.3">
      <c r="A163" t="s">
        <v>169</v>
      </c>
      <c r="K163" s="1" t="str">
        <f t="shared" si="4"/>
        <v>1998-12-01</v>
      </c>
      <c r="L163">
        <v>1229.2299800000001</v>
      </c>
      <c r="M163" s="2">
        <f t="shared" si="5"/>
        <v>5.6375286575735872E-2</v>
      </c>
    </row>
    <row r="164" spans="1:13" x14ac:dyDescent="0.3">
      <c r="A164" t="s">
        <v>170</v>
      </c>
      <c r="K164" s="1" t="str">
        <f t="shared" si="4"/>
        <v>1999-01-01</v>
      </c>
      <c r="L164">
        <v>1279.6400149999999</v>
      </c>
      <c r="M164" s="2">
        <f t="shared" si="5"/>
        <v>4.1009441536725255E-2</v>
      </c>
    </row>
    <row r="165" spans="1:13" x14ac:dyDescent="0.3">
      <c r="A165" t="s">
        <v>171</v>
      </c>
      <c r="K165" s="1" t="str">
        <f t="shared" si="4"/>
        <v>1999-02-01</v>
      </c>
      <c r="L165">
        <v>1238.329956</v>
      </c>
      <c r="M165" s="2">
        <f t="shared" si="5"/>
        <v>-3.2282562686194116E-2</v>
      </c>
    </row>
    <row r="166" spans="1:13" x14ac:dyDescent="0.3">
      <c r="A166" t="s">
        <v>172</v>
      </c>
      <c r="K166" s="1" t="str">
        <f t="shared" si="4"/>
        <v>1999-03-01</v>
      </c>
      <c r="L166">
        <v>1286.369995</v>
      </c>
      <c r="M166" s="2">
        <f t="shared" si="5"/>
        <v>3.8794215360158812E-2</v>
      </c>
    </row>
    <row r="167" spans="1:13" x14ac:dyDescent="0.3">
      <c r="A167" t="s">
        <v>173</v>
      </c>
      <c r="K167" s="1" t="str">
        <f t="shared" si="4"/>
        <v>1999-04-01</v>
      </c>
      <c r="L167">
        <v>1335.1800539999999</v>
      </c>
      <c r="M167" s="2">
        <f t="shared" si="5"/>
        <v>3.7944027915545409E-2</v>
      </c>
    </row>
    <row r="168" spans="1:13" x14ac:dyDescent="0.3">
      <c r="A168" t="s">
        <v>174</v>
      </c>
      <c r="K168" s="1" t="str">
        <f t="shared" si="4"/>
        <v>1999-05-01</v>
      </c>
      <c r="L168">
        <v>1301.839966</v>
      </c>
      <c r="M168" s="2">
        <f t="shared" si="5"/>
        <v>-2.4970480872686829E-2</v>
      </c>
    </row>
    <row r="169" spans="1:13" x14ac:dyDescent="0.3">
      <c r="A169" t="s">
        <v>175</v>
      </c>
      <c r="K169" s="1" t="str">
        <f t="shared" si="4"/>
        <v>1999-06-01</v>
      </c>
      <c r="L169">
        <v>1372.709961</v>
      </c>
      <c r="M169" s="2">
        <f t="shared" si="5"/>
        <v>5.4438331016794184E-2</v>
      </c>
    </row>
    <row r="170" spans="1:13" x14ac:dyDescent="0.3">
      <c r="A170" t="s">
        <v>176</v>
      </c>
      <c r="K170" s="1" t="str">
        <f t="shared" si="4"/>
        <v>1999-07-01</v>
      </c>
      <c r="L170">
        <v>1328.719971</v>
      </c>
      <c r="M170" s="2">
        <f t="shared" si="5"/>
        <v>-3.2046092218893762E-2</v>
      </c>
    </row>
    <row r="171" spans="1:13" x14ac:dyDescent="0.3">
      <c r="A171" t="s">
        <v>177</v>
      </c>
      <c r="K171" s="1" t="str">
        <f t="shared" si="4"/>
        <v>1999-08-01</v>
      </c>
      <c r="L171">
        <v>1320.410034</v>
      </c>
      <c r="M171" s="2">
        <f t="shared" si="5"/>
        <v>-6.2540920445004478E-3</v>
      </c>
    </row>
    <row r="172" spans="1:13" x14ac:dyDescent="0.3">
      <c r="A172" t="s">
        <v>178</v>
      </c>
      <c r="K172" s="1" t="str">
        <f t="shared" si="4"/>
        <v>1999-09-01</v>
      </c>
      <c r="L172">
        <v>1282.709961</v>
      </c>
      <c r="M172" s="2">
        <f t="shared" si="5"/>
        <v>-2.8551792268491583E-2</v>
      </c>
    </row>
    <row r="173" spans="1:13" x14ac:dyDescent="0.3">
      <c r="A173" t="s">
        <v>179</v>
      </c>
      <c r="K173" s="1" t="str">
        <f t="shared" si="4"/>
        <v>1999-10-01</v>
      </c>
      <c r="L173">
        <v>1362.9300539999999</v>
      </c>
      <c r="M173" s="2">
        <f t="shared" si="5"/>
        <v>6.2539541625965311E-2</v>
      </c>
    </row>
    <row r="174" spans="1:13" x14ac:dyDescent="0.3">
      <c r="A174" t="s">
        <v>180</v>
      </c>
      <c r="K174" s="1" t="str">
        <f t="shared" si="4"/>
        <v>1999-11-01</v>
      </c>
      <c r="L174">
        <v>1388.910034</v>
      </c>
      <c r="M174" s="2">
        <f t="shared" si="5"/>
        <v>1.906185862124965E-2</v>
      </c>
    </row>
    <row r="175" spans="1:13" x14ac:dyDescent="0.3">
      <c r="A175" t="s">
        <v>181</v>
      </c>
      <c r="K175" s="1" t="str">
        <f t="shared" si="4"/>
        <v>1999-12-01</v>
      </c>
      <c r="L175">
        <v>1469.25</v>
      </c>
      <c r="M175" s="2">
        <f t="shared" si="5"/>
        <v>5.7843894876779434E-2</v>
      </c>
    </row>
    <row r="176" spans="1:13" x14ac:dyDescent="0.3">
      <c r="A176" t="s">
        <v>182</v>
      </c>
      <c r="K176" s="1" t="str">
        <f t="shared" si="4"/>
        <v>2000-01-01</v>
      </c>
      <c r="L176">
        <v>1394.459961</v>
      </c>
      <c r="M176" s="2">
        <f t="shared" si="5"/>
        <v>-5.0903548749361871E-2</v>
      </c>
    </row>
    <row r="177" spans="1:13" x14ac:dyDescent="0.3">
      <c r="A177" t="s">
        <v>183</v>
      </c>
      <c r="K177" s="1" t="str">
        <f t="shared" si="4"/>
        <v>2000-02-01</v>
      </c>
      <c r="L177">
        <v>1366.420044</v>
      </c>
      <c r="M177" s="2">
        <f t="shared" si="5"/>
        <v>-2.0108083261058285E-2</v>
      </c>
    </row>
    <row r="178" spans="1:13" x14ac:dyDescent="0.3">
      <c r="A178" t="s">
        <v>184</v>
      </c>
      <c r="K178" s="1" t="str">
        <f t="shared" si="4"/>
        <v>2000-03-01</v>
      </c>
      <c r="L178">
        <v>1498.579956</v>
      </c>
      <c r="M178" s="2">
        <f t="shared" si="5"/>
        <v>9.6719828269732355E-2</v>
      </c>
    </row>
    <row r="179" spans="1:13" x14ac:dyDescent="0.3">
      <c r="A179" t="s">
        <v>185</v>
      </c>
      <c r="K179" s="1" t="str">
        <f t="shared" si="4"/>
        <v>2000-04-01</v>
      </c>
      <c r="L179">
        <v>1452.4300539999999</v>
      </c>
      <c r="M179" s="2">
        <f t="shared" si="5"/>
        <v>-3.079575555193137E-2</v>
      </c>
    </row>
    <row r="180" spans="1:13" x14ac:dyDescent="0.3">
      <c r="A180" t="s">
        <v>186</v>
      </c>
      <c r="K180" s="1" t="str">
        <f t="shared" si="4"/>
        <v>2000-05-01</v>
      </c>
      <c r="L180">
        <v>1420.599976</v>
      </c>
      <c r="M180" s="2">
        <f t="shared" si="5"/>
        <v>-2.1915050512993584E-2</v>
      </c>
    </row>
    <row r="181" spans="1:13" x14ac:dyDescent="0.3">
      <c r="A181" t="s">
        <v>187</v>
      </c>
      <c r="K181" s="1" t="str">
        <f t="shared" si="4"/>
        <v>2000-06-01</v>
      </c>
      <c r="L181">
        <v>1454.599976</v>
      </c>
      <c r="M181" s="2">
        <f t="shared" si="5"/>
        <v>2.3933549608901261E-2</v>
      </c>
    </row>
    <row r="182" spans="1:13" x14ac:dyDescent="0.3">
      <c r="A182" t="s">
        <v>188</v>
      </c>
      <c r="K182" s="1" t="str">
        <f t="shared" si="4"/>
        <v>2000-07-01</v>
      </c>
      <c r="L182">
        <v>1430.829956</v>
      </c>
      <c r="M182" s="2">
        <f t="shared" si="5"/>
        <v>-1.6341276221772727E-2</v>
      </c>
    </row>
    <row r="183" spans="1:13" x14ac:dyDescent="0.3">
      <c r="A183" t="s">
        <v>189</v>
      </c>
      <c r="K183" s="1" t="str">
        <f t="shared" si="4"/>
        <v>2000-08-01</v>
      </c>
      <c r="L183">
        <v>1517.6800539999999</v>
      </c>
      <c r="M183" s="2">
        <f t="shared" si="5"/>
        <v>6.0699105184236046E-2</v>
      </c>
    </row>
    <row r="184" spans="1:13" x14ac:dyDescent="0.3">
      <c r="A184" t="s">
        <v>190</v>
      </c>
      <c r="K184" s="1" t="str">
        <f t="shared" si="4"/>
        <v>2000-09-01</v>
      </c>
      <c r="L184">
        <v>1436.51001</v>
      </c>
      <c r="M184" s="2">
        <f t="shared" si="5"/>
        <v>-5.3482974745611256E-2</v>
      </c>
    </row>
    <row r="185" spans="1:13" x14ac:dyDescent="0.3">
      <c r="A185" t="s">
        <v>191</v>
      </c>
      <c r="K185" s="1" t="str">
        <f t="shared" si="4"/>
        <v>2000-10-01</v>
      </c>
      <c r="L185">
        <v>1429.400024</v>
      </c>
      <c r="M185" s="2">
        <f t="shared" si="5"/>
        <v>-4.9494858723608814E-3</v>
      </c>
    </row>
    <row r="186" spans="1:13" x14ac:dyDescent="0.3">
      <c r="A186" t="s">
        <v>192</v>
      </c>
      <c r="K186" s="1" t="str">
        <f t="shared" si="4"/>
        <v>2000-11-01</v>
      </c>
      <c r="L186">
        <v>1314.9499510000001</v>
      </c>
      <c r="M186" s="2">
        <f t="shared" si="5"/>
        <v>-8.0068609961069903E-2</v>
      </c>
    </row>
    <row r="187" spans="1:13" x14ac:dyDescent="0.3">
      <c r="A187" t="s">
        <v>193</v>
      </c>
      <c r="K187" s="1" t="str">
        <f t="shared" si="4"/>
        <v>2000-12-01</v>
      </c>
      <c r="L187">
        <v>1320.280029</v>
      </c>
      <c r="M187" s="2">
        <f t="shared" si="5"/>
        <v>4.0534455291978411E-3</v>
      </c>
    </row>
    <row r="188" spans="1:13" x14ac:dyDescent="0.3">
      <c r="A188" t="s">
        <v>194</v>
      </c>
      <c r="K188" s="1" t="str">
        <f t="shared" si="4"/>
        <v>2001-01-01</v>
      </c>
      <c r="L188">
        <v>1366.01001</v>
      </c>
      <c r="M188" s="2">
        <f t="shared" si="5"/>
        <v>3.4636577086329501E-2</v>
      </c>
    </row>
    <row r="189" spans="1:13" x14ac:dyDescent="0.3">
      <c r="A189" t="s">
        <v>195</v>
      </c>
      <c r="K189" s="1" t="str">
        <f t="shared" si="4"/>
        <v>2001-02-01</v>
      </c>
      <c r="L189">
        <v>1239.9399410000001</v>
      </c>
      <c r="M189" s="2">
        <f t="shared" si="5"/>
        <v>-9.229073584900005E-2</v>
      </c>
    </row>
    <row r="190" spans="1:13" x14ac:dyDescent="0.3">
      <c r="A190" t="s">
        <v>196</v>
      </c>
      <c r="K190" s="1" t="str">
        <f t="shared" si="4"/>
        <v>2001-03-01</v>
      </c>
      <c r="L190">
        <v>1160.329956</v>
      </c>
      <c r="M190" s="2">
        <f t="shared" si="5"/>
        <v>-6.4204710540895493E-2</v>
      </c>
    </row>
    <row r="191" spans="1:13" x14ac:dyDescent="0.3">
      <c r="A191" t="s">
        <v>197</v>
      </c>
      <c r="K191" s="1" t="str">
        <f t="shared" si="4"/>
        <v>2001-04-01</v>
      </c>
      <c r="L191">
        <v>1249.459961</v>
      </c>
      <c r="M191" s="2">
        <f t="shared" si="5"/>
        <v>7.6814361759009797E-2</v>
      </c>
    </row>
    <row r="192" spans="1:13" x14ac:dyDescent="0.3">
      <c r="A192" t="s">
        <v>198</v>
      </c>
      <c r="K192" s="1" t="str">
        <f t="shared" si="4"/>
        <v>2001-05-01</v>
      </c>
      <c r="L192">
        <v>1255.8199460000001</v>
      </c>
      <c r="M192" s="2">
        <f t="shared" si="5"/>
        <v>5.0901871196495918E-3</v>
      </c>
    </row>
    <row r="193" spans="1:13" x14ac:dyDescent="0.3">
      <c r="A193" t="s">
        <v>199</v>
      </c>
      <c r="K193" s="1" t="str">
        <f t="shared" si="4"/>
        <v>2001-06-01</v>
      </c>
      <c r="L193">
        <v>1224.380005</v>
      </c>
      <c r="M193" s="2">
        <f t="shared" si="5"/>
        <v>-2.5035389109833495E-2</v>
      </c>
    </row>
    <row r="194" spans="1:13" x14ac:dyDescent="0.3">
      <c r="A194" t="s">
        <v>200</v>
      </c>
      <c r="K194" s="1" t="str">
        <f t="shared" si="4"/>
        <v>2001-07-01</v>
      </c>
      <c r="L194">
        <v>1211.2299800000001</v>
      </c>
      <c r="M194" s="2">
        <f t="shared" si="5"/>
        <v>-1.0740150072934163E-2</v>
      </c>
    </row>
    <row r="195" spans="1:13" x14ac:dyDescent="0.3">
      <c r="A195" t="s">
        <v>201</v>
      </c>
      <c r="K195" s="1" t="str">
        <f t="shared" ref="K195:K258" si="6">LEFT(A195,10)</f>
        <v>2001-08-01</v>
      </c>
      <c r="L195">
        <v>1133.579956</v>
      </c>
      <c r="M195" s="2">
        <f t="shared" si="5"/>
        <v>-6.4108406563714748E-2</v>
      </c>
    </row>
    <row r="196" spans="1:13" x14ac:dyDescent="0.3">
      <c r="A196" t="s">
        <v>202</v>
      </c>
      <c r="K196" s="1" t="str">
        <f t="shared" si="6"/>
        <v>2001-09-01</v>
      </c>
      <c r="L196">
        <v>1040.9399410000001</v>
      </c>
      <c r="M196" s="2">
        <f t="shared" ref="M196:M259" si="7">(L196/L195)-1</f>
        <v>-8.1723406019716172E-2</v>
      </c>
    </row>
    <row r="197" spans="1:13" x14ac:dyDescent="0.3">
      <c r="A197" t="s">
        <v>203</v>
      </c>
      <c r="K197" s="1" t="str">
        <f t="shared" si="6"/>
        <v>2001-10-01</v>
      </c>
      <c r="L197">
        <v>1059.780029</v>
      </c>
      <c r="M197" s="2">
        <f t="shared" si="7"/>
        <v>1.809911144527776E-2</v>
      </c>
    </row>
    <row r="198" spans="1:13" x14ac:dyDescent="0.3">
      <c r="A198" t="s">
        <v>204</v>
      </c>
      <c r="K198" s="1" t="str">
        <f t="shared" si="6"/>
        <v>2001-11-01</v>
      </c>
      <c r="L198">
        <v>1139.4499510000001</v>
      </c>
      <c r="M198" s="2">
        <f t="shared" si="7"/>
        <v>7.5175904263053539E-2</v>
      </c>
    </row>
    <row r="199" spans="1:13" x14ac:dyDescent="0.3">
      <c r="A199" t="s">
        <v>205</v>
      </c>
      <c r="K199" s="1" t="str">
        <f t="shared" si="6"/>
        <v>2001-12-01</v>
      </c>
      <c r="L199">
        <v>1148.079956</v>
      </c>
      <c r="M199" s="2">
        <f t="shared" si="7"/>
        <v>7.5738341929156849E-3</v>
      </c>
    </row>
    <row r="200" spans="1:13" x14ac:dyDescent="0.3">
      <c r="A200" t="s">
        <v>206</v>
      </c>
      <c r="K200" s="1" t="str">
        <f t="shared" si="6"/>
        <v>2002-01-01</v>
      </c>
      <c r="L200">
        <v>1130.1999510000001</v>
      </c>
      <c r="M200" s="2">
        <f t="shared" si="7"/>
        <v>-1.5573832559794276E-2</v>
      </c>
    </row>
    <row r="201" spans="1:13" x14ac:dyDescent="0.3">
      <c r="A201" t="s">
        <v>207</v>
      </c>
      <c r="K201" s="1" t="str">
        <f t="shared" si="6"/>
        <v>2002-02-01</v>
      </c>
      <c r="L201">
        <v>1106.7299800000001</v>
      </c>
      <c r="M201" s="2">
        <f t="shared" si="7"/>
        <v>-2.0766211305560334E-2</v>
      </c>
    </row>
    <row r="202" spans="1:13" x14ac:dyDescent="0.3">
      <c r="A202" t="s">
        <v>208</v>
      </c>
      <c r="K202" s="1" t="str">
        <f t="shared" si="6"/>
        <v>2002-03-01</v>
      </c>
      <c r="L202">
        <v>1147.3900149999999</v>
      </c>
      <c r="M202" s="2">
        <f t="shared" si="7"/>
        <v>3.6738893618839086E-2</v>
      </c>
    </row>
    <row r="203" spans="1:13" x14ac:dyDescent="0.3">
      <c r="A203" t="s">
        <v>209</v>
      </c>
      <c r="K203" s="1" t="str">
        <f t="shared" si="6"/>
        <v>2002-04-01</v>
      </c>
      <c r="L203">
        <v>1076.920044</v>
      </c>
      <c r="M203" s="2">
        <f t="shared" si="7"/>
        <v>-6.1417626159139926E-2</v>
      </c>
    </row>
    <row r="204" spans="1:13" x14ac:dyDescent="0.3">
      <c r="A204" t="s">
        <v>210</v>
      </c>
      <c r="K204" s="1" t="str">
        <f t="shared" si="6"/>
        <v>2002-05-01</v>
      </c>
      <c r="L204">
        <v>1067.1400149999999</v>
      </c>
      <c r="M204" s="2">
        <f t="shared" si="7"/>
        <v>-9.0814810760454501E-3</v>
      </c>
    </row>
    <row r="205" spans="1:13" x14ac:dyDescent="0.3">
      <c r="A205" t="s">
        <v>211</v>
      </c>
      <c r="K205" s="1" t="str">
        <f t="shared" si="6"/>
        <v>2002-06-01</v>
      </c>
      <c r="L205">
        <v>989.82000700000003</v>
      </c>
      <c r="M205" s="2">
        <f t="shared" si="7"/>
        <v>-7.245535441757367E-2</v>
      </c>
    </row>
    <row r="206" spans="1:13" x14ac:dyDescent="0.3">
      <c r="A206" t="s">
        <v>212</v>
      </c>
      <c r="K206" s="1" t="str">
        <f t="shared" si="6"/>
        <v>2002-07-01</v>
      </c>
      <c r="L206">
        <v>911.61999500000002</v>
      </c>
      <c r="M206" s="2">
        <f t="shared" si="7"/>
        <v>-7.9004274966125276E-2</v>
      </c>
    </row>
    <row r="207" spans="1:13" x14ac:dyDescent="0.3">
      <c r="A207" t="s">
        <v>213</v>
      </c>
      <c r="K207" s="1" t="str">
        <f t="shared" si="6"/>
        <v>2002-08-01</v>
      </c>
      <c r="L207">
        <v>916.07000700000003</v>
      </c>
      <c r="M207" s="2">
        <f t="shared" si="7"/>
        <v>4.8814330800193151E-3</v>
      </c>
    </row>
    <row r="208" spans="1:13" x14ac:dyDescent="0.3">
      <c r="A208" t="s">
        <v>214</v>
      </c>
      <c r="K208" s="1" t="str">
        <f t="shared" si="6"/>
        <v>2002-09-01</v>
      </c>
      <c r="L208">
        <v>815.28002900000001</v>
      </c>
      <c r="M208" s="2">
        <f t="shared" si="7"/>
        <v>-0.11002431826151904</v>
      </c>
    </row>
    <row r="209" spans="1:13" x14ac:dyDescent="0.3">
      <c r="A209" t="s">
        <v>215</v>
      </c>
      <c r="K209" s="1" t="str">
        <f t="shared" si="6"/>
        <v>2002-10-01</v>
      </c>
      <c r="L209">
        <v>885.76000999999997</v>
      </c>
      <c r="M209" s="2">
        <f t="shared" si="7"/>
        <v>8.6448801016809851E-2</v>
      </c>
    </row>
    <row r="210" spans="1:13" x14ac:dyDescent="0.3">
      <c r="A210" t="s">
        <v>216</v>
      </c>
      <c r="K210" s="1" t="str">
        <f t="shared" si="6"/>
        <v>2002-11-01</v>
      </c>
      <c r="L210">
        <v>936.30999799999995</v>
      </c>
      <c r="M210" s="2">
        <f t="shared" si="7"/>
        <v>5.7069620923617892E-2</v>
      </c>
    </row>
    <row r="211" spans="1:13" x14ac:dyDescent="0.3">
      <c r="A211" t="s">
        <v>217</v>
      </c>
      <c r="K211" s="1" t="str">
        <f t="shared" si="6"/>
        <v>2002-12-01</v>
      </c>
      <c r="L211">
        <v>879.82000700000003</v>
      </c>
      <c r="M211" s="2">
        <f t="shared" si="7"/>
        <v>-6.0332572674290597E-2</v>
      </c>
    </row>
    <row r="212" spans="1:13" x14ac:dyDescent="0.3">
      <c r="A212" t="s">
        <v>218</v>
      </c>
      <c r="K212" s="1" t="str">
        <f t="shared" si="6"/>
        <v>2003-01-01</v>
      </c>
      <c r="L212">
        <v>855.70001200000002</v>
      </c>
      <c r="M212" s="2">
        <f t="shared" si="7"/>
        <v>-2.7414692559952214E-2</v>
      </c>
    </row>
    <row r="213" spans="1:13" x14ac:dyDescent="0.3">
      <c r="A213" t="s">
        <v>219</v>
      </c>
      <c r="K213" s="1" t="str">
        <f t="shared" si="6"/>
        <v>2003-02-01</v>
      </c>
      <c r="L213">
        <v>841.15002400000003</v>
      </c>
      <c r="M213" s="2">
        <f t="shared" si="7"/>
        <v>-1.7003608502929368E-2</v>
      </c>
    </row>
    <row r="214" spans="1:13" x14ac:dyDescent="0.3">
      <c r="A214" t="s">
        <v>220</v>
      </c>
      <c r="K214" s="1" t="str">
        <f t="shared" si="6"/>
        <v>2003-03-01</v>
      </c>
      <c r="L214">
        <v>848.17999299999997</v>
      </c>
      <c r="M214" s="2">
        <f t="shared" si="7"/>
        <v>8.3575685661514409E-3</v>
      </c>
    </row>
    <row r="215" spans="1:13" x14ac:dyDescent="0.3">
      <c r="A215" t="s">
        <v>221</v>
      </c>
      <c r="K215" s="1" t="str">
        <f t="shared" si="6"/>
        <v>2003-04-01</v>
      </c>
      <c r="L215">
        <v>916.919983</v>
      </c>
      <c r="M215" s="2">
        <f t="shared" si="7"/>
        <v>8.1044106872726118E-2</v>
      </c>
    </row>
    <row r="216" spans="1:13" x14ac:dyDescent="0.3">
      <c r="A216" t="s">
        <v>222</v>
      </c>
      <c r="K216" s="1" t="str">
        <f t="shared" si="6"/>
        <v>2003-05-01</v>
      </c>
      <c r="L216">
        <v>963.59002699999996</v>
      </c>
      <c r="M216" s="2">
        <f t="shared" si="7"/>
        <v>5.0898709664177977E-2</v>
      </c>
    </row>
    <row r="217" spans="1:13" x14ac:dyDescent="0.3">
      <c r="A217" t="s">
        <v>223</v>
      </c>
      <c r="K217" s="1" t="str">
        <f t="shared" si="6"/>
        <v>2003-06-01</v>
      </c>
      <c r="L217">
        <v>974.5</v>
      </c>
      <c r="M217" s="2">
        <f t="shared" si="7"/>
        <v>1.1322214525161467E-2</v>
      </c>
    </row>
    <row r="218" spans="1:13" x14ac:dyDescent="0.3">
      <c r="A218" t="s">
        <v>224</v>
      </c>
      <c r="K218" s="1" t="str">
        <f t="shared" si="6"/>
        <v>2003-07-01</v>
      </c>
      <c r="L218">
        <v>990.30999799999995</v>
      </c>
      <c r="M218" s="2">
        <f t="shared" si="7"/>
        <v>1.6223702411493068E-2</v>
      </c>
    </row>
    <row r="219" spans="1:13" x14ac:dyDescent="0.3">
      <c r="A219" t="s">
        <v>225</v>
      </c>
      <c r="K219" s="1" t="str">
        <f t="shared" si="6"/>
        <v>2003-08-01</v>
      </c>
      <c r="L219">
        <v>1008.01001</v>
      </c>
      <c r="M219" s="2">
        <f t="shared" si="7"/>
        <v>1.7873203376464364E-2</v>
      </c>
    </row>
    <row r="220" spans="1:13" x14ac:dyDescent="0.3">
      <c r="A220" t="s">
        <v>226</v>
      </c>
      <c r="K220" s="1" t="str">
        <f t="shared" si="6"/>
        <v>2003-09-01</v>
      </c>
      <c r="L220">
        <v>995.96997099999999</v>
      </c>
      <c r="M220" s="2">
        <f t="shared" si="7"/>
        <v>-1.194436452074521E-2</v>
      </c>
    </row>
    <row r="221" spans="1:13" x14ac:dyDescent="0.3">
      <c r="A221" t="s">
        <v>227</v>
      </c>
      <c r="K221" s="1" t="str">
        <f t="shared" si="6"/>
        <v>2003-10-01</v>
      </c>
      <c r="L221">
        <v>1050.709961</v>
      </c>
      <c r="M221" s="2">
        <f t="shared" si="7"/>
        <v>5.496148638401066E-2</v>
      </c>
    </row>
    <row r="222" spans="1:13" x14ac:dyDescent="0.3">
      <c r="A222" t="s">
        <v>228</v>
      </c>
      <c r="K222" s="1" t="str">
        <f t="shared" si="6"/>
        <v>2003-11-01</v>
      </c>
      <c r="L222">
        <v>1058.1999510000001</v>
      </c>
      <c r="M222" s="2">
        <f t="shared" si="7"/>
        <v>7.1285038478854368E-3</v>
      </c>
    </row>
    <row r="223" spans="1:13" x14ac:dyDescent="0.3">
      <c r="A223" t="s">
        <v>229</v>
      </c>
      <c r="K223" s="1" t="str">
        <f t="shared" si="6"/>
        <v>2003-12-01</v>
      </c>
      <c r="L223">
        <v>1111.920044</v>
      </c>
      <c r="M223" s="2">
        <f t="shared" si="7"/>
        <v>5.0765541001239312E-2</v>
      </c>
    </row>
    <row r="224" spans="1:13" x14ac:dyDescent="0.3">
      <c r="A224" t="s">
        <v>230</v>
      </c>
      <c r="K224" s="1" t="str">
        <f t="shared" si="6"/>
        <v>2004-01-01</v>
      </c>
      <c r="L224">
        <v>1131.130005</v>
      </c>
      <c r="M224" s="2">
        <f t="shared" si="7"/>
        <v>1.7276387006114557E-2</v>
      </c>
    </row>
    <row r="225" spans="1:13" x14ac:dyDescent="0.3">
      <c r="A225" t="s">
        <v>231</v>
      </c>
      <c r="K225" s="1" t="str">
        <f t="shared" si="6"/>
        <v>2004-02-01</v>
      </c>
      <c r="L225">
        <v>1144.9399410000001</v>
      </c>
      <c r="M225" s="2">
        <f t="shared" si="7"/>
        <v>1.2208973273589496E-2</v>
      </c>
    </row>
    <row r="226" spans="1:13" x14ac:dyDescent="0.3">
      <c r="A226" t="s">
        <v>232</v>
      </c>
      <c r="K226" s="1" t="str">
        <f t="shared" si="6"/>
        <v>2004-03-01</v>
      </c>
      <c r="L226">
        <v>1126.209961</v>
      </c>
      <c r="M226" s="2">
        <f t="shared" si="7"/>
        <v>-1.6358919214261247E-2</v>
      </c>
    </row>
    <row r="227" spans="1:13" x14ac:dyDescent="0.3">
      <c r="A227" t="s">
        <v>233</v>
      </c>
      <c r="K227" s="1" t="str">
        <f t="shared" si="6"/>
        <v>2004-04-01</v>
      </c>
      <c r="L227">
        <v>1107.3000489999999</v>
      </c>
      <c r="M227" s="2">
        <f t="shared" si="7"/>
        <v>-1.6790751862298725E-2</v>
      </c>
    </row>
    <row r="228" spans="1:13" x14ac:dyDescent="0.3">
      <c r="A228" t="s">
        <v>234</v>
      </c>
      <c r="K228" s="1" t="str">
        <f t="shared" si="6"/>
        <v>2004-05-01</v>
      </c>
      <c r="L228">
        <v>1120.6800539999999</v>
      </c>
      <c r="M228" s="2">
        <f t="shared" si="7"/>
        <v>1.2083450201310297E-2</v>
      </c>
    </row>
    <row r="229" spans="1:13" x14ac:dyDescent="0.3">
      <c r="A229" t="s">
        <v>235</v>
      </c>
      <c r="K229" s="1" t="str">
        <f t="shared" si="6"/>
        <v>2004-06-01</v>
      </c>
      <c r="L229">
        <v>1140.839966</v>
      </c>
      <c r="M229" s="2">
        <f t="shared" si="7"/>
        <v>1.7988998669195677E-2</v>
      </c>
    </row>
    <row r="230" spans="1:13" x14ac:dyDescent="0.3">
      <c r="A230" t="s">
        <v>236</v>
      </c>
      <c r="K230" s="1" t="str">
        <f t="shared" si="6"/>
        <v>2004-07-01</v>
      </c>
      <c r="L230">
        <v>1101.719971</v>
      </c>
      <c r="M230" s="2">
        <f t="shared" si="7"/>
        <v>-3.4290519411904974E-2</v>
      </c>
    </row>
    <row r="231" spans="1:13" x14ac:dyDescent="0.3">
      <c r="A231" t="s">
        <v>237</v>
      </c>
      <c r="K231" s="1" t="str">
        <f t="shared" si="6"/>
        <v>2004-08-01</v>
      </c>
      <c r="L231">
        <v>1104.23999</v>
      </c>
      <c r="M231" s="2">
        <f t="shared" si="7"/>
        <v>2.287349840552233E-3</v>
      </c>
    </row>
    <row r="232" spans="1:13" x14ac:dyDescent="0.3">
      <c r="A232" t="s">
        <v>238</v>
      </c>
      <c r="K232" s="1" t="str">
        <f t="shared" si="6"/>
        <v>2004-09-01</v>
      </c>
      <c r="L232">
        <v>1114.579956</v>
      </c>
      <c r="M232" s="2">
        <f t="shared" si="7"/>
        <v>9.3638756915515042E-3</v>
      </c>
    </row>
    <row r="233" spans="1:13" x14ac:dyDescent="0.3">
      <c r="A233" t="s">
        <v>239</v>
      </c>
      <c r="K233" s="1" t="str">
        <f t="shared" si="6"/>
        <v>2004-10-01</v>
      </c>
      <c r="L233">
        <v>1130.1999510000001</v>
      </c>
      <c r="M233" s="2">
        <f t="shared" si="7"/>
        <v>1.4014243586486952E-2</v>
      </c>
    </row>
    <row r="234" spans="1:13" x14ac:dyDescent="0.3">
      <c r="A234" t="s">
        <v>240</v>
      </c>
      <c r="K234" s="1" t="str">
        <f t="shared" si="6"/>
        <v>2004-11-01</v>
      </c>
      <c r="L234">
        <v>1173.8199460000001</v>
      </c>
      <c r="M234" s="2">
        <f t="shared" si="7"/>
        <v>3.8594936198152352E-2</v>
      </c>
    </row>
    <row r="235" spans="1:13" x14ac:dyDescent="0.3">
      <c r="A235" t="s">
        <v>241</v>
      </c>
      <c r="K235" s="1" t="str">
        <f t="shared" si="6"/>
        <v>2004-12-01</v>
      </c>
      <c r="L235">
        <v>1211.920044</v>
      </c>
      <c r="M235" s="2">
        <f t="shared" si="7"/>
        <v>3.24582131440454E-2</v>
      </c>
    </row>
    <row r="236" spans="1:13" x14ac:dyDescent="0.3">
      <c r="A236" t="s">
        <v>242</v>
      </c>
      <c r="K236" s="1" t="str">
        <f t="shared" si="6"/>
        <v>2005-01-01</v>
      </c>
      <c r="L236">
        <v>1181.2700199999999</v>
      </c>
      <c r="M236" s="2">
        <f t="shared" si="7"/>
        <v>-2.5290467099494562E-2</v>
      </c>
    </row>
    <row r="237" spans="1:13" x14ac:dyDescent="0.3">
      <c r="A237" t="s">
        <v>243</v>
      </c>
      <c r="K237" s="1" t="str">
        <f t="shared" si="6"/>
        <v>2005-02-01</v>
      </c>
      <c r="L237">
        <v>1203.599976</v>
      </c>
      <c r="M237" s="2">
        <f t="shared" si="7"/>
        <v>1.8903346078316563E-2</v>
      </c>
    </row>
    <row r="238" spans="1:13" x14ac:dyDescent="0.3">
      <c r="A238" t="s">
        <v>244</v>
      </c>
      <c r="K238" s="1" t="str">
        <f t="shared" si="6"/>
        <v>2005-03-01</v>
      </c>
      <c r="L238">
        <v>1180.589966</v>
      </c>
      <c r="M238" s="2">
        <f t="shared" si="7"/>
        <v>-1.9117655748441043E-2</v>
      </c>
    </row>
    <row r="239" spans="1:13" x14ac:dyDescent="0.3">
      <c r="A239" t="s">
        <v>245</v>
      </c>
      <c r="K239" s="1" t="str">
        <f t="shared" si="6"/>
        <v>2005-04-01</v>
      </c>
      <c r="L239">
        <v>1156.849976</v>
      </c>
      <c r="M239" s="2">
        <f t="shared" si="7"/>
        <v>-2.0108581881679299E-2</v>
      </c>
    </row>
    <row r="240" spans="1:13" x14ac:dyDescent="0.3">
      <c r="A240" t="s">
        <v>246</v>
      </c>
      <c r="K240" s="1" t="str">
        <f t="shared" si="6"/>
        <v>2005-05-01</v>
      </c>
      <c r="L240">
        <v>1191.5</v>
      </c>
      <c r="M240" s="2">
        <f t="shared" si="7"/>
        <v>2.9952046262565757E-2</v>
      </c>
    </row>
    <row r="241" spans="1:13" x14ac:dyDescent="0.3">
      <c r="A241" t="s">
        <v>247</v>
      </c>
      <c r="K241" s="1" t="str">
        <f t="shared" si="6"/>
        <v>2005-06-01</v>
      </c>
      <c r="L241">
        <v>1191.329956</v>
      </c>
      <c r="M241" s="2">
        <f t="shared" si="7"/>
        <v>-1.427142257658387E-4</v>
      </c>
    </row>
    <row r="242" spans="1:13" x14ac:dyDescent="0.3">
      <c r="A242" t="s">
        <v>248</v>
      </c>
      <c r="K242" s="1" t="str">
        <f t="shared" si="6"/>
        <v>2005-07-01</v>
      </c>
      <c r="L242">
        <v>1234.1800539999999</v>
      </c>
      <c r="M242" s="2">
        <f t="shared" si="7"/>
        <v>3.5968287193812287E-2</v>
      </c>
    </row>
    <row r="243" spans="1:13" x14ac:dyDescent="0.3">
      <c r="A243" t="s">
        <v>249</v>
      </c>
      <c r="K243" s="1" t="str">
        <f t="shared" si="6"/>
        <v>2005-08-01</v>
      </c>
      <c r="L243">
        <v>1220.329956</v>
      </c>
      <c r="M243" s="2">
        <f t="shared" si="7"/>
        <v>-1.1222104874496597E-2</v>
      </c>
    </row>
    <row r="244" spans="1:13" x14ac:dyDescent="0.3">
      <c r="A244" t="s">
        <v>250</v>
      </c>
      <c r="K244" s="1" t="str">
        <f t="shared" si="6"/>
        <v>2005-09-01</v>
      </c>
      <c r="L244">
        <v>1228.8100589999999</v>
      </c>
      <c r="M244" s="2">
        <f t="shared" si="7"/>
        <v>6.9490246947603307E-3</v>
      </c>
    </row>
    <row r="245" spans="1:13" x14ac:dyDescent="0.3">
      <c r="A245" t="s">
        <v>251</v>
      </c>
      <c r="K245" s="1" t="str">
        <f t="shared" si="6"/>
        <v>2005-10-01</v>
      </c>
      <c r="L245">
        <v>1207.01001</v>
      </c>
      <c r="M245" s="2">
        <f t="shared" si="7"/>
        <v>-1.7740780066319406E-2</v>
      </c>
    </row>
    <row r="246" spans="1:13" x14ac:dyDescent="0.3">
      <c r="A246" t="s">
        <v>252</v>
      </c>
      <c r="K246" s="1" t="str">
        <f t="shared" si="6"/>
        <v>2005-11-01</v>
      </c>
      <c r="L246">
        <v>1249.4799800000001</v>
      </c>
      <c r="M246" s="2">
        <f t="shared" si="7"/>
        <v>3.5186095929726546E-2</v>
      </c>
    </row>
    <row r="247" spans="1:13" x14ac:dyDescent="0.3">
      <c r="A247" t="s">
        <v>253</v>
      </c>
      <c r="K247" s="1" t="str">
        <f t="shared" si="6"/>
        <v>2005-12-01</v>
      </c>
      <c r="L247">
        <v>1248.290039</v>
      </c>
      <c r="M247" s="2">
        <f t="shared" si="7"/>
        <v>-9.5234899241847248E-4</v>
      </c>
    </row>
    <row r="248" spans="1:13" x14ac:dyDescent="0.3">
      <c r="A248" t="s">
        <v>254</v>
      </c>
      <c r="K248" s="1" t="str">
        <f t="shared" si="6"/>
        <v>2006-01-01</v>
      </c>
      <c r="L248">
        <v>1280.079956</v>
      </c>
      <c r="M248" s="2">
        <f t="shared" si="7"/>
        <v>2.5466771348641615E-2</v>
      </c>
    </row>
    <row r="249" spans="1:13" x14ac:dyDescent="0.3">
      <c r="A249" t="s">
        <v>255</v>
      </c>
      <c r="K249" s="1" t="str">
        <f t="shared" si="6"/>
        <v>2006-02-01</v>
      </c>
      <c r="L249">
        <v>1280.660034</v>
      </c>
      <c r="M249" s="2">
        <f t="shared" si="7"/>
        <v>4.5315763072539816E-4</v>
      </c>
    </row>
    <row r="250" spans="1:13" x14ac:dyDescent="0.3">
      <c r="A250" t="s">
        <v>256</v>
      </c>
      <c r="K250" s="1" t="str">
        <f t="shared" si="6"/>
        <v>2006-03-01</v>
      </c>
      <c r="L250">
        <v>1294.869995</v>
      </c>
      <c r="M250" s="2">
        <f t="shared" si="7"/>
        <v>1.1095810459249567E-2</v>
      </c>
    </row>
    <row r="251" spans="1:13" x14ac:dyDescent="0.3">
      <c r="A251" t="s">
        <v>257</v>
      </c>
      <c r="K251" s="1" t="str">
        <f t="shared" si="6"/>
        <v>2006-04-01</v>
      </c>
      <c r="L251">
        <v>1310.6099850000001</v>
      </c>
      <c r="M251" s="2">
        <f t="shared" si="7"/>
        <v>1.2155652737941391E-2</v>
      </c>
    </row>
    <row r="252" spans="1:13" x14ac:dyDescent="0.3">
      <c r="A252" t="s">
        <v>258</v>
      </c>
      <c r="K252" s="1" t="str">
        <f t="shared" si="6"/>
        <v>2006-05-01</v>
      </c>
      <c r="L252">
        <v>1270.089966</v>
      </c>
      <c r="M252" s="2">
        <f t="shared" si="7"/>
        <v>-3.0916916141150885E-2</v>
      </c>
    </row>
    <row r="253" spans="1:13" x14ac:dyDescent="0.3">
      <c r="A253" t="s">
        <v>259</v>
      </c>
      <c r="K253" s="1" t="str">
        <f t="shared" si="6"/>
        <v>2006-06-01</v>
      </c>
      <c r="L253">
        <v>1270.1999510000001</v>
      </c>
      <c r="M253" s="2">
        <f t="shared" si="7"/>
        <v>8.6596227782509416E-5</v>
      </c>
    </row>
    <row r="254" spans="1:13" x14ac:dyDescent="0.3">
      <c r="A254" t="s">
        <v>260</v>
      </c>
      <c r="K254" s="1" t="str">
        <f t="shared" si="6"/>
        <v>2006-07-01</v>
      </c>
      <c r="L254">
        <v>1276.660034</v>
      </c>
      <c r="M254" s="2">
        <f t="shared" si="7"/>
        <v>5.0858787979908282E-3</v>
      </c>
    </row>
    <row r="255" spans="1:13" x14ac:dyDescent="0.3">
      <c r="A255" t="s">
        <v>261</v>
      </c>
      <c r="K255" s="1" t="str">
        <f t="shared" si="6"/>
        <v>2006-08-01</v>
      </c>
      <c r="L255">
        <v>1303.8199460000001</v>
      </c>
      <c r="M255" s="2">
        <f t="shared" si="7"/>
        <v>2.1274193032348121E-2</v>
      </c>
    </row>
    <row r="256" spans="1:13" x14ac:dyDescent="0.3">
      <c r="A256" t="s">
        <v>262</v>
      </c>
      <c r="K256" s="1" t="str">
        <f t="shared" si="6"/>
        <v>2006-09-01</v>
      </c>
      <c r="L256">
        <v>1335.849976</v>
      </c>
      <c r="M256" s="2">
        <f t="shared" si="7"/>
        <v>2.4566298512509466E-2</v>
      </c>
    </row>
    <row r="257" spans="1:13" x14ac:dyDescent="0.3">
      <c r="A257" t="s">
        <v>263</v>
      </c>
      <c r="K257" s="1" t="str">
        <f t="shared" si="6"/>
        <v>2006-10-01</v>
      </c>
      <c r="L257">
        <v>1377.9399410000001</v>
      </c>
      <c r="M257" s="2">
        <f t="shared" si="7"/>
        <v>3.1508002961554205E-2</v>
      </c>
    </row>
    <row r="258" spans="1:13" x14ac:dyDescent="0.3">
      <c r="A258" t="s">
        <v>264</v>
      </c>
      <c r="K258" s="1" t="str">
        <f t="shared" si="6"/>
        <v>2006-11-01</v>
      </c>
      <c r="L258">
        <v>1400.630005</v>
      </c>
      <c r="M258" s="2">
        <f t="shared" si="7"/>
        <v>1.6466656727820217E-2</v>
      </c>
    </row>
    <row r="259" spans="1:13" x14ac:dyDescent="0.3">
      <c r="A259" t="s">
        <v>265</v>
      </c>
      <c r="K259" s="1" t="str">
        <f t="shared" ref="K259:K322" si="8">LEFT(A259,10)</f>
        <v>2006-12-01</v>
      </c>
      <c r="L259">
        <v>1418.3000489999999</v>
      </c>
      <c r="M259" s="2">
        <f t="shared" si="7"/>
        <v>1.2615782852659851E-2</v>
      </c>
    </row>
    <row r="260" spans="1:13" x14ac:dyDescent="0.3">
      <c r="A260" t="s">
        <v>266</v>
      </c>
      <c r="K260" s="1" t="str">
        <f t="shared" si="8"/>
        <v>2007-01-01</v>
      </c>
      <c r="L260">
        <v>1438.23999</v>
      </c>
      <c r="M260" s="2">
        <f t="shared" ref="M260:M323" si="9">(L260/L259)-1</f>
        <v>1.4059042735039773E-2</v>
      </c>
    </row>
    <row r="261" spans="1:13" x14ac:dyDescent="0.3">
      <c r="A261" t="s">
        <v>267</v>
      </c>
      <c r="K261" s="1" t="str">
        <f t="shared" si="8"/>
        <v>2007-02-01</v>
      </c>
      <c r="L261">
        <v>1406.8199460000001</v>
      </c>
      <c r="M261" s="2">
        <f t="shared" si="9"/>
        <v>-2.1846176033528231E-2</v>
      </c>
    </row>
    <row r="262" spans="1:13" x14ac:dyDescent="0.3">
      <c r="A262" t="s">
        <v>268</v>
      </c>
      <c r="K262" s="1" t="str">
        <f t="shared" si="8"/>
        <v>2007-03-01</v>
      </c>
      <c r="L262">
        <v>1420.8599850000001</v>
      </c>
      <c r="M262" s="2">
        <f t="shared" si="9"/>
        <v>9.9799828968305526E-3</v>
      </c>
    </row>
    <row r="263" spans="1:13" x14ac:dyDescent="0.3">
      <c r="A263" t="s">
        <v>269</v>
      </c>
      <c r="K263" s="1" t="str">
        <f t="shared" si="8"/>
        <v>2007-04-01</v>
      </c>
      <c r="L263">
        <v>1482.369995</v>
      </c>
      <c r="M263" s="2">
        <f t="shared" si="9"/>
        <v>4.3290690602424187E-2</v>
      </c>
    </row>
    <row r="264" spans="1:13" x14ac:dyDescent="0.3">
      <c r="A264" t="s">
        <v>270</v>
      </c>
      <c r="K264" s="1" t="str">
        <f t="shared" si="8"/>
        <v>2007-05-01</v>
      </c>
      <c r="L264">
        <v>1530.619995</v>
      </c>
      <c r="M264" s="2">
        <f t="shared" si="9"/>
        <v>3.254922870993493E-2</v>
      </c>
    </row>
    <row r="265" spans="1:13" x14ac:dyDescent="0.3">
      <c r="A265" t="s">
        <v>271</v>
      </c>
      <c r="K265" s="1" t="str">
        <f t="shared" si="8"/>
        <v>2007-06-01</v>
      </c>
      <c r="L265">
        <v>1503.349976</v>
      </c>
      <c r="M265" s="2">
        <f t="shared" si="9"/>
        <v>-1.7816322202167556E-2</v>
      </c>
    </row>
    <row r="266" spans="1:13" x14ac:dyDescent="0.3">
      <c r="A266" t="s">
        <v>272</v>
      </c>
      <c r="K266" s="1" t="str">
        <f t="shared" si="8"/>
        <v>2007-07-01</v>
      </c>
      <c r="L266">
        <v>1455.2700199999999</v>
      </c>
      <c r="M266" s="2">
        <f t="shared" si="9"/>
        <v>-3.1981878316802548E-2</v>
      </c>
    </row>
    <row r="267" spans="1:13" x14ac:dyDescent="0.3">
      <c r="A267" t="s">
        <v>273</v>
      </c>
      <c r="K267" s="1" t="str">
        <f t="shared" si="8"/>
        <v>2007-08-01</v>
      </c>
      <c r="L267">
        <v>1473.98999</v>
      </c>
      <c r="M267" s="2">
        <f t="shared" si="9"/>
        <v>1.2863571531556817E-2</v>
      </c>
    </row>
    <row r="268" spans="1:13" x14ac:dyDescent="0.3">
      <c r="A268" t="s">
        <v>274</v>
      </c>
      <c r="K268" s="1" t="str">
        <f t="shared" si="8"/>
        <v>2007-09-01</v>
      </c>
      <c r="L268">
        <v>1526.75</v>
      </c>
      <c r="M268" s="2">
        <f t="shared" si="9"/>
        <v>3.5794008343299488E-2</v>
      </c>
    </row>
    <row r="269" spans="1:13" x14ac:dyDescent="0.3">
      <c r="A269" t="s">
        <v>275</v>
      </c>
      <c r="K269" s="1" t="str">
        <f t="shared" si="8"/>
        <v>2007-10-01</v>
      </c>
      <c r="L269">
        <v>1549.380005</v>
      </c>
      <c r="M269" s="2">
        <f t="shared" si="9"/>
        <v>1.4822338300311211E-2</v>
      </c>
    </row>
    <row r="270" spans="1:13" x14ac:dyDescent="0.3">
      <c r="A270" t="s">
        <v>276</v>
      </c>
      <c r="K270" s="1" t="str">
        <f t="shared" si="8"/>
        <v>2007-11-01</v>
      </c>
      <c r="L270">
        <v>1481.1400149999999</v>
      </c>
      <c r="M270" s="2">
        <f t="shared" si="9"/>
        <v>-4.4043417224814418E-2</v>
      </c>
    </row>
    <row r="271" spans="1:13" x14ac:dyDescent="0.3">
      <c r="A271" t="s">
        <v>277</v>
      </c>
      <c r="K271" s="1" t="str">
        <f t="shared" si="8"/>
        <v>2007-12-01</v>
      </c>
      <c r="L271">
        <v>1468.3599850000001</v>
      </c>
      <c r="M271" s="2">
        <f t="shared" si="9"/>
        <v>-8.6285090339686121E-3</v>
      </c>
    </row>
    <row r="272" spans="1:13" x14ac:dyDescent="0.3">
      <c r="A272" t="s">
        <v>278</v>
      </c>
      <c r="K272" s="1" t="str">
        <f t="shared" si="8"/>
        <v>2008-01-01</v>
      </c>
      <c r="L272">
        <v>1378.5500489999999</v>
      </c>
      <c r="M272" s="2">
        <f t="shared" si="9"/>
        <v>-6.116343193593643E-2</v>
      </c>
    </row>
    <row r="273" spans="1:13" x14ac:dyDescent="0.3">
      <c r="A273" t="s">
        <v>279</v>
      </c>
      <c r="K273" s="1" t="str">
        <f t="shared" si="8"/>
        <v>2008-02-01</v>
      </c>
      <c r="L273">
        <v>1330.630005</v>
      </c>
      <c r="M273" s="2">
        <f t="shared" si="9"/>
        <v>-3.4761192772624461E-2</v>
      </c>
    </row>
    <row r="274" spans="1:13" x14ac:dyDescent="0.3">
      <c r="A274" t="s">
        <v>280</v>
      </c>
      <c r="K274" s="1" t="str">
        <f t="shared" si="8"/>
        <v>2008-03-01</v>
      </c>
      <c r="L274">
        <v>1322.6999510000001</v>
      </c>
      <c r="M274" s="2">
        <f t="shared" si="9"/>
        <v>-5.9596236145298409E-3</v>
      </c>
    </row>
    <row r="275" spans="1:13" x14ac:dyDescent="0.3">
      <c r="A275" t="s">
        <v>281</v>
      </c>
      <c r="K275" s="1" t="str">
        <f t="shared" si="8"/>
        <v>2008-04-01</v>
      </c>
      <c r="L275">
        <v>1385.589966</v>
      </c>
      <c r="M275" s="2">
        <f t="shared" si="9"/>
        <v>4.7546697913198877E-2</v>
      </c>
    </row>
    <row r="276" spans="1:13" x14ac:dyDescent="0.3">
      <c r="A276" t="s">
        <v>282</v>
      </c>
      <c r="K276" s="1" t="str">
        <f t="shared" si="8"/>
        <v>2008-05-01</v>
      </c>
      <c r="L276">
        <v>1400.380005</v>
      </c>
      <c r="M276" s="2">
        <f t="shared" si="9"/>
        <v>1.0674181657577053E-2</v>
      </c>
    </row>
    <row r="277" spans="1:13" x14ac:dyDescent="0.3">
      <c r="A277" t="s">
        <v>283</v>
      </c>
      <c r="K277" s="1" t="str">
        <f t="shared" si="8"/>
        <v>2008-06-01</v>
      </c>
      <c r="L277">
        <v>1280</v>
      </c>
      <c r="M277" s="2">
        <f t="shared" si="9"/>
        <v>-8.5962384902803612E-2</v>
      </c>
    </row>
    <row r="278" spans="1:13" x14ac:dyDescent="0.3">
      <c r="A278" t="s">
        <v>284</v>
      </c>
      <c r="K278" s="1" t="str">
        <f t="shared" si="8"/>
        <v>2008-07-01</v>
      </c>
      <c r="L278">
        <v>1267.380005</v>
      </c>
      <c r="M278" s="2">
        <f t="shared" si="9"/>
        <v>-9.8593710937500134E-3</v>
      </c>
    </row>
    <row r="279" spans="1:13" x14ac:dyDescent="0.3">
      <c r="A279" t="s">
        <v>285</v>
      </c>
      <c r="K279" s="1" t="str">
        <f t="shared" si="8"/>
        <v>2008-08-01</v>
      </c>
      <c r="L279">
        <v>1282.829956</v>
      </c>
      <c r="M279" s="2">
        <f t="shared" si="9"/>
        <v>1.2190464532380041E-2</v>
      </c>
    </row>
    <row r="280" spans="1:13" x14ac:dyDescent="0.3">
      <c r="A280" t="s">
        <v>286</v>
      </c>
      <c r="K280" s="1" t="str">
        <f t="shared" si="8"/>
        <v>2008-09-01</v>
      </c>
      <c r="L280">
        <v>1166.3599850000001</v>
      </c>
      <c r="M280" s="2">
        <f t="shared" si="9"/>
        <v>-9.0791433779084607E-2</v>
      </c>
    </row>
    <row r="281" spans="1:13" x14ac:dyDescent="0.3">
      <c r="A281" t="s">
        <v>287</v>
      </c>
      <c r="K281" s="1" t="str">
        <f t="shared" si="8"/>
        <v>2008-10-01</v>
      </c>
      <c r="L281">
        <v>968.75</v>
      </c>
      <c r="M281" s="2">
        <f t="shared" si="9"/>
        <v>-0.1694245237674199</v>
      </c>
    </row>
    <row r="282" spans="1:13" x14ac:dyDescent="0.3">
      <c r="A282" t="s">
        <v>288</v>
      </c>
      <c r="K282" s="1" t="str">
        <f t="shared" si="8"/>
        <v>2008-11-01</v>
      </c>
      <c r="L282">
        <v>896.23999000000003</v>
      </c>
      <c r="M282" s="2">
        <f t="shared" si="9"/>
        <v>-7.4849042580645175E-2</v>
      </c>
    </row>
    <row r="283" spans="1:13" x14ac:dyDescent="0.3">
      <c r="A283" t="s">
        <v>289</v>
      </c>
      <c r="K283" s="1" t="str">
        <f t="shared" si="8"/>
        <v>2008-12-01</v>
      </c>
      <c r="L283">
        <v>903.25</v>
      </c>
      <c r="M283" s="2">
        <f t="shared" si="9"/>
        <v>7.8215768970539834E-3</v>
      </c>
    </row>
    <row r="284" spans="1:13" x14ac:dyDescent="0.3">
      <c r="A284" t="s">
        <v>290</v>
      </c>
      <c r="K284" s="1" t="str">
        <f t="shared" si="8"/>
        <v>2009-01-01</v>
      </c>
      <c r="L284">
        <v>825.88000499999998</v>
      </c>
      <c r="M284" s="2">
        <f t="shared" si="9"/>
        <v>-8.5657342928314395E-2</v>
      </c>
    </row>
    <row r="285" spans="1:13" x14ac:dyDescent="0.3">
      <c r="A285" t="s">
        <v>291</v>
      </c>
      <c r="K285" s="1" t="str">
        <f t="shared" si="8"/>
        <v>2009-02-01</v>
      </c>
      <c r="L285">
        <v>735.09002699999996</v>
      </c>
      <c r="M285" s="2">
        <f t="shared" si="9"/>
        <v>-0.10993119757149228</v>
      </c>
    </row>
    <row r="286" spans="1:13" x14ac:dyDescent="0.3">
      <c r="A286" t="s">
        <v>292</v>
      </c>
      <c r="K286" s="1" t="str">
        <f t="shared" si="8"/>
        <v>2009-03-01</v>
      </c>
      <c r="L286">
        <v>797.86999500000002</v>
      </c>
      <c r="M286" s="2">
        <f t="shared" si="9"/>
        <v>8.540446162249471E-2</v>
      </c>
    </row>
    <row r="287" spans="1:13" x14ac:dyDescent="0.3">
      <c r="A287" t="s">
        <v>293</v>
      </c>
      <c r="K287" s="1" t="str">
        <f t="shared" si="8"/>
        <v>2009-04-01</v>
      </c>
      <c r="L287">
        <v>872.80999799999995</v>
      </c>
      <c r="M287" s="2">
        <f t="shared" si="9"/>
        <v>9.3925079862164695E-2</v>
      </c>
    </row>
    <row r="288" spans="1:13" x14ac:dyDescent="0.3">
      <c r="A288" t="s">
        <v>294</v>
      </c>
      <c r="K288" s="1" t="str">
        <f t="shared" si="8"/>
        <v>2009-05-01</v>
      </c>
      <c r="L288">
        <v>919.14001499999995</v>
      </c>
      <c r="M288" s="2">
        <f t="shared" si="9"/>
        <v>5.3081446255385467E-2</v>
      </c>
    </row>
    <row r="289" spans="1:13" x14ac:dyDescent="0.3">
      <c r="A289" t="s">
        <v>295</v>
      </c>
      <c r="K289" s="1" t="str">
        <f t="shared" si="8"/>
        <v>2009-06-01</v>
      </c>
      <c r="L289">
        <v>919.32000700000003</v>
      </c>
      <c r="M289" s="2">
        <f t="shared" si="9"/>
        <v>1.9582653030303376E-4</v>
      </c>
    </row>
    <row r="290" spans="1:13" x14ac:dyDescent="0.3">
      <c r="A290" t="s">
        <v>296</v>
      </c>
      <c r="K290" s="1" t="str">
        <f t="shared" si="8"/>
        <v>2009-07-01</v>
      </c>
      <c r="L290">
        <v>987.47997999999995</v>
      </c>
      <c r="M290" s="2">
        <f t="shared" si="9"/>
        <v>7.4141727016716619E-2</v>
      </c>
    </row>
    <row r="291" spans="1:13" x14ac:dyDescent="0.3">
      <c r="A291" t="s">
        <v>297</v>
      </c>
      <c r="K291" s="1" t="str">
        <f t="shared" si="8"/>
        <v>2009-08-01</v>
      </c>
      <c r="L291">
        <v>1020.619995</v>
      </c>
      <c r="M291" s="2">
        <f t="shared" si="9"/>
        <v>3.3560189240494864E-2</v>
      </c>
    </row>
    <row r="292" spans="1:13" x14ac:dyDescent="0.3">
      <c r="A292" t="s">
        <v>298</v>
      </c>
      <c r="K292" s="1" t="str">
        <f t="shared" si="8"/>
        <v>2009-09-01</v>
      </c>
      <c r="L292">
        <v>1057.079956</v>
      </c>
      <c r="M292" s="2">
        <f t="shared" si="9"/>
        <v>3.5723345788458705E-2</v>
      </c>
    </row>
    <row r="293" spans="1:13" x14ac:dyDescent="0.3">
      <c r="A293" t="s">
        <v>299</v>
      </c>
      <c r="K293" s="1" t="str">
        <f t="shared" si="8"/>
        <v>2009-10-01</v>
      </c>
      <c r="L293">
        <v>1036.1899410000001</v>
      </c>
      <c r="M293" s="2">
        <f t="shared" si="9"/>
        <v>-1.9762000860415463E-2</v>
      </c>
    </row>
    <row r="294" spans="1:13" x14ac:dyDescent="0.3">
      <c r="A294" t="s">
        <v>300</v>
      </c>
      <c r="K294" s="1" t="str">
        <f t="shared" si="8"/>
        <v>2009-11-01</v>
      </c>
      <c r="L294">
        <v>1095.630005</v>
      </c>
      <c r="M294" s="2">
        <f t="shared" si="9"/>
        <v>5.736406198137356E-2</v>
      </c>
    </row>
    <row r="295" spans="1:13" x14ac:dyDescent="0.3">
      <c r="A295" t="s">
        <v>301</v>
      </c>
      <c r="K295" s="1" t="str">
        <f t="shared" si="8"/>
        <v>2009-12-01</v>
      </c>
      <c r="L295">
        <v>1115.099976</v>
      </c>
      <c r="M295" s="2">
        <f t="shared" si="9"/>
        <v>1.7770571188400419E-2</v>
      </c>
    </row>
    <row r="296" spans="1:13" x14ac:dyDescent="0.3">
      <c r="A296" t="s">
        <v>302</v>
      </c>
      <c r="K296" s="1" t="str">
        <f t="shared" si="8"/>
        <v>2010-01-01</v>
      </c>
      <c r="L296">
        <v>1073.869995</v>
      </c>
      <c r="M296" s="2">
        <f t="shared" si="9"/>
        <v>-3.6974246154947377E-2</v>
      </c>
    </row>
    <row r="297" spans="1:13" x14ac:dyDescent="0.3">
      <c r="A297" t="s">
        <v>303</v>
      </c>
      <c r="K297" s="1" t="str">
        <f t="shared" si="8"/>
        <v>2010-02-01</v>
      </c>
      <c r="L297">
        <v>1104.48999</v>
      </c>
      <c r="M297" s="2">
        <f t="shared" si="9"/>
        <v>2.8513688940531301E-2</v>
      </c>
    </row>
    <row r="298" spans="1:13" x14ac:dyDescent="0.3">
      <c r="A298" t="s">
        <v>304</v>
      </c>
      <c r="K298" s="1" t="str">
        <f t="shared" si="8"/>
        <v>2010-03-01</v>
      </c>
      <c r="L298">
        <v>1169.4300539999999</v>
      </c>
      <c r="M298" s="2">
        <f t="shared" si="9"/>
        <v>5.8796426031891835E-2</v>
      </c>
    </row>
    <row r="299" spans="1:13" x14ac:dyDescent="0.3">
      <c r="A299" t="s">
        <v>305</v>
      </c>
      <c r="K299" s="1" t="str">
        <f t="shared" si="8"/>
        <v>2010-04-01</v>
      </c>
      <c r="L299">
        <v>1186.6899410000001</v>
      </c>
      <c r="M299" s="2">
        <f t="shared" si="9"/>
        <v>1.4759229883791081E-2</v>
      </c>
    </row>
    <row r="300" spans="1:13" x14ac:dyDescent="0.3">
      <c r="A300" t="s">
        <v>306</v>
      </c>
      <c r="K300" s="1" t="str">
        <f t="shared" si="8"/>
        <v>2010-05-01</v>
      </c>
      <c r="L300">
        <v>1089.410034</v>
      </c>
      <c r="M300" s="2">
        <f t="shared" si="9"/>
        <v>-8.1975841910334468E-2</v>
      </c>
    </row>
    <row r="301" spans="1:13" x14ac:dyDescent="0.3">
      <c r="A301" t="s">
        <v>307</v>
      </c>
      <c r="K301" s="1" t="str">
        <f t="shared" si="8"/>
        <v>2010-06-01</v>
      </c>
      <c r="L301">
        <v>1030.709961</v>
      </c>
      <c r="M301" s="2">
        <f t="shared" si="9"/>
        <v>-5.3882442026415123E-2</v>
      </c>
    </row>
    <row r="302" spans="1:13" x14ac:dyDescent="0.3">
      <c r="A302" t="s">
        <v>308</v>
      </c>
      <c r="K302" s="1" t="str">
        <f t="shared" si="8"/>
        <v>2010-07-01</v>
      </c>
      <c r="L302">
        <v>1101.599976</v>
      </c>
      <c r="M302" s="2">
        <f t="shared" si="9"/>
        <v>6.8777849911552336E-2</v>
      </c>
    </row>
    <row r="303" spans="1:13" x14ac:dyDescent="0.3">
      <c r="A303" t="s">
        <v>309</v>
      </c>
      <c r="K303" s="1" t="str">
        <f t="shared" si="8"/>
        <v>2010-08-01</v>
      </c>
      <c r="L303">
        <v>1049.329956</v>
      </c>
      <c r="M303" s="2">
        <f t="shared" si="9"/>
        <v>-4.7449184040287196E-2</v>
      </c>
    </row>
    <row r="304" spans="1:13" x14ac:dyDescent="0.3">
      <c r="A304" t="s">
        <v>310</v>
      </c>
      <c r="K304" s="1" t="str">
        <f t="shared" si="8"/>
        <v>2010-09-01</v>
      </c>
      <c r="L304">
        <v>1141.1999510000001</v>
      </c>
      <c r="M304" s="2">
        <f t="shared" si="9"/>
        <v>8.7551102944020132E-2</v>
      </c>
    </row>
    <row r="305" spans="1:13" x14ac:dyDescent="0.3">
      <c r="A305" t="s">
        <v>311</v>
      </c>
      <c r="K305" s="1" t="str">
        <f t="shared" si="8"/>
        <v>2010-10-01</v>
      </c>
      <c r="L305">
        <v>1183.26001</v>
      </c>
      <c r="M305" s="2">
        <f t="shared" si="9"/>
        <v>3.6855994397076541E-2</v>
      </c>
    </row>
    <row r="306" spans="1:13" x14ac:dyDescent="0.3">
      <c r="A306" t="s">
        <v>312</v>
      </c>
      <c r="K306" s="1" t="str">
        <f t="shared" si="8"/>
        <v>2010-11-01</v>
      </c>
      <c r="L306">
        <v>1180.5500489999999</v>
      </c>
      <c r="M306" s="2">
        <f t="shared" si="9"/>
        <v>-2.2902497989432113E-3</v>
      </c>
    </row>
    <row r="307" spans="1:13" x14ac:dyDescent="0.3">
      <c r="A307" t="s">
        <v>313</v>
      </c>
      <c r="K307" s="1" t="str">
        <f t="shared" si="8"/>
        <v>2010-12-01</v>
      </c>
      <c r="L307">
        <v>1257.6400149999999</v>
      </c>
      <c r="M307" s="2">
        <f t="shared" si="9"/>
        <v>6.5300040489854716E-2</v>
      </c>
    </row>
    <row r="308" spans="1:13" x14ac:dyDescent="0.3">
      <c r="A308" t="s">
        <v>314</v>
      </c>
      <c r="K308" s="1" t="str">
        <f t="shared" si="8"/>
        <v>2011-01-01</v>
      </c>
      <c r="L308">
        <v>1286.119995</v>
      </c>
      <c r="M308" s="2">
        <f t="shared" si="9"/>
        <v>2.2645573980086819E-2</v>
      </c>
    </row>
    <row r="309" spans="1:13" x14ac:dyDescent="0.3">
      <c r="A309" t="s">
        <v>315</v>
      </c>
      <c r="K309" s="1" t="str">
        <f t="shared" si="8"/>
        <v>2011-02-01</v>
      </c>
      <c r="L309">
        <v>1327.219971</v>
      </c>
      <c r="M309" s="2">
        <f t="shared" si="9"/>
        <v>3.1956564052952219E-2</v>
      </c>
    </row>
    <row r="310" spans="1:13" x14ac:dyDescent="0.3">
      <c r="A310" t="s">
        <v>316</v>
      </c>
      <c r="K310" s="1" t="str">
        <f t="shared" si="8"/>
        <v>2011-03-01</v>
      </c>
      <c r="L310">
        <v>1325.829956</v>
      </c>
      <c r="M310" s="2">
        <f t="shared" si="9"/>
        <v>-1.0473132038185673E-3</v>
      </c>
    </row>
    <row r="311" spans="1:13" x14ac:dyDescent="0.3">
      <c r="A311" t="s">
        <v>317</v>
      </c>
      <c r="K311" s="1" t="str">
        <f t="shared" si="8"/>
        <v>2011-04-01</v>
      </c>
      <c r="L311">
        <v>1363.6099850000001</v>
      </c>
      <c r="M311" s="2">
        <f t="shared" si="9"/>
        <v>2.8495380443795071E-2</v>
      </c>
    </row>
    <row r="312" spans="1:13" x14ac:dyDescent="0.3">
      <c r="A312" t="s">
        <v>318</v>
      </c>
      <c r="K312" s="1" t="str">
        <f t="shared" si="8"/>
        <v>2011-05-01</v>
      </c>
      <c r="L312">
        <v>1345.1999510000001</v>
      </c>
      <c r="M312" s="2">
        <f t="shared" si="9"/>
        <v>-1.3500952766930641E-2</v>
      </c>
    </row>
    <row r="313" spans="1:13" x14ac:dyDescent="0.3">
      <c r="A313" t="s">
        <v>319</v>
      </c>
      <c r="K313" s="1" t="str">
        <f t="shared" si="8"/>
        <v>2011-06-01</v>
      </c>
      <c r="L313">
        <v>1320.6400149999999</v>
      </c>
      <c r="M313" s="2">
        <f t="shared" si="9"/>
        <v>-1.825746126569705E-2</v>
      </c>
    </row>
    <row r="314" spans="1:13" x14ac:dyDescent="0.3">
      <c r="A314" t="s">
        <v>320</v>
      </c>
      <c r="K314" s="1" t="str">
        <f t="shared" si="8"/>
        <v>2011-07-01</v>
      </c>
      <c r="L314">
        <v>1292.280029</v>
      </c>
      <c r="M314" s="2">
        <f t="shared" si="9"/>
        <v>-2.1474425791952023E-2</v>
      </c>
    </row>
    <row r="315" spans="1:13" x14ac:dyDescent="0.3">
      <c r="A315" t="s">
        <v>321</v>
      </c>
      <c r="K315" s="1" t="str">
        <f t="shared" si="8"/>
        <v>2011-08-01</v>
      </c>
      <c r="L315">
        <v>1218.8900149999999</v>
      </c>
      <c r="M315" s="2">
        <f t="shared" si="9"/>
        <v>-5.6791107463597612E-2</v>
      </c>
    </row>
    <row r="316" spans="1:13" x14ac:dyDescent="0.3">
      <c r="A316" t="s">
        <v>322</v>
      </c>
      <c r="K316" s="1" t="str">
        <f t="shared" si="8"/>
        <v>2011-09-01</v>
      </c>
      <c r="L316">
        <v>1131.420044</v>
      </c>
      <c r="M316" s="2">
        <f t="shared" si="9"/>
        <v>-7.1761988303760127E-2</v>
      </c>
    </row>
    <row r="317" spans="1:13" x14ac:dyDescent="0.3">
      <c r="A317" t="s">
        <v>323</v>
      </c>
      <c r="K317" s="1" t="str">
        <f t="shared" si="8"/>
        <v>2011-10-01</v>
      </c>
      <c r="L317">
        <v>1253.3000489999999</v>
      </c>
      <c r="M317" s="2">
        <f t="shared" si="9"/>
        <v>0.10772303853581011</v>
      </c>
    </row>
    <row r="318" spans="1:13" x14ac:dyDescent="0.3">
      <c r="A318" t="s">
        <v>324</v>
      </c>
      <c r="K318" s="1" t="str">
        <f t="shared" si="8"/>
        <v>2011-11-01</v>
      </c>
      <c r="L318">
        <v>1246.959961</v>
      </c>
      <c r="M318" s="2">
        <f t="shared" si="9"/>
        <v>-5.0587151935872487E-3</v>
      </c>
    </row>
    <row r="319" spans="1:13" x14ac:dyDescent="0.3">
      <c r="A319" t="s">
        <v>325</v>
      </c>
      <c r="K319" s="1" t="str">
        <f t="shared" si="8"/>
        <v>2011-12-01</v>
      </c>
      <c r="L319">
        <v>1257.599976</v>
      </c>
      <c r="M319" s="2">
        <f t="shared" si="9"/>
        <v>8.532763948144062E-3</v>
      </c>
    </row>
    <row r="320" spans="1:13" x14ac:dyDescent="0.3">
      <c r="A320" t="s">
        <v>326</v>
      </c>
      <c r="K320" s="1" t="str">
        <f t="shared" si="8"/>
        <v>2012-01-01</v>
      </c>
      <c r="L320">
        <v>1312.410034</v>
      </c>
      <c r="M320" s="2">
        <f t="shared" si="9"/>
        <v>4.3583062218506274E-2</v>
      </c>
    </row>
    <row r="321" spans="1:13" x14ac:dyDescent="0.3">
      <c r="A321" t="s">
        <v>327</v>
      </c>
      <c r="K321" s="1" t="str">
        <f t="shared" si="8"/>
        <v>2012-02-01</v>
      </c>
      <c r="L321">
        <v>1365.6800539999999</v>
      </c>
      <c r="M321" s="2">
        <f t="shared" si="9"/>
        <v>4.0589464130841746E-2</v>
      </c>
    </row>
    <row r="322" spans="1:13" x14ac:dyDescent="0.3">
      <c r="A322" t="s">
        <v>328</v>
      </c>
      <c r="K322" s="1" t="str">
        <f t="shared" si="8"/>
        <v>2012-03-01</v>
      </c>
      <c r="L322">
        <v>1408.469971</v>
      </c>
      <c r="M322" s="2">
        <f t="shared" si="9"/>
        <v>3.1332314530530647E-2</v>
      </c>
    </row>
    <row r="323" spans="1:13" x14ac:dyDescent="0.3">
      <c r="A323" t="s">
        <v>329</v>
      </c>
      <c r="K323" s="1" t="str">
        <f t="shared" ref="K323:K386" si="10">LEFT(A323,10)</f>
        <v>2012-04-01</v>
      </c>
      <c r="L323">
        <v>1397.910034</v>
      </c>
      <c r="M323" s="2">
        <f t="shared" si="9"/>
        <v>-7.4974527092703802E-3</v>
      </c>
    </row>
    <row r="324" spans="1:13" x14ac:dyDescent="0.3">
      <c r="A324" t="s">
        <v>330</v>
      </c>
      <c r="K324" s="1" t="str">
        <f t="shared" si="10"/>
        <v>2012-05-01</v>
      </c>
      <c r="L324">
        <v>1310.329956</v>
      </c>
      <c r="M324" s="2">
        <f t="shared" ref="M324:M387" si="11">(L324/L323)-1</f>
        <v>-6.265072563317764E-2</v>
      </c>
    </row>
    <row r="325" spans="1:13" x14ac:dyDescent="0.3">
      <c r="A325" t="s">
        <v>331</v>
      </c>
      <c r="K325" s="1" t="str">
        <f t="shared" si="10"/>
        <v>2012-06-01</v>
      </c>
      <c r="L325">
        <v>1362.160034</v>
      </c>
      <c r="M325" s="2">
        <f t="shared" si="11"/>
        <v>3.9554982134591521E-2</v>
      </c>
    </row>
    <row r="326" spans="1:13" x14ac:dyDescent="0.3">
      <c r="A326" t="s">
        <v>332</v>
      </c>
      <c r="K326" s="1" t="str">
        <f t="shared" si="10"/>
        <v>2012-07-01</v>
      </c>
      <c r="L326">
        <v>1379.3199460000001</v>
      </c>
      <c r="M326" s="2">
        <f t="shared" si="11"/>
        <v>1.2597574126154365E-2</v>
      </c>
    </row>
    <row r="327" spans="1:13" x14ac:dyDescent="0.3">
      <c r="A327" t="s">
        <v>333</v>
      </c>
      <c r="K327" s="1" t="str">
        <f t="shared" si="10"/>
        <v>2012-08-01</v>
      </c>
      <c r="L327">
        <v>1406.579956</v>
      </c>
      <c r="M327" s="2">
        <f t="shared" si="11"/>
        <v>1.9763369680148246E-2</v>
      </c>
    </row>
    <row r="328" spans="1:13" x14ac:dyDescent="0.3">
      <c r="A328" t="s">
        <v>334</v>
      </c>
      <c r="K328" s="1" t="str">
        <f t="shared" si="10"/>
        <v>2012-09-01</v>
      </c>
      <c r="L328">
        <v>1440.670044</v>
      </c>
      <c r="M328" s="2">
        <f t="shared" si="11"/>
        <v>2.4236153696477025E-2</v>
      </c>
    </row>
    <row r="329" spans="1:13" x14ac:dyDescent="0.3">
      <c r="A329" t="s">
        <v>335</v>
      </c>
      <c r="K329" s="1" t="str">
        <f t="shared" si="10"/>
        <v>2012-10-01</v>
      </c>
      <c r="L329">
        <v>1412.160034</v>
      </c>
      <c r="M329" s="2">
        <f t="shared" si="11"/>
        <v>-1.9789409878227415E-2</v>
      </c>
    </row>
    <row r="330" spans="1:13" x14ac:dyDescent="0.3">
      <c r="A330" t="s">
        <v>336</v>
      </c>
      <c r="K330" s="1" t="str">
        <f t="shared" si="10"/>
        <v>2012-11-01</v>
      </c>
      <c r="L330">
        <v>1416.1800539999999</v>
      </c>
      <c r="M330" s="2">
        <f t="shared" si="11"/>
        <v>2.8467170173434031E-3</v>
      </c>
    </row>
    <row r="331" spans="1:13" x14ac:dyDescent="0.3">
      <c r="A331" t="s">
        <v>337</v>
      </c>
      <c r="K331" s="1" t="str">
        <f t="shared" si="10"/>
        <v>2012-12-01</v>
      </c>
      <c r="L331">
        <v>1426.1899410000001</v>
      </c>
      <c r="M331" s="2">
        <f t="shared" si="11"/>
        <v>7.068230463864511E-3</v>
      </c>
    </row>
    <row r="332" spans="1:13" x14ac:dyDescent="0.3">
      <c r="A332" t="s">
        <v>338</v>
      </c>
      <c r="K332" s="1" t="str">
        <f t="shared" si="10"/>
        <v>2013-01-01</v>
      </c>
      <c r="L332">
        <v>1498.1099850000001</v>
      </c>
      <c r="M332" s="2">
        <f t="shared" si="11"/>
        <v>5.0428096519578469E-2</v>
      </c>
    </row>
    <row r="333" spans="1:13" x14ac:dyDescent="0.3">
      <c r="A333" t="s">
        <v>339</v>
      </c>
      <c r="K333" s="1" t="str">
        <f t="shared" si="10"/>
        <v>2013-02-01</v>
      </c>
      <c r="L333">
        <v>1514.6800539999999</v>
      </c>
      <c r="M333" s="2">
        <f t="shared" si="11"/>
        <v>1.1060649195259176E-2</v>
      </c>
    </row>
    <row r="334" spans="1:13" x14ac:dyDescent="0.3">
      <c r="A334" t="s">
        <v>340</v>
      </c>
      <c r="K334" s="1" t="str">
        <f t="shared" si="10"/>
        <v>2013-03-01</v>
      </c>
      <c r="L334">
        <v>1569.1899410000001</v>
      </c>
      <c r="M334" s="2">
        <f t="shared" si="11"/>
        <v>3.5987723516956116E-2</v>
      </c>
    </row>
    <row r="335" spans="1:13" x14ac:dyDescent="0.3">
      <c r="A335" t="s">
        <v>341</v>
      </c>
      <c r="K335" s="1" t="str">
        <f t="shared" si="10"/>
        <v>2013-04-01</v>
      </c>
      <c r="L335">
        <v>1597.5699460000001</v>
      </c>
      <c r="M335" s="2">
        <f t="shared" si="11"/>
        <v>1.8085767859252311E-2</v>
      </c>
    </row>
    <row r="336" spans="1:13" x14ac:dyDescent="0.3">
      <c r="A336" t="s">
        <v>342</v>
      </c>
      <c r="K336" s="1" t="str">
        <f t="shared" si="10"/>
        <v>2013-05-01</v>
      </c>
      <c r="L336">
        <v>1630.73999</v>
      </c>
      <c r="M336" s="2">
        <f t="shared" si="11"/>
        <v>2.0762811721046104E-2</v>
      </c>
    </row>
    <row r="337" spans="1:13" x14ac:dyDescent="0.3">
      <c r="A337" t="s">
        <v>343</v>
      </c>
      <c r="K337" s="1" t="str">
        <f t="shared" si="10"/>
        <v>2013-06-01</v>
      </c>
      <c r="L337">
        <v>1606.280029</v>
      </c>
      <c r="M337" s="2">
        <f t="shared" si="11"/>
        <v>-1.4999301636062778E-2</v>
      </c>
    </row>
    <row r="338" spans="1:13" x14ac:dyDescent="0.3">
      <c r="A338" t="s">
        <v>344</v>
      </c>
      <c r="K338" s="1" t="str">
        <f t="shared" si="10"/>
        <v>2013-07-01</v>
      </c>
      <c r="L338">
        <v>1685.7299800000001</v>
      </c>
      <c r="M338" s="2">
        <f t="shared" si="11"/>
        <v>4.9462079815224991E-2</v>
      </c>
    </row>
    <row r="339" spans="1:13" x14ac:dyDescent="0.3">
      <c r="A339" t="s">
        <v>345</v>
      </c>
      <c r="K339" s="1" t="str">
        <f t="shared" si="10"/>
        <v>2013-08-01</v>
      </c>
      <c r="L339">
        <v>1632.969971</v>
      </c>
      <c r="M339" s="2">
        <f t="shared" si="11"/>
        <v>-3.1298019033866864E-2</v>
      </c>
    </row>
    <row r="340" spans="1:13" x14ac:dyDescent="0.3">
      <c r="A340" t="s">
        <v>346</v>
      </c>
      <c r="K340" s="1" t="str">
        <f t="shared" si="10"/>
        <v>2013-09-01</v>
      </c>
      <c r="L340">
        <v>1681.5500489999999</v>
      </c>
      <c r="M340" s="2">
        <f t="shared" si="11"/>
        <v>2.9749523177239112E-2</v>
      </c>
    </row>
    <row r="341" spans="1:13" x14ac:dyDescent="0.3">
      <c r="A341" t="s">
        <v>347</v>
      </c>
      <c r="K341" s="1" t="str">
        <f t="shared" si="10"/>
        <v>2013-10-01</v>
      </c>
      <c r="L341">
        <v>1756.540039</v>
      </c>
      <c r="M341" s="2">
        <f t="shared" si="11"/>
        <v>4.4595752618006079E-2</v>
      </c>
    </row>
    <row r="342" spans="1:13" x14ac:dyDescent="0.3">
      <c r="A342" t="s">
        <v>348</v>
      </c>
      <c r="K342" s="1" t="str">
        <f t="shared" si="10"/>
        <v>2013-11-01</v>
      </c>
      <c r="L342">
        <v>1805.8100589999999</v>
      </c>
      <c r="M342" s="2">
        <f t="shared" si="11"/>
        <v>2.8049471635186451E-2</v>
      </c>
    </row>
    <row r="343" spans="1:13" x14ac:dyDescent="0.3">
      <c r="A343" t="s">
        <v>349</v>
      </c>
      <c r="K343" s="1" t="str">
        <f t="shared" si="10"/>
        <v>2013-12-01</v>
      </c>
      <c r="L343">
        <v>1848.3599850000001</v>
      </c>
      <c r="M343" s="2">
        <f t="shared" si="11"/>
        <v>2.356279155049279E-2</v>
      </c>
    </row>
    <row r="344" spans="1:13" x14ac:dyDescent="0.3">
      <c r="A344" t="s">
        <v>350</v>
      </c>
      <c r="K344" s="1" t="str">
        <f t="shared" si="10"/>
        <v>2014-01-01</v>
      </c>
      <c r="L344">
        <v>1782.589966</v>
      </c>
      <c r="M344" s="2">
        <f t="shared" si="11"/>
        <v>-3.5582905675162646E-2</v>
      </c>
    </row>
    <row r="345" spans="1:13" x14ac:dyDescent="0.3">
      <c r="A345" t="s">
        <v>351</v>
      </c>
      <c r="K345" s="1" t="str">
        <f t="shared" si="10"/>
        <v>2014-02-01</v>
      </c>
      <c r="L345">
        <v>1859.4499510000001</v>
      </c>
      <c r="M345" s="2">
        <f t="shared" si="11"/>
        <v>4.3117029976595278E-2</v>
      </c>
    </row>
    <row r="346" spans="1:13" x14ac:dyDescent="0.3">
      <c r="A346" t="s">
        <v>352</v>
      </c>
      <c r="K346" s="1" t="str">
        <f t="shared" si="10"/>
        <v>2014-03-01</v>
      </c>
      <c r="L346">
        <v>1872.339966</v>
      </c>
      <c r="M346" s="2">
        <f t="shared" si="11"/>
        <v>6.9321656079357474E-3</v>
      </c>
    </row>
    <row r="347" spans="1:13" x14ac:dyDescent="0.3">
      <c r="A347" t="s">
        <v>353</v>
      </c>
      <c r="K347" s="1" t="str">
        <f t="shared" si="10"/>
        <v>2014-04-01</v>
      </c>
      <c r="L347">
        <v>1883.9499510000001</v>
      </c>
      <c r="M347" s="2">
        <f t="shared" si="11"/>
        <v>6.2007889650528281E-3</v>
      </c>
    </row>
    <row r="348" spans="1:13" x14ac:dyDescent="0.3">
      <c r="A348" t="s">
        <v>354</v>
      </c>
      <c r="K348" s="1" t="str">
        <f t="shared" si="10"/>
        <v>2014-05-01</v>
      </c>
      <c r="L348">
        <v>1923.5699460000001</v>
      </c>
      <c r="M348" s="2">
        <f t="shared" si="11"/>
        <v>2.1030280012996005E-2</v>
      </c>
    </row>
    <row r="349" spans="1:13" x14ac:dyDescent="0.3">
      <c r="A349" t="s">
        <v>355</v>
      </c>
      <c r="K349" s="1" t="str">
        <f t="shared" si="10"/>
        <v>2014-06-01</v>
      </c>
      <c r="L349">
        <v>1960.2299800000001</v>
      </c>
      <c r="M349" s="2">
        <f t="shared" si="11"/>
        <v>1.9058331658920569E-2</v>
      </c>
    </row>
    <row r="350" spans="1:13" x14ac:dyDescent="0.3">
      <c r="A350" t="s">
        <v>356</v>
      </c>
      <c r="K350" s="1" t="str">
        <f t="shared" si="10"/>
        <v>2014-07-01</v>
      </c>
      <c r="L350">
        <v>1930.670044</v>
      </c>
      <c r="M350" s="2">
        <f t="shared" si="11"/>
        <v>-1.5079830581919862E-2</v>
      </c>
    </row>
    <row r="351" spans="1:13" x14ac:dyDescent="0.3">
      <c r="A351" t="s">
        <v>357</v>
      </c>
      <c r="K351" s="1" t="str">
        <f t="shared" si="10"/>
        <v>2014-08-01</v>
      </c>
      <c r="L351">
        <v>2003.369995</v>
      </c>
      <c r="M351" s="2">
        <f t="shared" si="11"/>
        <v>3.7655295489735119E-2</v>
      </c>
    </row>
    <row r="352" spans="1:13" x14ac:dyDescent="0.3">
      <c r="A352" t="s">
        <v>358</v>
      </c>
      <c r="K352" s="1" t="str">
        <f t="shared" si="10"/>
        <v>2014-09-01</v>
      </c>
      <c r="L352">
        <v>1972.290039</v>
      </c>
      <c r="M352" s="2">
        <f t="shared" si="11"/>
        <v>-1.5513837223063764E-2</v>
      </c>
    </row>
    <row r="353" spans="1:13" x14ac:dyDescent="0.3">
      <c r="A353" t="s">
        <v>359</v>
      </c>
      <c r="K353" s="1" t="str">
        <f t="shared" si="10"/>
        <v>2014-10-01</v>
      </c>
      <c r="L353">
        <v>2018.0500489999999</v>
      </c>
      <c r="M353" s="2">
        <f t="shared" si="11"/>
        <v>2.3201460786772321E-2</v>
      </c>
    </row>
    <row r="354" spans="1:13" x14ac:dyDescent="0.3">
      <c r="A354" t="s">
        <v>360</v>
      </c>
      <c r="K354" s="1" t="str">
        <f t="shared" si="10"/>
        <v>2014-11-01</v>
      </c>
      <c r="L354">
        <v>2067.5600589999999</v>
      </c>
      <c r="M354" s="2">
        <f t="shared" si="11"/>
        <v>2.4533588760364822E-2</v>
      </c>
    </row>
    <row r="355" spans="1:13" x14ac:dyDescent="0.3">
      <c r="A355" t="s">
        <v>361</v>
      </c>
      <c r="K355" s="1" t="str">
        <f t="shared" si="10"/>
        <v>2014-12-01</v>
      </c>
      <c r="L355">
        <v>2058.8999020000001</v>
      </c>
      <c r="M355" s="2">
        <f t="shared" si="11"/>
        <v>-4.1885878779204244E-3</v>
      </c>
    </row>
    <row r="356" spans="1:13" x14ac:dyDescent="0.3">
      <c r="A356" t="s">
        <v>362</v>
      </c>
      <c r="K356" s="1" t="str">
        <f t="shared" si="10"/>
        <v>2015-01-01</v>
      </c>
      <c r="L356">
        <v>1994.98999</v>
      </c>
      <c r="M356" s="2">
        <f t="shared" si="11"/>
        <v>-3.1040805790470194E-2</v>
      </c>
    </row>
    <row r="357" spans="1:13" x14ac:dyDescent="0.3">
      <c r="A357" t="s">
        <v>363</v>
      </c>
      <c r="K357" s="1" t="str">
        <f t="shared" si="10"/>
        <v>2015-02-01</v>
      </c>
      <c r="L357">
        <v>2104.5</v>
      </c>
      <c r="M357" s="2">
        <f t="shared" si="11"/>
        <v>5.4892511014553946E-2</v>
      </c>
    </row>
    <row r="358" spans="1:13" x14ac:dyDescent="0.3">
      <c r="A358" t="s">
        <v>364</v>
      </c>
      <c r="K358" s="1" t="str">
        <f t="shared" si="10"/>
        <v>2015-03-01</v>
      </c>
      <c r="L358">
        <v>2067.889893</v>
      </c>
      <c r="M358" s="2">
        <f t="shared" si="11"/>
        <v>-1.739610691375626E-2</v>
      </c>
    </row>
    <row r="359" spans="1:13" x14ac:dyDescent="0.3">
      <c r="A359" t="s">
        <v>365</v>
      </c>
      <c r="K359" s="1" t="str">
        <f t="shared" si="10"/>
        <v>2015-04-01</v>
      </c>
      <c r="L359">
        <v>2085.51001</v>
      </c>
      <c r="M359" s="2">
        <f t="shared" si="11"/>
        <v>8.5208197301247512E-3</v>
      </c>
    </row>
    <row r="360" spans="1:13" x14ac:dyDescent="0.3">
      <c r="A360" t="s">
        <v>366</v>
      </c>
      <c r="K360" s="1" t="str">
        <f t="shared" si="10"/>
        <v>2015-05-01</v>
      </c>
      <c r="L360">
        <v>2107.389893</v>
      </c>
      <c r="M360" s="2">
        <f t="shared" si="11"/>
        <v>1.0491382393316817E-2</v>
      </c>
    </row>
    <row r="361" spans="1:13" x14ac:dyDescent="0.3">
      <c r="A361" t="s">
        <v>367</v>
      </c>
      <c r="K361" s="1" t="str">
        <f t="shared" si="10"/>
        <v>2015-06-01</v>
      </c>
      <c r="L361">
        <v>2063.110107</v>
      </c>
      <c r="M361" s="2">
        <f t="shared" si="11"/>
        <v>-2.1011672375900514E-2</v>
      </c>
    </row>
    <row r="362" spans="1:13" x14ac:dyDescent="0.3">
      <c r="A362" t="s">
        <v>368</v>
      </c>
      <c r="K362" s="1" t="str">
        <f t="shared" si="10"/>
        <v>2015-07-01</v>
      </c>
      <c r="L362">
        <v>2103.8400879999999</v>
      </c>
      <c r="M362" s="2">
        <f t="shared" si="11"/>
        <v>1.9742029696721453E-2</v>
      </c>
    </row>
    <row r="363" spans="1:13" x14ac:dyDescent="0.3">
      <c r="A363" t="s">
        <v>369</v>
      </c>
      <c r="K363" s="1" t="str">
        <f t="shared" si="10"/>
        <v>2015-08-01</v>
      </c>
      <c r="L363">
        <v>1972.1800539999999</v>
      </c>
      <c r="M363" s="2">
        <f t="shared" si="11"/>
        <v>-6.2580818167202845E-2</v>
      </c>
    </row>
    <row r="364" spans="1:13" x14ac:dyDescent="0.3">
      <c r="A364" t="s">
        <v>370</v>
      </c>
      <c r="K364" s="1" t="str">
        <f t="shared" si="10"/>
        <v>2015-09-01</v>
      </c>
      <c r="L364">
        <v>1920.030029</v>
      </c>
      <c r="M364" s="2">
        <f t="shared" si="11"/>
        <v>-2.6442831573227132E-2</v>
      </c>
    </row>
    <row r="365" spans="1:13" x14ac:dyDescent="0.3">
      <c r="A365" t="s">
        <v>371</v>
      </c>
      <c r="K365" s="1" t="str">
        <f t="shared" si="10"/>
        <v>2015-10-01</v>
      </c>
      <c r="L365">
        <v>2079.360107</v>
      </c>
      <c r="M365" s="2">
        <f t="shared" si="11"/>
        <v>8.2983117760394132E-2</v>
      </c>
    </row>
    <row r="366" spans="1:13" x14ac:dyDescent="0.3">
      <c r="A366" t="s">
        <v>372</v>
      </c>
      <c r="K366" s="1" t="str">
        <f t="shared" si="10"/>
        <v>2015-11-01</v>
      </c>
      <c r="L366">
        <v>2080.4099120000001</v>
      </c>
      <c r="M366" s="2">
        <f t="shared" si="11"/>
        <v>5.0486926072412786E-4</v>
      </c>
    </row>
    <row r="367" spans="1:13" x14ac:dyDescent="0.3">
      <c r="A367" t="s">
        <v>373</v>
      </c>
      <c r="K367" s="1" t="str">
        <f t="shared" si="10"/>
        <v>2015-12-01</v>
      </c>
      <c r="L367">
        <v>2043.9399410000001</v>
      </c>
      <c r="M367" s="2">
        <f t="shared" si="11"/>
        <v>-1.7530185176314439E-2</v>
      </c>
    </row>
    <row r="368" spans="1:13" x14ac:dyDescent="0.3">
      <c r="A368" t="s">
        <v>374</v>
      </c>
      <c r="K368" s="1" t="str">
        <f t="shared" si="10"/>
        <v>2016-01-01</v>
      </c>
      <c r="L368">
        <v>1940.23999</v>
      </c>
      <c r="M368" s="2">
        <f t="shared" si="11"/>
        <v>-5.073532197294639E-2</v>
      </c>
    </row>
    <row r="369" spans="1:13" x14ac:dyDescent="0.3">
      <c r="A369" t="s">
        <v>375</v>
      </c>
      <c r="K369" s="1" t="str">
        <f t="shared" si="10"/>
        <v>2016-02-01</v>
      </c>
      <c r="L369">
        <v>1932.2299800000001</v>
      </c>
      <c r="M369" s="2">
        <f t="shared" si="11"/>
        <v>-4.1283604302990717E-3</v>
      </c>
    </row>
    <row r="370" spans="1:13" x14ac:dyDescent="0.3">
      <c r="A370" t="s">
        <v>376</v>
      </c>
      <c r="K370" s="1" t="str">
        <f t="shared" si="10"/>
        <v>2016-03-01</v>
      </c>
      <c r="L370">
        <v>2059.73999</v>
      </c>
      <c r="M370" s="2">
        <f t="shared" si="11"/>
        <v>6.5991114577365062E-2</v>
      </c>
    </row>
    <row r="371" spans="1:13" x14ac:dyDescent="0.3">
      <c r="A371" t="s">
        <v>377</v>
      </c>
      <c r="K371" s="1" t="str">
        <f t="shared" si="10"/>
        <v>2016-04-01</v>
      </c>
      <c r="L371">
        <v>2065.3000489999999</v>
      </c>
      <c r="M371" s="2">
        <f t="shared" si="11"/>
        <v>2.6993984808731941E-3</v>
      </c>
    </row>
    <row r="372" spans="1:13" x14ac:dyDescent="0.3">
      <c r="A372" t="s">
        <v>378</v>
      </c>
      <c r="K372" s="1" t="str">
        <f t="shared" si="10"/>
        <v>2016-05-01</v>
      </c>
      <c r="L372">
        <v>2096.9499510000001</v>
      </c>
      <c r="M372" s="2">
        <f t="shared" si="11"/>
        <v>1.5324602357572603E-2</v>
      </c>
    </row>
    <row r="373" spans="1:13" x14ac:dyDescent="0.3">
      <c r="A373" t="s">
        <v>379</v>
      </c>
      <c r="K373" s="1" t="str">
        <f t="shared" si="10"/>
        <v>2016-06-01</v>
      </c>
      <c r="L373">
        <v>2098.860107</v>
      </c>
      <c r="M373" s="2">
        <f t="shared" si="11"/>
        <v>9.1092112097812539E-4</v>
      </c>
    </row>
    <row r="374" spans="1:13" x14ac:dyDescent="0.3">
      <c r="A374" t="s">
        <v>380</v>
      </c>
      <c r="K374" s="1" t="str">
        <f t="shared" si="10"/>
        <v>2016-07-01</v>
      </c>
      <c r="L374">
        <v>2173.6000979999999</v>
      </c>
      <c r="M374" s="2">
        <f t="shared" si="11"/>
        <v>3.5609801125254359E-2</v>
      </c>
    </row>
    <row r="375" spans="1:13" x14ac:dyDescent="0.3">
      <c r="A375" t="s">
        <v>381</v>
      </c>
      <c r="K375" s="1" t="str">
        <f t="shared" si="10"/>
        <v>2016-08-01</v>
      </c>
      <c r="L375">
        <v>2170.9499510000001</v>
      </c>
      <c r="M375" s="2">
        <f t="shared" si="11"/>
        <v>-1.2192431360480427E-3</v>
      </c>
    </row>
    <row r="376" spans="1:13" x14ac:dyDescent="0.3">
      <c r="A376" t="s">
        <v>382</v>
      </c>
      <c r="K376" s="1" t="str">
        <f t="shared" si="10"/>
        <v>2016-09-01</v>
      </c>
      <c r="L376">
        <v>2168.2700199999999</v>
      </c>
      <c r="M376" s="2">
        <f t="shared" si="11"/>
        <v>-1.2344508443253854E-3</v>
      </c>
    </row>
    <row r="377" spans="1:13" x14ac:dyDescent="0.3">
      <c r="A377" t="s">
        <v>383</v>
      </c>
      <c r="K377" s="1" t="str">
        <f t="shared" si="10"/>
        <v>2016-10-01</v>
      </c>
      <c r="L377">
        <v>2126.1499020000001</v>
      </c>
      <c r="M377" s="2">
        <f t="shared" si="11"/>
        <v>-1.9425679279557517E-2</v>
      </c>
    </row>
    <row r="378" spans="1:13" x14ac:dyDescent="0.3">
      <c r="A378" t="s">
        <v>384</v>
      </c>
      <c r="K378" s="1" t="str">
        <f t="shared" si="10"/>
        <v>2016-11-01</v>
      </c>
      <c r="L378">
        <v>2198.8100589999999</v>
      </c>
      <c r="M378" s="2">
        <f t="shared" si="11"/>
        <v>3.4174522187570444E-2</v>
      </c>
    </row>
    <row r="379" spans="1:13" x14ac:dyDescent="0.3">
      <c r="A379" t="s">
        <v>385</v>
      </c>
      <c r="K379" s="1" t="str">
        <f t="shared" si="10"/>
        <v>2016-12-01</v>
      </c>
      <c r="L379">
        <v>2238.830078</v>
      </c>
      <c r="M379" s="2">
        <f t="shared" si="11"/>
        <v>1.8200762196895148E-2</v>
      </c>
    </row>
    <row r="380" spans="1:13" x14ac:dyDescent="0.3">
      <c r="A380" t="s">
        <v>386</v>
      </c>
      <c r="K380" s="1" t="str">
        <f t="shared" si="10"/>
        <v>2017-01-01</v>
      </c>
      <c r="L380">
        <v>2278.8701169999999</v>
      </c>
      <c r="M380" s="2">
        <f t="shared" si="11"/>
        <v>1.7884358171464498E-2</v>
      </c>
    </row>
    <row r="381" spans="1:13" x14ac:dyDescent="0.3">
      <c r="A381" t="s">
        <v>387</v>
      </c>
      <c r="K381" s="1" t="str">
        <f t="shared" si="10"/>
        <v>2017-02-01</v>
      </c>
      <c r="L381">
        <v>2363.639893</v>
      </c>
      <c r="M381" s="2">
        <f t="shared" si="11"/>
        <v>3.7198160337279074E-2</v>
      </c>
    </row>
    <row r="382" spans="1:13" x14ac:dyDescent="0.3">
      <c r="A382" t="s">
        <v>388</v>
      </c>
      <c r="K382" s="1" t="str">
        <f t="shared" si="10"/>
        <v>2017-03-01</v>
      </c>
      <c r="L382">
        <v>2362.719971</v>
      </c>
      <c r="M382" s="2">
        <f t="shared" si="11"/>
        <v>-3.8919718808450021E-4</v>
      </c>
    </row>
    <row r="383" spans="1:13" x14ac:dyDescent="0.3">
      <c r="A383" t="s">
        <v>389</v>
      </c>
      <c r="K383" s="1" t="str">
        <f t="shared" si="10"/>
        <v>2017-04-01</v>
      </c>
      <c r="L383">
        <v>2384.1999510000001</v>
      </c>
      <c r="M383" s="2">
        <f t="shared" si="11"/>
        <v>9.0912085493182193E-3</v>
      </c>
    </row>
    <row r="384" spans="1:13" x14ac:dyDescent="0.3">
      <c r="A384" t="s">
        <v>390</v>
      </c>
      <c r="K384" s="1" t="str">
        <f t="shared" si="10"/>
        <v>2017-05-01</v>
      </c>
      <c r="L384">
        <v>2411.8000489999999</v>
      </c>
      <c r="M384" s="2">
        <f t="shared" si="11"/>
        <v>1.157625139134133E-2</v>
      </c>
    </row>
    <row r="385" spans="1:13" x14ac:dyDescent="0.3">
      <c r="A385" t="s">
        <v>391</v>
      </c>
      <c r="K385" s="1" t="str">
        <f t="shared" si="10"/>
        <v>2017-06-01</v>
      </c>
      <c r="L385">
        <v>2423.4099120000001</v>
      </c>
      <c r="M385" s="2">
        <f t="shared" si="11"/>
        <v>4.8137750908554544E-3</v>
      </c>
    </row>
    <row r="386" spans="1:13" x14ac:dyDescent="0.3">
      <c r="A386" t="s">
        <v>392</v>
      </c>
      <c r="K386" s="1" t="str">
        <f t="shared" si="10"/>
        <v>2017-07-01</v>
      </c>
      <c r="L386">
        <v>2470.3000489999999</v>
      </c>
      <c r="M386" s="2">
        <f t="shared" si="11"/>
        <v>1.9348826118030571E-2</v>
      </c>
    </row>
    <row r="387" spans="1:13" x14ac:dyDescent="0.3">
      <c r="A387" t="s">
        <v>393</v>
      </c>
      <c r="K387" s="1" t="str">
        <f t="shared" ref="K387:K422" si="12">LEFT(A387,10)</f>
        <v>2017-08-01</v>
      </c>
      <c r="L387">
        <v>2471.6499020000001</v>
      </c>
      <c r="M387" s="2">
        <f t="shared" si="11"/>
        <v>5.4643281108557318E-4</v>
      </c>
    </row>
    <row r="388" spans="1:13" x14ac:dyDescent="0.3">
      <c r="A388" t="s">
        <v>394</v>
      </c>
      <c r="K388" s="1" t="str">
        <f t="shared" si="12"/>
        <v>2017-09-01</v>
      </c>
      <c r="L388">
        <v>2519.360107</v>
      </c>
      <c r="M388" s="2">
        <f t="shared" ref="M388:M422" si="13">(L388/L387)-1</f>
        <v>1.9302978533243698E-2</v>
      </c>
    </row>
    <row r="389" spans="1:13" x14ac:dyDescent="0.3">
      <c r="A389" t="s">
        <v>395</v>
      </c>
      <c r="K389" s="1" t="str">
        <f t="shared" si="12"/>
        <v>2017-10-01</v>
      </c>
      <c r="L389">
        <v>2575.26001</v>
      </c>
      <c r="M389" s="2">
        <f t="shared" si="13"/>
        <v>2.218813533034969E-2</v>
      </c>
    </row>
    <row r="390" spans="1:13" x14ac:dyDescent="0.3">
      <c r="A390" t="s">
        <v>396</v>
      </c>
      <c r="K390" s="1" t="str">
        <f t="shared" si="12"/>
        <v>2017-11-01</v>
      </c>
      <c r="L390">
        <v>2584.8400879999999</v>
      </c>
      <c r="M390" s="2">
        <f t="shared" si="13"/>
        <v>3.7200430103365711E-3</v>
      </c>
    </row>
    <row r="391" spans="1:13" x14ac:dyDescent="0.3">
      <c r="A391" t="s">
        <v>397</v>
      </c>
      <c r="K391" s="1" t="str">
        <f t="shared" si="12"/>
        <v>2017-12-01</v>
      </c>
      <c r="L391">
        <v>2673.610107</v>
      </c>
      <c r="M391" s="2">
        <f t="shared" si="13"/>
        <v>3.4342557364422932E-2</v>
      </c>
    </row>
    <row r="392" spans="1:13" x14ac:dyDescent="0.3">
      <c r="A392" t="s">
        <v>398</v>
      </c>
      <c r="K392" s="1" t="str">
        <f t="shared" si="12"/>
        <v>2018-01-01</v>
      </c>
      <c r="L392">
        <v>2823.8100589999999</v>
      </c>
      <c r="M392" s="2">
        <f t="shared" si="13"/>
        <v>5.6178704444133087E-2</v>
      </c>
    </row>
    <row r="393" spans="1:13" x14ac:dyDescent="0.3">
      <c r="A393" t="s">
        <v>399</v>
      </c>
      <c r="K393" s="1" t="str">
        <f t="shared" si="12"/>
        <v>2018-02-01</v>
      </c>
      <c r="L393">
        <v>2713.830078</v>
      </c>
      <c r="M393" s="2">
        <f t="shared" si="13"/>
        <v>-3.8947372061896912E-2</v>
      </c>
    </row>
    <row r="394" spans="1:13" x14ac:dyDescent="0.3">
      <c r="A394" t="s">
        <v>400</v>
      </c>
      <c r="K394" s="1" t="str">
        <f t="shared" si="12"/>
        <v>2018-03-01</v>
      </c>
      <c r="L394">
        <v>2640.8701169999999</v>
      </c>
      <c r="M394" s="2">
        <f t="shared" si="13"/>
        <v>-2.6884498624825115E-2</v>
      </c>
    </row>
    <row r="395" spans="1:13" x14ac:dyDescent="0.3">
      <c r="A395" t="s">
        <v>401</v>
      </c>
      <c r="K395" s="1" t="str">
        <f t="shared" si="12"/>
        <v>2018-04-01</v>
      </c>
      <c r="L395">
        <v>2648.0500489999999</v>
      </c>
      <c r="M395" s="2">
        <f t="shared" si="13"/>
        <v>2.718775131643536E-3</v>
      </c>
    </row>
    <row r="396" spans="1:13" x14ac:dyDescent="0.3">
      <c r="A396" t="s">
        <v>402</v>
      </c>
      <c r="K396" s="1" t="str">
        <f t="shared" si="12"/>
        <v>2018-05-01</v>
      </c>
      <c r="L396">
        <v>2705.2700199999999</v>
      </c>
      <c r="M396" s="2">
        <f t="shared" si="13"/>
        <v>2.1608341965291933E-2</v>
      </c>
    </row>
    <row r="397" spans="1:13" x14ac:dyDescent="0.3">
      <c r="A397" t="s">
        <v>403</v>
      </c>
      <c r="K397" s="1" t="str">
        <f t="shared" si="12"/>
        <v>2018-06-01</v>
      </c>
      <c r="L397">
        <v>2718.3701169999999</v>
      </c>
      <c r="M397" s="2">
        <f t="shared" si="13"/>
        <v>4.8424360241865472E-3</v>
      </c>
    </row>
    <row r="398" spans="1:13" x14ac:dyDescent="0.3">
      <c r="A398" t="s">
        <v>404</v>
      </c>
      <c r="K398" s="1" t="str">
        <f t="shared" si="12"/>
        <v>2018-07-01</v>
      </c>
      <c r="L398">
        <v>2816.290039</v>
      </c>
      <c r="M398" s="2">
        <f t="shared" si="13"/>
        <v>3.6021556221367268E-2</v>
      </c>
    </row>
    <row r="399" spans="1:13" x14ac:dyDescent="0.3">
      <c r="A399" t="s">
        <v>405</v>
      </c>
      <c r="K399" s="1" t="str">
        <f t="shared" si="12"/>
        <v>2018-08-01</v>
      </c>
      <c r="L399">
        <v>2901.5200199999999</v>
      </c>
      <c r="M399" s="2">
        <f t="shared" si="13"/>
        <v>3.0263211466054596E-2</v>
      </c>
    </row>
    <row r="400" spans="1:13" x14ac:dyDescent="0.3">
      <c r="A400" t="s">
        <v>406</v>
      </c>
      <c r="K400" s="1" t="str">
        <f t="shared" si="12"/>
        <v>2018-09-01</v>
      </c>
      <c r="L400">
        <v>2913.9799800000001</v>
      </c>
      <c r="M400" s="2">
        <f t="shared" si="13"/>
        <v>4.2942871026614426E-3</v>
      </c>
    </row>
    <row r="401" spans="1:13" x14ac:dyDescent="0.3">
      <c r="A401" t="s">
        <v>407</v>
      </c>
      <c r="K401" s="1" t="str">
        <f t="shared" si="12"/>
        <v>2018-10-01</v>
      </c>
      <c r="L401">
        <v>2711.73999</v>
      </c>
      <c r="M401" s="2">
        <f t="shared" si="13"/>
        <v>-6.9403356024429486E-2</v>
      </c>
    </row>
    <row r="402" spans="1:13" x14ac:dyDescent="0.3">
      <c r="A402" t="s">
        <v>408</v>
      </c>
      <c r="K402" s="1" t="str">
        <f t="shared" si="12"/>
        <v>2018-11-01</v>
      </c>
      <c r="L402">
        <v>2760.169922</v>
      </c>
      <c r="M402" s="2">
        <f t="shared" si="13"/>
        <v>1.7859356788848979E-2</v>
      </c>
    </row>
    <row r="403" spans="1:13" x14ac:dyDescent="0.3">
      <c r="A403" t="s">
        <v>409</v>
      </c>
      <c r="K403" s="1" t="str">
        <f t="shared" si="12"/>
        <v>2018-12-01</v>
      </c>
      <c r="L403">
        <v>2506.8500979999999</v>
      </c>
      <c r="M403" s="2">
        <f t="shared" si="13"/>
        <v>-9.1776894596563907E-2</v>
      </c>
    </row>
    <row r="404" spans="1:13" x14ac:dyDescent="0.3">
      <c r="A404" t="s">
        <v>410</v>
      </c>
      <c r="K404" s="1" t="str">
        <f t="shared" si="12"/>
        <v>2019-01-01</v>
      </c>
      <c r="L404">
        <v>2704.1000979999999</v>
      </c>
      <c r="M404" s="2">
        <f t="shared" si="13"/>
        <v>7.8684401655036762E-2</v>
      </c>
    </row>
    <row r="405" spans="1:13" x14ac:dyDescent="0.3">
      <c r="A405" t="s">
        <v>411</v>
      </c>
      <c r="K405" s="1" t="str">
        <f t="shared" si="12"/>
        <v>2019-02-01</v>
      </c>
      <c r="L405">
        <v>2784.48999</v>
      </c>
      <c r="M405" s="2">
        <f t="shared" si="13"/>
        <v>2.9728889126352298E-2</v>
      </c>
    </row>
    <row r="406" spans="1:13" x14ac:dyDescent="0.3">
      <c r="A406" t="s">
        <v>412</v>
      </c>
      <c r="K406" s="1" t="str">
        <f t="shared" si="12"/>
        <v>2019-03-01</v>
      </c>
      <c r="L406">
        <v>2834.3999020000001</v>
      </c>
      <c r="M406" s="2">
        <f t="shared" si="13"/>
        <v>1.7924256211817147E-2</v>
      </c>
    </row>
    <row r="407" spans="1:13" x14ac:dyDescent="0.3">
      <c r="A407" t="s">
        <v>413</v>
      </c>
      <c r="K407" s="1" t="str">
        <f t="shared" si="12"/>
        <v>2019-04-01</v>
      </c>
      <c r="L407">
        <v>2945.830078</v>
      </c>
      <c r="M407" s="2">
        <f t="shared" si="13"/>
        <v>3.9313498395682656E-2</v>
      </c>
    </row>
    <row r="408" spans="1:13" x14ac:dyDescent="0.3">
      <c r="A408" t="s">
        <v>414</v>
      </c>
      <c r="K408" s="1" t="str">
        <f t="shared" si="12"/>
        <v>2019-05-01</v>
      </c>
      <c r="L408">
        <v>2752.0600589999999</v>
      </c>
      <c r="M408" s="2">
        <f t="shared" si="13"/>
        <v>-6.577773118928687E-2</v>
      </c>
    </row>
    <row r="409" spans="1:13" x14ac:dyDescent="0.3">
      <c r="A409" t="s">
        <v>415</v>
      </c>
      <c r="K409" s="1" t="str">
        <f t="shared" si="12"/>
        <v>2019-06-01</v>
      </c>
      <c r="L409">
        <v>2941.76001</v>
      </c>
      <c r="M409" s="2">
        <f t="shared" si="13"/>
        <v>6.8930163925612131E-2</v>
      </c>
    </row>
    <row r="410" spans="1:13" x14ac:dyDescent="0.3">
      <c r="A410" t="s">
        <v>416</v>
      </c>
      <c r="K410" s="1" t="str">
        <f t="shared" si="12"/>
        <v>2019-07-01</v>
      </c>
      <c r="L410">
        <v>2980.3798830000001</v>
      </c>
      <c r="M410" s="2">
        <f t="shared" si="13"/>
        <v>1.3128152149977756E-2</v>
      </c>
    </row>
    <row r="411" spans="1:13" x14ac:dyDescent="0.3">
      <c r="A411" t="s">
        <v>417</v>
      </c>
      <c r="K411" s="1" t="str">
        <f t="shared" si="12"/>
        <v>2019-08-01</v>
      </c>
      <c r="L411">
        <v>2926.459961</v>
      </c>
      <c r="M411" s="2">
        <f t="shared" si="13"/>
        <v>-1.8091627281326739E-2</v>
      </c>
    </row>
    <row r="412" spans="1:13" x14ac:dyDescent="0.3">
      <c r="A412" t="s">
        <v>418</v>
      </c>
      <c r="K412" s="1" t="str">
        <f t="shared" si="12"/>
        <v>2019-09-01</v>
      </c>
      <c r="L412">
        <v>2976.73999</v>
      </c>
      <c r="M412" s="2">
        <f t="shared" si="13"/>
        <v>1.7181177829208583E-2</v>
      </c>
    </row>
    <row r="413" spans="1:13" x14ac:dyDescent="0.3">
      <c r="A413" t="s">
        <v>419</v>
      </c>
      <c r="K413" s="1" t="str">
        <f t="shared" si="12"/>
        <v>2019-10-01</v>
      </c>
      <c r="L413">
        <v>3037.5600589999999</v>
      </c>
      <c r="M413" s="2">
        <f t="shared" si="13"/>
        <v>2.0431770730503063E-2</v>
      </c>
    </row>
    <row r="414" spans="1:13" x14ac:dyDescent="0.3">
      <c r="A414" t="s">
        <v>420</v>
      </c>
      <c r="K414" s="1" t="str">
        <f t="shared" si="12"/>
        <v>2019-11-01</v>
      </c>
      <c r="L414">
        <v>3140.9799800000001</v>
      </c>
      <c r="M414" s="2">
        <f t="shared" si="13"/>
        <v>3.4047037421886195E-2</v>
      </c>
    </row>
    <row r="415" spans="1:13" x14ac:dyDescent="0.3">
      <c r="A415" t="s">
        <v>421</v>
      </c>
      <c r="K415" s="1" t="str">
        <f t="shared" si="12"/>
        <v>2019-12-01</v>
      </c>
      <c r="L415">
        <v>3230.780029</v>
      </c>
      <c r="M415" s="2">
        <f t="shared" si="13"/>
        <v>2.8589818964716907E-2</v>
      </c>
    </row>
    <row r="416" spans="1:13" x14ac:dyDescent="0.3">
      <c r="A416" t="s">
        <v>422</v>
      </c>
      <c r="K416" s="1" t="str">
        <f t="shared" si="12"/>
        <v>2020-01-01</v>
      </c>
      <c r="L416">
        <v>3225.5200199999999</v>
      </c>
      <c r="M416" s="2">
        <f t="shared" si="13"/>
        <v>-1.6280925822201864E-3</v>
      </c>
    </row>
    <row r="417" spans="1:13" x14ac:dyDescent="0.3">
      <c r="A417" t="s">
        <v>423</v>
      </c>
      <c r="K417" s="1" t="str">
        <f t="shared" si="12"/>
        <v>2020-02-01</v>
      </c>
      <c r="L417">
        <v>2954.219971</v>
      </c>
      <c r="M417" s="2">
        <f t="shared" si="13"/>
        <v>-8.411048367946572E-2</v>
      </c>
    </row>
    <row r="418" spans="1:13" x14ac:dyDescent="0.3">
      <c r="A418" t="s">
        <v>424</v>
      </c>
      <c r="K418" s="1" t="str">
        <f t="shared" si="12"/>
        <v>2020-03-01</v>
      </c>
      <c r="L418">
        <v>2584.5900879999999</v>
      </c>
      <c r="M418" s="2">
        <f t="shared" si="13"/>
        <v>-0.12511928245982329</v>
      </c>
    </row>
    <row r="419" spans="1:13" x14ac:dyDescent="0.3">
      <c r="A419" t="s">
        <v>425</v>
      </c>
      <c r="K419" s="1" t="str">
        <f t="shared" si="12"/>
        <v>2020-04-01</v>
      </c>
      <c r="L419">
        <v>2912.429932</v>
      </c>
      <c r="M419" s="2">
        <f t="shared" si="13"/>
        <v>0.12684403825663826</v>
      </c>
    </row>
    <row r="420" spans="1:13" x14ac:dyDescent="0.3">
      <c r="A420" t="s">
        <v>426</v>
      </c>
      <c r="K420" s="1" t="str">
        <f t="shared" si="12"/>
        <v>2020-05-01</v>
      </c>
      <c r="L420">
        <v>3044.3100589999999</v>
      </c>
      <c r="M420" s="2">
        <f t="shared" si="13"/>
        <v>4.5281819676065593E-2</v>
      </c>
    </row>
    <row r="421" spans="1:13" x14ac:dyDescent="0.3">
      <c r="A421" t="s">
        <v>427</v>
      </c>
      <c r="K421" s="1" t="str">
        <f t="shared" si="12"/>
        <v>2020-06-01</v>
      </c>
      <c r="L421">
        <v>3100.290039</v>
      </c>
      <c r="M421" s="2">
        <f t="shared" si="13"/>
        <v>1.8388396357494674E-2</v>
      </c>
    </row>
    <row r="422" spans="1:13" x14ac:dyDescent="0.3">
      <c r="A422" t="s">
        <v>848</v>
      </c>
      <c r="K422" s="1" t="str">
        <f t="shared" si="12"/>
        <v>2020-07-01</v>
      </c>
      <c r="L422">
        <v>3271.1201169999999</v>
      </c>
      <c r="M422" s="2">
        <f t="shared" si="13"/>
        <v>5.5101321441235696E-2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tabColor theme="8" tint="0.79998168889431442"/>
  </sheetPr>
  <dimension ref="A1:D13"/>
  <sheetViews>
    <sheetView workbookViewId="0">
      <selection activeCell="A2" sqref="A2"/>
    </sheetView>
  </sheetViews>
  <sheetFormatPr defaultColWidth="8.88671875" defaultRowHeight="14.4" x14ac:dyDescent="0.3"/>
  <cols>
    <col min="1" max="1" width="8.88671875" style="3"/>
    <col min="2" max="2" width="16.5546875" style="3" customWidth="1"/>
    <col min="3" max="3" width="18.88671875" style="3" bestFit="1" customWidth="1"/>
    <col min="4" max="4" width="12.44140625" style="3" bestFit="1" customWidth="1"/>
    <col min="5" max="16384" width="8.88671875" style="3"/>
  </cols>
  <sheetData>
    <row r="1" spans="1:4" ht="15" thickBot="1" x14ac:dyDescent="0.35">
      <c r="A1" s="43" t="str">
        <f>_xlfn.CONCAT("If you invest ",ROUND(D5,0)," USD for ",ROUND(D4/12,1), " years on the ", C12," index. By the time of expected retirement, you accumulate ",ROUND(-D6,0)," USD. This fortune enable you to withdraw ",ROUND(D9,0)," USD every month for ",ROUND(D8,0)," months, i.e. ",ROUND(D8/12,1)," years.")</f>
        <v>If you invest 264 USD for 21 years on the S&amp;P 500 index. By the time of expected retirement, you accumulate 28332 USD. This fortune enable you to withdraw 1311 USD every month for 20 months, i.e. 1,7 years.</v>
      </c>
    </row>
    <row r="2" spans="1:4" x14ac:dyDescent="0.3">
      <c r="B2" s="64" t="s">
        <v>860</v>
      </c>
      <c r="C2" s="65"/>
      <c r="D2" s="66"/>
    </row>
    <row r="3" spans="1:4" x14ac:dyDescent="0.3">
      <c r="B3" s="30" t="s">
        <v>854</v>
      </c>
      <c r="C3" s="21"/>
      <c r="D3" s="22"/>
    </row>
    <row r="4" spans="1:4" x14ac:dyDescent="0.3">
      <c r="B4" s="30"/>
      <c r="C4" s="21" t="s">
        <v>855</v>
      </c>
      <c r="D4" s="22">
        <v>252</v>
      </c>
    </row>
    <row r="5" spans="1:4" x14ac:dyDescent="0.3">
      <c r="B5" s="30"/>
      <c r="C5" s="21" t="s">
        <v>856</v>
      </c>
      <c r="D5" s="40">
        <f>PMT(D12,D4,D6)</f>
        <v>263.51267658851447</v>
      </c>
    </row>
    <row r="6" spans="1:4" x14ac:dyDescent="0.3">
      <c r="B6" s="30"/>
      <c r="C6" s="21" t="s">
        <v>857</v>
      </c>
      <c r="D6" s="38">
        <f>FV(D12,D8,D9)</f>
        <v>-28332.380482577973</v>
      </c>
    </row>
    <row r="7" spans="1:4" x14ac:dyDescent="0.3">
      <c r="B7" s="30" t="s">
        <v>858</v>
      </c>
      <c r="C7" s="21"/>
      <c r="D7" s="39"/>
    </row>
    <row r="8" spans="1:4" x14ac:dyDescent="0.3">
      <c r="B8" s="30"/>
      <c r="C8" s="21" t="s">
        <v>855</v>
      </c>
      <c r="D8" s="38">
        <v>20</v>
      </c>
    </row>
    <row r="9" spans="1:4" x14ac:dyDescent="0.3">
      <c r="B9" s="30"/>
      <c r="C9" s="21" t="s">
        <v>859</v>
      </c>
      <c r="D9" s="38">
        <v>1311</v>
      </c>
    </row>
    <row r="10" spans="1:4" x14ac:dyDescent="0.3">
      <c r="B10" s="30"/>
      <c r="C10" s="21"/>
      <c r="D10" s="41"/>
    </row>
    <row r="11" spans="1:4" x14ac:dyDescent="0.3">
      <c r="B11" s="30" t="s">
        <v>863</v>
      </c>
      <c r="C11" s="21"/>
      <c r="D11" s="22"/>
    </row>
    <row r="12" spans="1:4" ht="15" thickBot="1" x14ac:dyDescent="0.35">
      <c r="B12" s="31"/>
      <c r="C12" s="32" t="s">
        <v>882</v>
      </c>
      <c r="D12" s="42">
        <v>8.0753412546213238E-3</v>
      </c>
    </row>
    <row r="13" spans="1:4" x14ac:dyDescent="0.3">
      <c r="D13" s="37"/>
    </row>
  </sheetData>
  <mergeCells count="1">
    <mergeCell ref="B2:D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tabColor theme="8" tint="0.59999389629810485"/>
  </sheetPr>
  <dimension ref="A1:M422"/>
  <sheetViews>
    <sheetView workbookViewId="0">
      <selection activeCell="D9" sqref="D9"/>
    </sheetView>
  </sheetViews>
  <sheetFormatPr defaultRowHeight="14.4" x14ac:dyDescent="0.3"/>
  <cols>
    <col min="1" max="1" width="8.88671875" style="3"/>
    <col min="2" max="2" width="15.6640625" style="3" customWidth="1"/>
    <col min="3" max="3" width="18.88671875" style="3" bestFit="1" customWidth="1"/>
    <col min="4" max="4" width="12.44140625" style="3" bestFit="1" customWidth="1"/>
    <col min="5" max="16384" width="8.88671875" style="3"/>
  </cols>
  <sheetData>
    <row r="1" spans="1:13" ht="15" thickBot="1" x14ac:dyDescent="0.35">
      <c r="A1" s="43" t="str">
        <f>_xlfn.CONCAT("If you invest ",D5," USD for ",ROUND(D4/12,1), " years on the ", C12," index. By the time of expected retirement, you accumulate ",ROUND(-D6,0)," USD. This fortune enable you to withdraw ",ROUND(D9,0)," USD every month for ",ROUND(D8,0)," months, i.e. ",ROUND(D8/12,1)," years.")</f>
        <v>If you invest 494 USD for 30 years on the S&amp;P 500 index. By the time of expected retirement, you accumulate 1054003 USD. This fortune enable you to withdraw 1122 USD every month for 267 months, i.e. 22,3 years.</v>
      </c>
    </row>
    <row r="2" spans="1:13" x14ac:dyDescent="0.3">
      <c r="B2" s="64" t="s">
        <v>861</v>
      </c>
      <c r="C2" s="65"/>
      <c r="D2" s="66"/>
    </row>
    <row r="3" spans="1:13" x14ac:dyDescent="0.3">
      <c r="B3" s="30" t="s">
        <v>854</v>
      </c>
      <c r="C3" s="21"/>
      <c r="D3" s="22"/>
      <c r="M3" s="35"/>
    </row>
    <row r="4" spans="1:13" x14ac:dyDescent="0.3">
      <c r="B4" s="30"/>
      <c r="C4" s="21" t="s">
        <v>855</v>
      </c>
      <c r="D4" s="22">
        <v>360</v>
      </c>
      <c r="M4" s="35"/>
    </row>
    <row r="5" spans="1:13" x14ac:dyDescent="0.3">
      <c r="B5" s="30"/>
      <c r="C5" s="21" t="s">
        <v>856</v>
      </c>
      <c r="D5" s="39">
        <v>494</v>
      </c>
      <c r="M5" s="35"/>
    </row>
    <row r="6" spans="1:13" x14ac:dyDescent="0.3">
      <c r="B6" s="30"/>
      <c r="C6" s="21" t="s">
        <v>857</v>
      </c>
      <c r="D6" s="38">
        <f>FV(D12,D4,D5,,1)</f>
        <v>-1054002.7364464784</v>
      </c>
      <c r="M6" s="35"/>
    </row>
    <row r="7" spans="1:13" x14ac:dyDescent="0.3">
      <c r="B7" s="30" t="s">
        <v>858</v>
      </c>
      <c r="C7" s="21"/>
      <c r="D7" s="39"/>
      <c r="M7" s="35"/>
    </row>
    <row r="8" spans="1:13" x14ac:dyDescent="0.3">
      <c r="B8" s="30"/>
      <c r="C8" s="21" t="s">
        <v>855</v>
      </c>
      <c r="D8" s="40">
        <f>-NPER(D12,D9,-D6)</f>
        <v>267.33193269508575</v>
      </c>
      <c r="M8" s="35"/>
    </row>
    <row r="9" spans="1:13" x14ac:dyDescent="0.3">
      <c r="B9" s="30"/>
      <c r="C9" s="21" t="s">
        <v>859</v>
      </c>
      <c r="D9" s="38">
        <v>1122</v>
      </c>
      <c r="M9" s="35"/>
    </row>
    <row r="10" spans="1:13" x14ac:dyDescent="0.3">
      <c r="B10" s="30"/>
      <c r="C10" s="21"/>
      <c r="D10" s="41"/>
      <c r="M10" s="35"/>
    </row>
    <row r="11" spans="1:13" x14ac:dyDescent="0.3">
      <c r="B11" s="30" t="s">
        <v>5</v>
      </c>
      <c r="C11" s="21"/>
      <c r="D11" s="22"/>
      <c r="M11" s="35"/>
    </row>
    <row r="12" spans="1:13" ht="15" thickBot="1" x14ac:dyDescent="0.35">
      <c r="B12" s="31"/>
      <c r="C12" s="32" t="s">
        <v>882</v>
      </c>
      <c r="D12" s="42">
        <v>8.0753412546213238E-3</v>
      </c>
      <c r="M12" s="35"/>
    </row>
    <row r="13" spans="1:13" x14ac:dyDescent="0.3">
      <c r="D13" s="37"/>
      <c r="M13" s="35"/>
    </row>
    <row r="14" spans="1:13" x14ac:dyDescent="0.3">
      <c r="M14" s="35"/>
    </row>
    <row r="15" spans="1:13" x14ac:dyDescent="0.3">
      <c r="M15" s="35"/>
    </row>
    <row r="16" spans="1:13" x14ac:dyDescent="0.3">
      <c r="M16" s="35"/>
    </row>
    <row r="17" spans="13:13" x14ac:dyDescent="0.3">
      <c r="M17" s="35"/>
    </row>
    <row r="18" spans="13:13" x14ac:dyDescent="0.3">
      <c r="M18" s="35"/>
    </row>
    <row r="19" spans="13:13" x14ac:dyDescent="0.3">
      <c r="M19" s="35"/>
    </row>
    <row r="20" spans="13:13" x14ac:dyDescent="0.3">
      <c r="M20" s="35"/>
    </row>
    <row r="21" spans="13:13" x14ac:dyDescent="0.3">
      <c r="M21" s="35"/>
    </row>
    <row r="22" spans="13:13" x14ac:dyDescent="0.3">
      <c r="M22" s="35"/>
    </row>
    <row r="23" spans="13:13" x14ac:dyDescent="0.3">
      <c r="M23" s="35"/>
    </row>
    <row r="24" spans="13:13" x14ac:dyDescent="0.3">
      <c r="M24" s="35"/>
    </row>
    <row r="25" spans="13:13" x14ac:dyDescent="0.3">
      <c r="M25" s="35"/>
    </row>
    <row r="26" spans="13:13" x14ac:dyDescent="0.3">
      <c r="M26" s="35"/>
    </row>
    <row r="27" spans="13:13" x14ac:dyDescent="0.3">
      <c r="M27" s="35"/>
    </row>
    <row r="28" spans="13:13" x14ac:dyDescent="0.3">
      <c r="M28" s="35"/>
    </row>
    <row r="29" spans="13:13" x14ac:dyDescent="0.3">
      <c r="M29" s="35"/>
    </row>
    <row r="30" spans="13:13" x14ac:dyDescent="0.3">
      <c r="M30" s="35"/>
    </row>
    <row r="31" spans="13:13" x14ac:dyDescent="0.3">
      <c r="M31" s="35"/>
    </row>
    <row r="32" spans="13:13" x14ac:dyDescent="0.3">
      <c r="M32" s="35"/>
    </row>
    <row r="33" spans="13:13" x14ac:dyDescent="0.3">
      <c r="M33" s="35"/>
    </row>
    <row r="34" spans="13:13" x14ac:dyDescent="0.3">
      <c r="M34" s="35"/>
    </row>
    <row r="35" spans="13:13" x14ac:dyDescent="0.3">
      <c r="M35" s="35"/>
    </row>
    <row r="36" spans="13:13" x14ac:dyDescent="0.3">
      <c r="M36" s="35"/>
    </row>
    <row r="37" spans="13:13" x14ac:dyDescent="0.3">
      <c r="M37" s="35"/>
    </row>
    <row r="38" spans="13:13" x14ac:dyDescent="0.3">
      <c r="M38" s="35"/>
    </row>
    <row r="39" spans="13:13" x14ac:dyDescent="0.3">
      <c r="M39" s="35"/>
    </row>
    <row r="40" spans="13:13" x14ac:dyDescent="0.3">
      <c r="M40" s="35"/>
    </row>
    <row r="41" spans="13:13" x14ac:dyDescent="0.3">
      <c r="M41" s="35"/>
    </row>
    <row r="42" spans="13:13" x14ac:dyDescent="0.3">
      <c r="M42" s="35"/>
    </row>
    <row r="43" spans="13:13" x14ac:dyDescent="0.3">
      <c r="M43" s="35"/>
    </row>
    <row r="44" spans="13:13" x14ac:dyDescent="0.3">
      <c r="M44" s="35"/>
    </row>
    <row r="45" spans="13:13" x14ac:dyDescent="0.3">
      <c r="M45" s="35"/>
    </row>
    <row r="46" spans="13:13" x14ac:dyDescent="0.3">
      <c r="M46" s="35"/>
    </row>
    <row r="47" spans="13:13" x14ac:dyDescent="0.3">
      <c r="M47" s="35"/>
    </row>
    <row r="48" spans="13:13" x14ac:dyDescent="0.3">
      <c r="M48" s="35"/>
    </row>
    <row r="49" spans="13:13" x14ac:dyDescent="0.3">
      <c r="M49" s="35"/>
    </row>
    <row r="50" spans="13:13" x14ac:dyDescent="0.3">
      <c r="M50" s="35"/>
    </row>
    <row r="51" spans="13:13" x14ac:dyDescent="0.3">
      <c r="M51" s="35"/>
    </row>
    <row r="52" spans="13:13" x14ac:dyDescent="0.3">
      <c r="M52" s="35"/>
    </row>
    <row r="53" spans="13:13" x14ac:dyDescent="0.3">
      <c r="M53" s="35"/>
    </row>
    <row r="54" spans="13:13" x14ac:dyDescent="0.3">
      <c r="M54" s="35"/>
    </row>
    <row r="55" spans="13:13" x14ac:dyDescent="0.3">
      <c r="M55" s="35"/>
    </row>
    <row r="56" spans="13:13" x14ac:dyDescent="0.3">
      <c r="M56" s="35"/>
    </row>
    <row r="57" spans="13:13" x14ac:dyDescent="0.3">
      <c r="M57" s="35"/>
    </row>
    <row r="58" spans="13:13" x14ac:dyDescent="0.3">
      <c r="M58" s="35"/>
    </row>
    <row r="59" spans="13:13" x14ac:dyDescent="0.3">
      <c r="M59" s="35"/>
    </row>
    <row r="60" spans="13:13" x14ac:dyDescent="0.3">
      <c r="M60" s="35"/>
    </row>
    <row r="61" spans="13:13" x14ac:dyDescent="0.3">
      <c r="M61" s="35"/>
    </row>
    <row r="62" spans="13:13" x14ac:dyDescent="0.3">
      <c r="M62" s="35"/>
    </row>
    <row r="63" spans="13:13" x14ac:dyDescent="0.3">
      <c r="M63" s="35"/>
    </row>
    <row r="64" spans="13:13" x14ac:dyDescent="0.3">
      <c r="M64" s="35"/>
    </row>
    <row r="65" spans="13:13" x14ac:dyDescent="0.3">
      <c r="M65" s="35"/>
    </row>
    <row r="66" spans="13:13" x14ac:dyDescent="0.3">
      <c r="M66" s="35"/>
    </row>
    <row r="67" spans="13:13" x14ac:dyDescent="0.3">
      <c r="M67" s="35"/>
    </row>
    <row r="68" spans="13:13" x14ac:dyDescent="0.3">
      <c r="M68" s="35"/>
    </row>
    <row r="69" spans="13:13" x14ac:dyDescent="0.3">
      <c r="M69" s="35"/>
    </row>
    <row r="70" spans="13:13" x14ac:dyDescent="0.3">
      <c r="M70" s="35"/>
    </row>
    <row r="71" spans="13:13" x14ac:dyDescent="0.3">
      <c r="M71" s="35"/>
    </row>
    <row r="72" spans="13:13" x14ac:dyDescent="0.3">
      <c r="M72" s="35"/>
    </row>
    <row r="73" spans="13:13" x14ac:dyDescent="0.3">
      <c r="M73" s="35"/>
    </row>
    <row r="74" spans="13:13" x14ac:dyDescent="0.3">
      <c r="M74" s="35"/>
    </row>
    <row r="75" spans="13:13" x14ac:dyDescent="0.3">
      <c r="M75" s="35"/>
    </row>
    <row r="76" spans="13:13" x14ac:dyDescent="0.3">
      <c r="M76" s="35"/>
    </row>
    <row r="77" spans="13:13" x14ac:dyDescent="0.3">
      <c r="M77" s="35"/>
    </row>
    <row r="78" spans="13:13" x14ac:dyDescent="0.3">
      <c r="M78" s="35"/>
    </row>
    <row r="79" spans="13:13" x14ac:dyDescent="0.3">
      <c r="M79" s="35"/>
    </row>
    <row r="80" spans="13:13" x14ac:dyDescent="0.3">
      <c r="M80" s="35"/>
    </row>
    <row r="81" spans="13:13" x14ac:dyDescent="0.3">
      <c r="M81" s="35"/>
    </row>
    <row r="82" spans="13:13" x14ac:dyDescent="0.3">
      <c r="M82" s="35"/>
    </row>
    <row r="83" spans="13:13" x14ac:dyDescent="0.3">
      <c r="M83" s="35"/>
    </row>
    <row r="84" spans="13:13" x14ac:dyDescent="0.3">
      <c r="M84" s="35"/>
    </row>
    <row r="85" spans="13:13" x14ac:dyDescent="0.3">
      <c r="M85" s="35"/>
    </row>
    <row r="86" spans="13:13" x14ac:dyDescent="0.3">
      <c r="M86" s="35"/>
    </row>
    <row r="87" spans="13:13" x14ac:dyDescent="0.3">
      <c r="M87" s="35"/>
    </row>
    <row r="88" spans="13:13" x14ac:dyDescent="0.3">
      <c r="M88" s="35"/>
    </row>
    <row r="89" spans="13:13" x14ac:dyDescent="0.3">
      <c r="M89" s="35"/>
    </row>
    <row r="90" spans="13:13" x14ac:dyDescent="0.3">
      <c r="M90" s="35"/>
    </row>
    <row r="91" spans="13:13" x14ac:dyDescent="0.3">
      <c r="M91" s="35"/>
    </row>
    <row r="92" spans="13:13" x14ac:dyDescent="0.3">
      <c r="M92" s="35"/>
    </row>
    <row r="93" spans="13:13" x14ac:dyDescent="0.3">
      <c r="M93" s="35"/>
    </row>
    <row r="94" spans="13:13" x14ac:dyDescent="0.3">
      <c r="M94" s="35"/>
    </row>
    <row r="95" spans="13:13" x14ac:dyDescent="0.3">
      <c r="M95" s="35"/>
    </row>
    <row r="96" spans="13:13" x14ac:dyDescent="0.3">
      <c r="M96" s="35"/>
    </row>
    <row r="97" spans="13:13" x14ac:dyDescent="0.3">
      <c r="M97" s="35"/>
    </row>
    <row r="98" spans="13:13" x14ac:dyDescent="0.3">
      <c r="M98" s="35"/>
    </row>
    <row r="99" spans="13:13" x14ac:dyDescent="0.3">
      <c r="M99" s="35"/>
    </row>
    <row r="100" spans="13:13" x14ac:dyDescent="0.3">
      <c r="M100" s="35"/>
    </row>
    <row r="101" spans="13:13" x14ac:dyDescent="0.3">
      <c r="M101" s="35"/>
    </row>
    <row r="102" spans="13:13" x14ac:dyDescent="0.3">
      <c r="M102" s="35"/>
    </row>
    <row r="103" spans="13:13" x14ac:dyDescent="0.3">
      <c r="M103" s="35"/>
    </row>
    <row r="104" spans="13:13" x14ac:dyDescent="0.3">
      <c r="M104" s="35"/>
    </row>
    <row r="105" spans="13:13" x14ac:dyDescent="0.3">
      <c r="M105" s="35"/>
    </row>
    <row r="106" spans="13:13" x14ac:dyDescent="0.3">
      <c r="M106" s="35"/>
    </row>
    <row r="107" spans="13:13" x14ac:dyDescent="0.3">
      <c r="M107" s="35"/>
    </row>
    <row r="108" spans="13:13" x14ac:dyDescent="0.3">
      <c r="M108" s="35"/>
    </row>
    <row r="109" spans="13:13" x14ac:dyDescent="0.3">
      <c r="M109" s="35"/>
    </row>
    <row r="110" spans="13:13" x14ac:dyDescent="0.3">
      <c r="M110" s="35"/>
    </row>
    <row r="111" spans="13:13" x14ac:dyDescent="0.3">
      <c r="M111" s="35"/>
    </row>
    <row r="112" spans="13:13" x14ac:dyDescent="0.3">
      <c r="M112" s="35"/>
    </row>
    <row r="113" spans="13:13" x14ac:dyDescent="0.3">
      <c r="M113" s="35"/>
    </row>
    <row r="114" spans="13:13" x14ac:dyDescent="0.3">
      <c r="M114" s="35"/>
    </row>
    <row r="115" spans="13:13" x14ac:dyDescent="0.3">
      <c r="M115" s="35"/>
    </row>
    <row r="116" spans="13:13" x14ac:dyDescent="0.3">
      <c r="M116" s="35"/>
    </row>
    <row r="117" spans="13:13" x14ac:dyDescent="0.3">
      <c r="M117" s="35"/>
    </row>
    <row r="118" spans="13:13" x14ac:dyDescent="0.3">
      <c r="M118" s="35"/>
    </row>
    <row r="119" spans="13:13" x14ac:dyDescent="0.3">
      <c r="M119" s="35"/>
    </row>
    <row r="120" spans="13:13" x14ac:dyDescent="0.3">
      <c r="M120" s="35"/>
    </row>
    <row r="121" spans="13:13" x14ac:dyDescent="0.3">
      <c r="M121" s="35"/>
    </row>
    <row r="122" spans="13:13" x14ac:dyDescent="0.3">
      <c r="M122" s="35"/>
    </row>
    <row r="123" spans="13:13" x14ac:dyDescent="0.3">
      <c r="M123" s="35"/>
    </row>
    <row r="124" spans="13:13" x14ac:dyDescent="0.3">
      <c r="M124" s="35"/>
    </row>
    <row r="125" spans="13:13" x14ac:dyDescent="0.3">
      <c r="M125" s="35"/>
    </row>
    <row r="126" spans="13:13" x14ac:dyDescent="0.3">
      <c r="M126" s="35"/>
    </row>
    <row r="127" spans="13:13" x14ac:dyDescent="0.3">
      <c r="M127" s="35"/>
    </row>
    <row r="128" spans="13:13" x14ac:dyDescent="0.3">
      <c r="M128" s="35"/>
    </row>
    <row r="129" spans="13:13" x14ac:dyDescent="0.3">
      <c r="M129" s="35"/>
    </row>
    <row r="130" spans="13:13" x14ac:dyDescent="0.3">
      <c r="M130" s="35"/>
    </row>
    <row r="131" spans="13:13" x14ac:dyDescent="0.3">
      <c r="M131" s="35"/>
    </row>
    <row r="132" spans="13:13" x14ac:dyDescent="0.3">
      <c r="M132" s="35"/>
    </row>
    <row r="133" spans="13:13" x14ac:dyDescent="0.3">
      <c r="M133" s="35"/>
    </row>
    <row r="134" spans="13:13" x14ac:dyDescent="0.3">
      <c r="M134" s="35"/>
    </row>
    <row r="135" spans="13:13" x14ac:dyDescent="0.3">
      <c r="M135" s="35"/>
    </row>
    <row r="136" spans="13:13" x14ac:dyDescent="0.3">
      <c r="M136" s="35"/>
    </row>
    <row r="137" spans="13:13" x14ac:dyDescent="0.3">
      <c r="M137" s="35"/>
    </row>
    <row r="138" spans="13:13" x14ac:dyDescent="0.3">
      <c r="M138" s="35"/>
    </row>
    <row r="139" spans="13:13" x14ac:dyDescent="0.3">
      <c r="M139" s="35"/>
    </row>
    <row r="140" spans="13:13" x14ac:dyDescent="0.3">
      <c r="M140" s="35"/>
    </row>
    <row r="141" spans="13:13" x14ac:dyDescent="0.3">
      <c r="M141" s="35"/>
    </row>
    <row r="142" spans="13:13" x14ac:dyDescent="0.3">
      <c r="M142" s="35"/>
    </row>
    <row r="143" spans="13:13" x14ac:dyDescent="0.3">
      <c r="M143" s="35"/>
    </row>
    <row r="144" spans="13:13" x14ac:dyDescent="0.3">
      <c r="M144" s="35"/>
    </row>
    <row r="145" spans="13:13" x14ac:dyDescent="0.3">
      <c r="M145" s="35"/>
    </row>
    <row r="146" spans="13:13" x14ac:dyDescent="0.3">
      <c r="M146" s="35"/>
    </row>
    <row r="147" spans="13:13" x14ac:dyDescent="0.3">
      <c r="M147" s="35"/>
    </row>
    <row r="148" spans="13:13" x14ac:dyDescent="0.3">
      <c r="M148" s="35"/>
    </row>
    <row r="149" spans="13:13" x14ac:dyDescent="0.3">
      <c r="M149" s="35"/>
    </row>
    <row r="150" spans="13:13" x14ac:dyDescent="0.3">
      <c r="M150" s="35"/>
    </row>
    <row r="151" spans="13:13" x14ac:dyDescent="0.3">
      <c r="M151" s="35"/>
    </row>
    <row r="152" spans="13:13" x14ac:dyDescent="0.3">
      <c r="M152" s="35"/>
    </row>
    <row r="153" spans="13:13" x14ac:dyDescent="0.3">
      <c r="M153" s="35"/>
    </row>
    <row r="154" spans="13:13" x14ac:dyDescent="0.3">
      <c r="M154" s="35"/>
    </row>
    <row r="155" spans="13:13" x14ac:dyDescent="0.3">
      <c r="M155" s="35"/>
    </row>
    <row r="156" spans="13:13" x14ac:dyDescent="0.3">
      <c r="M156" s="35"/>
    </row>
    <row r="157" spans="13:13" x14ac:dyDescent="0.3">
      <c r="M157" s="35"/>
    </row>
    <row r="158" spans="13:13" x14ac:dyDescent="0.3">
      <c r="M158" s="35"/>
    </row>
    <row r="159" spans="13:13" x14ac:dyDescent="0.3">
      <c r="M159" s="35"/>
    </row>
    <row r="160" spans="13:13" x14ac:dyDescent="0.3">
      <c r="M160" s="35"/>
    </row>
    <row r="161" spans="13:13" x14ac:dyDescent="0.3">
      <c r="M161" s="35"/>
    </row>
    <row r="162" spans="13:13" x14ac:dyDescent="0.3">
      <c r="M162" s="35"/>
    </row>
    <row r="163" spans="13:13" x14ac:dyDescent="0.3">
      <c r="M163" s="35"/>
    </row>
    <row r="164" spans="13:13" x14ac:dyDescent="0.3">
      <c r="M164" s="35"/>
    </row>
    <row r="165" spans="13:13" x14ac:dyDescent="0.3">
      <c r="M165" s="35"/>
    </row>
    <row r="166" spans="13:13" x14ac:dyDescent="0.3">
      <c r="M166" s="35"/>
    </row>
    <row r="167" spans="13:13" x14ac:dyDescent="0.3">
      <c r="M167" s="35"/>
    </row>
    <row r="168" spans="13:13" x14ac:dyDescent="0.3">
      <c r="M168" s="35"/>
    </row>
    <row r="169" spans="13:13" x14ac:dyDescent="0.3">
      <c r="M169" s="35"/>
    </row>
    <row r="170" spans="13:13" x14ac:dyDescent="0.3">
      <c r="M170" s="35"/>
    </row>
    <row r="171" spans="13:13" x14ac:dyDescent="0.3">
      <c r="M171" s="35"/>
    </row>
    <row r="172" spans="13:13" x14ac:dyDescent="0.3">
      <c r="M172" s="35"/>
    </row>
    <row r="173" spans="13:13" x14ac:dyDescent="0.3">
      <c r="M173" s="35"/>
    </row>
    <row r="174" spans="13:13" x14ac:dyDescent="0.3">
      <c r="M174" s="35"/>
    </row>
    <row r="175" spans="13:13" x14ac:dyDescent="0.3">
      <c r="M175" s="35"/>
    </row>
    <row r="176" spans="13:13" x14ac:dyDescent="0.3">
      <c r="M176" s="35"/>
    </row>
    <row r="177" spans="13:13" x14ac:dyDescent="0.3">
      <c r="M177" s="35"/>
    </row>
    <row r="178" spans="13:13" x14ac:dyDescent="0.3">
      <c r="M178" s="35"/>
    </row>
    <row r="179" spans="13:13" x14ac:dyDescent="0.3">
      <c r="M179" s="35"/>
    </row>
    <row r="180" spans="13:13" x14ac:dyDescent="0.3">
      <c r="M180" s="35"/>
    </row>
    <row r="181" spans="13:13" x14ac:dyDescent="0.3">
      <c r="M181" s="35"/>
    </row>
    <row r="182" spans="13:13" x14ac:dyDescent="0.3">
      <c r="M182" s="35"/>
    </row>
    <row r="183" spans="13:13" x14ac:dyDescent="0.3">
      <c r="M183" s="35"/>
    </row>
    <row r="184" spans="13:13" x14ac:dyDescent="0.3">
      <c r="M184" s="35"/>
    </row>
    <row r="185" spans="13:13" x14ac:dyDescent="0.3">
      <c r="M185" s="35"/>
    </row>
    <row r="186" spans="13:13" x14ac:dyDescent="0.3">
      <c r="M186" s="35"/>
    </row>
    <row r="187" spans="13:13" x14ac:dyDescent="0.3">
      <c r="M187" s="35"/>
    </row>
    <row r="188" spans="13:13" x14ac:dyDescent="0.3">
      <c r="M188" s="35"/>
    </row>
    <row r="189" spans="13:13" x14ac:dyDescent="0.3">
      <c r="M189" s="35"/>
    </row>
    <row r="190" spans="13:13" x14ac:dyDescent="0.3">
      <c r="M190" s="35"/>
    </row>
    <row r="191" spans="13:13" x14ac:dyDescent="0.3">
      <c r="M191" s="35"/>
    </row>
    <row r="192" spans="13:13" x14ac:dyDescent="0.3">
      <c r="M192" s="35"/>
    </row>
    <row r="193" spans="13:13" x14ac:dyDescent="0.3">
      <c r="M193" s="35"/>
    </row>
    <row r="194" spans="13:13" x14ac:dyDescent="0.3">
      <c r="M194" s="35"/>
    </row>
    <row r="195" spans="13:13" x14ac:dyDescent="0.3">
      <c r="M195" s="35"/>
    </row>
    <row r="196" spans="13:13" x14ac:dyDescent="0.3">
      <c r="M196" s="35"/>
    </row>
    <row r="197" spans="13:13" x14ac:dyDescent="0.3">
      <c r="M197" s="35"/>
    </row>
    <row r="198" spans="13:13" x14ac:dyDescent="0.3">
      <c r="M198" s="35"/>
    </row>
    <row r="199" spans="13:13" x14ac:dyDescent="0.3">
      <c r="M199" s="35"/>
    </row>
    <row r="200" spans="13:13" x14ac:dyDescent="0.3">
      <c r="M200" s="35"/>
    </row>
    <row r="201" spans="13:13" x14ac:dyDescent="0.3">
      <c r="M201" s="35"/>
    </row>
    <row r="202" spans="13:13" x14ac:dyDescent="0.3">
      <c r="M202" s="35"/>
    </row>
    <row r="203" spans="13:13" x14ac:dyDescent="0.3">
      <c r="M203" s="35"/>
    </row>
    <row r="204" spans="13:13" x14ac:dyDescent="0.3">
      <c r="M204" s="35"/>
    </row>
    <row r="205" spans="13:13" x14ac:dyDescent="0.3">
      <c r="M205" s="35"/>
    </row>
    <row r="206" spans="13:13" x14ac:dyDescent="0.3">
      <c r="M206" s="35"/>
    </row>
    <row r="207" spans="13:13" x14ac:dyDescent="0.3">
      <c r="M207" s="35"/>
    </row>
    <row r="208" spans="13:13" x14ac:dyDescent="0.3">
      <c r="M208" s="35"/>
    </row>
    <row r="209" spans="13:13" x14ac:dyDescent="0.3">
      <c r="M209" s="35"/>
    </row>
    <row r="210" spans="13:13" x14ac:dyDescent="0.3">
      <c r="M210" s="35"/>
    </row>
    <row r="211" spans="13:13" x14ac:dyDescent="0.3">
      <c r="M211" s="35"/>
    </row>
    <row r="212" spans="13:13" x14ac:dyDescent="0.3">
      <c r="M212" s="35"/>
    </row>
    <row r="213" spans="13:13" x14ac:dyDescent="0.3">
      <c r="M213" s="35"/>
    </row>
    <row r="214" spans="13:13" x14ac:dyDescent="0.3">
      <c r="M214" s="35"/>
    </row>
    <row r="215" spans="13:13" x14ac:dyDescent="0.3">
      <c r="M215" s="35"/>
    </row>
    <row r="216" spans="13:13" x14ac:dyDescent="0.3">
      <c r="M216" s="35"/>
    </row>
    <row r="217" spans="13:13" x14ac:dyDescent="0.3">
      <c r="M217" s="35"/>
    </row>
    <row r="218" spans="13:13" x14ac:dyDescent="0.3">
      <c r="M218" s="35"/>
    </row>
    <row r="219" spans="13:13" x14ac:dyDescent="0.3">
      <c r="M219" s="35"/>
    </row>
    <row r="220" spans="13:13" x14ac:dyDescent="0.3">
      <c r="M220" s="35"/>
    </row>
    <row r="221" spans="13:13" x14ac:dyDescent="0.3">
      <c r="M221" s="35"/>
    </row>
    <row r="222" spans="13:13" x14ac:dyDescent="0.3">
      <c r="M222" s="35"/>
    </row>
    <row r="223" spans="13:13" x14ac:dyDescent="0.3">
      <c r="M223" s="35"/>
    </row>
    <row r="224" spans="13:13" x14ac:dyDescent="0.3">
      <c r="M224" s="35"/>
    </row>
    <row r="225" spans="13:13" x14ac:dyDescent="0.3">
      <c r="M225" s="35"/>
    </row>
    <row r="226" spans="13:13" x14ac:dyDescent="0.3">
      <c r="M226" s="35"/>
    </row>
    <row r="227" spans="13:13" x14ac:dyDescent="0.3">
      <c r="M227" s="35"/>
    </row>
    <row r="228" spans="13:13" x14ac:dyDescent="0.3">
      <c r="M228" s="35"/>
    </row>
    <row r="229" spans="13:13" x14ac:dyDescent="0.3">
      <c r="M229" s="35"/>
    </row>
    <row r="230" spans="13:13" x14ac:dyDescent="0.3">
      <c r="M230" s="35"/>
    </row>
    <row r="231" spans="13:13" x14ac:dyDescent="0.3">
      <c r="M231" s="35"/>
    </row>
    <row r="232" spans="13:13" x14ac:dyDescent="0.3">
      <c r="M232" s="35"/>
    </row>
    <row r="233" spans="13:13" x14ac:dyDescent="0.3">
      <c r="M233" s="35"/>
    </row>
    <row r="234" spans="13:13" x14ac:dyDescent="0.3">
      <c r="M234" s="35"/>
    </row>
    <row r="235" spans="13:13" x14ac:dyDescent="0.3">
      <c r="M235" s="35"/>
    </row>
    <row r="236" spans="13:13" x14ac:dyDescent="0.3">
      <c r="M236" s="35"/>
    </row>
    <row r="237" spans="13:13" x14ac:dyDescent="0.3">
      <c r="M237" s="35"/>
    </row>
    <row r="238" spans="13:13" x14ac:dyDescent="0.3">
      <c r="M238" s="35"/>
    </row>
    <row r="239" spans="13:13" x14ac:dyDescent="0.3">
      <c r="M239" s="35"/>
    </row>
    <row r="240" spans="13:13" x14ac:dyDescent="0.3">
      <c r="M240" s="35"/>
    </row>
    <row r="241" spans="13:13" x14ac:dyDescent="0.3">
      <c r="M241" s="35"/>
    </row>
    <row r="242" spans="13:13" x14ac:dyDescent="0.3">
      <c r="M242" s="35"/>
    </row>
    <row r="243" spans="13:13" x14ac:dyDescent="0.3">
      <c r="M243" s="35"/>
    </row>
    <row r="244" spans="13:13" x14ac:dyDescent="0.3">
      <c r="M244" s="35"/>
    </row>
    <row r="245" spans="13:13" x14ac:dyDescent="0.3">
      <c r="M245" s="35"/>
    </row>
    <row r="246" spans="13:13" x14ac:dyDescent="0.3">
      <c r="M246" s="35"/>
    </row>
    <row r="247" spans="13:13" x14ac:dyDescent="0.3">
      <c r="M247" s="35"/>
    </row>
    <row r="248" spans="13:13" x14ac:dyDescent="0.3">
      <c r="M248" s="35"/>
    </row>
    <row r="249" spans="13:13" x14ac:dyDescent="0.3">
      <c r="M249" s="35"/>
    </row>
    <row r="250" spans="13:13" x14ac:dyDescent="0.3">
      <c r="M250" s="35"/>
    </row>
    <row r="251" spans="13:13" x14ac:dyDescent="0.3">
      <c r="M251" s="35"/>
    </row>
    <row r="252" spans="13:13" x14ac:dyDescent="0.3">
      <c r="M252" s="35"/>
    </row>
    <row r="253" spans="13:13" x14ac:dyDescent="0.3">
      <c r="M253" s="35"/>
    </row>
    <row r="254" spans="13:13" x14ac:dyDescent="0.3">
      <c r="M254" s="35"/>
    </row>
    <row r="255" spans="13:13" x14ac:dyDescent="0.3">
      <c r="M255" s="35"/>
    </row>
    <row r="256" spans="13:13" x14ac:dyDescent="0.3">
      <c r="M256" s="35"/>
    </row>
    <row r="257" spans="13:13" x14ac:dyDescent="0.3">
      <c r="M257" s="35"/>
    </row>
    <row r="258" spans="13:13" x14ac:dyDescent="0.3">
      <c r="M258" s="35"/>
    </row>
    <row r="259" spans="13:13" x14ac:dyDescent="0.3">
      <c r="M259" s="35"/>
    </row>
    <row r="260" spans="13:13" x14ac:dyDescent="0.3">
      <c r="M260" s="35"/>
    </row>
    <row r="261" spans="13:13" x14ac:dyDescent="0.3">
      <c r="M261" s="35"/>
    </row>
    <row r="262" spans="13:13" x14ac:dyDescent="0.3">
      <c r="M262" s="35"/>
    </row>
    <row r="263" spans="13:13" x14ac:dyDescent="0.3">
      <c r="M263" s="35"/>
    </row>
    <row r="264" spans="13:13" x14ac:dyDescent="0.3">
      <c r="M264" s="35"/>
    </row>
    <row r="265" spans="13:13" x14ac:dyDescent="0.3">
      <c r="M265" s="35"/>
    </row>
    <row r="266" spans="13:13" x14ac:dyDescent="0.3">
      <c r="M266" s="35"/>
    </row>
    <row r="267" spans="13:13" x14ac:dyDescent="0.3">
      <c r="M267" s="35"/>
    </row>
    <row r="268" spans="13:13" x14ac:dyDescent="0.3">
      <c r="M268" s="35"/>
    </row>
    <row r="269" spans="13:13" x14ac:dyDescent="0.3">
      <c r="M269" s="35"/>
    </row>
    <row r="270" spans="13:13" x14ac:dyDescent="0.3">
      <c r="M270" s="35"/>
    </row>
    <row r="271" spans="13:13" x14ac:dyDescent="0.3">
      <c r="M271" s="35"/>
    </row>
    <row r="272" spans="13:13" x14ac:dyDescent="0.3">
      <c r="M272" s="35"/>
    </row>
    <row r="273" spans="13:13" x14ac:dyDescent="0.3">
      <c r="M273" s="35"/>
    </row>
    <row r="274" spans="13:13" x14ac:dyDescent="0.3">
      <c r="M274" s="35"/>
    </row>
    <row r="275" spans="13:13" x14ac:dyDescent="0.3">
      <c r="M275" s="35"/>
    </row>
    <row r="276" spans="13:13" x14ac:dyDescent="0.3">
      <c r="M276" s="35"/>
    </row>
    <row r="277" spans="13:13" x14ac:dyDescent="0.3">
      <c r="M277" s="35"/>
    </row>
    <row r="278" spans="13:13" x14ac:dyDescent="0.3">
      <c r="M278" s="35"/>
    </row>
    <row r="279" spans="13:13" x14ac:dyDescent="0.3">
      <c r="M279" s="35"/>
    </row>
    <row r="280" spans="13:13" x14ac:dyDescent="0.3">
      <c r="M280" s="35"/>
    </row>
    <row r="281" spans="13:13" x14ac:dyDescent="0.3">
      <c r="M281" s="35"/>
    </row>
    <row r="282" spans="13:13" x14ac:dyDescent="0.3">
      <c r="M282" s="35"/>
    </row>
    <row r="283" spans="13:13" x14ac:dyDescent="0.3">
      <c r="M283" s="35"/>
    </row>
    <row r="284" spans="13:13" x14ac:dyDescent="0.3">
      <c r="M284" s="35"/>
    </row>
    <row r="285" spans="13:13" x14ac:dyDescent="0.3">
      <c r="M285" s="35"/>
    </row>
    <row r="286" spans="13:13" x14ac:dyDescent="0.3">
      <c r="M286" s="35"/>
    </row>
    <row r="287" spans="13:13" x14ac:dyDescent="0.3">
      <c r="M287" s="35"/>
    </row>
    <row r="288" spans="13:13" x14ac:dyDescent="0.3">
      <c r="M288" s="35"/>
    </row>
    <row r="289" spans="13:13" x14ac:dyDescent="0.3">
      <c r="M289" s="35"/>
    </row>
    <row r="290" spans="13:13" x14ac:dyDescent="0.3">
      <c r="M290" s="35"/>
    </row>
    <row r="291" spans="13:13" x14ac:dyDescent="0.3">
      <c r="M291" s="35"/>
    </row>
    <row r="292" spans="13:13" x14ac:dyDescent="0.3">
      <c r="M292" s="35"/>
    </row>
    <row r="293" spans="13:13" x14ac:dyDescent="0.3">
      <c r="M293" s="35"/>
    </row>
    <row r="294" spans="13:13" x14ac:dyDescent="0.3">
      <c r="M294" s="35"/>
    </row>
    <row r="295" spans="13:13" x14ac:dyDescent="0.3">
      <c r="M295" s="35"/>
    </row>
    <row r="296" spans="13:13" x14ac:dyDescent="0.3">
      <c r="M296" s="35"/>
    </row>
    <row r="297" spans="13:13" x14ac:dyDescent="0.3">
      <c r="M297" s="35"/>
    </row>
    <row r="298" spans="13:13" x14ac:dyDescent="0.3">
      <c r="M298" s="35"/>
    </row>
    <row r="299" spans="13:13" x14ac:dyDescent="0.3">
      <c r="M299" s="35"/>
    </row>
    <row r="300" spans="13:13" x14ac:dyDescent="0.3">
      <c r="M300" s="35"/>
    </row>
    <row r="301" spans="13:13" x14ac:dyDescent="0.3">
      <c r="M301" s="35"/>
    </row>
    <row r="302" spans="13:13" x14ac:dyDescent="0.3">
      <c r="M302" s="35"/>
    </row>
    <row r="303" spans="13:13" x14ac:dyDescent="0.3">
      <c r="M303" s="35"/>
    </row>
    <row r="304" spans="13:13" x14ac:dyDescent="0.3">
      <c r="M304" s="35"/>
    </row>
    <row r="305" spans="13:13" x14ac:dyDescent="0.3">
      <c r="M305" s="35"/>
    </row>
    <row r="306" spans="13:13" x14ac:dyDescent="0.3">
      <c r="M306" s="35"/>
    </row>
    <row r="307" spans="13:13" x14ac:dyDescent="0.3">
      <c r="M307" s="35"/>
    </row>
    <row r="308" spans="13:13" x14ac:dyDescent="0.3">
      <c r="M308" s="35"/>
    </row>
    <row r="309" spans="13:13" x14ac:dyDescent="0.3">
      <c r="M309" s="35"/>
    </row>
    <row r="310" spans="13:13" x14ac:dyDescent="0.3">
      <c r="M310" s="35"/>
    </row>
    <row r="311" spans="13:13" x14ac:dyDescent="0.3">
      <c r="M311" s="35"/>
    </row>
    <row r="312" spans="13:13" x14ac:dyDescent="0.3">
      <c r="M312" s="35"/>
    </row>
    <row r="313" spans="13:13" x14ac:dyDescent="0.3">
      <c r="M313" s="35"/>
    </row>
    <row r="314" spans="13:13" x14ac:dyDescent="0.3">
      <c r="M314" s="35"/>
    </row>
    <row r="315" spans="13:13" x14ac:dyDescent="0.3">
      <c r="M315" s="35"/>
    </row>
    <row r="316" spans="13:13" x14ac:dyDescent="0.3">
      <c r="M316" s="35"/>
    </row>
    <row r="317" spans="13:13" x14ac:dyDescent="0.3">
      <c r="M317" s="35"/>
    </row>
    <row r="318" spans="13:13" x14ac:dyDescent="0.3">
      <c r="M318" s="35"/>
    </row>
    <row r="319" spans="13:13" x14ac:dyDescent="0.3">
      <c r="M319" s="35"/>
    </row>
    <row r="320" spans="13:13" x14ac:dyDescent="0.3">
      <c r="M320" s="35"/>
    </row>
    <row r="321" spans="13:13" x14ac:dyDescent="0.3">
      <c r="M321" s="35"/>
    </row>
    <row r="322" spans="13:13" x14ac:dyDescent="0.3">
      <c r="M322" s="35"/>
    </row>
    <row r="323" spans="13:13" x14ac:dyDescent="0.3">
      <c r="M323" s="35"/>
    </row>
    <row r="324" spans="13:13" x14ac:dyDescent="0.3">
      <c r="M324" s="35"/>
    </row>
    <row r="325" spans="13:13" x14ac:dyDescent="0.3">
      <c r="M325" s="35"/>
    </row>
    <row r="326" spans="13:13" x14ac:dyDescent="0.3">
      <c r="M326" s="35"/>
    </row>
    <row r="327" spans="13:13" x14ac:dyDescent="0.3">
      <c r="M327" s="35"/>
    </row>
    <row r="328" spans="13:13" x14ac:dyDescent="0.3">
      <c r="M328" s="35"/>
    </row>
    <row r="329" spans="13:13" x14ac:dyDescent="0.3">
      <c r="M329" s="35"/>
    </row>
    <row r="330" spans="13:13" x14ac:dyDescent="0.3">
      <c r="M330" s="35"/>
    </row>
    <row r="331" spans="13:13" x14ac:dyDescent="0.3">
      <c r="M331" s="35"/>
    </row>
    <row r="332" spans="13:13" x14ac:dyDescent="0.3">
      <c r="M332" s="35"/>
    </row>
    <row r="333" spans="13:13" x14ac:dyDescent="0.3">
      <c r="M333" s="35"/>
    </row>
    <row r="334" spans="13:13" x14ac:dyDescent="0.3">
      <c r="M334" s="35"/>
    </row>
    <row r="335" spans="13:13" x14ac:dyDescent="0.3">
      <c r="M335" s="35"/>
    </row>
    <row r="336" spans="13:13" x14ac:dyDescent="0.3">
      <c r="M336" s="35"/>
    </row>
    <row r="337" spans="13:13" x14ac:dyDescent="0.3">
      <c r="M337" s="35"/>
    </row>
    <row r="338" spans="13:13" x14ac:dyDescent="0.3">
      <c r="M338" s="35"/>
    </row>
    <row r="339" spans="13:13" x14ac:dyDescent="0.3">
      <c r="M339" s="35"/>
    </row>
    <row r="340" spans="13:13" x14ac:dyDescent="0.3">
      <c r="M340" s="35"/>
    </row>
    <row r="341" spans="13:13" x14ac:dyDescent="0.3">
      <c r="M341" s="35"/>
    </row>
    <row r="342" spans="13:13" x14ac:dyDescent="0.3">
      <c r="M342" s="35"/>
    </row>
    <row r="343" spans="13:13" x14ac:dyDescent="0.3">
      <c r="M343" s="35"/>
    </row>
    <row r="344" spans="13:13" x14ac:dyDescent="0.3">
      <c r="M344" s="35"/>
    </row>
    <row r="345" spans="13:13" x14ac:dyDescent="0.3">
      <c r="M345" s="35"/>
    </row>
    <row r="346" spans="13:13" x14ac:dyDescent="0.3">
      <c r="M346" s="35"/>
    </row>
    <row r="347" spans="13:13" x14ac:dyDescent="0.3">
      <c r="M347" s="35"/>
    </row>
    <row r="348" spans="13:13" x14ac:dyDescent="0.3">
      <c r="M348" s="35"/>
    </row>
    <row r="349" spans="13:13" x14ac:dyDescent="0.3">
      <c r="M349" s="35"/>
    </row>
    <row r="350" spans="13:13" x14ac:dyDescent="0.3">
      <c r="M350" s="35"/>
    </row>
    <row r="351" spans="13:13" x14ac:dyDescent="0.3">
      <c r="M351" s="35"/>
    </row>
    <row r="352" spans="13:13" x14ac:dyDescent="0.3">
      <c r="M352" s="35"/>
    </row>
    <row r="353" spans="13:13" x14ac:dyDescent="0.3">
      <c r="M353" s="35"/>
    </row>
    <row r="354" spans="13:13" x14ac:dyDescent="0.3">
      <c r="M354" s="35"/>
    </row>
    <row r="355" spans="13:13" x14ac:dyDescent="0.3">
      <c r="M355" s="35"/>
    </row>
    <row r="356" spans="13:13" x14ac:dyDescent="0.3">
      <c r="M356" s="35"/>
    </row>
    <row r="357" spans="13:13" x14ac:dyDescent="0.3">
      <c r="M357" s="35"/>
    </row>
    <row r="358" spans="13:13" x14ac:dyDescent="0.3">
      <c r="M358" s="35"/>
    </row>
    <row r="359" spans="13:13" x14ac:dyDescent="0.3">
      <c r="M359" s="35"/>
    </row>
    <row r="360" spans="13:13" x14ac:dyDescent="0.3">
      <c r="M360" s="35"/>
    </row>
    <row r="361" spans="13:13" x14ac:dyDescent="0.3">
      <c r="M361" s="35"/>
    </row>
    <row r="362" spans="13:13" x14ac:dyDescent="0.3">
      <c r="M362" s="35"/>
    </row>
    <row r="363" spans="13:13" x14ac:dyDescent="0.3">
      <c r="M363" s="35"/>
    </row>
    <row r="364" spans="13:13" x14ac:dyDescent="0.3">
      <c r="M364" s="35"/>
    </row>
    <row r="365" spans="13:13" x14ac:dyDescent="0.3">
      <c r="M365" s="35"/>
    </row>
    <row r="366" spans="13:13" x14ac:dyDescent="0.3">
      <c r="M366" s="35"/>
    </row>
    <row r="367" spans="13:13" x14ac:dyDescent="0.3">
      <c r="M367" s="35"/>
    </row>
    <row r="368" spans="13:13" x14ac:dyDescent="0.3">
      <c r="M368" s="35"/>
    </row>
    <row r="369" spans="13:13" x14ac:dyDescent="0.3">
      <c r="M369" s="35"/>
    </row>
    <row r="370" spans="13:13" x14ac:dyDescent="0.3">
      <c r="M370" s="35"/>
    </row>
    <row r="371" spans="13:13" x14ac:dyDescent="0.3">
      <c r="M371" s="35"/>
    </row>
    <row r="372" spans="13:13" x14ac:dyDescent="0.3">
      <c r="M372" s="35"/>
    </row>
    <row r="373" spans="13:13" x14ac:dyDescent="0.3">
      <c r="M373" s="35"/>
    </row>
    <row r="374" spans="13:13" x14ac:dyDescent="0.3">
      <c r="M374" s="35"/>
    </row>
    <row r="375" spans="13:13" x14ac:dyDescent="0.3">
      <c r="M375" s="35"/>
    </row>
    <row r="376" spans="13:13" x14ac:dyDescent="0.3">
      <c r="M376" s="35"/>
    </row>
    <row r="377" spans="13:13" x14ac:dyDescent="0.3">
      <c r="M377" s="35"/>
    </row>
    <row r="378" spans="13:13" x14ac:dyDescent="0.3">
      <c r="M378" s="35"/>
    </row>
    <row r="379" spans="13:13" x14ac:dyDescent="0.3">
      <c r="M379" s="35"/>
    </row>
    <row r="380" spans="13:13" x14ac:dyDescent="0.3">
      <c r="M380" s="35"/>
    </row>
    <row r="381" spans="13:13" x14ac:dyDescent="0.3">
      <c r="M381" s="35"/>
    </row>
    <row r="382" spans="13:13" x14ac:dyDescent="0.3">
      <c r="M382" s="35"/>
    </row>
    <row r="383" spans="13:13" x14ac:dyDescent="0.3">
      <c r="M383" s="35"/>
    </row>
    <row r="384" spans="13:13" x14ac:dyDescent="0.3">
      <c r="M384" s="35"/>
    </row>
    <row r="385" spans="13:13" x14ac:dyDescent="0.3">
      <c r="M385" s="35"/>
    </row>
    <row r="386" spans="13:13" x14ac:dyDescent="0.3">
      <c r="M386" s="35"/>
    </row>
    <row r="387" spans="13:13" x14ac:dyDescent="0.3">
      <c r="M387" s="35"/>
    </row>
    <row r="388" spans="13:13" x14ac:dyDescent="0.3">
      <c r="M388" s="35"/>
    </row>
    <row r="389" spans="13:13" x14ac:dyDescent="0.3">
      <c r="M389" s="35"/>
    </row>
    <row r="390" spans="13:13" x14ac:dyDescent="0.3">
      <c r="M390" s="35"/>
    </row>
    <row r="391" spans="13:13" x14ac:dyDescent="0.3">
      <c r="M391" s="35"/>
    </row>
    <row r="392" spans="13:13" x14ac:dyDescent="0.3">
      <c r="M392" s="35"/>
    </row>
    <row r="393" spans="13:13" x14ac:dyDescent="0.3">
      <c r="M393" s="35"/>
    </row>
    <row r="394" spans="13:13" x14ac:dyDescent="0.3">
      <c r="M394" s="35"/>
    </row>
    <row r="395" spans="13:13" x14ac:dyDescent="0.3">
      <c r="M395" s="35"/>
    </row>
    <row r="396" spans="13:13" x14ac:dyDescent="0.3">
      <c r="M396" s="35"/>
    </row>
    <row r="397" spans="13:13" x14ac:dyDescent="0.3">
      <c r="M397" s="35"/>
    </row>
    <row r="398" spans="13:13" x14ac:dyDescent="0.3">
      <c r="M398" s="35"/>
    </row>
    <row r="399" spans="13:13" x14ac:dyDescent="0.3">
      <c r="M399" s="35"/>
    </row>
    <row r="400" spans="13:13" x14ac:dyDescent="0.3">
      <c r="M400" s="35"/>
    </row>
    <row r="401" spans="13:13" x14ac:dyDescent="0.3">
      <c r="M401" s="35"/>
    </row>
    <row r="402" spans="13:13" x14ac:dyDescent="0.3">
      <c r="M402" s="35"/>
    </row>
    <row r="403" spans="13:13" x14ac:dyDescent="0.3">
      <c r="M403" s="35"/>
    </row>
    <row r="404" spans="13:13" x14ac:dyDescent="0.3">
      <c r="M404" s="35"/>
    </row>
    <row r="405" spans="13:13" x14ac:dyDescent="0.3">
      <c r="M405" s="35"/>
    </row>
    <row r="406" spans="13:13" x14ac:dyDescent="0.3">
      <c r="M406" s="35"/>
    </row>
    <row r="407" spans="13:13" x14ac:dyDescent="0.3">
      <c r="M407" s="35"/>
    </row>
    <row r="408" spans="13:13" x14ac:dyDescent="0.3">
      <c r="M408" s="35"/>
    </row>
    <row r="409" spans="13:13" x14ac:dyDescent="0.3">
      <c r="M409" s="35"/>
    </row>
    <row r="410" spans="13:13" x14ac:dyDescent="0.3">
      <c r="M410" s="35"/>
    </row>
    <row r="411" spans="13:13" x14ac:dyDescent="0.3">
      <c r="M411" s="35"/>
    </row>
    <row r="412" spans="13:13" x14ac:dyDescent="0.3">
      <c r="M412" s="35"/>
    </row>
    <row r="413" spans="13:13" x14ac:dyDescent="0.3">
      <c r="M413" s="35"/>
    </row>
    <row r="414" spans="13:13" x14ac:dyDescent="0.3">
      <c r="M414" s="35"/>
    </row>
    <row r="415" spans="13:13" x14ac:dyDescent="0.3">
      <c r="M415" s="35"/>
    </row>
    <row r="416" spans="13:13" x14ac:dyDescent="0.3">
      <c r="M416" s="35"/>
    </row>
    <row r="417" spans="13:13" x14ac:dyDescent="0.3">
      <c r="M417" s="35"/>
    </row>
    <row r="418" spans="13:13" x14ac:dyDescent="0.3">
      <c r="M418" s="35"/>
    </row>
    <row r="419" spans="13:13" x14ac:dyDescent="0.3">
      <c r="M419" s="35"/>
    </row>
    <row r="420" spans="13:13" x14ac:dyDescent="0.3">
      <c r="M420" s="35"/>
    </row>
    <row r="421" spans="13:13" x14ac:dyDescent="0.3">
      <c r="M421" s="35"/>
    </row>
    <row r="422" spans="13:13" x14ac:dyDescent="0.3">
      <c r="M422" s="35"/>
    </row>
  </sheetData>
  <mergeCells count="1">
    <mergeCell ref="B2:D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tabColor theme="8" tint="0.39997558519241921"/>
  </sheetPr>
  <dimension ref="A1:D13"/>
  <sheetViews>
    <sheetView tabSelected="1" workbookViewId="0">
      <selection activeCell="A2" sqref="A2"/>
    </sheetView>
  </sheetViews>
  <sheetFormatPr defaultRowHeight="14.4" x14ac:dyDescent="0.3"/>
  <cols>
    <col min="1" max="1" width="8.88671875" style="3" customWidth="1"/>
    <col min="2" max="2" width="15.5546875" style="3" customWidth="1"/>
    <col min="3" max="3" width="18.88671875" style="3" bestFit="1" customWidth="1"/>
    <col min="4" max="4" width="12.44140625" style="3" bestFit="1" customWidth="1"/>
    <col min="5" max="16384" width="8.88671875" style="3"/>
  </cols>
  <sheetData>
    <row r="1" spans="1:4" ht="15" thickBot="1" x14ac:dyDescent="0.35">
      <c r="A1" s="43" t="str">
        <f>_xlfn.CONCAT("If you invest ",ROUND(D5,0)," USD for ",ROUND(D4/12,1), " years on the ", C12," index. By the time of expected retirement, you accumulate ",ROUND(-D6,0)," USD. This fortune enable you to withdraw ",ROUND(D9,0)," USD every month for ",ROUND(D8,0)," months, i.e. ",ROUND(D8/12,1)," years.")</f>
        <v>If you invest 339 USD for 4 years on the S&amp;P 500 index. By the time of expected retirement, you accumulate 20017 USD. This fortune enable you to withdraw 1177 USD every month for 16 months, i.e. 1,3 years.</v>
      </c>
    </row>
    <row r="2" spans="1:4" x14ac:dyDescent="0.3">
      <c r="B2" s="64" t="s">
        <v>862</v>
      </c>
      <c r="C2" s="65"/>
      <c r="D2" s="66"/>
    </row>
    <row r="3" spans="1:4" x14ac:dyDescent="0.3">
      <c r="B3" s="30" t="s">
        <v>854</v>
      </c>
      <c r="C3" s="21"/>
      <c r="D3" s="22"/>
    </row>
    <row r="4" spans="1:4" x14ac:dyDescent="0.3">
      <c r="B4" s="30"/>
      <c r="C4" s="21" t="s">
        <v>855</v>
      </c>
      <c r="D4" s="44">
        <f>NPER(D12,D5,,D6)</f>
        <v>48.476287877941921</v>
      </c>
    </row>
    <row r="5" spans="1:4" x14ac:dyDescent="0.3">
      <c r="B5" s="30"/>
      <c r="C5" s="21" t="s">
        <v>856</v>
      </c>
      <c r="D5" s="38">
        <v>339</v>
      </c>
    </row>
    <row r="6" spans="1:4" x14ac:dyDescent="0.3">
      <c r="B6" s="30"/>
      <c r="C6" s="21" t="s">
        <v>857</v>
      </c>
      <c r="D6" s="38">
        <f>FV(D12,D8,D9)</f>
        <v>-20016.69340868729</v>
      </c>
    </row>
    <row r="7" spans="1:4" x14ac:dyDescent="0.3">
      <c r="B7" s="30" t="s">
        <v>858</v>
      </c>
      <c r="C7" s="21"/>
      <c r="D7" s="39"/>
    </row>
    <row r="8" spans="1:4" x14ac:dyDescent="0.3">
      <c r="A8" s="36"/>
      <c r="B8" s="30"/>
      <c r="C8" s="21" t="s">
        <v>855</v>
      </c>
      <c r="D8" s="38">
        <v>16</v>
      </c>
    </row>
    <row r="9" spans="1:4" x14ac:dyDescent="0.3">
      <c r="B9" s="30"/>
      <c r="C9" s="21" t="s">
        <v>859</v>
      </c>
      <c r="D9" s="38">
        <v>1177</v>
      </c>
    </row>
    <row r="10" spans="1:4" x14ac:dyDescent="0.3">
      <c r="B10" s="30"/>
      <c r="C10" s="21"/>
      <c r="D10" s="41"/>
    </row>
    <row r="11" spans="1:4" x14ac:dyDescent="0.3">
      <c r="B11" s="30" t="s">
        <v>5</v>
      </c>
      <c r="C11" s="21"/>
      <c r="D11" s="22"/>
    </row>
    <row r="12" spans="1:4" ht="15" thickBot="1" x14ac:dyDescent="0.35">
      <c r="B12" s="31"/>
      <c r="C12" s="32" t="s">
        <v>882</v>
      </c>
      <c r="D12" s="42">
        <v>8.0753412546213238E-3</v>
      </c>
    </row>
    <row r="13" spans="1:4" x14ac:dyDescent="0.3">
      <c r="D13" s="37"/>
    </row>
  </sheetData>
  <mergeCells count="1">
    <mergeCell ref="B2:D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tabColor theme="8" tint="-0.249977111117893"/>
  </sheetPr>
  <dimension ref="A1:D13"/>
  <sheetViews>
    <sheetView workbookViewId="0"/>
  </sheetViews>
  <sheetFormatPr defaultRowHeight="14.4" x14ac:dyDescent="0.3"/>
  <cols>
    <col min="1" max="1" width="8.88671875" style="3"/>
    <col min="2" max="2" width="16.33203125" style="3" customWidth="1"/>
    <col min="3" max="3" width="18.88671875" style="3" bestFit="1" customWidth="1"/>
    <col min="4" max="4" width="12.44140625" style="3" bestFit="1" customWidth="1"/>
    <col min="5" max="16384" width="8.88671875" style="3"/>
  </cols>
  <sheetData>
    <row r="1" spans="1:4" ht="15" thickBot="1" x14ac:dyDescent="0.35">
      <c r="A1" s="43" t="str">
        <f>_xlfn.CONCAT("If you invest ",ROUND(D5,0)," USD for ",ROUND(D4/12,1), " years on the ", C12," index. By the time of expected retirement, you accumulate ",ROUND(-D6,0)," USD. This fortune enable you to withdraw ",ROUND(D9,0)," USD every month for ",ROUND(D8,0)," months, i.e. ",ROUND(D8/12,1)," years.")</f>
        <v>If you invest 309 USD for 39 years on the S&amp;P 500 index. By the time of expected retirement, you accumulate 1624880 USD. This fortune enable you to withdraw 67789 USD every month for 22 months, i.e. 1,8 years.</v>
      </c>
    </row>
    <row r="2" spans="1:4" x14ac:dyDescent="0.3">
      <c r="B2" s="64" t="s">
        <v>883</v>
      </c>
      <c r="C2" s="65"/>
      <c r="D2" s="66"/>
    </row>
    <row r="3" spans="1:4" x14ac:dyDescent="0.3">
      <c r="B3" s="30" t="s">
        <v>854</v>
      </c>
      <c r="C3" s="21"/>
      <c r="D3" s="22"/>
    </row>
    <row r="4" spans="1:4" x14ac:dyDescent="0.3">
      <c r="B4" s="30"/>
      <c r="C4" s="21" t="s">
        <v>855</v>
      </c>
      <c r="D4" s="22">
        <v>468</v>
      </c>
    </row>
    <row r="5" spans="1:4" x14ac:dyDescent="0.3">
      <c r="B5" s="45"/>
      <c r="C5" s="21" t="s">
        <v>856</v>
      </c>
      <c r="D5" s="38">
        <v>309</v>
      </c>
    </row>
    <row r="6" spans="1:4" x14ac:dyDescent="0.3">
      <c r="B6" s="45"/>
      <c r="C6" s="21" t="s">
        <v>857</v>
      </c>
      <c r="D6" s="38">
        <f>FV(D12,D4,D5,,1)</f>
        <v>-1624879.6521196724</v>
      </c>
    </row>
    <row r="7" spans="1:4" x14ac:dyDescent="0.3">
      <c r="B7" s="45" t="s">
        <v>858</v>
      </c>
      <c r="C7" s="21"/>
      <c r="D7" s="39"/>
    </row>
    <row r="8" spans="1:4" x14ac:dyDescent="0.3">
      <c r="B8" s="45"/>
      <c r="C8" s="21" t="s">
        <v>855</v>
      </c>
      <c r="D8" s="38">
        <v>22</v>
      </c>
    </row>
    <row r="9" spans="1:4" x14ac:dyDescent="0.3">
      <c r="B9" s="45"/>
      <c r="C9" s="21" t="s">
        <v>859</v>
      </c>
      <c r="D9" s="46">
        <f>PMT(D12,D8,,D6,)</f>
        <v>67788.6317630009</v>
      </c>
    </row>
    <row r="10" spans="1:4" x14ac:dyDescent="0.3">
      <c r="B10" s="30"/>
      <c r="C10" s="21"/>
      <c r="D10" s="41"/>
    </row>
    <row r="11" spans="1:4" x14ac:dyDescent="0.3">
      <c r="B11" s="30" t="s">
        <v>5</v>
      </c>
      <c r="C11" s="21"/>
      <c r="D11" s="22"/>
    </row>
    <row r="12" spans="1:4" ht="15" thickBot="1" x14ac:dyDescent="0.35">
      <c r="B12" s="31"/>
      <c r="C12" s="32" t="s">
        <v>882</v>
      </c>
      <c r="D12" s="42">
        <v>8.0753412546213238E-3</v>
      </c>
    </row>
    <row r="13" spans="1:4" x14ac:dyDescent="0.3">
      <c r="D13" s="37"/>
    </row>
  </sheetData>
  <mergeCells count="1">
    <mergeCell ref="B2:D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Documentation</vt:lpstr>
      <vt:lpstr>Retirement Income Calculator</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Jan</cp:lastModifiedBy>
  <dcterms:created xsi:type="dcterms:W3CDTF">2020-07-28T08:14:30Z</dcterms:created>
  <dcterms:modified xsi:type="dcterms:W3CDTF">2020-08-03T18:52:33Z</dcterms:modified>
</cp:coreProperties>
</file>