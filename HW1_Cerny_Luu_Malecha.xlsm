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iepluudanh/Documents/Projekty/Projekt Špetlíková/"/>
    </mc:Choice>
  </mc:AlternateContent>
  <xr:revisionPtr revIDLastSave="0" documentId="13_ncr:1_{8455C893-1BBA-564F-952C-374D133160E3}" xr6:coauthVersionLast="45" xr6:coauthVersionMax="45" xr10:uidLastSave="{00000000-0000-0000-0000-000000000000}"/>
  <bookViews>
    <workbookView xWindow="380" yWindow="460" windowWidth="28040" windowHeight="17040" activeTab="2" xr2:uid="{60AAFADA-6B44-7642-8163-14E12150427A}"/>
  </bookViews>
  <sheets>
    <sheet name="Úvodka" sheetId="2" r:id="rId1"/>
    <sheet name="Ex 1" sheetId="1" r:id="rId2"/>
    <sheet name="Ex 2" sheetId="6" r:id="rId3"/>
    <sheet name="Ex 3" sheetId="4" r:id="rId4"/>
    <sheet name="Ex 5" sheetId="3" r:id="rId5"/>
    <sheet name="Ex 6" sheetId="5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5" l="1"/>
  <c r="B9" i="5"/>
  <c r="B13" i="5"/>
  <c r="B16" i="5" s="1"/>
  <c r="B3" i="5"/>
  <c r="B5" i="5" s="1"/>
  <c r="B25" i="1"/>
  <c r="B27" i="1" s="1"/>
  <c r="B20" i="1"/>
  <c r="B8" i="4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6" i="3"/>
  <c r="B5" i="3"/>
  <c r="B2" i="3"/>
  <c r="B9" i="1"/>
  <c r="B5" i="1"/>
</calcChain>
</file>

<file path=xl/sharedStrings.xml><?xml version="1.0" encoding="utf-8"?>
<sst xmlns="http://schemas.openxmlformats.org/spreadsheetml/2006/main" count="47" uniqueCount="40">
  <si>
    <t>Value per share</t>
  </si>
  <si>
    <t>Dividend</t>
  </si>
  <si>
    <t>Growth</t>
  </si>
  <si>
    <t>Cost of capital</t>
  </si>
  <si>
    <t>Member 1</t>
  </si>
  <si>
    <t>Kuba Černý</t>
  </si>
  <si>
    <t>Member 2</t>
  </si>
  <si>
    <t>Tiep Luu Danh</t>
  </si>
  <si>
    <t>Member 3</t>
  </si>
  <si>
    <t>Jan Malecha</t>
  </si>
  <si>
    <t>a)</t>
  </si>
  <si>
    <t>b)</t>
  </si>
  <si>
    <t>f(x)</t>
  </si>
  <si>
    <t>X</t>
  </si>
  <si>
    <t>Type</t>
  </si>
  <si>
    <t>% of portfolio</t>
  </si>
  <si>
    <t>Average duration</t>
  </si>
  <si>
    <t>Gov. Bonds</t>
  </si>
  <si>
    <t>Fin. Bonds</t>
  </si>
  <si>
    <t>Non-fin. Bonds</t>
  </si>
  <si>
    <t>Chang in yield curve</t>
  </si>
  <si>
    <t>Change in the value</t>
  </si>
  <si>
    <t>Dividend year 0</t>
  </si>
  <si>
    <t>Growth rate</t>
  </si>
  <si>
    <t>Dividend year 5</t>
  </si>
  <si>
    <t>Assumed cost of capital</t>
  </si>
  <si>
    <t>Assumed growth rate</t>
  </si>
  <si>
    <t>It is okay because we assumed that cost of capital &gt; growth thus these values do not hold and weight</t>
  </si>
  <si>
    <t>Employee contributions</t>
  </si>
  <si>
    <t>Employer contribution</t>
  </si>
  <si>
    <t>State contribution</t>
  </si>
  <si>
    <t>Monthly pension benefit</t>
  </si>
  <si>
    <t>Duration (years)</t>
  </si>
  <si>
    <t>PV of the whole pension benefit at the beginning of the pension</t>
  </si>
  <si>
    <t>Interest rate monthly compounding</t>
  </si>
  <si>
    <t>Payment period (years)</t>
  </si>
  <si>
    <t>This is also the FV of the all contribution</t>
  </si>
  <si>
    <t>Interest rate monthly compounding annually</t>
  </si>
  <si>
    <t>Monthly payment to reach the FV value</t>
  </si>
  <si>
    <t>Total contribution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</si>
</sst>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CZK&quot;;[Red]\-#,##0.00\ &quot;CZK&quot;"/>
    <numFmt numFmtId="43" formatCode="_-* #,##0.00_-;\-* #,##0.00_-;_-* &quot;-&quot;??_-;_-@_-"/>
    <numFmt numFmtId="165" formatCode="_-* #,##0_-;\-* #,##0_-;_-* &quot;-&quot;??_-;_-@_-"/>
  </numFmts>
  <fonts count="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9" fontId="0" fillId="0" borderId="0" xfId="0" applyNumberFormat="1"/>
    <xf numFmtId="9" fontId="0" fillId="0" borderId="0" xfId="2" applyFont="1"/>
    <xf numFmtId="43" fontId="0" fillId="0" borderId="0" xfId="1" applyFont="1"/>
    <xf numFmtId="165" fontId="0" fillId="0" borderId="0" xfId="1" applyNumberFormat="1" applyFont="1"/>
    <xf numFmtId="0" fontId="0" fillId="2" borderId="0" xfId="0" applyFill="1"/>
    <xf numFmtId="10" fontId="0" fillId="0" borderId="0" xfId="2" applyNumberFormat="1" applyFont="1"/>
    <xf numFmtId="165" fontId="0" fillId="3" borderId="0" xfId="1" applyNumberFormat="1" applyFont="1" applyFill="1"/>
    <xf numFmtId="10" fontId="0" fillId="0" borderId="0" xfId="0" applyNumberFormat="1"/>
    <xf numFmtId="8" fontId="0" fillId="0" borderId="0" xfId="0" applyNumberFormat="1"/>
    <xf numFmtId="3" fontId="0" fillId="0" borderId="0" xfId="0" applyNumberFormat="1"/>
  </cellXfs>
  <cellStyles count="3">
    <cellStyle name="Comma" xfId="1" builtinId="3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 5'!$B$4</c:f>
              <c:strCache>
                <c:ptCount val="1"/>
                <c:pt idx="0">
                  <c:v>f(x)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 5'!$A$5:$A$35</c:f>
              <c:numCache>
                <c:formatCode>General</c:formatCode>
                <c:ptCount val="31"/>
                <c:pt idx="0">
                  <c:v>-15</c:v>
                </c:pt>
                <c:pt idx="1">
                  <c:v>-14</c:v>
                </c:pt>
                <c:pt idx="2">
                  <c:v>-13</c:v>
                </c:pt>
                <c:pt idx="3">
                  <c:v>-12</c:v>
                </c:pt>
                <c:pt idx="4">
                  <c:v>-11</c:v>
                </c:pt>
                <c:pt idx="5">
                  <c:v>-10</c:v>
                </c:pt>
                <c:pt idx="6">
                  <c:v>-9</c:v>
                </c:pt>
                <c:pt idx="7">
                  <c:v>-8</c:v>
                </c:pt>
                <c:pt idx="8">
                  <c:v>-7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-3</c:v>
                </c:pt>
                <c:pt idx="13">
                  <c:v>-2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</c:numCache>
            </c:numRef>
          </c:cat>
          <c:val>
            <c:numRef>
              <c:f>'Ex 5'!$B$5:$B$35</c:f>
              <c:numCache>
                <c:formatCode>General</c:formatCode>
                <c:ptCount val="31"/>
                <c:pt idx="0">
                  <c:v>220.5</c:v>
                </c:pt>
                <c:pt idx="1">
                  <c:v>191.83333333333334</c:v>
                </c:pt>
                <c:pt idx="2">
                  <c:v>165.16666666666666</c:v>
                </c:pt>
                <c:pt idx="3">
                  <c:v>140.5</c:v>
                </c:pt>
                <c:pt idx="4">
                  <c:v>117.83333333333333</c:v>
                </c:pt>
                <c:pt idx="5">
                  <c:v>97.166666666666671</c:v>
                </c:pt>
                <c:pt idx="6">
                  <c:v>78.5</c:v>
                </c:pt>
                <c:pt idx="7">
                  <c:v>61.833333333333336</c:v>
                </c:pt>
                <c:pt idx="8">
                  <c:v>47.166666666666664</c:v>
                </c:pt>
                <c:pt idx="9">
                  <c:v>34.5</c:v>
                </c:pt>
                <c:pt idx="10">
                  <c:v>23.833333333333332</c:v>
                </c:pt>
                <c:pt idx="11">
                  <c:v>15.166666666666666</c:v>
                </c:pt>
                <c:pt idx="12">
                  <c:v>8.5</c:v>
                </c:pt>
                <c:pt idx="13">
                  <c:v>3.8333333333333335</c:v>
                </c:pt>
                <c:pt idx="14">
                  <c:v>1.1666666666666667</c:v>
                </c:pt>
                <c:pt idx="15">
                  <c:v>0.5</c:v>
                </c:pt>
                <c:pt idx="16">
                  <c:v>1.8333333333333333</c:v>
                </c:pt>
                <c:pt idx="17">
                  <c:v>5.166666666666667</c:v>
                </c:pt>
                <c:pt idx="18">
                  <c:v>10.5</c:v>
                </c:pt>
                <c:pt idx="19">
                  <c:v>17.833333333333332</c:v>
                </c:pt>
                <c:pt idx="20">
                  <c:v>27.166666666666668</c:v>
                </c:pt>
                <c:pt idx="21">
                  <c:v>38.5</c:v>
                </c:pt>
                <c:pt idx="22">
                  <c:v>51.833333333333336</c:v>
                </c:pt>
                <c:pt idx="23">
                  <c:v>67.166666666666671</c:v>
                </c:pt>
                <c:pt idx="24">
                  <c:v>84.5</c:v>
                </c:pt>
                <c:pt idx="25">
                  <c:v>103.83333333333333</c:v>
                </c:pt>
                <c:pt idx="26">
                  <c:v>125.16666666666667</c:v>
                </c:pt>
                <c:pt idx="27">
                  <c:v>148.5</c:v>
                </c:pt>
                <c:pt idx="28">
                  <c:v>173.83333333333334</c:v>
                </c:pt>
                <c:pt idx="29">
                  <c:v>201.16666666666666</c:v>
                </c:pt>
                <c:pt idx="30">
                  <c:v>230.5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44-8141-9A81-30722BD78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251136"/>
        <c:axId val="422433088"/>
      </c:lineChart>
      <c:catAx>
        <c:axId val="4222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22433088"/>
        <c:crosses val="autoZero"/>
        <c:auto val="1"/>
        <c:lblAlgn val="ctr"/>
        <c:lblOffset val="100"/>
        <c:noMultiLvlLbl val="0"/>
      </c:catAx>
      <c:valAx>
        <c:axId val="42243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2225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12</xdr:row>
      <xdr:rowOff>95250</xdr:rowOff>
    </xdr:from>
    <xdr:to>
      <xdr:col>18</xdr:col>
      <xdr:colOff>228600</xdr:colOff>
      <xdr:row>36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F3ADBE-1C68-844A-963F-3E1CFA34B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7519-920E-A942-B091-301856332FF4}">
  <dimension ref="A1:L28"/>
  <sheetViews>
    <sheetView workbookViewId="0">
      <selection activeCell="D9" sqref="D9:J20"/>
    </sheetView>
  </sheetViews>
  <sheetFormatPr baseColWidth="10" defaultRowHeight="16"/>
  <cols>
    <col min="2" max="2" width="12.6640625" bestFit="1" customWidth="1"/>
  </cols>
  <sheetData>
    <row r="1" spans="1:12">
      <c r="A1" s="5" t="s">
        <v>4</v>
      </c>
      <c r="B1" s="5" t="s">
        <v>5</v>
      </c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>
      <c r="A2" s="5" t="s">
        <v>6</v>
      </c>
      <c r="B2" s="5" t="s">
        <v>7</v>
      </c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>
      <c r="A3" s="5" t="s">
        <v>8</v>
      </c>
      <c r="B3" s="5" t="s">
        <v>9</v>
      </c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1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 spans="1:1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</row>
    <row r="8" spans="1:1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</row>
    <row r="10" spans="1:1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1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1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1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1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1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1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1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</row>
    <row r="18" spans="1:1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spans="1:1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</row>
    <row r="22" spans="1:1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</row>
    <row r="23" spans="1:1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1:1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</row>
    <row r="25" spans="1:1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1:1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</row>
    <row r="27" spans="1:1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1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C53A-9461-134E-9461-63CCF2F7F14A}">
  <dimension ref="A1:I30"/>
  <sheetViews>
    <sheetView topLeftCell="A7" workbookViewId="0">
      <selection activeCell="H17" sqref="H17"/>
    </sheetView>
  </sheetViews>
  <sheetFormatPr baseColWidth="10" defaultRowHeight="16"/>
  <cols>
    <col min="1" max="1" width="22" bestFit="1" customWidth="1"/>
    <col min="3" max="3" width="12.83203125" bestFit="1" customWidth="1"/>
  </cols>
  <sheetData>
    <row r="1" spans="1:9">
      <c r="A1" t="s">
        <v>1</v>
      </c>
      <c r="B1">
        <v>50</v>
      </c>
    </row>
    <row r="2" spans="1:9">
      <c r="A2" t="s">
        <v>2</v>
      </c>
      <c r="B2" s="1">
        <v>0.03</v>
      </c>
    </row>
    <row r="3" spans="1:9">
      <c r="A3" t="s">
        <v>3</v>
      </c>
      <c r="B3" s="1">
        <v>0.05</v>
      </c>
    </row>
    <row r="5" spans="1:9">
      <c r="A5" t="s">
        <v>0</v>
      </c>
      <c r="B5">
        <f>B1/(B3-B2)</f>
        <v>2499.9999999999995</v>
      </c>
    </row>
    <row r="8" spans="1:9">
      <c r="A8" t="s">
        <v>10</v>
      </c>
      <c r="C8" t="s">
        <v>3</v>
      </c>
    </row>
    <row r="9" spans="1:9">
      <c r="B9" s="4">
        <f>B5</f>
        <v>2499.9999999999995</v>
      </c>
      <c r="C9" s="2">
        <v>0.04</v>
      </c>
      <c r="D9" s="2">
        <v>0.05</v>
      </c>
      <c r="E9" s="2">
        <v>0.06</v>
      </c>
      <c r="F9" s="2">
        <v>7.0000000000000007E-2</v>
      </c>
      <c r="G9" s="2">
        <v>0.08</v>
      </c>
      <c r="H9" s="2">
        <v>0.09</v>
      </c>
      <c r="I9" s="2">
        <v>0.1</v>
      </c>
    </row>
    <row r="10" spans="1:9">
      <c r="A10" t="s">
        <v>2</v>
      </c>
      <c r="B10" s="2">
        <v>0.02</v>
      </c>
      <c r="C10" s="4">
        <f t="dataTable" ref="C10:I14" dt2D="1" dtr="1" r1="B3" r2="B2"/>
        <v>2500</v>
      </c>
      <c r="D10" s="4">
        <v>1666.6666666666665</v>
      </c>
      <c r="E10" s="4">
        <v>1250.0000000000002</v>
      </c>
      <c r="F10" s="4">
        <v>1000</v>
      </c>
      <c r="G10" s="4">
        <v>833.33333333333337</v>
      </c>
      <c r="H10" s="4">
        <v>714.28571428571433</v>
      </c>
      <c r="I10" s="4">
        <v>625</v>
      </c>
    </row>
    <row r="11" spans="1:9">
      <c r="B11" s="2">
        <v>0.03</v>
      </c>
      <c r="C11" s="4">
        <v>4999.9999999999991</v>
      </c>
      <c r="D11" s="4">
        <v>2499.9999999999995</v>
      </c>
      <c r="E11" s="4">
        <v>1666.6666666666667</v>
      </c>
      <c r="F11" s="4">
        <v>1249.9999999999998</v>
      </c>
      <c r="G11" s="4">
        <v>1000</v>
      </c>
      <c r="H11" s="4">
        <v>833.33333333333337</v>
      </c>
      <c r="I11" s="4">
        <v>714.28571428571422</v>
      </c>
    </row>
    <row r="12" spans="1:9">
      <c r="B12" s="2">
        <v>0.04</v>
      </c>
      <c r="C12" s="7" t="e">
        <v>#DIV/0!</v>
      </c>
      <c r="D12" s="4">
        <v>4999.9999999999991</v>
      </c>
      <c r="E12" s="4">
        <v>2500.0000000000005</v>
      </c>
      <c r="F12" s="4">
        <v>1666.6666666666663</v>
      </c>
      <c r="G12" s="4">
        <v>1250</v>
      </c>
      <c r="H12" s="4">
        <v>1000.0000000000001</v>
      </c>
      <c r="I12" s="4">
        <v>833.33333333333326</v>
      </c>
    </row>
    <row r="13" spans="1:9">
      <c r="B13" s="2">
        <v>0.05</v>
      </c>
      <c r="C13" s="7">
        <v>-4999.9999999999991</v>
      </c>
      <c r="D13" s="7" t="e">
        <v>#DIV/0!</v>
      </c>
      <c r="E13" s="4">
        <v>5000.0000000000027</v>
      </c>
      <c r="F13" s="4">
        <v>2499.9999999999995</v>
      </c>
      <c r="G13" s="4">
        <v>1666.6666666666667</v>
      </c>
      <c r="H13" s="4">
        <v>1250.0000000000002</v>
      </c>
      <c r="I13" s="4">
        <v>1000</v>
      </c>
    </row>
    <row r="14" spans="1:9">
      <c r="B14" s="2">
        <v>0.06</v>
      </c>
      <c r="C14" s="7">
        <v>-2500.0000000000005</v>
      </c>
      <c r="D14" s="7">
        <v>-5000.0000000000027</v>
      </c>
      <c r="E14" s="7" t="e">
        <v>#DIV/0!</v>
      </c>
      <c r="F14" s="4">
        <v>4999.9999999999955</v>
      </c>
      <c r="G14" s="4">
        <v>2499.9999999999995</v>
      </c>
      <c r="H14" s="4">
        <v>1666.6666666666667</v>
      </c>
      <c r="I14" s="4">
        <v>1249.9999999999998</v>
      </c>
    </row>
    <row r="15" spans="1:9">
      <c r="C15" t="s">
        <v>27</v>
      </c>
    </row>
    <row r="17" spans="1:9">
      <c r="A17" t="s">
        <v>11</v>
      </c>
    </row>
    <row r="18" spans="1:9">
      <c r="A18" t="s">
        <v>22</v>
      </c>
      <c r="B18">
        <v>50</v>
      </c>
    </row>
    <row r="19" spans="1:9">
      <c r="A19" t="s">
        <v>23</v>
      </c>
      <c r="B19" s="1">
        <v>0.1</v>
      </c>
    </row>
    <row r="20" spans="1:9">
      <c r="A20" t="s">
        <v>24</v>
      </c>
      <c r="B20">
        <f>B18*(1+B19)^5</f>
        <v>80.525500000000022</v>
      </c>
    </row>
    <row r="23" spans="1:9">
      <c r="A23" t="s">
        <v>25</v>
      </c>
      <c r="B23" s="1">
        <v>0.04</v>
      </c>
    </row>
    <row r="24" spans="1:9">
      <c r="A24" t="s">
        <v>26</v>
      </c>
      <c r="B24" s="1">
        <v>0.01</v>
      </c>
    </row>
    <row r="25" spans="1:9">
      <c r="A25" t="s">
        <v>0</v>
      </c>
      <c r="B25" s="3">
        <f>B20/(B23-B24)</f>
        <v>2684.1833333333343</v>
      </c>
    </row>
    <row r="26" spans="1:9">
      <c r="B26" s="3"/>
      <c r="C26" t="s">
        <v>3</v>
      </c>
    </row>
    <row r="27" spans="1:9">
      <c r="B27" s="3">
        <f>B25</f>
        <v>2684.1833333333343</v>
      </c>
      <c r="C27" s="2">
        <v>0.04</v>
      </c>
      <c r="D27" s="2">
        <v>0.05</v>
      </c>
      <c r="E27" s="2">
        <v>0.06</v>
      </c>
      <c r="F27" s="2">
        <v>7.0000000000000007E-2</v>
      </c>
      <c r="G27" s="2">
        <v>0.08</v>
      </c>
      <c r="H27" s="2">
        <v>0.09</v>
      </c>
      <c r="I27" s="2">
        <v>0.1</v>
      </c>
    </row>
    <row r="28" spans="1:9">
      <c r="A28" t="s">
        <v>2</v>
      </c>
      <c r="B28" s="2">
        <v>0.01</v>
      </c>
      <c r="C28" s="3">
        <f t="dataTable" ref="C28:I30" dt2D="1" dtr="1" r1="B23" r2="B24"/>
        <v>2684.1833333333343</v>
      </c>
      <c r="D28" s="3">
        <v>2013.1375000000005</v>
      </c>
      <c r="E28" s="3">
        <v>1610.5100000000007</v>
      </c>
      <c r="F28" s="3">
        <v>1342.0916666666669</v>
      </c>
      <c r="G28" s="3">
        <v>1150.3642857142859</v>
      </c>
      <c r="H28" s="3">
        <v>1006.5687500000003</v>
      </c>
      <c r="I28" s="3">
        <v>894.72777777777787</v>
      </c>
    </row>
    <row r="29" spans="1:9">
      <c r="B29" s="2">
        <v>0.02</v>
      </c>
      <c r="C29" s="3">
        <v>4026.275000000001</v>
      </c>
      <c r="D29" s="3">
        <v>2684.1833333333338</v>
      </c>
      <c r="E29" s="3">
        <v>2013.137500000001</v>
      </c>
      <c r="F29" s="3">
        <v>1610.5100000000004</v>
      </c>
      <c r="G29" s="3">
        <v>1342.0916666666672</v>
      </c>
      <c r="H29" s="3">
        <v>1150.3642857142861</v>
      </c>
      <c r="I29" s="3">
        <v>1006.5687500000003</v>
      </c>
    </row>
    <row r="30" spans="1:9">
      <c r="B30" s="2">
        <v>0.03</v>
      </c>
      <c r="C30" s="3">
        <v>8052.5500000000011</v>
      </c>
      <c r="D30" s="3">
        <v>4026.2750000000005</v>
      </c>
      <c r="E30" s="3">
        <v>2684.1833333333343</v>
      </c>
      <c r="F30" s="3">
        <v>2013.1375000000003</v>
      </c>
      <c r="G30" s="3">
        <v>1610.5100000000004</v>
      </c>
      <c r="H30" s="3">
        <v>1342.0916666666672</v>
      </c>
      <c r="I30" s="3">
        <v>1150.3642857142859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8E069-5095-F24A-B7FF-07393F5BC75D}">
  <dimension ref="A1"/>
  <sheetViews>
    <sheetView tabSelected="1" workbookViewId="0"/>
  </sheetViews>
  <sheetFormatPr baseColWidth="10" defaultRowHeight="16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E92D-9A0A-D14E-9024-5507BE652914}">
  <dimension ref="A1:C8"/>
  <sheetViews>
    <sheetView workbookViewId="0">
      <selection activeCell="C6" sqref="C6"/>
    </sheetView>
  </sheetViews>
  <sheetFormatPr baseColWidth="10" defaultRowHeight="16"/>
  <cols>
    <col min="1" max="1" width="17.5" bestFit="1" customWidth="1"/>
    <col min="2" max="2" width="12.33203125" bestFit="1" customWidth="1"/>
    <col min="3" max="3" width="15.1640625" bestFit="1" customWidth="1"/>
  </cols>
  <sheetData>
    <row r="1" spans="1:3">
      <c r="A1" t="s">
        <v>14</v>
      </c>
      <c r="B1" t="s">
        <v>15</v>
      </c>
      <c r="C1" t="s">
        <v>16</v>
      </c>
    </row>
    <row r="2" spans="1:3">
      <c r="A2" t="s">
        <v>17</v>
      </c>
      <c r="B2" s="2">
        <v>0.35</v>
      </c>
      <c r="C2">
        <v>8</v>
      </c>
    </row>
    <row r="3" spans="1:3">
      <c r="A3" t="s">
        <v>18</v>
      </c>
      <c r="B3" s="2">
        <v>0.3</v>
      </c>
      <c r="C3">
        <v>4</v>
      </c>
    </row>
    <row r="4" spans="1:3">
      <c r="A4" t="s">
        <v>19</v>
      </c>
      <c r="B4" s="2">
        <v>0.25</v>
      </c>
      <c r="C4">
        <v>3</v>
      </c>
    </row>
    <row r="5" spans="1:3">
      <c r="B5" s="2"/>
    </row>
    <row r="6" spans="1:3">
      <c r="A6" t="s">
        <v>20</v>
      </c>
      <c r="B6" s="2">
        <v>0.02</v>
      </c>
    </row>
    <row r="8" spans="1:3">
      <c r="A8" t="s">
        <v>21</v>
      </c>
      <c r="B8" s="6">
        <f>SUMPRODUCT(B2:B4,C2:C4)*(-B6)</f>
        <v>-9.5000000000000001E-2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AB1A1-9A52-514A-9E78-5D1084A4AA23}">
  <dimension ref="A1:B35"/>
  <sheetViews>
    <sheetView workbookViewId="0">
      <selection activeCell="A4" sqref="A4:B35"/>
    </sheetView>
  </sheetViews>
  <sheetFormatPr baseColWidth="10" defaultRowHeight="16"/>
  <sheetData>
    <row r="1" spans="1:2">
      <c r="A1" t="s">
        <v>13</v>
      </c>
      <c r="B1">
        <v>2.9199110600880189</v>
      </c>
    </row>
    <row r="2" spans="1:2">
      <c r="A2" t="s">
        <v>12</v>
      </c>
      <c r="B2">
        <f>B1^2+1/3 * B1+1/2</f>
        <v>9.9991842855203448</v>
      </c>
    </row>
    <row r="4" spans="1:2">
      <c r="A4" t="s">
        <v>13</v>
      </c>
      <c r="B4" t="s">
        <v>12</v>
      </c>
    </row>
    <row r="5" spans="1:2">
      <c r="A5">
        <v>-15</v>
      </c>
      <c r="B5">
        <f>A5^2+1/3 * A5+1/2</f>
        <v>220.5</v>
      </c>
    </row>
    <row r="6" spans="1:2">
      <c r="A6">
        <v>-14</v>
      </c>
      <c r="B6">
        <f>A6^2+1/3 * A6+1/2</f>
        <v>191.83333333333334</v>
      </c>
    </row>
    <row r="7" spans="1:2">
      <c r="A7">
        <v>-13</v>
      </c>
      <c r="B7">
        <f t="shared" ref="B7:B35" si="0">A7^2+1/3 * A7+1/2</f>
        <v>165.16666666666666</v>
      </c>
    </row>
    <row r="8" spans="1:2">
      <c r="A8">
        <v>-12</v>
      </c>
      <c r="B8">
        <f t="shared" si="0"/>
        <v>140.5</v>
      </c>
    </row>
    <row r="9" spans="1:2">
      <c r="A9">
        <v>-11</v>
      </c>
      <c r="B9">
        <f t="shared" si="0"/>
        <v>117.83333333333333</v>
      </c>
    </row>
    <row r="10" spans="1:2">
      <c r="A10">
        <v>-10</v>
      </c>
      <c r="B10">
        <f t="shared" si="0"/>
        <v>97.166666666666671</v>
      </c>
    </row>
    <row r="11" spans="1:2">
      <c r="A11">
        <v>-9</v>
      </c>
      <c r="B11">
        <f t="shared" si="0"/>
        <v>78.5</v>
      </c>
    </row>
    <row r="12" spans="1:2">
      <c r="A12">
        <v>-8</v>
      </c>
      <c r="B12">
        <f t="shared" si="0"/>
        <v>61.833333333333336</v>
      </c>
    </row>
    <row r="13" spans="1:2">
      <c r="A13">
        <v>-7</v>
      </c>
      <c r="B13">
        <f t="shared" si="0"/>
        <v>47.166666666666664</v>
      </c>
    </row>
    <row r="14" spans="1:2">
      <c r="A14">
        <v>-6</v>
      </c>
      <c r="B14">
        <f t="shared" si="0"/>
        <v>34.5</v>
      </c>
    </row>
    <row r="15" spans="1:2">
      <c r="A15">
        <v>-5</v>
      </c>
      <c r="B15">
        <f t="shared" si="0"/>
        <v>23.833333333333332</v>
      </c>
    </row>
    <row r="16" spans="1:2">
      <c r="A16">
        <v>-4</v>
      </c>
      <c r="B16">
        <f t="shared" si="0"/>
        <v>15.166666666666666</v>
      </c>
    </row>
    <row r="17" spans="1:2">
      <c r="A17">
        <v>-3</v>
      </c>
      <c r="B17">
        <f t="shared" si="0"/>
        <v>8.5</v>
      </c>
    </row>
    <row r="18" spans="1:2">
      <c r="A18">
        <v>-2</v>
      </c>
      <c r="B18">
        <f t="shared" si="0"/>
        <v>3.8333333333333335</v>
      </c>
    </row>
    <row r="19" spans="1:2">
      <c r="A19">
        <v>-1</v>
      </c>
      <c r="B19">
        <f t="shared" si="0"/>
        <v>1.1666666666666667</v>
      </c>
    </row>
    <row r="20" spans="1:2">
      <c r="A20">
        <v>0</v>
      </c>
      <c r="B20">
        <f t="shared" si="0"/>
        <v>0.5</v>
      </c>
    </row>
    <row r="21" spans="1:2">
      <c r="A21">
        <v>1</v>
      </c>
      <c r="B21">
        <f t="shared" si="0"/>
        <v>1.8333333333333333</v>
      </c>
    </row>
    <row r="22" spans="1:2">
      <c r="A22">
        <v>2</v>
      </c>
      <c r="B22">
        <f t="shared" si="0"/>
        <v>5.166666666666667</v>
      </c>
    </row>
    <row r="23" spans="1:2">
      <c r="A23">
        <v>3</v>
      </c>
      <c r="B23">
        <f t="shared" si="0"/>
        <v>10.5</v>
      </c>
    </row>
    <row r="24" spans="1:2">
      <c r="A24">
        <v>4</v>
      </c>
      <c r="B24">
        <f t="shared" si="0"/>
        <v>17.833333333333332</v>
      </c>
    </row>
    <row r="25" spans="1:2">
      <c r="A25">
        <v>5</v>
      </c>
      <c r="B25">
        <f t="shared" si="0"/>
        <v>27.166666666666668</v>
      </c>
    </row>
    <row r="26" spans="1:2">
      <c r="A26">
        <v>6</v>
      </c>
      <c r="B26">
        <f t="shared" si="0"/>
        <v>38.5</v>
      </c>
    </row>
    <row r="27" spans="1:2">
      <c r="A27">
        <v>7</v>
      </c>
      <c r="B27">
        <f t="shared" si="0"/>
        <v>51.833333333333336</v>
      </c>
    </row>
    <row r="28" spans="1:2">
      <c r="A28">
        <v>8</v>
      </c>
      <c r="B28">
        <f t="shared" si="0"/>
        <v>67.166666666666671</v>
      </c>
    </row>
    <row r="29" spans="1:2">
      <c r="A29">
        <v>9</v>
      </c>
      <c r="B29">
        <f t="shared" si="0"/>
        <v>84.5</v>
      </c>
    </row>
    <row r="30" spans="1:2">
      <c r="A30">
        <v>10</v>
      </c>
      <c r="B30">
        <f t="shared" si="0"/>
        <v>103.83333333333333</v>
      </c>
    </row>
    <row r="31" spans="1:2">
      <c r="A31">
        <v>11</v>
      </c>
      <c r="B31">
        <f t="shared" si="0"/>
        <v>125.16666666666667</v>
      </c>
    </row>
    <row r="32" spans="1:2">
      <c r="A32">
        <v>12</v>
      </c>
      <c r="B32">
        <f t="shared" si="0"/>
        <v>148.5</v>
      </c>
    </row>
    <row r="33" spans="1:2">
      <c r="A33">
        <v>13</v>
      </c>
      <c r="B33">
        <f t="shared" si="0"/>
        <v>173.83333333333334</v>
      </c>
    </row>
    <row r="34" spans="1:2">
      <c r="A34">
        <v>14</v>
      </c>
      <c r="B34">
        <f t="shared" si="0"/>
        <v>201.16666666666666</v>
      </c>
    </row>
    <row r="35" spans="1:2">
      <c r="A35">
        <v>15</v>
      </c>
      <c r="B35">
        <f t="shared" si="0"/>
        <v>230.5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DC66A-26F9-6B4B-8A7D-A38C7D463774}">
  <dimension ref="A2:D16"/>
  <sheetViews>
    <sheetView workbookViewId="0">
      <selection activeCell="B5" sqref="B5"/>
    </sheetView>
  </sheetViews>
  <sheetFormatPr baseColWidth="10" defaultRowHeight="16"/>
  <cols>
    <col min="1" max="1" width="54.6640625" bestFit="1" customWidth="1"/>
    <col min="2" max="2" width="15.83203125" bestFit="1" customWidth="1"/>
  </cols>
  <sheetData>
    <row r="2" spans="1:4">
      <c r="A2" t="s">
        <v>28</v>
      </c>
      <c r="B2">
        <v>3383.2923076923071</v>
      </c>
    </row>
    <row r="3" spans="1:4">
      <c r="A3" t="s">
        <v>29</v>
      </c>
      <c r="B3">
        <f>0.3*B2</f>
        <v>1014.9876923076921</v>
      </c>
    </row>
    <row r="4" spans="1:4">
      <c r="A4" t="s">
        <v>30</v>
      </c>
      <c r="B4">
        <v>500</v>
      </c>
    </row>
    <row r="5" spans="1:4">
      <c r="A5" t="s">
        <v>39</v>
      </c>
      <c r="B5">
        <f>SUM(B2:B4)</f>
        <v>4898.2799999999988</v>
      </c>
    </row>
    <row r="6" spans="1:4">
      <c r="A6" t="s">
        <v>35</v>
      </c>
      <c r="B6">
        <v>40</v>
      </c>
    </row>
    <row r="8" spans="1:4">
      <c r="A8" t="s">
        <v>37</v>
      </c>
      <c r="B8" s="2">
        <f>1.5%</f>
        <v>1.4999999999999999E-2</v>
      </c>
    </row>
    <row r="9" spans="1:4">
      <c r="A9" t="s">
        <v>34</v>
      </c>
      <c r="B9" s="8">
        <f>1.5%/12</f>
        <v>1.25E-3</v>
      </c>
    </row>
    <row r="11" spans="1:4">
      <c r="A11" t="s">
        <v>31</v>
      </c>
      <c r="B11" s="3">
        <v>15000</v>
      </c>
      <c r="D11" s="10"/>
    </row>
    <row r="12" spans="1:4">
      <c r="A12" t="s">
        <v>32</v>
      </c>
      <c r="B12">
        <v>20</v>
      </c>
    </row>
    <row r="13" spans="1:4">
      <c r="A13" t="s">
        <v>33</v>
      </c>
      <c r="B13" s="9">
        <f>PV(B9,250,B11)</f>
        <v>-3218898.9889226924</v>
      </c>
    </row>
    <row r="14" spans="1:4">
      <c r="A14" t="s">
        <v>36</v>
      </c>
      <c r="B14" s="9"/>
    </row>
    <row r="16" spans="1:4">
      <c r="A16" t="s">
        <v>38</v>
      </c>
      <c r="B16" s="9">
        <f>PMT(B9,B6*12,0,B13)</f>
        <v>4898.279042706019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Úvodka</vt:lpstr>
      <vt:lpstr>Ex 1</vt:lpstr>
      <vt:lpstr>Ex 2</vt:lpstr>
      <vt:lpstr>Ex 3</vt:lpstr>
      <vt:lpstr>Ex 5</vt:lpstr>
      <vt:lpstr>Ex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Tiep Luu Danh</cp:lastModifiedBy>
  <dcterms:created xsi:type="dcterms:W3CDTF">2020-03-18T21:00:38Z</dcterms:created>
  <dcterms:modified xsi:type="dcterms:W3CDTF">2020-03-18T21:52:53Z</dcterms:modified>
</cp:coreProperties>
</file>