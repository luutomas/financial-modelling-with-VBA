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epluudanh/Documents/IES/8. semestr/JEM128 VBA/HW/financial-modelling-with-VBA/"/>
    </mc:Choice>
  </mc:AlternateContent>
  <xr:revisionPtr revIDLastSave="0" documentId="13_ncr:1_{68002A0E-8398-9545-A24C-C9B34D233C36}" xr6:coauthVersionLast="45" xr6:coauthVersionMax="45" xr10:uidLastSave="{00000000-0000-0000-0000-000000000000}"/>
  <bookViews>
    <workbookView xWindow="0" yWindow="460" windowWidth="16800" windowHeight="20540" activeTab="1" xr2:uid="{60AAFADA-6B44-7642-8163-14E12150427A}"/>
  </bookViews>
  <sheets>
    <sheet name="Cover Sheet" sheetId="2" r:id="rId1"/>
    <sheet name="Ex 1" sheetId="1" r:id="rId2"/>
    <sheet name="Ex 2" sheetId="7" r:id="rId3"/>
    <sheet name="Ex 3" sheetId="4" r:id="rId4"/>
    <sheet name="Ex 4" sheetId="14" r:id="rId5"/>
    <sheet name="Ex 5" sheetId="3" r:id="rId6"/>
    <sheet name="Ex 6" sheetId="5" r:id="rId7"/>
  </sheets>
  <externalReferences>
    <externalReference r:id="rId8"/>
  </externalReferences>
  <definedNames>
    <definedName name="a" localSheetId="4">'Ex 4'!$C$2:$C$1269</definedName>
    <definedName name="a">#REF!</definedName>
    <definedName name="lnM">#REF!</definedName>
    <definedName name="lnSP">#REF!</definedName>
    <definedName name="MSFT">#REF!</definedName>
    <definedName name="x" localSheetId="4">'Ex 4'!$G$3:$H$1270</definedName>
    <definedName name="x">#REF!</definedName>
    <definedName name="y" localSheetId="4">'Ex 4'!$D$3:$D$1270</definedName>
    <definedName name="y">#REF!</definedName>
    <definedName name="z" localSheetId="4">'Ex 4'!$G$3:$G$1270</definedName>
    <definedName name="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" i="1" l="1"/>
  <c r="C25" i="1" s="1"/>
  <c r="C34" i="1"/>
  <c r="B35" i="1"/>
  <c r="C35" i="1" s="1"/>
  <c r="B36" i="1"/>
  <c r="B37" i="1" s="1"/>
  <c r="B38" i="1" s="1"/>
  <c r="B39" i="1" s="1"/>
  <c r="C39" i="1" s="1"/>
  <c r="G1270" i="14"/>
  <c r="D1270" i="14"/>
  <c r="G1269" i="14"/>
  <c r="D1269" i="14"/>
  <c r="G1268" i="14"/>
  <c r="D1268" i="14"/>
  <c r="G1267" i="14"/>
  <c r="D1267" i="14"/>
  <c r="G1266" i="14"/>
  <c r="D1266" i="14"/>
  <c r="G1265" i="14"/>
  <c r="D1265" i="14"/>
  <c r="G1264" i="14"/>
  <c r="D1264" i="14"/>
  <c r="G1263" i="14"/>
  <c r="D1263" i="14"/>
  <c r="G1262" i="14"/>
  <c r="D1262" i="14"/>
  <c r="G1261" i="14"/>
  <c r="D1261" i="14"/>
  <c r="G1260" i="14"/>
  <c r="D1260" i="14"/>
  <c r="G1259" i="14"/>
  <c r="D1259" i="14"/>
  <c r="G1258" i="14"/>
  <c r="D1258" i="14"/>
  <c r="G1257" i="14"/>
  <c r="D1257" i="14"/>
  <c r="G1256" i="14"/>
  <c r="D1256" i="14"/>
  <c r="G1255" i="14"/>
  <c r="D1255" i="14"/>
  <c r="G1254" i="14"/>
  <c r="D1254" i="14"/>
  <c r="G1253" i="14"/>
  <c r="D1253" i="14"/>
  <c r="G1252" i="14"/>
  <c r="D1252" i="14"/>
  <c r="G1251" i="14"/>
  <c r="D1251" i="14"/>
  <c r="G1250" i="14"/>
  <c r="D1250" i="14"/>
  <c r="G1249" i="14"/>
  <c r="D1249" i="14"/>
  <c r="G1248" i="14"/>
  <c r="D1248" i="14"/>
  <c r="G1247" i="14"/>
  <c r="D1247" i="14"/>
  <c r="G1246" i="14"/>
  <c r="D1246" i="14"/>
  <c r="G1245" i="14"/>
  <c r="D1245" i="14"/>
  <c r="G1244" i="14"/>
  <c r="D1244" i="14"/>
  <c r="G1243" i="14"/>
  <c r="D1243" i="14"/>
  <c r="G1242" i="14"/>
  <c r="D1242" i="14"/>
  <c r="G1241" i="14"/>
  <c r="D1241" i="14"/>
  <c r="G1240" i="14"/>
  <c r="D1240" i="14"/>
  <c r="G1239" i="14"/>
  <c r="D1239" i="14"/>
  <c r="G1238" i="14"/>
  <c r="D1238" i="14"/>
  <c r="G1237" i="14"/>
  <c r="D1237" i="14"/>
  <c r="G1236" i="14"/>
  <c r="D1236" i="14"/>
  <c r="G1235" i="14"/>
  <c r="D1235" i="14"/>
  <c r="G1234" i="14"/>
  <c r="D1234" i="14"/>
  <c r="G1233" i="14"/>
  <c r="D1233" i="14"/>
  <c r="G1232" i="14"/>
  <c r="D1232" i="14"/>
  <c r="G1231" i="14"/>
  <c r="D1231" i="14"/>
  <c r="G1230" i="14"/>
  <c r="D1230" i="14"/>
  <c r="G1229" i="14"/>
  <c r="D1229" i="14"/>
  <c r="G1228" i="14"/>
  <c r="D1228" i="14"/>
  <c r="G1227" i="14"/>
  <c r="D1227" i="14"/>
  <c r="G1226" i="14"/>
  <c r="D1226" i="14"/>
  <c r="G1225" i="14"/>
  <c r="D1225" i="14"/>
  <c r="G1224" i="14"/>
  <c r="D1224" i="14"/>
  <c r="G1223" i="14"/>
  <c r="D1223" i="14"/>
  <c r="G1222" i="14"/>
  <c r="D1222" i="14"/>
  <c r="G1221" i="14"/>
  <c r="D1221" i="14"/>
  <c r="G1220" i="14"/>
  <c r="D1220" i="14"/>
  <c r="G1219" i="14"/>
  <c r="D1219" i="14"/>
  <c r="G1218" i="14"/>
  <c r="D1218" i="14"/>
  <c r="G1217" i="14"/>
  <c r="D1217" i="14"/>
  <c r="G1216" i="14"/>
  <c r="D1216" i="14"/>
  <c r="G1215" i="14"/>
  <c r="D1215" i="14"/>
  <c r="G1214" i="14"/>
  <c r="D1214" i="14"/>
  <c r="G1213" i="14"/>
  <c r="D1213" i="14"/>
  <c r="G1212" i="14"/>
  <c r="D1212" i="14"/>
  <c r="G1211" i="14"/>
  <c r="D1211" i="14"/>
  <c r="G1210" i="14"/>
  <c r="D1210" i="14"/>
  <c r="G1209" i="14"/>
  <c r="D1209" i="14"/>
  <c r="G1208" i="14"/>
  <c r="D1208" i="14"/>
  <c r="G1207" i="14"/>
  <c r="D1207" i="14"/>
  <c r="G1206" i="14"/>
  <c r="D1206" i="14"/>
  <c r="G1205" i="14"/>
  <c r="D1205" i="14"/>
  <c r="G1204" i="14"/>
  <c r="D1204" i="14"/>
  <c r="G1203" i="14"/>
  <c r="D1203" i="14"/>
  <c r="G1202" i="14"/>
  <c r="D1202" i="14"/>
  <c r="G1201" i="14"/>
  <c r="D1201" i="14"/>
  <c r="G1200" i="14"/>
  <c r="D1200" i="14"/>
  <c r="G1199" i="14"/>
  <c r="D1199" i="14"/>
  <c r="G1198" i="14"/>
  <c r="D1198" i="14"/>
  <c r="G1197" i="14"/>
  <c r="D1197" i="14"/>
  <c r="G1196" i="14"/>
  <c r="D1196" i="14"/>
  <c r="G1195" i="14"/>
  <c r="D1195" i="14"/>
  <c r="G1194" i="14"/>
  <c r="D1194" i="14"/>
  <c r="G1193" i="14"/>
  <c r="D1193" i="14"/>
  <c r="G1192" i="14"/>
  <c r="D1192" i="14"/>
  <c r="G1191" i="14"/>
  <c r="D1191" i="14"/>
  <c r="G1190" i="14"/>
  <c r="D1190" i="14"/>
  <c r="G1189" i="14"/>
  <c r="D1189" i="14"/>
  <c r="G1188" i="14"/>
  <c r="D1188" i="14"/>
  <c r="G1187" i="14"/>
  <c r="D1187" i="14"/>
  <c r="G1186" i="14"/>
  <c r="D1186" i="14"/>
  <c r="G1185" i="14"/>
  <c r="D1185" i="14"/>
  <c r="G1184" i="14"/>
  <c r="D1184" i="14"/>
  <c r="G1183" i="14"/>
  <c r="D1183" i="14"/>
  <c r="G1182" i="14"/>
  <c r="D1182" i="14"/>
  <c r="G1181" i="14"/>
  <c r="D1181" i="14"/>
  <c r="G1180" i="14"/>
  <c r="D1180" i="14"/>
  <c r="G1179" i="14"/>
  <c r="D1179" i="14"/>
  <c r="G1178" i="14"/>
  <c r="D1178" i="14"/>
  <c r="G1177" i="14"/>
  <c r="D1177" i="14"/>
  <c r="G1176" i="14"/>
  <c r="D1176" i="14"/>
  <c r="G1175" i="14"/>
  <c r="D1175" i="14"/>
  <c r="G1174" i="14"/>
  <c r="D1174" i="14"/>
  <c r="G1173" i="14"/>
  <c r="D1173" i="14"/>
  <c r="G1172" i="14"/>
  <c r="D1172" i="14"/>
  <c r="G1171" i="14"/>
  <c r="D1171" i="14"/>
  <c r="G1170" i="14"/>
  <c r="D1170" i="14"/>
  <c r="G1169" i="14"/>
  <c r="D1169" i="14"/>
  <c r="G1168" i="14"/>
  <c r="D1168" i="14"/>
  <c r="G1167" i="14"/>
  <c r="D1167" i="14"/>
  <c r="G1166" i="14"/>
  <c r="D1166" i="14"/>
  <c r="G1165" i="14"/>
  <c r="D1165" i="14"/>
  <c r="G1164" i="14"/>
  <c r="D1164" i="14"/>
  <c r="G1163" i="14"/>
  <c r="D1163" i="14"/>
  <c r="G1162" i="14"/>
  <c r="D1162" i="14"/>
  <c r="G1161" i="14"/>
  <c r="D1161" i="14"/>
  <c r="G1160" i="14"/>
  <c r="D1160" i="14"/>
  <c r="G1159" i="14"/>
  <c r="D1159" i="14"/>
  <c r="G1158" i="14"/>
  <c r="D1158" i="14"/>
  <c r="G1157" i="14"/>
  <c r="D1157" i="14"/>
  <c r="G1156" i="14"/>
  <c r="D1156" i="14"/>
  <c r="G1155" i="14"/>
  <c r="D1155" i="14"/>
  <c r="G1154" i="14"/>
  <c r="D1154" i="14"/>
  <c r="G1153" i="14"/>
  <c r="D1153" i="14"/>
  <c r="G1152" i="14"/>
  <c r="D1152" i="14"/>
  <c r="G1151" i="14"/>
  <c r="D1151" i="14"/>
  <c r="G1150" i="14"/>
  <c r="D1150" i="14"/>
  <c r="G1149" i="14"/>
  <c r="D1149" i="14"/>
  <c r="G1148" i="14"/>
  <c r="D1148" i="14"/>
  <c r="G1147" i="14"/>
  <c r="D1147" i="14"/>
  <c r="G1146" i="14"/>
  <c r="D1146" i="14"/>
  <c r="G1145" i="14"/>
  <c r="D1145" i="14"/>
  <c r="G1144" i="14"/>
  <c r="D1144" i="14"/>
  <c r="G1143" i="14"/>
  <c r="D1143" i="14"/>
  <c r="G1142" i="14"/>
  <c r="D1142" i="14"/>
  <c r="G1141" i="14"/>
  <c r="D1141" i="14"/>
  <c r="G1140" i="14"/>
  <c r="D1140" i="14"/>
  <c r="G1139" i="14"/>
  <c r="D1139" i="14"/>
  <c r="G1138" i="14"/>
  <c r="D1138" i="14"/>
  <c r="G1137" i="14"/>
  <c r="D1137" i="14"/>
  <c r="G1136" i="14"/>
  <c r="D1136" i="14"/>
  <c r="G1135" i="14"/>
  <c r="D1135" i="14"/>
  <c r="G1134" i="14"/>
  <c r="D1134" i="14"/>
  <c r="G1133" i="14"/>
  <c r="D1133" i="14"/>
  <c r="G1132" i="14"/>
  <c r="D1132" i="14"/>
  <c r="G1131" i="14"/>
  <c r="D1131" i="14"/>
  <c r="G1130" i="14"/>
  <c r="D1130" i="14"/>
  <c r="G1129" i="14"/>
  <c r="D1129" i="14"/>
  <c r="G1128" i="14"/>
  <c r="D1128" i="14"/>
  <c r="G1127" i="14"/>
  <c r="D1127" i="14"/>
  <c r="G1126" i="14"/>
  <c r="D1126" i="14"/>
  <c r="G1125" i="14"/>
  <c r="D1125" i="14"/>
  <c r="G1124" i="14"/>
  <c r="D1124" i="14"/>
  <c r="G1123" i="14"/>
  <c r="D1123" i="14"/>
  <c r="G1122" i="14"/>
  <c r="D1122" i="14"/>
  <c r="G1121" i="14"/>
  <c r="D1121" i="14"/>
  <c r="G1120" i="14"/>
  <c r="D1120" i="14"/>
  <c r="G1119" i="14"/>
  <c r="D1119" i="14"/>
  <c r="G1118" i="14"/>
  <c r="D1118" i="14"/>
  <c r="G1117" i="14"/>
  <c r="D1117" i="14"/>
  <c r="G1116" i="14"/>
  <c r="D1116" i="14"/>
  <c r="G1115" i="14"/>
  <c r="D1115" i="14"/>
  <c r="G1114" i="14"/>
  <c r="D1114" i="14"/>
  <c r="G1113" i="14"/>
  <c r="D1113" i="14"/>
  <c r="G1112" i="14"/>
  <c r="D1112" i="14"/>
  <c r="G1111" i="14"/>
  <c r="D1111" i="14"/>
  <c r="G1110" i="14"/>
  <c r="D1110" i="14"/>
  <c r="G1109" i="14"/>
  <c r="D1109" i="14"/>
  <c r="G1108" i="14"/>
  <c r="D1108" i="14"/>
  <c r="G1107" i="14"/>
  <c r="D1107" i="14"/>
  <c r="G1106" i="14"/>
  <c r="D1106" i="14"/>
  <c r="G1105" i="14"/>
  <c r="D1105" i="14"/>
  <c r="G1104" i="14"/>
  <c r="D1104" i="14"/>
  <c r="G1103" i="14"/>
  <c r="D1103" i="14"/>
  <c r="G1102" i="14"/>
  <c r="D1102" i="14"/>
  <c r="G1101" i="14"/>
  <c r="D1101" i="14"/>
  <c r="G1100" i="14"/>
  <c r="D1100" i="14"/>
  <c r="G1099" i="14"/>
  <c r="D1099" i="14"/>
  <c r="G1098" i="14"/>
  <c r="D1098" i="14"/>
  <c r="G1097" i="14"/>
  <c r="D1097" i="14"/>
  <c r="G1096" i="14"/>
  <c r="D1096" i="14"/>
  <c r="G1095" i="14"/>
  <c r="D1095" i="14"/>
  <c r="G1094" i="14"/>
  <c r="D1094" i="14"/>
  <c r="G1093" i="14"/>
  <c r="D1093" i="14"/>
  <c r="G1092" i="14"/>
  <c r="D1092" i="14"/>
  <c r="G1091" i="14"/>
  <c r="D1091" i="14"/>
  <c r="G1090" i="14"/>
  <c r="D1090" i="14"/>
  <c r="G1089" i="14"/>
  <c r="D1089" i="14"/>
  <c r="G1088" i="14"/>
  <c r="D1088" i="14"/>
  <c r="G1087" i="14"/>
  <c r="D1087" i="14"/>
  <c r="G1086" i="14"/>
  <c r="D1086" i="14"/>
  <c r="G1085" i="14"/>
  <c r="D1085" i="14"/>
  <c r="G1084" i="14"/>
  <c r="D1084" i="14"/>
  <c r="G1083" i="14"/>
  <c r="D1083" i="14"/>
  <c r="G1082" i="14"/>
  <c r="D1082" i="14"/>
  <c r="G1081" i="14"/>
  <c r="D1081" i="14"/>
  <c r="G1080" i="14"/>
  <c r="D1080" i="14"/>
  <c r="G1079" i="14"/>
  <c r="D1079" i="14"/>
  <c r="G1078" i="14"/>
  <c r="D1078" i="14"/>
  <c r="G1077" i="14"/>
  <c r="D1077" i="14"/>
  <c r="G1076" i="14"/>
  <c r="D1076" i="14"/>
  <c r="G1075" i="14"/>
  <c r="D1075" i="14"/>
  <c r="G1074" i="14"/>
  <c r="D1074" i="14"/>
  <c r="G1073" i="14"/>
  <c r="D1073" i="14"/>
  <c r="G1072" i="14"/>
  <c r="D1072" i="14"/>
  <c r="G1071" i="14"/>
  <c r="D1071" i="14"/>
  <c r="G1070" i="14"/>
  <c r="D1070" i="14"/>
  <c r="G1069" i="14"/>
  <c r="D1069" i="14"/>
  <c r="G1068" i="14"/>
  <c r="D1068" i="14"/>
  <c r="G1067" i="14"/>
  <c r="D1067" i="14"/>
  <c r="G1066" i="14"/>
  <c r="D1066" i="14"/>
  <c r="G1065" i="14"/>
  <c r="D1065" i="14"/>
  <c r="G1064" i="14"/>
  <c r="D1064" i="14"/>
  <c r="G1063" i="14"/>
  <c r="D1063" i="14"/>
  <c r="G1062" i="14"/>
  <c r="D1062" i="14"/>
  <c r="G1061" i="14"/>
  <c r="D1061" i="14"/>
  <c r="G1060" i="14"/>
  <c r="D1060" i="14"/>
  <c r="G1059" i="14"/>
  <c r="D1059" i="14"/>
  <c r="G1058" i="14"/>
  <c r="D1058" i="14"/>
  <c r="G1057" i="14"/>
  <c r="D1057" i="14"/>
  <c r="G1056" i="14"/>
  <c r="D1056" i="14"/>
  <c r="G1055" i="14"/>
  <c r="D1055" i="14"/>
  <c r="G1054" i="14"/>
  <c r="D1054" i="14"/>
  <c r="G1053" i="14"/>
  <c r="D1053" i="14"/>
  <c r="G1052" i="14"/>
  <c r="D1052" i="14"/>
  <c r="G1051" i="14"/>
  <c r="D1051" i="14"/>
  <c r="G1050" i="14"/>
  <c r="D1050" i="14"/>
  <c r="G1049" i="14"/>
  <c r="D1049" i="14"/>
  <c r="G1048" i="14"/>
  <c r="D1048" i="14"/>
  <c r="G1047" i="14"/>
  <c r="D1047" i="14"/>
  <c r="G1046" i="14"/>
  <c r="D1046" i="14"/>
  <c r="G1045" i="14"/>
  <c r="D1045" i="14"/>
  <c r="G1044" i="14"/>
  <c r="D1044" i="14"/>
  <c r="G1043" i="14"/>
  <c r="D1043" i="14"/>
  <c r="G1042" i="14"/>
  <c r="D1042" i="14"/>
  <c r="G1041" i="14"/>
  <c r="D1041" i="14"/>
  <c r="G1040" i="14"/>
  <c r="D1040" i="14"/>
  <c r="G1039" i="14"/>
  <c r="D1039" i="14"/>
  <c r="G1038" i="14"/>
  <c r="D1038" i="14"/>
  <c r="G1037" i="14"/>
  <c r="D1037" i="14"/>
  <c r="G1036" i="14"/>
  <c r="D1036" i="14"/>
  <c r="G1035" i="14"/>
  <c r="D1035" i="14"/>
  <c r="G1034" i="14"/>
  <c r="D1034" i="14"/>
  <c r="G1033" i="14"/>
  <c r="D1033" i="14"/>
  <c r="G1032" i="14"/>
  <c r="D1032" i="14"/>
  <c r="G1031" i="14"/>
  <c r="D1031" i="14"/>
  <c r="G1030" i="14"/>
  <c r="D1030" i="14"/>
  <c r="G1029" i="14"/>
  <c r="D1029" i="14"/>
  <c r="G1028" i="14"/>
  <c r="D1028" i="14"/>
  <c r="G1027" i="14"/>
  <c r="D1027" i="14"/>
  <c r="G1026" i="14"/>
  <c r="D1026" i="14"/>
  <c r="G1025" i="14"/>
  <c r="D1025" i="14"/>
  <c r="G1024" i="14"/>
  <c r="D1024" i="14"/>
  <c r="G1023" i="14"/>
  <c r="D1023" i="14"/>
  <c r="G1022" i="14"/>
  <c r="D1022" i="14"/>
  <c r="G1021" i="14"/>
  <c r="D1021" i="14"/>
  <c r="G1020" i="14"/>
  <c r="D1020" i="14"/>
  <c r="G1019" i="14"/>
  <c r="D1019" i="14"/>
  <c r="G1018" i="14"/>
  <c r="D1018" i="14"/>
  <c r="G1017" i="14"/>
  <c r="D1017" i="14"/>
  <c r="G1016" i="14"/>
  <c r="D1016" i="14"/>
  <c r="G1015" i="14"/>
  <c r="D1015" i="14"/>
  <c r="G1014" i="14"/>
  <c r="D1014" i="14"/>
  <c r="G1013" i="14"/>
  <c r="D1013" i="14"/>
  <c r="G1012" i="14"/>
  <c r="D1012" i="14"/>
  <c r="G1011" i="14"/>
  <c r="D1011" i="14"/>
  <c r="G1010" i="14"/>
  <c r="D1010" i="14"/>
  <c r="G1009" i="14"/>
  <c r="D1009" i="14"/>
  <c r="G1008" i="14"/>
  <c r="D1008" i="14"/>
  <c r="G1007" i="14"/>
  <c r="D1007" i="14"/>
  <c r="G1006" i="14"/>
  <c r="D1006" i="14"/>
  <c r="G1005" i="14"/>
  <c r="D1005" i="14"/>
  <c r="G1004" i="14"/>
  <c r="D1004" i="14"/>
  <c r="G1003" i="14"/>
  <c r="D1003" i="14"/>
  <c r="G1002" i="14"/>
  <c r="D1002" i="14"/>
  <c r="G1001" i="14"/>
  <c r="D1001" i="14"/>
  <c r="G1000" i="14"/>
  <c r="D1000" i="14"/>
  <c r="G999" i="14"/>
  <c r="D999" i="14"/>
  <c r="G998" i="14"/>
  <c r="D998" i="14"/>
  <c r="G997" i="14"/>
  <c r="D997" i="14"/>
  <c r="G996" i="14"/>
  <c r="D996" i="14"/>
  <c r="G995" i="14"/>
  <c r="D995" i="14"/>
  <c r="G994" i="14"/>
  <c r="D994" i="14"/>
  <c r="G993" i="14"/>
  <c r="D993" i="14"/>
  <c r="G992" i="14"/>
  <c r="D992" i="14"/>
  <c r="G991" i="14"/>
  <c r="D991" i="14"/>
  <c r="G990" i="14"/>
  <c r="D990" i="14"/>
  <c r="G989" i="14"/>
  <c r="D989" i="14"/>
  <c r="G988" i="14"/>
  <c r="D988" i="14"/>
  <c r="G987" i="14"/>
  <c r="D987" i="14"/>
  <c r="G986" i="14"/>
  <c r="D986" i="14"/>
  <c r="G985" i="14"/>
  <c r="D985" i="14"/>
  <c r="G984" i="14"/>
  <c r="D984" i="14"/>
  <c r="G983" i="14"/>
  <c r="D983" i="14"/>
  <c r="G982" i="14"/>
  <c r="D982" i="14"/>
  <c r="G981" i="14"/>
  <c r="D981" i="14"/>
  <c r="G980" i="14"/>
  <c r="D980" i="14"/>
  <c r="G979" i="14"/>
  <c r="D979" i="14"/>
  <c r="G978" i="14"/>
  <c r="D978" i="14"/>
  <c r="G977" i="14"/>
  <c r="D977" i="14"/>
  <c r="G976" i="14"/>
  <c r="D976" i="14"/>
  <c r="G975" i="14"/>
  <c r="D975" i="14"/>
  <c r="G974" i="14"/>
  <c r="D974" i="14"/>
  <c r="G973" i="14"/>
  <c r="D973" i="14"/>
  <c r="G972" i="14"/>
  <c r="D972" i="14"/>
  <c r="G971" i="14"/>
  <c r="D971" i="14"/>
  <c r="G970" i="14"/>
  <c r="D970" i="14"/>
  <c r="G969" i="14"/>
  <c r="D969" i="14"/>
  <c r="G968" i="14"/>
  <c r="D968" i="14"/>
  <c r="G967" i="14"/>
  <c r="D967" i="14"/>
  <c r="G966" i="14"/>
  <c r="D966" i="14"/>
  <c r="G965" i="14"/>
  <c r="D965" i="14"/>
  <c r="G964" i="14"/>
  <c r="D964" i="14"/>
  <c r="G963" i="14"/>
  <c r="D963" i="14"/>
  <c r="G962" i="14"/>
  <c r="D962" i="14"/>
  <c r="G961" i="14"/>
  <c r="D961" i="14"/>
  <c r="G960" i="14"/>
  <c r="D960" i="14"/>
  <c r="G959" i="14"/>
  <c r="D959" i="14"/>
  <c r="G958" i="14"/>
  <c r="D958" i="14"/>
  <c r="G957" i="14"/>
  <c r="D957" i="14"/>
  <c r="G956" i="14"/>
  <c r="D956" i="14"/>
  <c r="G955" i="14"/>
  <c r="D955" i="14"/>
  <c r="G954" i="14"/>
  <c r="D954" i="14"/>
  <c r="G953" i="14"/>
  <c r="D953" i="14"/>
  <c r="G952" i="14"/>
  <c r="D952" i="14"/>
  <c r="G951" i="14"/>
  <c r="D951" i="14"/>
  <c r="G950" i="14"/>
  <c r="D950" i="14"/>
  <c r="G949" i="14"/>
  <c r="D949" i="14"/>
  <c r="G948" i="14"/>
  <c r="D948" i="14"/>
  <c r="G947" i="14"/>
  <c r="D947" i="14"/>
  <c r="G946" i="14"/>
  <c r="D946" i="14"/>
  <c r="G945" i="14"/>
  <c r="D945" i="14"/>
  <c r="G944" i="14"/>
  <c r="D944" i="14"/>
  <c r="G943" i="14"/>
  <c r="D943" i="14"/>
  <c r="G942" i="14"/>
  <c r="D942" i="14"/>
  <c r="G941" i="14"/>
  <c r="D941" i="14"/>
  <c r="G940" i="14"/>
  <c r="D940" i="14"/>
  <c r="G939" i="14"/>
  <c r="D939" i="14"/>
  <c r="G938" i="14"/>
  <c r="D938" i="14"/>
  <c r="G937" i="14"/>
  <c r="D937" i="14"/>
  <c r="G936" i="14"/>
  <c r="D936" i="14"/>
  <c r="G935" i="14"/>
  <c r="D935" i="14"/>
  <c r="G934" i="14"/>
  <c r="D934" i="14"/>
  <c r="G933" i="14"/>
  <c r="D933" i="14"/>
  <c r="G932" i="14"/>
  <c r="D932" i="14"/>
  <c r="G931" i="14"/>
  <c r="D931" i="14"/>
  <c r="G930" i="14"/>
  <c r="D930" i="14"/>
  <c r="G929" i="14"/>
  <c r="D929" i="14"/>
  <c r="G928" i="14"/>
  <c r="D928" i="14"/>
  <c r="G927" i="14"/>
  <c r="D927" i="14"/>
  <c r="G926" i="14"/>
  <c r="D926" i="14"/>
  <c r="G925" i="14"/>
  <c r="D925" i="14"/>
  <c r="G924" i="14"/>
  <c r="D924" i="14"/>
  <c r="G923" i="14"/>
  <c r="D923" i="14"/>
  <c r="G922" i="14"/>
  <c r="D922" i="14"/>
  <c r="G921" i="14"/>
  <c r="D921" i="14"/>
  <c r="G920" i="14"/>
  <c r="D920" i="14"/>
  <c r="G919" i="14"/>
  <c r="D919" i="14"/>
  <c r="G918" i="14"/>
  <c r="D918" i="14"/>
  <c r="G917" i="14"/>
  <c r="D917" i="14"/>
  <c r="G916" i="14"/>
  <c r="D916" i="14"/>
  <c r="G915" i="14"/>
  <c r="D915" i="14"/>
  <c r="G914" i="14"/>
  <c r="D914" i="14"/>
  <c r="G913" i="14"/>
  <c r="D913" i="14"/>
  <c r="G912" i="14"/>
  <c r="D912" i="14"/>
  <c r="G911" i="14"/>
  <c r="D911" i="14"/>
  <c r="G910" i="14"/>
  <c r="D910" i="14"/>
  <c r="G909" i="14"/>
  <c r="D909" i="14"/>
  <c r="G908" i="14"/>
  <c r="D908" i="14"/>
  <c r="G907" i="14"/>
  <c r="D907" i="14"/>
  <c r="G906" i="14"/>
  <c r="D906" i="14"/>
  <c r="G905" i="14"/>
  <c r="D905" i="14"/>
  <c r="G904" i="14"/>
  <c r="D904" i="14"/>
  <c r="G903" i="14"/>
  <c r="D903" i="14"/>
  <c r="G902" i="14"/>
  <c r="D902" i="14"/>
  <c r="G901" i="14"/>
  <c r="D901" i="14"/>
  <c r="G900" i="14"/>
  <c r="D900" i="14"/>
  <c r="G899" i="14"/>
  <c r="D899" i="14"/>
  <c r="G898" i="14"/>
  <c r="D898" i="14"/>
  <c r="G897" i="14"/>
  <c r="D897" i="14"/>
  <c r="G896" i="14"/>
  <c r="D896" i="14"/>
  <c r="G895" i="14"/>
  <c r="D895" i="14"/>
  <c r="G894" i="14"/>
  <c r="D894" i="14"/>
  <c r="G893" i="14"/>
  <c r="D893" i="14"/>
  <c r="G892" i="14"/>
  <c r="D892" i="14"/>
  <c r="G891" i="14"/>
  <c r="D891" i="14"/>
  <c r="G890" i="14"/>
  <c r="D890" i="14"/>
  <c r="G889" i="14"/>
  <c r="D889" i="14"/>
  <c r="G888" i="14"/>
  <c r="D888" i="14"/>
  <c r="G887" i="14"/>
  <c r="D887" i="14"/>
  <c r="G886" i="14"/>
  <c r="D886" i="14"/>
  <c r="G885" i="14"/>
  <c r="D885" i="14"/>
  <c r="G884" i="14"/>
  <c r="D884" i="14"/>
  <c r="G883" i="14"/>
  <c r="D883" i="14"/>
  <c r="G882" i="14"/>
  <c r="D882" i="14"/>
  <c r="G881" i="14"/>
  <c r="D881" i="14"/>
  <c r="G880" i="14"/>
  <c r="D880" i="14"/>
  <c r="G879" i="14"/>
  <c r="D879" i="14"/>
  <c r="G878" i="14"/>
  <c r="D878" i="14"/>
  <c r="G877" i="14"/>
  <c r="D877" i="14"/>
  <c r="G876" i="14"/>
  <c r="D876" i="14"/>
  <c r="G875" i="14"/>
  <c r="D875" i="14"/>
  <c r="G874" i="14"/>
  <c r="D874" i="14"/>
  <c r="G873" i="14"/>
  <c r="D873" i="14"/>
  <c r="G872" i="14"/>
  <c r="D872" i="14"/>
  <c r="G871" i="14"/>
  <c r="D871" i="14"/>
  <c r="G870" i="14"/>
  <c r="D870" i="14"/>
  <c r="G869" i="14"/>
  <c r="D869" i="14"/>
  <c r="G868" i="14"/>
  <c r="D868" i="14"/>
  <c r="G867" i="14"/>
  <c r="D867" i="14"/>
  <c r="G866" i="14"/>
  <c r="D866" i="14"/>
  <c r="G865" i="14"/>
  <c r="D865" i="14"/>
  <c r="G864" i="14"/>
  <c r="D864" i="14"/>
  <c r="G863" i="14"/>
  <c r="D863" i="14"/>
  <c r="G862" i="14"/>
  <c r="D862" i="14"/>
  <c r="G861" i="14"/>
  <c r="D861" i="14"/>
  <c r="G860" i="14"/>
  <c r="D860" i="14"/>
  <c r="G859" i="14"/>
  <c r="D859" i="14"/>
  <c r="G858" i="14"/>
  <c r="D858" i="14"/>
  <c r="G857" i="14"/>
  <c r="D857" i="14"/>
  <c r="G856" i="14"/>
  <c r="D856" i="14"/>
  <c r="G855" i="14"/>
  <c r="D855" i="14"/>
  <c r="G854" i="14"/>
  <c r="D854" i="14"/>
  <c r="G853" i="14"/>
  <c r="D853" i="14"/>
  <c r="G852" i="14"/>
  <c r="D852" i="14"/>
  <c r="G851" i="14"/>
  <c r="D851" i="14"/>
  <c r="G850" i="14"/>
  <c r="D850" i="14"/>
  <c r="G849" i="14"/>
  <c r="D849" i="14"/>
  <c r="G848" i="14"/>
  <c r="D848" i="14"/>
  <c r="G847" i="14"/>
  <c r="D847" i="14"/>
  <c r="G846" i="14"/>
  <c r="D846" i="14"/>
  <c r="G845" i="14"/>
  <c r="D845" i="14"/>
  <c r="G844" i="14"/>
  <c r="D844" i="14"/>
  <c r="G843" i="14"/>
  <c r="D843" i="14"/>
  <c r="G842" i="14"/>
  <c r="D842" i="14"/>
  <c r="G841" i="14"/>
  <c r="D841" i="14"/>
  <c r="G840" i="14"/>
  <c r="D840" i="14"/>
  <c r="G839" i="14"/>
  <c r="D839" i="14"/>
  <c r="G838" i="14"/>
  <c r="D838" i="14"/>
  <c r="G837" i="14"/>
  <c r="D837" i="14"/>
  <c r="G836" i="14"/>
  <c r="D836" i="14"/>
  <c r="G835" i="14"/>
  <c r="D835" i="14"/>
  <c r="G834" i="14"/>
  <c r="D834" i="14"/>
  <c r="G833" i="14"/>
  <c r="D833" i="14"/>
  <c r="G832" i="14"/>
  <c r="D832" i="14"/>
  <c r="G831" i="14"/>
  <c r="D831" i="14"/>
  <c r="G830" i="14"/>
  <c r="D830" i="14"/>
  <c r="G829" i="14"/>
  <c r="D829" i="14"/>
  <c r="G828" i="14"/>
  <c r="D828" i="14"/>
  <c r="G827" i="14"/>
  <c r="D827" i="14"/>
  <c r="G826" i="14"/>
  <c r="D826" i="14"/>
  <c r="G825" i="14"/>
  <c r="D825" i="14"/>
  <c r="G824" i="14"/>
  <c r="D824" i="14"/>
  <c r="G823" i="14"/>
  <c r="D823" i="14"/>
  <c r="G822" i="14"/>
  <c r="D822" i="14"/>
  <c r="G821" i="14"/>
  <c r="D821" i="14"/>
  <c r="G820" i="14"/>
  <c r="D820" i="14"/>
  <c r="G819" i="14"/>
  <c r="D819" i="14"/>
  <c r="G818" i="14"/>
  <c r="D818" i="14"/>
  <c r="G817" i="14"/>
  <c r="D817" i="14"/>
  <c r="G816" i="14"/>
  <c r="D816" i="14"/>
  <c r="G815" i="14"/>
  <c r="D815" i="14"/>
  <c r="G814" i="14"/>
  <c r="D814" i="14"/>
  <c r="G813" i="14"/>
  <c r="D813" i="14"/>
  <c r="G812" i="14"/>
  <c r="D812" i="14"/>
  <c r="G811" i="14"/>
  <c r="D811" i="14"/>
  <c r="G810" i="14"/>
  <c r="D810" i="14"/>
  <c r="G809" i="14"/>
  <c r="D809" i="14"/>
  <c r="G808" i="14"/>
  <c r="D808" i="14"/>
  <c r="G807" i="14"/>
  <c r="D807" i="14"/>
  <c r="G806" i="14"/>
  <c r="D806" i="14"/>
  <c r="G805" i="14"/>
  <c r="D805" i="14"/>
  <c r="G804" i="14"/>
  <c r="D804" i="14"/>
  <c r="G803" i="14"/>
  <c r="D803" i="14"/>
  <c r="G802" i="14"/>
  <c r="D802" i="14"/>
  <c r="G801" i="14"/>
  <c r="D801" i="14"/>
  <c r="G800" i="14"/>
  <c r="D800" i="14"/>
  <c r="G799" i="14"/>
  <c r="D799" i="14"/>
  <c r="G798" i="14"/>
  <c r="D798" i="14"/>
  <c r="G797" i="14"/>
  <c r="D797" i="14"/>
  <c r="G796" i="14"/>
  <c r="D796" i="14"/>
  <c r="G795" i="14"/>
  <c r="D795" i="14"/>
  <c r="G794" i="14"/>
  <c r="D794" i="14"/>
  <c r="G793" i="14"/>
  <c r="D793" i="14"/>
  <c r="G792" i="14"/>
  <c r="D792" i="14"/>
  <c r="G791" i="14"/>
  <c r="D791" i="14"/>
  <c r="G790" i="14"/>
  <c r="D790" i="14"/>
  <c r="G789" i="14"/>
  <c r="D789" i="14"/>
  <c r="G788" i="14"/>
  <c r="D788" i="14"/>
  <c r="G787" i="14"/>
  <c r="D787" i="14"/>
  <c r="G786" i="14"/>
  <c r="D786" i="14"/>
  <c r="G785" i="14"/>
  <c r="D785" i="14"/>
  <c r="G784" i="14"/>
  <c r="D784" i="14"/>
  <c r="G783" i="14"/>
  <c r="D783" i="14"/>
  <c r="G782" i="14"/>
  <c r="D782" i="14"/>
  <c r="G781" i="14"/>
  <c r="D781" i="14"/>
  <c r="G780" i="14"/>
  <c r="D780" i="14"/>
  <c r="G779" i="14"/>
  <c r="D779" i="14"/>
  <c r="G778" i="14"/>
  <c r="D778" i="14"/>
  <c r="G777" i="14"/>
  <c r="D777" i="14"/>
  <c r="G776" i="14"/>
  <c r="D776" i="14"/>
  <c r="G775" i="14"/>
  <c r="D775" i="14"/>
  <c r="G774" i="14"/>
  <c r="D774" i="14"/>
  <c r="G773" i="14"/>
  <c r="D773" i="14"/>
  <c r="G772" i="14"/>
  <c r="D772" i="14"/>
  <c r="G771" i="14"/>
  <c r="D771" i="14"/>
  <c r="G770" i="14"/>
  <c r="D770" i="14"/>
  <c r="G769" i="14"/>
  <c r="D769" i="14"/>
  <c r="G768" i="14"/>
  <c r="D768" i="14"/>
  <c r="G767" i="14"/>
  <c r="D767" i="14"/>
  <c r="G766" i="14"/>
  <c r="D766" i="14"/>
  <c r="G765" i="14"/>
  <c r="D765" i="14"/>
  <c r="G764" i="14"/>
  <c r="D764" i="14"/>
  <c r="G763" i="14"/>
  <c r="D763" i="14"/>
  <c r="G762" i="14"/>
  <c r="D762" i="14"/>
  <c r="G761" i="14"/>
  <c r="D761" i="14"/>
  <c r="G760" i="14"/>
  <c r="D760" i="14"/>
  <c r="G759" i="14"/>
  <c r="D759" i="14"/>
  <c r="G758" i="14"/>
  <c r="D758" i="14"/>
  <c r="G757" i="14"/>
  <c r="D757" i="14"/>
  <c r="G756" i="14"/>
  <c r="D756" i="14"/>
  <c r="G755" i="14"/>
  <c r="D755" i="14"/>
  <c r="G754" i="14"/>
  <c r="D754" i="14"/>
  <c r="G753" i="14"/>
  <c r="D753" i="14"/>
  <c r="G752" i="14"/>
  <c r="D752" i="14"/>
  <c r="G751" i="14"/>
  <c r="D751" i="14"/>
  <c r="G750" i="14"/>
  <c r="D750" i="14"/>
  <c r="G749" i="14"/>
  <c r="D749" i="14"/>
  <c r="G748" i="14"/>
  <c r="D748" i="14"/>
  <c r="G747" i="14"/>
  <c r="D747" i="14"/>
  <c r="G746" i="14"/>
  <c r="D746" i="14"/>
  <c r="G745" i="14"/>
  <c r="D745" i="14"/>
  <c r="G744" i="14"/>
  <c r="D744" i="14"/>
  <c r="G743" i="14"/>
  <c r="D743" i="14"/>
  <c r="G742" i="14"/>
  <c r="D742" i="14"/>
  <c r="G741" i="14"/>
  <c r="D741" i="14"/>
  <c r="G740" i="14"/>
  <c r="D740" i="14"/>
  <c r="G739" i="14"/>
  <c r="D739" i="14"/>
  <c r="G738" i="14"/>
  <c r="D738" i="14"/>
  <c r="G737" i="14"/>
  <c r="D737" i="14"/>
  <c r="G736" i="14"/>
  <c r="D736" i="14"/>
  <c r="G735" i="14"/>
  <c r="D735" i="14"/>
  <c r="G734" i="14"/>
  <c r="D734" i="14"/>
  <c r="G733" i="14"/>
  <c r="D733" i="14"/>
  <c r="G732" i="14"/>
  <c r="D732" i="14"/>
  <c r="G731" i="14"/>
  <c r="D731" i="14"/>
  <c r="G730" i="14"/>
  <c r="D730" i="14"/>
  <c r="G729" i="14"/>
  <c r="D729" i="14"/>
  <c r="G728" i="14"/>
  <c r="D728" i="14"/>
  <c r="G727" i="14"/>
  <c r="D727" i="14"/>
  <c r="G726" i="14"/>
  <c r="D726" i="14"/>
  <c r="G725" i="14"/>
  <c r="D725" i="14"/>
  <c r="G724" i="14"/>
  <c r="D724" i="14"/>
  <c r="G723" i="14"/>
  <c r="D723" i="14"/>
  <c r="G722" i="14"/>
  <c r="D722" i="14"/>
  <c r="G721" i="14"/>
  <c r="D721" i="14"/>
  <c r="G720" i="14"/>
  <c r="D720" i="14"/>
  <c r="G719" i="14"/>
  <c r="D719" i="14"/>
  <c r="G718" i="14"/>
  <c r="D718" i="14"/>
  <c r="G717" i="14"/>
  <c r="D717" i="14"/>
  <c r="G716" i="14"/>
  <c r="D716" i="14"/>
  <c r="G715" i="14"/>
  <c r="D715" i="14"/>
  <c r="G714" i="14"/>
  <c r="D714" i="14"/>
  <c r="G713" i="14"/>
  <c r="D713" i="14"/>
  <c r="G712" i="14"/>
  <c r="D712" i="14"/>
  <c r="G711" i="14"/>
  <c r="D711" i="14"/>
  <c r="G710" i="14"/>
  <c r="D710" i="14"/>
  <c r="G709" i="14"/>
  <c r="D709" i="14"/>
  <c r="G708" i="14"/>
  <c r="D708" i="14"/>
  <c r="G707" i="14"/>
  <c r="D707" i="14"/>
  <c r="G706" i="14"/>
  <c r="D706" i="14"/>
  <c r="G705" i="14"/>
  <c r="D705" i="14"/>
  <c r="G704" i="14"/>
  <c r="D704" i="14"/>
  <c r="G703" i="14"/>
  <c r="D703" i="14"/>
  <c r="G702" i="14"/>
  <c r="D702" i="14"/>
  <c r="G701" i="14"/>
  <c r="D701" i="14"/>
  <c r="G700" i="14"/>
  <c r="D700" i="14"/>
  <c r="G699" i="14"/>
  <c r="D699" i="14"/>
  <c r="G698" i="14"/>
  <c r="D698" i="14"/>
  <c r="G697" i="14"/>
  <c r="D697" i="14"/>
  <c r="G696" i="14"/>
  <c r="D696" i="14"/>
  <c r="G695" i="14"/>
  <c r="D695" i="14"/>
  <c r="G694" i="14"/>
  <c r="D694" i="14"/>
  <c r="G693" i="14"/>
  <c r="D693" i="14"/>
  <c r="G692" i="14"/>
  <c r="D692" i="14"/>
  <c r="G691" i="14"/>
  <c r="D691" i="14"/>
  <c r="G690" i="14"/>
  <c r="D690" i="14"/>
  <c r="G689" i="14"/>
  <c r="D689" i="14"/>
  <c r="G688" i="14"/>
  <c r="D688" i="14"/>
  <c r="G687" i="14"/>
  <c r="D687" i="14"/>
  <c r="G686" i="14"/>
  <c r="D686" i="14"/>
  <c r="G685" i="14"/>
  <c r="D685" i="14"/>
  <c r="G684" i="14"/>
  <c r="D684" i="14"/>
  <c r="G683" i="14"/>
  <c r="D683" i="14"/>
  <c r="G682" i="14"/>
  <c r="D682" i="14"/>
  <c r="G681" i="14"/>
  <c r="D681" i="14"/>
  <c r="G680" i="14"/>
  <c r="D680" i="14"/>
  <c r="G679" i="14"/>
  <c r="D679" i="14"/>
  <c r="G678" i="14"/>
  <c r="D678" i="14"/>
  <c r="G677" i="14"/>
  <c r="D677" i="14"/>
  <c r="G676" i="14"/>
  <c r="D676" i="14"/>
  <c r="G675" i="14"/>
  <c r="D675" i="14"/>
  <c r="G674" i="14"/>
  <c r="D674" i="14"/>
  <c r="G673" i="14"/>
  <c r="D673" i="14"/>
  <c r="G672" i="14"/>
  <c r="D672" i="14"/>
  <c r="G671" i="14"/>
  <c r="D671" i="14"/>
  <c r="G670" i="14"/>
  <c r="D670" i="14"/>
  <c r="G669" i="14"/>
  <c r="D669" i="14"/>
  <c r="G668" i="14"/>
  <c r="D668" i="14"/>
  <c r="G667" i="14"/>
  <c r="D667" i="14"/>
  <c r="G666" i="14"/>
  <c r="D666" i="14"/>
  <c r="G665" i="14"/>
  <c r="D665" i="14"/>
  <c r="G664" i="14"/>
  <c r="D664" i="14"/>
  <c r="G663" i="14"/>
  <c r="D663" i="14"/>
  <c r="G662" i="14"/>
  <c r="D662" i="14"/>
  <c r="G661" i="14"/>
  <c r="D661" i="14"/>
  <c r="G660" i="14"/>
  <c r="D660" i="14"/>
  <c r="G659" i="14"/>
  <c r="D659" i="14"/>
  <c r="G658" i="14"/>
  <c r="D658" i="14"/>
  <c r="G657" i="14"/>
  <c r="D657" i="14"/>
  <c r="G656" i="14"/>
  <c r="D656" i="14"/>
  <c r="G655" i="14"/>
  <c r="D655" i="14"/>
  <c r="G654" i="14"/>
  <c r="D654" i="14"/>
  <c r="G653" i="14"/>
  <c r="D653" i="14"/>
  <c r="G652" i="14"/>
  <c r="D652" i="14"/>
  <c r="G651" i="14"/>
  <c r="D651" i="14"/>
  <c r="G650" i="14"/>
  <c r="D650" i="14"/>
  <c r="G649" i="14"/>
  <c r="D649" i="14"/>
  <c r="G648" i="14"/>
  <c r="D648" i="14"/>
  <c r="G647" i="14"/>
  <c r="D647" i="14"/>
  <c r="G646" i="14"/>
  <c r="D646" i="14"/>
  <c r="G645" i="14"/>
  <c r="D645" i="14"/>
  <c r="G644" i="14"/>
  <c r="D644" i="14"/>
  <c r="G643" i="14"/>
  <c r="D643" i="14"/>
  <c r="G642" i="14"/>
  <c r="D642" i="14"/>
  <c r="G641" i="14"/>
  <c r="D641" i="14"/>
  <c r="G640" i="14"/>
  <c r="D640" i="14"/>
  <c r="G639" i="14"/>
  <c r="D639" i="14"/>
  <c r="G638" i="14"/>
  <c r="D638" i="14"/>
  <c r="G637" i="14"/>
  <c r="D637" i="14"/>
  <c r="G636" i="14"/>
  <c r="D636" i="14"/>
  <c r="G635" i="14"/>
  <c r="D635" i="14"/>
  <c r="G634" i="14"/>
  <c r="D634" i="14"/>
  <c r="G633" i="14"/>
  <c r="D633" i="14"/>
  <c r="G632" i="14"/>
  <c r="D632" i="14"/>
  <c r="G631" i="14"/>
  <c r="D631" i="14"/>
  <c r="G630" i="14"/>
  <c r="D630" i="14"/>
  <c r="G629" i="14"/>
  <c r="D629" i="14"/>
  <c r="G628" i="14"/>
  <c r="D628" i="14"/>
  <c r="G627" i="14"/>
  <c r="D627" i="14"/>
  <c r="G626" i="14"/>
  <c r="D626" i="14"/>
  <c r="G625" i="14"/>
  <c r="D625" i="14"/>
  <c r="G624" i="14"/>
  <c r="D624" i="14"/>
  <c r="G623" i="14"/>
  <c r="D623" i="14"/>
  <c r="G622" i="14"/>
  <c r="D622" i="14"/>
  <c r="G621" i="14"/>
  <c r="D621" i="14"/>
  <c r="G620" i="14"/>
  <c r="D620" i="14"/>
  <c r="G619" i="14"/>
  <c r="D619" i="14"/>
  <c r="G618" i="14"/>
  <c r="D618" i="14"/>
  <c r="G617" i="14"/>
  <c r="D617" i="14"/>
  <c r="G616" i="14"/>
  <c r="D616" i="14"/>
  <c r="G615" i="14"/>
  <c r="D615" i="14"/>
  <c r="G614" i="14"/>
  <c r="D614" i="14"/>
  <c r="G613" i="14"/>
  <c r="D613" i="14"/>
  <c r="G612" i="14"/>
  <c r="D612" i="14"/>
  <c r="G611" i="14"/>
  <c r="D611" i="14"/>
  <c r="G610" i="14"/>
  <c r="D610" i="14"/>
  <c r="G609" i="14"/>
  <c r="D609" i="14"/>
  <c r="G608" i="14"/>
  <c r="D608" i="14"/>
  <c r="G607" i="14"/>
  <c r="D607" i="14"/>
  <c r="G606" i="14"/>
  <c r="D606" i="14"/>
  <c r="G605" i="14"/>
  <c r="D605" i="14"/>
  <c r="G604" i="14"/>
  <c r="D604" i="14"/>
  <c r="G603" i="14"/>
  <c r="D603" i="14"/>
  <c r="G602" i="14"/>
  <c r="D602" i="14"/>
  <c r="G601" i="14"/>
  <c r="D601" i="14"/>
  <c r="G600" i="14"/>
  <c r="D600" i="14"/>
  <c r="G599" i="14"/>
  <c r="D599" i="14"/>
  <c r="G598" i="14"/>
  <c r="D598" i="14"/>
  <c r="G597" i="14"/>
  <c r="D597" i="14"/>
  <c r="G596" i="14"/>
  <c r="D596" i="14"/>
  <c r="G595" i="14"/>
  <c r="D595" i="14"/>
  <c r="G594" i="14"/>
  <c r="D594" i="14"/>
  <c r="G593" i="14"/>
  <c r="D593" i="14"/>
  <c r="G592" i="14"/>
  <c r="D592" i="14"/>
  <c r="G591" i="14"/>
  <c r="D591" i="14"/>
  <c r="G590" i="14"/>
  <c r="D590" i="14"/>
  <c r="G589" i="14"/>
  <c r="D589" i="14"/>
  <c r="G588" i="14"/>
  <c r="D588" i="14"/>
  <c r="G587" i="14"/>
  <c r="D587" i="14"/>
  <c r="G586" i="14"/>
  <c r="D586" i="14"/>
  <c r="G585" i="14"/>
  <c r="D585" i="14"/>
  <c r="G584" i="14"/>
  <c r="D584" i="14"/>
  <c r="G583" i="14"/>
  <c r="D583" i="14"/>
  <c r="G582" i="14"/>
  <c r="D582" i="14"/>
  <c r="G581" i="14"/>
  <c r="D581" i="14"/>
  <c r="G580" i="14"/>
  <c r="D580" i="14"/>
  <c r="G579" i="14"/>
  <c r="D579" i="14"/>
  <c r="G578" i="14"/>
  <c r="D578" i="14"/>
  <c r="G577" i="14"/>
  <c r="D577" i="14"/>
  <c r="G576" i="14"/>
  <c r="D576" i="14"/>
  <c r="G575" i="14"/>
  <c r="D575" i="14"/>
  <c r="G574" i="14"/>
  <c r="D574" i="14"/>
  <c r="G573" i="14"/>
  <c r="D573" i="14"/>
  <c r="G572" i="14"/>
  <c r="D572" i="14"/>
  <c r="G571" i="14"/>
  <c r="D571" i="14"/>
  <c r="G570" i="14"/>
  <c r="D570" i="14"/>
  <c r="G569" i="14"/>
  <c r="D569" i="14"/>
  <c r="G568" i="14"/>
  <c r="D568" i="14"/>
  <c r="G567" i="14"/>
  <c r="D567" i="14"/>
  <c r="G566" i="14"/>
  <c r="D566" i="14"/>
  <c r="G565" i="14"/>
  <c r="D565" i="14"/>
  <c r="G564" i="14"/>
  <c r="D564" i="14"/>
  <c r="G563" i="14"/>
  <c r="D563" i="14"/>
  <c r="G562" i="14"/>
  <c r="D562" i="14"/>
  <c r="G561" i="14"/>
  <c r="D561" i="14"/>
  <c r="G560" i="14"/>
  <c r="D560" i="14"/>
  <c r="G559" i="14"/>
  <c r="D559" i="14"/>
  <c r="G558" i="14"/>
  <c r="D558" i="14"/>
  <c r="G557" i="14"/>
  <c r="D557" i="14"/>
  <c r="G556" i="14"/>
  <c r="D556" i="14"/>
  <c r="G555" i="14"/>
  <c r="D555" i="14"/>
  <c r="G554" i="14"/>
  <c r="D554" i="14"/>
  <c r="G553" i="14"/>
  <c r="D553" i="14"/>
  <c r="G552" i="14"/>
  <c r="D552" i="14"/>
  <c r="G551" i="14"/>
  <c r="D551" i="14"/>
  <c r="G550" i="14"/>
  <c r="D550" i="14"/>
  <c r="G549" i="14"/>
  <c r="D549" i="14"/>
  <c r="G548" i="14"/>
  <c r="D548" i="14"/>
  <c r="G547" i="14"/>
  <c r="D547" i="14"/>
  <c r="G546" i="14"/>
  <c r="D546" i="14"/>
  <c r="G545" i="14"/>
  <c r="D545" i="14"/>
  <c r="G544" i="14"/>
  <c r="D544" i="14"/>
  <c r="G543" i="14"/>
  <c r="D543" i="14"/>
  <c r="G542" i="14"/>
  <c r="D542" i="14"/>
  <c r="G541" i="14"/>
  <c r="D541" i="14"/>
  <c r="G540" i="14"/>
  <c r="D540" i="14"/>
  <c r="G539" i="14"/>
  <c r="D539" i="14"/>
  <c r="G538" i="14"/>
  <c r="D538" i="14"/>
  <c r="G537" i="14"/>
  <c r="D537" i="14"/>
  <c r="G536" i="14"/>
  <c r="D536" i="14"/>
  <c r="G535" i="14"/>
  <c r="D535" i="14"/>
  <c r="G534" i="14"/>
  <c r="D534" i="14"/>
  <c r="G533" i="14"/>
  <c r="D533" i="14"/>
  <c r="G532" i="14"/>
  <c r="D532" i="14"/>
  <c r="G531" i="14"/>
  <c r="D531" i="14"/>
  <c r="G530" i="14"/>
  <c r="D530" i="14"/>
  <c r="G529" i="14"/>
  <c r="D529" i="14"/>
  <c r="G528" i="14"/>
  <c r="D528" i="14"/>
  <c r="G527" i="14"/>
  <c r="D527" i="14"/>
  <c r="G526" i="14"/>
  <c r="D526" i="14"/>
  <c r="G525" i="14"/>
  <c r="D525" i="14"/>
  <c r="G524" i="14"/>
  <c r="D524" i="14"/>
  <c r="G523" i="14"/>
  <c r="D523" i="14"/>
  <c r="G522" i="14"/>
  <c r="D522" i="14"/>
  <c r="G521" i="14"/>
  <c r="D521" i="14"/>
  <c r="G520" i="14"/>
  <c r="D520" i="14"/>
  <c r="G519" i="14"/>
  <c r="D519" i="14"/>
  <c r="G518" i="14"/>
  <c r="D518" i="14"/>
  <c r="G517" i="14"/>
  <c r="D517" i="14"/>
  <c r="G516" i="14"/>
  <c r="D516" i="14"/>
  <c r="G515" i="14"/>
  <c r="D515" i="14"/>
  <c r="G514" i="14"/>
  <c r="D514" i="14"/>
  <c r="G513" i="14"/>
  <c r="D513" i="14"/>
  <c r="G512" i="14"/>
  <c r="D512" i="14"/>
  <c r="G511" i="14"/>
  <c r="D511" i="14"/>
  <c r="G510" i="14"/>
  <c r="D510" i="14"/>
  <c r="G509" i="14"/>
  <c r="D509" i="14"/>
  <c r="G508" i="14"/>
  <c r="D508" i="14"/>
  <c r="G507" i="14"/>
  <c r="D507" i="14"/>
  <c r="G506" i="14"/>
  <c r="D506" i="14"/>
  <c r="G505" i="14"/>
  <c r="D505" i="14"/>
  <c r="G504" i="14"/>
  <c r="D504" i="14"/>
  <c r="G503" i="14"/>
  <c r="D503" i="14"/>
  <c r="G502" i="14"/>
  <c r="D502" i="14"/>
  <c r="G501" i="14"/>
  <c r="D501" i="14"/>
  <c r="G500" i="14"/>
  <c r="D500" i="14"/>
  <c r="G499" i="14"/>
  <c r="D499" i="14"/>
  <c r="G498" i="14"/>
  <c r="D498" i="14"/>
  <c r="G497" i="14"/>
  <c r="D497" i="14"/>
  <c r="G496" i="14"/>
  <c r="D496" i="14"/>
  <c r="G495" i="14"/>
  <c r="D495" i="14"/>
  <c r="G494" i="14"/>
  <c r="D494" i="14"/>
  <c r="G493" i="14"/>
  <c r="D493" i="14"/>
  <c r="G492" i="14"/>
  <c r="D492" i="14"/>
  <c r="G491" i="14"/>
  <c r="D491" i="14"/>
  <c r="G490" i="14"/>
  <c r="D490" i="14"/>
  <c r="G489" i="14"/>
  <c r="D489" i="14"/>
  <c r="G488" i="14"/>
  <c r="D488" i="14"/>
  <c r="G487" i="14"/>
  <c r="D487" i="14"/>
  <c r="G486" i="14"/>
  <c r="D486" i="14"/>
  <c r="G485" i="14"/>
  <c r="D485" i="14"/>
  <c r="G484" i="14"/>
  <c r="D484" i="14"/>
  <c r="G483" i="14"/>
  <c r="D483" i="14"/>
  <c r="G482" i="14"/>
  <c r="D482" i="14"/>
  <c r="G481" i="14"/>
  <c r="D481" i="14"/>
  <c r="G480" i="14"/>
  <c r="D480" i="14"/>
  <c r="G479" i="14"/>
  <c r="D479" i="14"/>
  <c r="G478" i="14"/>
  <c r="D478" i="14"/>
  <c r="G477" i="14"/>
  <c r="D477" i="14"/>
  <c r="G476" i="14"/>
  <c r="D476" i="14"/>
  <c r="G475" i="14"/>
  <c r="D475" i="14"/>
  <c r="G474" i="14"/>
  <c r="D474" i="14"/>
  <c r="G473" i="14"/>
  <c r="D473" i="14"/>
  <c r="G472" i="14"/>
  <c r="D472" i="14"/>
  <c r="G471" i="14"/>
  <c r="D471" i="14"/>
  <c r="G470" i="14"/>
  <c r="D470" i="14"/>
  <c r="G469" i="14"/>
  <c r="D469" i="14"/>
  <c r="G468" i="14"/>
  <c r="D468" i="14"/>
  <c r="G467" i="14"/>
  <c r="D467" i="14"/>
  <c r="G466" i="14"/>
  <c r="D466" i="14"/>
  <c r="G465" i="14"/>
  <c r="D465" i="14"/>
  <c r="G464" i="14"/>
  <c r="D464" i="14"/>
  <c r="G463" i="14"/>
  <c r="D463" i="14"/>
  <c r="G462" i="14"/>
  <c r="D462" i="14"/>
  <c r="G461" i="14"/>
  <c r="D461" i="14"/>
  <c r="G460" i="14"/>
  <c r="D460" i="14"/>
  <c r="G459" i="14"/>
  <c r="D459" i="14"/>
  <c r="G458" i="14"/>
  <c r="D458" i="14"/>
  <c r="G457" i="14"/>
  <c r="D457" i="14"/>
  <c r="G456" i="14"/>
  <c r="D456" i="14"/>
  <c r="G455" i="14"/>
  <c r="D455" i="14"/>
  <c r="G454" i="14"/>
  <c r="D454" i="14"/>
  <c r="G453" i="14"/>
  <c r="D453" i="14"/>
  <c r="G452" i="14"/>
  <c r="D452" i="14"/>
  <c r="G451" i="14"/>
  <c r="D451" i="14"/>
  <c r="G450" i="14"/>
  <c r="D450" i="14"/>
  <c r="G449" i="14"/>
  <c r="D449" i="14"/>
  <c r="G448" i="14"/>
  <c r="D448" i="14"/>
  <c r="G447" i="14"/>
  <c r="D447" i="14"/>
  <c r="G446" i="14"/>
  <c r="D446" i="14"/>
  <c r="G445" i="14"/>
  <c r="D445" i="14"/>
  <c r="G444" i="14"/>
  <c r="D444" i="14"/>
  <c r="G443" i="14"/>
  <c r="D443" i="14"/>
  <c r="G442" i="14"/>
  <c r="D442" i="14"/>
  <c r="G441" i="14"/>
  <c r="D441" i="14"/>
  <c r="G440" i="14"/>
  <c r="D440" i="14"/>
  <c r="G439" i="14"/>
  <c r="D439" i="14"/>
  <c r="G438" i="14"/>
  <c r="D438" i="14"/>
  <c r="G437" i="14"/>
  <c r="D437" i="14"/>
  <c r="G436" i="14"/>
  <c r="D436" i="14"/>
  <c r="G435" i="14"/>
  <c r="D435" i="14"/>
  <c r="G434" i="14"/>
  <c r="D434" i="14"/>
  <c r="G433" i="14"/>
  <c r="D433" i="14"/>
  <c r="G432" i="14"/>
  <c r="D432" i="14"/>
  <c r="G431" i="14"/>
  <c r="D431" i="14"/>
  <c r="G430" i="14"/>
  <c r="D430" i="14"/>
  <c r="G429" i="14"/>
  <c r="D429" i="14"/>
  <c r="G428" i="14"/>
  <c r="D428" i="14"/>
  <c r="G427" i="14"/>
  <c r="D427" i="14"/>
  <c r="G426" i="14"/>
  <c r="D426" i="14"/>
  <c r="G425" i="14"/>
  <c r="D425" i="14"/>
  <c r="G424" i="14"/>
  <c r="D424" i="14"/>
  <c r="G423" i="14"/>
  <c r="D423" i="14"/>
  <c r="G422" i="14"/>
  <c r="D422" i="14"/>
  <c r="G421" i="14"/>
  <c r="D421" i="14"/>
  <c r="G420" i="14"/>
  <c r="D420" i="14"/>
  <c r="G419" i="14"/>
  <c r="D419" i="14"/>
  <c r="G418" i="14"/>
  <c r="D418" i="14"/>
  <c r="G417" i="14"/>
  <c r="D417" i="14"/>
  <c r="G416" i="14"/>
  <c r="D416" i="14"/>
  <c r="G415" i="14"/>
  <c r="D415" i="14"/>
  <c r="G414" i="14"/>
  <c r="D414" i="14"/>
  <c r="G413" i="14"/>
  <c r="D413" i="14"/>
  <c r="G412" i="14"/>
  <c r="D412" i="14"/>
  <c r="G411" i="14"/>
  <c r="D411" i="14"/>
  <c r="G410" i="14"/>
  <c r="D410" i="14"/>
  <c r="G409" i="14"/>
  <c r="D409" i="14"/>
  <c r="G408" i="14"/>
  <c r="D408" i="14"/>
  <c r="G407" i="14"/>
  <c r="D407" i="14"/>
  <c r="G406" i="14"/>
  <c r="D406" i="14"/>
  <c r="G405" i="14"/>
  <c r="D405" i="14"/>
  <c r="G404" i="14"/>
  <c r="D404" i="14"/>
  <c r="G403" i="14"/>
  <c r="D403" i="14"/>
  <c r="G402" i="14"/>
  <c r="D402" i="14"/>
  <c r="G401" i="14"/>
  <c r="D401" i="14"/>
  <c r="G400" i="14"/>
  <c r="D400" i="14"/>
  <c r="G399" i="14"/>
  <c r="D399" i="14"/>
  <c r="G398" i="14"/>
  <c r="D398" i="14"/>
  <c r="G397" i="14"/>
  <c r="D397" i="14"/>
  <c r="G396" i="14"/>
  <c r="D396" i="14"/>
  <c r="G395" i="14"/>
  <c r="D395" i="14"/>
  <c r="G394" i="14"/>
  <c r="D394" i="14"/>
  <c r="G393" i="14"/>
  <c r="D393" i="14"/>
  <c r="G392" i="14"/>
  <c r="D392" i="14"/>
  <c r="G391" i="14"/>
  <c r="D391" i="14"/>
  <c r="G390" i="14"/>
  <c r="D390" i="14"/>
  <c r="G389" i="14"/>
  <c r="D389" i="14"/>
  <c r="G388" i="14"/>
  <c r="D388" i="14"/>
  <c r="G387" i="14"/>
  <c r="D387" i="14"/>
  <c r="G386" i="14"/>
  <c r="D386" i="14"/>
  <c r="G385" i="14"/>
  <c r="D385" i="14"/>
  <c r="G384" i="14"/>
  <c r="D384" i="14"/>
  <c r="G383" i="14"/>
  <c r="D383" i="14"/>
  <c r="G382" i="14"/>
  <c r="D382" i="14"/>
  <c r="G381" i="14"/>
  <c r="D381" i="14"/>
  <c r="G380" i="14"/>
  <c r="D380" i="14"/>
  <c r="G379" i="14"/>
  <c r="D379" i="14"/>
  <c r="G378" i="14"/>
  <c r="D378" i="14"/>
  <c r="G377" i="14"/>
  <c r="D377" i="14"/>
  <c r="G376" i="14"/>
  <c r="D376" i="14"/>
  <c r="G375" i="14"/>
  <c r="D375" i="14"/>
  <c r="G374" i="14"/>
  <c r="D374" i="14"/>
  <c r="G373" i="14"/>
  <c r="D373" i="14"/>
  <c r="G372" i="14"/>
  <c r="D372" i="14"/>
  <c r="G371" i="14"/>
  <c r="D371" i="14"/>
  <c r="G370" i="14"/>
  <c r="D370" i="14"/>
  <c r="G369" i="14"/>
  <c r="D369" i="14"/>
  <c r="G368" i="14"/>
  <c r="D368" i="14"/>
  <c r="G367" i="14"/>
  <c r="D367" i="14"/>
  <c r="G366" i="14"/>
  <c r="D366" i="14"/>
  <c r="G365" i="14"/>
  <c r="D365" i="14"/>
  <c r="G364" i="14"/>
  <c r="D364" i="14"/>
  <c r="G363" i="14"/>
  <c r="D363" i="14"/>
  <c r="G362" i="14"/>
  <c r="D362" i="14"/>
  <c r="G361" i="14"/>
  <c r="D361" i="14"/>
  <c r="G360" i="14"/>
  <c r="D360" i="14"/>
  <c r="G359" i="14"/>
  <c r="D359" i="14"/>
  <c r="G358" i="14"/>
  <c r="D358" i="14"/>
  <c r="G357" i="14"/>
  <c r="D357" i="14"/>
  <c r="G356" i="14"/>
  <c r="D356" i="14"/>
  <c r="G355" i="14"/>
  <c r="D355" i="14"/>
  <c r="G354" i="14"/>
  <c r="D354" i="14"/>
  <c r="G353" i="14"/>
  <c r="D353" i="14"/>
  <c r="G352" i="14"/>
  <c r="D352" i="14"/>
  <c r="G351" i="14"/>
  <c r="D351" i="14"/>
  <c r="G350" i="14"/>
  <c r="D350" i="14"/>
  <c r="G349" i="14"/>
  <c r="D349" i="14"/>
  <c r="G348" i="14"/>
  <c r="D348" i="14"/>
  <c r="G347" i="14"/>
  <c r="D347" i="14"/>
  <c r="G346" i="14"/>
  <c r="D346" i="14"/>
  <c r="G345" i="14"/>
  <c r="D345" i="14"/>
  <c r="G344" i="14"/>
  <c r="D344" i="14"/>
  <c r="G343" i="14"/>
  <c r="D343" i="14"/>
  <c r="G342" i="14"/>
  <c r="D342" i="14"/>
  <c r="G341" i="14"/>
  <c r="D341" i="14"/>
  <c r="G340" i="14"/>
  <c r="D340" i="14"/>
  <c r="G339" i="14"/>
  <c r="D339" i="14"/>
  <c r="G338" i="14"/>
  <c r="D338" i="14"/>
  <c r="G337" i="14"/>
  <c r="D337" i="14"/>
  <c r="G336" i="14"/>
  <c r="D336" i="14"/>
  <c r="G335" i="14"/>
  <c r="D335" i="14"/>
  <c r="G334" i="14"/>
  <c r="D334" i="14"/>
  <c r="G333" i="14"/>
  <c r="D333" i="14"/>
  <c r="G332" i="14"/>
  <c r="D332" i="14"/>
  <c r="G331" i="14"/>
  <c r="D331" i="14"/>
  <c r="G330" i="14"/>
  <c r="D330" i="14"/>
  <c r="G329" i="14"/>
  <c r="D329" i="14"/>
  <c r="G328" i="14"/>
  <c r="D328" i="14"/>
  <c r="G327" i="14"/>
  <c r="D327" i="14"/>
  <c r="G326" i="14"/>
  <c r="D326" i="14"/>
  <c r="G325" i="14"/>
  <c r="D325" i="14"/>
  <c r="G324" i="14"/>
  <c r="D324" i="14"/>
  <c r="G323" i="14"/>
  <c r="D323" i="14"/>
  <c r="G322" i="14"/>
  <c r="D322" i="14"/>
  <c r="G321" i="14"/>
  <c r="D321" i="14"/>
  <c r="G320" i="14"/>
  <c r="D320" i="14"/>
  <c r="G319" i="14"/>
  <c r="D319" i="14"/>
  <c r="G318" i="14"/>
  <c r="D318" i="14"/>
  <c r="G317" i="14"/>
  <c r="D317" i="14"/>
  <c r="G316" i="14"/>
  <c r="D316" i="14"/>
  <c r="G315" i="14"/>
  <c r="D315" i="14"/>
  <c r="G314" i="14"/>
  <c r="D314" i="14"/>
  <c r="G313" i="14"/>
  <c r="D313" i="14"/>
  <c r="G312" i="14"/>
  <c r="D312" i="14"/>
  <c r="G311" i="14"/>
  <c r="D311" i="14"/>
  <c r="G310" i="14"/>
  <c r="D310" i="14"/>
  <c r="G309" i="14"/>
  <c r="D309" i="14"/>
  <c r="G308" i="14"/>
  <c r="D308" i="14"/>
  <c r="G307" i="14"/>
  <c r="D307" i="14"/>
  <c r="G306" i="14"/>
  <c r="D306" i="14"/>
  <c r="G305" i="14"/>
  <c r="D305" i="14"/>
  <c r="G304" i="14"/>
  <c r="D304" i="14"/>
  <c r="G303" i="14"/>
  <c r="D303" i="14"/>
  <c r="G302" i="14"/>
  <c r="D302" i="14"/>
  <c r="G301" i="14"/>
  <c r="D301" i="14"/>
  <c r="G300" i="14"/>
  <c r="D300" i="14"/>
  <c r="G299" i="14"/>
  <c r="D299" i="14"/>
  <c r="G298" i="14"/>
  <c r="D298" i="14"/>
  <c r="G297" i="14"/>
  <c r="D297" i="14"/>
  <c r="G296" i="14"/>
  <c r="D296" i="14"/>
  <c r="G295" i="14"/>
  <c r="D295" i="14"/>
  <c r="G294" i="14"/>
  <c r="D294" i="14"/>
  <c r="G293" i="14"/>
  <c r="D293" i="14"/>
  <c r="G292" i="14"/>
  <c r="D292" i="14"/>
  <c r="G291" i="14"/>
  <c r="D291" i="14"/>
  <c r="G290" i="14"/>
  <c r="D290" i="14"/>
  <c r="G289" i="14"/>
  <c r="D289" i="14"/>
  <c r="G288" i="14"/>
  <c r="D288" i="14"/>
  <c r="G287" i="14"/>
  <c r="D287" i="14"/>
  <c r="G286" i="14"/>
  <c r="D286" i="14"/>
  <c r="G285" i="14"/>
  <c r="D285" i="14"/>
  <c r="G284" i="14"/>
  <c r="D284" i="14"/>
  <c r="G283" i="14"/>
  <c r="D283" i="14"/>
  <c r="G282" i="14"/>
  <c r="D282" i="14"/>
  <c r="G281" i="14"/>
  <c r="D281" i="14"/>
  <c r="G280" i="14"/>
  <c r="D280" i="14"/>
  <c r="G279" i="14"/>
  <c r="D279" i="14"/>
  <c r="G278" i="14"/>
  <c r="D278" i="14"/>
  <c r="G277" i="14"/>
  <c r="D277" i="14"/>
  <c r="G276" i="14"/>
  <c r="D276" i="14"/>
  <c r="G275" i="14"/>
  <c r="D275" i="14"/>
  <c r="G274" i="14"/>
  <c r="D274" i="14"/>
  <c r="G273" i="14"/>
  <c r="D273" i="14"/>
  <c r="G272" i="14"/>
  <c r="D272" i="14"/>
  <c r="G271" i="14"/>
  <c r="D271" i="14"/>
  <c r="G270" i="14"/>
  <c r="D270" i="14"/>
  <c r="G269" i="14"/>
  <c r="D269" i="14"/>
  <c r="G268" i="14"/>
  <c r="D268" i="14"/>
  <c r="G267" i="14"/>
  <c r="D267" i="14"/>
  <c r="G266" i="14"/>
  <c r="D266" i="14"/>
  <c r="G265" i="14"/>
  <c r="D265" i="14"/>
  <c r="G264" i="14"/>
  <c r="D264" i="14"/>
  <c r="G263" i="14"/>
  <c r="D263" i="14"/>
  <c r="G262" i="14"/>
  <c r="D262" i="14"/>
  <c r="G261" i="14"/>
  <c r="D261" i="14"/>
  <c r="G260" i="14"/>
  <c r="D260" i="14"/>
  <c r="G259" i="14"/>
  <c r="D259" i="14"/>
  <c r="G258" i="14"/>
  <c r="D258" i="14"/>
  <c r="G257" i="14"/>
  <c r="D257" i="14"/>
  <c r="G256" i="14"/>
  <c r="D256" i="14"/>
  <c r="G255" i="14"/>
  <c r="D255" i="14"/>
  <c r="G254" i="14"/>
  <c r="D254" i="14"/>
  <c r="G253" i="14"/>
  <c r="D253" i="14"/>
  <c r="G252" i="14"/>
  <c r="D252" i="14"/>
  <c r="G251" i="14"/>
  <c r="D251" i="14"/>
  <c r="G250" i="14"/>
  <c r="D250" i="14"/>
  <c r="G249" i="14"/>
  <c r="D249" i="14"/>
  <c r="G248" i="14"/>
  <c r="D248" i="14"/>
  <c r="G247" i="14"/>
  <c r="D247" i="14"/>
  <c r="G246" i="14"/>
  <c r="D246" i="14"/>
  <c r="G245" i="14"/>
  <c r="D245" i="14"/>
  <c r="G244" i="14"/>
  <c r="D244" i="14"/>
  <c r="G243" i="14"/>
  <c r="D243" i="14"/>
  <c r="G242" i="14"/>
  <c r="D242" i="14"/>
  <c r="G241" i="14"/>
  <c r="D241" i="14"/>
  <c r="G240" i="14"/>
  <c r="D240" i="14"/>
  <c r="G239" i="14"/>
  <c r="D239" i="14"/>
  <c r="G238" i="14"/>
  <c r="D238" i="14"/>
  <c r="G237" i="14"/>
  <c r="D237" i="14"/>
  <c r="G236" i="14"/>
  <c r="D236" i="14"/>
  <c r="G235" i="14"/>
  <c r="D235" i="14"/>
  <c r="G234" i="14"/>
  <c r="D234" i="14"/>
  <c r="G233" i="14"/>
  <c r="D233" i="14"/>
  <c r="G232" i="14"/>
  <c r="D232" i="14"/>
  <c r="G231" i="14"/>
  <c r="D231" i="14"/>
  <c r="G230" i="14"/>
  <c r="D230" i="14"/>
  <c r="G229" i="14"/>
  <c r="D229" i="14"/>
  <c r="G228" i="14"/>
  <c r="D228" i="14"/>
  <c r="G227" i="14"/>
  <c r="D227" i="14"/>
  <c r="G226" i="14"/>
  <c r="D226" i="14"/>
  <c r="G225" i="14"/>
  <c r="D225" i="14"/>
  <c r="G224" i="14"/>
  <c r="D224" i="14"/>
  <c r="G223" i="14"/>
  <c r="D223" i="14"/>
  <c r="G222" i="14"/>
  <c r="D222" i="14"/>
  <c r="G221" i="14"/>
  <c r="D221" i="14"/>
  <c r="G220" i="14"/>
  <c r="D220" i="14"/>
  <c r="G219" i="14"/>
  <c r="D219" i="14"/>
  <c r="G218" i="14"/>
  <c r="D218" i="14"/>
  <c r="G217" i="14"/>
  <c r="D217" i="14"/>
  <c r="G216" i="14"/>
  <c r="D216" i="14"/>
  <c r="G215" i="14"/>
  <c r="D215" i="14"/>
  <c r="G214" i="14"/>
  <c r="D214" i="14"/>
  <c r="G213" i="14"/>
  <c r="D213" i="14"/>
  <c r="G212" i="14"/>
  <c r="D212" i="14"/>
  <c r="G211" i="14"/>
  <c r="D211" i="14"/>
  <c r="G210" i="14"/>
  <c r="D210" i="14"/>
  <c r="G209" i="14"/>
  <c r="D209" i="14"/>
  <c r="G208" i="14"/>
  <c r="D208" i="14"/>
  <c r="G207" i="14"/>
  <c r="D207" i="14"/>
  <c r="G206" i="14"/>
  <c r="D206" i="14"/>
  <c r="G205" i="14"/>
  <c r="D205" i="14"/>
  <c r="G204" i="14"/>
  <c r="D204" i="14"/>
  <c r="G203" i="14"/>
  <c r="D203" i="14"/>
  <c r="G202" i="14"/>
  <c r="D202" i="14"/>
  <c r="G201" i="14"/>
  <c r="D201" i="14"/>
  <c r="G200" i="14"/>
  <c r="D200" i="14"/>
  <c r="G199" i="14"/>
  <c r="D199" i="14"/>
  <c r="G198" i="14"/>
  <c r="D198" i="14"/>
  <c r="G197" i="14"/>
  <c r="D197" i="14"/>
  <c r="G196" i="14"/>
  <c r="D196" i="14"/>
  <c r="G195" i="14"/>
  <c r="D195" i="14"/>
  <c r="G194" i="14"/>
  <c r="D194" i="14"/>
  <c r="G193" i="14"/>
  <c r="D193" i="14"/>
  <c r="G192" i="14"/>
  <c r="D192" i="14"/>
  <c r="G191" i="14"/>
  <c r="D191" i="14"/>
  <c r="G190" i="14"/>
  <c r="D190" i="14"/>
  <c r="G189" i="14"/>
  <c r="D189" i="14"/>
  <c r="G188" i="14"/>
  <c r="D188" i="14"/>
  <c r="G187" i="14"/>
  <c r="D187" i="14"/>
  <c r="G186" i="14"/>
  <c r="D186" i="14"/>
  <c r="G185" i="14"/>
  <c r="D185" i="14"/>
  <c r="G184" i="14"/>
  <c r="D184" i="14"/>
  <c r="G183" i="14"/>
  <c r="D183" i="14"/>
  <c r="G182" i="14"/>
  <c r="D182" i="14"/>
  <c r="G181" i="14"/>
  <c r="D181" i="14"/>
  <c r="G180" i="14"/>
  <c r="D180" i="14"/>
  <c r="G179" i="14"/>
  <c r="D179" i="14"/>
  <c r="G178" i="14"/>
  <c r="D178" i="14"/>
  <c r="G177" i="14"/>
  <c r="D177" i="14"/>
  <c r="G176" i="14"/>
  <c r="D176" i="14"/>
  <c r="G175" i="14"/>
  <c r="D175" i="14"/>
  <c r="G174" i="14"/>
  <c r="D174" i="14"/>
  <c r="G173" i="14"/>
  <c r="D173" i="14"/>
  <c r="G172" i="14"/>
  <c r="D172" i="14"/>
  <c r="G171" i="14"/>
  <c r="D171" i="14"/>
  <c r="G170" i="14"/>
  <c r="D170" i="14"/>
  <c r="G169" i="14"/>
  <c r="D169" i="14"/>
  <c r="G168" i="14"/>
  <c r="D168" i="14"/>
  <c r="G167" i="14"/>
  <c r="D167" i="14"/>
  <c r="G166" i="14"/>
  <c r="D166" i="14"/>
  <c r="G165" i="14"/>
  <c r="D165" i="14"/>
  <c r="G164" i="14"/>
  <c r="D164" i="14"/>
  <c r="G163" i="14"/>
  <c r="D163" i="14"/>
  <c r="G162" i="14"/>
  <c r="D162" i="14"/>
  <c r="G161" i="14"/>
  <c r="D161" i="14"/>
  <c r="G160" i="14"/>
  <c r="D160" i="14"/>
  <c r="G159" i="14"/>
  <c r="D159" i="14"/>
  <c r="G158" i="14"/>
  <c r="D158" i="14"/>
  <c r="G157" i="14"/>
  <c r="D157" i="14"/>
  <c r="G156" i="14"/>
  <c r="D156" i="14"/>
  <c r="G155" i="14"/>
  <c r="D155" i="14"/>
  <c r="G154" i="14"/>
  <c r="D154" i="14"/>
  <c r="G153" i="14"/>
  <c r="D153" i="14"/>
  <c r="G152" i="14"/>
  <c r="D152" i="14"/>
  <c r="G151" i="14"/>
  <c r="D151" i="14"/>
  <c r="G150" i="14"/>
  <c r="D150" i="14"/>
  <c r="G149" i="14"/>
  <c r="D149" i="14"/>
  <c r="G148" i="14"/>
  <c r="D148" i="14"/>
  <c r="G147" i="14"/>
  <c r="D147" i="14"/>
  <c r="G146" i="14"/>
  <c r="D146" i="14"/>
  <c r="G145" i="14"/>
  <c r="D145" i="14"/>
  <c r="G144" i="14"/>
  <c r="D144" i="14"/>
  <c r="G143" i="14"/>
  <c r="D143" i="14"/>
  <c r="G142" i="14"/>
  <c r="D142" i="14"/>
  <c r="G141" i="14"/>
  <c r="D141" i="14"/>
  <c r="G140" i="14"/>
  <c r="D140" i="14"/>
  <c r="G139" i="14"/>
  <c r="D139" i="14"/>
  <c r="G138" i="14"/>
  <c r="D138" i="14"/>
  <c r="G137" i="14"/>
  <c r="D137" i="14"/>
  <c r="G136" i="14"/>
  <c r="D136" i="14"/>
  <c r="G135" i="14"/>
  <c r="D135" i="14"/>
  <c r="G134" i="14"/>
  <c r="D134" i="14"/>
  <c r="G133" i="14"/>
  <c r="D133" i="14"/>
  <c r="G132" i="14"/>
  <c r="D132" i="14"/>
  <c r="G131" i="14"/>
  <c r="D131" i="14"/>
  <c r="G130" i="14"/>
  <c r="D130" i="14"/>
  <c r="G129" i="14"/>
  <c r="D129" i="14"/>
  <c r="G128" i="14"/>
  <c r="D128" i="14"/>
  <c r="G127" i="14"/>
  <c r="D127" i="14"/>
  <c r="G126" i="14"/>
  <c r="D126" i="14"/>
  <c r="G125" i="14"/>
  <c r="D125" i="14"/>
  <c r="G124" i="14"/>
  <c r="D124" i="14"/>
  <c r="G123" i="14"/>
  <c r="D123" i="14"/>
  <c r="G122" i="14"/>
  <c r="D122" i="14"/>
  <c r="G121" i="14"/>
  <c r="D121" i="14"/>
  <c r="G120" i="14"/>
  <c r="D120" i="14"/>
  <c r="G119" i="14"/>
  <c r="D119" i="14"/>
  <c r="G118" i="14"/>
  <c r="D118" i="14"/>
  <c r="G117" i="14"/>
  <c r="D117" i="14"/>
  <c r="G116" i="14"/>
  <c r="D116" i="14"/>
  <c r="G115" i="14"/>
  <c r="D115" i="14"/>
  <c r="G114" i="14"/>
  <c r="D114" i="14"/>
  <c r="G113" i="14"/>
  <c r="D113" i="14"/>
  <c r="G112" i="14"/>
  <c r="D112" i="14"/>
  <c r="G111" i="14"/>
  <c r="D111" i="14"/>
  <c r="G110" i="14"/>
  <c r="D110" i="14"/>
  <c r="G109" i="14"/>
  <c r="D109" i="14"/>
  <c r="G108" i="14"/>
  <c r="D108" i="14"/>
  <c r="G107" i="14"/>
  <c r="D107" i="14"/>
  <c r="G106" i="14"/>
  <c r="D106" i="14"/>
  <c r="G105" i="14"/>
  <c r="D105" i="14"/>
  <c r="G104" i="14"/>
  <c r="D104" i="14"/>
  <c r="G103" i="14"/>
  <c r="D103" i="14"/>
  <c r="G102" i="14"/>
  <c r="D102" i="14"/>
  <c r="G101" i="14"/>
  <c r="D101" i="14"/>
  <c r="G100" i="14"/>
  <c r="D100" i="14"/>
  <c r="G99" i="14"/>
  <c r="D99" i="14"/>
  <c r="G98" i="14"/>
  <c r="D98" i="14"/>
  <c r="G97" i="14"/>
  <c r="D97" i="14"/>
  <c r="G96" i="14"/>
  <c r="D96" i="14"/>
  <c r="G95" i="14"/>
  <c r="D95" i="14"/>
  <c r="G94" i="14"/>
  <c r="D94" i="14"/>
  <c r="G93" i="14"/>
  <c r="D93" i="14"/>
  <c r="G92" i="14"/>
  <c r="D92" i="14"/>
  <c r="G91" i="14"/>
  <c r="D91" i="14"/>
  <c r="G90" i="14"/>
  <c r="D90" i="14"/>
  <c r="G89" i="14"/>
  <c r="D89" i="14"/>
  <c r="G88" i="14"/>
  <c r="D88" i="14"/>
  <c r="G87" i="14"/>
  <c r="D87" i="14"/>
  <c r="G86" i="14"/>
  <c r="D86" i="14"/>
  <c r="G85" i="14"/>
  <c r="D85" i="14"/>
  <c r="G84" i="14"/>
  <c r="D84" i="14"/>
  <c r="G83" i="14"/>
  <c r="D83" i="14"/>
  <c r="G82" i="14"/>
  <c r="D82" i="14"/>
  <c r="G81" i="14"/>
  <c r="D81" i="14"/>
  <c r="G80" i="14"/>
  <c r="D80" i="14"/>
  <c r="G79" i="14"/>
  <c r="D79" i="14"/>
  <c r="G78" i="14"/>
  <c r="D78" i="14"/>
  <c r="G77" i="14"/>
  <c r="D77" i="14"/>
  <c r="G76" i="14"/>
  <c r="D76" i="14"/>
  <c r="G75" i="14"/>
  <c r="D75" i="14"/>
  <c r="G74" i="14"/>
  <c r="D74" i="14"/>
  <c r="G73" i="14"/>
  <c r="D73" i="14"/>
  <c r="G72" i="14"/>
  <c r="D72" i="14"/>
  <c r="G71" i="14"/>
  <c r="D71" i="14"/>
  <c r="G70" i="14"/>
  <c r="D70" i="14"/>
  <c r="G69" i="14"/>
  <c r="D69" i="14"/>
  <c r="G68" i="14"/>
  <c r="D68" i="14"/>
  <c r="G67" i="14"/>
  <c r="D67" i="14"/>
  <c r="G66" i="14"/>
  <c r="D66" i="14"/>
  <c r="G65" i="14"/>
  <c r="D65" i="14"/>
  <c r="G64" i="14"/>
  <c r="D64" i="14"/>
  <c r="G63" i="14"/>
  <c r="D63" i="14"/>
  <c r="G62" i="14"/>
  <c r="D62" i="14"/>
  <c r="G61" i="14"/>
  <c r="D61" i="14"/>
  <c r="G60" i="14"/>
  <c r="D60" i="14"/>
  <c r="G59" i="14"/>
  <c r="D59" i="14"/>
  <c r="G58" i="14"/>
  <c r="D58" i="14"/>
  <c r="G57" i="14"/>
  <c r="D57" i="14"/>
  <c r="G56" i="14"/>
  <c r="D56" i="14"/>
  <c r="G55" i="14"/>
  <c r="D55" i="14"/>
  <c r="G54" i="14"/>
  <c r="D54" i="14"/>
  <c r="G53" i="14"/>
  <c r="D53" i="14"/>
  <c r="G52" i="14"/>
  <c r="D52" i="14"/>
  <c r="G51" i="14"/>
  <c r="D51" i="14"/>
  <c r="G50" i="14"/>
  <c r="D50" i="14"/>
  <c r="G49" i="14"/>
  <c r="D49" i="14"/>
  <c r="G48" i="14"/>
  <c r="D48" i="14"/>
  <c r="G47" i="14"/>
  <c r="D47" i="14"/>
  <c r="G46" i="14"/>
  <c r="D46" i="14"/>
  <c r="G45" i="14"/>
  <c r="D45" i="14"/>
  <c r="G44" i="14"/>
  <c r="D44" i="14"/>
  <c r="G43" i="14"/>
  <c r="D43" i="14"/>
  <c r="G42" i="14"/>
  <c r="D42" i="14"/>
  <c r="G41" i="14"/>
  <c r="D41" i="14"/>
  <c r="G40" i="14"/>
  <c r="D40" i="14"/>
  <c r="G39" i="14"/>
  <c r="D39" i="14"/>
  <c r="G38" i="14"/>
  <c r="D38" i="14"/>
  <c r="G37" i="14"/>
  <c r="D37" i="14"/>
  <c r="G36" i="14"/>
  <c r="D36" i="14"/>
  <c r="G35" i="14"/>
  <c r="D35" i="14"/>
  <c r="G34" i="14"/>
  <c r="D34" i="14"/>
  <c r="L33" i="14"/>
  <c r="G33" i="14"/>
  <c r="D33" i="14"/>
  <c r="G32" i="14"/>
  <c r="D32" i="14"/>
  <c r="G31" i="14"/>
  <c r="D31" i="14"/>
  <c r="G30" i="14"/>
  <c r="D30" i="14"/>
  <c r="G29" i="14"/>
  <c r="D29" i="14"/>
  <c r="G28" i="14"/>
  <c r="D28" i="14"/>
  <c r="G27" i="14"/>
  <c r="D27" i="14"/>
  <c r="G26" i="14"/>
  <c r="D26" i="14"/>
  <c r="G25" i="14"/>
  <c r="D25" i="14"/>
  <c r="G24" i="14"/>
  <c r="D24" i="14"/>
  <c r="G23" i="14"/>
  <c r="D23" i="14"/>
  <c r="G22" i="14"/>
  <c r="D22" i="14"/>
  <c r="G21" i="14"/>
  <c r="D21" i="14"/>
  <c r="G20" i="14"/>
  <c r="D20" i="14"/>
  <c r="G19" i="14"/>
  <c r="D19" i="14"/>
  <c r="G18" i="14"/>
  <c r="D18" i="14"/>
  <c r="G17" i="14"/>
  <c r="D17" i="14"/>
  <c r="G16" i="14"/>
  <c r="D16" i="14"/>
  <c r="G15" i="14"/>
  <c r="D15" i="14"/>
  <c r="G14" i="14"/>
  <c r="D14" i="14"/>
  <c r="G13" i="14"/>
  <c r="D13" i="14"/>
  <c r="G12" i="14"/>
  <c r="D12" i="14"/>
  <c r="G11" i="14"/>
  <c r="D11" i="14"/>
  <c r="G10" i="14"/>
  <c r="D10" i="14"/>
  <c r="M9" i="14"/>
  <c r="G9" i="14"/>
  <c r="D9" i="14"/>
  <c r="M8" i="14"/>
  <c r="G8" i="14"/>
  <c r="D8" i="14"/>
  <c r="M7" i="14"/>
  <c r="G7" i="14"/>
  <c r="D7" i="14"/>
  <c r="M6" i="14"/>
  <c r="G6" i="14"/>
  <c r="D6" i="14"/>
  <c r="M5" i="14"/>
  <c r="G5" i="14"/>
  <c r="D5" i="14"/>
  <c r="Q4" i="14"/>
  <c r="M4" i="14"/>
  <c r="G4" i="14"/>
  <c r="D4" i="14"/>
  <c r="G3" i="14"/>
  <c r="D3" i="14"/>
  <c r="K9" i="14" s="1"/>
  <c r="C20" i="1"/>
  <c r="C37" i="1" l="1"/>
  <c r="C38" i="1"/>
  <c r="C36" i="1"/>
  <c r="S4" i="14" a="1"/>
  <c r="R4" i="14"/>
  <c r="N32" i="14"/>
  <c r="N31" i="14"/>
  <c r="L34" i="14" s="1"/>
  <c r="L35" i="14" s="1"/>
  <c r="L36" i="14" s="1"/>
  <c r="L37" i="14" s="1"/>
  <c r="L38" i="14" s="1"/>
  <c r="L39" i="14" s="1"/>
  <c r="L40" i="14" s="1"/>
  <c r="L41" i="14" s="1"/>
  <c r="L42" i="14" s="1"/>
  <c r="L43" i="14" s="1"/>
  <c r="L44" i="14" s="1"/>
  <c r="L45" i="14" s="1"/>
  <c r="L46" i="14" s="1"/>
  <c r="L47" i="14" s="1"/>
  <c r="L48" i="14" s="1"/>
  <c r="L49" i="14" s="1"/>
  <c r="L50" i="14" s="1"/>
  <c r="L51" i="14" s="1"/>
  <c r="L52" i="14" s="1"/>
  <c r="L53" i="14" s="1"/>
  <c r="L54" i="14" s="1"/>
  <c r="L55" i="14" s="1"/>
  <c r="L56" i="14" s="1"/>
  <c r="L57" i="14" s="1"/>
  <c r="L58" i="14" s="1"/>
  <c r="L59" i="14" s="1"/>
  <c r="L60" i="14" s="1"/>
  <c r="L61" i="14" s="1"/>
  <c r="L62" i="14" s="1"/>
  <c r="L63" i="14" s="1"/>
  <c r="L64" i="14" s="1"/>
  <c r="L65" i="14" s="1"/>
  <c r="L66" i="14" s="1"/>
  <c r="L67" i="14" s="1"/>
  <c r="L68" i="14" s="1"/>
  <c r="L69" i="14" s="1"/>
  <c r="L70" i="14" s="1"/>
  <c r="L71" i="14" s="1"/>
  <c r="L72" i="14" s="1"/>
  <c r="L73" i="14" s="1"/>
  <c r="L74" i="14" s="1"/>
  <c r="L75" i="14" s="1"/>
  <c r="L76" i="14" s="1"/>
  <c r="L77" i="14" s="1"/>
  <c r="L78" i="14" s="1"/>
  <c r="L79" i="14" s="1"/>
  <c r="L80" i="14" s="1"/>
  <c r="L81" i="14" s="1"/>
  <c r="L82" i="14" s="1"/>
  <c r="L83" i="14" s="1"/>
  <c r="L84" i="14" s="1"/>
  <c r="L85" i="14" s="1"/>
  <c r="L86" i="14" s="1"/>
  <c r="L87" i="14" s="1"/>
  <c r="L88" i="14" s="1"/>
  <c r="L89" i="14" s="1"/>
  <c r="L90" i="14" s="1"/>
  <c r="L91" i="14" s="1"/>
  <c r="L92" i="14" s="1"/>
  <c r="L93" i="14" s="1"/>
  <c r="L94" i="14" s="1"/>
  <c r="L95" i="14" s="1"/>
  <c r="L96" i="14" s="1"/>
  <c r="L97" i="14" s="1"/>
  <c r="L98" i="14" s="1"/>
  <c r="L99" i="14" s="1"/>
  <c r="L100" i="14" s="1"/>
  <c r="L101" i="14" s="1"/>
  <c r="L102" i="14" s="1"/>
  <c r="L103" i="14" s="1"/>
  <c r="L104" i="14" s="1"/>
  <c r="L105" i="14" s="1"/>
  <c r="L106" i="14" s="1"/>
  <c r="L107" i="14" s="1"/>
  <c r="L108" i="14" s="1"/>
  <c r="L109" i="14" s="1"/>
  <c r="L110" i="14" s="1"/>
  <c r="L111" i="14" s="1"/>
  <c r="L112" i="14" s="1"/>
  <c r="L113" i="14" s="1"/>
  <c r="L114" i="14" s="1"/>
  <c r="L115" i="14" s="1"/>
  <c r="L116" i="14" s="1"/>
  <c r="L117" i="14" s="1"/>
  <c r="L118" i="14" s="1"/>
  <c r="L119" i="14" s="1"/>
  <c r="L120" i="14" s="1"/>
  <c r="L121" i="14" s="1"/>
  <c r="L122" i="14" s="1"/>
  <c r="L123" i="14" s="1"/>
  <c r="L124" i="14" s="1"/>
  <c r="L125" i="14" s="1"/>
  <c r="L126" i="14" s="1"/>
  <c r="L127" i="14" s="1"/>
  <c r="L128" i="14" s="1"/>
  <c r="L129" i="14" s="1"/>
  <c r="L130" i="14" s="1"/>
  <c r="L131" i="14" s="1"/>
  <c r="L132" i="14" s="1"/>
  <c r="L133" i="14" s="1"/>
  <c r="L134" i="14" s="1"/>
  <c r="L135" i="14" s="1"/>
  <c r="L136" i="14" s="1"/>
  <c r="L137" i="14" s="1"/>
  <c r="L138" i="14" s="1"/>
  <c r="L139" i="14" s="1"/>
  <c r="L140" i="14" s="1"/>
  <c r="L141" i="14" s="1"/>
  <c r="L142" i="14" s="1"/>
  <c r="L143" i="14" s="1"/>
  <c r="L144" i="14" s="1"/>
  <c r="L145" i="14" s="1"/>
  <c r="L146" i="14" s="1"/>
  <c r="L147" i="14" s="1"/>
  <c r="L148" i="14" s="1"/>
  <c r="L149" i="14" s="1"/>
  <c r="L150" i="14" s="1"/>
  <c r="L151" i="14" s="1"/>
  <c r="L152" i="14" s="1"/>
  <c r="L153" i="14" s="1"/>
  <c r="L154" i="14" s="1"/>
  <c r="L155" i="14" s="1"/>
  <c r="L156" i="14" s="1"/>
  <c r="L157" i="14" s="1"/>
  <c r="L158" i="14" s="1"/>
  <c r="L159" i="14" s="1"/>
  <c r="L160" i="14" s="1"/>
  <c r="L161" i="14" s="1"/>
  <c r="L162" i="14" s="1"/>
  <c r="L163" i="14" s="1"/>
  <c r="L164" i="14" s="1"/>
  <c r="L165" i="14" s="1"/>
  <c r="L166" i="14" s="1"/>
  <c r="L167" i="14" s="1"/>
  <c r="L168" i="14" s="1"/>
  <c r="L169" i="14" s="1"/>
  <c r="L170" i="14" s="1"/>
  <c r="L171" i="14" s="1"/>
  <c r="L172" i="14" s="1"/>
  <c r="L173" i="14" s="1"/>
  <c r="L174" i="14" s="1"/>
  <c r="L175" i="14" s="1"/>
  <c r="L176" i="14" s="1"/>
  <c r="L177" i="14" s="1"/>
  <c r="L178" i="14" s="1"/>
  <c r="L179" i="14" s="1"/>
  <c r="L180" i="14" s="1"/>
  <c r="L181" i="14" s="1"/>
  <c r="L182" i="14" s="1"/>
  <c r="L183" i="14" s="1"/>
  <c r="L184" i="14" s="1"/>
  <c r="L185" i="14" s="1"/>
  <c r="L186" i="14" s="1"/>
  <c r="L187" i="14" s="1"/>
  <c r="L188" i="14" s="1"/>
  <c r="L189" i="14" s="1"/>
  <c r="L190" i="14" s="1"/>
  <c r="L191" i="14" s="1"/>
  <c r="L192" i="14" s="1"/>
  <c r="L193" i="14" s="1"/>
  <c r="L194" i="14" s="1"/>
  <c r="L195" i="14" s="1"/>
  <c r="L196" i="14" s="1"/>
  <c r="L197" i="14" s="1"/>
  <c r="L198" i="14" s="1"/>
  <c r="L199" i="14" s="1"/>
  <c r="L200" i="14" s="1"/>
  <c r="L201" i="14" s="1"/>
  <c r="L202" i="14" s="1"/>
  <c r="L203" i="14" s="1"/>
  <c r="L204" i="14" s="1"/>
  <c r="L205" i="14" s="1"/>
  <c r="L206" i="14" s="1"/>
  <c r="L207" i="14" s="1"/>
  <c r="L208" i="14" s="1"/>
  <c r="L209" i="14" s="1"/>
  <c r="L210" i="14" s="1"/>
  <c r="L211" i="14" s="1"/>
  <c r="L212" i="14" s="1"/>
  <c r="L213" i="14" s="1"/>
  <c r="L214" i="14" s="1"/>
  <c r="L215" i="14" s="1"/>
  <c r="L216" i="14" s="1"/>
  <c r="L217" i="14" s="1"/>
  <c r="L218" i="14" s="1"/>
  <c r="L219" i="14" s="1"/>
  <c r="L220" i="14" s="1"/>
  <c r="L221" i="14" s="1"/>
  <c r="L222" i="14" s="1"/>
  <c r="L223" i="14" s="1"/>
  <c r="L224" i="14" s="1"/>
  <c r="L225" i="14" s="1"/>
  <c r="L226" i="14" s="1"/>
  <c r="L227" i="14" s="1"/>
  <c r="L228" i="14" s="1"/>
  <c r="L229" i="14" s="1"/>
  <c r="L230" i="14" s="1"/>
  <c r="L231" i="14" s="1"/>
  <c r="L232" i="14" s="1"/>
  <c r="L233" i="14" s="1"/>
  <c r="L234" i="14" s="1"/>
  <c r="L235" i="14" s="1"/>
  <c r="L236" i="14" s="1"/>
  <c r="L237" i="14" s="1"/>
  <c r="L238" i="14" s="1"/>
  <c r="L239" i="14" s="1"/>
  <c r="L240" i="14" s="1"/>
  <c r="L241" i="14" s="1"/>
  <c r="L242" i="14" s="1"/>
  <c r="L243" i="14" s="1"/>
  <c r="L244" i="14" s="1"/>
  <c r="L245" i="14" s="1"/>
  <c r="L246" i="14" s="1"/>
  <c r="L247" i="14" s="1"/>
  <c r="L248" i="14" s="1"/>
  <c r="L249" i="14" s="1"/>
  <c r="L250" i="14" s="1"/>
  <c r="L251" i="14" s="1"/>
  <c r="L252" i="14" s="1"/>
  <c r="L253" i="14" s="1"/>
  <c r="L254" i="14" s="1"/>
  <c r="L255" i="14" s="1"/>
  <c r="L256" i="14" s="1"/>
  <c r="L257" i="14" s="1"/>
  <c r="L258" i="14" s="1"/>
  <c r="L259" i="14" s="1"/>
  <c r="L260" i="14" s="1"/>
  <c r="L261" i="14" s="1"/>
  <c r="L262" i="14" s="1"/>
  <c r="L263" i="14" s="1"/>
  <c r="L264" i="14" s="1"/>
  <c r="L265" i="14" s="1"/>
  <c r="L266" i="14" s="1"/>
  <c r="L267" i="14" s="1"/>
  <c r="L268" i="14" s="1"/>
  <c r="L269" i="14" s="1"/>
  <c r="L270" i="14" s="1"/>
  <c r="L271" i="14" s="1"/>
  <c r="L272" i="14" s="1"/>
  <c r="L273" i="14" s="1"/>
  <c r="L274" i="14" s="1"/>
  <c r="L275" i="14" s="1"/>
  <c r="L276" i="14" s="1"/>
  <c r="L277" i="14" s="1"/>
  <c r="L278" i="14" s="1"/>
  <c r="L279" i="14" s="1"/>
  <c r="L280" i="14" s="1"/>
  <c r="L281" i="14" s="1"/>
  <c r="L282" i="14" s="1"/>
  <c r="L283" i="14" s="1"/>
  <c r="K4" i="14"/>
  <c r="S47" i="14" s="1"/>
  <c r="K5" i="14"/>
  <c r="K6" i="14"/>
  <c r="K7" i="14"/>
  <c r="K8" i="14"/>
  <c r="C40" i="1" l="1"/>
  <c r="B28" i="1" s="1"/>
  <c r="S4" i="14"/>
  <c r="S5" i="14"/>
  <c r="S48" i="14"/>
  <c r="S49" i="14" s="1"/>
  <c r="S50" i="14" s="1"/>
  <c r="S51" i="14" s="1"/>
  <c r="S52" i="14" s="1"/>
  <c r="S53" i="14" s="1"/>
  <c r="S54" i="14" s="1"/>
  <c r="S55" i="14" s="1"/>
  <c r="S56" i="14" s="1"/>
  <c r="S57" i="14" s="1"/>
  <c r="S58" i="14" s="1"/>
  <c r="S59" i="14" s="1"/>
  <c r="S60" i="14" s="1"/>
  <c r="S61" i="14" s="1"/>
  <c r="S62" i="14" s="1"/>
  <c r="S63" i="14" s="1"/>
  <c r="S64" i="14" s="1"/>
  <c r="S65" i="14" s="1"/>
  <c r="S66" i="14" s="1"/>
  <c r="S67" i="14" s="1"/>
  <c r="W48" i="14"/>
  <c r="T47" i="14" l="1" a="1"/>
  <c r="T66" i="14" l="1"/>
  <c r="T62" i="14"/>
  <c r="T58" i="14"/>
  <c r="T54" i="14"/>
  <c r="T50" i="14"/>
  <c r="T65" i="14"/>
  <c r="T61" i="14"/>
  <c r="T57" i="14"/>
  <c r="T53" i="14"/>
  <c r="T49" i="14"/>
  <c r="T64" i="14"/>
  <c r="T60" i="14"/>
  <c r="T56" i="14"/>
  <c r="T52" i="14"/>
  <c r="T48" i="14"/>
  <c r="T67" i="14"/>
  <c r="T63" i="14"/>
  <c r="T59" i="14"/>
  <c r="T55" i="14"/>
  <c r="T51" i="14"/>
  <c r="T47" i="14"/>
  <c r="B20" i="1"/>
  <c r="B30" i="5" l="1"/>
  <c r="B25" i="5" l="1"/>
  <c r="B24" i="5"/>
  <c r="B19" i="5"/>
  <c r="B21" i="5" s="1"/>
  <c r="B29" i="5" s="1"/>
  <c r="H482" i="5"/>
  <c r="F482" i="5"/>
  <c r="H481" i="5"/>
  <c r="F481" i="5"/>
  <c r="H480" i="5"/>
  <c r="F480" i="5"/>
  <c r="H479" i="5"/>
  <c r="F479" i="5"/>
  <c r="H478" i="5"/>
  <c r="F478" i="5"/>
  <c r="H477" i="5"/>
  <c r="F477" i="5"/>
  <c r="H476" i="5"/>
  <c r="F476" i="5"/>
  <c r="H475" i="5"/>
  <c r="F475" i="5"/>
  <c r="H474" i="5"/>
  <c r="F474" i="5"/>
  <c r="H473" i="5"/>
  <c r="F473" i="5"/>
  <c r="H472" i="5"/>
  <c r="F472" i="5"/>
  <c r="H471" i="5"/>
  <c r="F471" i="5"/>
  <c r="H470" i="5"/>
  <c r="F470" i="5"/>
  <c r="H469" i="5"/>
  <c r="F469" i="5"/>
  <c r="H468" i="5"/>
  <c r="F468" i="5"/>
  <c r="H467" i="5"/>
  <c r="F467" i="5"/>
  <c r="H466" i="5"/>
  <c r="F466" i="5"/>
  <c r="H465" i="5"/>
  <c r="F465" i="5"/>
  <c r="H464" i="5"/>
  <c r="F464" i="5"/>
  <c r="H463" i="5"/>
  <c r="F463" i="5"/>
  <c r="H462" i="5"/>
  <c r="F462" i="5"/>
  <c r="H461" i="5"/>
  <c r="F461" i="5"/>
  <c r="H460" i="5"/>
  <c r="F460" i="5"/>
  <c r="H459" i="5"/>
  <c r="F459" i="5"/>
  <c r="H458" i="5"/>
  <c r="F458" i="5"/>
  <c r="H457" i="5"/>
  <c r="F457" i="5"/>
  <c r="H456" i="5"/>
  <c r="F456" i="5"/>
  <c r="H455" i="5"/>
  <c r="F455" i="5"/>
  <c r="H454" i="5"/>
  <c r="F454" i="5"/>
  <c r="H453" i="5"/>
  <c r="F453" i="5"/>
  <c r="H452" i="5"/>
  <c r="F452" i="5"/>
  <c r="H451" i="5"/>
  <c r="F451" i="5"/>
  <c r="H450" i="5"/>
  <c r="F450" i="5"/>
  <c r="H449" i="5"/>
  <c r="F449" i="5"/>
  <c r="H448" i="5"/>
  <c r="F448" i="5"/>
  <c r="H447" i="5"/>
  <c r="F447" i="5"/>
  <c r="H446" i="5"/>
  <c r="F446" i="5"/>
  <c r="H445" i="5"/>
  <c r="F445" i="5"/>
  <c r="H444" i="5"/>
  <c r="F444" i="5"/>
  <c r="H443" i="5"/>
  <c r="F443" i="5"/>
  <c r="H442" i="5"/>
  <c r="F442" i="5"/>
  <c r="H441" i="5"/>
  <c r="F441" i="5"/>
  <c r="H440" i="5"/>
  <c r="F440" i="5"/>
  <c r="H439" i="5"/>
  <c r="F439" i="5"/>
  <c r="H438" i="5"/>
  <c r="F438" i="5"/>
  <c r="H437" i="5"/>
  <c r="F437" i="5"/>
  <c r="H436" i="5"/>
  <c r="F436" i="5"/>
  <c r="H435" i="5"/>
  <c r="F435" i="5"/>
  <c r="H434" i="5"/>
  <c r="F434" i="5"/>
  <c r="H433" i="5"/>
  <c r="F433" i="5"/>
  <c r="H432" i="5"/>
  <c r="F432" i="5"/>
  <c r="H431" i="5"/>
  <c r="F431" i="5"/>
  <c r="H430" i="5"/>
  <c r="F430" i="5"/>
  <c r="H429" i="5"/>
  <c r="F429" i="5"/>
  <c r="H428" i="5"/>
  <c r="F428" i="5"/>
  <c r="H427" i="5"/>
  <c r="F427" i="5"/>
  <c r="H426" i="5"/>
  <c r="F426" i="5"/>
  <c r="H425" i="5"/>
  <c r="F425" i="5"/>
  <c r="H424" i="5"/>
  <c r="F424" i="5"/>
  <c r="H423" i="5"/>
  <c r="F423" i="5"/>
  <c r="H422" i="5"/>
  <c r="F422" i="5"/>
  <c r="H421" i="5"/>
  <c r="F421" i="5"/>
  <c r="H420" i="5"/>
  <c r="F420" i="5"/>
  <c r="H419" i="5"/>
  <c r="F419" i="5"/>
  <c r="H418" i="5"/>
  <c r="F418" i="5"/>
  <c r="H417" i="5"/>
  <c r="F417" i="5"/>
  <c r="H416" i="5"/>
  <c r="F416" i="5"/>
  <c r="H415" i="5"/>
  <c r="F415" i="5"/>
  <c r="H414" i="5"/>
  <c r="F414" i="5"/>
  <c r="H413" i="5"/>
  <c r="F413" i="5"/>
  <c r="H412" i="5"/>
  <c r="F412" i="5"/>
  <c r="H411" i="5"/>
  <c r="F411" i="5"/>
  <c r="H410" i="5"/>
  <c r="F410" i="5"/>
  <c r="H409" i="5"/>
  <c r="F409" i="5"/>
  <c r="H408" i="5"/>
  <c r="F408" i="5"/>
  <c r="H407" i="5"/>
  <c r="F407" i="5"/>
  <c r="H406" i="5"/>
  <c r="F406" i="5"/>
  <c r="H405" i="5"/>
  <c r="F405" i="5"/>
  <c r="H404" i="5"/>
  <c r="F404" i="5"/>
  <c r="H403" i="5"/>
  <c r="F403" i="5"/>
  <c r="H402" i="5"/>
  <c r="F402" i="5"/>
  <c r="H401" i="5"/>
  <c r="F401" i="5"/>
  <c r="H400" i="5"/>
  <c r="F400" i="5"/>
  <c r="H399" i="5"/>
  <c r="F399" i="5"/>
  <c r="H398" i="5"/>
  <c r="F398" i="5"/>
  <c r="H397" i="5"/>
  <c r="F397" i="5"/>
  <c r="H396" i="5"/>
  <c r="F396" i="5"/>
  <c r="H395" i="5"/>
  <c r="F395" i="5"/>
  <c r="H394" i="5"/>
  <c r="F394" i="5"/>
  <c r="H393" i="5"/>
  <c r="F393" i="5"/>
  <c r="H392" i="5"/>
  <c r="F392" i="5"/>
  <c r="H391" i="5"/>
  <c r="F391" i="5"/>
  <c r="H390" i="5"/>
  <c r="F390" i="5"/>
  <c r="H389" i="5"/>
  <c r="F389" i="5"/>
  <c r="H388" i="5"/>
  <c r="F388" i="5"/>
  <c r="H387" i="5"/>
  <c r="F387" i="5"/>
  <c r="H386" i="5"/>
  <c r="F386" i="5"/>
  <c r="H385" i="5"/>
  <c r="F385" i="5"/>
  <c r="H384" i="5"/>
  <c r="F384" i="5"/>
  <c r="H383" i="5"/>
  <c r="F383" i="5"/>
  <c r="H382" i="5"/>
  <c r="F382" i="5"/>
  <c r="H381" i="5"/>
  <c r="F381" i="5"/>
  <c r="H380" i="5"/>
  <c r="F380" i="5"/>
  <c r="H379" i="5"/>
  <c r="F379" i="5"/>
  <c r="H378" i="5"/>
  <c r="F378" i="5"/>
  <c r="H377" i="5"/>
  <c r="F377" i="5"/>
  <c r="H376" i="5"/>
  <c r="F376" i="5"/>
  <c r="H375" i="5"/>
  <c r="F375" i="5"/>
  <c r="H374" i="5"/>
  <c r="F374" i="5"/>
  <c r="H373" i="5"/>
  <c r="F373" i="5"/>
  <c r="H372" i="5"/>
  <c r="F372" i="5"/>
  <c r="H371" i="5"/>
  <c r="F371" i="5"/>
  <c r="H370" i="5"/>
  <c r="F370" i="5"/>
  <c r="H369" i="5"/>
  <c r="F369" i="5"/>
  <c r="H368" i="5"/>
  <c r="F368" i="5"/>
  <c r="H367" i="5"/>
  <c r="F367" i="5"/>
  <c r="H366" i="5"/>
  <c r="F366" i="5"/>
  <c r="H365" i="5"/>
  <c r="F365" i="5"/>
  <c r="H364" i="5"/>
  <c r="F364" i="5"/>
  <c r="H363" i="5"/>
  <c r="F363" i="5"/>
  <c r="H362" i="5"/>
  <c r="F362" i="5"/>
  <c r="H361" i="5"/>
  <c r="F361" i="5"/>
  <c r="H360" i="5"/>
  <c r="F360" i="5"/>
  <c r="H359" i="5"/>
  <c r="F359" i="5"/>
  <c r="H358" i="5"/>
  <c r="F358" i="5"/>
  <c r="H357" i="5"/>
  <c r="F357" i="5"/>
  <c r="H356" i="5"/>
  <c r="F356" i="5"/>
  <c r="H355" i="5"/>
  <c r="F355" i="5"/>
  <c r="H354" i="5"/>
  <c r="F354" i="5"/>
  <c r="H353" i="5"/>
  <c r="F353" i="5"/>
  <c r="H352" i="5"/>
  <c r="F352" i="5"/>
  <c r="H351" i="5"/>
  <c r="F351" i="5"/>
  <c r="H350" i="5"/>
  <c r="F350" i="5"/>
  <c r="H349" i="5"/>
  <c r="F349" i="5"/>
  <c r="H348" i="5"/>
  <c r="F348" i="5"/>
  <c r="H347" i="5"/>
  <c r="F347" i="5"/>
  <c r="H346" i="5"/>
  <c r="F346" i="5"/>
  <c r="H345" i="5"/>
  <c r="F345" i="5"/>
  <c r="H344" i="5"/>
  <c r="F344" i="5"/>
  <c r="H343" i="5"/>
  <c r="F343" i="5"/>
  <c r="H342" i="5"/>
  <c r="F342" i="5"/>
  <c r="H341" i="5"/>
  <c r="F341" i="5"/>
  <c r="H340" i="5"/>
  <c r="F340" i="5"/>
  <c r="H339" i="5"/>
  <c r="F339" i="5"/>
  <c r="H338" i="5"/>
  <c r="F338" i="5"/>
  <c r="H337" i="5"/>
  <c r="F337" i="5"/>
  <c r="H336" i="5"/>
  <c r="F336" i="5"/>
  <c r="H335" i="5"/>
  <c r="F335" i="5"/>
  <c r="H334" i="5"/>
  <c r="F334" i="5"/>
  <c r="H333" i="5"/>
  <c r="F333" i="5"/>
  <c r="H332" i="5"/>
  <c r="F332" i="5"/>
  <c r="H331" i="5"/>
  <c r="F331" i="5"/>
  <c r="H330" i="5"/>
  <c r="F330" i="5"/>
  <c r="H329" i="5"/>
  <c r="F329" i="5"/>
  <c r="H328" i="5"/>
  <c r="F328" i="5"/>
  <c r="H327" i="5"/>
  <c r="F327" i="5"/>
  <c r="H326" i="5"/>
  <c r="F326" i="5"/>
  <c r="H325" i="5"/>
  <c r="F325" i="5"/>
  <c r="H324" i="5"/>
  <c r="F324" i="5"/>
  <c r="H323" i="5"/>
  <c r="F323" i="5"/>
  <c r="H322" i="5"/>
  <c r="F322" i="5"/>
  <c r="H321" i="5"/>
  <c r="F321" i="5"/>
  <c r="H320" i="5"/>
  <c r="F320" i="5"/>
  <c r="H319" i="5"/>
  <c r="F319" i="5"/>
  <c r="H318" i="5"/>
  <c r="F318" i="5"/>
  <c r="H317" i="5"/>
  <c r="F317" i="5"/>
  <c r="H316" i="5"/>
  <c r="F316" i="5"/>
  <c r="H315" i="5"/>
  <c r="F315" i="5"/>
  <c r="H314" i="5"/>
  <c r="F314" i="5"/>
  <c r="H313" i="5"/>
  <c r="F313" i="5"/>
  <c r="H312" i="5"/>
  <c r="F312" i="5"/>
  <c r="H311" i="5"/>
  <c r="F311" i="5"/>
  <c r="H310" i="5"/>
  <c r="F310" i="5"/>
  <c r="H309" i="5"/>
  <c r="F309" i="5"/>
  <c r="H308" i="5"/>
  <c r="F308" i="5"/>
  <c r="H307" i="5"/>
  <c r="F307" i="5"/>
  <c r="H306" i="5"/>
  <c r="F306" i="5"/>
  <c r="H305" i="5"/>
  <c r="F305" i="5"/>
  <c r="H304" i="5"/>
  <c r="F304" i="5"/>
  <c r="H303" i="5"/>
  <c r="F303" i="5"/>
  <c r="H302" i="5"/>
  <c r="F302" i="5"/>
  <c r="H301" i="5"/>
  <c r="F301" i="5"/>
  <c r="H300" i="5"/>
  <c r="F300" i="5"/>
  <c r="H299" i="5"/>
  <c r="F299" i="5"/>
  <c r="H298" i="5"/>
  <c r="F298" i="5"/>
  <c r="H297" i="5"/>
  <c r="F297" i="5"/>
  <c r="H296" i="5"/>
  <c r="F296" i="5"/>
  <c r="H295" i="5"/>
  <c r="F295" i="5"/>
  <c r="H294" i="5"/>
  <c r="F294" i="5"/>
  <c r="H293" i="5"/>
  <c r="F293" i="5"/>
  <c r="H292" i="5"/>
  <c r="F292" i="5"/>
  <c r="H291" i="5"/>
  <c r="F291" i="5"/>
  <c r="H290" i="5"/>
  <c r="F290" i="5"/>
  <c r="H289" i="5"/>
  <c r="F289" i="5"/>
  <c r="H288" i="5"/>
  <c r="F288" i="5"/>
  <c r="H287" i="5"/>
  <c r="F287" i="5"/>
  <c r="H286" i="5"/>
  <c r="F286" i="5"/>
  <c r="H285" i="5"/>
  <c r="F285" i="5"/>
  <c r="H284" i="5"/>
  <c r="F284" i="5"/>
  <c r="H283" i="5"/>
  <c r="F283" i="5"/>
  <c r="H282" i="5"/>
  <c r="F282" i="5"/>
  <c r="H281" i="5"/>
  <c r="F281" i="5"/>
  <c r="H280" i="5"/>
  <c r="F280" i="5"/>
  <c r="H279" i="5"/>
  <c r="F279" i="5"/>
  <c r="H278" i="5"/>
  <c r="F278" i="5"/>
  <c r="H277" i="5"/>
  <c r="F277" i="5"/>
  <c r="H276" i="5"/>
  <c r="F276" i="5"/>
  <c r="H275" i="5"/>
  <c r="F275" i="5"/>
  <c r="H274" i="5"/>
  <c r="F274" i="5"/>
  <c r="H273" i="5"/>
  <c r="F273" i="5"/>
  <c r="H272" i="5"/>
  <c r="F272" i="5"/>
  <c r="H271" i="5"/>
  <c r="F271" i="5"/>
  <c r="H270" i="5"/>
  <c r="F270" i="5"/>
  <c r="H269" i="5"/>
  <c r="F269" i="5"/>
  <c r="H268" i="5"/>
  <c r="F268" i="5"/>
  <c r="H267" i="5"/>
  <c r="F267" i="5"/>
  <c r="H266" i="5"/>
  <c r="F266" i="5"/>
  <c r="H265" i="5"/>
  <c r="F265" i="5"/>
  <c r="H264" i="5"/>
  <c r="F264" i="5"/>
  <c r="H263" i="5"/>
  <c r="F263" i="5"/>
  <c r="H262" i="5"/>
  <c r="F262" i="5"/>
  <c r="H261" i="5"/>
  <c r="F261" i="5"/>
  <c r="H260" i="5"/>
  <c r="F260" i="5"/>
  <c r="H259" i="5"/>
  <c r="F259" i="5"/>
  <c r="H258" i="5"/>
  <c r="F258" i="5"/>
  <c r="H257" i="5"/>
  <c r="F257" i="5"/>
  <c r="H256" i="5"/>
  <c r="F256" i="5"/>
  <c r="H255" i="5"/>
  <c r="F255" i="5"/>
  <c r="H254" i="5"/>
  <c r="F254" i="5"/>
  <c r="H253" i="5"/>
  <c r="F253" i="5"/>
  <c r="H252" i="5"/>
  <c r="F252" i="5"/>
  <c r="H251" i="5"/>
  <c r="F251" i="5"/>
  <c r="H250" i="5"/>
  <c r="F250" i="5"/>
  <c r="H249" i="5"/>
  <c r="F249" i="5"/>
  <c r="H248" i="5"/>
  <c r="F248" i="5"/>
  <c r="H247" i="5"/>
  <c r="F247" i="5"/>
  <c r="H246" i="5"/>
  <c r="F246" i="5"/>
  <c r="H245" i="5"/>
  <c r="F245" i="5"/>
  <c r="H244" i="5"/>
  <c r="F244" i="5"/>
  <c r="H243" i="5"/>
  <c r="F243" i="5"/>
  <c r="H242" i="5"/>
  <c r="F242" i="5"/>
  <c r="H241" i="5"/>
  <c r="F241" i="5"/>
  <c r="H240" i="5"/>
  <c r="F240" i="5"/>
  <c r="H239" i="5"/>
  <c r="F239" i="5"/>
  <c r="H238" i="5"/>
  <c r="F238" i="5"/>
  <c r="H237" i="5"/>
  <c r="F237" i="5"/>
  <c r="H236" i="5"/>
  <c r="F236" i="5"/>
  <c r="H235" i="5"/>
  <c r="F235" i="5"/>
  <c r="H234" i="5"/>
  <c r="F234" i="5"/>
  <c r="H233" i="5"/>
  <c r="F233" i="5"/>
  <c r="H232" i="5"/>
  <c r="F232" i="5"/>
  <c r="H231" i="5"/>
  <c r="F231" i="5"/>
  <c r="H230" i="5"/>
  <c r="F230" i="5"/>
  <c r="H229" i="5"/>
  <c r="F229" i="5"/>
  <c r="H228" i="5"/>
  <c r="F228" i="5"/>
  <c r="H227" i="5"/>
  <c r="F227" i="5"/>
  <c r="H226" i="5"/>
  <c r="F226" i="5"/>
  <c r="H225" i="5"/>
  <c r="F225" i="5"/>
  <c r="H224" i="5"/>
  <c r="F224" i="5"/>
  <c r="H223" i="5"/>
  <c r="F223" i="5"/>
  <c r="H222" i="5"/>
  <c r="F222" i="5"/>
  <c r="H221" i="5"/>
  <c r="F221" i="5"/>
  <c r="H220" i="5"/>
  <c r="F220" i="5"/>
  <c r="H219" i="5"/>
  <c r="F219" i="5"/>
  <c r="H218" i="5"/>
  <c r="F218" i="5"/>
  <c r="H217" i="5"/>
  <c r="F217" i="5"/>
  <c r="H216" i="5"/>
  <c r="F216" i="5"/>
  <c r="H215" i="5"/>
  <c r="F215" i="5"/>
  <c r="H214" i="5"/>
  <c r="F214" i="5"/>
  <c r="H213" i="5"/>
  <c r="F213" i="5"/>
  <c r="H212" i="5"/>
  <c r="F212" i="5"/>
  <c r="H211" i="5"/>
  <c r="F211" i="5"/>
  <c r="H210" i="5"/>
  <c r="F210" i="5"/>
  <c r="H209" i="5"/>
  <c r="F209" i="5"/>
  <c r="H208" i="5"/>
  <c r="F208" i="5"/>
  <c r="H207" i="5"/>
  <c r="F207" i="5"/>
  <c r="H206" i="5"/>
  <c r="F206" i="5"/>
  <c r="H205" i="5"/>
  <c r="F205" i="5"/>
  <c r="H204" i="5"/>
  <c r="F204" i="5"/>
  <c r="H203" i="5"/>
  <c r="F203" i="5"/>
  <c r="H202" i="5"/>
  <c r="F202" i="5"/>
  <c r="H201" i="5"/>
  <c r="F201" i="5"/>
  <c r="H200" i="5"/>
  <c r="F200" i="5"/>
  <c r="H199" i="5"/>
  <c r="F199" i="5"/>
  <c r="H198" i="5"/>
  <c r="F198" i="5"/>
  <c r="H197" i="5"/>
  <c r="F197" i="5"/>
  <c r="H196" i="5"/>
  <c r="F196" i="5"/>
  <c r="H195" i="5"/>
  <c r="F195" i="5"/>
  <c r="H194" i="5"/>
  <c r="F194" i="5"/>
  <c r="H193" i="5"/>
  <c r="F193" i="5"/>
  <c r="H192" i="5"/>
  <c r="F192" i="5"/>
  <c r="H191" i="5"/>
  <c r="F191" i="5"/>
  <c r="H190" i="5"/>
  <c r="F190" i="5"/>
  <c r="H189" i="5"/>
  <c r="F189" i="5"/>
  <c r="H188" i="5"/>
  <c r="F188" i="5"/>
  <c r="H187" i="5"/>
  <c r="F187" i="5"/>
  <c r="H186" i="5"/>
  <c r="F186" i="5"/>
  <c r="H185" i="5"/>
  <c r="F185" i="5"/>
  <c r="H184" i="5"/>
  <c r="F184" i="5"/>
  <c r="H183" i="5"/>
  <c r="F183" i="5"/>
  <c r="H182" i="5"/>
  <c r="F182" i="5"/>
  <c r="H181" i="5"/>
  <c r="F181" i="5"/>
  <c r="H180" i="5"/>
  <c r="F180" i="5"/>
  <c r="H179" i="5"/>
  <c r="F179" i="5"/>
  <c r="H178" i="5"/>
  <c r="F178" i="5"/>
  <c r="H177" i="5"/>
  <c r="F177" i="5"/>
  <c r="H176" i="5"/>
  <c r="F176" i="5"/>
  <c r="H175" i="5"/>
  <c r="F175" i="5"/>
  <c r="H174" i="5"/>
  <c r="F174" i="5"/>
  <c r="H173" i="5"/>
  <c r="F173" i="5"/>
  <c r="H172" i="5"/>
  <c r="F172" i="5"/>
  <c r="H171" i="5"/>
  <c r="F171" i="5"/>
  <c r="H170" i="5"/>
  <c r="F170" i="5"/>
  <c r="H169" i="5"/>
  <c r="F169" i="5"/>
  <c r="H168" i="5"/>
  <c r="F168" i="5"/>
  <c r="H167" i="5"/>
  <c r="F167" i="5"/>
  <c r="H166" i="5"/>
  <c r="F166" i="5"/>
  <c r="H165" i="5"/>
  <c r="F165" i="5"/>
  <c r="H164" i="5"/>
  <c r="F164" i="5"/>
  <c r="H163" i="5"/>
  <c r="F163" i="5"/>
  <c r="H162" i="5"/>
  <c r="F162" i="5"/>
  <c r="H161" i="5"/>
  <c r="F161" i="5"/>
  <c r="H160" i="5"/>
  <c r="F160" i="5"/>
  <c r="H159" i="5"/>
  <c r="F159" i="5"/>
  <c r="H158" i="5"/>
  <c r="F158" i="5"/>
  <c r="H157" i="5"/>
  <c r="F157" i="5"/>
  <c r="H156" i="5"/>
  <c r="F156" i="5"/>
  <c r="H155" i="5"/>
  <c r="F155" i="5"/>
  <c r="H154" i="5"/>
  <c r="F154" i="5"/>
  <c r="H153" i="5"/>
  <c r="F153" i="5"/>
  <c r="H152" i="5"/>
  <c r="F152" i="5"/>
  <c r="H151" i="5"/>
  <c r="F151" i="5"/>
  <c r="H150" i="5"/>
  <c r="F150" i="5"/>
  <c r="H149" i="5"/>
  <c r="F149" i="5"/>
  <c r="H148" i="5"/>
  <c r="F148" i="5"/>
  <c r="H147" i="5"/>
  <c r="F147" i="5"/>
  <c r="H146" i="5"/>
  <c r="F146" i="5"/>
  <c r="H145" i="5"/>
  <c r="F145" i="5"/>
  <c r="H144" i="5"/>
  <c r="F144" i="5"/>
  <c r="H143" i="5"/>
  <c r="F143" i="5"/>
  <c r="H142" i="5"/>
  <c r="F142" i="5"/>
  <c r="H141" i="5"/>
  <c r="F141" i="5"/>
  <c r="H140" i="5"/>
  <c r="F140" i="5"/>
  <c r="H139" i="5"/>
  <c r="F139" i="5"/>
  <c r="H138" i="5"/>
  <c r="F138" i="5"/>
  <c r="H137" i="5"/>
  <c r="F137" i="5"/>
  <c r="H136" i="5"/>
  <c r="F136" i="5"/>
  <c r="H135" i="5"/>
  <c r="F135" i="5"/>
  <c r="H134" i="5"/>
  <c r="F134" i="5"/>
  <c r="H133" i="5"/>
  <c r="F133" i="5"/>
  <c r="H132" i="5"/>
  <c r="F132" i="5"/>
  <c r="H131" i="5"/>
  <c r="F131" i="5"/>
  <c r="H130" i="5"/>
  <c r="F130" i="5"/>
  <c r="H129" i="5"/>
  <c r="F129" i="5"/>
  <c r="H128" i="5"/>
  <c r="F128" i="5"/>
  <c r="H127" i="5"/>
  <c r="F127" i="5"/>
  <c r="H126" i="5"/>
  <c r="F126" i="5"/>
  <c r="H125" i="5"/>
  <c r="F125" i="5"/>
  <c r="H124" i="5"/>
  <c r="F124" i="5"/>
  <c r="H123" i="5"/>
  <c r="F123" i="5"/>
  <c r="H122" i="5"/>
  <c r="F122" i="5"/>
  <c r="H121" i="5"/>
  <c r="F121" i="5"/>
  <c r="H120" i="5"/>
  <c r="F120" i="5"/>
  <c r="H119" i="5"/>
  <c r="F119" i="5"/>
  <c r="H118" i="5"/>
  <c r="F118" i="5"/>
  <c r="H117" i="5"/>
  <c r="F117" i="5"/>
  <c r="H116" i="5"/>
  <c r="F116" i="5"/>
  <c r="H115" i="5"/>
  <c r="F115" i="5"/>
  <c r="H114" i="5"/>
  <c r="F114" i="5"/>
  <c r="H113" i="5"/>
  <c r="F113" i="5"/>
  <c r="H112" i="5"/>
  <c r="F112" i="5"/>
  <c r="H111" i="5"/>
  <c r="F111" i="5"/>
  <c r="H110" i="5"/>
  <c r="F110" i="5"/>
  <c r="H109" i="5"/>
  <c r="F109" i="5"/>
  <c r="H108" i="5"/>
  <c r="F108" i="5"/>
  <c r="H107" i="5"/>
  <c r="F107" i="5"/>
  <c r="H106" i="5"/>
  <c r="F106" i="5"/>
  <c r="H105" i="5"/>
  <c r="F105" i="5"/>
  <c r="H104" i="5"/>
  <c r="F104" i="5"/>
  <c r="H103" i="5"/>
  <c r="F103" i="5"/>
  <c r="H102" i="5"/>
  <c r="F102" i="5"/>
  <c r="H101" i="5"/>
  <c r="F101" i="5"/>
  <c r="H100" i="5"/>
  <c r="F100" i="5"/>
  <c r="H99" i="5"/>
  <c r="F99" i="5"/>
  <c r="H98" i="5"/>
  <c r="F98" i="5"/>
  <c r="H97" i="5"/>
  <c r="F97" i="5"/>
  <c r="H96" i="5"/>
  <c r="F96" i="5"/>
  <c r="H95" i="5"/>
  <c r="F95" i="5"/>
  <c r="H94" i="5"/>
  <c r="F94" i="5"/>
  <c r="H93" i="5"/>
  <c r="F93" i="5"/>
  <c r="H92" i="5"/>
  <c r="F92" i="5"/>
  <c r="H91" i="5"/>
  <c r="F91" i="5"/>
  <c r="H90" i="5"/>
  <c r="F90" i="5"/>
  <c r="H89" i="5"/>
  <c r="F89" i="5"/>
  <c r="H88" i="5"/>
  <c r="F88" i="5"/>
  <c r="H87" i="5"/>
  <c r="F87" i="5"/>
  <c r="H86" i="5"/>
  <c r="F86" i="5"/>
  <c r="H85" i="5"/>
  <c r="F85" i="5"/>
  <c r="H84" i="5"/>
  <c r="F84" i="5"/>
  <c r="H83" i="5"/>
  <c r="F83" i="5"/>
  <c r="H82" i="5"/>
  <c r="F82" i="5"/>
  <c r="H81" i="5"/>
  <c r="F81" i="5"/>
  <c r="H80" i="5"/>
  <c r="F80" i="5"/>
  <c r="H79" i="5"/>
  <c r="F79" i="5"/>
  <c r="H78" i="5"/>
  <c r="F78" i="5"/>
  <c r="H77" i="5"/>
  <c r="F77" i="5"/>
  <c r="H76" i="5"/>
  <c r="F76" i="5"/>
  <c r="H75" i="5"/>
  <c r="F75" i="5"/>
  <c r="H74" i="5"/>
  <c r="F74" i="5"/>
  <c r="H73" i="5"/>
  <c r="F73" i="5"/>
  <c r="H72" i="5"/>
  <c r="F72" i="5"/>
  <c r="H71" i="5"/>
  <c r="F71" i="5"/>
  <c r="H70" i="5"/>
  <c r="F70" i="5"/>
  <c r="H69" i="5"/>
  <c r="F69" i="5"/>
  <c r="H68" i="5"/>
  <c r="F68" i="5"/>
  <c r="H67" i="5"/>
  <c r="F67" i="5"/>
  <c r="H66" i="5"/>
  <c r="F66" i="5"/>
  <c r="H65" i="5"/>
  <c r="F65" i="5"/>
  <c r="H64" i="5"/>
  <c r="F64" i="5"/>
  <c r="H63" i="5"/>
  <c r="F63" i="5"/>
  <c r="H62" i="5"/>
  <c r="F62" i="5"/>
  <c r="H61" i="5"/>
  <c r="F61" i="5"/>
  <c r="H60" i="5"/>
  <c r="F60" i="5"/>
  <c r="H59" i="5"/>
  <c r="F59" i="5"/>
  <c r="H58" i="5"/>
  <c r="F58" i="5"/>
  <c r="H57" i="5"/>
  <c r="F57" i="5"/>
  <c r="H56" i="5"/>
  <c r="F56" i="5"/>
  <c r="H55" i="5"/>
  <c r="F55" i="5"/>
  <c r="H54" i="5"/>
  <c r="F54" i="5"/>
  <c r="H53" i="5"/>
  <c r="F53" i="5"/>
  <c r="H52" i="5"/>
  <c r="F52" i="5"/>
  <c r="H51" i="5"/>
  <c r="F51" i="5"/>
  <c r="H50" i="5"/>
  <c r="F50" i="5"/>
  <c r="H49" i="5"/>
  <c r="F49" i="5"/>
  <c r="H48" i="5"/>
  <c r="F48" i="5"/>
  <c r="H47" i="5"/>
  <c r="F47" i="5"/>
  <c r="H46" i="5"/>
  <c r="F46" i="5"/>
  <c r="H45" i="5"/>
  <c r="F45" i="5"/>
  <c r="H44" i="5"/>
  <c r="F44" i="5"/>
  <c r="H43" i="5"/>
  <c r="F43" i="5"/>
  <c r="H42" i="5"/>
  <c r="F42" i="5"/>
  <c r="H41" i="5"/>
  <c r="F41" i="5"/>
  <c r="H40" i="5"/>
  <c r="F40" i="5"/>
  <c r="H39" i="5"/>
  <c r="F39" i="5"/>
  <c r="H38" i="5"/>
  <c r="F38" i="5"/>
  <c r="H37" i="5"/>
  <c r="F37" i="5"/>
  <c r="H36" i="5"/>
  <c r="F36" i="5"/>
  <c r="H35" i="5"/>
  <c r="F35" i="5"/>
  <c r="H34" i="5"/>
  <c r="F34" i="5"/>
  <c r="H33" i="5"/>
  <c r="F33" i="5"/>
  <c r="H32" i="5"/>
  <c r="F32" i="5"/>
  <c r="H31" i="5"/>
  <c r="F31" i="5"/>
  <c r="H30" i="5"/>
  <c r="F30" i="5"/>
  <c r="H29" i="5"/>
  <c r="F29" i="5"/>
  <c r="H28" i="5"/>
  <c r="F28" i="5"/>
  <c r="H27" i="5"/>
  <c r="F27" i="5"/>
  <c r="H26" i="5"/>
  <c r="F26" i="5"/>
  <c r="H25" i="5"/>
  <c r="F25" i="5"/>
  <c r="H24" i="5"/>
  <c r="F24" i="5"/>
  <c r="H23" i="5"/>
  <c r="F23" i="5"/>
  <c r="H22" i="5"/>
  <c r="F22" i="5"/>
  <c r="H21" i="5"/>
  <c r="F21" i="5"/>
  <c r="H20" i="5"/>
  <c r="F20" i="5"/>
  <c r="H19" i="5"/>
  <c r="F19" i="5"/>
  <c r="H18" i="5"/>
  <c r="F18" i="5"/>
  <c r="H17" i="5"/>
  <c r="F17" i="5"/>
  <c r="H16" i="5"/>
  <c r="F16" i="5"/>
  <c r="H15" i="5"/>
  <c r="F15" i="5"/>
  <c r="H14" i="5"/>
  <c r="F14" i="5"/>
  <c r="H13" i="5"/>
  <c r="F13" i="5"/>
  <c r="H12" i="5"/>
  <c r="F12" i="5"/>
  <c r="H11" i="5"/>
  <c r="F11" i="5"/>
  <c r="H10" i="5"/>
  <c r="F10" i="5"/>
  <c r="H9" i="5"/>
  <c r="F9" i="5"/>
  <c r="H8" i="5"/>
  <c r="F8" i="5"/>
  <c r="H7" i="5"/>
  <c r="F7" i="5"/>
  <c r="H6" i="5"/>
  <c r="F6" i="5"/>
  <c r="H5" i="5"/>
  <c r="F5" i="5"/>
  <c r="H4" i="5"/>
  <c r="H3" i="5"/>
  <c r="F4" i="5"/>
  <c r="F3" i="5"/>
  <c r="B9" i="5" l="1"/>
  <c r="B8" i="5"/>
  <c r="B3" i="5"/>
  <c r="B5" i="5" l="1"/>
  <c r="G479" i="5"/>
  <c r="G475" i="5"/>
  <c r="G471" i="5"/>
  <c r="G467" i="5"/>
  <c r="G463" i="5"/>
  <c r="G459" i="5"/>
  <c r="G455" i="5"/>
  <c r="G451" i="5"/>
  <c r="G447" i="5"/>
  <c r="G443" i="5"/>
  <c r="G439" i="5"/>
  <c r="G435" i="5"/>
  <c r="G431" i="5"/>
  <c r="G427" i="5"/>
  <c r="G423" i="5"/>
  <c r="G419" i="5"/>
  <c r="G415" i="5"/>
  <c r="G411" i="5"/>
  <c r="G407" i="5"/>
  <c r="G403" i="5"/>
  <c r="G399" i="5"/>
  <c r="G395" i="5"/>
  <c r="G391" i="5"/>
  <c r="G387" i="5"/>
  <c r="G383" i="5"/>
  <c r="G379" i="5"/>
  <c r="G375" i="5"/>
  <c r="G371" i="5"/>
  <c r="G367" i="5"/>
  <c r="G363" i="5"/>
  <c r="G359" i="5"/>
  <c r="G355" i="5"/>
  <c r="G351" i="5"/>
  <c r="G347" i="5"/>
  <c r="G343" i="5"/>
  <c r="G339" i="5"/>
  <c r="G335" i="5"/>
  <c r="G331" i="5"/>
  <c r="G327" i="5"/>
  <c r="G323" i="5"/>
  <c r="G319" i="5"/>
  <c r="G315" i="5"/>
  <c r="G311" i="5"/>
  <c r="G307" i="5"/>
  <c r="G303" i="5"/>
  <c r="G299" i="5"/>
  <c r="G295" i="5"/>
  <c r="G291" i="5"/>
  <c r="G287" i="5"/>
  <c r="G283" i="5"/>
  <c r="G279" i="5"/>
  <c r="G275" i="5"/>
  <c r="G271" i="5"/>
  <c r="G267" i="5"/>
  <c r="G263" i="5"/>
  <c r="G259" i="5"/>
  <c r="G255" i="5"/>
  <c r="G251" i="5"/>
  <c r="G247" i="5"/>
  <c r="G243" i="5"/>
  <c r="G239" i="5"/>
  <c r="G235" i="5"/>
  <c r="G231" i="5"/>
  <c r="G227" i="5"/>
  <c r="G223" i="5"/>
  <c r="G219" i="5"/>
  <c r="G215" i="5"/>
  <c r="G211" i="5"/>
  <c r="G207" i="5"/>
  <c r="G203" i="5"/>
  <c r="G199" i="5"/>
  <c r="G195" i="5"/>
  <c r="G191" i="5"/>
  <c r="G187" i="5"/>
  <c r="G183" i="5"/>
  <c r="G179" i="5"/>
  <c r="G175" i="5"/>
  <c r="G171" i="5"/>
  <c r="G167" i="5"/>
  <c r="G163" i="5"/>
  <c r="G159" i="5"/>
  <c r="G155" i="5"/>
  <c r="G151" i="5"/>
  <c r="G147" i="5"/>
  <c r="G480" i="5"/>
  <c r="G476" i="5"/>
  <c r="G472" i="5"/>
  <c r="G468" i="5"/>
  <c r="G464" i="5"/>
  <c r="G460" i="5"/>
  <c r="G456" i="5"/>
  <c r="G452" i="5"/>
  <c r="G448" i="5"/>
  <c r="G444" i="5"/>
  <c r="G440" i="5"/>
  <c r="G436" i="5"/>
  <c r="G432" i="5"/>
  <c r="G428" i="5"/>
  <c r="G424" i="5"/>
  <c r="G420" i="5"/>
  <c r="G416" i="5"/>
  <c r="G412" i="5"/>
  <c r="G408" i="5"/>
  <c r="G404" i="5"/>
  <c r="G400" i="5"/>
  <c r="G396" i="5"/>
  <c r="G392" i="5"/>
  <c r="G388" i="5"/>
  <c r="G384" i="5"/>
  <c r="G380" i="5"/>
  <c r="G376" i="5"/>
  <c r="G372" i="5"/>
  <c r="G368" i="5"/>
  <c r="G364" i="5"/>
  <c r="G360" i="5"/>
  <c r="G356" i="5"/>
  <c r="G352" i="5"/>
  <c r="G348" i="5"/>
  <c r="G344" i="5"/>
  <c r="G340" i="5"/>
  <c r="G336" i="5"/>
  <c r="G332" i="5"/>
  <c r="G328" i="5"/>
  <c r="G324" i="5"/>
  <c r="G320" i="5"/>
  <c r="G316" i="5"/>
  <c r="G312" i="5"/>
  <c r="G308" i="5"/>
  <c r="G304" i="5"/>
  <c r="G300" i="5"/>
  <c r="G296" i="5"/>
  <c r="G292" i="5"/>
  <c r="G288" i="5"/>
  <c r="G284" i="5"/>
  <c r="G280" i="5"/>
  <c r="G276" i="5"/>
  <c r="G272" i="5"/>
  <c r="G268" i="5"/>
  <c r="G264" i="5"/>
  <c r="G260" i="5"/>
  <c r="G256" i="5"/>
  <c r="G252" i="5"/>
  <c r="G248" i="5"/>
  <c r="G244" i="5"/>
  <c r="G240" i="5"/>
  <c r="G236" i="5"/>
  <c r="G232" i="5"/>
  <c r="G228" i="5"/>
  <c r="G224" i="5"/>
  <c r="G220" i="5"/>
  <c r="G216" i="5"/>
  <c r="G212" i="5"/>
  <c r="G208" i="5"/>
  <c r="G204" i="5"/>
  <c r="G200" i="5"/>
  <c r="G196" i="5"/>
  <c r="G192" i="5"/>
  <c r="G188" i="5"/>
  <c r="G184" i="5"/>
  <c r="G180" i="5"/>
  <c r="G176" i="5"/>
  <c r="G172" i="5"/>
  <c r="G168" i="5"/>
  <c r="G164" i="5"/>
  <c r="G160" i="5"/>
  <c r="G156" i="5"/>
  <c r="G152" i="5"/>
  <c r="G148" i="5"/>
  <c r="G481" i="5"/>
  <c r="G473" i="5"/>
  <c r="G465" i="5"/>
  <c r="G457" i="5"/>
  <c r="G449" i="5"/>
  <c r="G441" i="5"/>
  <c r="G433" i="5"/>
  <c r="G425" i="5"/>
  <c r="G417" i="5"/>
  <c r="G409" i="5"/>
  <c r="G401" i="5"/>
  <c r="G393" i="5"/>
  <c r="G385" i="5"/>
  <c r="G377" i="5"/>
  <c r="G369" i="5"/>
  <c r="G361" i="5"/>
  <c r="G353" i="5"/>
  <c r="G345" i="5"/>
  <c r="G337" i="5"/>
  <c r="G329" i="5"/>
  <c r="G321" i="5"/>
  <c r="G313" i="5"/>
  <c r="G305" i="5"/>
  <c r="G297" i="5"/>
  <c r="G289" i="5"/>
  <c r="G281" i="5"/>
  <c r="G273" i="5"/>
  <c r="G265" i="5"/>
  <c r="G257" i="5"/>
  <c r="G249" i="5"/>
  <c r="G241" i="5"/>
  <c r="G233" i="5"/>
  <c r="G225" i="5"/>
  <c r="G217" i="5"/>
  <c r="G209" i="5"/>
  <c r="G201" i="5"/>
  <c r="G193" i="5"/>
  <c r="G185" i="5"/>
  <c r="G177" i="5"/>
  <c r="G169" i="5"/>
  <c r="G161" i="5"/>
  <c r="G153" i="5"/>
  <c r="G145" i="5"/>
  <c r="G141" i="5"/>
  <c r="G137" i="5"/>
  <c r="G133" i="5"/>
  <c r="G129" i="5"/>
  <c r="G125" i="5"/>
  <c r="G121" i="5"/>
  <c r="G117" i="5"/>
  <c r="G113" i="5"/>
  <c r="G109" i="5"/>
  <c r="G105" i="5"/>
  <c r="G101" i="5"/>
  <c r="G97" i="5"/>
  <c r="G93" i="5"/>
  <c r="G89" i="5"/>
  <c r="G85" i="5"/>
  <c r="G81" i="5"/>
  <c r="G77" i="5"/>
  <c r="G73" i="5"/>
  <c r="G69" i="5"/>
  <c r="G65" i="5"/>
  <c r="G61" i="5"/>
  <c r="G57" i="5"/>
  <c r="G53" i="5"/>
  <c r="G49" i="5"/>
  <c r="G45" i="5"/>
  <c r="G41" i="5"/>
  <c r="G37" i="5"/>
  <c r="G33" i="5"/>
  <c r="G29" i="5"/>
  <c r="G25" i="5"/>
  <c r="G21" i="5"/>
  <c r="G17" i="5"/>
  <c r="G13" i="5"/>
  <c r="G9" i="5"/>
  <c r="G5" i="5"/>
  <c r="G474" i="5"/>
  <c r="G466" i="5"/>
  <c r="G458" i="5"/>
  <c r="G450" i="5"/>
  <c r="G442" i="5"/>
  <c r="G434" i="5"/>
  <c r="G478" i="5"/>
  <c r="G470" i="5"/>
  <c r="G462" i="5"/>
  <c r="G454" i="5"/>
  <c r="G446" i="5"/>
  <c r="G438" i="5"/>
  <c r="G430" i="5"/>
  <c r="G422" i="5"/>
  <c r="G414" i="5"/>
  <c r="G406" i="5"/>
  <c r="G398" i="5"/>
  <c r="G390" i="5"/>
  <c r="G382" i="5"/>
  <c r="G374" i="5"/>
  <c r="G366" i="5"/>
  <c r="G358" i="5"/>
  <c r="G350" i="5"/>
  <c r="G342" i="5"/>
  <c r="G334" i="5"/>
  <c r="G326" i="5"/>
  <c r="G318" i="5"/>
  <c r="G310" i="5"/>
  <c r="G302" i="5"/>
  <c r="G294" i="5"/>
  <c r="G286" i="5"/>
  <c r="G278" i="5"/>
  <c r="G270" i="5"/>
  <c r="G262" i="5"/>
  <c r="G254" i="5"/>
  <c r="G246" i="5"/>
  <c r="G238" i="5"/>
  <c r="G230" i="5"/>
  <c r="G222" i="5"/>
  <c r="G214" i="5"/>
  <c r="G206" i="5"/>
  <c r="G198" i="5"/>
  <c r="G190" i="5"/>
  <c r="G182" i="5"/>
  <c r="G174" i="5"/>
  <c r="G166" i="5"/>
  <c r="G158" i="5"/>
  <c r="G150" i="5"/>
  <c r="G144" i="5"/>
  <c r="G140" i="5"/>
  <c r="G136" i="5"/>
  <c r="G132" i="5"/>
  <c r="G128" i="5"/>
  <c r="G124" i="5"/>
  <c r="G120" i="5"/>
  <c r="G116" i="5"/>
  <c r="G112" i="5"/>
  <c r="G108" i="5"/>
  <c r="G104" i="5"/>
  <c r="G100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G477" i="5"/>
  <c r="G445" i="5"/>
  <c r="G421" i="5"/>
  <c r="G405" i="5"/>
  <c r="G389" i="5"/>
  <c r="G373" i="5"/>
  <c r="G357" i="5"/>
  <c r="G341" i="5"/>
  <c r="G325" i="5"/>
  <c r="G309" i="5"/>
  <c r="G293" i="5"/>
  <c r="G277" i="5"/>
  <c r="G261" i="5"/>
  <c r="G245" i="5"/>
  <c r="G229" i="5"/>
  <c r="G213" i="5"/>
  <c r="G197" i="5"/>
  <c r="G181" i="5"/>
  <c r="G165" i="5"/>
  <c r="G149" i="5"/>
  <c r="G139" i="5"/>
  <c r="G131" i="5"/>
  <c r="G123" i="5"/>
  <c r="G115" i="5"/>
  <c r="G107" i="5"/>
  <c r="G99" i="5"/>
  <c r="G91" i="5"/>
  <c r="G83" i="5"/>
  <c r="G75" i="5"/>
  <c r="G67" i="5"/>
  <c r="G59" i="5"/>
  <c r="G51" i="5"/>
  <c r="G43" i="5"/>
  <c r="G35" i="5"/>
  <c r="G27" i="5"/>
  <c r="G19" i="5"/>
  <c r="G11" i="5"/>
  <c r="G118" i="5"/>
  <c r="G102" i="5"/>
  <c r="G78" i="5"/>
  <c r="G70" i="5"/>
  <c r="G54" i="5"/>
  <c r="G38" i="5"/>
  <c r="G30" i="5"/>
  <c r="G14" i="5"/>
  <c r="G461" i="5"/>
  <c r="G429" i="5"/>
  <c r="G413" i="5"/>
  <c r="G333" i="5"/>
  <c r="G317" i="5"/>
  <c r="G285" i="5"/>
  <c r="G269" i="5"/>
  <c r="G237" i="5"/>
  <c r="G221" i="5"/>
  <c r="G143" i="5"/>
  <c r="G119" i="5"/>
  <c r="G103" i="5"/>
  <c r="G87" i="5"/>
  <c r="G71" i="5"/>
  <c r="G55" i="5"/>
  <c r="G258" i="5"/>
  <c r="G242" i="5"/>
  <c r="G210" i="5"/>
  <c r="G138" i="5"/>
  <c r="G114" i="5"/>
  <c r="G98" i="5"/>
  <c r="G82" i="5"/>
  <c r="G66" i="5"/>
  <c r="G50" i="5"/>
  <c r="G34" i="5"/>
  <c r="G26" i="5"/>
  <c r="G482" i="5"/>
  <c r="G469" i="5"/>
  <c r="G437" i="5"/>
  <c r="G426" i="5"/>
  <c r="G410" i="5"/>
  <c r="G394" i="5"/>
  <c r="G378" i="5"/>
  <c r="G362" i="5"/>
  <c r="G346" i="5"/>
  <c r="G330" i="5"/>
  <c r="G314" i="5"/>
  <c r="G298" i="5"/>
  <c r="G282" i="5"/>
  <c r="G266" i="5"/>
  <c r="G250" i="5"/>
  <c r="G234" i="5"/>
  <c r="G218" i="5"/>
  <c r="G202" i="5"/>
  <c r="G186" i="5"/>
  <c r="G170" i="5"/>
  <c r="G154" i="5"/>
  <c r="G142" i="5"/>
  <c r="G134" i="5"/>
  <c r="G126" i="5"/>
  <c r="G110" i="5"/>
  <c r="G94" i="5"/>
  <c r="G86" i="5"/>
  <c r="G62" i="5"/>
  <c r="G46" i="5"/>
  <c r="G22" i="5"/>
  <c r="G6" i="5"/>
  <c r="G397" i="5"/>
  <c r="G381" i="5"/>
  <c r="G365" i="5"/>
  <c r="G349" i="5"/>
  <c r="G301" i="5"/>
  <c r="G253" i="5"/>
  <c r="G205" i="5"/>
  <c r="G189" i="5"/>
  <c r="G173" i="5"/>
  <c r="G157" i="5"/>
  <c r="G135" i="5"/>
  <c r="G127" i="5"/>
  <c r="G111" i="5"/>
  <c r="G95" i="5"/>
  <c r="G79" i="5"/>
  <c r="G63" i="5"/>
  <c r="G47" i="5"/>
  <c r="G39" i="5"/>
  <c r="G31" i="5"/>
  <c r="G23" i="5"/>
  <c r="G15" i="5"/>
  <c r="G7" i="5"/>
  <c r="G3" i="5"/>
  <c r="G453" i="5"/>
  <c r="G418" i="5"/>
  <c r="G402" i="5"/>
  <c r="G386" i="5"/>
  <c r="G370" i="5"/>
  <c r="G354" i="5"/>
  <c r="G338" i="5"/>
  <c r="G322" i="5"/>
  <c r="G306" i="5"/>
  <c r="G290" i="5"/>
  <c r="G274" i="5"/>
  <c r="G226" i="5"/>
  <c r="G194" i="5"/>
  <c r="G178" i="5"/>
  <c r="G162" i="5"/>
  <c r="G146" i="5"/>
  <c r="G130" i="5"/>
  <c r="G122" i="5"/>
  <c r="G106" i="5"/>
  <c r="G90" i="5"/>
  <c r="G74" i="5"/>
  <c r="G58" i="5"/>
  <c r="G42" i="5"/>
  <c r="G18" i="5"/>
  <c r="G10" i="5"/>
  <c r="I3" i="5" l="1"/>
  <c r="J3" i="5" s="1"/>
  <c r="E4" i="5" s="1"/>
  <c r="C11" i="7"/>
  <c r="C12" i="7" s="1"/>
  <c r="C13" i="7" s="1"/>
  <c r="C10" i="7"/>
  <c r="I4" i="5" l="1"/>
  <c r="J4" i="5" s="1"/>
  <c r="E5" i="5" s="1"/>
  <c r="I5" i="5" s="1"/>
  <c r="J5" i="5" s="1"/>
  <c r="E6" i="5" s="1"/>
  <c r="C14" i="7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I6" i="5" l="1"/>
  <c r="J6" i="5" s="1"/>
  <c r="E7" i="5" s="1"/>
  <c r="G3" i="7"/>
  <c r="I8" i="7" s="1"/>
  <c r="I7" i="5" l="1"/>
  <c r="J7" i="5" s="1"/>
  <c r="E8" i="5" s="1"/>
  <c r="G2" i="7"/>
  <c r="N8" i="7" s="1"/>
  <c r="I8" i="5" l="1"/>
  <c r="J8" i="5" s="1"/>
  <c r="E9" i="5" s="1"/>
  <c r="I9" i="5" s="1"/>
  <c r="J9" i="5" s="1"/>
  <c r="E10" i="5" s="1"/>
  <c r="I10" i="5" s="1"/>
  <c r="J10" i="5" s="1"/>
  <c r="E11" i="5" s="1"/>
  <c r="H8" i="7"/>
  <c r="I11" i="5" l="1"/>
  <c r="J11" i="5" s="1"/>
  <c r="E12" i="5" s="1"/>
  <c r="I12" i="5" s="1"/>
  <c r="J12" i="5" s="1"/>
  <c r="E13" i="5" s="1"/>
  <c r="I13" i="5" l="1"/>
  <c r="J13" i="5" s="1"/>
  <c r="E14" i="5" s="1"/>
  <c r="I14" i="5" s="1"/>
  <c r="J14" i="5" s="1"/>
  <c r="E15" i="5" s="1"/>
  <c r="I15" i="5" s="1"/>
  <c r="J15" i="5" s="1"/>
  <c r="E16" i="5" s="1"/>
  <c r="I16" i="5" l="1"/>
  <c r="J16" i="5" s="1"/>
  <c r="E17" i="5" s="1"/>
  <c r="I17" i="5" l="1"/>
  <c r="J17" i="5" s="1"/>
  <c r="E18" i="5" s="1"/>
  <c r="I18" i="5" s="1"/>
  <c r="J18" i="5" s="1"/>
  <c r="E19" i="5" s="1"/>
  <c r="I19" i="5" l="1"/>
  <c r="J19" i="5" s="1"/>
  <c r="E20" i="5" s="1"/>
  <c r="I20" i="5" s="1"/>
  <c r="J20" i="5" s="1"/>
  <c r="E21" i="5" s="1"/>
  <c r="I21" i="5" s="1"/>
  <c r="J21" i="5" s="1"/>
  <c r="E22" i="5" s="1"/>
  <c r="I22" i="5" s="1"/>
  <c r="J22" i="5" s="1"/>
  <c r="E23" i="5" s="1"/>
  <c r="I23" i="5" l="1"/>
  <c r="J23" i="5" s="1"/>
  <c r="E24" i="5" s="1"/>
  <c r="I24" i="5" s="1"/>
  <c r="J24" i="5" s="1"/>
  <c r="E25" i="5" s="1"/>
  <c r="I25" i="5" s="1"/>
  <c r="J25" i="5" s="1"/>
  <c r="E26" i="5" s="1"/>
  <c r="I26" i="5" s="1"/>
  <c r="J26" i="5" s="1"/>
  <c r="E27" i="5" s="1"/>
  <c r="I27" i="5" l="1"/>
  <c r="J27" i="5" s="1"/>
  <c r="E28" i="5" s="1"/>
  <c r="I28" i="5" l="1"/>
  <c r="J28" i="5" s="1"/>
  <c r="E29" i="5" s="1"/>
  <c r="I29" i="5" s="1"/>
  <c r="J29" i="5" s="1"/>
  <c r="E30" i="5" s="1"/>
  <c r="I30" i="5" l="1"/>
  <c r="J30" i="5" s="1"/>
  <c r="E31" i="5" s="1"/>
  <c r="I31" i="5" l="1"/>
  <c r="J31" i="5" s="1"/>
  <c r="E32" i="5" s="1"/>
  <c r="I32" i="5" s="1"/>
  <c r="J32" i="5" s="1"/>
  <c r="E33" i="5" s="1"/>
  <c r="I33" i="5" s="1"/>
  <c r="J33" i="5" s="1"/>
  <c r="E34" i="5" s="1"/>
  <c r="I34" i="5" s="1"/>
  <c r="J34" i="5" s="1"/>
  <c r="E35" i="5" s="1"/>
  <c r="I35" i="5" l="1"/>
  <c r="J35" i="5" s="1"/>
  <c r="E36" i="5" s="1"/>
  <c r="I36" i="5" s="1"/>
  <c r="J36" i="5" s="1"/>
  <c r="E37" i="5" s="1"/>
  <c r="I37" i="5" l="1"/>
  <c r="J37" i="5"/>
  <c r="E38" i="5" s="1"/>
  <c r="I38" i="5" s="1"/>
  <c r="J38" i="5" s="1"/>
  <c r="E39" i="5" s="1"/>
  <c r="I39" i="5" s="1"/>
  <c r="J39" i="5" s="1"/>
  <c r="E40" i="5" s="1"/>
  <c r="I40" i="5" s="1"/>
  <c r="J40" i="5" s="1"/>
  <c r="E41" i="5" s="1"/>
  <c r="I41" i="5" l="1"/>
  <c r="J41" i="5" s="1"/>
  <c r="E42" i="5" s="1"/>
  <c r="I42" i="5" s="1"/>
  <c r="J42" i="5" s="1"/>
  <c r="E43" i="5" s="1"/>
  <c r="I43" i="5" s="1"/>
  <c r="J43" i="5" s="1"/>
  <c r="E44" i="5" s="1"/>
  <c r="I44" i="5" l="1"/>
  <c r="J44" i="5" s="1"/>
  <c r="E45" i="5" s="1"/>
  <c r="I45" i="5" l="1"/>
  <c r="J45" i="5" s="1"/>
  <c r="E46" i="5" s="1"/>
  <c r="I46" i="5" s="1"/>
  <c r="J46" i="5" s="1"/>
  <c r="E47" i="5" s="1"/>
  <c r="I47" i="5" l="1"/>
  <c r="J47" i="5" s="1"/>
  <c r="E48" i="5" s="1"/>
  <c r="I48" i="5" s="1"/>
  <c r="J48" i="5" s="1"/>
  <c r="E49" i="5" s="1"/>
  <c r="I49" i="5" s="1"/>
  <c r="J49" i="5" s="1"/>
  <c r="E50" i="5" s="1"/>
  <c r="I50" i="5" s="1"/>
  <c r="J50" i="5" s="1"/>
  <c r="E51" i="5" s="1"/>
  <c r="I51" i="5" s="1"/>
  <c r="J51" i="5" s="1"/>
  <c r="E52" i="5" s="1"/>
  <c r="I52" i="5" s="1"/>
  <c r="J52" i="5" s="1"/>
  <c r="E53" i="5" s="1"/>
  <c r="I53" i="5" l="1"/>
  <c r="J53" i="5" s="1"/>
  <c r="E54" i="5" s="1"/>
  <c r="I54" i="5" s="1"/>
  <c r="J54" i="5" s="1"/>
  <c r="E55" i="5" s="1"/>
  <c r="I55" i="5" s="1"/>
  <c r="J55" i="5" s="1"/>
  <c r="E56" i="5" s="1"/>
  <c r="I56" i="5" l="1"/>
  <c r="J56" i="5" s="1"/>
  <c r="E57" i="5" s="1"/>
  <c r="I57" i="5" l="1"/>
  <c r="J57" i="5" s="1"/>
  <c r="E58" i="5" s="1"/>
  <c r="I58" i="5" l="1"/>
  <c r="J58" i="5" s="1"/>
  <c r="E59" i="5" s="1"/>
  <c r="I59" i="5" s="1"/>
  <c r="J59" i="5" s="1"/>
  <c r="E60" i="5" s="1"/>
  <c r="I60" i="5" s="1"/>
  <c r="J60" i="5" s="1"/>
  <c r="E61" i="5" s="1"/>
  <c r="I61" i="5" s="1"/>
  <c r="J61" i="5" s="1"/>
  <c r="E62" i="5" s="1"/>
  <c r="I62" i="5" s="1"/>
  <c r="J62" i="5" s="1"/>
  <c r="E63" i="5" s="1"/>
  <c r="I63" i="5" l="1"/>
  <c r="J63" i="5" s="1"/>
  <c r="E64" i="5" s="1"/>
  <c r="I64" i="5" s="1"/>
  <c r="J64" i="5" s="1"/>
  <c r="E65" i="5" s="1"/>
  <c r="I65" i="5" l="1"/>
  <c r="J65" i="5" s="1"/>
  <c r="E66" i="5" s="1"/>
  <c r="I66" i="5" s="1"/>
  <c r="J66" i="5" s="1"/>
  <c r="E67" i="5" s="1"/>
  <c r="I67" i="5" s="1"/>
  <c r="J67" i="5" s="1"/>
  <c r="E68" i="5" s="1"/>
  <c r="I68" i="5" l="1"/>
  <c r="J68" i="5" s="1"/>
  <c r="E69" i="5" s="1"/>
  <c r="I69" i="5" s="1"/>
  <c r="J69" i="5" s="1"/>
  <c r="E70" i="5" s="1"/>
  <c r="I70" i="5" s="1"/>
  <c r="J70" i="5" s="1"/>
  <c r="E71" i="5" s="1"/>
  <c r="I71" i="5" s="1"/>
  <c r="J71" i="5" s="1"/>
  <c r="E72" i="5" s="1"/>
  <c r="I72" i="5" s="1"/>
  <c r="J72" i="5" s="1"/>
  <c r="E73" i="5" s="1"/>
  <c r="I73" i="5" s="1"/>
  <c r="J73" i="5" s="1"/>
  <c r="E74" i="5" s="1"/>
  <c r="I74" i="5" l="1"/>
  <c r="J74" i="5" s="1"/>
  <c r="E75" i="5" s="1"/>
  <c r="I75" i="5" l="1"/>
  <c r="J75" i="5" s="1"/>
  <c r="E76" i="5" s="1"/>
  <c r="I76" i="5" s="1"/>
  <c r="J76" i="5" s="1"/>
  <c r="E77" i="5" s="1"/>
  <c r="I77" i="5" s="1"/>
  <c r="J77" i="5" s="1"/>
  <c r="E78" i="5" s="1"/>
  <c r="I78" i="5" s="1"/>
  <c r="J78" i="5" s="1"/>
  <c r="E79" i="5" s="1"/>
  <c r="I79" i="5" s="1"/>
  <c r="J79" i="5" s="1"/>
  <c r="E80" i="5" s="1"/>
  <c r="I80" i="5" s="1"/>
  <c r="J80" i="5" s="1"/>
  <c r="E81" i="5" s="1"/>
  <c r="I81" i="5" s="1"/>
  <c r="J81" i="5" s="1"/>
  <c r="E82" i="5" s="1"/>
  <c r="I82" i="5" s="1"/>
  <c r="J82" i="5" s="1"/>
  <c r="E83" i="5" s="1"/>
  <c r="I83" i="5" l="1"/>
  <c r="J83" i="5" s="1"/>
  <c r="E84" i="5" s="1"/>
  <c r="I84" i="5" s="1"/>
  <c r="J84" i="5" s="1"/>
  <c r="E85" i="5" s="1"/>
  <c r="I85" i="5" s="1"/>
  <c r="J85" i="5" s="1"/>
  <c r="E86" i="5" s="1"/>
  <c r="I86" i="5" l="1"/>
  <c r="J86" i="5" s="1"/>
  <c r="E87" i="5" s="1"/>
  <c r="I87" i="5" l="1"/>
  <c r="J87" i="5" s="1"/>
  <c r="E88" i="5" s="1"/>
  <c r="I88" i="5" s="1"/>
  <c r="J88" i="5" s="1"/>
  <c r="E89" i="5" s="1"/>
  <c r="I89" i="5" l="1"/>
  <c r="J89" i="5" s="1"/>
  <c r="E90" i="5" s="1"/>
  <c r="I90" i="5" s="1"/>
  <c r="J90" i="5" s="1"/>
  <c r="E91" i="5" s="1"/>
  <c r="I91" i="5" s="1"/>
  <c r="J91" i="5" s="1"/>
  <c r="E92" i="5" s="1"/>
  <c r="I92" i="5" s="1"/>
  <c r="J92" i="5" s="1"/>
  <c r="E93" i="5" s="1"/>
  <c r="I93" i="5" s="1"/>
  <c r="J93" i="5" s="1"/>
  <c r="E94" i="5" s="1"/>
  <c r="I94" i="5" l="1"/>
  <c r="J94" i="5" s="1"/>
  <c r="E95" i="5" s="1"/>
  <c r="I95" i="5" l="1"/>
  <c r="J95" i="5" s="1"/>
  <c r="E96" i="5" s="1"/>
  <c r="I96" i="5" l="1"/>
  <c r="J96" i="5" s="1"/>
  <c r="E97" i="5" s="1"/>
  <c r="I97" i="5" l="1"/>
  <c r="J97" i="5" s="1"/>
  <c r="E98" i="5" s="1"/>
  <c r="I98" i="5" s="1"/>
  <c r="J98" i="5" s="1"/>
  <c r="E99" i="5" s="1"/>
  <c r="I99" i="5" s="1"/>
  <c r="J99" i="5" s="1"/>
  <c r="E100" i="5" s="1"/>
  <c r="I100" i="5" s="1"/>
  <c r="J100" i="5" s="1"/>
  <c r="E101" i="5" s="1"/>
  <c r="I101" i="5" l="1"/>
  <c r="J101" i="5" s="1"/>
  <c r="E102" i="5" s="1"/>
  <c r="I102" i="5" l="1"/>
  <c r="J102" i="5" s="1"/>
  <c r="E103" i="5" s="1"/>
  <c r="I103" i="5" l="1"/>
  <c r="J103" i="5" s="1"/>
  <c r="E104" i="5" s="1"/>
  <c r="I104" i="5" s="1"/>
  <c r="J104" i="5" s="1"/>
  <c r="E105" i="5" s="1"/>
  <c r="I105" i="5" l="1"/>
  <c r="J105" i="5" s="1"/>
  <c r="E106" i="5" s="1"/>
  <c r="I106" i="5" s="1"/>
  <c r="J106" i="5" s="1"/>
  <c r="E107" i="5" s="1"/>
  <c r="I107" i="5" s="1"/>
  <c r="J107" i="5" s="1"/>
  <c r="E108" i="5" s="1"/>
  <c r="I108" i="5" s="1"/>
  <c r="J108" i="5" s="1"/>
  <c r="E109" i="5" s="1"/>
  <c r="I109" i="5" s="1"/>
  <c r="J109" i="5" s="1"/>
  <c r="E110" i="5" s="1"/>
  <c r="I110" i="5" l="1"/>
  <c r="J110" i="5" s="1"/>
  <c r="E111" i="5" s="1"/>
  <c r="I111" i="5" l="1"/>
  <c r="J111" i="5" s="1"/>
  <c r="E112" i="5" s="1"/>
  <c r="I112" i="5" s="1"/>
  <c r="J112" i="5" s="1"/>
  <c r="E113" i="5" s="1"/>
  <c r="I113" i="5" s="1"/>
  <c r="J113" i="5" s="1"/>
  <c r="E114" i="5" s="1"/>
  <c r="I114" i="5" l="1"/>
  <c r="J114" i="5" s="1"/>
  <c r="E115" i="5" s="1"/>
  <c r="I115" i="5" l="1"/>
  <c r="J115" i="5" s="1"/>
  <c r="E116" i="5" s="1"/>
  <c r="I116" i="5" s="1"/>
  <c r="J116" i="5" s="1"/>
  <c r="E117" i="5" s="1"/>
  <c r="I117" i="5" s="1"/>
  <c r="J117" i="5" s="1"/>
  <c r="E118" i="5" s="1"/>
  <c r="I118" i="5" l="1"/>
  <c r="J118" i="5" s="1"/>
  <c r="E119" i="5" s="1"/>
  <c r="I119" i="5" s="1"/>
  <c r="J119" i="5" s="1"/>
  <c r="E120" i="5" s="1"/>
  <c r="I120" i="5" s="1"/>
  <c r="J120" i="5" s="1"/>
  <c r="E121" i="5" s="1"/>
  <c r="I121" i="5" l="1"/>
  <c r="J121" i="5" s="1"/>
  <c r="E122" i="5" s="1"/>
  <c r="I122" i="5" l="1"/>
  <c r="J122" i="5" s="1"/>
  <c r="E123" i="5" s="1"/>
  <c r="I123" i="5" l="1"/>
  <c r="J123" i="5" s="1"/>
  <c r="E124" i="5" s="1"/>
  <c r="I124" i="5" l="1"/>
  <c r="J124" i="5" s="1"/>
  <c r="E125" i="5" s="1"/>
  <c r="I125" i="5" s="1"/>
  <c r="J125" i="5" s="1"/>
  <c r="E126" i="5" s="1"/>
  <c r="I126" i="5" l="1"/>
  <c r="J126" i="5" s="1"/>
  <c r="E127" i="5" s="1"/>
  <c r="I127" i="5" l="1"/>
  <c r="J127" i="5" s="1"/>
  <c r="E128" i="5" s="1"/>
  <c r="I128" i="5" s="1"/>
  <c r="J128" i="5" s="1"/>
  <c r="E129" i="5" s="1"/>
  <c r="I129" i="5" s="1"/>
  <c r="J129" i="5" s="1"/>
  <c r="E130" i="5" s="1"/>
  <c r="I130" i="5" l="1"/>
  <c r="J130" i="5" s="1"/>
  <c r="E131" i="5" s="1"/>
  <c r="I131" i="5" l="1"/>
  <c r="J131" i="5" s="1"/>
  <c r="E132" i="5" s="1"/>
  <c r="I132" i="5" l="1"/>
  <c r="J132" i="5" s="1"/>
  <c r="E133" i="5" s="1"/>
  <c r="I133" i="5" l="1"/>
  <c r="J133" i="5" s="1"/>
  <c r="E134" i="5" s="1"/>
  <c r="I134" i="5" s="1"/>
  <c r="J134" i="5" s="1"/>
  <c r="E135" i="5" s="1"/>
  <c r="I135" i="5" l="1"/>
  <c r="J135" i="5" s="1"/>
  <c r="E136" i="5" s="1"/>
  <c r="I136" i="5" l="1"/>
  <c r="J136" i="5" s="1"/>
  <c r="E137" i="5" s="1"/>
  <c r="I137" i="5" l="1"/>
  <c r="J137" i="5" s="1"/>
  <c r="E138" i="5" s="1"/>
  <c r="I138" i="5" l="1"/>
  <c r="J138" i="5" s="1"/>
  <c r="E139" i="5" s="1"/>
  <c r="I139" i="5" l="1"/>
  <c r="J139" i="5" s="1"/>
  <c r="E140" i="5" s="1"/>
  <c r="I140" i="5" l="1"/>
  <c r="J140" i="5" s="1"/>
  <c r="E141" i="5" s="1"/>
  <c r="I141" i="5" l="1"/>
  <c r="J141" i="5" s="1"/>
  <c r="E142" i="5" s="1"/>
  <c r="I142" i="5" l="1"/>
  <c r="J142" i="5" s="1"/>
  <c r="E143" i="5" s="1"/>
  <c r="I143" i="5" l="1"/>
  <c r="J143" i="5" s="1"/>
  <c r="E144" i="5" s="1"/>
  <c r="I144" i="5" l="1"/>
  <c r="J144" i="5" s="1"/>
  <c r="E145" i="5" s="1"/>
  <c r="I145" i="5" s="1"/>
  <c r="J145" i="5" s="1"/>
  <c r="E146" i="5" s="1"/>
  <c r="I146" i="5" l="1"/>
  <c r="J146" i="5" s="1"/>
  <c r="E147" i="5" s="1"/>
  <c r="I147" i="5" l="1"/>
  <c r="J147" i="5" s="1"/>
  <c r="E148" i="5" s="1"/>
  <c r="I148" i="5" s="1"/>
  <c r="J148" i="5" s="1"/>
  <c r="E149" i="5" s="1"/>
  <c r="I149" i="5" l="1"/>
  <c r="J149" i="5" s="1"/>
  <c r="E150" i="5" s="1"/>
  <c r="I150" i="5" l="1"/>
  <c r="J150" i="5" s="1"/>
  <c r="E151" i="5" s="1"/>
  <c r="I151" i="5" l="1"/>
  <c r="J151" i="5" s="1"/>
  <c r="E152" i="5" s="1"/>
  <c r="I152" i="5" l="1"/>
  <c r="J152" i="5" s="1"/>
  <c r="E153" i="5" s="1"/>
  <c r="I153" i="5" l="1"/>
  <c r="J153" i="5" s="1"/>
  <c r="E154" i="5" s="1"/>
  <c r="I154" i="5" l="1"/>
  <c r="J154" i="5" s="1"/>
  <c r="E155" i="5" s="1"/>
  <c r="I155" i="5" s="1"/>
  <c r="J155" i="5" s="1"/>
  <c r="E156" i="5" s="1"/>
  <c r="I156" i="5" l="1"/>
  <c r="J156" i="5" s="1"/>
  <c r="E157" i="5" s="1"/>
  <c r="I157" i="5" s="1"/>
  <c r="J157" i="5" s="1"/>
  <c r="E158" i="5" s="1"/>
  <c r="I158" i="5" l="1"/>
  <c r="J158" i="5" s="1"/>
  <c r="E159" i="5" s="1"/>
  <c r="I159" i="5" s="1"/>
  <c r="J159" i="5" s="1"/>
  <c r="E160" i="5" s="1"/>
  <c r="I160" i="5" l="1"/>
  <c r="J160" i="5" s="1"/>
  <c r="E161" i="5" s="1"/>
  <c r="I161" i="5" s="1"/>
  <c r="J161" i="5" s="1"/>
  <c r="E162" i="5" s="1"/>
  <c r="I162" i="5" l="1"/>
  <c r="J162" i="5" s="1"/>
  <c r="E163" i="5" s="1"/>
  <c r="I163" i="5" l="1"/>
  <c r="J163" i="5" s="1"/>
  <c r="E164" i="5" s="1"/>
  <c r="I164" i="5" s="1"/>
  <c r="J164" i="5" s="1"/>
  <c r="E165" i="5" s="1"/>
  <c r="I165" i="5" s="1"/>
  <c r="J165" i="5" s="1"/>
  <c r="E166" i="5" s="1"/>
  <c r="I166" i="5" l="1"/>
  <c r="J166" i="5" s="1"/>
  <c r="E167" i="5" s="1"/>
  <c r="I167" i="5" l="1"/>
  <c r="J167" i="5" s="1"/>
  <c r="E168" i="5" s="1"/>
  <c r="I168" i="5" l="1"/>
  <c r="J168" i="5" s="1"/>
  <c r="E169" i="5" s="1"/>
  <c r="I169" i="5" l="1"/>
  <c r="J169" i="5" s="1"/>
  <c r="E170" i="5" s="1"/>
  <c r="I170" i="5" l="1"/>
  <c r="J170" i="5" s="1"/>
  <c r="E171" i="5" s="1"/>
  <c r="I171" i="5" l="1"/>
  <c r="J171" i="5" s="1"/>
  <c r="E172" i="5" s="1"/>
  <c r="I172" i="5" l="1"/>
  <c r="J172" i="5" s="1"/>
  <c r="E173" i="5" s="1"/>
  <c r="I173" i="5" l="1"/>
  <c r="J173" i="5" s="1"/>
  <c r="E174" i="5" s="1"/>
  <c r="I174" i="5" s="1"/>
  <c r="J174" i="5" s="1"/>
  <c r="E175" i="5" s="1"/>
  <c r="I175" i="5" l="1"/>
  <c r="J175" i="5" s="1"/>
  <c r="E176" i="5" s="1"/>
  <c r="I176" i="5" l="1"/>
  <c r="J176" i="5" s="1"/>
  <c r="E177" i="5" s="1"/>
  <c r="I177" i="5" l="1"/>
  <c r="J177" i="5" s="1"/>
  <c r="E178" i="5" s="1"/>
  <c r="I178" i="5" s="1"/>
  <c r="J178" i="5" s="1"/>
  <c r="E179" i="5" s="1"/>
  <c r="I179" i="5" l="1"/>
  <c r="J179" i="5" s="1"/>
  <c r="E180" i="5" s="1"/>
  <c r="I180" i="5" s="1"/>
  <c r="J180" i="5" s="1"/>
  <c r="E181" i="5" s="1"/>
  <c r="I181" i="5" l="1"/>
  <c r="J181" i="5" s="1"/>
  <c r="E182" i="5" s="1"/>
  <c r="I182" i="5" l="1"/>
  <c r="J182" i="5" s="1"/>
  <c r="E183" i="5" s="1"/>
  <c r="I183" i="5" s="1"/>
  <c r="J183" i="5" s="1"/>
  <c r="E184" i="5" s="1"/>
  <c r="I184" i="5" l="1"/>
  <c r="J184" i="5" s="1"/>
  <c r="E185" i="5" s="1"/>
  <c r="I185" i="5" l="1"/>
  <c r="J185" i="5" s="1"/>
  <c r="E186" i="5" s="1"/>
  <c r="I186" i="5" l="1"/>
  <c r="J186" i="5" s="1"/>
  <c r="E187" i="5" s="1"/>
  <c r="I187" i="5" l="1"/>
  <c r="J187" i="5" s="1"/>
  <c r="E188" i="5" s="1"/>
  <c r="I188" i="5" l="1"/>
  <c r="J188" i="5"/>
  <c r="E189" i="5" s="1"/>
  <c r="I189" i="5" s="1"/>
  <c r="J189" i="5" s="1"/>
  <c r="E190" i="5" s="1"/>
  <c r="I190" i="5" s="1"/>
  <c r="J190" i="5" s="1"/>
  <c r="E191" i="5" s="1"/>
  <c r="I191" i="5" s="1"/>
  <c r="J191" i="5" s="1"/>
  <c r="E192" i="5" s="1"/>
  <c r="I192" i="5" l="1"/>
  <c r="J192" i="5" s="1"/>
  <c r="E193" i="5" s="1"/>
  <c r="I193" i="5" s="1"/>
  <c r="J193" i="5" s="1"/>
  <c r="E194" i="5" s="1"/>
  <c r="I194" i="5" s="1"/>
  <c r="J194" i="5" s="1"/>
  <c r="E195" i="5" s="1"/>
  <c r="I195" i="5" s="1"/>
  <c r="J195" i="5" s="1"/>
  <c r="E196" i="5" s="1"/>
  <c r="I196" i="5" l="1"/>
  <c r="J196" i="5" s="1"/>
  <c r="E197" i="5" s="1"/>
  <c r="I197" i="5" s="1"/>
  <c r="J197" i="5" s="1"/>
  <c r="E198" i="5" s="1"/>
  <c r="I198" i="5" s="1"/>
  <c r="J198" i="5" s="1"/>
  <c r="E199" i="5" s="1"/>
  <c r="I199" i="5" s="1"/>
  <c r="J199" i="5" s="1"/>
  <c r="E200" i="5" s="1"/>
  <c r="I200" i="5" l="1"/>
  <c r="J200" i="5" s="1"/>
  <c r="E201" i="5" s="1"/>
  <c r="I201" i="5" s="1"/>
  <c r="J201" i="5" s="1"/>
  <c r="E202" i="5" s="1"/>
  <c r="I202" i="5" s="1"/>
  <c r="J202" i="5" s="1"/>
  <c r="E203" i="5" s="1"/>
  <c r="I203" i="5" l="1"/>
  <c r="J203" i="5" s="1"/>
  <c r="E204" i="5" s="1"/>
  <c r="I204" i="5" l="1"/>
  <c r="J204" i="5" s="1"/>
  <c r="E205" i="5" s="1"/>
  <c r="I205" i="5" s="1"/>
  <c r="J205" i="5" s="1"/>
  <c r="E206" i="5" s="1"/>
  <c r="I206" i="5" l="1"/>
  <c r="J206" i="5" s="1"/>
  <c r="E207" i="5" s="1"/>
  <c r="I207" i="5" s="1"/>
  <c r="J207" i="5" s="1"/>
  <c r="E208" i="5" s="1"/>
  <c r="I208" i="5" l="1"/>
  <c r="J208" i="5" s="1"/>
  <c r="E209" i="5" s="1"/>
  <c r="I209" i="5" s="1"/>
  <c r="J209" i="5" s="1"/>
  <c r="E210" i="5" s="1"/>
  <c r="I210" i="5" l="1"/>
  <c r="J210" i="5" s="1"/>
  <c r="E211" i="5" s="1"/>
  <c r="I211" i="5" l="1"/>
  <c r="J211" i="5" s="1"/>
  <c r="E212" i="5" s="1"/>
  <c r="I212" i="5" s="1"/>
  <c r="J212" i="5" s="1"/>
  <c r="E213" i="5" s="1"/>
  <c r="I213" i="5" l="1"/>
  <c r="J213" i="5" s="1"/>
  <c r="E214" i="5" s="1"/>
  <c r="I214" i="5" s="1"/>
  <c r="J214" i="5" s="1"/>
  <c r="E215" i="5" s="1"/>
  <c r="I215" i="5" l="1"/>
  <c r="J215" i="5" s="1"/>
  <c r="E216" i="5" s="1"/>
  <c r="I216" i="5" l="1"/>
  <c r="J216" i="5" s="1"/>
  <c r="E217" i="5" s="1"/>
  <c r="I217" i="5" s="1"/>
  <c r="J217" i="5" s="1"/>
  <c r="E218" i="5" s="1"/>
  <c r="I218" i="5" s="1"/>
  <c r="J218" i="5" s="1"/>
  <c r="E219" i="5" s="1"/>
  <c r="I219" i="5" l="1"/>
  <c r="J219" i="5" s="1"/>
  <c r="E220" i="5" s="1"/>
  <c r="I220" i="5" s="1"/>
  <c r="J220" i="5" s="1"/>
  <c r="E221" i="5" s="1"/>
  <c r="I221" i="5" l="1"/>
  <c r="J221" i="5" s="1"/>
  <c r="E222" i="5" s="1"/>
  <c r="I222" i="5" l="1"/>
  <c r="J222" i="5" s="1"/>
  <c r="E223" i="5" s="1"/>
  <c r="I223" i="5" l="1"/>
  <c r="J223" i="5" s="1"/>
  <c r="E224" i="5" s="1"/>
  <c r="I224" i="5" s="1"/>
  <c r="J224" i="5" s="1"/>
  <c r="E225" i="5" s="1"/>
  <c r="I225" i="5" l="1"/>
  <c r="J225" i="5" s="1"/>
  <c r="E226" i="5" s="1"/>
  <c r="I226" i="5" s="1"/>
  <c r="J226" i="5" s="1"/>
  <c r="E227" i="5" s="1"/>
  <c r="I227" i="5" l="1"/>
  <c r="J227" i="5" s="1"/>
  <c r="E228" i="5" s="1"/>
  <c r="I228" i="5" l="1"/>
  <c r="J228" i="5" s="1"/>
  <c r="E229" i="5" s="1"/>
  <c r="I229" i="5" l="1"/>
  <c r="J229" i="5" s="1"/>
  <c r="E230" i="5" s="1"/>
  <c r="I230" i="5" l="1"/>
  <c r="J230" i="5" s="1"/>
  <c r="E231" i="5" s="1"/>
  <c r="I231" i="5" s="1"/>
  <c r="J231" i="5" s="1"/>
  <c r="E232" i="5" s="1"/>
  <c r="I232" i="5" l="1"/>
  <c r="J232" i="5" s="1"/>
  <c r="E233" i="5" s="1"/>
  <c r="I233" i="5" l="1"/>
  <c r="J233" i="5" s="1"/>
  <c r="E234" i="5" s="1"/>
  <c r="I234" i="5" l="1"/>
  <c r="J234" i="5" s="1"/>
  <c r="E235" i="5" s="1"/>
  <c r="I235" i="5" s="1"/>
  <c r="J235" i="5" s="1"/>
  <c r="E236" i="5" s="1"/>
  <c r="I236" i="5" l="1"/>
  <c r="J236" i="5" s="1"/>
  <c r="E237" i="5" s="1"/>
  <c r="I237" i="5" l="1"/>
  <c r="J237" i="5" s="1"/>
  <c r="E238" i="5" s="1"/>
  <c r="I238" i="5" s="1"/>
  <c r="J238" i="5" s="1"/>
  <c r="E239" i="5" s="1"/>
  <c r="I239" i="5" l="1"/>
  <c r="J239" i="5" s="1"/>
  <c r="E240" i="5" s="1"/>
  <c r="I240" i="5" l="1"/>
  <c r="J240" i="5" s="1"/>
  <c r="E241" i="5" s="1"/>
  <c r="I241" i="5" l="1"/>
  <c r="J241" i="5" s="1"/>
  <c r="E242" i="5" s="1"/>
  <c r="I242" i="5" l="1"/>
  <c r="J242" i="5" s="1"/>
  <c r="E243" i="5" s="1"/>
  <c r="I243" i="5" l="1"/>
  <c r="J243" i="5" s="1"/>
  <c r="E244" i="5" s="1"/>
  <c r="I244" i="5" l="1"/>
  <c r="J244" i="5" s="1"/>
  <c r="E245" i="5" s="1"/>
  <c r="I245" i="5" l="1"/>
  <c r="J245" i="5" s="1"/>
  <c r="E246" i="5" s="1"/>
  <c r="I246" i="5" s="1"/>
  <c r="J246" i="5" s="1"/>
  <c r="E247" i="5" s="1"/>
  <c r="I247" i="5" s="1"/>
  <c r="J247" i="5" s="1"/>
  <c r="E248" i="5" s="1"/>
  <c r="I248" i="5" s="1"/>
  <c r="J248" i="5" s="1"/>
  <c r="E249" i="5" s="1"/>
  <c r="I249" i="5" l="1"/>
  <c r="J249" i="5" s="1"/>
  <c r="E250" i="5" s="1"/>
  <c r="I250" i="5" s="1"/>
  <c r="J250" i="5" s="1"/>
  <c r="E251" i="5" s="1"/>
  <c r="I251" i="5" l="1"/>
  <c r="J251" i="5" s="1"/>
  <c r="E252" i="5" s="1"/>
  <c r="I252" i="5" l="1"/>
  <c r="J252" i="5" s="1"/>
  <c r="E253" i="5" s="1"/>
  <c r="I253" i="5" l="1"/>
  <c r="J253" i="5" s="1"/>
  <c r="E254" i="5" s="1"/>
  <c r="I254" i="5" s="1"/>
  <c r="J254" i="5" s="1"/>
  <c r="E255" i="5" s="1"/>
  <c r="I255" i="5" l="1"/>
  <c r="J255" i="5" s="1"/>
  <c r="E256" i="5" s="1"/>
  <c r="I256" i="5" s="1"/>
  <c r="J256" i="5" s="1"/>
  <c r="E257" i="5" s="1"/>
  <c r="I257" i="5" s="1"/>
  <c r="J257" i="5" s="1"/>
  <c r="E258" i="5" s="1"/>
  <c r="I258" i="5" s="1"/>
  <c r="J258" i="5" s="1"/>
  <c r="E259" i="5" s="1"/>
  <c r="I259" i="5" l="1"/>
  <c r="J259" i="5" s="1"/>
  <c r="E260" i="5" s="1"/>
  <c r="I260" i="5" s="1"/>
  <c r="J260" i="5" s="1"/>
  <c r="E261" i="5" s="1"/>
  <c r="I261" i="5" l="1"/>
  <c r="J261" i="5" s="1"/>
  <c r="E262" i="5" s="1"/>
  <c r="I262" i="5" l="1"/>
  <c r="J262" i="5" s="1"/>
  <c r="E263" i="5" s="1"/>
  <c r="I263" i="5" s="1"/>
  <c r="J263" i="5" s="1"/>
  <c r="E264" i="5" s="1"/>
  <c r="I264" i="5" l="1"/>
  <c r="J264" i="5" s="1"/>
  <c r="E265" i="5" s="1"/>
  <c r="I265" i="5" s="1"/>
  <c r="J265" i="5" s="1"/>
  <c r="E266" i="5" s="1"/>
  <c r="I266" i="5" s="1"/>
  <c r="J266" i="5" s="1"/>
  <c r="E267" i="5" s="1"/>
  <c r="I267" i="5" l="1"/>
  <c r="J267" i="5" s="1"/>
  <c r="E268" i="5" s="1"/>
  <c r="I268" i="5" l="1"/>
  <c r="J268" i="5" s="1"/>
  <c r="E269" i="5" s="1"/>
  <c r="I269" i="5" l="1"/>
  <c r="J269" i="5" s="1"/>
  <c r="E270" i="5" s="1"/>
  <c r="I270" i="5" l="1"/>
  <c r="J270" i="5" s="1"/>
  <c r="E271" i="5" s="1"/>
  <c r="I271" i="5" l="1"/>
  <c r="J271" i="5" s="1"/>
  <c r="E272" i="5" s="1"/>
  <c r="I272" i="5" s="1"/>
  <c r="J272" i="5" s="1"/>
  <c r="E273" i="5" s="1"/>
  <c r="I273" i="5" s="1"/>
  <c r="J273" i="5" s="1"/>
  <c r="E274" i="5" s="1"/>
  <c r="I274" i="5" s="1"/>
  <c r="J274" i="5" s="1"/>
  <c r="E275" i="5" s="1"/>
  <c r="I275" i="5" l="1"/>
  <c r="J275" i="5" s="1"/>
  <c r="E276" i="5" s="1"/>
  <c r="I276" i="5" l="1"/>
  <c r="J276" i="5" s="1"/>
  <c r="E277" i="5" s="1"/>
  <c r="I277" i="5" s="1"/>
  <c r="J277" i="5" s="1"/>
  <c r="E278" i="5" s="1"/>
  <c r="I278" i="5" s="1"/>
  <c r="J278" i="5" s="1"/>
  <c r="E279" i="5" s="1"/>
  <c r="I279" i="5" l="1"/>
  <c r="J279" i="5" s="1"/>
  <c r="E280" i="5" s="1"/>
  <c r="I280" i="5" s="1"/>
  <c r="J280" i="5" s="1"/>
  <c r="E281" i="5" s="1"/>
  <c r="I281" i="5" s="1"/>
  <c r="J281" i="5" s="1"/>
  <c r="E282" i="5" s="1"/>
  <c r="I282" i="5" s="1"/>
  <c r="J282" i="5" s="1"/>
  <c r="E283" i="5" s="1"/>
  <c r="I283" i="5" l="1"/>
  <c r="J283" i="5" s="1"/>
  <c r="E284" i="5" s="1"/>
  <c r="I284" i="5" l="1"/>
  <c r="J284" i="5" s="1"/>
  <c r="E285" i="5" s="1"/>
  <c r="I285" i="5" s="1"/>
  <c r="J285" i="5" s="1"/>
  <c r="E286" i="5" s="1"/>
  <c r="I286" i="5" s="1"/>
  <c r="J286" i="5" s="1"/>
  <c r="E287" i="5" s="1"/>
  <c r="I287" i="5" l="1"/>
  <c r="J287" i="5" s="1"/>
  <c r="E288" i="5" s="1"/>
  <c r="I288" i="5" s="1"/>
  <c r="J288" i="5" s="1"/>
  <c r="E289" i="5" s="1"/>
  <c r="I289" i="5" l="1"/>
  <c r="J289" i="5" s="1"/>
  <c r="E290" i="5" s="1"/>
  <c r="I290" i="5" s="1"/>
  <c r="J290" i="5" s="1"/>
  <c r="E291" i="5" s="1"/>
  <c r="I291" i="5" s="1"/>
  <c r="J291" i="5" s="1"/>
  <c r="E292" i="5" s="1"/>
  <c r="I292" i="5" s="1"/>
  <c r="J292" i="5" s="1"/>
  <c r="E293" i="5" s="1"/>
  <c r="I293" i="5" l="1"/>
  <c r="J293" i="5" s="1"/>
  <c r="E294" i="5" s="1"/>
  <c r="I294" i="5" s="1"/>
  <c r="J294" i="5" s="1"/>
  <c r="E295" i="5" s="1"/>
  <c r="I295" i="5" l="1"/>
  <c r="J295" i="5" s="1"/>
  <c r="E296" i="5" s="1"/>
  <c r="I296" i="5" l="1"/>
  <c r="J296" i="5" s="1"/>
  <c r="E297" i="5" s="1"/>
  <c r="I297" i="5" l="1"/>
  <c r="J297" i="5" s="1"/>
  <c r="E298" i="5" s="1"/>
  <c r="I298" i="5" s="1"/>
  <c r="J298" i="5" s="1"/>
  <c r="E299" i="5" s="1"/>
  <c r="I299" i="5" s="1"/>
  <c r="J299" i="5" s="1"/>
  <c r="E300" i="5" s="1"/>
  <c r="I300" i="5" l="1"/>
  <c r="J300" i="5" s="1"/>
  <c r="E301" i="5" s="1"/>
  <c r="I301" i="5" s="1"/>
  <c r="J301" i="5" s="1"/>
  <c r="E302" i="5" s="1"/>
  <c r="I302" i="5" l="1"/>
  <c r="J302" i="5" s="1"/>
  <c r="E303" i="5" s="1"/>
  <c r="I303" i="5" l="1"/>
  <c r="J303" i="5" s="1"/>
  <c r="E304" i="5" s="1"/>
  <c r="I304" i="5" s="1"/>
  <c r="J304" i="5" s="1"/>
  <c r="E305" i="5" s="1"/>
  <c r="I305" i="5" s="1"/>
  <c r="J305" i="5" s="1"/>
  <c r="E306" i="5" s="1"/>
  <c r="I306" i="5" l="1"/>
  <c r="J306" i="5" s="1"/>
  <c r="E307" i="5" s="1"/>
  <c r="I307" i="5" l="1"/>
  <c r="J307" i="5" s="1"/>
  <c r="E308" i="5" s="1"/>
  <c r="I308" i="5" l="1"/>
  <c r="J308" i="5" s="1"/>
  <c r="E309" i="5" s="1"/>
  <c r="I309" i="5" l="1"/>
  <c r="J309" i="5" s="1"/>
  <c r="E310" i="5" s="1"/>
  <c r="I310" i="5" l="1"/>
  <c r="J310" i="5" s="1"/>
  <c r="E311" i="5" s="1"/>
  <c r="I311" i="5" l="1"/>
  <c r="J311" i="5" s="1"/>
  <c r="E312" i="5" s="1"/>
  <c r="I312" i="5" s="1"/>
  <c r="J312" i="5" s="1"/>
  <c r="E313" i="5" s="1"/>
  <c r="I313" i="5" l="1"/>
  <c r="J313" i="5" s="1"/>
  <c r="E314" i="5" s="1"/>
  <c r="I314" i="5" s="1"/>
  <c r="J314" i="5" s="1"/>
  <c r="E315" i="5" s="1"/>
  <c r="I315" i="5" l="1"/>
  <c r="J315" i="5" s="1"/>
  <c r="E316" i="5" s="1"/>
  <c r="I316" i="5" l="1"/>
  <c r="J316" i="5" s="1"/>
  <c r="E317" i="5" s="1"/>
  <c r="I317" i="5" l="1"/>
  <c r="J317" i="5" s="1"/>
  <c r="E318" i="5" s="1"/>
  <c r="I318" i="5" s="1"/>
  <c r="J318" i="5" s="1"/>
  <c r="E319" i="5" s="1"/>
  <c r="I319" i="5" l="1"/>
  <c r="J319" i="5" s="1"/>
  <c r="E320" i="5" s="1"/>
  <c r="I320" i="5" s="1"/>
  <c r="J320" i="5" s="1"/>
  <c r="E321" i="5" s="1"/>
  <c r="I321" i="5" l="1"/>
  <c r="J321" i="5" s="1"/>
  <c r="E322" i="5" s="1"/>
  <c r="I322" i="5" l="1"/>
  <c r="J322" i="5" s="1"/>
  <c r="E323" i="5" s="1"/>
  <c r="I323" i="5" l="1"/>
  <c r="J323" i="5" s="1"/>
  <c r="E324" i="5" s="1"/>
  <c r="I324" i="5" l="1"/>
  <c r="J324" i="5" s="1"/>
  <c r="E325" i="5" s="1"/>
  <c r="I325" i="5" l="1"/>
  <c r="J325" i="5" s="1"/>
  <c r="E326" i="5" s="1"/>
  <c r="I326" i="5" l="1"/>
  <c r="J326" i="5" s="1"/>
  <c r="E327" i="5" s="1"/>
  <c r="I327" i="5" l="1"/>
  <c r="J327" i="5" s="1"/>
  <c r="E328" i="5" s="1"/>
  <c r="I328" i="5" l="1"/>
  <c r="J328" i="5" s="1"/>
  <c r="E329" i="5" s="1"/>
  <c r="I329" i="5" s="1"/>
  <c r="J329" i="5" s="1"/>
  <c r="E330" i="5" s="1"/>
  <c r="I330" i="5" s="1"/>
  <c r="J330" i="5" s="1"/>
  <c r="E331" i="5" s="1"/>
  <c r="I331" i="5" l="1"/>
  <c r="J331" i="5" s="1"/>
  <c r="E332" i="5" s="1"/>
  <c r="I332" i="5" s="1"/>
  <c r="J332" i="5" s="1"/>
  <c r="E333" i="5" s="1"/>
  <c r="I333" i="5" s="1"/>
  <c r="J333" i="5" s="1"/>
  <c r="E334" i="5" s="1"/>
  <c r="I334" i="5" l="1"/>
  <c r="J334" i="5" s="1"/>
  <c r="E335" i="5" s="1"/>
  <c r="I335" i="5" s="1"/>
  <c r="J335" i="5" s="1"/>
  <c r="E336" i="5" s="1"/>
  <c r="I336" i="5" s="1"/>
  <c r="J336" i="5" s="1"/>
  <c r="E337" i="5" s="1"/>
  <c r="I337" i="5" l="1"/>
  <c r="J337" i="5" s="1"/>
  <c r="E338" i="5" s="1"/>
  <c r="I338" i="5" s="1"/>
  <c r="J338" i="5" s="1"/>
  <c r="E339" i="5" s="1"/>
  <c r="I339" i="5" s="1"/>
  <c r="J339" i="5" s="1"/>
  <c r="E340" i="5" s="1"/>
  <c r="I340" i="5" s="1"/>
  <c r="J340" i="5" s="1"/>
  <c r="E341" i="5" s="1"/>
  <c r="I341" i="5" l="1"/>
  <c r="J341" i="5" s="1"/>
  <c r="E342" i="5" s="1"/>
  <c r="I342" i="5" l="1"/>
  <c r="J342" i="5" s="1"/>
  <c r="E343" i="5" s="1"/>
  <c r="I343" i="5" l="1"/>
  <c r="J343" i="5" s="1"/>
  <c r="E344" i="5" s="1"/>
  <c r="I344" i="5" s="1"/>
  <c r="J344" i="5" s="1"/>
  <c r="E345" i="5" s="1"/>
  <c r="I345" i="5" l="1"/>
  <c r="J345" i="5" s="1"/>
  <c r="E346" i="5" s="1"/>
  <c r="I346" i="5" l="1"/>
  <c r="J346" i="5" s="1"/>
  <c r="E347" i="5" s="1"/>
  <c r="I347" i="5" l="1"/>
  <c r="J347" i="5" s="1"/>
  <c r="E348" i="5" s="1"/>
  <c r="I348" i="5" s="1"/>
  <c r="J348" i="5" s="1"/>
  <c r="E349" i="5" s="1"/>
  <c r="I349" i="5" l="1"/>
  <c r="J349" i="5" s="1"/>
  <c r="E350" i="5" s="1"/>
  <c r="I350" i="5" l="1"/>
  <c r="J350" i="5" s="1"/>
  <c r="E351" i="5" s="1"/>
  <c r="I351" i="5" l="1"/>
  <c r="J351" i="5" s="1"/>
  <c r="E352" i="5" s="1"/>
  <c r="I352" i="5" s="1"/>
  <c r="J352" i="5" s="1"/>
  <c r="E353" i="5" s="1"/>
  <c r="I353" i="5" l="1"/>
  <c r="J353" i="5" s="1"/>
  <c r="E354" i="5" s="1"/>
  <c r="I354" i="5" l="1"/>
  <c r="J354" i="5" s="1"/>
  <c r="E355" i="5" s="1"/>
  <c r="I355" i="5" l="1"/>
  <c r="J355" i="5" s="1"/>
  <c r="E356" i="5" s="1"/>
  <c r="I356" i="5" s="1"/>
  <c r="J356" i="5" s="1"/>
  <c r="E357" i="5" s="1"/>
  <c r="I357" i="5" l="1"/>
  <c r="J357" i="5" s="1"/>
  <c r="E358" i="5" s="1"/>
  <c r="I358" i="5" l="1"/>
  <c r="J358" i="5" s="1"/>
  <c r="E359" i="5" s="1"/>
  <c r="I359" i="5" l="1"/>
  <c r="J359" i="5" s="1"/>
  <c r="E360" i="5" s="1"/>
  <c r="I360" i="5" s="1"/>
  <c r="J360" i="5" s="1"/>
  <c r="E361" i="5" s="1"/>
  <c r="I361" i="5" l="1"/>
  <c r="J361" i="5" s="1"/>
  <c r="E362" i="5" s="1"/>
  <c r="I362" i="5" l="1"/>
  <c r="J362" i="5" s="1"/>
  <c r="E363" i="5" s="1"/>
  <c r="I363" i="5" l="1"/>
  <c r="J363" i="5" s="1"/>
  <c r="E364" i="5" s="1"/>
  <c r="I364" i="5" s="1"/>
  <c r="J364" i="5" s="1"/>
  <c r="E365" i="5" s="1"/>
  <c r="I365" i="5" l="1"/>
  <c r="J365" i="5"/>
  <c r="E366" i="5" s="1"/>
  <c r="I366" i="5" l="1"/>
  <c r="J366" i="5" s="1"/>
  <c r="E367" i="5" s="1"/>
  <c r="I367" i="5" l="1"/>
  <c r="J367" i="5" s="1"/>
  <c r="E368" i="5" s="1"/>
  <c r="I368" i="5" s="1"/>
  <c r="J368" i="5" s="1"/>
  <c r="E369" i="5" s="1"/>
  <c r="I369" i="5" l="1"/>
  <c r="J369" i="5" s="1"/>
  <c r="E370" i="5" s="1"/>
  <c r="I370" i="5" l="1"/>
  <c r="J370" i="5" s="1"/>
  <c r="E371" i="5" s="1"/>
  <c r="I371" i="5" l="1"/>
  <c r="J371" i="5" s="1"/>
  <c r="E372" i="5" s="1"/>
  <c r="I372" i="5" s="1"/>
  <c r="J372" i="5" s="1"/>
  <c r="E373" i="5" s="1"/>
  <c r="I373" i="5" l="1"/>
  <c r="J373" i="5" s="1"/>
  <c r="E374" i="5" s="1"/>
  <c r="I374" i="5" s="1"/>
  <c r="J374" i="5" s="1"/>
  <c r="E375" i="5" s="1"/>
  <c r="I375" i="5" l="1"/>
  <c r="J375" i="5" s="1"/>
  <c r="E376" i="5" s="1"/>
  <c r="I376" i="5" s="1"/>
  <c r="J376" i="5" s="1"/>
  <c r="E377" i="5" s="1"/>
  <c r="I377" i="5" l="1"/>
  <c r="J377" i="5" s="1"/>
  <c r="E378" i="5" s="1"/>
  <c r="I378" i="5" s="1"/>
  <c r="J378" i="5" s="1"/>
  <c r="E379" i="5" s="1"/>
  <c r="I379" i="5" l="1"/>
  <c r="J379" i="5" s="1"/>
  <c r="E380" i="5" s="1"/>
  <c r="I380" i="5" s="1"/>
  <c r="J380" i="5" s="1"/>
  <c r="E381" i="5" s="1"/>
  <c r="I381" i="5" l="1"/>
  <c r="J381" i="5" s="1"/>
  <c r="E382" i="5" s="1"/>
  <c r="I382" i="5" s="1"/>
  <c r="J382" i="5" s="1"/>
  <c r="E383" i="5" s="1"/>
  <c r="I383" i="5" l="1"/>
  <c r="J383" i="5" s="1"/>
  <c r="E384" i="5" s="1"/>
  <c r="I384" i="5" s="1"/>
  <c r="J384" i="5" s="1"/>
  <c r="E385" i="5" s="1"/>
  <c r="I385" i="5" s="1"/>
  <c r="J385" i="5" s="1"/>
  <c r="E386" i="5" s="1"/>
  <c r="I386" i="5" s="1"/>
  <c r="J386" i="5" s="1"/>
  <c r="E387" i="5" s="1"/>
  <c r="I387" i="5" s="1"/>
  <c r="J387" i="5" s="1"/>
  <c r="E388" i="5" s="1"/>
  <c r="I388" i="5" s="1"/>
  <c r="J388" i="5" s="1"/>
  <c r="E389" i="5" s="1"/>
  <c r="I389" i="5" s="1"/>
  <c r="J389" i="5" s="1"/>
  <c r="E390" i="5" s="1"/>
  <c r="I390" i="5" s="1"/>
  <c r="J390" i="5" s="1"/>
  <c r="E391" i="5" s="1"/>
  <c r="I391" i="5" l="1"/>
  <c r="J391" i="5" s="1"/>
  <c r="E392" i="5" s="1"/>
  <c r="I392" i="5" s="1"/>
  <c r="J392" i="5" s="1"/>
  <c r="E393" i="5" s="1"/>
  <c r="I393" i="5" s="1"/>
  <c r="J393" i="5" s="1"/>
  <c r="E394" i="5" s="1"/>
  <c r="I394" i="5" s="1"/>
  <c r="J394" i="5" s="1"/>
  <c r="E395" i="5" s="1"/>
  <c r="I395" i="5" s="1"/>
  <c r="J395" i="5" s="1"/>
  <c r="E396" i="5" s="1"/>
  <c r="I396" i="5" s="1"/>
  <c r="J396" i="5" s="1"/>
  <c r="E397" i="5" s="1"/>
  <c r="I397" i="5" s="1"/>
  <c r="J397" i="5" s="1"/>
  <c r="E398" i="5" s="1"/>
  <c r="I398" i="5" s="1"/>
  <c r="J398" i="5" s="1"/>
  <c r="E399" i="5" s="1"/>
  <c r="I399" i="5" s="1"/>
  <c r="J399" i="5" s="1"/>
  <c r="E400" i="5" s="1"/>
  <c r="I400" i="5" s="1"/>
  <c r="J400" i="5" s="1"/>
  <c r="E401" i="5" s="1"/>
  <c r="I401" i="5" l="1"/>
  <c r="J401" i="5" s="1"/>
  <c r="E402" i="5" s="1"/>
  <c r="I402" i="5" s="1"/>
  <c r="J402" i="5" s="1"/>
  <c r="E403" i="5" s="1"/>
  <c r="I403" i="5" l="1"/>
  <c r="J403" i="5" s="1"/>
  <c r="E404" i="5" s="1"/>
  <c r="I404" i="5" s="1"/>
  <c r="J404" i="5" s="1"/>
  <c r="E405" i="5" s="1"/>
  <c r="I405" i="5" s="1"/>
  <c r="J405" i="5" s="1"/>
  <c r="E406" i="5" s="1"/>
  <c r="I406" i="5" s="1"/>
  <c r="J406" i="5" s="1"/>
  <c r="E407" i="5" s="1"/>
  <c r="I407" i="5" s="1"/>
  <c r="J407" i="5" s="1"/>
  <c r="E408" i="5" s="1"/>
  <c r="I408" i="5" s="1"/>
  <c r="J408" i="5" s="1"/>
  <c r="E409" i="5" s="1"/>
  <c r="I409" i="5" l="1"/>
  <c r="J409" i="5" s="1"/>
  <c r="E410" i="5" s="1"/>
  <c r="I410" i="5" s="1"/>
  <c r="J410" i="5" s="1"/>
  <c r="E411" i="5" s="1"/>
  <c r="I411" i="5" s="1"/>
  <c r="J411" i="5" s="1"/>
  <c r="E412" i="5" s="1"/>
  <c r="I412" i="5" s="1"/>
  <c r="J412" i="5" s="1"/>
  <c r="E413" i="5" s="1"/>
  <c r="I413" i="5" s="1"/>
  <c r="J413" i="5" s="1"/>
  <c r="E414" i="5" s="1"/>
  <c r="I414" i="5" s="1"/>
  <c r="J414" i="5" s="1"/>
  <c r="E415" i="5" s="1"/>
  <c r="I415" i="5" s="1"/>
  <c r="J415" i="5" s="1"/>
  <c r="E416" i="5" s="1"/>
  <c r="I416" i="5" s="1"/>
  <c r="J416" i="5" s="1"/>
  <c r="E417" i="5" s="1"/>
  <c r="I417" i="5" l="1"/>
  <c r="J417" i="5" s="1"/>
  <c r="E418" i="5" s="1"/>
  <c r="I418" i="5" s="1"/>
  <c r="J418" i="5" s="1"/>
  <c r="E419" i="5" s="1"/>
  <c r="I419" i="5" s="1"/>
  <c r="J419" i="5" s="1"/>
  <c r="E420" i="5" s="1"/>
  <c r="I420" i="5" s="1"/>
  <c r="J420" i="5" s="1"/>
  <c r="E421" i="5" s="1"/>
  <c r="I421" i="5" s="1"/>
  <c r="J421" i="5" s="1"/>
  <c r="E422" i="5" s="1"/>
  <c r="I422" i="5" s="1"/>
  <c r="J422" i="5" s="1"/>
  <c r="E423" i="5" s="1"/>
  <c r="I423" i="5" s="1"/>
  <c r="J423" i="5" s="1"/>
  <c r="E424" i="5" s="1"/>
  <c r="I424" i="5" s="1"/>
  <c r="J424" i="5" s="1"/>
  <c r="E425" i="5" s="1"/>
  <c r="I425" i="5" l="1"/>
  <c r="J425" i="5" s="1"/>
  <c r="E426" i="5" s="1"/>
  <c r="I426" i="5" s="1"/>
  <c r="J426" i="5" s="1"/>
  <c r="E427" i="5" s="1"/>
  <c r="I427" i="5" s="1"/>
  <c r="J427" i="5" s="1"/>
  <c r="E428" i="5" s="1"/>
  <c r="I428" i="5" s="1"/>
  <c r="J428" i="5" s="1"/>
  <c r="E429" i="5" s="1"/>
  <c r="I429" i="5" s="1"/>
  <c r="J429" i="5" s="1"/>
  <c r="E430" i="5" s="1"/>
  <c r="I430" i="5" s="1"/>
  <c r="J430" i="5" s="1"/>
  <c r="E431" i="5" s="1"/>
  <c r="I431" i="5" s="1"/>
  <c r="J431" i="5" s="1"/>
  <c r="E432" i="5" s="1"/>
  <c r="I432" i="5" s="1"/>
  <c r="J432" i="5" s="1"/>
  <c r="E433" i="5" s="1"/>
  <c r="I433" i="5" l="1"/>
  <c r="J433" i="5" s="1"/>
  <c r="E434" i="5" s="1"/>
  <c r="I434" i="5" s="1"/>
  <c r="J434" i="5" s="1"/>
  <c r="E435" i="5" s="1"/>
  <c r="I435" i="5" l="1"/>
  <c r="J435" i="5" s="1"/>
  <c r="E436" i="5" s="1"/>
  <c r="I436" i="5" s="1"/>
  <c r="J436" i="5" s="1"/>
  <c r="E437" i="5" s="1"/>
  <c r="I437" i="5" s="1"/>
  <c r="J437" i="5" s="1"/>
  <c r="E438" i="5" s="1"/>
  <c r="I438" i="5" s="1"/>
  <c r="J438" i="5" s="1"/>
  <c r="E439" i="5" s="1"/>
  <c r="I439" i="5" s="1"/>
  <c r="J439" i="5" s="1"/>
  <c r="E440" i="5" s="1"/>
  <c r="I440" i="5" s="1"/>
  <c r="J440" i="5" s="1"/>
  <c r="E441" i="5" s="1"/>
  <c r="I441" i="5" l="1"/>
  <c r="J441" i="5" s="1"/>
  <c r="E442" i="5" s="1"/>
  <c r="I442" i="5" s="1"/>
  <c r="J442" i="5" s="1"/>
  <c r="E443" i="5" s="1"/>
  <c r="I443" i="5" s="1"/>
  <c r="J443" i="5" s="1"/>
  <c r="E444" i="5" s="1"/>
  <c r="I444" i="5" s="1"/>
  <c r="J444" i="5" s="1"/>
  <c r="E445" i="5" s="1"/>
  <c r="I445" i="5" s="1"/>
  <c r="J445" i="5" s="1"/>
  <c r="E446" i="5" s="1"/>
  <c r="I446" i="5" s="1"/>
  <c r="J446" i="5" s="1"/>
  <c r="E447" i="5" s="1"/>
  <c r="I447" i="5" s="1"/>
  <c r="J447" i="5" s="1"/>
  <c r="E448" i="5" s="1"/>
  <c r="I448" i="5" s="1"/>
  <c r="J448" i="5" s="1"/>
  <c r="E449" i="5" s="1"/>
  <c r="I449" i="5" l="1"/>
  <c r="J449" i="5" s="1"/>
  <c r="E450" i="5" s="1"/>
  <c r="I450" i="5" s="1"/>
  <c r="J450" i="5" s="1"/>
  <c r="E451" i="5" s="1"/>
  <c r="I451" i="5" s="1"/>
  <c r="J451" i="5" s="1"/>
  <c r="E452" i="5" s="1"/>
  <c r="I452" i="5" s="1"/>
  <c r="J452" i="5" s="1"/>
  <c r="E453" i="5" s="1"/>
  <c r="I453" i="5" l="1"/>
  <c r="J453" i="5" s="1"/>
  <c r="E454" i="5" s="1"/>
  <c r="I454" i="5" s="1"/>
  <c r="J454" i="5" s="1"/>
  <c r="E455" i="5" s="1"/>
  <c r="I455" i="5" s="1"/>
  <c r="J455" i="5" s="1"/>
  <c r="E456" i="5" s="1"/>
  <c r="I456" i="5" s="1"/>
  <c r="J456" i="5" s="1"/>
  <c r="E457" i="5" s="1"/>
  <c r="I457" i="5" l="1"/>
  <c r="J457" i="5" s="1"/>
  <c r="E458" i="5" s="1"/>
  <c r="I458" i="5" s="1"/>
  <c r="J458" i="5" s="1"/>
  <c r="E459" i="5" s="1"/>
  <c r="I459" i="5" s="1"/>
  <c r="J459" i="5" s="1"/>
  <c r="E460" i="5" s="1"/>
  <c r="I460" i="5" s="1"/>
  <c r="J460" i="5" s="1"/>
  <c r="E461" i="5" s="1"/>
  <c r="I461" i="5" s="1"/>
  <c r="J461" i="5" s="1"/>
  <c r="E462" i="5" s="1"/>
  <c r="I462" i="5" s="1"/>
  <c r="J462" i="5" s="1"/>
  <c r="E463" i="5" s="1"/>
  <c r="I463" i="5" s="1"/>
  <c r="J463" i="5" s="1"/>
  <c r="E464" i="5" s="1"/>
  <c r="I464" i="5" s="1"/>
  <c r="J464" i="5" s="1"/>
  <c r="E465" i="5" s="1"/>
  <c r="I465" i="5" l="1"/>
  <c r="J465" i="5" s="1"/>
  <c r="E466" i="5" s="1"/>
  <c r="I466" i="5" s="1"/>
  <c r="J466" i="5" s="1"/>
  <c r="E467" i="5" s="1"/>
  <c r="I467" i="5" s="1"/>
  <c r="J467" i="5" s="1"/>
  <c r="E468" i="5" s="1"/>
  <c r="I468" i="5" s="1"/>
  <c r="J468" i="5" s="1"/>
  <c r="E469" i="5" s="1"/>
  <c r="I469" i="5" s="1"/>
  <c r="J469" i="5" s="1"/>
  <c r="E470" i="5" s="1"/>
  <c r="I470" i="5" s="1"/>
  <c r="J470" i="5" s="1"/>
  <c r="E471" i="5" s="1"/>
  <c r="I471" i="5" s="1"/>
  <c r="J471" i="5" s="1"/>
  <c r="E472" i="5" s="1"/>
  <c r="I472" i="5" s="1"/>
  <c r="J472" i="5" s="1"/>
  <c r="E473" i="5" s="1"/>
  <c r="I473" i="5" l="1"/>
  <c r="J473" i="5" s="1"/>
  <c r="E474" i="5" s="1"/>
  <c r="I474" i="5" s="1"/>
  <c r="J474" i="5" s="1"/>
  <c r="E475" i="5" s="1"/>
  <c r="I475" i="5" s="1"/>
  <c r="J475" i="5" s="1"/>
  <c r="E476" i="5" s="1"/>
  <c r="I476" i="5" s="1"/>
  <c r="J476" i="5" s="1"/>
  <c r="E477" i="5" s="1"/>
  <c r="I477" i="5" s="1"/>
  <c r="J477" i="5" s="1"/>
  <c r="E478" i="5" s="1"/>
  <c r="I478" i="5" s="1"/>
  <c r="J478" i="5" s="1"/>
  <c r="E479" i="5" s="1"/>
  <c r="I479" i="5" s="1"/>
  <c r="J479" i="5" s="1"/>
  <c r="E480" i="5" s="1"/>
  <c r="I480" i="5" s="1"/>
  <c r="J480" i="5" s="1"/>
  <c r="E481" i="5" s="1"/>
  <c r="I481" i="5" l="1"/>
  <c r="J481" i="5" s="1"/>
  <c r="E482" i="5" s="1"/>
  <c r="I482" i="5" s="1"/>
  <c r="J482" i="5" s="1"/>
  <c r="E483" i="5" s="1"/>
  <c r="I483" i="5" s="1"/>
  <c r="J483" i="5" s="1"/>
  <c r="E484" i="5" s="1"/>
  <c r="I484" i="5" s="1"/>
  <c r="J484" i="5" s="1"/>
  <c r="E485" i="5" s="1"/>
  <c r="I485" i="5" s="1"/>
  <c r="J485" i="5" s="1"/>
  <c r="E486" i="5" s="1"/>
  <c r="I486" i="5" l="1"/>
  <c r="J486" i="5" s="1"/>
  <c r="E487" i="5" s="1"/>
  <c r="I487" i="5" s="1"/>
  <c r="J487" i="5" s="1"/>
  <c r="E488" i="5" s="1"/>
  <c r="I488" i="5" s="1"/>
  <c r="J488" i="5" s="1"/>
  <c r="E489" i="5" s="1"/>
  <c r="I489" i="5" s="1"/>
  <c r="J489" i="5" s="1"/>
  <c r="E490" i="5" s="1"/>
  <c r="I490" i="5" s="1"/>
  <c r="J490" i="5" s="1"/>
  <c r="E491" i="5" s="1"/>
  <c r="I491" i="5" s="1"/>
  <c r="J491" i="5" s="1"/>
  <c r="E492" i="5" s="1"/>
  <c r="I492" i="5" s="1"/>
  <c r="J492" i="5" s="1"/>
  <c r="E493" i="5" s="1"/>
  <c r="I493" i="5" s="1"/>
  <c r="J493" i="5" s="1"/>
  <c r="E494" i="5" s="1"/>
  <c r="I494" i="5" l="1"/>
  <c r="J494" i="5" s="1"/>
  <c r="E495" i="5" s="1"/>
  <c r="I495" i="5" s="1"/>
  <c r="J495" i="5" s="1"/>
  <c r="E496" i="5" s="1"/>
  <c r="I496" i="5" s="1"/>
  <c r="J496" i="5" s="1"/>
  <c r="E497" i="5" s="1"/>
  <c r="I497" i="5" s="1"/>
  <c r="J497" i="5" s="1"/>
  <c r="E498" i="5" s="1"/>
  <c r="I498" i="5" l="1"/>
  <c r="J498" i="5" s="1"/>
  <c r="E499" i="5" s="1"/>
  <c r="I499" i="5" s="1"/>
  <c r="J499" i="5" s="1"/>
  <c r="E500" i="5" s="1"/>
  <c r="I500" i="5" s="1"/>
  <c r="J500" i="5" s="1"/>
  <c r="E501" i="5" s="1"/>
  <c r="I501" i="5" s="1"/>
  <c r="J501" i="5" s="1"/>
  <c r="E502" i="5" s="1"/>
  <c r="I502" i="5" s="1"/>
  <c r="J502" i="5" s="1"/>
  <c r="E503" i="5" s="1"/>
  <c r="I503" i="5" s="1"/>
  <c r="J503" i="5" s="1"/>
  <c r="E504" i="5" s="1"/>
  <c r="I504" i="5" s="1"/>
  <c r="J504" i="5" s="1"/>
  <c r="E505" i="5" s="1"/>
  <c r="I505" i="5" s="1"/>
  <c r="J505" i="5" s="1"/>
  <c r="E506" i="5" s="1"/>
  <c r="I506" i="5" s="1"/>
  <c r="J506" i="5" s="1"/>
  <c r="E507" i="5" s="1"/>
  <c r="I507" i="5" s="1"/>
  <c r="J507" i="5" s="1"/>
  <c r="E508" i="5" s="1"/>
  <c r="I508" i="5" s="1"/>
  <c r="J508" i="5" s="1"/>
  <c r="E509" i="5" s="1"/>
  <c r="I509" i="5" l="1"/>
  <c r="J509" i="5" s="1"/>
  <c r="E510" i="5" s="1"/>
  <c r="I510" i="5" s="1"/>
  <c r="J510" i="5" s="1"/>
  <c r="E511" i="5" s="1"/>
  <c r="I511" i="5" s="1"/>
  <c r="J511" i="5" s="1"/>
  <c r="E512" i="5" s="1"/>
  <c r="I512" i="5" s="1"/>
  <c r="J512" i="5" s="1"/>
  <c r="E513" i="5" s="1"/>
  <c r="I513" i="5" s="1"/>
  <c r="J513" i="5" s="1"/>
  <c r="E514" i="5" s="1"/>
  <c r="I514" i="5" s="1"/>
  <c r="J514" i="5" s="1"/>
  <c r="E515" i="5" s="1"/>
  <c r="I515" i="5" s="1"/>
  <c r="J515" i="5" s="1"/>
  <c r="E516" i="5" s="1"/>
  <c r="I516" i="5" s="1"/>
  <c r="J516" i="5" s="1"/>
  <c r="E517" i="5" s="1"/>
  <c r="I517" i="5" s="1"/>
  <c r="J517" i="5" s="1"/>
  <c r="E518" i="5" s="1"/>
  <c r="I518" i="5" s="1"/>
  <c r="J518" i="5" s="1"/>
  <c r="E519" i="5" s="1"/>
  <c r="I519" i="5" s="1"/>
  <c r="J519" i="5" s="1"/>
  <c r="E520" i="5" s="1"/>
  <c r="I520" i="5" s="1"/>
  <c r="J520" i="5" s="1"/>
  <c r="E521" i="5" s="1"/>
  <c r="I521" i="5" s="1"/>
  <c r="J521" i="5" s="1"/>
  <c r="E522" i="5" s="1"/>
  <c r="I522" i="5" s="1"/>
  <c r="J522" i="5" s="1"/>
  <c r="E523" i="5" s="1"/>
  <c r="I523" i="5" s="1"/>
  <c r="J523" i="5" s="1"/>
  <c r="E524" i="5" s="1"/>
  <c r="I524" i="5" s="1"/>
  <c r="J524" i="5" s="1"/>
  <c r="E525" i="5" s="1"/>
  <c r="I525" i="5" s="1"/>
  <c r="J525" i="5" s="1"/>
  <c r="E526" i="5" s="1"/>
  <c r="I526" i="5" s="1"/>
  <c r="J526" i="5" s="1"/>
  <c r="E527" i="5" s="1"/>
  <c r="I527" i="5" s="1"/>
  <c r="J527" i="5" s="1"/>
  <c r="E528" i="5" s="1"/>
  <c r="I528" i="5" s="1"/>
  <c r="J528" i="5" s="1"/>
  <c r="E529" i="5" s="1"/>
  <c r="I529" i="5" l="1"/>
  <c r="J529" i="5" s="1"/>
  <c r="E530" i="5" s="1"/>
  <c r="I530" i="5" s="1"/>
  <c r="J530" i="5" s="1"/>
  <c r="E531" i="5" s="1"/>
  <c r="I531" i="5" s="1"/>
  <c r="J531" i="5" s="1"/>
  <c r="E532" i="5" s="1"/>
  <c r="I532" i="5" s="1"/>
  <c r="J532" i="5" s="1"/>
  <c r="E533" i="5" s="1"/>
  <c r="I533" i="5" s="1"/>
  <c r="J533" i="5" s="1"/>
  <c r="E534" i="5" s="1"/>
  <c r="I534" i="5" s="1"/>
  <c r="J534" i="5" s="1"/>
  <c r="E535" i="5" s="1"/>
  <c r="I535" i="5" s="1"/>
  <c r="J535" i="5" s="1"/>
  <c r="E536" i="5" s="1"/>
  <c r="I536" i="5" s="1"/>
  <c r="J536" i="5" s="1"/>
  <c r="E537" i="5" s="1"/>
  <c r="I537" i="5" l="1"/>
  <c r="J537" i="5" s="1"/>
  <c r="E538" i="5" s="1"/>
  <c r="I538" i="5" s="1"/>
  <c r="J538" i="5" s="1"/>
  <c r="E539" i="5" s="1"/>
  <c r="I539" i="5" s="1"/>
  <c r="J539" i="5" s="1"/>
  <c r="E540" i="5" s="1"/>
  <c r="I540" i="5" s="1"/>
  <c r="J540" i="5" s="1"/>
  <c r="E541" i="5" s="1"/>
  <c r="I541" i="5" l="1"/>
  <c r="J541" i="5" s="1"/>
  <c r="E542" i="5" s="1"/>
  <c r="I542" i="5" s="1"/>
  <c r="J542" i="5" s="1"/>
  <c r="E543" i="5" s="1"/>
  <c r="I543" i="5" s="1"/>
  <c r="J543" i="5" s="1"/>
  <c r="E544" i="5" s="1"/>
  <c r="I544" i="5" s="1"/>
  <c r="J544" i="5" s="1"/>
  <c r="E545" i="5" s="1"/>
  <c r="I545" i="5" l="1"/>
  <c r="J545" i="5" s="1"/>
  <c r="E546" i="5" s="1"/>
  <c r="I546" i="5" s="1"/>
  <c r="J546" i="5" s="1"/>
  <c r="E547" i="5" s="1"/>
  <c r="I547" i="5" s="1"/>
  <c r="J547" i="5" s="1"/>
  <c r="E548" i="5" s="1"/>
  <c r="I548" i="5" s="1"/>
  <c r="J548" i="5" s="1"/>
  <c r="E549" i="5" s="1"/>
  <c r="I549" i="5" l="1"/>
  <c r="J549" i="5"/>
  <c r="E550" i="5" s="1"/>
  <c r="I550" i="5" s="1"/>
  <c r="J550" i="5" s="1"/>
  <c r="E551" i="5" s="1"/>
  <c r="I551" i="5" s="1"/>
  <c r="J551" i="5" s="1"/>
  <c r="E552" i="5" s="1"/>
  <c r="I552" i="5" s="1"/>
  <c r="J552" i="5" s="1"/>
  <c r="E553" i="5" s="1"/>
  <c r="I553" i="5" s="1"/>
  <c r="J553" i="5" s="1"/>
  <c r="E554" i="5" s="1"/>
  <c r="I554" i="5" s="1"/>
  <c r="J554" i="5" s="1"/>
  <c r="E555" i="5" s="1"/>
  <c r="I555" i="5" l="1"/>
  <c r="J555" i="5" s="1"/>
  <c r="E556" i="5" s="1"/>
  <c r="I556" i="5" s="1"/>
  <c r="J556" i="5" s="1"/>
  <c r="E557" i="5" s="1"/>
  <c r="I557" i="5" s="1"/>
  <c r="J557" i="5" s="1"/>
  <c r="E558" i="5" s="1"/>
  <c r="I558" i="5" s="1"/>
  <c r="J558" i="5" s="1"/>
  <c r="E559" i="5" s="1"/>
  <c r="I559" i="5" s="1"/>
  <c r="J559" i="5" s="1"/>
  <c r="E560" i="5" s="1"/>
  <c r="I560" i="5" l="1"/>
  <c r="J560" i="5" s="1"/>
  <c r="E561" i="5" s="1"/>
  <c r="I561" i="5" s="1"/>
  <c r="J561" i="5" s="1"/>
  <c r="E562" i="5" s="1"/>
  <c r="I562" i="5" s="1"/>
  <c r="J562" i="5" s="1"/>
  <c r="E563" i="5" s="1"/>
  <c r="I563" i="5" s="1"/>
  <c r="J563" i="5" s="1"/>
  <c r="E564" i="5" s="1"/>
  <c r="I564" i="5" s="1"/>
  <c r="J564" i="5" s="1"/>
  <c r="E565" i="5" s="1"/>
  <c r="I565" i="5" s="1"/>
  <c r="J565" i="5" s="1"/>
  <c r="E566" i="5" s="1"/>
  <c r="I566" i="5" s="1"/>
  <c r="J566" i="5" s="1"/>
  <c r="E567" i="5" s="1"/>
  <c r="I567" i="5" s="1"/>
  <c r="J567" i="5" s="1"/>
  <c r="E568" i="5" s="1"/>
  <c r="I568" i="5" s="1"/>
  <c r="J568" i="5" s="1"/>
  <c r="E569" i="5" s="1"/>
  <c r="I569" i="5" l="1"/>
  <c r="J569" i="5" s="1"/>
  <c r="E570" i="5" s="1"/>
  <c r="I570" i="5" s="1"/>
  <c r="J570" i="5" s="1"/>
  <c r="E571" i="5" s="1"/>
  <c r="I571" i="5" s="1"/>
  <c r="J571" i="5" s="1"/>
  <c r="E572" i="5" s="1"/>
  <c r="I572" i="5" s="1"/>
  <c r="J572" i="5" s="1"/>
  <c r="E573" i="5" s="1"/>
  <c r="I573" i="5" l="1"/>
  <c r="J573" i="5" s="1"/>
  <c r="E574" i="5" s="1"/>
  <c r="I574" i="5" s="1"/>
  <c r="J574" i="5" s="1"/>
  <c r="E575" i="5" s="1"/>
  <c r="I575" i="5" s="1"/>
  <c r="J575" i="5" s="1"/>
  <c r="E576" i="5" s="1"/>
  <c r="I576" i="5" l="1"/>
  <c r="J576" i="5" s="1"/>
  <c r="E577" i="5" s="1"/>
  <c r="I577" i="5" l="1"/>
  <c r="J577" i="5" s="1"/>
  <c r="E578" i="5" s="1"/>
  <c r="I578" i="5" s="1"/>
  <c r="J578" i="5" s="1"/>
  <c r="E579" i="5" s="1"/>
  <c r="I579" i="5" s="1"/>
  <c r="J579" i="5" s="1"/>
  <c r="E580" i="5" s="1"/>
  <c r="I580" i="5" l="1"/>
  <c r="J580" i="5" s="1"/>
  <c r="E581" i="5" s="1"/>
  <c r="I581" i="5" s="1"/>
  <c r="J581" i="5" s="1"/>
  <c r="E582" i="5" s="1"/>
  <c r="I582" i="5" s="1"/>
  <c r="J582" i="5" s="1"/>
  <c r="E583" i="5" s="1"/>
  <c r="I583" i="5" l="1"/>
  <c r="J583" i="5" s="1"/>
  <c r="E584" i="5" s="1"/>
  <c r="I584" i="5" s="1"/>
  <c r="J584" i="5" s="1"/>
  <c r="E585" i="5" s="1"/>
  <c r="I585" i="5" l="1"/>
  <c r="J585" i="5" s="1"/>
  <c r="E586" i="5" s="1"/>
  <c r="I586" i="5" s="1"/>
  <c r="J586" i="5" s="1"/>
  <c r="E587" i="5" s="1"/>
  <c r="I587" i="5" s="1"/>
  <c r="J587" i="5" s="1"/>
  <c r="E588" i="5" s="1"/>
  <c r="I588" i="5" s="1"/>
  <c r="J588" i="5" s="1"/>
  <c r="E589" i="5" s="1"/>
  <c r="I589" i="5" s="1"/>
  <c r="J589" i="5" s="1"/>
  <c r="E590" i="5" s="1"/>
  <c r="I590" i="5" s="1"/>
  <c r="J590" i="5" s="1"/>
  <c r="E591" i="5" s="1"/>
  <c r="I591" i="5" s="1"/>
  <c r="J591" i="5" s="1"/>
  <c r="E592" i="5" s="1"/>
  <c r="I592" i="5" s="1"/>
  <c r="J592" i="5" s="1"/>
  <c r="E593" i="5" s="1"/>
  <c r="I593" i="5" s="1"/>
  <c r="J593" i="5" s="1"/>
  <c r="E594" i="5" s="1"/>
  <c r="I594" i="5" s="1"/>
  <c r="J594" i="5" s="1"/>
  <c r="E595" i="5" s="1"/>
  <c r="I595" i="5" s="1"/>
  <c r="J595" i="5" s="1"/>
  <c r="E596" i="5" s="1"/>
  <c r="I596" i="5" s="1"/>
  <c r="J596" i="5" s="1"/>
  <c r="E597" i="5" s="1"/>
  <c r="I597" i="5" l="1"/>
  <c r="J597" i="5" s="1"/>
  <c r="E598" i="5" s="1"/>
  <c r="I598" i="5" s="1"/>
  <c r="J598" i="5" s="1"/>
  <c r="E599" i="5" s="1"/>
  <c r="I599" i="5" s="1"/>
  <c r="J599" i="5" s="1"/>
  <c r="E600" i="5" s="1"/>
  <c r="I600" i="5" s="1"/>
  <c r="J600" i="5" s="1"/>
  <c r="E601" i="5" s="1"/>
  <c r="I601" i="5" l="1"/>
  <c r="J601" i="5" s="1"/>
  <c r="E602" i="5" s="1"/>
  <c r="I602" i="5" s="1"/>
  <c r="J602" i="5" s="1"/>
  <c r="E603" i="5" s="1"/>
  <c r="I603" i="5" s="1"/>
  <c r="J603" i="5" s="1"/>
  <c r="E604" i="5" s="1"/>
  <c r="I604" i="5" s="1"/>
  <c r="J604" i="5" s="1"/>
  <c r="E605" i="5" s="1"/>
  <c r="I605" i="5" l="1"/>
  <c r="J605" i="5" s="1"/>
  <c r="E606" i="5" s="1"/>
  <c r="I606" i="5" s="1"/>
  <c r="J606" i="5" s="1"/>
  <c r="E607" i="5" s="1"/>
  <c r="I607" i="5" s="1"/>
  <c r="J607" i="5" s="1"/>
  <c r="E608" i="5" s="1"/>
  <c r="I608" i="5" s="1"/>
  <c r="J608" i="5" s="1"/>
  <c r="E609" i="5" s="1"/>
  <c r="I609" i="5" l="1"/>
  <c r="J609" i="5"/>
  <c r="E610" i="5" s="1"/>
  <c r="I610" i="5" s="1"/>
  <c r="J610" i="5" s="1"/>
  <c r="E611" i="5" s="1"/>
  <c r="I611" i="5" s="1"/>
  <c r="J611" i="5" s="1"/>
  <c r="E612" i="5" s="1"/>
  <c r="I612" i="5" s="1"/>
  <c r="J612" i="5" s="1"/>
  <c r="E613" i="5" s="1"/>
  <c r="I613" i="5" l="1"/>
  <c r="J613" i="5" s="1"/>
  <c r="E614" i="5" s="1"/>
  <c r="I614" i="5" s="1"/>
  <c r="J614" i="5" s="1"/>
  <c r="E615" i="5" s="1"/>
  <c r="I615" i="5" s="1"/>
  <c r="J615" i="5" s="1"/>
  <c r="E616" i="5" s="1"/>
  <c r="I616" i="5" s="1"/>
  <c r="J616" i="5" s="1"/>
  <c r="E617" i="5" s="1"/>
  <c r="I617" i="5" l="1"/>
  <c r="J617" i="5" s="1"/>
  <c r="E618" i="5" s="1"/>
  <c r="I618" i="5" s="1"/>
  <c r="J618" i="5" s="1"/>
  <c r="E619" i="5" s="1"/>
  <c r="I619" i="5" s="1"/>
  <c r="J619" i="5" s="1"/>
  <c r="E620" i="5" s="1"/>
  <c r="I620" i="5" s="1"/>
  <c r="J620" i="5" s="1"/>
  <c r="E621" i="5" s="1"/>
  <c r="I621" i="5" s="1"/>
  <c r="J621" i="5" s="1"/>
  <c r="E622" i="5" s="1"/>
  <c r="I622" i="5" s="1"/>
  <c r="J622" i="5" s="1"/>
  <c r="E623" i="5" s="1"/>
  <c r="I623" i="5" s="1"/>
  <c r="J623" i="5" s="1"/>
  <c r="E624" i="5" s="1"/>
  <c r="I624" i="5" l="1"/>
  <c r="J624" i="5"/>
  <c r="E625" i="5" s="1"/>
  <c r="I625" i="5" s="1"/>
  <c r="J625" i="5" s="1"/>
  <c r="E626" i="5" s="1"/>
  <c r="I626" i="5" s="1"/>
  <c r="J626" i="5" s="1"/>
  <c r="E627" i="5" s="1"/>
  <c r="I627" i="5" l="1"/>
  <c r="J627" i="5" s="1"/>
  <c r="E628" i="5" s="1"/>
  <c r="I628" i="5" l="1"/>
  <c r="J628" i="5" s="1"/>
  <c r="E629" i="5" s="1"/>
  <c r="I629" i="5" s="1"/>
  <c r="J629" i="5" s="1"/>
  <c r="E630" i="5" s="1"/>
  <c r="I630" i="5" l="1"/>
  <c r="J630" i="5" s="1"/>
  <c r="E631" i="5" s="1"/>
  <c r="I631" i="5" l="1"/>
  <c r="J631" i="5" s="1"/>
  <c r="E632" i="5" s="1"/>
  <c r="I632" i="5" s="1"/>
  <c r="J632" i="5" s="1"/>
  <c r="E633" i="5" s="1"/>
  <c r="I633" i="5" s="1"/>
  <c r="J633" i="5" s="1"/>
  <c r="E634" i="5" s="1"/>
  <c r="I634" i="5" l="1"/>
  <c r="J634" i="5" s="1"/>
  <c r="E635" i="5" s="1"/>
  <c r="I635" i="5" s="1"/>
  <c r="J635" i="5" s="1"/>
  <c r="E636" i="5" s="1"/>
  <c r="I636" i="5" l="1"/>
  <c r="J636" i="5" s="1"/>
  <c r="E637" i="5" s="1"/>
  <c r="I637" i="5" s="1"/>
  <c r="J637" i="5" s="1"/>
  <c r="E638" i="5" s="1"/>
  <c r="I638" i="5" s="1"/>
  <c r="J638" i="5" s="1"/>
  <c r="E639" i="5" s="1"/>
  <c r="I639" i="5" s="1"/>
  <c r="J639" i="5" s="1"/>
  <c r="E640" i="5" s="1"/>
  <c r="I640" i="5" l="1"/>
  <c r="J640" i="5" s="1"/>
  <c r="E641" i="5" s="1"/>
  <c r="I641" i="5" s="1"/>
  <c r="J641" i="5" s="1"/>
  <c r="E642" i="5" s="1"/>
  <c r="I642" i="5" s="1"/>
  <c r="J642" i="5" s="1"/>
  <c r="E643" i="5" s="1"/>
  <c r="I643" i="5" s="1"/>
  <c r="J643" i="5" s="1"/>
  <c r="E644" i="5" s="1"/>
  <c r="I644" i="5" l="1"/>
  <c r="J644" i="5" s="1"/>
  <c r="E645" i="5" s="1"/>
  <c r="I645" i="5" s="1"/>
  <c r="J645" i="5" s="1"/>
  <c r="E646" i="5" s="1"/>
  <c r="I646" i="5" s="1"/>
  <c r="J646" i="5" s="1"/>
  <c r="E647" i="5" s="1"/>
  <c r="I647" i="5" s="1"/>
  <c r="J647" i="5" s="1"/>
  <c r="E648" i="5" s="1"/>
  <c r="I648" i="5" l="1"/>
  <c r="J648" i="5"/>
  <c r="E649" i="5" s="1"/>
  <c r="I649" i="5" s="1"/>
  <c r="J649" i="5" s="1"/>
  <c r="E650" i="5" s="1"/>
  <c r="I650" i="5" l="1"/>
  <c r="J650" i="5" s="1"/>
  <c r="E651" i="5" s="1"/>
  <c r="I651" i="5" s="1"/>
  <c r="J651" i="5" s="1"/>
  <c r="E652" i="5" s="1"/>
  <c r="I652" i="5" l="1"/>
  <c r="J652" i="5" s="1"/>
  <c r="E653" i="5" s="1"/>
  <c r="I653" i="5" s="1"/>
  <c r="J653" i="5" s="1"/>
  <c r="E654" i="5" s="1"/>
  <c r="I654" i="5" l="1"/>
  <c r="J654" i="5" s="1"/>
  <c r="E655" i="5" s="1"/>
  <c r="I655" i="5" l="1"/>
  <c r="J655" i="5" s="1"/>
  <c r="E656" i="5" s="1"/>
  <c r="I656" i="5" l="1"/>
  <c r="J656" i="5" s="1"/>
  <c r="E657" i="5" s="1"/>
  <c r="I657" i="5" l="1"/>
  <c r="J657" i="5" s="1"/>
  <c r="E658" i="5" s="1"/>
  <c r="I658" i="5" s="1"/>
  <c r="J658" i="5" s="1"/>
  <c r="E659" i="5" s="1"/>
  <c r="I659" i="5" s="1"/>
  <c r="J659" i="5" s="1"/>
  <c r="E660" i="5" s="1"/>
  <c r="I660" i="5" l="1"/>
  <c r="J660" i="5" s="1"/>
  <c r="E661" i="5" s="1"/>
  <c r="I661" i="5" s="1"/>
  <c r="J661" i="5" s="1"/>
  <c r="E662" i="5" s="1"/>
  <c r="I662" i="5" s="1"/>
  <c r="J662" i="5" s="1"/>
  <c r="E663" i="5" s="1"/>
  <c r="I663" i="5" l="1"/>
  <c r="J663" i="5" s="1"/>
  <c r="E664" i="5" s="1"/>
  <c r="I664" i="5" l="1"/>
  <c r="J664" i="5" s="1"/>
  <c r="E665" i="5" s="1"/>
  <c r="I665" i="5" l="1"/>
  <c r="J665" i="5" s="1"/>
  <c r="E666" i="5" s="1"/>
  <c r="I666" i="5" l="1"/>
  <c r="J666" i="5" s="1"/>
  <c r="E667" i="5" s="1"/>
  <c r="I667" i="5" s="1"/>
  <c r="J667" i="5" s="1"/>
  <c r="E668" i="5" s="1"/>
  <c r="I668" i="5" s="1"/>
  <c r="J668" i="5" s="1"/>
  <c r="E669" i="5" s="1"/>
  <c r="I669" i="5" l="1"/>
  <c r="J669" i="5" s="1"/>
  <c r="E670" i="5" s="1"/>
  <c r="I670" i="5" s="1"/>
  <c r="J670" i="5" s="1"/>
  <c r="E671" i="5" s="1"/>
  <c r="I671" i="5" l="1"/>
  <c r="J671" i="5" s="1"/>
  <c r="E672" i="5" s="1"/>
  <c r="I672" i="5" s="1"/>
  <c r="J672" i="5" s="1"/>
  <c r="E673" i="5" s="1"/>
  <c r="I673" i="5" s="1"/>
  <c r="J673" i="5" s="1"/>
  <c r="E674" i="5" s="1"/>
  <c r="I674" i="5" s="1"/>
  <c r="J674" i="5" s="1"/>
  <c r="E675" i="5" s="1"/>
  <c r="I675" i="5" s="1"/>
  <c r="J675" i="5" s="1"/>
  <c r="E676" i="5" s="1"/>
  <c r="I676" i="5" s="1"/>
  <c r="J676" i="5" s="1"/>
  <c r="E677" i="5" s="1"/>
  <c r="I677" i="5" l="1"/>
  <c r="J677" i="5" s="1"/>
  <c r="E678" i="5" s="1"/>
  <c r="I678" i="5" s="1"/>
  <c r="J678" i="5" s="1"/>
  <c r="E679" i="5" s="1"/>
  <c r="I679" i="5" s="1"/>
  <c r="J679" i="5" s="1"/>
  <c r="E680" i="5" s="1"/>
  <c r="I680" i="5" s="1"/>
  <c r="J680" i="5" s="1"/>
  <c r="E681" i="5" s="1"/>
  <c r="I681" i="5" l="1"/>
  <c r="J681" i="5" s="1"/>
  <c r="E682" i="5" s="1"/>
  <c r="I682" i="5" l="1"/>
  <c r="J682" i="5" s="1"/>
  <c r="E683" i="5" s="1"/>
  <c r="I683" i="5" s="1"/>
  <c r="J683" i="5" s="1"/>
  <c r="E684" i="5" s="1"/>
  <c r="I684" i="5" l="1"/>
  <c r="J684" i="5" s="1"/>
  <c r="E685" i="5" s="1"/>
  <c r="I685" i="5" l="1"/>
  <c r="J685" i="5" s="1"/>
  <c r="E686" i="5" s="1"/>
  <c r="I686" i="5" s="1"/>
  <c r="J686" i="5" s="1"/>
  <c r="E687" i="5" s="1"/>
  <c r="I687" i="5" l="1"/>
  <c r="J687" i="5" s="1"/>
  <c r="E688" i="5" s="1"/>
  <c r="I688" i="5" l="1"/>
  <c r="J688" i="5"/>
  <c r="E689" i="5" s="1"/>
  <c r="I689" i="5" l="1"/>
  <c r="J689" i="5" s="1"/>
  <c r="E690" i="5" s="1"/>
  <c r="I690" i="5" s="1"/>
  <c r="J690" i="5" s="1"/>
  <c r="E691" i="5" s="1"/>
  <c r="I691" i="5" s="1"/>
  <c r="J691" i="5" s="1"/>
  <c r="E692" i="5" s="1"/>
  <c r="I692" i="5" s="1"/>
  <c r="J692" i="5" s="1"/>
  <c r="E693" i="5" s="1"/>
  <c r="I693" i="5" l="1"/>
  <c r="J693" i="5" s="1"/>
  <c r="E694" i="5" s="1"/>
  <c r="I694" i="5" s="1"/>
  <c r="J694" i="5" s="1"/>
  <c r="E695" i="5" s="1"/>
  <c r="I695" i="5" s="1"/>
  <c r="J695" i="5" s="1"/>
  <c r="E696" i="5" s="1"/>
  <c r="I696" i="5" s="1"/>
  <c r="J696" i="5" s="1"/>
  <c r="E697" i="5" s="1"/>
  <c r="I697" i="5" l="1"/>
  <c r="J697" i="5"/>
  <c r="E698" i="5" s="1"/>
  <c r="I698" i="5" s="1"/>
  <c r="J698" i="5" s="1"/>
  <c r="E699" i="5" s="1"/>
  <c r="I699" i="5" s="1"/>
  <c r="J699" i="5" s="1"/>
  <c r="E700" i="5" s="1"/>
  <c r="I700" i="5" s="1"/>
  <c r="J700" i="5" s="1"/>
  <c r="E701" i="5" s="1"/>
  <c r="I701" i="5" l="1"/>
  <c r="J701" i="5" s="1"/>
  <c r="E702" i="5" s="1"/>
  <c r="I702" i="5" s="1"/>
  <c r="J702" i="5" s="1"/>
  <c r="E703" i="5" s="1"/>
  <c r="I703" i="5" s="1"/>
  <c r="J703" i="5" s="1"/>
  <c r="E704" i="5" s="1"/>
  <c r="I704" i="5" l="1"/>
  <c r="J704" i="5"/>
  <c r="E705" i="5" s="1"/>
  <c r="I705" i="5" l="1"/>
  <c r="J705" i="5" s="1"/>
  <c r="E706" i="5" s="1"/>
  <c r="I706" i="5" s="1"/>
  <c r="J706" i="5" s="1"/>
  <c r="E707" i="5" s="1"/>
  <c r="I707" i="5" s="1"/>
  <c r="J707" i="5" s="1"/>
  <c r="E708" i="5" s="1"/>
  <c r="I708" i="5" s="1"/>
  <c r="J708" i="5" s="1"/>
  <c r="E709" i="5" s="1"/>
  <c r="I709" i="5" l="1"/>
  <c r="J709" i="5" s="1"/>
  <c r="E710" i="5" s="1"/>
  <c r="I710" i="5" s="1"/>
  <c r="J710" i="5" s="1"/>
  <c r="E711" i="5" s="1"/>
  <c r="I711" i="5" s="1"/>
  <c r="J711" i="5" s="1"/>
  <c r="E712" i="5" s="1"/>
  <c r="I712" i="5" l="1"/>
  <c r="J712" i="5" s="1"/>
  <c r="E713" i="5" s="1"/>
  <c r="I713" i="5" l="1"/>
  <c r="J713" i="5" s="1"/>
  <c r="E714" i="5" s="1"/>
  <c r="I714" i="5" l="1"/>
  <c r="J714" i="5" s="1"/>
  <c r="E715" i="5" s="1"/>
  <c r="I715" i="5" s="1"/>
  <c r="J715" i="5" s="1"/>
  <c r="E716" i="5" s="1"/>
  <c r="I716" i="5" l="1"/>
  <c r="J716" i="5"/>
  <c r="E717" i="5" s="1"/>
  <c r="I717" i="5" s="1"/>
  <c r="J717" i="5" s="1"/>
  <c r="E718" i="5" s="1"/>
  <c r="I718" i="5" s="1"/>
  <c r="J718" i="5" s="1"/>
  <c r="E719" i="5" s="1"/>
  <c r="I719" i="5" s="1"/>
  <c r="J719" i="5" s="1"/>
  <c r="E720" i="5" s="1"/>
  <c r="I720" i="5" l="1"/>
  <c r="J720" i="5" s="1"/>
  <c r="E721" i="5" s="1"/>
  <c r="I721" i="5" l="1"/>
  <c r="J721" i="5" s="1"/>
  <c r="E722" i="5" s="1"/>
  <c r="I722" i="5" s="1"/>
  <c r="J7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<sst xmlns="http://schemas.openxmlformats.org/spreadsheetml/2006/main" count="154" uniqueCount="123">
  <si>
    <t>Value per share</t>
  </si>
  <si>
    <t>Dividend</t>
  </si>
  <si>
    <t>Growth</t>
  </si>
  <si>
    <t>Cost of capital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</si>
  <si>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</si>
  <si>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</si>
  <si>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</si>
  <si>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</si>
  <si>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</si>
  <si>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</si>
  <si>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</si>
  <si>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</si>
  <si>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</si>
  <si>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</si>
  <si>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</si>
  <si>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</si>
  <si>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</si>
  <si>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</si>
  <si>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</si>
  <si>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</si>
  <si>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</si>
  <si>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Employee contributions</t>
  </si>
  <si>
    <t>Employer contribution</t>
  </si>
  <si>
    <t>State contribution</t>
  </si>
  <si>
    <t>Monthly pension benefit</t>
  </si>
  <si>
    <t>Duration (years)</t>
  </si>
  <si>
    <t>Interest rate monthly compounding</t>
  </si>
  <si>
    <t>Payment period (years)</t>
  </si>
  <si>
    <t>Interest rate monthly compounding annually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</si>
  <si>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</si>
  <si>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</si>
  <si>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</si>
  <si>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</si>
  <si>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</si>
  <si>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</si>
  <si>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</si>
  <si>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</si>
  <si>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</si>
  <si>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</si>
  <si>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</si>
  <si>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</si>
  <si>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</si>
  <si>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</si>
  <si>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Adj Close</t>
  </si>
  <si>
    <t>Volume</t>
  </si>
  <si>
    <t>Constant</t>
  </si>
  <si>
    <t>Logarithmic Return</t>
  </si>
  <si>
    <t>Descriptive Statistics</t>
  </si>
  <si>
    <t>Cov/Var</t>
  </si>
  <si>
    <t>Slope</t>
  </si>
  <si>
    <t>Coef</t>
  </si>
  <si>
    <t>Trading Volume</t>
  </si>
  <si>
    <t>Beta</t>
  </si>
  <si>
    <t>Min.</t>
  </si>
  <si>
    <t>Intercept</t>
  </si>
  <si>
    <t>1st Qu.</t>
  </si>
  <si>
    <t>Median</t>
  </si>
  <si>
    <t>Mean</t>
  </si>
  <si>
    <t>3rd Qu.</t>
  </si>
  <si>
    <t>Max.</t>
  </si>
  <si>
    <t>Time</t>
  </si>
  <si>
    <t>Stock Price</t>
  </si>
  <si>
    <t>Sigma</t>
  </si>
  <si>
    <t>Interval</t>
  </si>
  <si>
    <t>Value</t>
  </si>
  <si>
    <t>Frequency</t>
  </si>
  <si>
    <t>Bar Chart</t>
  </si>
  <si>
    <t>&lt;=-0.0996</t>
  </si>
  <si>
    <t># of Bins</t>
  </si>
  <si>
    <t>(-0.1,-0.09]</t>
  </si>
  <si>
    <t>Bin Size</t>
  </si>
  <si>
    <t>(-0.09,-0.08]</t>
  </si>
  <si>
    <t>(-0.08,-0.07]</t>
  </si>
  <si>
    <t>(-0.07,-0.06]</t>
  </si>
  <si>
    <t>(-0.06,-0.05]</t>
  </si>
  <si>
    <t>(-0.05,-0.04]</t>
  </si>
  <si>
    <t>(-0.04,-0.03]</t>
  </si>
  <si>
    <t>(-0.03,-0.02]</t>
  </si>
  <si>
    <t>(-0.02,-0.01]</t>
  </si>
  <si>
    <t>(-0.01,0]</t>
  </si>
  <si>
    <t>(0,0.01]</t>
  </si>
  <si>
    <t>(0.01,0.02]</t>
  </si>
  <si>
    <t>(0.02,0.03]</t>
  </si>
  <si>
    <t>(0.03,0.04]</t>
  </si>
  <si>
    <t>(0.04,0.05]</t>
  </si>
  <si>
    <t>(0.05,0.06]</t>
  </si>
  <si>
    <t>(0.06,0.07]</t>
  </si>
  <si>
    <t>(0.07,0.08]</t>
  </si>
  <si>
    <t>(0.08,0.09]</t>
  </si>
  <si>
    <t>(0.09,0.1]</t>
  </si>
  <si>
    <t>Adj Close(S&amp;P500)</t>
  </si>
  <si>
    <t>Volume(S&amp;P500)</t>
  </si>
  <si>
    <t>Normal       Distr.     (0,1)</t>
  </si>
  <si>
    <t>Logarithmic Return (S&amp;P500)</t>
  </si>
  <si>
    <t>JEM128 - Financial Modeling Using MS Excel</t>
  </si>
  <si>
    <t>Home Exercises 1</t>
  </si>
  <si>
    <t>Černý Jakub, Luu Danh Tiep, Malecha Jan</t>
  </si>
  <si>
    <t>Here we assume that the cost of capital is greater than the growth.</t>
  </si>
  <si>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</si>
  <si>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t>Regression</t>
  </si>
  <si>
    <t>Standard Error</t>
  </si>
  <si>
    <t>Coefficients</t>
  </si>
  <si>
    <t>t Stat</t>
  </si>
  <si>
    <t>P-value</t>
  </si>
  <si>
    <t>X Variable 1</t>
  </si>
  <si>
    <t>The amount accumulated</t>
  </si>
  <si>
    <t>Month</t>
  </si>
  <si>
    <t>Ending
Balnace</t>
  </si>
  <si>
    <t>Employee</t>
  </si>
  <si>
    <t>Employer</t>
  </si>
  <si>
    <t>State</t>
  </si>
  <si>
    <t>Interest</t>
  </si>
  <si>
    <t>Beginning balance</t>
  </si>
  <si>
    <t>End work</t>
  </si>
  <si>
    <t>Start pension</t>
  </si>
  <si>
    <t>Desired monthly pension</t>
  </si>
  <si>
    <t>Pension according to the money accumulated</t>
  </si>
  <si>
    <t>ONE SOLUTION</t>
  </si>
  <si>
    <t>SECOND SOLUTION</t>
  </si>
  <si>
    <t>&lt;- goal seek here</t>
  </si>
  <si>
    <t>PV</t>
  </si>
  <si>
    <t>FV</t>
  </si>
  <si>
    <t>Sum of div in Y1-Y5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</si>
</sst>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CZK&quot;;[Red]\-#,##0.00\ &quot;CZK&quot;"/>
    <numFmt numFmtId="43" formatCode="_-* #,##0.00_-;\-* #,##0.00_-;_-* &quot;-&quot;??_-;_-@_-"/>
    <numFmt numFmtId="164" formatCode="_-* #,##0_-;\-* #,##0_-;_-* &quot;-&quot;??_-;_-@_-"/>
    <numFmt numFmtId="165" formatCode="_-* #,##0\ [$€-1]_-;\-* #,##0\ [$€-1]_-;_-* &quot;-&quot;??\ [$€-1]_-;_-@_-"/>
    <numFmt numFmtId="166" formatCode="0.0%"/>
    <numFmt numFmtId="167" formatCode="0.0000"/>
    <numFmt numFmtId="168" formatCode="_-* #,##0.00\ _C_Z_K_-;\-* #,##0.00\ _C_Z_K_-;_-* &quot;-&quot;??\ _C_Z_K_-;_-@_-"/>
  </numFmts>
  <fonts count="1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1"/>
      <charset val="2"/>
      <scheme val="minor"/>
    </font>
    <font>
      <sz val="12"/>
      <color theme="1"/>
      <name val="Symbol"/>
      <family val="1"/>
      <charset val="2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1" fillId="0" borderId="0"/>
  </cellStyleXfs>
  <cellXfs count="56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4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4" fontId="0" fillId="3" borderId="0" xfId="1" applyNumberFormat="1" applyFont="1" applyFill="1"/>
    <xf numFmtId="10" fontId="0" fillId="0" borderId="0" xfId="0" applyNumberFormat="1"/>
    <xf numFmtId="8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9" fontId="3" fillId="0" borderId="0" xfId="0" applyNumberFormat="1" applyFont="1"/>
    <xf numFmtId="166" fontId="0" fillId="0" borderId="0" xfId="2" applyNumberFormat="1" applyFont="1"/>
    <xf numFmtId="0" fontId="4" fillId="0" borderId="0" xfId="3"/>
    <xf numFmtId="0" fontId="4" fillId="0" borderId="8" xfId="3" applyBorder="1" applyAlignment="1">
      <alignment horizontal="center"/>
    </xf>
    <xf numFmtId="0" fontId="4" fillId="0" borderId="8" xfId="3" applyBorder="1"/>
    <xf numFmtId="0" fontId="1" fillId="0" borderId="9" xfId="3" applyFont="1" applyBorder="1" applyAlignment="1">
      <alignment horizontal="center"/>
    </xf>
    <xf numFmtId="14" fontId="1" fillId="0" borderId="0" xfId="3" applyNumberFormat="1" applyFont="1"/>
    <xf numFmtId="0" fontId="1" fillId="0" borderId="0" xfId="3" applyFont="1"/>
    <xf numFmtId="164" fontId="1" fillId="0" borderId="0" xfId="4" applyNumberFormat="1" applyFont="1"/>
    <xf numFmtId="0" fontId="1" fillId="0" borderId="0" xfId="3" applyFont="1" applyAlignment="1">
      <alignment horizontal="center"/>
    </xf>
    <xf numFmtId="167" fontId="1" fillId="0" borderId="0" xfId="3" applyNumberFormat="1" applyFont="1" applyAlignment="1">
      <alignment horizontal="center"/>
    </xf>
    <xf numFmtId="0" fontId="1" fillId="0" borderId="8" xfId="3" applyFont="1" applyBorder="1"/>
    <xf numFmtId="0" fontId="1" fillId="0" borderId="4" xfId="3" applyFont="1" applyBorder="1"/>
    <xf numFmtId="10" fontId="1" fillId="0" borderId="4" xfId="3" applyNumberFormat="1" applyFont="1" applyBorder="1"/>
    <xf numFmtId="3" fontId="1" fillId="0" borderId="4" xfId="3" applyNumberFormat="1" applyFont="1" applyBorder="1"/>
    <xf numFmtId="0" fontId="1" fillId="0" borderId="4" xfId="3" applyFont="1" applyBorder="1" applyAlignment="1">
      <alignment horizontal="right"/>
    </xf>
    <xf numFmtId="10" fontId="1" fillId="0" borderId="4" xfId="3" applyNumberFormat="1" applyFont="1" applyBorder="1" applyAlignment="1">
      <alignment horizontal="center"/>
    </xf>
    <xf numFmtId="0" fontId="7" fillId="0" borderId="4" xfId="3" applyFont="1" applyBorder="1" applyAlignment="1">
      <alignment horizontal="center"/>
    </xf>
    <xf numFmtId="0" fontId="1" fillId="0" borderId="4" xfId="3" applyFont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4" xfId="3" applyFont="1" applyBorder="1" applyAlignment="1">
      <alignment horizontal="center"/>
    </xf>
    <xf numFmtId="0" fontId="1" fillId="0" borderId="1" xfId="3" applyFont="1" applyBorder="1" applyAlignment="1">
      <alignment horizontal="center"/>
    </xf>
    <xf numFmtId="0" fontId="1" fillId="0" borderId="2" xfId="3" applyFont="1" applyBorder="1" applyAlignment="1">
      <alignment horizontal="center"/>
    </xf>
    <xf numFmtId="0" fontId="1" fillId="0" borderId="3" xfId="3" applyFont="1" applyBorder="1" applyAlignment="1">
      <alignment horizontal="center"/>
    </xf>
    <xf numFmtId="0" fontId="1" fillId="0" borderId="5" xfId="3" applyFont="1" applyBorder="1" applyAlignment="1">
      <alignment horizontal="center" vertical="center" wrapText="1"/>
    </xf>
    <xf numFmtId="0" fontId="1" fillId="0" borderId="6" xfId="3" applyFont="1" applyBorder="1" applyAlignment="1">
      <alignment horizontal="center" vertical="center" wrapText="1"/>
    </xf>
    <xf numFmtId="0" fontId="1" fillId="0" borderId="7" xfId="3" applyFont="1" applyBorder="1" applyAlignment="1">
      <alignment horizontal="center" vertical="center" wrapText="1"/>
    </xf>
    <xf numFmtId="0" fontId="1" fillId="0" borderId="5" xfId="3" applyFont="1" applyBorder="1" applyAlignment="1">
      <alignment horizontal="center" vertical="center"/>
    </xf>
    <xf numFmtId="0" fontId="1" fillId="0" borderId="7" xfId="3" applyFont="1" applyBorder="1" applyAlignment="1">
      <alignment horizontal="center" vertical="center"/>
    </xf>
    <xf numFmtId="0" fontId="1" fillId="0" borderId="10" xfId="5" applyBorder="1"/>
    <xf numFmtId="0" fontId="1" fillId="0" borderId="9" xfId="5" applyBorder="1"/>
    <xf numFmtId="0" fontId="1" fillId="0" borderId="8" xfId="5" applyBorder="1"/>
    <xf numFmtId="0" fontId="1" fillId="0" borderId="0" xfId="5"/>
    <xf numFmtId="0" fontId="10" fillId="4" borderId="0" xfId="3" applyFont="1" applyFill="1"/>
    <xf numFmtId="0" fontId="10" fillId="4" borderId="4" xfId="3" applyFont="1" applyFill="1" applyBorder="1"/>
    <xf numFmtId="0" fontId="9" fillId="0" borderId="12" xfId="5" applyFont="1" applyBorder="1" applyAlignment="1">
      <alignment horizontal="center"/>
    </xf>
    <xf numFmtId="0" fontId="1" fillId="0" borderId="11" xfId="5" applyBorder="1"/>
    <xf numFmtId="0" fontId="10" fillId="4" borderId="11" xfId="3" applyFont="1" applyFill="1" applyBorder="1"/>
    <xf numFmtId="168" fontId="0" fillId="0" borderId="0" xfId="0" applyNumberFormat="1"/>
    <xf numFmtId="8" fontId="0" fillId="0" borderId="0" xfId="1" applyNumberFormat="1" applyFont="1"/>
  </cellXfs>
  <cellStyles count="6">
    <cellStyle name="Comma" xfId="1" builtinId="3"/>
    <cellStyle name="Comma 2" xfId="4" xr:uid="{FD4C88CA-D2CE-E149-9457-16BEFB0340F6}"/>
    <cellStyle name="Normal" xfId="0" builtinId="0"/>
    <cellStyle name="Normal 2" xfId="3" xr:uid="{FCA41CEB-DD2A-B841-8C1A-777AD58A8501}"/>
    <cellStyle name="Normal 3" xfId="5" xr:uid="{9F3F116B-C1CD-DE4F-ABDD-9875085A6AEE}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Logarithmic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1994941464304038"/>
          <c:y val="0.16617383512544803"/>
          <c:w val="0.83697034841565643"/>
          <c:h val="0.72989127367143625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4'!$D$3:$D$1269</c:f>
              <c:numCache>
                <c:formatCode>0.0000</c:formatCode>
                <c:ptCount val="1267"/>
                <c:pt idx="0">
                  <c:v>-1.3768311448059681E-2</c:v>
                </c:pt>
                <c:pt idx="1">
                  <c:v>-5.0961788074067507E-3</c:v>
                </c:pt>
                <c:pt idx="2">
                  <c:v>1.1607483086424407E-3</c:v>
                </c:pt>
                <c:pt idx="3">
                  <c:v>-1.7550532558731884E-2</c:v>
                </c:pt>
                <c:pt idx="4">
                  <c:v>1.1501137740280422E-2</c:v>
                </c:pt>
                <c:pt idx="5">
                  <c:v>-1.9322169458859333E-2</c:v>
                </c:pt>
                <c:pt idx="6">
                  <c:v>-1.1902758294672618E-3</c:v>
                </c:pt>
                <c:pt idx="7">
                  <c:v>-2.3133421658477208E-2</c:v>
                </c:pt>
                <c:pt idx="8">
                  <c:v>8.7379601820990593E-3</c:v>
                </c:pt>
                <c:pt idx="9">
                  <c:v>4.3403004236584374E-3</c:v>
                </c:pt>
                <c:pt idx="10">
                  <c:v>3.3629668996688635E-3</c:v>
                </c:pt>
                <c:pt idx="11">
                  <c:v>1.9002956387131672E-2</c:v>
                </c:pt>
                <c:pt idx="12">
                  <c:v>-4.9532209806805788E-3</c:v>
                </c:pt>
                <c:pt idx="13">
                  <c:v>1.3854865241454638E-2</c:v>
                </c:pt>
                <c:pt idx="14">
                  <c:v>-4.6648285866928959E-4</c:v>
                </c:pt>
                <c:pt idx="15">
                  <c:v>9.3264480599716479E-4</c:v>
                </c:pt>
                <c:pt idx="16">
                  <c:v>-3.4142669542604226E-2</c:v>
                </c:pt>
                <c:pt idx="17">
                  <c:v>-6.0482648642400192E-3</c:v>
                </c:pt>
                <c:pt idx="18">
                  <c:v>-5.8405480142997793E-3</c:v>
                </c:pt>
                <c:pt idx="19">
                  <c:v>-2.4414200760991864E-4</c:v>
                </c:pt>
                <c:pt idx="20">
                  <c:v>-7.3514331696913965E-3</c:v>
                </c:pt>
                <c:pt idx="21">
                  <c:v>1.4747254195854192E-3</c:v>
                </c:pt>
                <c:pt idx="22">
                  <c:v>-1.0615895997254489E-2</c:v>
                </c:pt>
                <c:pt idx="23">
                  <c:v>3.0793849628447816E-2</c:v>
                </c:pt>
                <c:pt idx="24">
                  <c:v>-4.8152532001892679E-4</c:v>
                </c:pt>
                <c:pt idx="25">
                  <c:v>-2.652220572064361E-3</c:v>
                </c:pt>
                <c:pt idx="26">
                  <c:v>1.4478998734120689E-3</c:v>
                </c:pt>
                <c:pt idx="27">
                  <c:v>5.7690246752736766E-3</c:v>
                </c:pt>
                <c:pt idx="28">
                  <c:v>9.5843601813830727E-4</c:v>
                </c:pt>
                <c:pt idx="29">
                  <c:v>-2.6374865730509718E-3</c:v>
                </c:pt>
                <c:pt idx="30">
                  <c:v>1.453938825103551E-2</c:v>
                </c:pt>
                <c:pt idx="31">
                  <c:v>-2.368885485668657E-3</c:v>
                </c:pt>
                <c:pt idx="32">
                  <c:v>-1.2891249088891527E-2</c:v>
                </c:pt>
                <c:pt idx="33">
                  <c:v>3.0523996278372018E-2</c:v>
                </c:pt>
                <c:pt idx="34">
                  <c:v>-6.3117854925977988E-3</c:v>
                </c:pt>
                <c:pt idx="35">
                  <c:v>8.1746552651517698E-3</c:v>
                </c:pt>
                <c:pt idx="36">
                  <c:v>8.1083717551697441E-3</c:v>
                </c:pt>
                <c:pt idx="37">
                  <c:v>9.941303979719146E-2</c:v>
                </c:pt>
                <c:pt idx="38">
                  <c:v>3.3367764041909065E-3</c:v>
                </c:pt>
                <c:pt idx="39">
                  <c:v>2.3254588944977974E-2</c:v>
                </c:pt>
                <c:pt idx="40">
                  <c:v>-2.0363932918983029E-3</c:v>
                </c:pt>
                <c:pt idx="41">
                  <c:v>-8.5978113505696466E-3</c:v>
                </c:pt>
                <c:pt idx="42">
                  <c:v>4.1131182161018557E-4</c:v>
                </c:pt>
                <c:pt idx="43">
                  <c:v>-8.6688854005277684E-3</c:v>
                </c:pt>
                <c:pt idx="44">
                  <c:v>-1.3355902190165577E-2</c:v>
                </c:pt>
                <c:pt idx="45">
                  <c:v>-2.8122769561925828E-2</c:v>
                </c:pt>
                <c:pt idx="46">
                  <c:v>9.0342722324336534E-3</c:v>
                </c:pt>
                <c:pt idx="47">
                  <c:v>2.2234926198898688E-2</c:v>
                </c:pt>
                <c:pt idx="48">
                  <c:v>-7.9901324541186824E-3</c:v>
                </c:pt>
                <c:pt idx="49">
                  <c:v>-4.2200003560420883E-4</c:v>
                </c:pt>
                <c:pt idx="50">
                  <c:v>5.8958377763066649E-3</c:v>
                </c:pt>
                <c:pt idx="51">
                  <c:v>2.2626823614754207E-2</c:v>
                </c:pt>
                <c:pt idx="52">
                  <c:v>-8.6582329741158419E-3</c:v>
                </c:pt>
                <c:pt idx="53">
                  <c:v>-6.0220873433690612E-3</c:v>
                </c:pt>
                <c:pt idx="54">
                  <c:v>-2.5189077010013151E-3</c:v>
                </c:pt>
                <c:pt idx="55">
                  <c:v>0</c:v>
                </c:pt>
                <c:pt idx="56">
                  <c:v>-3.3684904014661416E-3</c:v>
                </c:pt>
                <c:pt idx="57">
                  <c:v>-1.1026517611970578E-2</c:v>
                </c:pt>
                <c:pt idx="58">
                  <c:v>-6.6314467112802396E-3</c:v>
                </c:pt>
                <c:pt idx="59">
                  <c:v>2.1656742018019877E-2</c:v>
                </c:pt>
                <c:pt idx="60">
                  <c:v>-3.3662714900568437E-3</c:v>
                </c:pt>
                <c:pt idx="61">
                  <c:v>-1.2512059695715226E-2</c:v>
                </c:pt>
                <c:pt idx="62">
                  <c:v>7.8646980235912729E-3</c:v>
                </c:pt>
                <c:pt idx="63">
                  <c:v>-6.5852407954766334E-3</c:v>
                </c:pt>
                <c:pt idx="64">
                  <c:v>-1.4930592569772619E-3</c:v>
                </c:pt>
                <c:pt idx="65">
                  <c:v>-1.0513851451671684E-2</c:v>
                </c:pt>
                <c:pt idx="66">
                  <c:v>-4.7568891288222084E-3</c:v>
                </c:pt>
                <c:pt idx="67">
                  <c:v>-8.9256119842607388E-3</c:v>
                </c:pt>
                <c:pt idx="68">
                  <c:v>-1.7509650484590067E-3</c:v>
                </c:pt>
                <c:pt idx="69">
                  <c:v>2.0811483053928825E-2</c:v>
                </c:pt>
                <c:pt idx="70">
                  <c:v>-3.6540108231191107E-3</c:v>
                </c:pt>
                <c:pt idx="71">
                  <c:v>-1.017200440280357E-2</c:v>
                </c:pt>
                <c:pt idx="72">
                  <c:v>-1.0716488615458807E-2</c:v>
                </c:pt>
                <c:pt idx="73">
                  <c:v>7.6664556595903155E-3</c:v>
                </c:pt>
                <c:pt idx="74">
                  <c:v>3.050032955868595E-3</c:v>
                </c:pt>
                <c:pt idx="75">
                  <c:v>1.6183269096378152E-2</c:v>
                </c:pt>
                <c:pt idx="76">
                  <c:v>-1.3359324403997673E-2</c:v>
                </c:pt>
                <c:pt idx="77">
                  <c:v>2.8159686454809012E-3</c:v>
                </c:pt>
                <c:pt idx="78">
                  <c:v>-6.9458525189793358E-3</c:v>
                </c:pt>
                <c:pt idx="79">
                  <c:v>-5.8984309166137611E-3</c:v>
                </c:pt>
                <c:pt idx="80">
                  <c:v>2.1890226972566925E-4</c:v>
                </c:pt>
                <c:pt idx="81">
                  <c:v>-8.5800785525848716E-3</c:v>
                </c:pt>
                <c:pt idx="82">
                  <c:v>-1.9860009180122394E-2</c:v>
                </c:pt>
                <c:pt idx="83">
                  <c:v>-4.9704932756641299E-3</c:v>
                </c:pt>
                <c:pt idx="84">
                  <c:v>6.7719253383289732E-3</c:v>
                </c:pt>
                <c:pt idx="85">
                  <c:v>-1.1257597579990846E-3</c:v>
                </c:pt>
                <c:pt idx="86">
                  <c:v>-2.251402826934709E-4</c:v>
                </c:pt>
                <c:pt idx="87">
                  <c:v>-2.0293924503410219E-3</c:v>
                </c:pt>
                <c:pt idx="88">
                  <c:v>-1.35527805215972E-3</c:v>
                </c:pt>
                <c:pt idx="89">
                  <c:v>6.3092804120309619E-3</c:v>
                </c:pt>
                <c:pt idx="90">
                  <c:v>2.0194479166491183E-3</c:v>
                </c:pt>
                <c:pt idx="91">
                  <c:v>2.0633118692152942E-2</c:v>
                </c:pt>
                <c:pt idx="92">
                  <c:v>1.7548281301833419E-3</c:v>
                </c:pt>
                <c:pt idx="93">
                  <c:v>3.0642932396240247E-3</c:v>
                </c:pt>
                <c:pt idx="94">
                  <c:v>1.9476962468357735E-2</c:v>
                </c:pt>
                <c:pt idx="95">
                  <c:v>-8.5761437534061572E-4</c:v>
                </c:pt>
                <c:pt idx="96">
                  <c:v>6.4142865997689532E-3</c:v>
                </c:pt>
                <c:pt idx="97">
                  <c:v>7.6433712469604889E-3</c:v>
                </c:pt>
                <c:pt idx="98">
                  <c:v>-3.7496127309554039E-2</c:v>
                </c:pt>
                <c:pt idx="99">
                  <c:v>1.2438581658724265E-2</c:v>
                </c:pt>
                <c:pt idx="100">
                  <c:v>-3.6936349546662331E-3</c:v>
                </c:pt>
                <c:pt idx="101">
                  <c:v>-1.2926158517456295E-2</c:v>
                </c:pt>
                <c:pt idx="102">
                  <c:v>-2.2044776013179648E-4</c:v>
                </c:pt>
                <c:pt idx="103">
                  <c:v>2.0736325540690864E-2</c:v>
                </c:pt>
                <c:pt idx="104">
                  <c:v>1.2665230013537171E-2</c:v>
                </c:pt>
                <c:pt idx="105">
                  <c:v>-3.846861855213368E-3</c:v>
                </c:pt>
                <c:pt idx="106">
                  <c:v>2.352527732137536E-3</c:v>
                </c:pt>
                <c:pt idx="107">
                  <c:v>1.5474593949255053E-2</c:v>
                </c:pt>
                <c:pt idx="108">
                  <c:v>8.4118692007114574E-4</c:v>
                </c:pt>
                <c:pt idx="109">
                  <c:v>-2.0382873264123535E-2</c:v>
                </c:pt>
                <c:pt idx="110">
                  <c:v>2.5708047894536057E-3</c:v>
                </c:pt>
                <c:pt idx="111">
                  <c:v>1.2543702087368323E-2</c:v>
                </c:pt>
                <c:pt idx="112">
                  <c:v>-1.9629225518271561E-2</c:v>
                </c:pt>
                <c:pt idx="113">
                  <c:v>7.0855234309032877E-3</c:v>
                </c:pt>
                <c:pt idx="114">
                  <c:v>-2.1396183448128971E-4</c:v>
                </c:pt>
                <c:pt idx="115">
                  <c:v>5.76124267990092E-3</c:v>
                </c:pt>
                <c:pt idx="116">
                  <c:v>6.7852199424491399E-3</c:v>
                </c:pt>
                <c:pt idx="117">
                  <c:v>5.5155087936888609E-3</c:v>
                </c:pt>
                <c:pt idx="118">
                  <c:v>-1.4060797270217718E-2</c:v>
                </c:pt>
                <c:pt idx="119">
                  <c:v>-2.0592235292877046E-2</c:v>
                </c:pt>
                <c:pt idx="120">
                  <c:v>-5.8395986855485658E-2</c:v>
                </c:pt>
                <c:pt idx="121">
                  <c:v>-3.280551546552387E-2</c:v>
                </c:pt>
                <c:pt idx="122">
                  <c:v>-2.9460321426897956E-2</c:v>
                </c:pt>
                <c:pt idx="123">
                  <c:v>5.3872263222360363E-2</c:v>
                </c:pt>
                <c:pt idx="124">
                  <c:v>2.7481060109153684E-2</c:v>
                </c:pt>
                <c:pt idx="125">
                  <c:v>6.8331537053691234E-4</c:v>
                </c:pt>
                <c:pt idx="126">
                  <c:v>-9.3771304217321917E-3</c:v>
                </c:pt>
                <c:pt idx="127">
                  <c:v>-3.9845761719502097E-2</c:v>
                </c:pt>
                <c:pt idx="128">
                  <c:v>3.6162533195583275E-2</c:v>
                </c:pt>
                <c:pt idx="129">
                  <c:v>3.223629086871108E-3</c:v>
                </c:pt>
                <c:pt idx="130">
                  <c:v>-2.0671713043898698E-2</c:v>
                </c:pt>
                <c:pt idx="131">
                  <c:v>2.9597293510733837E-2</c:v>
                </c:pt>
                <c:pt idx="132">
                  <c:v>-1.885965241768427E-2</c:v>
                </c:pt>
                <c:pt idx="133">
                  <c:v>5.0947735810866245E-3</c:v>
                </c:pt>
                <c:pt idx="134">
                  <c:v>4.3795631321570079E-3</c:v>
                </c:pt>
                <c:pt idx="135">
                  <c:v>-1.0171199231793002E-2</c:v>
                </c:pt>
                <c:pt idx="136">
                  <c:v>2.160510505802829E-2</c:v>
                </c:pt>
                <c:pt idx="137">
                  <c:v>7.2495586542115813E-3</c:v>
                </c:pt>
                <c:pt idx="138">
                  <c:v>-1.129417867391361E-3</c:v>
                </c:pt>
                <c:pt idx="139">
                  <c:v>-1.755404661305528E-2</c:v>
                </c:pt>
                <c:pt idx="140">
                  <c:v>1.4385538647366958E-2</c:v>
                </c:pt>
                <c:pt idx="141">
                  <c:v>-4.7723889215184846E-3</c:v>
                </c:pt>
                <c:pt idx="142">
                  <c:v>-6.8365784840493079E-4</c:v>
                </c:pt>
                <c:pt idx="143">
                  <c:v>9.1143997329487265E-4</c:v>
                </c:pt>
                <c:pt idx="144">
                  <c:v>6.8296049432493464E-4</c:v>
                </c:pt>
                <c:pt idx="145">
                  <c:v>-1.4903455477220384E-2</c:v>
                </c:pt>
                <c:pt idx="146">
                  <c:v>3.4592817064886105E-3</c:v>
                </c:pt>
                <c:pt idx="147">
                  <c:v>1.8700506594695895E-2</c:v>
                </c:pt>
                <c:pt idx="148">
                  <c:v>7.8766589539375625E-3</c:v>
                </c:pt>
                <c:pt idx="149">
                  <c:v>2.1291721765409038E-2</c:v>
                </c:pt>
                <c:pt idx="150">
                  <c:v>2.2994524491624951E-2</c:v>
                </c:pt>
                <c:pt idx="151">
                  <c:v>2.5699451053421739E-3</c:v>
                </c:pt>
                <c:pt idx="152">
                  <c:v>1.0688661866825508E-3</c:v>
                </c:pt>
                <c:pt idx="153">
                  <c:v>1.3793461191161781E-2</c:v>
                </c:pt>
                <c:pt idx="154">
                  <c:v>-7.1909775101593161E-3</c:v>
                </c:pt>
                <c:pt idx="155">
                  <c:v>-2.3379180784943777E-3</c:v>
                </c:pt>
                <c:pt idx="156">
                  <c:v>-2.3433267150641123E-3</c:v>
                </c:pt>
                <c:pt idx="157">
                  <c:v>-4.4883412049868711E-3</c:v>
                </c:pt>
                <c:pt idx="158">
                  <c:v>7.0444276995301732E-3</c:v>
                </c:pt>
                <c:pt idx="159">
                  <c:v>1.0579854547575101E-2</c:v>
                </c:pt>
                <c:pt idx="160">
                  <c:v>2.3125056930151954E-3</c:v>
                </c:pt>
                <c:pt idx="161">
                  <c:v>3.1450462728073413E-3</c:v>
                </c:pt>
                <c:pt idx="162">
                  <c:v>-1.2003895543930682E-2</c:v>
                </c:pt>
                <c:pt idx="163">
                  <c:v>1.7431892606980873E-2</c:v>
                </c:pt>
                <c:pt idx="164">
                  <c:v>9.6010341863869891E-2</c:v>
                </c:pt>
                <c:pt idx="165">
                  <c:v>2.5766749933295443E-2</c:v>
                </c:pt>
                <c:pt idx="166">
                  <c:v>-1.0376261396837363E-2</c:v>
                </c:pt>
                <c:pt idx="167">
                  <c:v>5.3869148624334628E-3</c:v>
                </c:pt>
                <c:pt idx="168">
                  <c:v>-1.1552182678462914E-2</c:v>
                </c:pt>
                <c:pt idx="169">
                  <c:v>-1.3585196180799525E-2</c:v>
                </c:pt>
                <c:pt idx="170">
                  <c:v>1.1333716399645224E-2</c:v>
                </c:pt>
                <c:pt idx="171">
                  <c:v>1.694827145021682E-2</c:v>
                </c:pt>
                <c:pt idx="172">
                  <c:v>4.6060120226487462E-3</c:v>
                </c:pt>
                <c:pt idx="173">
                  <c:v>-3.6782363203320413E-4</c:v>
                </c:pt>
                <c:pt idx="174">
                  <c:v>9.8811261692956214E-3</c:v>
                </c:pt>
                <c:pt idx="175">
                  <c:v>-1.3934806840555409E-2</c:v>
                </c:pt>
                <c:pt idx="176">
                  <c:v>-1.2074177126860566E-2</c:v>
                </c:pt>
                <c:pt idx="177">
                  <c:v>2.6130984569026319E-3</c:v>
                </c:pt>
                <c:pt idx="178">
                  <c:v>-6.1702056261658854E-3</c:v>
                </c:pt>
                <c:pt idx="179">
                  <c:v>-9.0428081502747573E-3</c:v>
                </c:pt>
                <c:pt idx="180">
                  <c:v>1.7446980443482234E-2</c:v>
                </c:pt>
                <c:pt idx="181">
                  <c:v>-8.2719888237969014E-3</c:v>
                </c:pt>
                <c:pt idx="182">
                  <c:v>1.6476577252365367E-2</c:v>
                </c:pt>
                <c:pt idx="183">
                  <c:v>1.6699783455071612E-3</c:v>
                </c:pt>
                <c:pt idx="184">
                  <c:v>4.6238768624269743E-3</c:v>
                </c:pt>
                <c:pt idx="185">
                  <c:v>0</c:v>
                </c:pt>
                <c:pt idx="186">
                  <c:v>1.1066388857208221E-3</c:v>
                </c:pt>
                <c:pt idx="187">
                  <c:v>-1.0376094976570433E-2</c:v>
                </c:pt>
                <c:pt idx="188">
                  <c:v>4.4599262778052592E-3</c:v>
                </c:pt>
                <c:pt idx="189">
                  <c:v>7.7579564392454784E-3</c:v>
                </c:pt>
                <c:pt idx="190">
                  <c:v>1.5880541999533173E-2</c:v>
                </c:pt>
                <c:pt idx="191">
                  <c:v>-1.8119157644044503E-4</c:v>
                </c:pt>
                <c:pt idx="192">
                  <c:v>-1.8463095021513502E-2</c:v>
                </c:pt>
                <c:pt idx="193">
                  <c:v>3.1062297876566062E-2</c:v>
                </c:pt>
                <c:pt idx="194">
                  <c:v>-1.7900406110543203E-3</c:v>
                </c:pt>
                <c:pt idx="195">
                  <c:v>-3.5858395150707842E-4</c:v>
                </c:pt>
                <c:pt idx="196">
                  <c:v>-1.4625133416565681E-2</c:v>
                </c:pt>
                <c:pt idx="197">
                  <c:v>5.2608386669390798E-3</c:v>
                </c:pt>
                <c:pt idx="198">
                  <c:v>-2.213578320434605E-2</c:v>
                </c:pt>
                <c:pt idx="199">
                  <c:v>1.9780968159192374E-2</c:v>
                </c:pt>
                <c:pt idx="200">
                  <c:v>1.0875237669344189E-3</c:v>
                </c:pt>
                <c:pt idx="201">
                  <c:v>1.6707402016952855E-2</c:v>
                </c:pt>
                <c:pt idx="202">
                  <c:v>-7.6903731646692525E-3</c:v>
                </c:pt>
                <c:pt idx="203">
                  <c:v>-2.8591602796468902E-2</c:v>
                </c:pt>
                <c:pt idx="204">
                  <c:v>1.2849152655981E-2</c:v>
                </c:pt>
                <c:pt idx="205">
                  <c:v>9.4388514952909626E-3</c:v>
                </c:pt>
                <c:pt idx="206">
                  <c:v>8.4556134371104943E-3</c:v>
                </c:pt>
                <c:pt idx="207">
                  <c:v>-2.6907087088831896E-3</c:v>
                </c:pt>
                <c:pt idx="208">
                  <c:v>5.0171628048982777E-3</c:v>
                </c:pt>
                <c:pt idx="209">
                  <c:v>1.0666668985140803E-2</c:v>
                </c:pt>
                <c:pt idx="210">
                  <c:v>-4.2531437405504552E-3</c:v>
                </c:pt>
                <c:pt idx="211">
                  <c:v>-1.4849406838983623E-2</c:v>
                </c:pt>
                <c:pt idx="212">
                  <c:v>-1.2332519255532371E-2</c:v>
                </c:pt>
                <c:pt idx="213">
                  <c:v>4.5517741361898482E-3</c:v>
                </c:pt>
                <c:pt idx="214">
                  <c:v>-1.8332362368935567E-2</c:v>
                </c:pt>
                <c:pt idx="215">
                  <c:v>-3.5402006250485209E-2</c:v>
                </c:pt>
                <c:pt idx="216">
                  <c:v>3.0623928952350295E-3</c:v>
                </c:pt>
                <c:pt idx="217">
                  <c:v>-5.7362379902426894E-4</c:v>
                </c:pt>
                <c:pt idx="218">
                  <c:v>9.1360910320976776E-3</c:v>
                </c:pt>
                <c:pt idx="219">
                  <c:v>-2.1835764426521929E-2</c:v>
                </c:pt>
                <c:pt idx="220">
                  <c:v>2.8068674600969207E-2</c:v>
                </c:pt>
                <c:pt idx="221">
                  <c:v>-4.0735652928348666E-2</c:v>
                </c:pt>
                <c:pt idx="222">
                  <c:v>-8.4687771601467694E-3</c:v>
                </c:pt>
                <c:pt idx="223">
                  <c:v>4.5386708979081591E-3</c:v>
                </c:pt>
                <c:pt idx="224">
                  <c:v>-6.1224404291956372E-3</c:v>
                </c:pt>
                <c:pt idx="225">
                  <c:v>3.5227889610421302E-2</c:v>
                </c:pt>
                <c:pt idx="226">
                  <c:v>-9.6079767461112586E-3</c:v>
                </c:pt>
                <c:pt idx="227">
                  <c:v>7.3105164527174395E-3</c:v>
                </c:pt>
                <c:pt idx="228">
                  <c:v>-1.8377464109427085E-2</c:v>
                </c:pt>
                <c:pt idx="229">
                  <c:v>1.6266737053267588E-2</c:v>
                </c:pt>
                <c:pt idx="230">
                  <c:v>5.6571335950979185E-2</c:v>
                </c:pt>
                <c:pt idx="231">
                  <c:v>-6.9216842380070516E-3</c:v>
                </c:pt>
                <c:pt idx="232">
                  <c:v>-3.1754484337117479E-2</c:v>
                </c:pt>
                <c:pt idx="233">
                  <c:v>-1.5976142500679243E-2</c:v>
                </c:pt>
                <c:pt idx="234">
                  <c:v>-3.0720134114768575E-3</c:v>
                </c:pt>
                <c:pt idx="235">
                  <c:v>-3.6025802680615358E-2</c:v>
                </c:pt>
                <c:pt idx="236">
                  <c:v>-1.5065499379468647E-2</c:v>
                </c:pt>
                <c:pt idx="237">
                  <c:v>-2.6342654596727974E-3</c:v>
                </c:pt>
                <c:pt idx="238">
                  <c:v>8.6878817658467278E-3</c:v>
                </c:pt>
                <c:pt idx="239">
                  <c:v>-4.025077877510556E-4</c:v>
                </c:pt>
                <c:pt idx="240">
                  <c:v>1.616977583925451E-2</c:v>
                </c:pt>
                <c:pt idx="241">
                  <c:v>1.8769677484794516E-2</c:v>
                </c:pt>
                <c:pt idx="242">
                  <c:v>2.5699376378345323E-2</c:v>
                </c:pt>
                <c:pt idx="243">
                  <c:v>-4.3973808063303647E-3</c:v>
                </c:pt>
                <c:pt idx="244">
                  <c:v>-7.1148909516451017E-3</c:v>
                </c:pt>
                <c:pt idx="245">
                  <c:v>1.589031821626324E-2</c:v>
                </c:pt>
                <c:pt idx="246">
                  <c:v>-2.8317462151091363E-2</c:v>
                </c:pt>
                <c:pt idx="247">
                  <c:v>3.5108453328123639E-3</c:v>
                </c:pt>
                <c:pt idx="248">
                  <c:v>1.4305462659591844E-2</c:v>
                </c:pt>
                <c:pt idx="249">
                  <c:v>-1.5474508693411999E-2</c:v>
                </c:pt>
                <c:pt idx="250">
                  <c:v>-8.2206046845456557E-3</c:v>
                </c:pt>
                <c:pt idx="251">
                  <c:v>3.2865957201118103E-2</c:v>
                </c:pt>
                <c:pt idx="252">
                  <c:v>7.0122656116572511E-3</c:v>
                </c:pt>
                <c:pt idx="253">
                  <c:v>-1.1396317877581009E-2</c:v>
                </c:pt>
                <c:pt idx="254">
                  <c:v>-6.1314659739033677E-3</c:v>
                </c:pt>
                <c:pt idx="255">
                  <c:v>-1.940675854204265E-2</c:v>
                </c:pt>
                <c:pt idx="256">
                  <c:v>1.2076483184280604E-2</c:v>
                </c:pt>
                <c:pt idx="257">
                  <c:v>2.2778485649539042E-2</c:v>
                </c:pt>
                <c:pt idx="258">
                  <c:v>-1.5063678983937869E-2</c:v>
                </c:pt>
                <c:pt idx="259">
                  <c:v>1.9406777495663809E-2</c:v>
                </c:pt>
                <c:pt idx="260">
                  <c:v>1.8825103454395121E-3</c:v>
                </c:pt>
                <c:pt idx="261">
                  <c:v>7.8680794868955101E-3</c:v>
                </c:pt>
                <c:pt idx="262">
                  <c:v>1.4082262313828465E-2</c:v>
                </c:pt>
                <c:pt idx="263">
                  <c:v>5.6875291246620665E-3</c:v>
                </c:pt>
                <c:pt idx="264">
                  <c:v>-2.1637453642729433E-2</c:v>
                </c:pt>
                <c:pt idx="265">
                  <c:v>6.8933607022788959E-3</c:v>
                </c:pt>
                <c:pt idx="266">
                  <c:v>3.8914578928896711E-3</c:v>
                </c:pt>
                <c:pt idx="267">
                  <c:v>-1.8510666472256489E-3</c:v>
                </c:pt>
                <c:pt idx="268">
                  <c:v>4.4370440109774804E-3</c:v>
                </c:pt>
                <c:pt idx="269">
                  <c:v>-1.2436569164414211E-2</c:v>
                </c:pt>
                <c:pt idx="270">
                  <c:v>2.1617544546860264E-2</c:v>
                </c:pt>
                <c:pt idx="271">
                  <c:v>6.1954805899919509E-3</c:v>
                </c:pt>
                <c:pt idx="272">
                  <c:v>3.26422095055301E-3</c:v>
                </c:pt>
                <c:pt idx="273">
                  <c:v>6.1374835744563063E-3</c:v>
                </c:pt>
                <c:pt idx="274">
                  <c:v>-2.522531125640872E-3</c:v>
                </c:pt>
                <c:pt idx="275">
                  <c:v>-1.5819980335477723E-2</c:v>
                </c:pt>
                <c:pt idx="276">
                  <c:v>1.0211388161959581E-2</c:v>
                </c:pt>
                <c:pt idx="277">
                  <c:v>-1.2045894315818513E-2</c:v>
                </c:pt>
                <c:pt idx="278">
                  <c:v>-7.3484103713979132E-4</c:v>
                </c:pt>
                <c:pt idx="279">
                  <c:v>-2.0233432091915828E-3</c:v>
                </c:pt>
                <c:pt idx="280">
                  <c:v>6.2408299687991952E-3</c:v>
                </c:pt>
                <c:pt idx="281">
                  <c:v>1.2727287121834725E-2</c:v>
                </c:pt>
                <c:pt idx="282">
                  <c:v>1.8071261668581466E-4</c:v>
                </c:pt>
                <c:pt idx="283">
                  <c:v>5.2248226093667329E-3</c:v>
                </c:pt>
                <c:pt idx="284">
                  <c:v>1.4450326920736856E-2</c:v>
                </c:pt>
                <c:pt idx="285">
                  <c:v>-1.2406174907049132E-3</c:v>
                </c:pt>
                <c:pt idx="286">
                  <c:v>-1.4288430924479692E-2</c:v>
                </c:pt>
                <c:pt idx="287">
                  <c:v>3.4120509744119841E-3</c:v>
                </c:pt>
                <c:pt idx="288">
                  <c:v>-7.4411442397984112E-2</c:v>
                </c:pt>
                <c:pt idx="289">
                  <c:v>6.3529625949324065E-3</c:v>
                </c:pt>
                <c:pt idx="290">
                  <c:v>-1.2940844010853879E-2</c:v>
                </c:pt>
                <c:pt idx="291">
                  <c:v>-9.7676308707387426E-3</c:v>
                </c:pt>
                <c:pt idx="292">
                  <c:v>-2.0627452752892229E-2</c:v>
                </c:pt>
                <c:pt idx="293">
                  <c:v>-6.0149789370757181E-4</c:v>
                </c:pt>
                <c:pt idx="294">
                  <c:v>1.4729745578614725E-2</c:v>
                </c:pt>
                <c:pt idx="295">
                  <c:v>-1.6535979370793395E-2</c:v>
                </c:pt>
                <c:pt idx="296">
                  <c:v>1.8062337921786256E-3</c:v>
                </c:pt>
                <c:pt idx="297">
                  <c:v>1.4027237305049337E-3</c:v>
                </c:pt>
                <c:pt idx="298">
                  <c:v>8.9704899002581908E-3</c:v>
                </c:pt>
                <c:pt idx="299">
                  <c:v>-6.3706557187930063E-3</c:v>
                </c:pt>
                <c:pt idx="300">
                  <c:v>1.8795652745107989E-2</c:v>
                </c:pt>
                <c:pt idx="301">
                  <c:v>5.8785934885470124E-4</c:v>
                </c:pt>
                <c:pt idx="302">
                  <c:v>8.9703678164369041E-3</c:v>
                </c:pt>
                <c:pt idx="303">
                  <c:v>-8.3827693032107343E-3</c:v>
                </c:pt>
                <c:pt idx="304">
                  <c:v>1.4576025138070815E-2</c:v>
                </c:pt>
                <c:pt idx="305">
                  <c:v>-1.8827943248916488E-2</c:v>
                </c:pt>
                <c:pt idx="306">
                  <c:v>5.9218568579288301E-3</c:v>
                </c:pt>
                <c:pt idx="307">
                  <c:v>-9.6906008041141543E-3</c:v>
                </c:pt>
                <c:pt idx="308">
                  <c:v>5.944150603756285E-3</c:v>
                </c:pt>
                <c:pt idx="309">
                  <c:v>-1.1723638771838109E-2</c:v>
                </c:pt>
                <c:pt idx="310">
                  <c:v>3.0704973644792227E-2</c:v>
                </c:pt>
                <c:pt idx="311">
                  <c:v>1.0220762009192735E-2</c:v>
                </c:pt>
                <c:pt idx="312">
                  <c:v>-4.4227655294624343E-3</c:v>
                </c:pt>
                <c:pt idx="313">
                  <c:v>8.252807055401476E-3</c:v>
                </c:pt>
                <c:pt idx="314">
                  <c:v>1.2913330198325404E-2</c:v>
                </c:pt>
                <c:pt idx="315">
                  <c:v>-2.8345185282298716E-3</c:v>
                </c:pt>
                <c:pt idx="316">
                  <c:v>-7.0252318098765962E-3</c:v>
                </c:pt>
                <c:pt idx="317">
                  <c:v>-1.3235402424586963E-2</c:v>
                </c:pt>
                <c:pt idx="318">
                  <c:v>6.5438601857471454E-3</c:v>
                </c:pt>
                <c:pt idx="319">
                  <c:v>-5.7577199629593007E-4</c:v>
                </c:pt>
                <c:pt idx="320">
                  <c:v>-1.1525188871450748E-3</c:v>
                </c:pt>
                <c:pt idx="321">
                  <c:v>-8.1035034452882713E-3</c:v>
                </c:pt>
                <c:pt idx="322">
                  <c:v>-2.7156737020389175E-3</c:v>
                </c:pt>
                <c:pt idx="323">
                  <c:v>-2.6374412971467271E-2</c:v>
                </c:pt>
                <c:pt idx="324">
                  <c:v>-6.2017017456178014E-3</c:v>
                </c:pt>
                <c:pt idx="325">
                  <c:v>-2.813535909444778E-3</c:v>
                </c:pt>
                <c:pt idx="326">
                  <c:v>1.3989053952315877E-2</c:v>
                </c:pt>
                <c:pt idx="327">
                  <c:v>-5.1730919664616862E-3</c:v>
                </c:pt>
                <c:pt idx="328">
                  <c:v>-1.1975164170631382E-3</c:v>
                </c:pt>
                <c:pt idx="329">
                  <c:v>2.2122001107661764E-2</c:v>
                </c:pt>
                <c:pt idx="330">
                  <c:v>-3.9144390782076535E-3</c:v>
                </c:pt>
                <c:pt idx="331">
                  <c:v>1.7881759660826769E-2</c:v>
                </c:pt>
                <c:pt idx="332">
                  <c:v>-4.0894231349627289E-2</c:v>
                </c:pt>
                <c:pt idx="333">
                  <c:v>-2.8497790147080718E-2</c:v>
                </c:pt>
                <c:pt idx="334">
                  <c:v>2.0640279735181927E-2</c:v>
                </c:pt>
                <c:pt idx="335">
                  <c:v>2.2005317033806541E-2</c:v>
                </c:pt>
                <c:pt idx="336">
                  <c:v>1.2388355330803137E-2</c:v>
                </c:pt>
                <c:pt idx="337">
                  <c:v>-1.9543167880627156E-4</c:v>
                </c:pt>
                <c:pt idx="338">
                  <c:v>1.9543167880628753E-4</c:v>
                </c:pt>
                <c:pt idx="339">
                  <c:v>4.0956427650919499E-3</c:v>
                </c:pt>
                <c:pt idx="340">
                  <c:v>0</c:v>
                </c:pt>
                <c:pt idx="341">
                  <c:v>1.7747289104323494E-2</c:v>
                </c:pt>
                <c:pt idx="342">
                  <c:v>5.5297803944637236E-3</c:v>
                </c:pt>
                <c:pt idx="343">
                  <c:v>1.1720264868072225E-2</c:v>
                </c:pt>
                <c:pt idx="344">
                  <c:v>5.6220701000599558E-3</c:v>
                </c:pt>
                <c:pt idx="345">
                  <c:v>4.2892340467701991E-3</c:v>
                </c:pt>
                <c:pt idx="346">
                  <c:v>-7.4454661684181028E-4</c:v>
                </c:pt>
                <c:pt idx="347">
                  <c:v>4.8299515737065526E-3</c:v>
                </c:pt>
                <c:pt idx="348">
                  <c:v>-1.625444551863587E-2</c:v>
                </c:pt>
                <c:pt idx="349">
                  <c:v>5.175462325935256E-2</c:v>
                </c:pt>
                <c:pt idx="350">
                  <c:v>-1.9692977209827857E-3</c:v>
                </c:pt>
                <c:pt idx="351">
                  <c:v>1.3704994933452414E-2</c:v>
                </c:pt>
                <c:pt idx="352">
                  <c:v>2.8240588255450281E-3</c:v>
                </c:pt>
                <c:pt idx="353">
                  <c:v>5.2869867263157747E-4</c:v>
                </c:pt>
                <c:pt idx="354">
                  <c:v>-1.0092948240735753E-2</c:v>
                </c:pt>
                <c:pt idx="355">
                  <c:v>3.5592192221810135E-4</c:v>
                </c:pt>
                <c:pt idx="356">
                  <c:v>8.3266361288818636E-3</c:v>
                </c:pt>
                <c:pt idx="357">
                  <c:v>-1.7657754503992279E-3</c:v>
                </c:pt>
                <c:pt idx="358">
                  <c:v>0</c:v>
                </c:pt>
                <c:pt idx="359">
                  <c:v>6.8693444441762881E-3</c:v>
                </c:pt>
                <c:pt idx="360">
                  <c:v>7.3451660023315596E-3</c:v>
                </c:pt>
                <c:pt idx="361">
                  <c:v>9.8829481971962167E-3</c:v>
                </c:pt>
                <c:pt idx="362">
                  <c:v>1.7239911321753341E-3</c:v>
                </c:pt>
                <c:pt idx="363">
                  <c:v>2.4082736882421628E-3</c:v>
                </c:pt>
                <c:pt idx="364">
                  <c:v>-3.0973287475699112E-3</c:v>
                </c:pt>
                <c:pt idx="365">
                  <c:v>4.8141247452686354E-3</c:v>
                </c:pt>
                <c:pt idx="366">
                  <c:v>-6.1940124536607908E-3</c:v>
                </c:pt>
                <c:pt idx="367">
                  <c:v>3.1017281592625717E-3</c:v>
                </c:pt>
                <c:pt idx="368">
                  <c:v>-5.555636743185639E-3</c:v>
                </c:pt>
                <c:pt idx="369">
                  <c:v>2.086940805799332E-3</c:v>
                </c:pt>
                <c:pt idx="370">
                  <c:v>6.9484668124726741E-4</c:v>
                </c:pt>
                <c:pt idx="371">
                  <c:v>3.4709444407597043E-4</c:v>
                </c:pt>
                <c:pt idx="372">
                  <c:v>8.6737567202079598E-4</c:v>
                </c:pt>
                <c:pt idx="373">
                  <c:v>3.8075661618286456E-3</c:v>
                </c:pt>
                <c:pt idx="374">
                  <c:v>1.0359493835763183E-3</c:v>
                </c:pt>
                <c:pt idx="375">
                  <c:v>3.7891302940359474E-3</c:v>
                </c:pt>
                <c:pt idx="376">
                  <c:v>-2.40968474768598E-3</c:v>
                </c:pt>
                <c:pt idx="377">
                  <c:v>1.2056048721944494E-3</c:v>
                </c:pt>
                <c:pt idx="378">
                  <c:v>-3.6209998021206934E-3</c:v>
                </c:pt>
                <c:pt idx="379">
                  <c:v>-7.4555400951986485E-3</c:v>
                </c:pt>
                <c:pt idx="380">
                  <c:v>2.2598374053360059E-3</c:v>
                </c:pt>
                <c:pt idx="381">
                  <c:v>1.3881365280338648E-3</c:v>
                </c:pt>
                <c:pt idx="382">
                  <c:v>-1.0408338589450485E-3</c:v>
                </c:pt>
                <c:pt idx="383">
                  <c:v>8.6737824993545008E-4</c:v>
                </c:pt>
                <c:pt idx="384">
                  <c:v>-3.9968780161540032E-3</c:v>
                </c:pt>
                <c:pt idx="385">
                  <c:v>-2.147203196679838E-2</c:v>
                </c:pt>
                <c:pt idx="386">
                  <c:v>1.4833411620385931E-2</c:v>
                </c:pt>
                <c:pt idx="387">
                  <c:v>-9.1565503840041976E-3</c:v>
                </c:pt>
                <c:pt idx="388">
                  <c:v>-4.787889102740815E-3</c:v>
                </c:pt>
                <c:pt idx="389">
                  <c:v>1.6395261667068891E-2</c:v>
                </c:pt>
                <c:pt idx="390">
                  <c:v>1.0486972001422087E-3</c:v>
                </c:pt>
                <c:pt idx="391">
                  <c:v>-5.6051357493384765E-3</c:v>
                </c:pt>
                <c:pt idx="392">
                  <c:v>-2.1102093810686047E-3</c:v>
                </c:pt>
                <c:pt idx="393">
                  <c:v>1.6584103523791315E-2</c:v>
                </c:pt>
                <c:pt idx="394">
                  <c:v>1.0384088463847056E-3</c:v>
                </c:pt>
                <c:pt idx="395">
                  <c:v>-6.7680662738225624E-3</c:v>
                </c:pt>
                <c:pt idx="396">
                  <c:v>-9.2712359859912375E-3</c:v>
                </c:pt>
                <c:pt idx="397">
                  <c:v>1.8285085156559942E-2</c:v>
                </c:pt>
                <c:pt idx="398">
                  <c:v>1.3794455463499158E-3</c:v>
                </c:pt>
                <c:pt idx="399">
                  <c:v>-1.0915648986803698E-2</c:v>
                </c:pt>
                <c:pt idx="400">
                  <c:v>3.4782177789520227E-3</c:v>
                </c:pt>
                <c:pt idx="401">
                  <c:v>-3.129895618244664E-3</c:v>
                </c:pt>
                <c:pt idx="402">
                  <c:v>-3.1397412438898069E-3</c:v>
                </c:pt>
                <c:pt idx="403">
                  <c:v>6.9638531921274319E-3</c:v>
                </c:pt>
                <c:pt idx="404">
                  <c:v>1.7333799196320055E-3</c:v>
                </c:pt>
                <c:pt idx="405">
                  <c:v>1.0385654519599226E-3</c:v>
                </c:pt>
                <c:pt idx="406">
                  <c:v>4.1436743278642539E-3</c:v>
                </c:pt>
                <c:pt idx="407">
                  <c:v>-1.475349770460437E-2</c:v>
                </c:pt>
                <c:pt idx="408">
                  <c:v>-1.3997768802515409E-3</c:v>
                </c:pt>
                <c:pt idx="409">
                  <c:v>-3.3322972356284561E-3</c:v>
                </c:pt>
                <c:pt idx="410">
                  <c:v>8.7458401727908246E-3</c:v>
                </c:pt>
                <c:pt idx="411">
                  <c:v>-3.4892148161157735E-3</c:v>
                </c:pt>
                <c:pt idx="412">
                  <c:v>7.6601249414474928E-3</c:v>
                </c:pt>
                <c:pt idx="413">
                  <c:v>-2.2570909921353841E-3</c:v>
                </c:pt>
                <c:pt idx="414">
                  <c:v>-4.8788879899650016E-3</c:v>
                </c:pt>
                <c:pt idx="415">
                  <c:v>4.1234103402741959E-2</c:v>
                </c:pt>
                <c:pt idx="416">
                  <c:v>2.2212093319171761E-2</c:v>
                </c:pt>
                <c:pt idx="417">
                  <c:v>-1.6391598538948899E-4</c:v>
                </c:pt>
                <c:pt idx="418">
                  <c:v>-5.9202419412056869E-3</c:v>
                </c:pt>
                <c:pt idx="419">
                  <c:v>-8.7798958598569749E-3</c:v>
                </c:pt>
                <c:pt idx="420">
                  <c:v>-3.8342972020306947E-3</c:v>
                </c:pt>
                <c:pt idx="421">
                  <c:v>8.3479208286350241E-4</c:v>
                </c:pt>
                <c:pt idx="422">
                  <c:v>-2.0046088530261811E-3</c:v>
                </c:pt>
                <c:pt idx="423">
                  <c:v>-6.2065557824073567E-3</c:v>
                </c:pt>
                <c:pt idx="424">
                  <c:v>-3.7086642123059627E-3</c:v>
                </c:pt>
                <c:pt idx="425">
                  <c:v>-8.4803898981084726E-3</c:v>
                </c:pt>
                <c:pt idx="426">
                  <c:v>2.8710121975447467E-2</c:v>
                </c:pt>
                <c:pt idx="427">
                  <c:v>8.2717848524831671E-4</c:v>
                </c:pt>
                <c:pt idx="428">
                  <c:v>-4.9735957025007051E-3</c:v>
                </c:pt>
                <c:pt idx="429">
                  <c:v>-2.4733942272061361E-2</c:v>
                </c:pt>
                <c:pt idx="430">
                  <c:v>5.4365806884573613E-3</c:v>
                </c:pt>
                <c:pt idx="431">
                  <c:v>-1.5366653754768322E-2</c:v>
                </c:pt>
                <c:pt idx="432">
                  <c:v>1.9554809598097734E-2</c:v>
                </c:pt>
                <c:pt idx="433">
                  <c:v>1.3162558527800176E-2</c:v>
                </c:pt>
                <c:pt idx="434">
                  <c:v>1.6460452249956337E-2</c:v>
                </c:pt>
                <c:pt idx="435">
                  <c:v>-4.7937461916815836E-3</c:v>
                </c:pt>
                <c:pt idx="436">
                  <c:v>8.4151303087385797E-3</c:v>
                </c:pt>
                <c:pt idx="437">
                  <c:v>4.2628962382468055E-3</c:v>
                </c:pt>
                <c:pt idx="438">
                  <c:v>-1.1849819387498198E-2</c:v>
                </c:pt>
                <c:pt idx="439">
                  <c:v>2.1499521296984526E-3</c:v>
                </c:pt>
                <c:pt idx="440">
                  <c:v>1.3207536595512359E-3</c:v>
                </c:pt>
                <c:pt idx="441">
                  <c:v>7.8883059611460603E-3</c:v>
                </c:pt>
                <c:pt idx="442">
                  <c:v>-1.3679648770969496E-2</c:v>
                </c:pt>
                <c:pt idx="443">
                  <c:v>-1.7747053059727808E-2</c:v>
                </c:pt>
                <c:pt idx="444">
                  <c:v>8.4428891859689701E-4</c:v>
                </c:pt>
                <c:pt idx="445">
                  <c:v>1.6238769788901021E-2</c:v>
                </c:pt>
                <c:pt idx="446">
                  <c:v>-4.4936016222929835E-3</c:v>
                </c:pt>
                <c:pt idx="447">
                  <c:v>2.3410200522157924E-2</c:v>
                </c:pt>
                <c:pt idx="448">
                  <c:v>-5.8834638784353785E-3</c:v>
                </c:pt>
                <c:pt idx="449">
                  <c:v>1.5612831168618254E-2</c:v>
                </c:pt>
                <c:pt idx="450">
                  <c:v>3.2220239421265058E-3</c:v>
                </c:pt>
                <c:pt idx="451">
                  <c:v>1.294466842241331E-2</c:v>
                </c:pt>
                <c:pt idx="452">
                  <c:v>-4.7748159161737393E-3</c:v>
                </c:pt>
                <c:pt idx="453">
                  <c:v>-1.596707743164903E-3</c:v>
                </c:pt>
                <c:pt idx="454">
                  <c:v>-4.4843213778294156E-3</c:v>
                </c:pt>
                <c:pt idx="455">
                  <c:v>2.096640213326981E-2</c:v>
                </c:pt>
                <c:pt idx="456">
                  <c:v>-1.258160133481834E-3</c:v>
                </c:pt>
                <c:pt idx="457">
                  <c:v>0</c:v>
                </c:pt>
                <c:pt idx="458">
                  <c:v>1.5754811991009003E-4</c:v>
                </c:pt>
                <c:pt idx="459">
                  <c:v>-4.8901153331598751E-3</c:v>
                </c:pt>
                <c:pt idx="460">
                  <c:v>6.3222870462476108E-4</c:v>
                </c:pt>
                <c:pt idx="461">
                  <c:v>-4.5932943851405188E-3</c:v>
                </c:pt>
                <c:pt idx="462">
                  <c:v>-1.4297175542953779E-3</c:v>
                </c:pt>
                <c:pt idx="463">
                  <c:v>-1.2156418519510815E-2</c:v>
                </c:pt>
                <c:pt idx="464">
                  <c:v>7.0558483456131804E-3</c:v>
                </c:pt>
                <c:pt idx="465">
                  <c:v>-4.4843213778294156E-3</c:v>
                </c:pt>
                <c:pt idx="466">
                  <c:v>0</c:v>
                </c:pt>
                <c:pt idx="467">
                  <c:v>8.630430007330072E-3</c:v>
                </c:pt>
                <c:pt idx="468">
                  <c:v>-3.187751047522734E-3</c:v>
                </c:pt>
                <c:pt idx="469">
                  <c:v>-3.1939555533410394E-4</c:v>
                </c:pt>
                <c:pt idx="470">
                  <c:v>9.0612582788648123E-3</c:v>
                </c:pt>
                <c:pt idx="471">
                  <c:v>-9.2209605140577203E-3</c:v>
                </c:pt>
                <c:pt idx="472">
                  <c:v>1.436537802539763E-3</c:v>
                </c:pt>
                <c:pt idx="473">
                  <c:v>-2.7150746887982611E-3</c:v>
                </c:pt>
                <c:pt idx="474">
                  <c:v>-4.7987308179068324E-4</c:v>
                </c:pt>
                <c:pt idx="475">
                  <c:v>-3.2051712012308789E-3</c:v>
                </c:pt>
                <c:pt idx="476">
                  <c:v>7.0377909669801257E-3</c:v>
                </c:pt>
                <c:pt idx="477">
                  <c:v>3.5005175298943986E-3</c:v>
                </c:pt>
                <c:pt idx="478">
                  <c:v>8.855245939413052E-3</c:v>
                </c:pt>
                <c:pt idx="479">
                  <c:v>2.5155463948327013E-3</c:v>
                </c:pt>
                <c:pt idx="480">
                  <c:v>9.2224404235437662E-3</c:v>
                </c:pt>
                <c:pt idx="481">
                  <c:v>2.3222882777023501E-2</c:v>
                </c:pt>
                <c:pt idx="482">
                  <c:v>-9.9306977116690263E-3</c:v>
                </c:pt>
                <c:pt idx="483">
                  <c:v>-7.3970520980604342E-3</c:v>
                </c:pt>
                <c:pt idx="484">
                  <c:v>-1.6689004479861578E-2</c:v>
                </c:pt>
                <c:pt idx="485">
                  <c:v>-6.4696762184890729E-3</c:v>
                </c:pt>
                <c:pt idx="486">
                  <c:v>8.0411073075126009E-3</c:v>
                </c:pt>
                <c:pt idx="487">
                  <c:v>-6.2832270117336238E-4</c:v>
                </c:pt>
                <c:pt idx="488">
                  <c:v>-3.3052535749836876E-3</c:v>
                </c:pt>
                <c:pt idx="489">
                  <c:v>-1.4197929252623837E-3</c:v>
                </c:pt>
                <c:pt idx="490">
                  <c:v>1.1303008555086095E-2</c:v>
                </c:pt>
                <c:pt idx="491">
                  <c:v>-9.3697172557742777E-4</c:v>
                </c:pt>
                <c:pt idx="492">
                  <c:v>1.1187112251050743E-2</c:v>
                </c:pt>
                <c:pt idx="493">
                  <c:v>3.7240262217257607E-3</c:v>
                </c:pt>
                <c:pt idx="494">
                  <c:v>-6.1978754107283639E-4</c:v>
                </c:pt>
                <c:pt idx="495">
                  <c:v>-1.5516588557045483E-4</c:v>
                </c:pt>
                <c:pt idx="496">
                  <c:v>1.5489160841066958E-3</c:v>
                </c:pt>
                <c:pt idx="497">
                  <c:v>-2.0137916247740749E-3</c:v>
                </c:pt>
                <c:pt idx="498">
                  <c:v>-2.0179041984498907E-3</c:v>
                </c:pt>
                <c:pt idx="499">
                  <c:v>4.0316958232240801E-3</c:v>
                </c:pt>
                <c:pt idx="500">
                  <c:v>0</c:v>
                </c:pt>
                <c:pt idx="501">
                  <c:v>-6.0535655531597241E-3</c:v>
                </c:pt>
                <c:pt idx="502">
                  <c:v>-3.8999231506218835E-3</c:v>
                </c:pt>
                <c:pt idx="503">
                  <c:v>1.4893447418472367E-2</c:v>
                </c:pt>
                <c:pt idx="504">
                  <c:v>-1.4424620580563974E-2</c:v>
                </c:pt>
                <c:pt idx="505">
                  <c:v>3.742280864986975E-3</c:v>
                </c:pt>
                <c:pt idx="506">
                  <c:v>3.1130051816180966E-4</c:v>
                </c:pt>
                <c:pt idx="507">
                  <c:v>2.020792482206804E-3</c:v>
                </c:pt>
                <c:pt idx="508">
                  <c:v>9.1196232748189422E-3</c:v>
                </c:pt>
                <c:pt idx="509">
                  <c:v>-4.0085182797614327E-3</c:v>
                </c:pt>
                <c:pt idx="510">
                  <c:v>3.0847773724717903E-3</c:v>
                </c:pt>
                <c:pt idx="511">
                  <c:v>-3.3938490277727203E-3</c:v>
                </c:pt>
                <c:pt idx="512">
                  <c:v>-4.6468886841219432E-3</c:v>
                </c:pt>
                <c:pt idx="513">
                  <c:v>5.2648877618172978E-3</c:v>
                </c:pt>
                <c:pt idx="514">
                  <c:v>-1.7003725665953814E-3</c:v>
                </c:pt>
                <c:pt idx="515">
                  <c:v>3.551870758037071E-3</c:v>
                </c:pt>
                <c:pt idx="516">
                  <c:v>9.2435175863562764E-4</c:v>
                </c:pt>
                <c:pt idx="517">
                  <c:v>-1.115065430877646E-2</c:v>
                </c:pt>
                <c:pt idx="518">
                  <c:v>1.2689667895071904E-2</c:v>
                </c:pt>
                <c:pt idx="519">
                  <c:v>-2.4633653449310784E-3</c:v>
                </c:pt>
                <c:pt idx="520">
                  <c:v>1.6944621980806904E-3</c:v>
                </c:pt>
                <c:pt idx="521">
                  <c:v>1.8448374119978503E-3</c:v>
                </c:pt>
                <c:pt idx="522">
                  <c:v>2.9143707607694374E-3</c:v>
                </c:pt>
                <c:pt idx="523">
                  <c:v>2.7531158940651006E-3</c:v>
                </c:pt>
                <c:pt idx="524">
                  <c:v>3.6590434776777115E-3</c:v>
                </c:pt>
                <c:pt idx="525">
                  <c:v>2.2802077289912769E-3</c:v>
                </c:pt>
                <c:pt idx="526">
                  <c:v>-4.7180336787318181E-3</c:v>
                </c:pt>
                <c:pt idx="527">
                  <c:v>2.7422587773322446E-3</c:v>
                </c:pt>
                <c:pt idx="528">
                  <c:v>-2.5897234288631086E-3</c:v>
                </c:pt>
                <c:pt idx="529">
                  <c:v>2.5897234288631194E-3</c:v>
                </c:pt>
                <c:pt idx="530">
                  <c:v>-7.6107974082114446E-4</c:v>
                </c:pt>
                <c:pt idx="531">
                  <c:v>-2.2867048085163585E-3</c:v>
                </c:pt>
                <c:pt idx="532">
                  <c:v>-7.6303428745693965E-4</c:v>
                </c:pt>
                <c:pt idx="533">
                  <c:v>-3.8252677391408746E-3</c:v>
                </c:pt>
                <c:pt idx="534">
                  <c:v>-4.3017995836237798E-3</c:v>
                </c:pt>
                <c:pt idx="535">
                  <c:v>8.1270673227645338E-3</c:v>
                </c:pt>
                <c:pt idx="536">
                  <c:v>-1.3753038455331771E-3</c:v>
                </c:pt>
                <c:pt idx="537">
                  <c:v>-5.3670195483738851E-3</c:v>
                </c:pt>
                <c:pt idx="538">
                  <c:v>7.0478253908320557E-3</c:v>
                </c:pt>
                <c:pt idx="539">
                  <c:v>1.364691918635037E-2</c:v>
                </c:pt>
                <c:pt idx="540">
                  <c:v>1.6874737671429926E-2</c:v>
                </c:pt>
                <c:pt idx="541">
                  <c:v>5.7588900915260411E-3</c:v>
                </c:pt>
                <c:pt idx="542">
                  <c:v>-1.3261581213085385E-3</c:v>
                </c:pt>
                <c:pt idx="543">
                  <c:v>6.4657671879984691E-3</c:v>
                </c:pt>
                <c:pt idx="544">
                  <c:v>2.7793579830991707E-3</c:v>
                </c:pt>
                <c:pt idx="545">
                  <c:v>1.378123628824697E-2</c:v>
                </c:pt>
                <c:pt idx="546">
                  <c:v>-1.5861084665518377E-3</c:v>
                </c:pt>
                <c:pt idx="547">
                  <c:v>-3.1794339326517689E-3</c:v>
                </c:pt>
                <c:pt idx="548">
                  <c:v>-3.9165213059795421E-3</c:v>
                </c:pt>
                <c:pt idx="549">
                  <c:v>2.7576835201142728E-3</c:v>
                </c:pt>
                <c:pt idx="550">
                  <c:v>-8.7026223536195736E-4</c:v>
                </c:pt>
                <c:pt idx="551">
                  <c:v>1.4499099363549479E-3</c:v>
                </c:pt>
                <c:pt idx="552">
                  <c:v>3.903027315391187E-3</c:v>
                </c:pt>
                <c:pt idx="553">
                  <c:v>-1.2339531119562427E-2</c:v>
                </c:pt>
                <c:pt idx="554">
                  <c:v>-1.1692158233145044E-3</c:v>
                </c:pt>
                <c:pt idx="555">
                  <c:v>7.3091623394578025E-4</c:v>
                </c:pt>
                <c:pt idx="556">
                  <c:v>1.9935207611500846E-2</c:v>
                </c:pt>
                <c:pt idx="557">
                  <c:v>-2.8199817794360427E-2</c:v>
                </c:pt>
                <c:pt idx="558">
                  <c:v>3.4026033717746511E-3</c:v>
                </c:pt>
                <c:pt idx="559">
                  <c:v>-2.9526620605626876E-4</c:v>
                </c:pt>
                <c:pt idx="560">
                  <c:v>1.1164898531311139E-2</c:v>
                </c:pt>
                <c:pt idx="561">
                  <c:v>3.3545881332865523E-3</c:v>
                </c:pt>
                <c:pt idx="562">
                  <c:v>1.309596504494805E-3</c:v>
                </c:pt>
                <c:pt idx="563">
                  <c:v>1.2284357492404665E-2</c:v>
                </c:pt>
                <c:pt idx="564">
                  <c:v>4.8714188751061826E-3</c:v>
                </c:pt>
                <c:pt idx="565">
                  <c:v>6.4120896244082995E-3</c:v>
                </c:pt>
                <c:pt idx="566">
                  <c:v>-8.1287072548552781E-3</c:v>
                </c:pt>
                <c:pt idx="567">
                  <c:v>3.7159242707276766E-3</c:v>
                </c:pt>
                <c:pt idx="568">
                  <c:v>2.3404433186981079E-2</c:v>
                </c:pt>
                <c:pt idx="569">
                  <c:v>7.2203141385030825E-3</c:v>
                </c:pt>
                <c:pt idx="570">
                  <c:v>3.314873830460596E-3</c:v>
                </c:pt>
                <c:pt idx="571">
                  <c:v>-1.7941726566914622E-3</c:v>
                </c:pt>
                <c:pt idx="572">
                  <c:v>-6.0967438535315431E-3</c:v>
                </c:pt>
                <c:pt idx="573">
                  <c:v>-2.2915128980887309E-2</c:v>
                </c:pt>
                <c:pt idx="574">
                  <c:v>-7.7090799341699191E-3</c:v>
                </c:pt>
                <c:pt idx="575">
                  <c:v>1.2390827542803885E-2</c:v>
                </c:pt>
                <c:pt idx="576">
                  <c:v>-5.3930499777684725E-3</c:v>
                </c:pt>
                <c:pt idx="577">
                  <c:v>-5.2792361069481982E-3</c:v>
                </c:pt>
                <c:pt idx="578">
                  <c:v>1.4296212179432713E-3</c:v>
                </c:pt>
                <c:pt idx="579">
                  <c:v>1.2351765892940254E-2</c:v>
                </c:pt>
                <c:pt idx="580">
                  <c:v>-1.3638470622301188E-2</c:v>
                </c:pt>
                <c:pt idx="581">
                  <c:v>5.1363196183659083E-3</c:v>
                </c:pt>
                <c:pt idx="582">
                  <c:v>-1.4240754892722043E-4</c:v>
                </c:pt>
                <c:pt idx="583">
                  <c:v>1.3430599637776784E-2</c:v>
                </c:pt>
                <c:pt idx="584">
                  <c:v>-9.5952023661622192E-3</c:v>
                </c:pt>
                <c:pt idx="585">
                  <c:v>-1.8892685268761641E-2</c:v>
                </c:pt>
                <c:pt idx="586">
                  <c:v>8.4887914779397337E-3</c:v>
                </c:pt>
                <c:pt idx="587">
                  <c:v>-1.8946287169094855E-2</c:v>
                </c:pt>
                <c:pt idx="588">
                  <c:v>6.4036352340090773E-3</c:v>
                </c:pt>
                <c:pt idx="589">
                  <c:v>-1.1086947908740097E-2</c:v>
                </c:pt>
                <c:pt idx="590">
                  <c:v>1.32606267084719E-2</c:v>
                </c:pt>
                <c:pt idx="591">
                  <c:v>-7.4100041005069443E-3</c:v>
                </c:pt>
                <c:pt idx="592">
                  <c:v>1.2895929350948764E-2</c:v>
                </c:pt>
                <c:pt idx="593">
                  <c:v>7.4585075278742301E-3</c:v>
                </c:pt>
                <c:pt idx="594">
                  <c:v>1.4263357679557205E-4</c:v>
                </c:pt>
                <c:pt idx="595">
                  <c:v>1.6438290699486855E-2</c:v>
                </c:pt>
                <c:pt idx="596">
                  <c:v>8.6759944654972079E-3</c:v>
                </c:pt>
                <c:pt idx="597">
                  <c:v>1.397483477809822E-2</c:v>
                </c:pt>
                <c:pt idx="598">
                  <c:v>7.8011617719977496E-3</c:v>
                </c:pt>
                <c:pt idx="599">
                  <c:v>-6.8190936229443335E-4</c:v>
                </c:pt>
                <c:pt idx="600">
                  <c:v>7.6107939324657212E-3</c:v>
                </c:pt>
                <c:pt idx="601">
                  <c:v>4.8622983865369779E-3</c:v>
                </c:pt>
                <c:pt idx="602">
                  <c:v>-5.8104575728234057E-3</c:v>
                </c:pt>
                <c:pt idx="603">
                  <c:v>-2.5781503978157031E-3</c:v>
                </c:pt>
                <c:pt idx="604">
                  <c:v>7.9844920834341616E-3</c:v>
                </c:pt>
                <c:pt idx="605">
                  <c:v>-1.8890957996488824E-3</c:v>
                </c:pt>
                <c:pt idx="606">
                  <c:v>-1.2091607151406758E-2</c:v>
                </c:pt>
                <c:pt idx="607">
                  <c:v>-1.6417861857979824E-3</c:v>
                </c:pt>
                <c:pt idx="608">
                  <c:v>-4.6657188512514132E-3</c:v>
                </c:pt>
                <c:pt idx="609">
                  <c:v>-1.6517507592447985E-3</c:v>
                </c:pt>
                <c:pt idx="610">
                  <c:v>-4.4188159586316085E-3</c:v>
                </c:pt>
                <c:pt idx="611">
                  <c:v>-1.5234390431541154E-3</c:v>
                </c:pt>
                <c:pt idx="612">
                  <c:v>7.3190088938762778E-3</c:v>
                </c:pt>
                <c:pt idx="613">
                  <c:v>-3.8599402404802217E-3</c:v>
                </c:pt>
                <c:pt idx="614">
                  <c:v>5.3721777378385703E-3</c:v>
                </c:pt>
                <c:pt idx="615">
                  <c:v>-4.4058238498586415E-3</c:v>
                </c:pt>
                <c:pt idx="616">
                  <c:v>-1.4734972691603253E-2</c:v>
                </c:pt>
                <c:pt idx="617">
                  <c:v>1.514879331930615E-2</c:v>
                </c:pt>
                <c:pt idx="618">
                  <c:v>1.4922514551373891E-2</c:v>
                </c:pt>
                <c:pt idx="619">
                  <c:v>2.7333029241064752E-4</c:v>
                </c:pt>
                <c:pt idx="620">
                  <c:v>5.8554388606984276E-3</c:v>
                </c:pt>
                <c:pt idx="621">
                  <c:v>-1.7117821235523693E-2</c:v>
                </c:pt>
                <c:pt idx="622">
                  <c:v>1.2423429098293855E-3</c:v>
                </c:pt>
                <c:pt idx="623">
                  <c:v>-4.7013179257244979E-3</c:v>
                </c:pt>
                <c:pt idx="624">
                  <c:v>1.390169688252766E-2</c:v>
                </c:pt>
                <c:pt idx="625">
                  <c:v>-6.0324048008673636E-3</c:v>
                </c:pt>
                <c:pt idx="626">
                  <c:v>-4.1278594700200051E-4</c:v>
                </c:pt>
                <c:pt idx="627">
                  <c:v>1.7865859039786481E-3</c:v>
                </c:pt>
                <c:pt idx="628">
                  <c:v>1.3754480656608559E-4</c:v>
                </c:pt>
                <c:pt idx="629">
                  <c:v>3.0160963633496119E-3</c:v>
                </c:pt>
                <c:pt idx="630">
                  <c:v>1.305603893926781E-2</c:v>
                </c:pt>
                <c:pt idx="631">
                  <c:v>1.0216724441662155E-2</c:v>
                </c:pt>
                <c:pt idx="632">
                  <c:v>-1.1162882755511439E-2</c:v>
                </c:pt>
                <c:pt idx="633">
                  <c:v>-4.4730349367868528E-3</c:v>
                </c:pt>
                <c:pt idx="634">
                  <c:v>-2.8569515207526762E-3</c:v>
                </c:pt>
                <c:pt idx="635">
                  <c:v>1.2725058725881368E-2</c:v>
                </c:pt>
                <c:pt idx="636">
                  <c:v>-4.8541661595843041E-3</c:v>
                </c:pt>
                <c:pt idx="637">
                  <c:v>1.0488098273365439E-2</c:v>
                </c:pt>
                <c:pt idx="638">
                  <c:v>-1.0705721656052158E-3</c:v>
                </c:pt>
                <c:pt idx="639">
                  <c:v>7.0719333027703651E-3</c:v>
                </c:pt>
                <c:pt idx="640">
                  <c:v>-5.8674827637765631E-3</c:v>
                </c:pt>
                <c:pt idx="641">
                  <c:v>7.1959407096923627E-3</c:v>
                </c:pt>
                <c:pt idx="642">
                  <c:v>-1.9935569370974344E-3</c:v>
                </c:pt>
                <c:pt idx="643">
                  <c:v>3.71856625252398E-3</c:v>
                </c:pt>
                <c:pt idx="644">
                  <c:v>-6.649963036464787E-3</c:v>
                </c:pt>
                <c:pt idx="645">
                  <c:v>-9.789031959026466E-3</c:v>
                </c:pt>
                <c:pt idx="646">
                  <c:v>2.6915280501624084E-3</c:v>
                </c:pt>
                <c:pt idx="647">
                  <c:v>-1.5575625953720118E-2</c:v>
                </c:pt>
                <c:pt idx="648">
                  <c:v>0</c:v>
                </c:pt>
                <c:pt idx="649">
                  <c:v>8.0212949664849459E-3</c:v>
                </c:pt>
                <c:pt idx="650">
                  <c:v>2.7091077464507944E-4</c:v>
                </c:pt>
                <c:pt idx="651">
                  <c:v>8.3579727726990072E-3</c:v>
                </c:pt>
                <c:pt idx="652">
                  <c:v>1.609527502289455E-3</c:v>
                </c:pt>
                <c:pt idx="653">
                  <c:v>-4.7018855267785976E-3</c:v>
                </c:pt>
                <c:pt idx="654">
                  <c:v>5.7736707454368041E-3</c:v>
                </c:pt>
                <c:pt idx="655">
                  <c:v>1.6992237636949112E-2</c:v>
                </c:pt>
                <c:pt idx="656">
                  <c:v>3.9496750821699293E-4</c:v>
                </c:pt>
                <c:pt idx="657">
                  <c:v>3.808534368775947E-3</c:v>
                </c:pt>
                <c:pt idx="658">
                  <c:v>0</c:v>
                </c:pt>
                <c:pt idx="659">
                  <c:v>1.7024604159661754E-3</c:v>
                </c:pt>
                <c:pt idx="660">
                  <c:v>9.1181090710511295E-3</c:v>
                </c:pt>
                <c:pt idx="661">
                  <c:v>4.786271818737085E-3</c:v>
                </c:pt>
                <c:pt idx="662">
                  <c:v>2.0627857175702295E-3</c:v>
                </c:pt>
                <c:pt idx="663">
                  <c:v>-7.7298742457087395E-4</c:v>
                </c:pt>
                <c:pt idx="664">
                  <c:v>2.5766631325527034E-4</c:v>
                </c:pt>
                <c:pt idx="665">
                  <c:v>3.8581571583444457E-3</c:v>
                </c:pt>
                <c:pt idx="666">
                  <c:v>1.1485559204868811E-2</c:v>
                </c:pt>
                <c:pt idx="667">
                  <c:v>2.5366486667373816E-4</c:v>
                </c:pt>
                <c:pt idx="668">
                  <c:v>3.8044265552434633E-4</c:v>
                </c:pt>
                <c:pt idx="669">
                  <c:v>-2.9206531077623382E-3</c:v>
                </c:pt>
                <c:pt idx="670">
                  <c:v>1.6517318998436311E-3</c:v>
                </c:pt>
                <c:pt idx="671">
                  <c:v>6.2147098317109045E-2</c:v>
                </c:pt>
                <c:pt idx="672">
                  <c:v>9.5418916899277998E-4</c:v>
                </c:pt>
                <c:pt idx="673">
                  <c:v>-8.4994907510489836E-3</c:v>
                </c:pt>
                <c:pt idx="674">
                  <c:v>0</c:v>
                </c:pt>
                <c:pt idx="675">
                  <c:v>1.0404956324170243E-2</c:v>
                </c:pt>
                <c:pt idx="676">
                  <c:v>1.0701498256046561E-3</c:v>
                </c:pt>
                <c:pt idx="677">
                  <c:v>3.9145324841498748E-3</c:v>
                </c:pt>
                <c:pt idx="678">
                  <c:v>-2.3707836379158256E-3</c:v>
                </c:pt>
                <c:pt idx="679">
                  <c:v>3.4354183579071431E-3</c:v>
                </c:pt>
                <c:pt idx="680">
                  <c:v>-5.5737432000680272E-3</c:v>
                </c:pt>
                <c:pt idx="681">
                  <c:v>-2.619414519376737E-3</c:v>
                </c:pt>
                <c:pt idx="682">
                  <c:v>7.1502932359483132E-4</c:v>
                </c:pt>
                <c:pt idx="683">
                  <c:v>1.4288113661040619E-3</c:v>
                </c:pt>
                <c:pt idx="684">
                  <c:v>-7.8026005352264559E-3</c:v>
                </c:pt>
                <c:pt idx="685">
                  <c:v>2.6475477411102375E-3</c:v>
                </c:pt>
                <c:pt idx="686">
                  <c:v>-9.6617524274448773E-3</c:v>
                </c:pt>
                <c:pt idx="687">
                  <c:v>1.5763027342826847E-3</c:v>
                </c:pt>
                <c:pt idx="688">
                  <c:v>1.4316030973795123E-2</c:v>
                </c:pt>
                <c:pt idx="689">
                  <c:v>-7.3126486612891698E-3</c:v>
                </c:pt>
                <c:pt idx="690">
                  <c:v>1.8029448943927327E-3</c:v>
                </c:pt>
                <c:pt idx="691">
                  <c:v>7.2999068165429904E-3</c:v>
                </c:pt>
                <c:pt idx="692">
                  <c:v>1.1970447612166072E-2</c:v>
                </c:pt>
                <c:pt idx="693">
                  <c:v>-1.8309917539179574E-2</c:v>
                </c:pt>
                <c:pt idx="694">
                  <c:v>9.9099088807149439E-3</c:v>
                </c:pt>
                <c:pt idx="695">
                  <c:v>1.0688163980256784E-3</c:v>
                </c:pt>
                <c:pt idx="696">
                  <c:v>-3.8470865724226602E-2</c:v>
                </c:pt>
                <c:pt idx="697">
                  <c:v>6.2701513148409275E-3</c:v>
                </c:pt>
                <c:pt idx="698">
                  <c:v>1.447977880769807E-2</c:v>
                </c:pt>
                <c:pt idx="699">
                  <c:v>-3.5094704756668317E-3</c:v>
                </c:pt>
                <c:pt idx="700">
                  <c:v>2.0042888855096745E-2</c:v>
                </c:pt>
                <c:pt idx="701">
                  <c:v>1.2633666485233203E-2</c:v>
                </c:pt>
                <c:pt idx="702">
                  <c:v>4.0980814043230047E-3</c:v>
                </c:pt>
                <c:pt idx="703">
                  <c:v>-2.6911366903609422E-3</c:v>
                </c:pt>
                <c:pt idx="704">
                  <c:v>-7.7629971061014998E-3</c:v>
                </c:pt>
                <c:pt idx="705">
                  <c:v>2.5185063490207805E-2</c:v>
                </c:pt>
                <c:pt idx="706">
                  <c:v>-5.4263566232770708E-3</c:v>
                </c:pt>
                <c:pt idx="707">
                  <c:v>-6.3874617701972867E-3</c:v>
                </c:pt>
                <c:pt idx="708">
                  <c:v>-3.6183548440730626E-3</c:v>
                </c:pt>
                <c:pt idx="709">
                  <c:v>-2.3386120239698803E-4</c:v>
                </c:pt>
                <c:pt idx="710">
                  <c:v>1.1675584951109309E-4</c:v>
                </c:pt>
                <c:pt idx="711">
                  <c:v>-1.287137482279528E-3</c:v>
                </c:pt>
                <c:pt idx="712">
                  <c:v>3.6233457179888806E-3</c:v>
                </c:pt>
                <c:pt idx="713">
                  <c:v>1.1673549597668408E-4</c:v>
                </c:pt>
                <c:pt idx="714">
                  <c:v>-2.1018503303184923E-3</c:v>
                </c:pt>
                <c:pt idx="715">
                  <c:v>4.7813865766213421E-3</c:v>
                </c:pt>
                <c:pt idx="716">
                  <c:v>4.6429551074176458E-3</c:v>
                </c:pt>
                <c:pt idx="717">
                  <c:v>8.763148703606987E-3</c:v>
                </c:pt>
                <c:pt idx="718">
                  <c:v>1.2321902357049679E-2</c:v>
                </c:pt>
                <c:pt idx="719">
                  <c:v>1.0198510834357915E-3</c:v>
                </c:pt>
                <c:pt idx="720">
                  <c:v>-6.7978905428174574E-4</c:v>
                </c:pt>
                <c:pt idx="721">
                  <c:v>-4.544478400571394E-3</c:v>
                </c:pt>
                <c:pt idx="722">
                  <c:v>2.9561480261048891E-3</c:v>
                </c:pt>
                <c:pt idx="723">
                  <c:v>1.7109833789066713E-2</c:v>
                </c:pt>
                <c:pt idx="724">
                  <c:v>-1.4049126779318397E-2</c:v>
                </c:pt>
                <c:pt idx="725">
                  <c:v>2.0057733441964317E-2</c:v>
                </c:pt>
                <c:pt idx="726">
                  <c:v>-4.4361278560660247E-4</c:v>
                </c:pt>
                <c:pt idx="727">
                  <c:v>-1.1105953120086778E-3</c:v>
                </c:pt>
                <c:pt idx="728">
                  <c:v>1.7730703239187778E-2</c:v>
                </c:pt>
                <c:pt idx="729">
                  <c:v>3.1607354670924628E-3</c:v>
                </c:pt>
                <c:pt idx="730">
                  <c:v>-8.7110732160376205E-4</c:v>
                </c:pt>
                <c:pt idx="731">
                  <c:v>5.5391991063339892E-3</c:v>
                </c:pt>
                <c:pt idx="732">
                  <c:v>1.8563768244156693E-2</c:v>
                </c:pt>
                <c:pt idx="733">
                  <c:v>-1.4896405549906951E-3</c:v>
                </c:pt>
                <c:pt idx="734">
                  <c:v>-1.2643499359854113E-2</c:v>
                </c:pt>
                <c:pt idx="735">
                  <c:v>2.4182292241189531E-2</c:v>
                </c:pt>
                <c:pt idx="736">
                  <c:v>-7.9251669938118271E-3</c:v>
                </c:pt>
                <c:pt idx="737">
                  <c:v>-2.6662616247432578E-2</c:v>
                </c:pt>
                <c:pt idx="738">
                  <c:v>-4.2057439760575584E-2</c:v>
                </c:pt>
                <c:pt idx="739">
                  <c:v>3.7142293683010259E-2</c:v>
                </c:pt>
                <c:pt idx="740">
                  <c:v>-1.9012345040210234E-2</c:v>
                </c:pt>
                <c:pt idx="741">
                  <c:v>-5.2697851614954216E-2</c:v>
                </c:pt>
                <c:pt idx="742">
                  <c:v>3.6611151187977961E-2</c:v>
                </c:pt>
                <c:pt idx="743">
                  <c:v>1.071565962354248E-2</c:v>
                </c:pt>
                <c:pt idx="744">
                  <c:v>7.8232898594360854E-3</c:v>
                </c:pt>
                <c:pt idx="745">
                  <c:v>1.5536833321667302E-2</c:v>
                </c:pt>
                <c:pt idx="746">
                  <c:v>2.0167424397732146E-2</c:v>
                </c:pt>
                <c:pt idx="747">
                  <c:v>-7.1482407500217844E-3</c:v>
                </c:pt>
                <c:pt idx="748">
                  <c:v>7.7955753977355094E-3</c:v>
                </c:pt>
                <c:pt idx="749">
                  <c:v>-1.3354671771375719E-2</c:v>
                </c:pt>
                <c:pt idx="750">
                  <c:v>2.6199673629385225E-3</c:v>
                </c:pt>
                <c:pt idx="751">
                  <c:v>2.508341119744139E-2</c:v>
                </c:pt>
                <c:pt idx="752">
                  <c:v>1.4355155530152283E-2</c:v>
                </c:pt>
                <c:pt idx="753">
                  <c:v>-1.2867756358039051E-2</c:v>
                </c:pt>
                <c:pt idx="754">
                  <c:v>-4.5753179261620314E-3</c:v>
                </c:pt>
                <c:pt idx="755">
                  <c:v>-9.8596747739874389E-3</c:v>
                </c:pt>
                <c:pt idx="756">
                  <c:v>2.1517285797879693E-3</c:v>
                </c:pt>
                <c:pt idx="757">
                  <c:v>6.3205891144218771E-3</c:v>
                </c:pt>
                <c:pt idx="758">
                  <c:v>-3.4232597479467923E-3</c:v>
                </c:pt>
                <c:pt idx="759">
                  <c:v>5.7699364384384113E-3</c:v>
                </c:pt>
                <c:pt idx="760">
                  <c:v>6.054463453243699E-3</c:v>
                </c:pt>
                <c:pt idx="761">
                  <c:v>2.2098702944286733E-2</c:v>
                </c:pt>
                <c:pt idx="762">
                  <c:v>2.3794304696755429E-3</c:v>
                </c:pt>
                <c:pt idx="763">
                  <c:v>-2.4689765256883035E-2</c:v>
                </c:pt>
                <c:pt idx="764">
                  <c:v>-5.9494492130868709E-3</c:v>
                </c:pt>
                <c:pt idx="765">
                  <c:v>3.5101281926800528E-3</c:v>
                </c:pt>
                <c:pt idx="766">
                  <c:v>4.4495858771017608E-3</c:v>
                </c:pt>
                <c:pt idx="767">
                  <c:v>-1.8241507685128906E-2</c:v>
                </c:pt>
                <c:pt idx="768">
                  <c:v>2.5803540570126173E-3</c:v>
                </c:pt>
                <c:pt idx="769">
                  <c:v>-7.0038291443563112E-3</c:v>
                </c:pt>
                <c:pt idx="770">
                  <c:v>-2.9518825494487901E-2</c:v>
                </c:pt>
                <c:pt idx="771">
                  <c:v>-2.9498528827014609E-2</c:v>
                </c:pt>
                <c:pt idx="772">
                  <c:v>7.2976552659048302E-2</c:v>
                </c:pt>
                <c:pt idx="773">
                  <c:v>-4.7048235732796186E-2</c:v>
                </c:pt>
                <c:pt idx="774">
                  <c:v>-8.946374921592606E-4</c:v>
                </c:pt>
                <c:pt idx="775">
                  <c:v>2.0813332393389908E-2</c:v>
                </c:pt>
                <c:pt idx="776">
                  <c:v>-3.059360035516831E-2</c:v>
                </c:pt>
                <c:pt idx="777">
                  <c:v>1.3353669634579311E-2</c:v>
                </c:pt>
                <c:pt idx="778">
                  <c:v>2.8786984006298137E-2</c:v>
                </c:pt>
                <c:pt idx="779">
                  <c:v>5.4133347484942537E-4</c:v>
                </c:pt>
                <c:pt idx="780">
                  <c:v>-2.3548495658870818E-2</c:v>
                </c:pt>
                <c:pt idx="781">
                  <c:v>5.9667621585084239E-3</c:v>
                </c:pt>
                <c:pt idx="782">
                  <c:v>2.2979510950076019E-2</c:v>
                </c:pt>
                <c:pt idx="783">
                  <c:v>-1.1042613083194963E-2</c:v>
                </c:pt>
                <c:pt idx="784">
                  <c:v>1.855102833785607E-2</c:v>
                </c:pt>
                <c:pt idx="785">
                  <c:v>-5.3573806732857476E-3</c:v>
                </c:pt>
                <c:pt idx="786">
                  <c:v>1.1642372801169483E-2</c:v>
                </c:pt>
                <c:pt idx="787">
                  <c:v>1.9975337717925451E-2</c:v>
                </c:pt>
                <c:pt idx="788">
                  <c:v>3.8440555330469515E-3</c:v>
                </c:pt>
                <c:pt idx="789">
                  <c:v>-3.4277404583833025E-3</c:v>
                </c:pt>
                <c:pt idx="790">
                  <c:v>-1.1616504717123973E-2</c:v>
                </c:pt>
                <c:pt idx="791">
                  <c:v>3.6773869742308457E-3</c:v>
                </c:pt>
                <c:pt idx="792">
                  <c:v>-2.3665310934602744E-2</c:v>
                </c:pt>
                <c:pt idx="793">
                  <c:v>-8.7364449515088538E-3</c:v>
                </c:pt>
                <c:pt idx="794">
                  <c:v>2.0904467571739624E-2</c:v>
                </c:pt>
                <c:pt idx="795">
                  <c:v>1.6414537118590044E-2</c:v>
                </c:pt>
                <c:pt idx="796">
                  <c:v>-2.4296247873295505E-2</c:v>
                </c:pt>
                <c:pt idx="797">
                  <c:v>1.5701612094846502E-2</c:v>
                </c:pt>
                <c:pt idx="798">
                  <c:v>-1.5808363925681638E-2</c:v>
                </c:pt>
                <c:pt idx="799">
                  <c:v>5.9706874758227446E-3</c:v>
                </c:pt>
                <c:pt idx="800">
                  <c:v>1.1520539834581081E-2</c:v>
                </c:pt>
                <c:pt idx="801">
                  <c:v>1.107747036153062E-2</c:v>
                </c:pt>
                <c:pt idx="802">
                  <c:v>-4.2701345909234275E-3</c:v>
                </c:pt>
                <c:pt idx="803">
                  <c:v>1.1725085305754364E-2</c:v>
                </c:pt>
                <c:pt idx="804">
                  <c:v>9.9565535962856857E-3</c:v>
                </c:pt>
                <c:pt idx="805">
                  <c:v>-2.1472296883441803E-3</c:v>
                </c:pt>
                <c:pt idx="806">
                  <c:v>3.372134672010238E-3</c:v>
                </c:pt>
                <c:pt idx="807">
                  <c:v>-7.2690093533620591E-3</c:v>
                </c:pt>
                <c:pt idx="808">
                  <c:v>2.5765652720664955E-3</c:v>
                </c:pt>
                <c:pt idx="809">
                  <c:v>-1.0034690588272267E-2</c:v>
                </c:pt>
                <c:pt idx="810">
                  <c:v>1.8696992916524624E-3</c:v>
                </c:pt>
                <c:pt idx="811">
                  <c:v>1.2786382648666965E-2</c:v>
                </c:pt>
                <c:pt idx="812">
                  <c:v>-1.0250767989635806E-3</c:v>
                </c:pt>
                <c:pt idx="813">
                  <c:v>1.1827140682334009E-2</c:v>
                </c:pt>
                <c:pt idx="814">
                  <c:v>-3.5537992198107155E-3</c:v>
                </c:pt>
                <c:pt idx="815">
                  <c:v>5.0845204138628324E-4</c:v>
                </c:pt>
                <c:pt idx="816">
                  <c:v>-3.5648146173108274E-3</c:v>
                </c:pt>
                <c:pt idx="817">
                  <c:v>9.5451827543329981E-3</c:v>
                </c:pt>
                <c:pt idx="818">
                  <c:v>-1.1122044996743827E-3</c:v>
                </c:pt>
                <c:pt idx="819">
                  <c:v>1.9536762710885901E-2</c:v>
                </c:pt>
                <c:pt idx="820">
                  <c:v>8.6931330488041209E-3</c:v>
                </c:pt>
                <c:pt idx="821">
                  <c:v>5.1015846463803366E-3</c:v>
                </c:pt>
                <c:pt idx="822">
                  <c:v>2.9313770043711755E-3</c:v>
                </c:pt>
                <c:pt idx="823">
                  <c:v>-1.5833537264518777E-2</c:v>
                </c:pt>
                <c:pt idx="824">
                  <c:v>7.406964180230304E-3</c:v>
                </c:pt>
                <c:pt idx="825">
                  <c:v>-5.7232154340835983E-3</c:v>
                </c:pt>
                <c:pt idx="826">
                  <c:v>2.5696960061267048E-3</c:v>
                </c:pt>
                <c:pt idx="827">
                  <c:v>-4.5508719976246241E-3</c:v>
                </c:pt>
                <c:pt idx="828">
                  <c:v>5.6360558722543964E-3</c:v>
                </c:pt>
                <c:pt idx="829">
                  <c:v>-1.2801019266744993E-2</c:v>
                </c:pt>
                <c:pt idx="830">
                  <c:v>7.2641393723963102E-3</c:v>
                </c:pt>
                <c:pt idx="831">
                  <c:v>0</c:v>
                </c:pt>
                <c:pt idx="832">
                  <c:v>9.9640498503845969E-3</c:v>
                </c:pt>
                <c:pt idx="833">
                  <c:v>-7.1917777782346554E-3</c:v>
                </c:pt>
                <c:pt idx="834">
                  <c:v>-7.2438743389029109E-3</c:v>
                </c:pt>
                <c:pt idx="835">
                  <c:v>-2.0322591313989519E-2</c:v>
                </c:pt>
                <c:pt idx="836">
                  <c:v>6.9883791983392446E-3</c:v>
                </c:pt>
                <c:pt idx="837">
                  <c:v>-1.566500433077286E-2</c:v>
                </c:pt>
                <c:pt idx="838">
                  <c:v>1.1112802133667008E-2</c:v>
                </c:pt>
                <c:pt idx="839">
                  <c:v>-2.0269112192025592E-4</c:v>
                </c:pt>
                <c:pt idx="840">
                  <c:v>1.4097469140684207E-2</c:v>
                </c:pt>
                <c:pt idx="841">
                  <c:v>-9.6453244224198025E-3</c:v>
                </c:pt>
                <c:pt idx="842">
                  <c:v>7.1424518071418674E-3</c:v>
                </c:pt>
                <c:pt idx="843">
                  <c:v>1.3936166854353785E-2</c:v>
                </c:pt>
                <c:pt idx="844">
                  <c:v>6.7975992450344126E-3</c:v>
                </c:pt>
                <c:pt idx="845">
                  <c:v>2.6474095435284803E-3</c:v>
                </c:pt>
                <c:pt idx="846">
                  <c:v>-1.3717929845316567E-3</c:v>
                </c:pt>
                <c:pt idx="847">
                  <c:v>2.1439524420459689E-2</c:v>
                </c:pt>
                <c:pt idx="848">
                  <c:v>1.1830984444107696E-2</c:v>
                </c:pt>
                <c:pt idx="849">
                  <c:v>-4.9444085017315391E-3</c:v>
                </c:pt>
                <c:pt idx="850">
                  <c:v>9.8644997437968406E-3</c:v>
                </c:pt>
                <c:pt idx="851">
                  <c:v>-7.8648335663995296E-3</c:v>
                </c:pt>
                <c:pt idx="852">
                  <c:v>-6.8727616389907984E-3</c:v>
                </c:pt>
                <c:pt idx="853">
                  <c:v>1.7753216620420443E-2</c:v>
                </c:pt>
                <c:pt idx="854">
                  <c:v>1.5870535093981054E-2</c:v>
                </c:pt>
                <c:pt idx="855">
                  <c:v>-2.8753672315931559E-3</c:v>
                </c:pt>
                <c:pt idx="856">
                  <c:v>2.901932330409801E-2</c:v>
                </c:pt>
                <c:pt idx="857">
                  <c:v>-1.0977566078042929E-2</c:v>
                </c:pt>
                <c:pt idx="858">
                  <c:v>-1.7856026697250182E-2</c:v>
                </c:pt>
                <c:pt idx="859">
                  <c:v>-2.16858807432809E-2</c:v>
                </c:pt>
                <c:pt idx="860">
                  <c:v>6.7155767921931809E-3</c:v>
                </c:pt>
                <c:pt idx="861">
                  <c:v>1.8836008163829845E-3</c:v>
                </c:pt>
                <c:pt idx="862">
                  <c:v>1.2064648401342554E-2</c:v>
                </c:pt>
                <c:pt idx="863">
                  <c:v>4.3597747233712235E-3</c:v>
                </c:pt>
                <c:pt idx="864">
                  <c:v>8.3262105780279908E-4</c:v>
                </c:pt>
                <c:pt idx="865">
                  <c:v>6.912189052684258E-3</c:v>
                </c:pt>
                <c:pt idx="866">
                  <c:v>5.5868279591489104E-3</c:v>
                </c:pt>
                <c:pt idx="867">
                  <c:v>1.6425984593147688E-3</c:v>
                </c:pt>
                <c:pt idx="868">
                  <c:v>-6.1278837538750021E-3</c:v>
                </c:pt>
                <c:pt idx="869">
                  <c:v>-7.2741677341858985E-3</c:v>
                </c:pt>
                <c:pt idx="870">
                  <c:v>1.2398617110314208E-2</c:v>
                </c:pt>
                <c:pt idx="871">
                  <c:v>-1.365332530561985E-2</c:v>
                </c:pt>
                <c:pt idx="872">
                  <c:v>-1.8585033466391143E-4</c:v>
                </c:pt>
                <c:pt idx="873">
                  <c:v>-5.5747335165187684E-4</c:v>
                </c:pt>
                <c:pt idx="874">
                  <c:v>-6.6215403809092395E-3</c:v>
                </c:pt>
                <c:pt idx="875">
                  <c:v>-8.3628127522681495E-3</c:v>
                </c:pt>
                <c:pt idx="876">
                  <c:v>1.0138900253438771E-2</c:v>
                </c:pt>
                <c:pt idx="877">
                  <c:v>4.6593883239595766E-3</c:v>
                </c:pt>
                <c:pt idx="878">
                  <c:v>7.7793146649352092E-3</c:v>
                </c:pt>
                <c:pt idx="879">
                  <c:v>1.1009244288346369E-2</c:v>
                </c:pt>
                <c:pt idx="880">
                  <c:v>6.003970680926278E-3</c:v>
                </c:pt>
                <c:pt idx="881">
                  <c:v>1.5836135405639055E-2</c:v>
                </c:pt>
                <c:pt idx="882">
                  <c:v>-6.2509057975203091E-4</c:v>
                </c:pt>
                <c:pt idx="883">
                  <c:v>3.3886720504518854E-3</c:v>
                </c:pt>
                <c:pt idx="884">
                  <c:v>-5.5347483076697316E-3</c:v>
                </c:pt>
                <c:pt idx="885">
                  <c:v>-2.9248275422704469E-2</c:v>
                </c:pt>
                <c:pt idx="886">
                  <c:v>2.3017045486107544E-3</c:v>
                </c:pt>
                <c:pt idx="887">
                  <c:v>-4.8858671665959266E-3</c:v>
                </c:pt>
                <c:pt idx="888">
                  <c:v>1.0754284206636652E-2</c:v>
                </c:pt>
                <c:pt idx="889">
                  <c:v>1.6861849144596479E-2</c:v>
                </c:pt>
                <c:pt idx="890">
                  <c:v>4.2163046894565549E-3</c:v>
                </c:pt>
                <c:pt idx="891">
                  <c:v>1.0684773120193945E-2</c:v>
                </c:pt>
                <c:pt idx="892">
                  <c:v>4.065771928939717E-3</c:v>
                </c:pt>
                <c:pt idx="893">
                  <c:v>-1.0908697380093419E-2</c:v>
                </c:pt>
                <c:pt idx="894">
                  <c:v>9.4964001849114198E-3</c:v>
                </c:pt>
                <c:pt idx="895">
                  <c:v>-1.3427868364395301E-2</c:v>
                </c:pt>
                <c:pt idx="896">
                  <c:v>1.6602804272285554E-2</c:v>
                </c:pt>
                <c:pt idx="897">
                  <c:v>6.0572436363902438E-3</c:v>
                </c:pt>
                <c:pt idx="898">
                  <c:v>3.581738794990135E-3</c:v>
                </c:pt>
                <c:pt idx="899">
                  <c:v>-1.9204994521875415E-3</c:v>
                </c:pt>
                <c:pt idx="900">
                  <c:v>-4.1148158207202218E-3</c:v>
                </c:pt>
                <c:pt idx="901">
                  <c:v>3.7654063935742112E-3</c:v>
                </c:pt>
                <c:pt idx="902">
                  <c:v>-3.4972813787071034E-4</c:v>
                </c:pt>
                <c:pt idx="903">
                  <c:v>1.0783729314930279E-2</c:v>
                </c:pt>
                <c:pt idx="904">
                  <c:v>-3.9868381276272121E-3</c:v>
                </c:pt>
                <c:pt idx="905">
                  <c:v>1.7359724713847301E-4</c:v>
                </c:pt>
                <c:pt idx="906">
                  <c:v>-2.0881619860250271E-2</c:v>
                </c:pt>
                <c:pt idx="907">
                  <c:v>-5.8687540163977151E-3</c:v>
                </c:pt>
                <c:pt idx="908">
                  <c:v>-1.148097776133182E-2</c:v>
                </c:pt>
                <c:pt idx="909">
                  <c:v>1.2639717397147721E-2</c:v>
                </c:pt>
                <c:pt idx="910">
                  <c:v>-5.5870189018914301E-2</c:v>
                </c:pt>
                <c:pt idx="911">
                  <c:v>-2.3577760676608459E-3</c:v>
                </c:pt>
                <c:pt idx="912">
                  <c:v>3.397393398893301E-2</c:v>
                </c:pt>
                <c:pt idx="913">
                  <c:v>-1.8143050405919143E-2</c:v>
                </c:pt>
                <c:pt idx="914">
                  <c:v>3.1109669148699119E-2</c:v>
                </c:pt>
                <c:pt idx="915">
                  <c:v>-2.6160758540968556E-3</c:v>
                </c:pt>
                <c:pt idx="916">
                  <c:v>-2.0163973861236126E-2</c:v>
                </c:pt>
                <c:pt idx="917">
                  <c:v>1.4736447061101646E-3</c:v>
                </c:pt>
                <c:pt idx="918">
                  <c:v>8.8871283274494402E-3</c:v>
                </c:pt>
                <c:pt idx="919">
                  <c:v>-1.4054248327436097E-2</c:v>
                </c:pt>
                <c:pt idx="920">
                  <c:v>-5.4951545983454766E-2</c:v>
                </c:pt>
                <c:pt idx="921">
                  <c:v>5.6800092648937026E-2</c:v>
                </c:pt>
                <c:pt idx="922">
                  <c:v>-1.2450258805037169E-2</c:v>
                </c:pt>
                <c:pt idx="923">
                  <c:v>-2.9507522806942476E-2</c:v>
                </c:pt>
                <c:pt idx="924">
                  <c:v>-1.1561204435849954E-3</c:v>
                </c:pt>
                <c:pt idx="925">
                  <c:v>2.9260157329401192E-2</c:v>
                </c:pt>
                <c:pt idx="926">
                  <c:v>-8.3674546457261356E-3</c:v>
                </c:pt>
                <c:pt idx="927">
                  <c:v>2.2634010515646475E-3</c:v>
                </c:pt>
                <c:pt idx="928">
                  <c:v>1.2636474574022092E-2</c:v>
                </c:pt>
                <c:pt idx="929">
                  <c:v>1.9513467622321314E-3</c:v>
                </c:pt>
                <c:pt idx="930">
                  <c:v>3.860634403146497E-2</c:v>
                </c:pt>
                <c:pt idx="931">
                  <c:v>-1.8773694983364915E-3</c:v>
                </c:pt>
                <c:pt idx="932">
                  <c:v>-1.9700637948110757E-2</c:v>
                </c:pt>
                <c:pt idx="933">
                  <c:v>-2.4950326299992418E-2</c:v>
                </c:pt>
                <c:pt idx="934">
                  <c:v>6.5457425779129504E-4</c:v>
                </c:pt>
                <c:pt idx="935">
                  <c:v>-1.4282540006321565E-2</c:v>
                </c:pt>
                <c:pt idx="936">
                  <c:v>2.1767651933400065E-2</c:v>
                </c:pt>
                <c:pt idx="937">
                  <c:v>9.370616501356014E-3</c:v>
                </c:pt>
                <c:pt idx="938">
                  <c:v>-3.4478079037199662E-2</c:v>
                </c:pt>
                <c:pt idx="939">
                  <c:v>-2.8209097877010866E-2</c:v>
                </c:pt>
                <c:pt idx="940">
                  <c:v>1.3670721241990334E-2</c:v>
                </c:pt>
                <c:pt idx="941">
                  <c:v>-3.8798279202098909E-4</c:v>
                </c:pt>
                <c:pt idx="942">
                  <c:v>3.2454938939451269E-2</c:v>
                </c:pt>
                <c:pt idx="943">
                  <c:v>6.2731419530162496E-3</c:v>
                </c:pt>
                <c:pt idx="944">
                  <c:v>3.6474281381243256E-2</c:v>
                </c:pt>
                <c:pt idx="945">
                  <c:v>-8.404568285909143E-3</c:v>
                </c:pt>
                <c:pt idx="946">
                  <c:v>6.3326199177558551E-3</c:v>
                </c:pt>
                <c:pt idx="947">
                  <c:v>1.0763371579182401E-2</c:v>
                </c:pt>
                <c:pt idx="948">
                  <c:v>-3.2367704579684811E-2</c:v>
                </c:pt>
                <c:pt idx="949">
                  <c:v>6.1550687231390101E-3</c:v>
                </c:pt>
                <c:pt idx="950">
                  <c:v>-4.0844935031264365E-2</c:v>
                </c:pt>
                <c:pt idx="951">
                  <c:v>2.6082990067379987E-2</c:v>
                </c:pt>
                <c:pt idx="952">
                  <c:v>9.251662349908164E-3</c:v>
                </c:pt>
                <c:pt idx="953">
                  <c:v>4.5023656102938557E-3</c:v>
                </c:pt>
                <c:pt idx="954">
                  <c:v>3.3861384439619431E-3</c:v>
                </c:pt>
                <c:pt idx="955">
                  <c:v>-3.1745644400947216E-2</c:v>
                </c:pt>
                <c:pt idx="956">
                  <c:v>-3.0061647972816852E-2</c:v>
                </c:pt>
                <c:pt idx="957">
                  <c:v>1.0441922509809165E-2</c:v>
                </c:pt>
                <c:pt idx="958">
                  <c:v>-2.6966523244555704E-3</c:v>
                </c:pt>
                <c:pt idx="959">
                  <c:v>-2.124838785032904E-2</c:v>
                </c:pt>
                <c:pt idx="960">
                  <c:v>-3.2845729752350873E-2</c:v>
                </c:pt>
                <c:pt idx="961">
                  <c:v>-4.2634820840488967E-2</c:v>
                </c:pt>
                <c:pt idx="962">
                  <c:v>6.6077787949782293E-2</c:v>
                </c:pt>
                <c:pt idx="963">
                  <c:v>6.1466653526778391E-3</c:v>
                </c:pt>
                <c:pt idx="964">
                  <c:v>-7.83864236129613E-3</c:v>
                </c:pt>
                <c:pt idx="965">
                  <c:v>1.1685592625736952E-2</c:v>
                </c:pt>
                <c:pt idx="966">
                  <c:v>-4.4402322167570183E-3</c:v>
                </c:pt>
                <c:pt idx="967">
                  <c:v>-3.7481750980094063E-2</c:v>
                </c:pt>
                <c:pt idx="968">
                  <c:v>4.5460087993401177E-2</c:v>
                </c:pt>
                <c:pt idx="969">
                  <c:v>1.274543873242099E-3</c:v>
                </c:pt>
                <c:pt idx="970">
                  <c:v>7.2245033717509002E-3</c:v>
                </c:pt>
                <c:pt idx="971">
                  <c:v>1.4198244672606806E-2</c:v>
                </c:pt>
                <c:pt idx="972">
                  <c:v>-6.4462099300339618E-3</c:v>
                </c:pt>
                <c:pt idx="973">
                  <c:v>-7.7520347425728865E-3</c:v>
                </c:pt>
                <c:pt idx="974">
                  <c:v>-7.3224054852797649E-3</c:v>
                </c:pt>
                <c:pt idx="975">
                  <c:v>2.8592648493639232E-2</c:v>
                </c:pt>
                <c:pt idx="976">
                  <c:v>3.5172936039132427E-3</c:v>
                </c:pt>
                <c:pt idx="977">
                  <c:v>6.9976893074021815E-3</c:v>
                </c:pt>
                <c:pt idx="978">
                  <c:v>1.4871864922795644E-2</c:v>
                </c:pt>
                <c:pt idx="979">
                  <c:v>-1.9026773676111629E-2</c:v>
                </c:pt>
                <c:pt idx="980">
                  <c:v>9.6991715956513992E-3</c:v>
                </c:pt>
                <c:pt idx="981">
                  <c:v>-4.7907466764429401E-3</c:v>
                </c:pt>
                <c:pt idx="982">
                  <c:v>9.0922427047733356E-3</c:v>
                </c:pt>
                <c:pt idx="983">
                  <c:v>-1.9694342861716216E-2</c:v>
                </c:pt>
                <c:pt idx="984">
                  <c:v>-2.0575654440773642E-2</c:v>
                </c:pt>
                <c:pt idx="985">
                  <c:v>3.2871243518281357E-2</c:v>
                </c:pt>
                <c:pt idx="986">
                  <c:v>-1.8500579466766764E-2</c:v>
                </c:pt>
                <c:pt idx="987">
                  <c:v>-1.5926204160644563E-2</c:v>
                </c:pt>
                <c:pt idx="988">
                  <c:v>2.8392415073126512E-2</c:v>
                </c:pt>
                <c:pt idx="989">
                  <c:v>1.3899597551624867E-2</c:v>
                </c:pt>
                <c:pt idx="990">
                  <c:v>-1.1160699381283926E-2</c:v>
                </c:pt>
                <c:pt idx="991">
                  <c:v>-7.1936785138986417E-3</c:v>
                </c:pt>
                <c:pt idx="992">
                  <c:v>3.7926192729524424E-3</c:v>
                </c:pt>
                <c:pt idx="993">
                  <c:v>-3.9826065882237801E-3</c:v>
                </c:pt>
                <c:pt idx="994">
                  <c:v>1.5461862670405948E-2</c:v>
                </c:pt>
                <c:pt idx="995">
                  <c:v>-7.4879308140887257E-4</c:v>
                </c:pt>
                <c:pt idx="996">
                  <c:v>8.4226237685855378E-4</c:v>
                </c:pt>
                <c:pt idx="997">
                  <c:v>1.2272397527564004E-2</c:v>
                </c:pt>
                <c:pt idx="998">
                  <c:v>-4.6208853994775045E-4</c:v>
                </c:pt>
                <c:pt idx="999">
                  <c:v>-5.2127214461200038E-3</c:v>
                </c:pt>
                <c:pt idx="1000">
                  <c:v>2.0872670526766661E-2</c:v>
                </c:pt>
                <c:pt idx="1001">
                  <c:v>1.4157501092124533E-2</c:v>
                </c:pt>
                <c:pt idx="1002">
                  <c:v>5.5715171050478617E-3</c:v>
                </c:pt>
                <c:pt idx="1003">
                  <c:v>6.8765850162755653E-3</c:v>
                </c:pt>
                <c:pt idx="1004">
                  <c:v>-1.6924606031482603E-3</c:v>
                </c:pt>
                <c:pt idx="1005">
                  <c:v>-1.248849826953407E-3</c:v>
                </c:pt>
                <c:pt idx="1006">
                  <c:v>4.4532134627436543E-3</c:v>
                </c:pt>
                <c:pt idx="1007">
                  <c:v>-2.40229379782103E-3</c:v>
                </c:pt>
                <c:pt idx="1008">
                  <c:v>-5.0009794976038704E-3</c:v>
                </c:pt>
                <c:pt idx="1009">
                  <c:v>4.4759900433401554E-4</c:v>
                </c:pt>
                <c:pt idx="1010">
                  <c:v>-1.22447353673208E-2</c:v>
                </c:pt>
                <c:pt idx="1011">
                  <c:v>1.0865099212928439E-3</c:v>
                </c:pt>
                <c:pt idx="1012">
                  <c:v>2.0776293165032076E-2</c:v>
                </c:pt>
                <c:pt idx="1013">
                  <c:v>6.9772383400327183E-3</c:v>
                </c:pt>
                <c:pt idx="1014">
                  <c:v>7.7152572899886187E-3</c:v>
                </c:pt>
                <c:pt idx="1015">
                  <c:v>7.8569275147172355E-4</c:v>
                </c:pt>
                <c:pt idx="1016">
                  <c:v>1.145356095857537E-2</c:v>
                </c:pt>
                <c:pt idx="1017">
                  <c:v>1.4219777904738324E-2</c:v>
                </c:pt>
                <c:pt idx="1018">
                  <c:v>6.8029725095035778E-4</c:v>
                </c:pt>
                <c:pt idx="1019">
                  <c:v>-1.1055963880726226E-3</c:v>
                </c:pt>
                <c:pt idx="1020">
                  <c:v>2.2714909232914884E-2</c:v>
                </c:pt>
                <c:pt idx="1021">
                  <c:v>-2.6722283374531801E-2</c:v>
                </c:pt>
                <c:pt idx="1022">
                  <c:v>5.1980558872766263E-3</c:v>
                </c:pt>
                <c:pt idx="1023">
                  <c:v>2.1223697924520526E-3</c:v>
                </c:pt>
                <c:pt idx="1024">
                  <c:v>-9.7155027194529512E-3</c:v>
                </c:pt>
                <c:pt idx="1025">
                  <c:v>1.3693660645596433E-3</c:v>
                </c:pt>
                <c:pt idx="1026">
                  <c:v>8.6006106923002344E-3</c:v>
                </c:pt>
                <c:pt idx="1027">
                  <c:v>9.1155037198726897E-3</c:v>
                </c:pt>
                <c:pt idx="1028">
                  <c:v>1.4272938289068599E-3</c:v>
                </c:pt>
                <c:pt idx="1029">
                  <c:v>6.5229131278463992E-3</c:v>
                </c:pt>
                <c:pt idx="1030">
                  <c:v>-5.097585652567912E-3</c:v>
                </c:pt>
                <c:pt idx="1031">
                  <c:v>4.4304485224133374E-3</c:v>
                </c:pt>
                <c:pt idx="1032">
                  <c:v>3.3356083519422633E-4</c:v>
                </c:pt>
                <c:pt idx="1033">
                  <c:v>-5.4346165643333619E-3</c:v>
                </c:pt>
                <c:pt idx="1034">
                  <c:v>7.6002860074552434E-3</c:v>
                </c:pt>
                <c:pt idx="1035">
                  <c:v>1.1641115785022439E-3</c:v>
                </c:pt>
                <c:pt idx="1036">
                  <c:v>5.139233892480599E-3</c:v>
                </c:pt>
                <c:pt idx="1037">
                  <c:v>8.2651150532387166E-4</c:v>
                </c:pt>
                <c:pt idx="1038">
                  <c:v>-2.3158417645469166E-3</c:v>
                </c:pt>
                <c:pt idx="1039">
                  <c:v>8.2461414361071957E-3</c:v>
                </c:pt>
                <c:pt idx="1040">
                  <c:v>1.3053963226159674E-2</c:v>
                </c:pt>
                <c:pt idx="1041">
                  <c:v>3.1561997667035576E-3</c:v>
                </c:pt>
                <c:pt idx="1042">
                  <c:v>1.3483432792680057E-2</c:v>
                </c:pt>
                <c:pt idx="1043">
                  <c:v>-3.4338212486964871E-3</c:v>
                </c:pt>
                <c:pt idx="1044">
                  <c:v>3.2580700761257748E-2</c:v>
                </c:pt>
                <c:pt idx="1045">
                  <c:v>5.7133784587545793E-3</c:v>
                </c:pt>
                <c:pt idx="1046">
                  <c:v>-9.2421499564292165E-4</c:v>
                </c:pt>
                <c:pt idx="1047">
                  <c:v>6.3756106541942789E-3</c:v>
                </c:pt>
                <c:pt idx="1048">
                  <c:v>-2.1046981241103924E-2</c:v>
                </c:pt>
                <c:pt idx="1049">
                  <c:v>-1.3145135115523997E-2</c:v>
                </c:pt>
                <c:pt idx="1050">
                  <c:v>2.1089744702829198E-2</c:v>
                </c:pt>
                <c:pt idx="1051">
                  <c:v>-5.8355550842674594E-3</c:v>
                </c:pt>
                <c:pt idx="1052">
                  <c:v>-2.0736347634366017E-2</c:v>
                </c:pt>
                <c:pt idx="1053">
                  <c:v>-7.9506899687271685E-5</c:v>
                </c:pt>
                <c:pt idx="1054">
                  <c:v>-7.9706986728520667E-5</c:v>
                </c:pt>
                <c:pt idx="1055">
                  <c:v>1.2904388462985064E-2</c:v>
                </c:pt>
                <c:pt idx="1056">
                  <c:v>-3.0184364072742182E-2</c:v>
                </c:pt>
                <c:pt idx="1057">
                  <c:v>1.1125654577390022E-2</c:v>
                </c:pt>
                <c:pt idx="1058">
                  <c:v>1.3983957606925085E-2</c:v>
                </c:pt>
                <c:pt idx="1059">
                  <c:v>2.2828967402076236E-2</c:v>
                </c:pt>
                <c:pt idx="1060">
                  <c:v>-6.6925211230724167E-3</c:v>
                </c:pt>
                <c:pt idx="1061">
                  <c:v>-1.4550583380574343E-2</c:v>
                </c:pt>
                <c:pt idx="1062">
                  <c:v>5.3729668684414532E-3</c:v>
                </c:pt>
                <c:pt idx="1063">
                  <c:v>6.0493595238305456E-3</c:v>
                </c:pt>
                <c:pt idx="1064">
                  <c:v>-1.1739309039476349E-2</c:v>
                </c:pt>
                <c:pt idx="1065">
                  <c:v>4.7531235184630771E-4</c:v>
                </c:pt>
                <c:pt idx="1066">
                  <c:v>-6.3378134995398358E-4</c:v>
                </c:pt>
                <c:pt idx="1067">
                  <c:v>-9.7173887401762887E-3</c:v>
                </c:pt>
                <c:pt idx="1068">
                  <c:v>6.3030689039343148E-3</c:v>
                </c:pt>
                <c:pt idx="1069">
                  <c:v>-1.6439128151177158E-2</c:v>
                </c:pt>
                <c:pt idx="1070">
                  <c:v>-3.1540127817358807E-2</c:v>
                </c:pt>
                <c:pt idx="1071">
                  <c:v>2.7326895846647003E-2</c:v>
                </c:pt>
                <c:pt idx="1072">
                  <c:v>2.144745895482322E-2</c:v>
                </c:pt>
                <c:pt idx="1073">
                  <c:v>1.5691218812663298E-2</c:v>
                </c:pt>
                <c:pt idx="1074">
                  <c:v>2.7622976152028994E-2</c:v>
                </c:pt>
                <c:pt idx="1075">
                  <c:v>9.0911359212059711E-3</c:v>
                </c:pt>
                <c:pt idx="1076">
                  <c:v>-3.7778833399348564E-3</c:v>
                </c:pt>
                <c:pt idx="1077">
                  <c:v>-4.6284064557764451E-3</c:v>
                </c:pt>
                <c:pt idx="1078">
                  <c:v>6.2923879749420689E-3</c:v>
                </c:pt>
                <c:pt idx="1079">
                  <c:v>9.8203466571918432E-4</c:v>
                </c:pt>
                <c:pt idx="1080">
                  <c:v>3.0154701190211919E-3</c:v>
                </c:pt>
                <c:pt idx="1081">
                  <c:v>1.7238539811566735E-2</c:v>
                </c:pt>
                <c:pt idx="1082">
                  <c:v>3.9136802145187527E-3</c:v>
                </c:pt>
                <c:pt idx="1083">
                  <c:v>9.2428216426312989E-3</c:v>
                </c:pt>
                <c:pt idx="1084">
                  <c:v>1.4621297781900058E-4</c:v>
                </c:pt>
                <c:pt idx="1085">
                  <c:v>5.8961810522148812E-3</c:v>
                </c:pt>
                <c:pt idx="1086">
                  <c:v>-3.2081274107307677E-2</c:v>
                </c:pt>
                <c:pt idx="1087">
                  <c:v>3.7403046376165709E-3</c:v>
                </c:pt>
                <c:pt idx="1088">
                  <c:v>1.6412639487353505E-3</c:v>
                </c:pt>
                <c:pt idx="1089">
                  <c:v>-1.4171321287742933E-3</c:v>
                </c:pt>
                <c:pt idx="1090">
                  <c:v>1.2757832248548064E-2</c:v>
                </c:pt>
                <c:pt idx="1091">
                  <c:v>6.6112708221197705E-3</c:v>
                </c:pt>
                <c:pt idx="1092">
                  <c:v>6.4225234253051941E-3</c:v>
                </c:pt>
                <c:pt idx="1093">
                  <c:v>-2.9142002751199204E-3</c:v>
                </c:pt>
                <c:pt idx="1094">
                  <c:v>-7.2987712532836333E-4</c:v>
                </c:pt>
                <c:pt idx="1095">
                  <c:v>-3.6572869195572772E-3</c:v>
                </c:pt>
                <c:pt idx="1096">
                  <c:v>1.0134680877645375E-2</c:v>
                </c:pt>
                <c:pt idx="1097">
                  <c:v>3.9817045286952507E-3</c:v>
                </c:pt>
                <c:pt idx="1098">
                  <c:v>3.606223275806248E-3</c:v>
                </c:pt>
                <c:pt idx="1099">
                  <c:v>0</c:v>
                </c:pt>
                <c:pt idx="1100">
                  <c:v>-1.3189577302510797E-2</c:v>
                </c:pt>
                <c:pt idx="1101">
                  <c:v>-5.9263795212024751E-3</c:v>
                </c:pt>
                <c:pt idx="1102">
                  <c:v>1.1001554580221467E-3</c:v>
                </c:pt>
                <c:pt idx="1103">
                  <c:v>1.4648828816962373E-3</c:v>
                </c:pt>
                <c:pt idx="1104">
                  <c:v>1.3161370097555955E-2</c:v>
                </c:pt>
                <c:pt idx="1105">
                  <c:v>6.1934312578354874E-3</c:v>
                </c:pt>
                <c:pt idx="1106">
                  <c:v>1.0213991711230035E-2</c:v>
                </c:pt>
                <c:pt idx="1107">
                  <c:v>-3.7734076253810246E-3</c:v>
                </c:pt>
                <c:pt idx="1108">
                  <c:v>8.169619776171597E-3</c:v>
                </c:pt>
                <c:pt idx="1109">
                  <c:v>-2.195690242181427E-3</c:v>
                </c:pt>
                <c:pt idx="1110">
                  <c:v>-4.8332884964730214E-3</c:v>
                </c:pt>
                <c:pt idx="1111">
                  <c:v>-2.9501064818475982E-2</c:v>
                </c:pt>
                <c:pt idx="1112">
                  <c:v>1.3050030279222963E-2</c:v>
                </c:pt>
                <c:pt idx="1113">
                  <c:v>-8.4376658235469134E-3</c:v>
                </c:pt>
                <c:pt idx="1114">
                  <c:v>-3.4859025979148826E-2</c:v>
                </c:pt>
                <c:pt idx="1115">
                  <c:v>1.8584298061649206E-2</c:v>
                </c:pt>
                <c:pt idx="1116">
                  <c:v>4.3706812748813889E-3</c:v>
                </c:pt>
                <c:pt idx="1117">
                  <c:v>2.6335663650574683E-2</c:v>
                </c:pt>
                <c:pt idx="1118">
                  <c:v>-8.5320916785360801E-3</c:v>
                </c:pt>
                <c:pt idx="1119">
                  <c:v>-1.4040706441450161E-2</c:v>
                </c:pt>
                <c:pt idx="1120">
                  <c:v>2.0482709723161616E-2</c:v>
                </c:pt>
                <c:pt idx="1121">
                  <c:v>-3.0577228476386817E-2</c:v>
                </c:pt>
                <c:pt idx="1122">
                  <c:v>-2.2416792609092394E-3</c:v>
                </c:pt>
                <c:pt idx="1123">
                  <c:v>1.8161564897177736E-2</c:v>
                </c:pt>
                <c:pt idx="1124">
                  <c:v>1.6610014631043231E-2</c:v>
                </c:pt>
                <c:pt idx="1125">
                  <c:v>-8.3434429850853149E-3</c:v>
                </c:pt>
                <c:pt idx="1126">
                  <c:v>1.1084967692666628E-2</c:v>
                </c:pt>
                <c:pt idx="1127">
                  <c:v>-7.3037675876326301E-3</c:v>
                </c:pt>
                <c:pt idx="1128">
                  <c:v>-3.2381005497225591E-2</c:v>
                </c:pt>
                <c:pt idx="1129">
                  <c:v>1.5325416722428349E-2</c:v>
                </c:pt>
                <c:pt idx="1130">
                  <c:v>2.1386835543478629E-3</c:v>
                </c:pt>
                <c:pt idx="1131">
                  <c:v>-1.3270118564456959E-3</c:v>
                </c:pt>
                <c:pt idx="1132">
                  <c:v>1.870855776923383E-2</c:v>
                </c:pt>
                <c:pt idx="1133">
                  <c:v>-1.8840458496979643E-3</c:v>
                </c:pt>
                <c:pt idx="1134">
                  <c:v>-1.3289803216755127E-2</c:v>
                </c:pt>
                <c:pt idx="1135">
                  <c:v>1.1620077497151595E-2</c:v>
                </c:pt>
                <c:pt idx="1136">
                  <c:v>1.7430490857472798E-2</c:v>
                </c:pt>
                <c:pt idx="1137">
                  <c:v>-6.8063998560519388E-3</c:v>
                </c:pt>
                <c:pt idx="1138">
                  <c:v>-1.1423666906798429E-2</c:v>
                </c:pt>
                <c:pt idx="1139">
                  <c:v>-1.0526452742983378E-2</c:v>
                </c:pt>
                <c:pt idx="1140">
                  <c:v>2.9374066174103313E-4</c:v>
                </c:pt>
                <c:pt idx="1141">
                  <c:v>1.023271208124244E-2</c:v>
                </c:pt>
                <c:pt idx="1142">
                  <c:v>-1.4554816068024299E-3</c:v>
                </c:pt>
                <c:pt idx="1143">
                  <c:v>-7.2354985997673685E-3</c:v>
                </c:pt>
                <c:pt idx="1144">
                  <c:v>7.745181236528227E-3</c:v>
                </c:pt>
                <c:pt idx="1145">
                  <c:v>8.1910689405916021E-3</c:v>
                </c:pt>
                <c:pt idx="1146">
                  <c:v>1.824156615929997E-2</c:v>
                </c:pt>
                <c:pt idx="1147">
                  <c:v>-1.1621881358398253E-2</c:v>
                </c:pt>
                <c:pt idx="1148">
                  <c:v>-2.1538079824681118E-3</c:v>
                </c:pt>
                <c:pt idx="1149">
                  <c:v>-1.2729697718742765E-2</c:v>
                </c:pt>
                <c:pt idx="1150">
                  <c:v>1.4309599745173587E-2</c:v>
                </c:pt>
                <c:pt idx="1151">
                  <c:v>1.2907354067850506E-3</c:v>
                </c:pt>
                <c:pt idx="1152">
                  <c:v>-1.3056064767729428E-2</c:v>
                </c:pt>
                <c:pt idx="1153">
                  <c:v>9.3945320635464534E-3</c:v>
                </c:pt>
                <c:pt idx="1154">
                  <c:v>-1.4197850863119466E-2</c:v>
                </c:pt>
                <c:pt idx="1155">
                  <c:v>-1.7813067227336814E-2</c:v>
                </c:pt>
                <c:pt idx="1156">
                  <c:v>1.2032837651085471E-2</c:v>
                </c:pt>
                <c:pt idx="1157">
                  <c:v>1.3411176396033458E-2</c:v>
                </c:pt>
                <c:pt idx="1158">
                  <c:v>-7.2663221379085357E-3</c:v>
                </c:pt>
                <c:pt idx="1159">
                  <c:v>-1.0630992310719137E-2</c:v>
                </c:pt>
                <c:pt idx="1160">
                  <c:v>1.8765824988080101E-2</c:v>
                </c:pt>
                <c:pt idx="1161">
                  <c:v>6.2018088926669339E-3</c:v>
                </c:pt>
                <c:pt idx="1162">
                  <c:v>4.160909712447698E-3</c:v>
                </c:pt>
                <c:pt idx="1163">
                  <c:v>-9.3105839626591734E-4</c:v>
                </c:pt>
                <c:pt idx="1164">
                  <c:v>1.4371397769148182E-2</c:v>
                </c:pt>
                <c:pt idx="1165">
                  <c:v>-8.2276287783917112E-3</c:v>
                </c:pt>
                <c:pt idx="1166">
                  <c:v>-5.1410484893887323E-3</c:v>
                </c:pt>
                <c:pt idx="1167">
                  <c:v>-1.645655697377179E-2</c:v>
                </c:pt>
                <c:pt idx="1168">
                  <c:v>7.3955603035338159E-3</c:v>
                </c:pt>
                <c:pt idx="1169">
                  <c:v>-1.4992909507781323E-2</c:v>
                </c:pt>
                <c:pt idx="1170">
                  <c:v>6.3595344215664953E-3</c:v>
                </c:pt>
                <c:pt idx="1171">
                  <c:v>1.9482560595001766E-2</c:v>
                </c:pt>
                <c:pt idx="1172">
                  <c:v>5.6292556463950795E-3</c:v>
                </c:pt>
                <c:pt idx="1173">
                  <c:v>2.4288821672556096E-2</c:v>
                </c:pt>
                <c:pt idx="1174">
                  <c:v>-9.4767900781229687E-3</c:v>
                </c:pt>
                <c:pt idx="1175">
                  <c:v>1.2385375537108192E-2</c:v>
                </c:pt>
                <c:pt idx="1176">
                  <c:v>-8.6119323998556981E-3</c:v>
                </c:pt>
                <c:pt idx="1177">
                  <c:v>2.438415699286595E-3</c:v>
                </c:pt>
                <c:pt idx="1178">
                  <c:v>5.7585330226960357E-3</c:v>
                </c:pt>
                <c:pt idx="1179">
                  <c:v>-6.2279162719817277E-4</c:v>
                </c:pt>
                <c:pt idx="1180">
                  <c:v>-2.772949984561103E-3</c:v>
                </c:pt>
                <c:pt idx="1181">
                  <c:v>1.3873280434516886E-3</c:v>
                </c:pt>
                <c:pt idx="1182">
                  <c:v>1.1715502930448258E-2</c:v>
                </c:pt>
                <c:pt idx="1183">
                  <c:v>1.0271089771352639E-3</c:v>
                </c:pt>
                <c:pt idx="1184">
                  <c:v>6.548960588560848E-3</c:v>
                </c:pt>
                <c:pt idx="1185">
                  <c:v>1.630487210144381E-3</c:v>
                </c:pt>
                <c:pt idx="1186">
                  <c:v>5.0783969364418188E-3</c:v>
                </c:pt>
                <c:pt idx="1187">
                  <c:v>1.2817732593662708E-2</c:v>
                </c:pt>
                <c:pt idx="1188">
                  <c:v>2.4640959814730651E-3</c:v>
                </c:pt>
                <c:pt idx="1189">
                  <c:v>3.3243918593543536E-4</c:v>
                </c:pt>
                <c:pt idx="1190">
                  <c:v>-1.736229111529297E-3</c:v>
                </c:pt>
                <c:pt idx="1191">
                  <c:v>-9.361375470787165E-4</c:v>
                </c:pt>
                <c:pt idx="1192">
                  <c:v>7.3568509841542807E-4</c:v>
                </c:pt>
                <c:pt idx="1193">
                  <c:v>1.0903606944871795E-2</c:v>
                </c:pt>
                <c:pt idx="1194">
                  <c:v>5.2760141915134283E-3</c:v>
                </c:pt>
                <c:pt idx="1195">
                  <c:v>1.905733843007715E-3</c:v>
                </c:pt>
                <c:pt idx="1196">
                  <c:v>-6.1903358518056034E-3</c:v>
                </c:pt>
                <c:pt idx="1197">
                  <c:v>-1.2162425333414374E-2</c:v>
                </c:pt>
                <c:pt idx="1198">
                  <c:v>-1.6061219306411558E-3</c:v>
                </c:pt>
                <c:pt idx="1199">
                  <c:v>3.6101050122116563E-3</c:v>
                </c:pt>
                <c:pt idx="1200">
                  <c:v>5.3366398356303633E-4</c:v>
                </c:pt>
                <c:pt idx="1201">
                  <c:v>1.2065948939348536E-2</c:v>
                </c:pt>
                <c:pt idx="1202">
                  <c:v>-2.5732805451397288E-3</c:v>
                </c:pt>
                <c:pt idx="1203">
                  <c:v>-1.5206885046745193E-3</c:v>
                </c:pt>
                <c:pt idx="1204">
                  <c:v>3.7644175458049255E-3</c:v>
                </c:pt>
                <c:pt idx="1205">
                  <c:v>1.0100478702117228E-2</c:v>
                </c:pt>
                <c:pt idx="1206">
                  <c:v>8.3829185333905345E-3</c:v>
                </c:pt>
                <c:pt idx="1207">
                  <c:v>6.450341275007012E-3</c:v>
                </c:pt>
                <c:pt idx="1208">
                  <c:v>-5.415499821023578E-3</c:v>
                </c:pt>
                <c:pt idx="1209">
                  <c:v>-2.0707549142539067E-3</c:v>
                </c:pt>
                <c:pt idx="1210">
                  <c:v>8.6429785302158009E-3</c:v>
                </c:pt>
                <c:pt idx="1211">
                  <c:v>1.0858593252942904E-2</c:v>
                </c:pt>
                <c:pt idx="1212">
                  <c:v>0</c:v>
                </c:pt>
                <c:pt idx="1213">
                  <c:v>-1.9063331246448623E-4</c:v>
                </c:pt>
                <c:pt idx="1214">
                  <c:v>8.163297119355083E-3</c:v>
                </c:pt>
                <c:pt idx="1215">
                  <c:v>1.8260556693930486E-3</c:v>
                </c:pt>
                <c:pt idx="1216">
                  <c:v>-8.6558984729044851E-3</c:v>
                </c:pt>
                <c:pt idx="1217">
                  <c:v>6.9774256253380318E-4</c:v>
                </c:pt>
                <c:pt idx="1218">
                  <c:v>1.8346844990473156E-2</c:v>
                </c:pt>
                <c:pt idx="1219">
                  <c:v>-1.2529927727749029E-2</c:v>
                </c:pt>
                <c:pt idx="1220">
                  <c:v>2.5815020124543373E-3</c:v>
                </c:pt>
                <c:pt idx="1221">
                  <c:v>-9.1595639069953546E-3</c:v>
                </c:pt>
                <c:pt idx="1222">
                  <c:v>1.5802765517368859E-2</c:v>
                </c:pt>
                <c:pt idx="1223">
                  <c:v>1.2415585607978811E-2</c:v>
                </c:pt>
                <c:pt idx="1224">
                  <c:v>-4.6377845518562029E-3</c:v>
                </c:pt>
                <c:pt idx="1225">
                  <c:v>1.1952625186715126E-2</c:v>
                </c:pt>
                <c:pt idx="1226">
                  <c:v>-7.0680268140189597E-3</c:v>
                </c:pt>
                <c:pt idx="1227">
                  <c:v>6.4553673156894781E-3</c:v>
                </c:pt>
                <c:pt idx="1228">
                  <c:v>1.8157484634160032E-2</c:v>
                </c:pt>
                <c:pt idx="1229">
                  <c:v>5.5811245434041392E-3</c:v>
                </c:pt>
                <c:pt idx="1230">
                  <c:v>-3.597170392046932E-3</c:v>
                </c:pt>
                <c:pt idx="1231">
                  <c:v>-4.8163859365927099E-3</c:v>
                </c:pt>
                <c:pt idx="1232">
                  <c:v>6.1368667659409144E-3</c:v>
                </c:pt>
                <c:pt idx="1233">
                  <c:v>-1.0127927326078045E-2</c:v>
                </c:pt>
                <c:pt idx="1234">
                  <c:v>-1.68646619802846E-2</c:v>
                </c:pt>
                <c:pt idx="1235">
                  <c:v>1.9406346124821613E-2</c:v>
                </c:pt>
                <c:pt idx="1236">
                  <c:v>1.5472450759707724E-2</c:v>
                </c:pt>
                <c:pt idx="1237">
                  <c:v>2.7817113311197877E-2</c:v>
                </c:pt>
                <c:pt idx="1238">
                  <c:v>-1.4868686670493932E-2</c:v>
                </c:pt>
                <c:pt idx="1239">
                  <c:v>2.4086405521947303E-2</c:v>
                </c:pt>
                <c:pt idx="1240">
                  <c:v>3.2386471810172041E-2</c:v>
                </c:pt>
                <c:pt idx="1241">
                  <c:v>-1.2221838326176451E-3</c:v>
                </c:pt>
                <c:pt idx="1242">
                  <c:v>2.0521773925560313E-2</c:v>
                </c:pt>
                <c:pt idx="1243">
                  <c:v>1.4148904136295636E-3</c:v>
                </c:pt>
                <c:pt idx="1244">
                  <c:v>2.5820657313755321E-2</c:v>
                </c:pt>
                <c:pt idx="1245">
                  <c:v>-2.2834169270691044E-2</c:v>
                </c:pt>
                <c:pt idx="1246">
                  <c:v>1.4627738290391454E-3</c:v>
                </c:pt>
                <c:pt idx="1247">
                  <c:v>-5.4285562192109456E-3</c:v>
                </c:pt>
                <c:pt idx="1248">
                  <c:v>8.8874761576710985E-3</c:v>
                </c:pt>
                <c:pt idx="1249">
                  <c:v>1.0091872413502859E-2</c:v>
                </c:pt>
                <c:pt idx="1250">
                  <c:v>2.9946439491984286E-3</c:v>
                </c:pt>
                <c:pt idx="1251">
                  <c:v>-1.5389063576872562E-2</c:v>
                </c:pt>
                <c:pt idx="1252">
                  <c:v>-3.2123100830446727E-2</c:v>
                </c:pt>
                <c:pt idx="1253">
                  <c:v>-4.407258462863764E-2</c:v>
                </c:pt>
                <c:pt idx="1254">
                  <c:v>-1.663946786931287E-2</c:v>
                </c:pt>
                <c:pt idx="1255">
                  <c:v>1.241732469260521E-2</c:v>
                </c:pt>
                <c:pt idx="1256">
                  <c:v>-7.3064344792504315E-2</c:v>
                </c:pt>
                <c:pt idx="1257">
                  <c:v>2.3924450022145893E-2</c:v>
                </c:pt>
                <c:pt idx="1258">
                  <c:v>6.4418912953391971E-2</c:v>
                </c:pt>
                <c:pt idx="1259">
                  <c:v>-4.9105615575386584E-2</c:v>
                </c:pt>
                <c:pt idx="1260">
                  <c:v>3.6057198216764667E-2</c:v>
                </c:pt>
                <c:pt idx="1261">
                  <c:v>-2.541552934526008E-2</c:v>
                </c:pt>
                <c:pt idx="1262">
                  <c:v>-2.8674468495931204E-2</c:v>
                </c:pt>
                <c:pt idx="1263">
                  <c:v>-7.0178453136530497E-2</c:v>
                </c:pt>
                <c:pt idx="1264">
                  <c:v>6.6147259175969017E-2</c:v>
                </c:pt>
                <c:pt idx="1265">
                  <c:v>-4.636018796475655E-2</c:v>
                </c:pt>
                <c:pt idx="1266">
                  <c:v>-9.9641666399704232E-2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0-2B43-8872-F7C83F733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Stock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5467409966902587"/>
          <c:y val="0.1307636333593894"/>
          <c:w val="0.8044984556963114"/>
          <c:h val="0.68951624690981428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4'!$C$2:$C$1269</c:f>
              <c:numCache>
                <c:formatCode>_-* #\ ##0_-;\-* #\ ##0_-;_-* "-"??_-;_-@_-</c:formatCode>
                <c:ptCount val="1268"/>
                <c:pt idx="0">
                  <c:v>31924000</c:v>
                </c:pt>
                <c:pt idx="1">
                  <c:v>31748600</c:v>
                </c:pt>
                <c:pt idx="2">
                  <c:v>25748700</c:v>
                </c:pt>
                <c:pt idx="3">
                  <c:v>23193500</c:v>
                </c:pt>
                <c:pt idx="4">
                  <c:v>36248800</c:v>
                </c:pt>
                <c:pt idx="5">
                  <c:v>32108000</c:v>
                </c:pt>
                <c:pt idx="6">
                  <c:v>39159700</c:v>
                </c:pt>
                <c:pt idx="7">
                  <c:v>32215300</c:v>
                </c:pt>
                <c:pt idx="8">
                  <c:v>59992500</c:v>
                </c:pt>
                <c:pt idx="9">
                  <c:v>58007700</c:v>
                </c:pt>
                <c:pt idx="10">
                  <c:v>35273500</c:v>
                </c:pt>
                <c:pt idx="11">
                  <c:v>31673400</c:v>
                </c:pt>
                <c:pt idx="12">
                  <c:v>44194800</c:v>
                </c:pt>
                <c:pt idx="13">
                  <c:v>33879100</c:v>
                </c:pt>
                <c:pt idx="14">
                  <c:v>71904500</c:v>
                </c:pt>
                <c:pt idx="15">
                  <c:v>26246100</c:v>
                </c:pt>
                <c:pt idx="16">
                  <c:v>25513300</c:v>
                </c:pt>
                <c:pt idx="17">
                  <c:v>43469900</c:v>
                </c:pt>
                <c:pt idx="18">
                  <c:v>37495600</c:v>
                </c:pt>
                <c:pt idx="19">
                  <c:v>34401400</c:v>
                </c:pt>
                <c:pt idx="20">
                  <c:v>35049700</c:v>
                </c:pt>
                <c:pt idx="21">
                  <c:v>34887200</c:v>
                </c:pt>
                <c:pt idx="22">
                  <c:v>36865300</c:v>
                </c:pt>
                <c:pt idx="23">
                  <c:v>37487500</c:v>
                </c:pt>
                <c:pt idx="24">
                  <c:v>39223700</c:v>
                </c:pt>
                <c:pt idx="25">
                  <c:v>28809400</c:v>
                </c:pt>
                <c:pt idx="26">
                  <c:v>24753400</c:v>
                </c:pt>
                <c:pt idx="27">
                  <c:v>25723900</c:v>
                </c:pt>
                <c:pt idx="28">
                  <c:v>28022000</c:v>
                </c:pt>
                <c:pt idx="29">
                  <c:v>30276700</c:v>
                </c:pt>
                <c:pt idx="30">
                  <c:v>24244400</c:v>
                </c:pt>
                <c:pt idx="31">
                  <c:v>27343600</c:v>
                </c:pt>
                <c:pt idx="32">
                  <c:v>22509700</c:v>
                </c:pt>
                <c:pt idx="33">
                  <c:v>42387600</c:v>
                </c:pt>
                <c:pt idx="34">
                  <c:v>46057700</c:v>
                </c:pt>
                <c:pt idx="35">
                  <c:v>26013800</c:v>
                </c:pt>
                <c:pt idx="36">
                  <c:v>25064300</c:v>
                </c:pt>
                <c:pt idx="37">
                  <c:v>46309500</c:v>
                </c:pt>
                <c:pt idx="38">
                  <c:v>130933700</c:v>
                </c:pt>
                <c:pt idx="39">
                  <c:v>59248200</c:v>
                </c:pt>
                <c:pt idx="40">
                  <c:v>60730800</c:v>
                </c:pt>
                <c:pt idx="41">
                  <c:v>47804600</c:v>
                </c:pt>
                <c:pt idx="42">
                  <c:v>64725500</c:v>
                </c:pt>
                <c:pt idx="43">
                  <c:v>38937300</c:v>
                </c:pt>
                <c:pt idx="44">
                  <c:v>34039500</c:v>
                </c:pt>
                <c:pt idx="45">
                  <c:v>50369200</c:v>
                </c:pt>
                <c:pt idx="46">
                  <c:v>52433000</c:v>
                </c:pt>
                <c:pt idx="47">
                  <c:v>32971700</c:v>
                </c:pt>
                <c:pt idx="48">
                  <c:v>35364900</c:v>
                </c:pt>
                <c:pt idx="49">
                  <c:v>24609400</c:v>
                </c:pt>
                <c:pt idx="50">
                  <c:v>29928300</c:v>
                </c:pt>
                <c:pt idx="51">
                  <c:v>34184600</c:v>
                </c:pt>
                <c:pt idx="52">
                  <c:v>32980900</c:v>
                </c:pt>
                <c:pt idx="53">
                  <c:v>28642700</c:v>
                </c:pt>
                <c:pt idx="54">
                  <c:v>24136500</c:v>
                </c:pt>
                <c:pt idx="55">
                  <c:v>28574800</c:v>
                </c:pt>
                <c:pt idx="56">
                  <c:v>25047900</c:v>
                </c:pt>
                <c:pt idx="57">
                  <c:v>22410700</c:v>
                </c:pt>
                <c:pt idx="58">
                  <c:v>25720600</c:v>
                </c:pt>
                <c:pt idx="59">
                  <c:v>29581900</c:v>
                </c:pt>
                <c:pt idx="60">
                  <c:v>27335600</c:v>
                </c:pt>
                <c:pt idx="61">
                  <c:v>19283700</c:v>
                </c:pt>
                <c:pt idx="62">
                  <c:v>36519600</c:v>
                </c:pt>
                <c:pt idx="63">
                  <c:v>28837300</c:v>
                </c:pt>
                <c:pt idx="64">
                  <c:v>21498300</c:v>
                </c:pt>
                <c:pt idx="65">
                  <c:v>28002200</c:v>
                </c:pt>
                <c:pt idx="66">
                  <c:v>27745500</c:v>
                </c:pt>
                <c:pt idx="67">
                  <c:v>25438100</c:v>
                </c:pt>
                <c:pt idx="68">
                  <c:v>22121600</c:v>
                </c:pt>
                <c:pt idx="69">
                  <c:v>24406100</c:v>
                </c:pt>
                <c:pt idx="70">
                  <c:v>28417400</c:v>
                </c:pt>
                <c:pt idx="71">
                  <c:v>27347800</c:v>
                </c:pt>
                <c:pt idx="72">
                  <c:v>23931000</c:v>
                </c:pt>
                <c:pt idx="73">
                  <c:v>33254500</c:v>
                </c:pt>
                <c:pt idx="74">
                  <c:v>27070300</c:v>
                </c:pt>
                <c:pt idx="75">
                  <c:v>28704100</c:v>
                </c:pt>
                <c:pt idx="76">
                  <c:v>32658300</c:v>
                </c:pt>
                <c:pt idx="77">
                  <c:v>63837000</c:v>
                </c:pt>
                <c:pt idx="78">
                  <c:v>20318100</c:v>
                </c:pt>
                <c:pt idx="79">
                  <c:v>25896500</c:v>
                </c:pt>
                <c:pt idx="80">
                  <c:v>34890900</c:v>
                </c:pt>
                <c:pt idx="81">
                  <c:v>20616000</c:v>
                </c:pt>
                <c:pt idx="82">
                  <c:v>49835300</c:v>
                </c:pt>
                <c:pt idx="83">
                  <c:v>34081700</c:v>
                </c:pt>
                <c:pt idx="84">
                  <c:v>35945400</c:v>
                </c:pt>
                <c:pt idx="85">
                  <c:v>28343900</c:v>
                </c:pt>
                <c:pt idx="86">
                  <c:v>21752000</c:v>
                </c:pt>
                <c:pt idx="87">
                  <c:v>23034000</c:v>
                </c:pt>
                <c:pt idx="88">
                  <c:v>36435800</c:v>
                </c:pt>
                <c:pt idx="89">
                  <c:v>39785900</c:v>
                </c:pt>
                <c:pt idx="90">
                  <c:v>32424700</c:v>
                </c:pt>
                <c:pt idx="91">
                  <c:v>25465800</c:v>
                </c:pt>
                <c:pt idx="92">
                  <c:v>28178300</c:v>
                </c:pt>
                <c:pt idx="93">
                  <c:v>22880300</c:v>
                </c:pt>
                <c:pt idx="94">
                  <c:v>26629600</c:v>
                </c:pt>
                <c:pt idx="95">
                  <c:v>26271700</c:v>
                </c:pt>
                <c:pt idx="96">
                  <c:v>29467100</c:v>
                </c:pt>
                <c:pt idx="97">
                  <c:v>30631900</c:v>
                </c:pt>
                <c:pt idx="98">
                  <c:v>42781900</c:v>
                </c:pt>
                <c:pt idx="99">
                  <c:v>59152400</c:v>
                </c:pt>
                <c:pt idx="100">
                  <c:v>33934000</c:v>
                </c:pt>
                <c:pt idx="101">
                  <c:v>32333200</c:v>
                </c:pt>
                <c:pt idx="102">
                  <c:v>39701400</c:v>
                </c:pt>
                <c:pt idx="103">
                  <c:v>34328900</c:v>
                </c:pt>
                <c:pt idx="104">
                  <c:v>40945900</c:v>
                </c:pt>
                <c:pt idx="105">
                  <c:v>39777900</c:v>
                </c:pt>
                <c:pt idx="106">
                  <c:v>31201500</c:v>
                </c:pt>
                <c:pt idx="107">
                  <c:v>24125900</c:v>
                </c:pt>
                <c:pt idx="108">
                  <c:v>33403900</c:v>
                </c:pt>
                <c:pt idx="109">
                  <c:v>26959700</c:v>
                </c:pt>
                <c:pt idx="110">
                  <c:v>27368000</c:v>
                </c:pt>
                <c:pt idx="111">
                  <c:v>19163000</c:v>
                </c:pt>
                <c:pt idx="112">
                  <c:v>23079900</c:v>
                </c:pt>
                <c:pt idx="113">
                  <c:v>29237400</c:v>
                </c:pt>
                <c:pt idx="114">
                  <c:v>30181400</c:v>
                </c:pt>
                <c:pt idx="115">
                  <c:v>22627200</c:v>
                </c:pt>
                <c:pt idx="116">
                  <c:v>21473400</c:v>
                </c:pt>
                <c:pt idx="117">
                  <c:v>21099700</c:v>
                </c:pt>
                <c:pt idx="118">
                  <c:v>23574100</c:v>
                </c:pt>
                <c:pt idx="119">
                  <c:v>31485500</c:v>
                </c:pt>
                <c:pt idx="120">
                  <c:v>36238200</c:v>
                </c:pt>
                <c:pt idx="121">
                  <c:v>70053100</c:v>
                </c:pt>
                <c:pt idx="122">
                  <c:v>88753700</c:v>
                </c:pt>
                <c:pt idx="123">
                  <c:v>70616600</c:v>
                </c:pt>
                <c:pt idx="124">
                  <c:v>63408000</c:v>
                </c:pt>
                <c:pt idx="125">
                  <c:v>50943200</c:v>
                </c:pt>
                <c:pt idx="126">
                  <c:v>28246700</c:v>
                </c:pt>
                <c:pt idx="127">
                  <c:v>34441700</c:v>
                </c:pt>
                <c:pt idx="128">
                  <c:v>49688900</c:v>
                </c:pt>
                <c:pt idx="129">
                  <c:v>37671500</c:v>
                </c:pt>
                <c:pt idx="130">
                  <c:v>28285200</c:v>
                </c:pt>
                <c:pt idx="131">
                  <c:v>37138800</c:v>
                </c:pt>
                <c:pt idx="132">
                  <c:v>32469800</c:v>
                </c:pt>
                <c:pt idx="133">
                  <c:v>33469500</c:v>
                </c:pt>
                <c:pt idx="134">
                  <c:v>31366600</c:v>
                </c:pt>
                <c:pt idx="135">
                  <c:v>27132500</c:v>
                </c:pt>
                <c:pt idx="136">
                  <c:v>23656000</c:v>
                </c:pt>
                <c:pt idx="137">
                  <c:v>28882200</c:v>
                </c:pt>
                <c:pt idx="138">
                  <c:v>23372200</c:v>
                </c:pt>
                <c:pt idx="139">
                  <c:v>32768200</c:v>
                </c:pt>
                <c:pt idx="140">
                  <c:v>63143700</c:v>
                </c:pt>
                <c:pt idx="141">
                  <c:v>26177200</c:v>
                </c:pt>
                <c:pt idx="142">
                  <c:v>28085900</c:v>
                </c:pt>
                <c:pt idx="143">
                  <c:v>17145200</c:v>
                </c:pt>
                <c:pt idx="144">
                  <c:v>27905600</c:v>
                </c:pt>
                <c:pt idx="145">
                  <c:v>29384600</c:v>
                </c:pt>
                <c:pt idx="146">
                  <c:v>27613800</c:v>
                </c:pt>
                <c:pt idx="147">
                  <c:v>32763600</c:v>
                </c:pt>
                <c:pt idx="148">
                  <c:v>34958900</c:v>
                </c:pt>
                <c:pt idx="149">
                  <c:v>28657900</c:v>
                </c:pt>
                <c:pt idx="150">
                  <c:v>41839000</c:v>
                </c:pt>
                <c:pt idx="151">
                  <c:v>34369300</c:v>
                </c:pt>
                <c:pt idx="152">
                  <c:v>27017200</c:v>
                </c:pt>
                <c:pt idx="153">
                  <c:v>27711500</c:v>
                </c:pt>
                <c:pt idx="154">
                  <c:v>33772700</c:v>
                </c:pt>
                <c:pt idx="155">
                  <c:v>28600600</c:v>
                </c:pt>
                <c:pt idx="156">
                  <c:v>19769100</c:v>
                </c:pt>
                <c:pt idx="157">
                  <c:v>19987800</c:v>
                </c:pt>
                <c:pt idx="158">
                  <c:v>24697800</c:v>
                </c:pt>
                <c:pt idx="159">
                  <c:v>27189400</c:v>
                </c:pt>
                <c:pt idx="160">
                  <c:v>26450300</c:v>
                </c:pt>
                <c:pt idx="161">
                  <c:v>29387600</c:v>
                </c:pt>
                <c:pt idx="162">
                  <c:v>30802200</c:v>
                </c:pt>
                <c:pt idx="163">
                  <c:v>25144300</c:v>
                </c:pt>
                <c:pt idx="164">
                  <c:v>56637100</c:v>
                </c:pt>
                <c:pt idx="165">
                  <c:v>135227100</c:v>
                </c:pt>
                <c:pt idx="166">
                  <c:v>64633300</c:v>
                </c:pt>
                <c:pt idx="167">
                  <c:v>50999900</c:v>
                </c:pt>
                <c:pt idx="168">
                  <c:v>47000800</c:v>
                </c:pt>
                <c:pt idx="169">
                  <c:v>30202100</c:v>
                </c:pt>
                <c:pt idx="170">
                  <c:v>46619800</c:v>
                </c:pt>
                <c:pt idx="171">
                  <c:v>30285000</c:v>
                </c:pt>
                <c:pt idx="172">
                  <c:v>36596900</c:v>
                </c:pt>
                <c:pt idx="173">
                  <c:v>37087800</c:v>
                </c:pt>
                <c:pt idx="174">
                  <c:v>31468500</c:v>
                </c:pt>
                <c:pt idx="175">
                  <c:v>32851200</c:v>
                </c:pt>
                <c:pt idx="176">
                  <c:v>32513100</c:v>
                </c:pt>
                <c:pt idx="177">
                  <c:v>55283700</c:v>
                </c:pt>
                <c:pt idx="178">
                  <c:v>36516300</c:v>
                </c:pt>
                <c:pt idx="179">
                  <c:v>35361100</c:v>
                </c:pt>
                <c:pt idx="180">
                  <c:v>36848200</c:v>
                </c:pt>
                <c:pt idx="181">
                  <c:v>32165200</c:v>
                </c:pt>
                <c:pt idx="182">
                  <c:v>31551300</c:v>
                </c:pt>
                <c:pt idx="183">
                  <c:v>29710000</c:v>
                </c:pt>
                <c:pt idx="184">
                  <c:v>28149200</c:v>
                </c:pt>
                <c:pt idx="185">
                  <c:v>37147600</c:v>
                </c:pt>
                <c:pt idx="186">
                  <c:v>28235900</c:v>
                </c:pt>
                <c:pt idx="187">
                  <c:v>24600000</c:v>
                </c:pt>
                <c:pt idx="188">
                  <c:v>21005100</c:v>
                </c:pt>
                <c:pt idx="189">
                  <c:v>9009100</c:v>
                </c:pt>
                <c:pt idx="190">
                  <c:v>56241400</c:v>
                </c:pt>
                <c:pt idx="191">
                  <c:v>39952800</c:v>
                </c:pt>
                <c:pt idx="192">
                  <c:v>47274900</c:v>
                </c:pt>
                <c:pt idx="193">
                  <c:v>38627800</c:v>
                </c:pt>
                <c:pt idx="194">
                  <c:v>43963700</c:v>
                </c:pt>
                <c:pt idx="195">
                  <c:v>30709800</c:v>
                </c:pt>
                <c:pt idx="196">
                  <c:v>32878000</c:v>
                </c:pt>
                <c:pt idx="197">
                  <c:v>36373200</c:v>
                </c:pt>
                <c:pt idx="198">
                  <c:v>31775800</c:v>
                </c:pt>
                <c:pt idx="199">
                  <c:v>39549500</c:v>
                </c:pt>
                <c:pt idx="200">
                  <c:v>46768900</c:v>
                </c:pt>
                <c:pt idx="201">
                  <c:v>39843000</c:v>
                </c:pt>
                <c:pt idx="202">
                  <c:v>37503300</c:v>
                </c:pt>
                <c:pt idx="203">
                  <c:v>41280900</c:v>
                </c:pt>
                <c:pt idx="204">
                  <c:v>84684200</c:v>
                </c:pt>
                <c:pt idx="205">
                  <c:v>37246300</c:v>
                </c:pt>
                <c:pt idx="206">
                  <c:v>28322200</c:v>
                </c:pt>
                <c:pt idx="207">
                  <c:v>27279800</c:v>
                </c:pt>
                <c:pt idx="208">
                  <c:v>9558500</c:v>
                </c:pt>
                <c:pt idx="209">
                  <c:v>22458300</c:v>
                </c:pt>
                <c:pt idx="210">
                  <c:v>27731400</c:v>
                </c:pt>
                <c:pt idx="211">
                  <c:v>21704500</c:v>
                </c:pt>
                <c:pt idx="212">
                  <c:v>27334100</c:v>
                </c:pt>
                <c:pt idx="213">
                  <c:v>53778000</c:v>
                </c:pt>
                <c:pt idx="214">
                  <c:v>34079700</c:v>
                </c:pt>
                <c:pt idx="215">
                  <c:v>39518900</c:v>
                </c:pt>
                <c:pt idx="216">
                  <c:v>56564900</c:v>
                </c:pt>
                <c:pt idx="217">
                  <c:v>48754000</c:v>
                </c:pt>
                <c:pt idx="218">
                  <c:v>36943800</c:v>
                </c:pt>
                <c:pt idx="219">
                  <c:v>36095500</c:v>
                </c:pt>
                <c:pt idx="220">
                  <c:v>66883600</c:v>
                </c:pt>
                <c:pt idx="221">
                  <c:v>52381900</c:v>
                </c:pt>
                <c:pt idx="222">
                  <c:v>71820700</c:v>
                </c:pt>
                <c:pt idx="223">
                  <c:v>43564500</c:v>
                </c:pt>
                <c:pt idx="224">
                  <c:v>63273000</c:v>
                </c:pt>
                <c:pt idx="225">
                  <c:v>40191200</c:v>
                </c:pt>
                <c:pt idx="226">
                  <c:v>37555800</c:v>
                </c:pt>
                <c:pt idx="227">
                  <c:v>34707700</c:v>
                </c:pt>
                <c:pt idx="228">
                  <c:v>28900800</c:v>
                </c:pt>
                <c:pt idx="229">
                  <c:v>36775200</c:v>
                </c:pt>
                <c:pt idx="230">
                  <c:v>62513800</c:v>
                </c:pt>
                <c:pt idx="231">
                  <c:v>83611700</c:v>
                </c:pt>
                <c:pt idx="232">
                  <c:v>44208500</c:v>
                </c:pt>
                <c:pt idx="233">
                  <c:v>56313800</c:v>
                </c:pt>
                <c:pt idx="234">
                  <c:v>57559800</c:v>
                </c:pt>
                <c:pt idx="235">
                  <c:v>46987100</c:v>
                </c:pt>
                <c:pt idx="236">
                  <c:v>62009000</c:v>
                </c:pt>
                <c:pt idx="237">
                  <c:v>59290500</c:v>
                </c:pt>
                <c:pt idx="238">
                  <c:v>46740500</c:v>
                </c:pt>
                <c:pt idx="239">
                  <c:v>38237000</c:v>
                </c:pt>
                <c:pt idx="240">
                  <c:v>48878600</c:v>
                </c:pt>
                <c:pt idx="241">
                  <c:v>34243300</c:v>
                </c:pt>
                <c:pt idx="242">
                  <c:v>37291200</c:v>
                </c:pt>
                <c:pt idx="243">
                  <c:v>40789000</c:v>
                </c:pt>
                <c:pt idx="244">
                  <c:v>27176000</c:v>
                </c:pt>
                <c:pt idx="245">
                  <c:v>33559100</c:v>
                </c:pt>
                <c:pt idx="246">
                  <c:v>25008300</c:v>
                </c:pt>
                <c:pt idx="247">
                  <c:v>28895300</c:v>
                </c:pt>
                <c:pt idx="248">
                  <c:v>33014500</c:v>
                </c:pt>
                <c:pt idx="249">
                  <c:v>26939500</c:v>
                </c:pt>
                <c:pt idx="250">
                  <c:v>35975900</c:v>
                </c:pt>
                <c:pt idx="251">
                  <c:v>31654000</c:v>
                </c:pt>
                <c:pt idx="252">
                  <c:v>33024500</c:v>
                </c:pt>
                <c:pt idx="253">
                  <c:v>29289900</c:v>
                </c:pt>
                <c:pt idx="254">
                  <c:v>24427800</c:v>
                </c:pt>
                <c:pt idx="255">
                  <c:v>33034200</c:v>
                </c:pt>
                <c:pt idx="256">
                  <c:v>38407800</c:v>
                </c:pt>
                <c:pt idx="257">
                  <c:v>33835100</c:v>
                </c:pt>
                <c:pt idx="258">
                  <c:v>28251600</c:v>
                </c:pt>
                <c:pt idx="259">
                  <c:v>38387800</c:v>
                </c:pt>
                <c:pt idx="260">
                  <c:v>32275700</c:v>
                </c:pt>
                <c:pt idx="261">
                  <c:v>24083600</c:v>
                </c:pt>
                <c:pt idx="262">
                  <c:v>21104800</c:v>
                </c:pt>
                <c:pt idx="263">
                  <c:v>31691700</c:v>
                </c:pt>
                <c:pt idx="264">
                  <c:v>28223900</c:v>
                </c:pt>
                <c:pt idx="265">
                  <c:v>67625500</c:v>
                </c:pt>
                <c:pt idx="266">
                  <c:v>23925700</c:v>
                </c:pt>
                <c:pt idx="267">
                  <c:v>23124100</c:v>
                </c:pt>
                <c:pt idx="268">
                  <c:v>20129000</c:v>
                </c:pt>
                <c:pt idx="269">
                  <c:v>19950000</c:v>
                </c:pt>
                <c:pt idx="270">
                  <c:v>17025100</c:v>
                </c:pt>
                <c:pt idx="271">
                  <c:v>23924300</c:v>
                </c:pt>
                <c:pt idx="272">
                  <c:v>23008300</c:v>
                </c:pt>
                <c:pt idx="273">
                  <c:v>26360500</c:v>
                </c:pt>
                <c:pt idx="274">
                  <c:v>24399200</c:v>
                </c:pt>
                <c:pt idx="275">
                  <c:v>18928800</c:v>
                </c:pt>
                <c:pt idx="276">
                  <c:v>19272300</c:v>
                </c:pt>
                <c:pt idx="277">
                  <c:v>21188700</c:v>
                </c:pt>
                <c:pt idx="278">
                  <c:v>19225100</c:v>
                </c:pt>
                <c:pt idx="279">
                  <c:v>22167200</c:v>
                </c:pt>
                <c:pt idx="280">
                  <c:v>21414200</c:v>
                </c:pt>
                <c:pt idx="281">
                  <c:v>24944300</c:v>
                </c:pt>
                <c:pt idx="282">
                  <c:v>20818000</c:v>
                </c:pt>
                <c:pt idx="283">
                  <c:v>20877100</c:v>
                </c:pt>
                <c:pt idx="284">
                  <c:v>28793800</c:v>
                </c:pt>
                <c:pt idx="285">
                  <c:v>23786000</c:v>
                </c:pt>
                <c:pt idx="286">
                  <c:v>29596800</c:v>
                </c:pt>
                <c:pt idx="287">
                  <c:v>36195700</c:v>
                </c:pt>
                <c:pt idx="288">
                  <c:v>38909100</c:v>
                </c:pt>
                <c:pt idx="289">
                  <c:v>126834100</c:v>
                </c:pt>
                <c:pt idx="290">
                  <c:v>33226900</c:v>
                </c:pt>
                <c:pt idx="291">
                  <c:v>33532600</c:v>
                </c:pt>
                <c:pt idx="292">
                  <c:v>43369300</c:v>
                </c:pt>
                <c:pt idx="293">
                  <c:v>43134800</c:v>
                </c:pt>
                <c:pt idx="294">
                  <c:v>48411700</c:v>
                </c:pt>
                <c:pt idx="295">
                  <c:v>33114500</c:v>
                </c:pt>
                <c:pt idx="296">
                  <c:v>26460200</c:v>
                </c:pt>
                <c:pt idx="297">
                  <c:v>24257600</c:v>
                </c:pt>
                <c:pt idx="298">
                  <c:v>25390700</c:v>
                </c:pt>
                <c:pt idx="299">
                  <c:v>24787300</c:v>
                </c:pt>
                <c:pt idx="300">
                  <c:v>17951600</c:v>
                </c:pt>
                <c:pt idx="301">
                  <c:v>22891000</c:v>
                </c:pt>
                <c:pt idx="302">
                  <c:v>24039100</c:v>
                </c:pt>
                <c:pt idx="303">
                  <c:v>24102800</c:v>
                </c:pt>
                <c:pt idx="304">
                  <c:v>22592300</c:v>
                </c:pt>
                <c:pt idx="305">
                  <c:v>20032000</c:v>
                </c:pt>
                <c:pt idx="306">
                  <c:v>27803500</c:v>
                </c:pt>
                <c:pt idx="307">
                  <c:v>24907500</c:v>
                </c:pt>
                <c:pt idx="308">
                  <c:v>23842400</c:v>
                </c:pt>
                <c:pt idx="309">
                  <c:v>23905800</c:v>
                </c:pt>
                <c:pt idx="310">
                  <c:v>26118700</c:v>
                </c:pt>
                <c:pt idx="311">
                  <c:v>34757900</c:v>
                </c:pt>
                <c:pt idx="312">
                  <c:v>24040200</c:v>
                </c:pt>
                <c:pt idx="313">
                  <c:v>24335200</c:v>
                </c:pt>
                <c:pt idx="314">
                  <c:v>17721400</c:v>
                </c:pt>
                <c:pt idx="315">
                  <c:v>37653100</c:v>
                </c:pt>
                <c:pt idx="316">
                  <c:v>25324800</c:v>
                </c:pt>
                <c:pt idx="317">
                  <c:v>22840800</c:v>
                </c:pt>
                <c:pt idx="318">
                  <c:v>23368300</c:v>
                </c:pt>
                <c:pt idx="319">
                  <c:v>18243300</c:v>
                </c:pt>
                <c:pt idx="320">
                  <c:v>20866800</c:v>
                </c:pt>
                <c:pt idx="321">
                  <c:v>21149400</c:v>
                </c:pt>
                <c:pt idx="322">
                  <c:v>20305700</c:v>
                </c:pt>
                <c:pt idx="323">
                  <c:v>25833200</c:v>
                </c:pt>
                <c:pt idx="324">
                  <c:v>83217800</c:v>
                </c:pt>
                <c:pt idx="325">
                  <c:v>42577100</c:v>
                </c:pt>
                <c:pt idx="326">
                  <c:v>33757600</c:v>
                </c:pt>
                <c:pt idx="327">
                  <c:v>31188600</c:v>
                </c:pt>
                <c:pt idx="328">
                  <c:v>45710500</c:v>
                </c:pt>
                <c:pt idx="329">
                  <c:v>35607900</c:v>
                </c:pt>
                <c:pt idx="330">
                  <c:v>34097800</c:v>
                </c:pt>
                <c:pt idx="331">
                  <c:v>28816800</c:v>
                </c:pt>
                <c:pt idx="332">
                  <c:v>29028800</c:v>
                </c:pt>
                <c:pt idx="333">
                  <c:v>133503000</c:v>
                </c:pt>
                <c:pt idx="334">
                  <c:v>50216300</c:v>
                </c:pt>
                <c:pt idx="335">
                  <c:v>38140700</c:v>
                </c:pt>
                <c:pt idx="336">
                  <c:v>31304000</c:v>
                </c:pt>
                <c:pt idx="337">
                  <c:v>28527800</c:v>
                </c:pt>
                <c:pt idx="338">
                  <c:v>21400400</c:v>
                </c:pt>
                <c:pt idx="339">
                  <c:v>24806400</c:v>
                </c:pt>
                <c:pt idx="340">
                  <c:v>28167500</c:v>
                </c:pt>
                <c:pt idx="341">
                  <c:v>19585200</c:v>
                </c:pt>
                <c:pt idx="342">
                  <c:v>28391000</c:v>
                </c:pt>
                <c:pt idx="343">
                  <c:v>22269200</c:v>
                </c:pt>
                <c:pt idx="344">
                  <c:v>27317600</c:v>
                </c:pt>
                <c:pt idx="345">
                  <c:v>25356800</c:v>
                </c:pt>
                <c:pt idx="346">
                  <c:v>24545500</c:v>
                </c:pt>
                <c:pt idx="347">
                  <c:v>32024400</c:v>
                </c:pt>
                <c:pt idx="348">
                  <c:v>31433900</c:v>
                </c:pt>
                <c:pt idx="349">
                  <c:v>53336500</c:v>
                </c:pt>
                <c:pt idx="350">
                  <c:v>89893300</c:v>
                </c:pt>
                <c:pt idx="351">
                  <c:v>32776700</c:v>
                </c:pt>
                <c:pt idx="352">
                  <c:v>32157200</c:v>
                </c:pt>
                <c:pt idx="353">
                  <c:v>25610600</c:v>
                </c:pt>
                <c:pt idx="354">
                  <c:v>28079000</c:v>
                </c:pt>
                <c:pt idx="355">
                  <c:v>32327500</c:v>
                </c:pt>
                <c:pt idx="356">
                  <c:v>37550400</c:v>
                </c:pt>
                <c:pt idx="357">
                  <c:v>30558700</c:v>
                </c:pt>
                <c:pt idx="358">
                  <c:v>26003400</c:v>
                </c:pt>
                <c:pt idx="359">
                  <c:v>35122000</c:v>
                </c:pt>
                <c:pt idx="360">
                  <c:v>22075600</c:v>
                </c:pt>
                <c:pt idx="361">
                  <c:v>26587700</c:v>
                </c:pt>
                <c:pt idx="362">
                  <c:v>29335200</c:v>
                </c:pt>
                <c:pt idx="363">
                  <c:v>19473500</c:v>
                </c:pt>
                <c:pt idx="364">
                  <c:v>16920700</c:v>
                </c:pt>
                <c:pt idx="365">
                  <c:v>15756900</c:v>
                </c:pt>
                <c:pt idx="366">
                  <c:v>18162300</c:v>
                </c:pt>
                <c:pt idx="367">
                  <c:v>21655200</c:v>
                </c:pt>
                <c:pt idx="368">
                  <c:v>19283900</c:v>
                </c:pt>
                <c:pt idx="369">
                  <c:v>20523500</c:v>
                </c:pt>
                <c:pt idx="370">
                  <c:v>18856400</c:v>
                </c:pt>
                <c:pt idx="371">
                  <c:v>14214300</c:v>
                </c:pt>
                <c:pt idx="372">
                  <c:v>17271000</c:v>
                </c:pt>
                <c:pt idx="373">
                  <c:v>15221900</c:v>
                </c:pt>
                <c:pt idx="374">
                  <c:v>18732400</c:v>
                </c:pt>
                <c:pt idx="375">
                  <c:v>18151500</c:v>
                </c:pt>
                <c:pt idx="376">
                  <c:v>18552600</c:v>
                </c:pt>
                <c:pt idx="377">
                  <c:v>20971200</c:v>
                </c:pt>
                <c:pt idx="378">
                  <c:v>16417200</c:v>
                </c:pt>
                <c:pt idx="379">
                  <c:v>16930200</c:v>
                </c:pt>
                <c:pt idx="380">
                  <c:v>20860300</c:v>
                </c:pt>
                <c:pt idx="381">
                  <c:v>26075400</c:v>
                </c:pt>
                <c:pt idx="382">
                  <c:v>18900500</c:v>
                </c:pt>
                <c:pt idx="383">
                  <c:v>16278400</c:v>
                </c:pt>
                <c:pt idx="384">
                  <c:v>17493400</c:v>
                </c:pt>
                <c:pt idx="385">
                  <c:v>20146100</c:v>
                </c:pt>
                <c:pt idx="386">
                  <c:v>35113900</c:v>
                </c:pt>
                <c:pt idx="387">
                  <c:v>29303000</c:v>
                </c:pt>
                <c:pt idx="388">
                  <c:v>30130200</c:v>
                </c:pt>
                <c:pt idx="389">
                  <c:v>24062500</c:v>
                </c:pt>
                <c:pt idx="390">
                  <c:v>26847000</c:v>
                </c:pt>
                <c:pt idx="391">
                  <c:v>44607000</c:v>
                </c:pt>
                <c:pt idx="392">
                  <c:v>20937100</c:v>
                </c:pt>
                <c:pt idx="393">
                  <c:v>17384000</c:v>
                </c:pt>
                <c:pt idx="394">
                  <c:v>33707300</c:v>
                </c:pt>
                <c:pt idx="395">
                  <c:v>19822200</c:v>
                </c:pt>
                <c:pt idx="396">
                  <c:v>19955300</c:v>
                </c:pt>
                <c:pt idx="397">
                  <c:v>21688700</c:v>
                </c:pt>
                <c:pt idx="398">
                  <c:v>28065100</c:v>
                </c:pt>
                <c:pt idx="399">
                  <c:v>20536400</c:v>
                </c:pt>
                <c:pt idx="400">
                  <c:v>25463500</c:v>
                </c:pt>
                <c:pt idx="401">
                  <c:v>29910800</c:v>
                </c:pt>
                <c:pt idx="402">
                  <c:v>19189500</c:v>
                </c:pt>
                <c:pt idx="403">
                  <c:v>20085900</c:v>
                </c:pt>
                <c:pt idx="404">
                  <c:v>16726400</c:v>
                </c:pt>
                <c:pt idx="405">
                  <c:v>16212600</c:v>
                </c:pt>
                <c:pt idx="406">
                  <c:v>20089000</c:v>
                </c:pt>
                <c:pt idx="407">
                  <c:v>18196500</c:v>
                </c:pt>
                <c:pt idx="408">
                  <c:v>26497400</c:v>
                </c:pt>
                <c:pt idx="409">
                  <c:v>22177500</c:v>
                </c:pt>
                <c:pt idx="410">
                  <c:v>25313700</c:v>
                </c:pt>
                <c:pt idx="411">
                  <c:v>27402500</c:v>
                </c:pt>
                <c:pt idx="412">
                  <c:v>23830000</c:v>
                </c:pt>
                <c:pt idx="413">
                  <c:v>19149500</c:v>
                </c:pt>
                <c:pt idx="414">
                  <c:v>22878400</c:v>
                </c:pt>
                <c:pt idx="415">
                  <c:v>49455600</c:v>
                </c:pt>
                <c:pt idx="416">
                  <c:v>80032200</c:v>
                </c:pt>
                <c:pt idx="417">
                  <c:v>54067000</c:v>
                </c:pt>
                <c:pt idx="418">
                  <c:v>35137200</c:v>
                </c:pt>
                <c:pt idx="419">
                  <c:v>29911600</c:v>
                </c:pt>
                <c:pt idx="420">
                  <c:v>28479900</c:v>
                </c:pt>
                <c:pt idx="421">
                  <c:v>33574700</c:v>
                </c:pt>
                <c:pt idx="422">
                  <c:v>26434700</c:v>
                </c:pt>
                <c:pt idx="423">
                  <c:v>24533000</c:v>
                </c:pt>
                <c:pt idx="424">
                  <c:v>22147000</c:v>
                </c:pt>
                <c:pt idx="425">
                  <c:v>21600400</c:v>
                </c:pt>
                <c:pt idx="426">
                  <c:v>28697000</c:v>
                </c:pt>
                <c:pt idx="427">
                  <c:v>31664800</c:v>
                </c:pt>
                <c:pt idx="428">
                  <c:v>22935400</c:v>
                </c:pt>
                <c:pt idx="429">
                  <c:v>49632500</c:v>
                </c:pt>
                <c:pt idx="430">
                  <c:v>57822400</c:v>
                </c:pt>
                <c:pt idx="431">
                  <c:v>38767800</c:v>
                </c:pt>
                <c:pt idx="432">
                  <c:v>41328400</c:v>
                </c:pt>
                <c:pt idx="433">
                  <c:v>35904100</c:v>
                </c:pt>
                <c:pt idx="434">
                  <c:v>27332500</c:v>
                </c:pt>
                <c:pt idx="435">
                  <c:v>32132700</c:v>
                </c:pt>
                <c:pt idx="436">
                  <c:v>27686300</c:v>
                </c:pt>
                <c:pt idx="437">
                  <c:v>19652600</c:v>
                </c:pt>
                <c:pt idx="438">
                  <c:v>23206700</c:v>
                </c:pt>
                <c:pt idx="439">
                  <c:v>21848900</c:v>
                </c:pt>
                <c:pt idx="440">
                  <c:v>8409600</c:v>
                </c:pt>
                <c:pt idx="441">
                  <c:v>20732600</c:v>
                </c:pt>
                <c:pt idx="442">
                  <c:v>22366700</c:v>
                </c:pt>
                <c:pt idx="443">
                  <c:v>34655400</c:v>
                </c:pt>
                <c:pt idx="444">
                  <c:v>34542100</c:v>
                </c:pt>
                <c:pt idx="445">
                  <c:v>25515700</c:v>
                </c:pt>
                <c:pt idx="446">
                  <c:v>23552700</c:v>
                </c:pt>
                <c:pt idx="447">
                  <c:v>19907000</c:v>
                </c:pt>
                <c:pt idx="448">
                  <c:v>30809000</c:v>
                </c:pt>
                <c:pt idx="449">
                  <c:v>21220800</c:v>
                </c:pt>
                <c:pt idx="450">
                  <c:v>27349400</c:v>
                </c:pt>
                <c:pt idx="451">
                  <c:v>20198100</c:v>
                </c:pt>
                <c:pt idx="452">
                  <c:v>35718900</c:v>
                </c:pt>
                <c:pt idx="453">
                  <c:v>30352700</c:v>
                </c:pt>
                <c:pt idx="454">
                  <c:v>27669900</c:v>
                </c:pt>
                <c:pt idx="455">
                  <c:v>42453100</c:v>
                </c:pt>
                <c:pt idx="456">
                  <c:v>34338200</c:v>
                </c:pt>
                <c:pt idx="457">
                  <c:v>26028400</c:v>
                </c:pt>
                <c:pt idx="458">
                  <c:v>17096300</c:v>
                </c:pt>
                <c:pt idx="459">
                  <c:v>22176600</c:v>
                </c:pt>
                <c:pt idx="460">
                  <c:v>12403800</c:v>
                </c:pt>
                <c:pt idx="461">
                  <c:v>11763200</c:v>
                </c:pt>
                <c:pt idx="462">
                  <c:v>14653300</c:v>
                </c:pt>
                <c:pt idx="463">
                  <c:v>10250600</c:v>
                </c:pt>
                <c:pt idx="464">
                  <c:v>25579900</c:v>
                </c:pt>
                <c:pt idx="465">
                  <c:v>20694100</c:v>
                </c:pt>
                <c:pt idx="466">
                  <c:v>21340000</c:v>
                </c:pt>
                <c:pt idx="467">
                  <c:v>24876000</c:v>
                </c:pt>
                <c:pt idx="468">
                  <c:v>19922900</c:v>
                </c:pt>
                <c:pt idx="469">
                  <c:v>20382700</c:v>
                </c:pt>
                <c:pt idx="470">
                  <c:v>18593000</c:v>
                </c:pt>
                <c:pt idx="471">
                  <c:v>21517300</c:v>
                </c:pt>
                <c:pt idx="472">
                  <c:v>20968200</c:v>
                </c:pt>
                <c:pt idx="473">
                  <c:v>19422300</c:v>
                </c:pt>
                <c:pt idx="474">
                  <c:v>20664000</c:v>
                </c:pt>
                <c:pt idx="475">
                  <c:v>19670100</c:v>
                </c:pt>
                <c:pt idx="476">
                  <c:v>18451700</c:v>
                </c:pt>
                <c:pt idx="477">
                  <c:v>30213500</c:v>
                </c:pt>
                <c:pt idx="478">
                  <c:v>23097600</c:v>
                </c:pt>
                <c:pt idx="479">
                  <c:v>24672900</c:v>
                </c:pt>
                <c:pt idx="480">
                  <c:v>23672700</c:v>
                </c:pt>
                <c:pt idx="481">
                  <c:v>43554600</c:v>
                </c:pt>
                <c:pt idx="482">
                  <c:v>44818000</c:v>
                </c:pt>
                <c:pt idx="483">
                  <c:v>31651400</c:v>
                </c:pt>
                <c:pt idx="484">
                  <c:v>25270500</c:v>
                </c:pt>
                <c:pt idx="485">
                  <c:v>39671500</c:v>
                </c:pt>
                <c:pt idx="486">
                  <c:v>45827000</c:v>
                </c:pt>
                <c:pt idx="487">
                  <c:v>30301800</c:v>
                </c:pt>
                <c:pt idx="488">
                  <c:v>19796400</c:v>
                </c:pt>
                <c:pt idx="489">
                  <c:v>20277200</c:v>
                </c:pt>
                <c:pt idx="490">
                  <c:v>18096400</c:v>
                </c:pt>
                <c:pt idx="491">
                  <c:v>22644400</c:v>
                </c:pt>
                <c:pt idx="492">
                  <c:v>18170700</c:v>
                </c:pt>
                <c:pt idx="493">
                  <c:v>22920100</c:v>
                </c:pt>
                <c:pt idx="494">
                  <c:v>23108400</c:v>
                </c:pt>
                <c:pt idx="495">
                  <c:v>17005200</c:v>
                </c:pt>
                <c:pt idx="496">
                  <c:v>20546300</c:v>
                </c:pt>
                <c:pt idx="497">
                  <c:v>21248800</c:v>
                </c:pt>
                <c:pt idx="498">
                  <c:v>20655900</c:v>
                </c:pt>
                <c:pt idx="499">
                  <c:v>19292700</c:v>
                </c:pt>
                <c:pt idx="500">
                  <c:v>20273100</c:v>
                </c:pt>
                <c:pt idx="501">
                  <c:v>21796800</c:v>
                </c:pt>
                <c:pt idx="502">
                  <c:v>15871500</c:v>
                </c:pt>
                <c:pt idx="503">
                  <c:v>23239800</c:v>
                </c:pt>
                <c:pt idx="504">
                  <c:v>26937500</c:v>
                </c:pt>
                <c:pt idx="505">
                  <c:v>24539600</c:v>
                </c:pt>
                <c:pt idx="506">
                  <c:v>18135900</c:v>
                </c:pt>
                <c:pt idx="507">
                  <c:v>18750300</c:v>
                </c:pt>
                <c:pt idx="508">
                  <c:v>18521000</c:v>
                </c:pt>
                <c:pt idx="509">
                  <c:v>21510900</c:v>
                </c:pt>
                <c:pt idx="510">
                  <c:v>19846800</c:v>
                </c:pt>
                <c:pt idx="511">
                  <c:v>19538200</c:v>
                </c:pt>
                <c:pt idx="512">
                  <c:v>20100000</c:v>
                </c:pt>
                <c:pt idx="513">
                  <c:v>14280200</c:v>
                </c:pt>
                <c:pt idx="514">
                  <c:v>24833800</c:v>
                </c:pt>
                <c:pt idx="515">
                  <c:v>20674300</c:v>
                </c:pt>
                <c:pt idx="516">
                  <c:v>49219700</c:v>
                </c:pt>
                <c:pt idx="517">
                  <c:v>14598100</c:v>
                </c:pt>
                <c:pt idx="518">
                  <c:v>26640500</c:v>
                </c:pt>
                <c:pt idx="519">
                  <c:v>20680000</c:v>
                </c:pt>
                <c:pt idx="520">
                  <c:v>19269200</c:v>
                </c:pt>
                <c:pt idx="521">
                  <c:v>22617100</c:v>
                </c:pt>
                <c:pt idx="522">
                  <c:v>18614700</c:v>
                </c:pt>
                <c:pt idx="523">
                  <c:v>20080400</c:v>
                </c:pt>
                <c:pt idx="524">
                  <c:v>13618400</c:v>
                </c:pt>
                <c:pt idx="525">
                  <c:v>15122800</c:v>
                </c:pt>
                <c:pt idx="526">
                  <c:v>21040300</c:v>
                </c:pt>
                <c:pt idx="527">
                  <c:v>20400900</c:v>
                </c:pt>
                <c:pt idx="528">
                  <c:v>12997400</c:v>
                </c:pt>
                <c:pt idx="529">
                  <c:v>21448600</c:v>
                </c:pt>
                <c:pt idx="530">
                  <c:v>18103500</c:v>
                </c:pt>
                <c:pt idx="531">
                  <c:v>14108500</c:v>
                </c:pt>
                <c:pt idx="532">
                  <c:v>17952700</c:v>
                </c:pt>
                <c:pt idx="533">
                  <c:v>18791500</c:v>
                </c:pt>
                <c:pt idx="534">
                  <c:v>17108500</c:v>
                </c:pt>
                <c:pt idx="535">
                  <c:v>17896500</c:v>
                </c:pt>
                <c:pt idx="536">
                  <c:v>16689300</c:v>
                </c:pt>
                <c:pt idx="537">
                  <c:v>15155600</c:v>
                </c:pt>
                <c:pt idx="538">
                  <c:v>26992800</c:v>
                </c:pt>
                <c:pt idx="539">
                  <c:v>22299500</c:v>
                </c:pt>
                <c:pt idx="540">
                  <c:v>32522600</c:v>
                </c:pt>
                <c:pt idx="541">
                  <c:v>29770000</c:v>
                </c:pt>
                <c:pt idx="542">
                  <c:v>30242700</c:v>
                </c:pt>
                <c:pt idx="543">
                  <c:v>26190800</c:v>
                </c:pt>
                <c:pt idx="544">
                  <c:v>34971000</c:v>
                </c:pt>
                <c:pt idx="545">
                  <c:v>39548800</c:v>
                </c:pt>
                <c:pt idx="546">
                  <c:v>31954400</c:v>
                </c:pt>
                <c:pt idx="547">
                  <c:v>23906100</c:v>
                </c:pt>
                <c:pt idx="548">
                  <c:v>28928000</c:v>
                </c:pt>
                <c:pt idx="549">
                  <c:v>21749400</c:v>
                </c:pt>
                <c:pt idx="550">
                  <c:v>19128800</c:v>
                </c:pt>
                <c:pt idx="551">
                  <c:v>18566100</c:v>
                </c:pt>
                <c:pt idx="552">
                  <c:v>22858400</c:v>
                </c:pt>
                <c:pt idx="553">
                  <c:v>17977800</c:v>
                </c:pt>
                <c:pt idx="554">
                  <c:v>28789400</c:v>
                </c:pt>
                <c:pt idx="555">
                  <c:v>18714100</c:v>
                </c:pt>
                <c:pt idx="556">
                  <c:v>31530300</c:v>
                </c:pt>
                <c:pt idx="557">
                  <c:v>34956000</c:v>
                </c:pt>
                <c:pt idx="558">
                  <c:v>30548800</c:v>
                </c:pt>
                <c:pt idx="559">
                  <c:v>25201300</c:v>
                </c:pt>
                <c:pt idx="560">
                  <c:v>26961100</c:v>
                </c:pt>
                <c:pt idx="561">
                  <c:v>16237600</c:v>
                </c:pt>
                <c:pt idx="562">
                  <c:v>15425800</c:v>
                </c:pt>
                <c:pt idx="563">
                  <c:v>14593900</c:v>
                </c:pt>
                <c:pt idx="564">
                  <c:v>21854100</c:v>
                </c:pt>
                <c:pt idx="565">
                  <c:v>19827900</c:v>
                </c:pt>
                <c:pt idx="566">
                  <c:v>17072800</c:v>
                </c:pt>
                <c:pt idx="567">
                  <c:v>30436400</c:v>
                </c:pt>
                <c:pt idx="568">
                  <c:v>21603600</c:v>
                </c:pt>
                <c:pt idx="569">
                  <c:v>34770300</c:v>
                </c:pt>
                <c:pt idx="570">
                  <c:v>33316800</c:v>
                </c:pt>
                <c:pt idx="571">
                  <c:v>31511100</c:v>
                </c:pt>
                <c:pt idx="572">
                  <c:v>22301800</c:v>
                </c:pt>
                <c:pt idx="573">
                  <c:v>24588300</c:v>
                </c:pt>
                <c:pt idx="574">
                  <c:v>49187400</c:v>
                </c:pt>
                <c:pt idx="575">
                  <c:v>47761700</c:v>
                </c:pt>
                <c:pt idx="576">
                  <c:v>25258600</c:v>
                </c:pt>
                <c:pt idx="577">
                  <c:v>25510700</c:v>
                </c:pt>
                <c:pt idx="578">
                  <c:v>26068700</c:v>
                </c:pt>
                <c:pt idx="579">
                  <c:v>48345100</c:v>
                </c:pt>
                <c:pt idx="580">
                  <c:v>23798300</c:v>
                </c:pt>
                <c:pt idx="581">
                  <c:v>21512200</c:v>
                </c:pt>
                <c:pt idx="582">
                  <c:v>19891100</c:v>
                </c:pt>
                <c:pt idx="583">
                  <c:v>22965700</c:v>
                </c:pt>
                <c:pt idx="584">
                  <c:v>27617300</c:v>
                </c:pt>
                <c:pt idx="585">
                  <c:v>19607000</c:v>
                </c:pt>
                <c:pt idx="586">
                  <c:v>25215100</c:v>
                </c:pt>
                <c:pt idx="587">
                  <c:v>25806200</c:v>
                </c:pt>
                <c:pt idx="588">
                  <c:v>28918700</c:v>
                </c:pt>
                <c:pt idx="589">
                  <c:v>24161100</c:v>
                </c:pt>
                <c:pt idx="590">
                  <c:v>16165500</c:v>
                </c:pt>
                <c:pt idx="591">
                  <c:v>21176300</c:v>
                </c:pt>
                <c:pt idx="592">
                  <c:v>21117600</c:v>
                </c:pt>
                <c:pt idx="593">
                  <c:v>16878300</c:v>
                </c:pt>
                <c:pt idx="594">
                  <c:v>15014500</c:v>
                </c:pt>
                <c:pt idx="595">
                  <c:v>17460000</c:v>
                </c:pt>
                <c:pt idx="596">
                  <c:v>17750900</c:v>
                </c:pt>
                <c:pt idx="597">
                  <c:v>20269800</c:v>
                </c:pt>
                <c:pt idx="598">
                  <c:v>25868100</c:v>
                </c:pt>
                <c:pt idx="599">
                  <c:v>21803900</c:v>
                </c:pt>
                <c:pt idx="600">
                  <c:v>26435300</c:v>
                </c:pt>
                <c:pt idx="601">
                  <c:v>22416200</c:v>
                </c:pt>
                <c:pt idx="602">
                  <c:v>42361000</c:v>
                </c:pt>
                <c:pt idx="603">
                  <c:v>46717100</c:v>
                </c:pt>
                <c:pt idx="604">
                  <c:v>21394800</c:v>
                </c:pt>
                <c:pt idx="605">
                  <c:v>22018700</c:v>
                </c:pt>
                <c:pt idx="606">
                  <c:v>16252200</c:v>
                </c:pt>
                <c:pt idx="607">
                  <c:v>36844200</c:v>
                </c:pt>
                <c:pt idx="608">
                  <c:v>18306700</c:v>
                </c:pt>
                <c:pt idx="609">
                  <c:v>23600100</c:v>
                </c:pt>
                <c:pt idx="610">
                  <c:v>22132300</c:v>
                </c:pt>
                <c:pt idx="611">
                  <c:v>26499200</c:v>
                </c:pt>
                <c:pt idx="612">
                  <c:v>18214400</c:v>
                </c:pt>
                <c:pt idx="613">
                  <c:v>22579000</c:v>
                </c:pt>
                <c:pt idx="614">
                  <c:v>18705700</c:v>
                </c:pt>
                <c:pt idx="615">
                  <c:v>22044600</c:v>
                </c:pt>
                <c:pt idx="616">
                  <c:v>22213400</c:v>
                </c:pt>
                <c:pt idx="617">
                  <c:v>24734500</c:v>
                </c:pt>
                <c:pt idx="618">
                  <c:v>21443700</c:v>
                </c:pt>
                <c:pt idx="619">
                  <c:v>20096600</c:v>
                </c:pt>
                <c:pt idx="620">
                  <c:v>19181400</c:v>
                </c:pt>
                <c:pt idx="621">
                  <c:v>18150400</c:v>
                </c:pt>
                <c:pt idx="622">
                  <c:v>22977500</c:v>
                </c:pt>
                <c:pt idx="623">
                  <c:v>18761500</c:v>
                </c:pt>
                <c:pt idx="624">
                  <c:v>17734800</c:v>
                </c:pt>
                <c:pt idx="625">
                  <c:v>14343700</c:v>
                </c:pt>
                <c:pt idx="626">
                  <c:v>13766500</c:v>
                </c:pt>
                <c:pt idx="627">
                  <c:v>17098300</c:v>
                </c:pt>
                <c:pt idx="628">
                  <c:v>12794300</c:v>
                </c:pt>
                <c:pt idx="629">
                  <c:v>14569700</c:v>
                </c:pt>
                <c:pt idx="630">
                  <c:v>11478400</c:v>
                </c:pt>
                <c:pt idx="631">
                  <c:v>16897800</c:v>
                </c:pt>
                <c:pt idx="632">
                  <c:v>27652800</c:v>
                </c:pt>
                <c:pt idx="633">
                  <c:v>21736200</c:v>
                </c:pt>
                <c:pt idx="634">
                  <c:v>21556000</c:v>
                </c:pt>
                <c:pt idx="635">
                  <c:v>16535800</c:v>
                </c:pt>
                <c:pt idx="636">
                  <c:v>17471200</c:v>
                </c:pt>
                <c:pt idx="637">
                  <c:v>14703800</c:v>
                </c:pt>
                <c:pt idx="638">
                  <c:v>17910400</c:v>
                </c:pt>
                <c:pt idx="639">
                  <c:v>14394900</c:v>
                </c:pt>
                <c:pt idx="640">
                  <c:v>13380800</c:v>
                </c:pt>
                <c:pt idx="641">
                  <c:v>15733900</c:v>
                </c:pt>
                <c:pt idx="642">
                  <c:v>38578400</c:v>
                </c:pt>
                <c:pt idx="643">
                  <c:v>23307000</c:v>
                </c:pt>
                <c:pt idx="644">
                  <c:v>16093300</c:v>
                </c:pt>
                <c:pt idx="645">
                  <c:v>21587900</c:v>
                </c:pt>
                <c:pt idx="646">
                  <c:v>19186100</c:v>
                </c:pt>
                <c:pt idx="647">
                  <c:v>14111400</c:v>
                </c:pt>
                <c:pt idx="648">
                  <c:v>24149200</c:v>
                </c:pt>
                <c:pt idx="649">
                  <c:v>18019600</c:v>
                </c:pt>
                <c:pt idx="650">
                  <c:v>19565100</c:v>
                </c:pt>
                <c:pt idx="651">
                  <c:v>10883800</c:v>
                </c:pt>
                <c:pt idx="652">
                  <c:v>17079100</c:v>
                </c:pt>
                <c:pt idx="653">
                  <c:v>15304800</c:v>
                </c:pt>
                <c:pt idx="654">
                  <c:v>12190400</c:v>
                </c:pt>
                <c:pt idx="655">
                  <c:v>13317700</c:v>
                </c:pt>
                <c:pt idx="656">
                  <c:v>21195300</c:v>
                </c:pt>
                <c:pt idx="657">
                  <c:v>13959800</c:v>
                </c:pt>
                <c:pt idx="658">
                  <c:v>11386500</c:v>
                </c:pt>
                <c:pt idx="659">
                  <c:v>13944500</c:v>
                </c:pt>
                <c:pt idx="660">
                  <c:v>15388900</c:v>
                </c:pt>
                <c:pt idx="661">
                  <c:v>16876500</c:v>
                </c:pt>
                <c:pt idx="662">
                  <c:v>15335700</c:v>
                </c:pt>
                <c:pt idx="663">
                  <c:v>12380100</c:v>
                </c:pt>
                <c:pt idx="664">
                  <c:v>16824000</c:v>
                </c:pt>
                <c:pt idx="665">
                  <c:v>13300700</c:v>
                </c:pt>
                <c:pt idx="666">
                  <c:v>15092800</c:v>
                </c:pt>
                <c:pt idx="667">
                  <c:v>22866400</c:v>
                </c:pt>
                <c:pt idx="668">
                  <c:v>20627200</c:v>
                </c:pt>
                <c:pt idx="669">
                  <c:v>17517200</c:v>
                </c:pt>
                <c:pt idx="670">
                  <c:v>20410800</c:v>
                </c:pt>
                <c:pt idx="671">
                  <c:v>32120700</c:v>
                </c:pt>
                <c:pt idx="672">
                  <c:v>71066700</c:v>
                </c:pt>
                <c:pt idx="673">
                  <c:v>31756700</c:v>
                </c:pt>
                <c:pt idx="674">
                  <c:v>27086600</c:v>
                </c:pt>
                <c:pt idx="675">
                  <c:v>22307400</c:v>
                </c:pt>
                <c:pt idx="676">
                  <c:v>23992900</c:v>
                </c:pt>
                <c:pt idx="677">
                  <c:v>17633500</c:v>
                </c:pt>
                <c:pt idx="678">
                  <c:v>19860900</c:v>
                </c:pt>
                <c:pt idx="679">
                  <c:v>17939700</c:v>
                </c:pt>
                <c:pt idx="680">
                  <c:v>18034200</c:v>
                </c:pt>
                <c:pt idx="681">
                  <c:v>21178400</c:v>
                </c:pt>
                <c:pt idx="682">
                  <c:v>19397800</c:v>
                </c:pt>
                <c:pt idx="683">
                  <c:v>14196900</c:v>
                </c:pt>
                <c:pt idx="684">
                  <c:v>18801300</c:v>
                </c:pt>
                <c:pt idx="685">
                  <c:v>19383100</c:v>
                </c:pt>
                <c:pt idx="686">
                  <c:v>20962800</c:v>
                </c:pt>
                <c:pt idx="687">
                  <c:v>22079000</c:v>
                </c:pt>
                <c:pt idx="688">
                  <c:v>16315000</c:v>
                </c:pt>
                <c:pt idx="689">
                  <c:v>21237500</c:v>
                </c:pt>
                <c:pt idx="690">
                  <c:v>20553100</c:v>
                </c:pt>
                <c:pt idx="691">
                  <c:v>7425600</c:v>
                </c:pt>
                <c:pt idx="692">
                  <c:v>18265200</c:v>
                </c:pt>
                <c:pt idx="693">
                  <c:v>21926000</c:v>
                </c:pt>
                <c:pt idx="694">
                  <c:v>27381100</c:v>
                </c:pt>
                <c:pt idx="695">
                  <c:v>33054600</c:v>
                </c:pt>
                <c:pt idx="696">
                  <c:v>29532100</c:v>
                </c:pt>
                <c:pt idx="697">
                  <c:v>39094900</c:v>
                </c:pt>
                <c:pt idx="698">
                  <c:v>26152300</c:v>
                </c:pt>
                <c:pt idx="699">
                  <c:v>26162100</c:v>
                </c:pt>
                <c:pt idx="700">
                  <c:v>23184500</c:v>
                </c:pt>
                <c:pt idx="701">
                  <c:v>24489100</c:v>
                </c:pt>
                <c:pt idx="702">
                  <c:v>22857900</c:v>
                </c:pt>
                <c:pt idx="703">
                  <c:v>23924100</c:v>
                </c:pt>
                <c:pt idx="704">
                  <c:v>22062700</c:v>
                </c:pt>
                <c:pt idx="705">
                  <c:v>19306000</c:v>
                </c:pt>
                <c:pt idx="706">
                  <c:v>53936700</c:v>
                </c:pt>
                <c:pt idx="707">
                  <c:v>22283800</c:v>
                </c:pt>
                <c:pt idx="708">
                  <c:v>23524800</c:v>
                </c:pt>
                <c:pt idx="709">
                  <c:v>23674900</c:v>
                </c:pt>
                <c:pt idx="710">
                  <c:v>17990700</c:v>
                </c:pt>
                <c:pt idx="711">
                  <c:v>14145800</c:v>
                </c:pt>
                <c:pt idx="712">
                  <c:v>9891200</c:v>
                </c:pt>
                <c:pt idx="713">
                  <c:v>14678000</c:v>
                </c:pt>
                <c:pt idx="714">
                  <c:v>10594300</c:v>
                </c:pt>
                <c:pt idx="715">
                  <c:v>18717400</c:v>
                </c:pt>
                <c:pt idx="716">
                  <c:v>22483800</c:v>
                </c:pt>
                <c:pt idx="717">
                  <c:v>26061400</c:v>
                </c:pt>
                <c:pt idx="718">
                  <c:v>21912000</c:v>
                </c:pt>
                <c:pt idx="719">
                  <c:v>23407100</c:v>
                </c:pt>
                <c:pt idx="720">
                  <c:v>22113000</c:v>
                </c:pt>
                <c:pt idx="721">
                  <c:v>19484300</c:v>
                </c:pt>
                <c:pt idx="722">
                  <c:v>18652200</c:v>
                </c:pt>
                <c:pt idx="723">
                  <c:v>17808900</c:v>
                </c:pt>
                <c:pt idx="724">
                  <c:v>24271500</c:v>
                </c:pt>
                <c:pt idx="725">
                  <c:v>36599700</c:v>
                </c:pt>
                <c:pt idx="726">
                  <c:v>25621200</c:v>
                </c:pt>
                <c:pt idx="727">
                  <c:v>24159700</c:v>
                </c:pt>
                <c:pt idx="728">
                  <c:v>36875000</c:v>
                </c:pt>
                <c:pt idx="729">
                  <c:v>23601600</c:v>
                </c:pt>
                <c:pt idx="730">
                  <c:v>23412800</c:v>
                </c:pt>
                <c:pt idx="731">
                  <c:v>33277500</c:v>
                </c:pt>
                <c:pt idx="732">
                  <c:v>26383200</c:v>
                </c:pt>
                <c:pt idx="733">
                  <c:v>29172200</c:v>
                </c:pt>
                <c:pt idx="734">
                  <c:v>31569900</c:v>
                </c:pt>
                <c:pt idx="735">
                  <c:v>38635100</c:v>
                </c:pt>
                <c:pt idx="736">
                  <c:v>48756300</c:v>
                </c:pt>
                <c:pt idx="737">
                  <c:v>47227900</c:v>
                </c:pt>
                <c:pt idx="738">
                  <c:v>47867800</c:v>
                </c:pt>
                <c:pt idx="739">
                  <c:v>51031500</c:v>
                </c:pt>
                <c:pt idx="740">
                  <c:v>67998600</c:v>
                </c:pt>
                <c:pt idx="741">
                  <c:v>41107600</c:v>
                </c:pt>
                <c:pt idx="742">
                  <c:v>55628700</c:v>
                </c:pt>
                <c:pt idx="743">
                  <c:v>63499100</c:v>
                </c:pt>
                <c:pt idx="744">
                  <c:v>35720300</c:v>
                </c:pt>
                <c:pt idx="745">
                  <c:v>26407700</c:v>
                </c:pt>
                <c:pt idx="746">
                  <c:v>34960900</c:v>
                </c:pt>
                <c:pt idx="747">
                  <c:v>27823900</c:v>
                </c:pt>
                <c:pt idx="748">
                  <c:v>30596900</c:v>
                </c:pt>
                <c:pt idx="749">
                  <c:v>30911700</c:v>
                </c:pt>
                <c:pt idx="750">
                  <c:v>26922500</c:v>
                </c:pt>
                <c:pt idx="751">
                  <c:v>24392800</c:v>
                </c:pt>
                <c:pt idx="752">
                  <c:v>26329200</c:v>
                </c:pt>
                <c:pt idx="753">
                  <c:v>30199800</c:v>
                </c:pt>
                <c:pt idx="754">
                  <c:v>25869100</c:v>
                </c:pt>
                <c:pt idx="755">
                  <c:v>31167300</c:v>
                </c:pt>
                <c:pt idx="756">
                  <c:v>37135600</c:v>
                </c:pt>
                <c:pt idx="757">
                  <c:v>32830400</c:v>
                </c:pt>
                <c:pt idx="758">
                  <c:v>23901600</c:v>
                </c:pt>
                <c:pt idx="759">
                  <c:v>22175800</c:v>
                </c:pt>
                <c:pt idx="760">
                  <c:v>26716100</c:v>
                </c:pt>
                <c:pt idx="761">
                  <c:v>25887800</c:v>
                </c:pt>
                <c:pt idx="762">
                  <c:v>36937300</c:v>
                </c:pt>
                <c:pt idx="763">
                  <c:v>26073700</c:v>
                </c:pt>
                <c:pt idx="764">
                  <c:v>35387800</c:v>
                </c:pt>
                <c:pt idx="765">
                  <c:v>32132000</c:v>
                </c:pt>
                <c:pt idx="766">
                  <c:v>27611000</c:v>
                </c:pt>
                <c:pt idx="767">
                  <c:v>49081300</c:v>
                </c:pt>
                <c:pt idx="768">
                  <c:v>33344100</c:v>
                </c:pt>
                <c:pt idx="769">
                  <c:v>23075200</c:v>
                </c:pt>
                <c:pt idx="770">
                  <c:v>24457100</c:v>
                </c:pt>
                <c:pt idx="771">
                  <c:v>38604700</c:v>
                </c:pt>
                <c:pt idx="772">
                  <c:v>44068900</c:v>
                </c:pt>
                <c:pt idx="773">
                  <c:v>56396800</c:v>
                </c:pt>
                <c:pt idx="774">
                  <c:v>56569000</c:v>
                </c:pt>
                <c:pt idx="775">
                  <c:v>52501100</c:v>
                </c:pt>
                <c:pt idx="776">
                  <c:v>45867500</c:v>
                </c:pt>
                <c:pt idx="777">
                  <c:v>48515400</c:v>
                </c:pt>
                <c:pt idx="778">
                  <c:v>37213800</c:v>
                </c:pt>
                <c:pt idx="779">
                  <c:v>35560000</c:v>
                </c:pt>
                <c:pt idx="780">
                  <c:v>29771900</c:v>
                </c:pt>
                <c:pt idx="781">
                  <c:v>38026000</c:v>
                </c:pt>
                <c:pt idx="782">
                  <c:v>31533900</c:v>
                </c:pt>
                <c:pt idx="783">
                  <c:v>26812000</c:v>
                </c:pt>
                <c:pt idx="784">
                  <c:v>24872100</c:v>
                </c:pt>
                <c:pt idx="785">
                  <c:v>26758900</c:v>
                </c:pt>
                <c:pt idx="786">
                  <c:v>23346100</c:v>
                </c:pt>
                <c:pt idx="787">
                  <c:v>20288100</c:v>
                </c:pt>
                <c:pt idx="788">
                  <c:v>26771000</c:v>
                </c:pt>
                <c:pt idx="789">
                  <c:v>21043300</c:v>
                </c:pt>
                <c:pt idx="790">
                  <c:v>23552500</c:v>
                </c:pt>
                <c:pt idx="791">
                  <c:v>31154400</c:v>
                </c:pt>
                <c:pt idx="792">
                  <c:v>22331800</c:v>
                </c:pt>
                <c:pt idx="793">
                  <c:v>34524800</c:v>
                </c:pt>
                <c:pt idx="794">
                  <c:v>33729300</c:v>
                </c:pt>
                <c:pt idx="795">
                  <c:v>42529000</c:v>
                </c:pt>
                <c:pt idx="796">
                  <c:v>48272800</c:v>
                </c:pt>
                <c:pt idx="797">
                  <c:v>41523600</c:v>
                </c:pt>
                <c:pt idx="798">
                  <c:v>31408900</c:v>
                </c:pt>
                <c:pt idx="799">
                  <c:v>27471000</c:v>
                </c:pt>
                <c:pt idx="800">
                  <c:v>31142500</c:v>
                </c:pt>
                <c:pt idx="801">
                  <c:v>22531300</c:v>
                </c:pt>
                <c:pt idx="802">
                  <c:v>24242000</c:v>
                </c:pt>
                <c:pt idx="803">
                  <c:v>23484600</c:v>
                </c:pt>
                <c:pt idx="804">
                  <c:v>27327400</c:v>
                </c:pt>
                <c:pt idx="805">
                  <c:v>22388100</c:v>
                </c:pt>
                <c:pt idx="806">
                  <c:v>16778300</c:v>
                </c:pt>
                <c:pt idx="807">
                  <c:v>19454100</c:v>
                </c:pt>
                <c:pt idx="808">
                  <c:v>24594000</c:v>
                </c:pt>
                <c:pt idx="809">
                  <c:v>17384700</c:v>
                </c:pt>
                <c:pt idx="810">
                  <c:v>17246700</c:v>
                </c:pt>
                <c:pt idx="811">
                  <c:v>17865800</c:v>
                </c:pt>
                <c:pt idx="812">
                  <c:v>19422500</c:v>
                </c:pt>
                <c:pt idx="813">
                  <c:v>15441200</c:v>
                </c:pt>
                <c:pt idx="814">
                  <c:v>21251200</c:v>
                </c:pt>
                <c:pt idx="815">
                  <c:v>26649300</c:v>
                </c:pt>
                <c:pt idx="816">
                  <c:v>18363900</c:v>
                </c:pt>
                <c:pt idx="817">
                  <c:v>28671000</c:v>
                </c:pt>
                <c:pt idx="818">
                  <c:v>22158500</c:v>
                </c:pt>
                <c:pt idx="819">
                  <c:v>34140900</c:v>
                </c:pt>
                <c:pt idx="820">
                  <c:v>28655600</c:v>
                </c:pt>
                <c:pt idx="821">
                  <c:v>27281600</c:v>
                </c:pt>
                <c:pt idx="822">
                  <c:v>23514400</c:v>
                </c:pt>
                <c:pt idx="823">
                  <c:v>21122900</c:v>
                </c:pt>
                <c:pt idx="824">
                  <c:v>28232200</c:v>
                </c:pt>
                <c:pt idx="825">
                  <c:v>22165100</c:v>
                </c:pt>
                <c:pt idx="826">
                  <c:v>23490900</c:v>
                </c:pt>
                <c:pt idx="827">
                  <c:v>18325200</c:v>
                </c:pt>
                <c:pt idx="828">
                  <c:v>29492900</c:v>
                </c:pt>
                <c:pt idx="829">
                  <c:v>25691800</c:v>
                </c:pt>
                <c:pt idx="830">
                  <c:v>65738600</c:v>
                </c:pt>
                <c:pt idx="831">
                  <c:v>23586000</c:v>
                </c:pt>
                <c:pt idx="832">
                  <c:v>28653100</c:v>
                </c:pt>
                <c:pt idx="833">
                  <c:v>26180800</c:v>
                </c:pt>
                <c:pt idx="834">
                  <c:v>23198200</c:v>
                </c:pt>
                <c:pt idx="835">
                  <c:v>38923100</c:v>
                </c:pt>
                <c:pt idx="836">
                  <c:v>35433300</c:v>
                </c:pt>
                <c:pt idx="837">
                  <c:v>26897200</c:v>
                </c:pt>
                <c:pt idx="838">
                  <c:v>31298400</c:v>
                </c:pt>
                <c:pt idx="839">
                  <c:v>26650700</c:v>
                </c:pt>
                <c:pt idx="840">
                  <c:v>28053200</c:v>
                </c:pt>
                <c:pt idx="841">
                  <c:v>19564500</c:v>
                </c:pt>
                <c:pt idx="842">
                  <c:v>14670300</c:v>
                </c:pt>
                <c:pt idx="843">
                  <c:v>18977400</c:v>
                </c:pt>
                <c:pt idx="844">
                  <c:v>19234600</c:v>
                </c:pt>
                <c:pt idx="845">
                  <c:v>18212000</c:v>
                </c:pt>
                <c:pt idx="846">
                  <c:v>19293100</c:v>
                </c:pt>
                <c:pt idx="847">
                  <c:v>19644600</c:v>
                </c:pt>
                <c:pt idx="848">
                  <c:v>24335900</c:v>
                </c:pt>
                <c:pt idx="849">
                  <c:v>24635200</c:v>
                </c:pt>
                <c:pt idx="850">
                  <c:v>21786900</c:v>
                </c:pt>
                <c:pt idx="851">
                  <c:v>25901700</c:v>
                </c:pt>
                <c:pt idx="852">
                  <c:v>29493900</c:v>
                </c:pt>
                <c:pt idx="853">
                  <c:v>40171600</c:v>
                </c:pt>
                <c:pt idx="854">
                  <c:v>56004000</c:v>
                </c:pt>
                <c:pt idx="855">
                  <c:v>29707000</c:v>
                </c:pt>
                <c:pt idx="856">
                  <c:v>26316600</c:v>
                </c:pt>
                <c:pt idx="857">
                  <c:v>30702100</c:v>
                </c:pt>
                <c:pt idx="858">
                  <c:v>31372100</c:v>
                </c:pt>
                <c:pt idx="859">
                  <c:v>37005300</c:v>
                </c:pt>
                <c:pt idx="860">
                  <c:v>34668300</c:v>
                </c:pt>
                <c:pt idx="861">
                  <c:v>27655200</c:v>
                </c:pt>
                <c:pt idx="862">
                  <c:v>23628700</c:v>
                </c:pt>
                <c:pt idx="863">
                  <c:v>26104300</c:v>
                </c:pt>
                <c:pt idx="864">
                  <c:v>18659600</c:v>
                </c:pt>
                <c:pt idx="865">
                  <c:v>20265900</c:v>
                </c:pt>
                <c:pt idx="866">
                  <c:v>16080200</c:v>
                </c:pt>
                <c:pt idx="867">
                  <c:v>15487500</c:v>
                </c:pt>
                <c:pt idx="868">
                  <c:v>13677200</c:v>
                </c:pt>
                <c:pt idx="869">
                  <c:v>18183700</c:v>
                </c:pt>
                <c:pt idx="870">
                  <c:v>18472500</c:v>
                </c:pt>
                <c:pt idx="871">
                  <c:v>16788300</c:v>
                </c:pt>
                <c:pt idx="872">
                  <c:v>29982800</c:v>
                </c:pt>
                <c:pt idx="873">
                  <c:v>21384300</c:v>
                </c:pt>
                <c:pt idx="874">
                  <c:v>18061500</c:v>
                </c:pt>
                <c:pt idx="875">
                  <c:v>17914200</c:v>
                </c:pt>
                <c:pt idx="876">
                  <c:v>22881900</c:v>
                </c:pt>
                <c:pt idx="877">
                  <c:v>18000600</c:v>
                </c:pt>
                <c:pt idx="878">
                  <c:v>18167700</c:v>
                </c:pt>
                <c:pt idx="879">
                  <c:v>17234000</c:v>
                </c:pt>
                <c:pt idx="880">
                  <c:v>19662300</c:v>
                </c:pt>
                <c:pt idx="881">
                  <c:v>19151500</c:v>
                </c:pt>
                <c:pt idx="882">
                  <c:v>20818000</c:v>
                </c:pt>
                <c:pt idx="883">
                  <c:v>22798700</c:v>
                </c:pt>
                <c:pt idx="884">
                  <c:v>23222700</c:v>
                </c:pt>
                <c:pt idx="885">
                  <c:v>22634600</c:v>
                </c:pt>
                <c:pt idx="886">
                  <c:v>32872400</c:v>
                </c:pt>
                <c:pt idx="887">
                  <c:v>23477600</c:v>
                </c:pt>
                <c:pt idx="888">
                  <c:v>22498600</c:v>
                </c:pt>
                <c:pt idx="889">
                  <c:v>20727900</c:v>
                </c:pt>
                <c:pt idx="890">
                  <c:v>24301800</c:v>
                </c:pt>
                <c:pt idx="891">
                  <c:v>18891100</c:v>
                </c:pt>
                <c:pt idx="892">
                  <c:v>26055600</c:v>
                </c:pt>
                <c:pt idx="893">
                  <c:v>19122300</c:v>
                </c:pt>
                <c:pt idx="894">
                  <c:v>20736500</c:v>
                </c:pt>
                <c:pt idx="895">
                  <c:v>22170900</c:v>
                </c:pt>
                <c:pt idx="896">
                  <c:v>21728400</c:v>
                </c:pt>
                <c:pt idx="897">
                  <c:v>23714500</c:v>
                </c:pt>
                <c:pt idx="898">
                  <c:v>71229700</c:v>
                </c:pt>
                <c:pt idx="899">
                  <c:v>27334500</c:v>
                </c:pt>
                <c:pt idx="900">
                  <c:v>22668000</c:v>
                </c:pt>
                <c:pt idx="901">
                  <c:v>19352000</c:v>
                </c:pt>
                <c:pt idx="902">
                  <c:v>19091300</c:v>
                </c:pt>
                <c:pt idx="903">
                  <c:v>21647800</c:v>
                </c:pt>
                <c:pt idx="904">
                  <c:v>18883100</c:v>
                </c:pt>
                <c:pt idx="905">
                  <c:v>20787200</c:v>
                </c:pt>
                <c:pt idx="906">
                  <c:v>16648000</c:v>
                </c:pt>
                <c:pt idx="907">
                  <c:v>34821700</c:v>
                </c:pt>
                <c:pt idx="908">
                  <c:v>29068900</c:v>
                </c:pt>
                <c:pt idx="909">
                  <c:v>29640600</c:v>
                </c:pt>
                <c:pt idx="910">
                  <c:v>26198600</c:v>
                </c:pt>
                <c:pt idx="911">
                  <c:v>61376300</c:v>
                </c:pt>
                <c:pt idx="912">
                  <c:v>63904300</c:v>
                </c:pt>
                <c:pt idx="913">
                  <c:v>47742100</c:v>
                </c:pt>
                <c:pt idx="914">
                  <c:v>32068100</c:v>
                </c:pt>
                <c:pt idx="915">
                  <c:v>31610200</c:v>
                </c:pt>
                <c:pt idx="916">
                  <c:v>26548200</c:v>
                </c:pt>
                <c:pt idx="917">
                  <c:v>32506200</c:v>
                </c:pt>
                <c:pt idx="918">
                  <c:v>32785500</c:v>
                </c:pt>
                <c:pt idx="919">
                  <c:v>26545600</c:v>
                </c:pt>
                <c:pt idx="920">
                  <c:v>43770400</c:v>
                </c:pt>
                <c:pt idx="921">
                  <c:v>63897800</c:v>
                </c:pt>
                <c:pt idx="922">
                  <c:v>61646800</c:v>
                </c:pt>
                <c:pt idx="923">
                  <c:v>55523100</c:v>
                </c:pt>
                <c:pt idx="924">
                  <c:v>55162000</c:v>
                </c:pt>
                <c:pt idx="925">
                  <c:v>65350900</c:v>
                </c:pt>
                <c:pt idx="926">
                  <c:v>51062400</c:v>
                </c:pt>
                <c:pt idx="927">
                  <c:v>33384200</c:v>
                </c:pt>
                <c:pt idx="928">
                  <c:v>37680200</c:v>
                </c:pt>
                <c:pt idx="929">
                  <c:v>27922100</c:v>
                </c:pt>
                <c:pt idx="930">
                  <c:v>24340200</c:v>
                </c:pt>
                <c:pt idx="931">
                  <c:v>37901700</c:v>
                </c:pt>
                <c:pt idx="932">
                  <c:v>25644100</c:v>
                </c:pt>
                <c:pt idx="933">
                  <c:v>32039200</c:v>
                </c:pt>
                <c:pt idx="934">
                  <c:v>33621800</c:v>
                </c:pt>
                <c:pt idx="935">
                  <c:v>35374600</c:v>
                </c:pt>
                <c:pt idx="936">
                  <c:v>39495100</c:v>
                </c:pt>
                <c:pt idx="937">
                  <c:v>38505200</c:v>
                </c:pt>
                <c:pt idx="938">
                  <c:v>33502100</c:v>
                </c:pt>
                <c:pt idx="939">
                  <c:v>44773900</c:v>
                </c:pt>
                <c:pt idx="940">
                  <c:v>64052500</c:v>
                </c:pt>
                <c:pt idx="941">
                  <c:v>28130600</c:v>
                </c:pt>
                <c:pt idx="942">
                  <c:v>13823100</c:v>
                </c:pt>
                <c:pt idx="943">
                  <c:v>32336200</c:v>
                </c:pt>
                <c:pt idx="944">
                  <c:v>29124500</c:v>
                </c:pt>
                <c:pt idx="945">
                  <c:v>46788500</c:v>
                </c:pt>
                <c:pt idx="946">
                  <c:v>28123200</c:v>
                </c:pt>
                <c:pt idx="947">
                  <c:v>33665600</c:v>
                </c:pt>
                <c:pt idx="948">
                  <c:v>34732800</c:v>
                </c:pt>
                <c:pt idx="949">
                  <c:v>45197000</c:v>
                </c:pt>
                <c:pt idx="950">
                  <c:v>49107400</c:v>
                </c:pt>
                <c:pt idx="951">
                  <c:v>45044900</c:v>
                </c:pt>
                <c:pt idx="952">
                  <c:v>40801500</c:v>
                </c:pt>
                <c:pt idx="953">
                  <c:v>42381900</c:v>
                </c:pt>
                <c:pt idx="954">
                  <c:v>36183000</c:v>
                </c:pt>
                <c:pt idx="955">
                  <c:v>31333400</c:v>
                </c:pt>
                <c:pt idx="956">
                  <c:v>47043100</c:v>
                </c:pt>
                <c:pt idx="957">
                  <c:v>56957300</c:v>
                </c:pt>
                <c:pt idx="958">
                  <c:v>49319200</c:v>
                </c:pt>
                <c:pt idx="959">
                  <c:v>68198200</c:v>
                </c:pt>
                <c:pt idx="960">
                  <c:v>70334200</c:v>
                </c:pt>
                <c:pt idx="961">
                  <c:v>111242100</c:v>
                </c:pt>
                <c:pt idx="962">
                  <c:v>43935200</c:v>
                </c:pt>
                <c:pt idx="963">
                  <c:v>51634800</c:v>
                </c:pt>
                <c:pt idx="964">
                  <c:v>49498500</c:v>
                </c:pt>
                <c:pt idx="965">
                  <c:v>38196300</c:v>
                </c:pt>
                <c:pt idx="966">
                  <c:v>33173800</c:v>
                </c:pt>
                <c:pt idx="967">
                  <c:v>35329300</c:v>
                </c:pt>
                <c:pt idx="968">
                  <c:v>42579100</c:v>
                </c:pt>
                <c:pt idx="969">
                  <c:v>44060600</c:v>
                </c:pt>
                <c:pt idx="970">
                  <c:v>35656100</c:v>
                </c:pt>
                <c:pt idx="971">
                  <c:v>31514400</c:v>
                </c:pt>
                <c:pt idx="972">
                  <c:v>32280800</c:v>
                </c:pt>
                <c:pt idx="973">
                  <c:v>30067600</c:v>
                </c:pt>
                <c:pt idx="974">
                  <c:v>28314200</c:v>
                </c:pt>
                <c:pt idx="975">
                  <c:v>28437100</c:v>
                </c:pt>
                <c:pt idx="976">
                  <c:v>31587600</c:v>
                </c:pt>
                <c:pt idx="977">
                  <c:v>29853900</c:v>
                </c:pt>
                <c:pt idx="978">
                  <c:v>28393000</c:v>
                </c:pt>
                <c:pt idx="979">
                  <c:v>37427600</c:v>
                </c:pt>
                <c:pt idx="980">
                  <c:v>32371300</c:v>
                </c:pt>
                <c:pt idx="981">
                  <c:v>25874300</c:v>
                </c:pt>
                <c:pt idx="982">
                  <c:v>23164800</c:v>
                </c:pt>
                <c:pt idx="983">
                  <c:v>31225600</c:v>
                </c:pt>
                <c:pt idx="984">
                  <c:v>29476700</c:v>
                </c:pt>
                <c:pt idx="985">
                  <c:v>31490500</c:v>
                </c:pt>
                <c:pt idx="986">
                  <c:v>49471900</c:v>
                </c:pt>
                <c:pt idx="987">
                  <c:v>55636400</c:v>
                </c:pt>
                <c:pt idx="988">
                  <c:v>35535700</c:v>
                </c:pt>
                <c:pt idx="989">
                  <c:v>31315100</c:v>
                </c:pt>
                <c:pt idx="990">
                  <c:v>27325400</c:v>
                </c:pt>
                <c:pt idx="991">
                  <c:v>20609800</c:v>
                </c:pt>
                <c:pt idx="992">
                  <c:v>29760700</c:v>
                </c:pt>
                <c:pt idx="993">
                  <c:v>21461100</c:v>
                </c:pt>
                <c:pt idx="994">
                  <c:v>18914100</c:v>
                </c:pt>
                <c:pt idx="995">
                  <c:v>25056600</c:v>
                </c:pt>
                <c:pt idx="996">
                  <c:v>18394900</c:v>
                </c:pt>
                <c:pt idx="997">
                  <c:v>21784700</c:v>
                </c:pt>
                <c:pt idx="998">
                  <c:v>26606900</c:v>
                </c:pt>
                <c:pt idx="999">
                  <c:v>18038500</c:v>
                </c:pt>
                <c:pt idx="1000">
                  <c:v>21607700</c:v>
                </c:pt>
                <c:pt idx="1001">
                  <c:v>29063200</c:v>
                </c:pt>
                <c:pt idx="1002">
                  <c:v>27763200</c:v>
                </c:pt>
                <c:pt idx="1003">
                  <c:v>23750600</c:v>
                </c:pt>
                <c:pt idx="1004">
                  <c:v>21536700</c:v>
                </c:pt>
                <c:pt idx="1005">
                  <c:v>21487100</c:v>
                </c:pt>
                <c:pt idx="1006">
                  <c:v>29083900</c:v>
                </c:pt>
                <c:pt idx="1007">
                  <c:v>23501200</c:v>
                </c:pt>
                <c:pt idx="1008">
                  <c:v>26608000</c:v>
                </c:pt>
                <c:pt idx="1009">
                  <c:v>19538300</c:v>
                </c:pt>
                <c:pt idx="1010">
                  <c:v>17687000</c:v>
                </c:pt>
                <c:pt idx="1011">
                  <c:v>25339000</c:v>
                </c:pt>
                <c:pt idx="1012">
                  <c:v>22818400</c:v>
                </c:pt>
                <c:pt idx="1013">
                  <c:v>26491600</c:v>
                </c:pt>
                <c:pt idx="1014">
                  <c:v>26132700</c:v>
                </c:pt>
                <c:pt idx="1015">
                  <c:v>35513800</c:v>
                </c:pt>
                <c:pt idx="1016">
                  <c:v>30763400</c:v>
                </c:pt>
                <c:pt idx="1017">
                  <c:v>54681100</c:v>
                </c:pt>
                <c:pt idx="1018">
                  <c:v>31207600</c:v>
                </c:pt>
                <c:pt idx="1019">
                  <c:v>37588700</c:v>
                </c:pt>
                <c:pt idx="1020">
                  <c:v>28113300</c:v>
                </c:pt>
                <c:pt idx="1021">
                  <c:v>29854400</c:v>
                </c:pt>
                <c:pt idx="1022">
                  <c:v>33624500</c:v>
                </c:pt>
                <c:pt idx="1023">
                  <c:v>27067100</c:v>
                </c:pt>
                <c:pt idx="1024">
                  <c:v>26097700</c:v>
                </c:pt>
                <c:pt idx="1025">
                  <c:v>22733400</c:v>
                </c:pt>
                <c:pt idx="1026">
                  <c:v>18334800</c:v>
                </c:pt>
                <c:pt idx="1027">
                  <c:v>25399800</c:v>
                </c:pt>
                <c:pt idx="1028">
                  <c:v>22789100</c:v>
                </c:pt>
                <c:pt idx="1029">
                  <c:v>18142300</c:v>
                </c:pt>
                <c:pt idx="1030">
                  <c:v>22860700</c:v>
                </c:pt>
                <c:pt idx="1031">
                  <c:v>20112800</c:v>
                </c:pt>
                <c:pt idx="1032">
                  <c:v>15826200</c:v>
                </c:pt>
                <c:pt idx="1033">
                  <c:v>15116200</c:v>
                </c:pt>
                <c:pt idx="1034">
                  <c:v>17612000</c:v>
                </c:pt>
                <c:pt idx="1035">
                  <c:v>16477200</c:v>
                </c:pt>
                <c:pt idx="1036">
                  <c:v>14209100</c:v>
                </c:pt>
                <c:pt idx="1037">
                  <c:v>19745100</c:v>
                </c:pt>
                <c:pt idx="1038">
                  <c:v>15792600</c:v>
                </c:pt>
                <c:pt idx="1039">
                  <c:v>14071800</c:v>
                </c:pt>
                <c:pt idx="1040">
                  <c:v>19300900</c:v>
                </c:pt>
                <c:pt idx="1041">
                  <c:v>27991000</c:v>
                </c:pt>
                <c:pt idx="1042">
                  <c:v>15648700</c:v>
                </c:pt>
                <c:pt idx="1043">
                  <c:v>24025500</c:v>
                </c:pt>
                <c:pt idx="1044">
                  <c:v>31257000</c:v>
                </c:pt>
                <c:pt idx="1045">
                  <c:v>38033900</c:v>
                </c:pt>
                <c:pt idx="1046">
                  <c:v>23654900</c:v>
                </c:pt>
                <c:pt idx="1047">
                  <c:v>16324200</c:v>
                </c:pt>
                <c:pt idx="1048">
                  <c:v>24166500</c:v>
                </c:pt>
                <c:pt idx="1049">
                  <c:v>26821700</c:v>
                </c:pt>
                <c:pt idx="1050">
                  <c:v>27350200</c:v>
                </c:pt>
                <c:pt idx="1051">
                  <c:v>24911100</c:v>
                </c:pt>
                <c:pt idx="1052">
                  <c:v>24239800</c:v>
                </c:pt>
                <c:pt idx="1053">
                  <c:v>36017700</c:v>
                </c:pt>
                <c:pt idx="1054">
                  <c:v>28419000</c:v>
                </c:pt>
                <c:pt idx="1055">
                  <c:v>27235800</c:v>
                </c:pt>
                <c:pt idx="1056">
                  <c:v>30915100</c:v>
                </c:pt>
                <c:pt idx="1057">
                  <c:v>33944900</c:v>
                </c:pt>
                <c:pt idx="1058">
                  <c:v>25266300</c:v>
                </c:pt>
                <c:pt idx="1059">
                  <c:v>24722700</c:v>
                </c:pt>
                <c:pt idx="1060">
                  <c:v>30112200</c:v>
                </c:pt>
                <c:pt idx="1061">
                  <c:v>25770500</c:v>
                </c:pt>
                <c:pt idx="1062">
                  <c:v>23706900</c:v>
                </c:pt>
                <c:pt idx="1063">
                  <c:v>15293300</c:v>
                </c:pt>
                <c:pt idx="1064">
                  <c:v>15396500</c:v>
                </c:pt>
                <c:pt idx="1065">
                  <c:v>23603800</c:v>
                </c:pt>
                <c:pt idx="1066">
                  <c:v>14123400</c:v>
                </c:pt>
                <c:pt idx="1067">
                  <c:v>23128400</c:v>
                </c:pt>
                <c:pt idx="1068">
                  <c:v>22763100</c:v>
                </c:pt>
                <c:pt idx="1069">
                  <c:v>16829600</c:v>
                </c:pt>
                <c:pt idx="1070">
                  <c:v>26646800</c:v>
                </c:pt>
                <c:pt idx="1071">
                  <c:v>37983600</c:v>
                </c:pt>
                <c:pt idx="1072">
                  <c:v>29382600</c:v>
                </c:pt>
                <c:pt idx="1073">
                  <c:v>24926100</c:v>
                </c:pt>
                <c:pt idx="1074">
                  <c:v>21459000</c:v>
                </c:pt>
                <c:pt idx="1075">
                  <c:v>33885600</c:v>
                </c:pt>
                <c:pt idx="1076">
                  <c:v>26477100</c:v>
                </c:pt>
                <c:pt idx="1077">
                  <c:v>23913700</c:v>
                </c:pt>
                <c:pt idx="1078">
                  <c:v>17084700</c:v>
                </c:pt>
                <c:pt idx="1079">
                  <c:v>17200800</c:v>
                </c:pt>
                <c:pt idx="1080">
                  <c:v>17821700</c:v>
                </c:pt>
                <c:pt idx="1081">
                  <c:v>14517800</c:v>
                </c:pt>
                <c:pt idx="1082">
                  <c:v>25934500</c:v>
                </c:pt>
                <c:pt idx="1083">
                  <c:v>23744400</c:v>
                </c:pt>
                <c:pt idx="1084">
                  <c:v>33042600</c:v>
                </c:pt>
                <c:pt idx="1085">
                  <c:v>36727900</c:v>
                </c:pt>
                <c:pt idx="1086">
                  <c:v>20628800</c:v>
                </c:pt>
                <c:pt idx="1087">
                  <c:v>33327400</c:v>
                </c:pt>
                <c:pt idx="1088">
                  <c:v>23657700</c:v>
                </c:pt>
                <c:pt idx="1089">
                  <c:v>16557500</c:v>
                </c:pt>
                <c:pt idx="1090">
                  <c:v>30043000</c:v>
                </c:pt>
                <c:pt idx="1091">
                  <c:v>22654200</c:v>
                </c:pt>
                <c:pt idx="1092">
                  <c:v>15237800</c:v>
                </c:pt>
                <c:pt idx="1093">
                  <c:v>13629300</c:v>
                </c:pt>
                <c:pt idx="1094">
                  <c:v>18141100</c:v>
                </c:pt>
                <c:pt idx="1095">
                  <c:v>16779700</c:v>
                </c:pt>
                <c:pt idx="1096">
                  <c:v>19953100</c:v>
                </c:pt>
                <c:pt idx="1097">
                  <c:v>24204400</c:v>
                </c:pt>
                <c:pt idx="1098">
                  <c:v>22327900</c:v>
                </c:pt>
                <c:pt idx="1099">
                  <c:v>18936800</c:v>
                </c:pt>
                <c:pt idx="1100">
                  <c:v>16651500</c:v>
                </c:pt>
                <c:pt idx="1101">
                  <c:v>22726100</c:v>
                </c:pt>
                <c:pt idx="1102">
                  <c:v>20211000</c:v>
                </c:pt>
                <c:pt idx="1103">
                  <c:v>30808700</c:v>
                </c:pt>
                <c:pt idx="1104">
                  <c:v>48992400</c:v>
                </c:pt>
                <c:pt idx="1105">
                  <c:v>25074900</c:v>
                </c:pt>
                <c:pt idx="1106">
                  <c:v>18034600</c:v>
                </c:pt>
                <c:pt idx="1107">
                  <c:v>20738300</c:v>
                </c:pt>
                <c:pt idx="1108">
                  <c:v>18356900</c:v>
                </c:pt>
                <c:pt idx="1109">
                  <c:v>19037600</c:v>
                </c:pt>
                <c:pt idx="1110">
                  <c:v>16605900</c:v>
                </c:pt>
                <c:pt idx="1111">
                  <c:v>16846500</c:v>
                </c:pt>
                <c:pt idx="1112">
                  <c:v>38598800</c:v>
                </c:pt>
                <c:pt idx="1113">
                  <c:v>40557500</c:v>
                </c:pt>
                <c:pt idx="1114">
                  <c:v>30791600</c:v>
                </c:pt>
                <c:pt idx="1115">
                  <c:v>42749600</c:v>
                </c:pt>
                <c:pt idx="1116">
                  <c:v>32696700</c:v>
                </c:pt>
                <c:pt idx="1117">
                  <c:v>33414500</c:v>
                </c:pt>
                <c:pt idx="1118">
                  <c:v>27496500</c:v>
                </c:pt>
                <c:pt idx="1119">
                  <c:v>23466700</c:v>
                </c:pt>
                <c:pt idx="1120">
                  <c:v>20476600</c:v>
                </c:pt>
                <c:pt idx="1121">
                  <c:v>25154600</c:v>
                </c:pt>
                <c:pt idx="1122">
                  <c:v>32527300</c:v>
                </c:pt>
                <c:pt idx="1123">
                  <c:v>28074400</c:v>
                </c:pt>
                <c:pt idx="1124">
                  <c:v>24449100</c:v>
                </c:pt>
                <c:pt idx="1125">
                  <c:v>24355700</c:v>
                </c:pt>
                <c:pt idx="1126">
                  <c:v>21170800</c:v>
                </c:pt>
                <c:pt idx="1127">
                  <c:v>14970300</c:v>
                </c:pt>
                <c:pt idx="1128">
                  <c:v>18697000</c:v>
                </c:pt>
                <c:pt idx="1129">
                  <c:v>38508600</c:v>
                </c:pt>
                <c:pt idx="1130">
                  <c:v>20312600</c:v>
                </c:pt>
                <c:pt idx="1131">
                  <c:v>23102100</c:v>
                </c:pt>
                <c:pt idx="1132">
                  <c:v>17393300</c:v>
                </c:pt>
                <c:pt idx="1133">
                  <c:v>20168700</c:v>
                </c:pt>
                <c:pt idx="1134">
                  <c:v>23940100</c:v>
                </c:pt>
                <c:pt idx="1135">
                  <c:v>18869300</c:v>
                </c:pt>
                <c:pt idx="1136">
                  <c:v>17995900</c:v>
                </c:pt>
                <c:pt idx="1137">
                  <c:v>26101800</c:v>
                </c:pt>
                <c:pt idx="1138">
                  <c:v>20824500</c:v>
                </c:pt>
                <c:pt idx="1139">
                  <c:v>25773900</c:v>
                </c:pt>
                <c:pt idx="1140">
                  <c:v>28903400</c:v>
                </c:pt>
                <c:pt idx="1141">
                  <c:v>24726100</c:v>
                </c:pt>
                <c:pt idx="1142">
                  <c:v>27010000</c:v>
                </c:pt>
                <c:pt idx="1143">
                  <c:v>23363100</c:v>
                </c:pt>
                <c:pt idx="1144">
                  <c:v>16731400</c:v>
                </c:pt>
                <c:pt idx="1145">
                  <c:v>17814200</c:v>
                </c:pt>
                <c:pt idx="1146">
                  <c:v>23982100</c:v>
                </c:pt>
                <c:pt idx="1147">
                  <c:v>35772100</c:v>
                </c:pt>
                <c:pt idx="1148">
                  <c:v>39167300</c:v>
                </c:pt>
                <c:pt idx="1149">
                  <c:v>17139300</c:v>
                </c:pt>
                <c:pt idx="1150">
                  <c:v>29773200</c:v>
                </c:pt>
                <c:pt idx="1151">
                  <c:v>21382000</c:v>
                </c:pt>
                <c:pt idx="1152">
                  <c:v>17456600</c:v>
                </c:pt>
                <c:pt idx="1153">
                  <c:v>22477700</c:v>
                </c:pt>
                <c:pt idx="1154">
                  <c:v>17280900</c:v>
                </c:pt>
                <c:pt idx="1155">
                  <c:v>21466600</c:v>
                </c:pt>
                <c:pt idx="1156">
                  <c:v>30521700</c:v>
                </c:pt>
                <c:pt idx="1157">
                  <c:v>24132900</c:v>
                </c:pt>
                <c:pt idx="1158">
                  <c:v>22897700</c:v>
                </c:pt>
                <c:pt idx="1159">
                  <c:v>15303700</c:v>
                </c:pt>
                <c:pt idx="1160">
                  <c:v>25550500</c:v>
                </c:pt>
                <c:pt idx="1161">
                  <c:v>19749900</c:v>
                </c:pt>
                <c:pt idx="1162">
                  <c:v>17654600</c:v>
                </c:pt>
                <c:pt idx="1163">
                  <c:v>25446000</c:v>
                </c:pt>
                <c:pt idx="1164">
                  <c:v>13304300</c:v>
                </c:pt>
                <c:pt idx="1165">
                  <c:v>19695700</c:v>
                </c:pt>
                <c:pt idx="1166">
                  <c:v>20751600</c:v>
                </c:pt>
                <c:pt idx="1167">
                  <c:v>21460600</c:v>
                </c:pt>
                <c:pt idx="1168">
                  <c:v>32273500</c:v>
                </c:pt>
                <c:pt idx="1169">
                  <c:v>20078200</c:v>
                </c:pt>
                <c:pt idx="1170">
                  <c:v>27431000</c:v>
                </c:pt>
                <c:pt idx="1171">
                  <c:v>29844600</c:v>
                </c:pt>
                <c:pt idx="1172">
                  <c:v>37029300</c:v>
                </c:pt>
                <c:pt idx="1173">
                  <c:v>25959700</c:v>
                </c:pt>
                <c:pt idx="1174">
                  <c:v>35280100</c:v>
                </c:pt>
                <c:pt idx="1175">
                  <c:v>20589500</c:v>
                </c:pt>
                <c:pt idx="1176">
                  <c:v>18496600</c:v>
                </c:pt>
                <c:pt idx="1177">
                  <c:v>24605100</c:v>
                </c:pt>
                <c:pt idx="1178">
                  <c:v>33128400</c:v>
                </c:pt>
                <c:pt idx="1179">
                  <c:v>16912000</c:v>
                </c:pt>
                <c:pt idx="1180">
                  <c:v>18250200</c:v>
                </c:pt>
                <c:pt idx="1181">
                  <c:v>16575800</c:v>
                </c:pt>
                <c:pt idx="1182">
                  <c:v>17786700</c:v>
                </c:pt>
                <c:pt idx="1183">
                  <c:v>16732700</c:v>
                </c:pt>
                <c:pt idx="1184">
                  <c:v>14362600</c:v>
                </c:pt>
                <c:pt idx="1185">
                  <c:v>18641600</c:v>
                </c:pt>
                <c:pt idx="1186">
                  <c:v>16919200</c:v>
                </c:pt>
                <c:pt idx="1187">
                  <c:v>19729800</c:v>
                </c:pt>
                <c:pt idx="1188">
                  <c:v>23485700</c:v>
                </c:pt>
                <c:pt idx="1189">
                  <c:v>21534000</c:v>
                </c:pt>
                <c:pt idx="1190">
                  <c:v>23935700</c:v>
                </c:pt>
                <c:pt idx="1191">
                  <c:v>25696800</c:v>
                </c:pt>
                <c:pt idx="1192">
                  <c:v>18576100</c:v>
                </c:pt>
                <c:pt idx="1193">
                  <c:v>15901800</c:v>
                </c:pt>
                <c:pt idx="1194">
                  <c:v>22420900</c:v>
                </c:pt>
                <c:pt idx="1195">
                  <c:v>24620100</c:v>
                </c:pt>
                <c:pt idx="1196">
                  <c:v>15184400</c:v>
                </c:pt>
                <c:pt idx="1197">
                  <c:v>11977300</c:v>
                </c:pt>
                <c:pt idx="1198">
                  <c:v>27418400</c:v>
                </c:pt>
                <c:pt idx="1199">
                  <c:v>24066000</c:v>
                </c:pt>
                <c:pt idx="1200">
                  <c:v>17574700</c:v>
                </c:pt>
                <c:pt idx="1201">
                  <c:v>17869100</c:v>
                </c:pt>
                <c:pt idx="1202">
                  <c:v>16403500</c:v>
                </c:pt>
                <c:pt idx="1203">
                  <c:v>16687400</c:v>
                </c:pt>
                <c:pt idx="1204">
                  <c:v>16476100</c:v>
                </c:pt>
                <c:pt idx="1205">
                  <c:v>18856600</c:v>
                </c:pt>
                <c:pt idx="1206">
                  <c:v>24612100</c:v>
                </c:pt>
                <c:pt idx="1207">
                  <c:v>23845400</c:v>
                </c:pt>
                <c:pt idx="1208">
                  <c:v>24144200</c:v>
                </c:pt>
                <c:pt idx="1209">
                  <c:v>25425600</c:v>
                </c:pt>
                <c:pt idx="1210">
                  <c:v>24129200</c:v>
                </c:pt>
                <c:pt idx="1211">
                  <c:v>24958900</c:v>
                </c:pt>
                <c:pt idx="1212">
                  <c:v>53477500</c:v>
                </c:pt>
                <c:pt idx="1213">
                  <c:v>17718200</c:v>
                </c:pt>
                <c:pt idx="1214">
                  <c:v>8989200</c:v>
                </c:pt>
                <c:pt idx="1215">
                  <c:v>14520600</c:v>
                </c:pt>
                <c:pt idx="1216">
                  <c:v>18412800</c:v>
                </c:pt>
                <c:pt idx="1217">
                  <c:v>16348400</c:v>
                </c:pt>
                <c:pt idx="1218">
                  <c:v>18369400</c:v>
                </c:pt>
                <c:pt idx="1219">
                  <c:v>22622100</c:v>
                </c:pt>
                <c:pt idx="1220">
                  <c:v>21116200</c:v>
                </c:pt>
                <c:pt idx="1221">
                  <c:v>20813700</c:v>
                </c:pt>
                <c:pt idx="1222">
                  <c:v>21634100</c:v>
                </c:pt>
                <c:pt idx="1223">
                  <c:v>27746500</c:v>
                </c:pt>
                <c:pt idx="1224">
                  <c:v>21385000</c:v>
                </c:pt>
                <c:pt idx="1225">
                  <c:v>20725900</c:v>
                </c:pt>
                <c:pt idx="1226">
                  <c:v>21626500</c:v>
                </c:pt>
                <c:pt idx="1227">
                  <c:v>23477400</c:v>
                </c:pt>
                <c:pt idx="1228">
                  <c:v>21417900</c:v>
                </c:pt>
                <c:pt idx="1229">
                  <c:v>23865400</c:v>
                </c:pt>
                <c:pt idx="1230">
                  <c:v>34371700</c:v>
                </c:pt>
                <c:pt idx="1231">
                  <c:v>29517200</c:v>
                </c:pt>
                <c:pt idx="1232">
                  <c:v>24138800</c:v>
                </c:pt>
                <c:pt idx="1233">
                  <c:v>19680800</c:v>
                </c:pt>
                <c:pt idx="1234">
                  <c:v>24918100</c:v>
                </c:pt>
                <c:pt idx="1235">
                  <c:v>32078100</c:v>
                </c:pt>
                <c:pt idx="1236">
                  <c:v>24899900</c:v>
                </c:pt>
                <c:pt idx="1237">
                  <c:v>34754500</c:v>
                </c:pt>
                <c:pt idx="1238">
                  <c:v>51597500</c:v>
                </c:pt>
                <c:pt idx="1239">
                  <c:v>36142700</c:v>
                </c:pt>
                <c:pt idx="1240">
                  <c:v>30149100</c:v>
                </c:pt>
                <c:pt idx="1241">
                  <c:v>36433300</c:v>
                </c:pt>
                <c:pt idx="1242">
                  <c:v>39186300</c:v>
                </c:pt>
                <c:pt idx="1243">
                  <c:v>27751400</c:v>
                </c:pt>
                <c:pt idx="1244">
                  <c:v>33529100</c:v>
                </c:pt>
                <c:pt idx="1245">
                  <c:v>35844300</c:v>
                </c:pt>
                <c:pt idx="1246">
                  <c:v>53159900</c:v>
                </c:pt>
                <c:pt idx="1247">
                  <c:v>47062900</c:v>
                </c:pt>
                <c:pt idx="1248">
                  <c:v>35295800</c:v>
                </c:pt>
                <c:pt idx="1249">
                  <c:v>23149500</c:v>
                </c:pt>
                <c:pt idx="1250">
                  <c:v>27792200</c:v>
                </c:pt>
                <c:pt idx="1251">
                  <c:v>29997500</c:v>
                </c:pt>
                <c:pt idx="1252">
                  <c:v>36862400</c:v>
                </c:pt>
                <c:pt idx="1253">
                  <c:v>48572600</c:v>
                </c:pt>
                <c:pt idx="1254">
                  <c:v>68311100</c:v>
                </c:pt>
                <c:pt idx="1255">
                  <c:v>68073300</c:v>
                </c:pt>
                <c:pt idx="1256">
                  <c:v>56206100</c:v>
                </c:pt>
                <c:pt idx="1257">
                  <c:v>93174900</c:v>
                </c:pt>
                <c:pt idx="1258">
                  <c:v>97073600</c:v>
                </c:pt>
                <c:pt idx="1259">
                  <c:v>71030800</c:v>
                </c:pt>
                <c:pt idx="1260">
                  <c:v>71677000</c:v>
                </c:pt>
                <c:pt idx="1261">
                  <c:v>49814400</c:v>
                </c:pt>
                <c:pt idx="1262">
                  <c:v>47817300</c:v>
                </c:pt>
                <c:pt idx="1263">
                  <c:v>72821100</c:v>
                </c:pt>
                <c:pt idx="1264">
                  <c:v>70419300</c:v>
                </c:pt>
                <c:pt idx="1265">
                  <c:v>65354400</c:v>
                </c:pt>
                <c:pt idx="1266">
                  <c:v>56371600</c:v>
                </c:pt>
                <c:pt idx="1267">
                  <c:v>93226400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9-DA4E-9E3D-7E3A69AED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  <a:r>
              <a:rPr lang="cs-CZ"/>
              <a:t>ar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'Ex 4'!$R$47:$R$67</c:f>
              <c:strCache>
                <c:ptCount val="21"/>
                <c:pt idx="0">
                  <c:v>&lt;=-0.0996</c:v>
                </c:pt>
                <c:pt idx="1">
                  <c:v>(-0.1,-0.09]</c:v>
                </c:pt>
                <c:pt idx="2">
                  <c:v>(-0.09,-0.08]</c:v>
                </c:pt>
                <c:pt idx="3">
                  <c:v>(-0.08,-0.07]</c:v>
                </c:pt>
                <c:pt idx="4">
                  <c:v>(-0.07,-0.06]</c:v>
                </c:pt>
                <c:pt idx="5">
                  <c:v>(-0.06,-0.05]</c:v>
                </c:pt>
                <c:pt idx="6">
                  <c:v>(-0.05,-0.04]</c:v>
                </c:pt>
                <c:pt idx="7">
                  <c:v>(-0.04,-0.03]</c:v>
                </c:pt>
                <c:pt idx="8">
                  <c:v>(-0.03,-0.02]</c:v>
                </c:pt>
                <c:pt idx="9">
                  <c:v>(-0.02,-0.01]</c:v>
                </c:pt>
                <c:pt idx="10">
                  <c:v>(-0.01,0]</c:v>
                </c:pt>
                <c:pt idx="11">
                  <c:v>(0,0.01]</c:v>
                </c:pt>
                <c:pt idx="12">
                  <c:v>(0.01,0.02]</c:v>
                </c:pt>
                <c:pt idx="13">
                  <c:v>(0.02,0.03]</c:v>
                </c:pt>
                <c:pt idx="14">
                  <c:v>(0.03,0.04]</c:v>
                </c:pt>
                <c:pt idx="15">
                  <c:v>(0.04,0.05]</c:v>
                </c:pt>
                <c:pt idx="16">
                  <c:v>(0.05,0.06]</c:v>
                </c:pt>
                <c:pt idx="17">
                  <c:v>(0.06,0.07]</c:v>
                </c:pt>
                <c:pt idx="18">
                  <c:v>(0.07,0.08]</c:v>
                </c:pt>
                <c:pt idx="19">
                  <c:v>(0.08,0.09]</c:v>
                </c:pt>
                <c:pt idx="20">
                  <c:v>(0.09,0.1]</c:v>
                </c:pt>
              </c:strCache>
            </c:strRef>
          </c:cat>
          <c:val>
            <c:numRef>
              <c:f>'Ex 4'!$T$47:$T$67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25</c:v>
                </c:pt>
                <c:pt idx="7">
                  <c:v>59</c:v>
                </c:pt>
                <c:pt idx="8">
                  <c:v>188</c:v>
                </c:pt>
                <c:pt idx="9">
                  <c:v>536</c:v>
                </c:pt>
                <c:pt idx="10">
                  <c:v>317</c:v>
                </c:pt>
                <c:pt idx="11">
                  <c:v>90</c:v>
                </c:pt>
                <c:pt idx="12">
                  <c:v>25</c:v>
                </c:pt>
                <c:pt idx="13">
                  <c:v>2</c:v>
                </c:pt>
                <c:pt idx="14">
                  <c:v>5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7-094F-9FCF-7A4E60EF4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6"/>
        <c:axId val="495390544"/>
        <c:axId val="495390216"/>
      </c:barChart>
      <c:catAx>
        <c:axId val="495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216"/>
        <c:crosses val="autoZero"/>
        <c:auto val="1"/>
        <c:lblAlgn val="ctr"/>
        <c:lblOffset val="100"/>
        <c:noMultiLvlLbl val="0"/>
      </c:catAx>
      <c:valAx>
        <c:axId val="495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251136"/>
        <c:crosses val="autoZero"/>
        <c:crossBetween val="between"/>
      </c:valAx>
      <c:spPr>
        <a:noFill/>
        <a:ln>
          <a:solidFill>
            <a:schemeClr val="accent4">
              <a:lumMod val="20000"/>
              <a:lumOff val="8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accent4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83820</xdr:rowOff>
    </xdr:from>
    <xdr:to>
      <xdr:col>16</xdr:col>
      <xdr:colOff>7620</xdr:colOff>
      <xdr:row>26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B5FD3C-2B91-3240-9C07-2DA595B82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144780</xdr:colOff>
      <xdr:row>11</xdr:row>
      <xdr:rowOff>83820</xdr:rowOff>
    </xdr:from>
    <xdr:to>
      <xdr:col>23</xdr:col>
      <xdr:colOff>381000</xdr:colOff>
      <xdr:row>27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998987-D4B1-BE4D-B114-CC39B3C78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144780</xdr:colOff>
      <xdr:row>28</xdr:row>
      <xdr:rowOff>3810</xdr:rowOff>
    </xdr:from>
    <xdr:to>
      <xdr:col>23</xdr:col>
      <xdr:colOff>381000</xdr:colOff>
      <xdr:row>43</xdr:row>
      <xdr:rowOff>137160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84CD7-E5C6-3247-9D95-BC249761E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19797</xdr:colOff>
      <xdr:row>2</xdr:row>
      <xdr:rowOff>131110</xdr:rowOff>
    </xdr:from>
    <xdr:to>
      <xdr:col>11</xdr:col>
      <xdr:colOff>430306</xdr:colOff>
      <xdr:row>23</xdr:row>
      <xdr:rowOff>80684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epluudanh/Desktop/Ex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 4"/>
    </sheetNames>
    <sheetDataSet>
      <sheetData sheetId="0">
        <row r="2">
          <cell r="A2">
            <v>42065</v>
          </cell>
          <cell r="C2">
            <v>31924000</v>
          </cell>
        </row>
        <row r="3">
          <cell r="A3">
            <v>42066</v>
          </cell>
          <cell r="C3">
            <v>31748600</v>
          </cell>
          <cell r="D3">
            <v>-1.3768311448059681E-2</v>
          </cell>
        </row>
        <row r="4">
          <cell r="A4">
            <v>42067</v>
          </cell>
          <cell r="C4">
            <v>25748700</v>
          </cell>
          <cell r="D4">
            <v>-5.0961788074067507E-3</v>
          </cell>
        </row>
        <row r="5">
          <cell r="A5">
            <v>42068</v>
          </cell>
          <cell r="C5">
            <v>23193500</v>
          </cell>
          <cell r="D5">
            <v>1.1607483086424407E-3</v>
          </cell>
        </row>
        <row r="6">
          <cell r="A6">
            <v>42069</v>
          </cell>
          <cell r="C6">
            <v>36248800</v>
          </cell>
          <cell r="D6">
            <v>-1.7550532558731884E-2</v>
          </cell>
        </row>
        <row r="7">
          <cell r="A7">
            <v>42072</v>
          </cell>
          <cell r="C7">
            <v>32108000</v>
          </cell>
          <cell r="D7">
            <v>1.1501137740280422E-2</v>
          </cell>
        </row>
        <row r="8">
          <cell r="A8">
            <v>42073</v>
          </cell>
          <cell r="C8">
            <v>39159700</v>
          </cell>
          <cell r="D8">
            <v>-1.9322169458859333E-2</v>
          </cell>
        </row>
        <row r="9">
          <cell r="A9">
            <v>42074</v>
          </cell>
          <cell r="C9">
            <v>32215300</v>
          </cell>
          <cell r="D9">
            <v>-1.1902758294672618E-3</v>
          </cell>
        </row>
        <row r="10">
          <cell r="A10">
            <v>42075</v>
          </cell>
          <cell r="C10">
            <v>59992500</v>
          </cell>
          <cell r="D10">
            <v>-2.3133421658477208E-2</v>
          </cell>
        </row>
        <row r="11">
          <cell r="A11">
            <v>42076</v>
          </cell>
          <cell r="C11">
            <v>58007700</v>
          </cell>
          <cell r="D11">
            <v>8.7379601820990593E-3</v>
          </cell>
        </row>
        <row r="12">
          <cell r="A12">
            <v>42079</v>
          </cell>
          <cell r="C12">
            <v>35273500</v>
          </cell>
          <cell r="D12">
            <v>4.3403004236584374E-3</v>
          </cell>
        </row>
        <row r="13">
          <cell r="A13">
            <v>42080</v>
          </cell>
          <cell r="C13">
            <v>31673400</v>
          </cell>
          <cell r="D13">
            <v>3.3629668996688635E-3</v>
          </cell>
        </row>
        <row r="14">
          <cell r="A14">
            <v>42081</v>
          </cell>
          <cell r="C14">
            <v>44194800</v>
          </cell>
          <cell r="D14">
            <v>1.9002956387131672E-2</v>
          </cell>
        </row>
        <row r="15">
          <cell r="A15">
            <v>42082</v>
          </cell>
          <cell r="C15">
            <v>33879100</v>
          </cell>
          <cell r="D15">
            <v>-4.9532209806805788E-3</v>
          </cell>
        </row>
        <row r="16">
          <cell r="A16">
            <v>42083</v>
          </cell>
          <cell r="C16">
            <v>71904500</v>
          </cell>
          <cell r="D16">
            <v>1.3854865241454638E-2</v>
          </cell>
        </row>
        <row r="17">
          <cell r="A17">
            <v>42086</v>
          </cell>
          <cell r="C17">
            <v>26246100</v>
          </cell>
          <cell r="D17">
            <v>-4.6648285866928959E-4</v>
          </cell>
        </row>
        <row r="18">
          <cell r="A18">
            <v>42087</v>
          </cell>
          <cell r="C18">
            <v>25513300</v>
          </cell>
          <cell r="D18">
            <v>9.3264480599716479E-4</v>
          </cell>
        </row>
        <row r="19">
          <cell r="A19">
            <v>42088</v>
          </cell>
          <cell r="C19">
            <v>43469900</v>
          </cell>
          <cell r="D19">
            <v>-3.4142669542604226E-2</v>
          </cell>
        </row>
        <row r="20">
          <cell r="A20">
            <v>42089</v>
          </cell>
          <cell r="C20">
            <v>37495600</v>
          </cell>
          <cell r="D20">
            <v>-6.0482648642400192E-3</v>
          </cell>
        </row>
        <row r="21">
          <cell r="A21">
            <v>42090</v>
          </cell>
          <cell r="C21">
            <v>34401400</v>
          </cell>
          <cell r="D21">
            <v>-5.8405480142997793E-3</v>
          </cell>
        </row>
        <row r="22">
          <cell r="A22">
            <v>42093</v>
          </cell>
          <cell r="C22">
            <v>35049700</v>
          </cell>
          <cell r="D22">
            <v>-2.4414200760991864E-4</v>
          </cell>
        </row>
        <row r="23">
          <cell r="A23">
            <v>42094</v>
          </cell>
          <cell r="C23">
            <v>34887200</v>
          </cell>
          <cell r="D23">
            <v>-7.3514331696913965E-3</v>
          </cell>
        </row>
        <row r="24">
          <cell r="A24">
            <v>42095</v>
          </cell>
          <cell r="C24">
            <v>36865300</v>
          </cell>
          <cell r="D24">
            <v>1.4747254195854192E-3</v>
          </cell>
        </row>
        <row r="25">
          <cell r="A25">
            <v>42096</v>
          </cell>
          <cell r="C25">
            <v>37487500</v>
          </cell>
          <cell r="D25">
            <v>-1.0615895997254489E-2</v>
          </cell>
        </row>
        <row r="26">
          <cell r="A26">
            <v>42100</v>
          </cell>
          <cell r="C26">
            <v>39223700</v>
          </cell>
          <cell r="D26">
            <v>3.0793849628447816E-2</v>
          </cell>
        </row>
        <row r="27">
          <cell r="A27">
            <v>42101</v>
          </cell>
          <cell r="C27">
            <v>28809400</v>
          </cell>
          <cell r="D27">
            <v>-4.8152532001892679E-4</v>
          </cell>
        </row>
        <row r="28">
          <cell r="A28">
            <v>42102</v>
          </cell>
          <cell r="C28">
            <v>24753400</v>
          </cell>
          <cell r="D28">
            <v>-2.652220572064361E-3</v>
          </cell>
        </row>
        <row r="29">
          <cell r="A29">
            <v>42103</v>
          </cell>
          <cell r="C29">
            <v>25723900</v>
          </cell>
          <cell r="D29">
            <v>1.4478998734120689E-3</v>
          </cell>
        </row>
        <row r="30">
          <cell r="A30">
            <v>42104</v>
          </cell>
          <cell r="C30">
            <v>28022000</v>
          </cell>
          <cell r="D30">
            <v>5.7690246752736766E-3</v>
          </cell>
        </row>
        <row r="31">
          <cell r="A31">
            <v>42107</v>
          </cell>
          <cell r="C31">
            <v>30276700</v>
          </cell>
          <cell r="D31">
            <v>9.5843601813830727E-4</v>
          </cell>
        </row>
        <row r="32">
          <cell r="A32">
            <v>42108</v>
          </cell>
          <cell r="C32">
            <v>24244400</v>
          </cell>
          <cell r="D32">
            <v>-2.6374865730509718E-3</v>
          </cell>
        </row>
        <row r="33">
          <cell r="A33">
            <v>42109</v>
          </cell>
          <cell r="C33">
            <v>27343600</v>
          </cell>
          <cell r="D33">
            <v>1.453938825103551E-2</v>
          </cell>
        </row>
        <row r="34">
          <cell r="A34">
            <v>42110</v>
          </cell>
          <cell r="C34">
            <v>22509700</v>
          </cell>
          <cell r="D34">
            <v>-2.368885485668657E-3</v>
          </cell>
        </row>
        <row r="35">
          <cell r="A35">
            <v>42111</v>
          </cell>
          <cell r="C35">
            <v>42387600</v>
          </cell>
          <cell r="D35">
            <v>-1.2891249088891527E-2</v>
          </cell>
        </row>
        <row r="36">
          <cell r="A36">
            <v>42114</v>
          </cell>
          <cell r="C36">
            <v>46057700</v>
          </cell>
          <cell r="D36">
            <v>3.0523996278372018E-2</v>
          </cell>
        </row>
        <row r="37">
          <cell r="A37">
            <v>42115</v>
          </cell>
          <cell r="C37">
            <v>26013800</v>
          </cell>
          <cell r="D37">
            <v>-6.3117854925977988E-3</v>
          </cell>
        </row>
        <row r="38">
          <cell r="A38">
            <v>42116</v>
          </cell>
          <cell r="C38">
            <v>25064300</v>
          </cell>
          <cell r="D38">
            <v>8.1746552651517698E-3</v>
          </cell>
        </row>
        <row r="39">
          <cell r="A39">
            <v>42117</v>
          </cell>
          <cell r="C39">
            <v>46309500</v>
          </cell>
          <cell r="D39">
            <v>8.1083717551697441E-3</v>
          </cell>
        </row>
        <row r="40">
          <cell r="A40">
            <v>42118</v>
          </cell>
          <cell r="C40">
            <v>130933700</v>
          </cell>
          <cell r="D40">
            <v>9.941303979719146E-2</v>
          </cell>
        </row>
        <row r="41">
          <cell r="A41">
            <v>42121</v>
          </cell>
          <cell r="C41">
            <v>59248200</v>
          </cell>
          <cell r="D41">
            <v>3.3367764041909065E-3</v>
          </cell>
        </row>
        <row r="42">
          <cell r="A42">
            <v>42122</v>
          </cell>
          <cell r="C42">
            <v>60730800</v>
          </cell>
          <cell r="D42">
            <v>2.3254588944977974E-2</v>
          </cell>
        </row>
        <row r="43">
          <cell r="A43">
            <v>42123</v>
          </cell>
          <cell r="C43">
            <v>47804600</v>
          </cell>
          <cell r="D43">
            <v>-2.0363932918983029E-3</v>
          </cell>
        </row>
        <row r="44">
          <cell r="A44">
            <v>42124</v>
          </cell>
          <cell r="C44">
            <v>64725500</v>
          </cell>
          <cell r="D44">
            <v>-8.5978113505696466E-3</v>
          </cell>
        </row>
        <row r="45">
          <cell r="A45">
            <v>42125</v>
          </cell>
          <cell r="C45">
            <v>38937300</v>
          </cell>
          <cell r="D45">
            <v>4.1131182161018557E-4</v>
          </cell>
        </row>
        <row r="46">
          <cell r="A46">
            <v>42128</v>
          </cell>
          <cell r="C46">
            <v>34039500</v>
          </cell>
          <cell r="D46">
            <v>-8.6688854005277684E-3</v>
          </cell>
        </row>
        <row r="47">
          <cell r="A47">
            <v>42129</v>
          </cell>
          <cell r="C47">
            <v>50369200</v>
          </cell>
          <cell r="D47">
            <v>-1.3355902190165577E-2</v>
          </cell>
          <cell r="R47" t="str">
            <v>&lt;=-0.0996</v>
          </cell>
          <cell r="T47">
            <v>1</v>
          </cell>
        </row>
        <row r="48">
          <cell r="A48">
            <v>42130</v>
          </cell>
          <cell r="C48">
            <v>52433000</v>
          </cell>
          <cell r="D48">
            <v>-2.8122769561925828E-2</v>
          </cell>
          <cell r="R48" t="str">
            <v>(-0.1,-0.09]</v>
          </cell>
          <cell r="T48">
            <v>0</v>
          </cell>
        </row>
        <row r="49">
          <cell r="A49">
            <v>42131</v>
          </cell>
          <cell r="C49">
            <v>32971700</v>
          </cell>
          <cell r="D49">
            <v>9.0342722324336534E-3</v>
          </cell>
          <cell r="R49" t="str">
            <v>(-0.09,-0.08]</v>
          </cell>
          <cell r="T49">
            <v>0</v>
          </cell>
        </row>
        <row r="50">
          <cell r="A50">
            <v>42132</v>
          </cell>
          <cell r="C50">
            <v>35364900</v>
          </cell>
          <cell r="D50">
            <v>2.2234926198898688E-2</v>
          </cell>
          <cell r="R50" t="str">
            <v>(-0.08,-0.07]</v>
          </cell>
          <cell r="T50">
            <v>3</v>
          </cell>
        </row>
        <row r="51">
          <cell r="A51">
            <v>42135</v>
          </cell>
          <cell r="C51">
            <v>24609400</v>
          </cell>
          <cell r="D51">
            <v>-7.9901324541186824E-3</v>
          </cell>
          <cell r="R51" t="str">
            <v>(-0.07,-0.06]</v>
          </cell>
          <cell r="T51">
            <v>3</v>
          </cell>
        </row>
        <row r="52">
          <cell r="A52">
            <v>42136</v>
          </cell>
          <cell r="C52">
            <v>29928300</v>
          </cell>
          <cell r="D52">
            <v>-4.2200003560420883E-4</v>
          </cell>
          <cell r="R52" t="str">
            <v>(-0.06,-0.05]</v>
          </cell>
          <cell r="T52">
            <v>7</v>
          </cell>
        </row>
        <row r="53">
          <cell r="A53">
            <v>42137</v>
          </cell>
          <cell r="C53">
            <v>34184600</v>
          </cell>
          <cell r="D53">
            <v>5.8958377763066649E-3</v>
          </cell>
          <cell r="R53" t="str">
            <v>(-0.05,-0.04]</v>
          </cell>
          <cell r="T53">
            <v>25</v>
          </cell>
        </row>
        <row r="54">
          <cell r="A54">
            <v>42138</v>
          </cell>
          <cell r="C54">
            <v>32980900</v>
          </cell>
          <cell r="D54">
            <v>2.2626823614754207E-2</v>
          </cell>
          <cell r="R54" t="str">
            <v>(-0.04,-0.03]</v>
          </cell>
          <cell r="T54">
            <v>59</v>
          </cell>
        </row>
        <row r="55">
          <cell r="A55">
            <v>42139</v>
          </cell>
          <cell r="C55">
            <v>28642700</v>
          </cell>
          <cell r="D55">
            <v>-8.6582329741158419E-3</v>
          </cell>
          <cell r="R55" t="str">
            <v>(-0.03,-0.02]</v>
          </cell>
          <cell r="T55">
            <v>188</v>
          </cell>
        </row>
        <row r="56">
          <cell r="A56">
            <v>42142</v>
          </cell>
          <cell r="C56">
            <v>24136500</v>
          </cell>
          <cell r="D56">
            <v>-6.0220873433690612E-3</v>
          </cell>
          <cell r="R56" t="str">
            <v>(-0.02,-0.01]</v>
          </cell>
          <cell r="T56">
            <v>536</v>
          </cell>
        </row>
        <row r="57">
          <cell r="A57">
            <v>42143</v>
          </cell>
          <cell r="C57">
            <v>28574800</v>
          </cell>
          <cell r="D57">
            <v>-2.5189077010013151E-3</v>
          </cell>
          <cell r="R57" t="str">
            <v>(-0.01,0]</v>
          </cell>
          <cell r="T57">
            <v>317</v>
          </cell>
        </row>
        <row r="58">
          <cell r="A58">
            <v>42144</v>
          </cell>
          <cell r="C58">
            <v>25047900</v>
          </cell>
          <cell r="D58">
            <v>0</v>
          </cell>
          <cell r="R58" t="str">
            <v>(0,0.01]</v>
          </cell>
          <cell r="T58">
            <v>90</v>
          </cell>
        </row>
        <row r="59">
          <cell r="A59">
            <v>42145</v>
          </cell>
          <cell r="C59">
            <v>22410700</v>
          </cell>
          <cell r="D59">
            <v>-3.3684904014661416E-3</v>
          </cell>
          <cell r="R59" t="str">
            <v>(0.01,0.02]</v>
          </cell>
          <cell r="T59">
            <v>25</v>
          </cell>
        </row>
        <row r="60">
          <cell r="A60">
            <v>42146</v>
          </cell>
          <cell r="C60">
            <v>25720600</v>
          </cell>
          <cell r="D60">
            <v>-1.1026517611970578E-2</v>
          </cell>
          <cell r="R60" t="str">
            <v>(0.02,0.03]</v>
          </cell>
          <cell r="T60">
            <v>2</v>
          </cell>
        </row>
        <row r="61">
          <cell r="A61">
            <v>42150</v>
          </cell>
          <cell r="C61">
            <v>29581900</v>
          </cell>
          <cell r="D61">
            <v>-6.6314467112802396E-3</v>
          </cell>
          <cell r="R61" t="str">
            <v>(0.03,0.04]</v>
          </cell>
          <cell r="T61">
            <v>5</v>
          </cell>
        </row>
        <row r="62">
          <cell r="A62">
            <v>42151</v>
          </cell>
          <cell r="C62">
            <v>27335600</v>
          </cell>
          <cell r="D62">
            <v>2.1656742018019877E-2</v>
          </cell>
          <cell r="R62" t="str">
            <v>(0.04,0.05]</v>
          </cell>
          <cell r="T62">
            <v>4</v>
          </cell>
        </row>
        <row r="63">
          <cell r="A63">
            <v>42152</v>
          </cell>
          <cell r="C63">
            <v>19283700</v>
          </cell>
          <cell r="D63">
            <v>-3.3662714900568437E-3</v>
          </cell>
          <cell r="R63" t="str">
            <v>(0.05,0.06]</v>
          </cell>
          <cell r="T63">
            <v>0</v>
          </cell>
        </row>
        <row r="64">
          <cell r="A64">
            <v>42153</v>
          </cell>
          <cell r="C64">
            <v>36519600</v>
          </cell>
          <cell r="D64">
            <v>-1.2512059695715226E-2</v>
          </cell>
          <cell r="R64" t="str">
            <v>(0.06,0.07]</v>
          </cell>
          <cell r="T64">
            <v>1</v>
          </cell>
        </row>
        <row r="65">
          <cell r="A65">
            <v>42156</v>
          </cell>
          <cell r="C65">
            <v>28837300</v>
          </cell>
          <cell r="D65">
            <v>7.8646980235912729E-3</v>
          </cell>
          <cell r="R65" t="str">
            <v>(0.07,0.08]</v>
          </cell>
          <cell r="T65">
            <v>1</v>
          </cell>
        </row>
        <row r="66">
          <cell r="A66">
            <v>42157</v>
          </cell>
          <cell r="C66">
            <v>21498300</v>
          </cell>
          <cell r="D66">
            <v>-6.5852407954766334E-3</v>
          </cell>
          <cell r="R66" t="str">
            <v>(0.08,0.09]</v>
          </cell>
          <cell r="T66">
            <v>0</v>
          </cell>
        </row>
        <row r="67">
          <cell r="A67">
            <v>42158</v>
          </cell>
          <cell r="C67">
            <v>28002200</v>
          </cell>
          <cell r="D67">
            <v>-1.4930592569772619E-3</v>
          </cell>
          <cell r="R67" t="str">
            <v>(0.09,0.1]</v>
          </cell>
          <cell r="T67">
            <v>0</v>
          </cell>
        </row>
        <row r="68">
          <cell r="A68">
            <v>42159</v>
          </cell>
          <cell r="C68">
            <v>27745500</v>
          </cell>
          <cell r="D68">
            <v>-1.0513851451671684E-2</v>
          </cell>
        </row>
        <row r="69">
          <cell r="A69">
            <v>42160</v>
          </cell>
          <cell r="C69">
            <v>25438100</v>
          </cell>
          <cell r="D69">
            <v>-4.7568891288222084E-3</v>
          </cell>
        </row>
        <row r="70">
          <cell r="A70">
            <v>42163</v>
          </cell>
          <cell r="C70">
            <v>22121600</v>
          </cell>
          <cell r="D70">
            <v>-8.9256119842607388E-3</v>
          </cell>
        </row>
        <row r="71">
          <cell r="A71">
            <v>42164</v>
          </cell>
          <cell r="C71">
            <v>24406100</v>
          </cell>
          <cell r="D71">
            <v>-1.7509650484590067E-3</v>
          </cell>
        </row>
        <row r="72">
          <cell r="A72">
            <v>42165</v>
          </cell>
          <cell r="C72">
            <v>28417400</v>
          </cell>
          <cell r="D72">
            <v>2.0811483053928825E-2</v>
          </cell>
        </row>
        <row r="73">
          <cell r="A73">
            <v>42166</v>
          </cell>
          <cell r="C73">
            <v>27347800</v>
          </cell>
          <cell r="D73">
            <v>-3.6540108231191107E-3</v>
          </cell>
        </row>
        <row r="74">
          <cell r="A74">
            <v>42167</v>
          </cell>
          <cell r="C74">
            <v>23931000</v>
          </cell>
          <cell r="D74">
            <v>-1.017200440280357E-2</v>
          </cell>
        </row>
        <row r="75">
          <cell r="A75">
            <v>42170</v>
          </cell>
          <cell r="C75">
            <v>33254500</v>
          </cell>
          <cell r="D75">
            <v>-1.0716488615458807E-2</v>
          </cell>
        </row>
        <row r="76">
          <cell r="A76">
            <v>42171</v>
          </cell>
          <cell r="C76">
            <v>27070300</v>
          </cell>
          <cell r="D76">
            <v>7.6664556595903155E-3</v>
          </cell>
        </row>
        <row r="77">
          <cell r="A77">
            <v>42172</v>
          </cell>
          <cell r="C77">
            <v>28704100</v>
          </cell>
          <cell r="D77">
            <v>3.050032955868595E-3</v>
          </cell>
        </row>
        <row r="78">
          <cell r="A78">
            <v>42173</v>
          </cell>
          <cell r="C78">
            <v>32658300</v>
          </cell>
          <cell r="D78">
            <v>1.6183269096378152E-2</v>
          </cell>
        </row>
        <row r="79">
          <cell r="A79">
            <v>42174</v>
          </cell>
          <cell r="C79">
            <v>63837000</v>
          </cell>
          <cell r="D79">
            <v>-1.3359324403997673E-2</v>
          </cell>
        </row>
        <row r="80">
          <cell r="A80">
            <v>42177</v>
          </cell>
          <cell r="C80">
            <v>20318100</v>
          </cell>
          <cell r="D80">
            <v>2.8159686454809012E-3</v>
          </cell>
        </row>
        <row r="81">
          <cell r="A81">
            <v>42178</v>
          </cell>
          <cell r="C81">
            <v>25896500</v>
          </cell>
          <cell r="D81">
            <v>-6.9458525189793358E-3</v>
          </cell>
        </row>
        <row r="82">
          <cell r="A82">
            <v>42179</v>
          </cell>
          <cell r="C82">
            <v>34890900</v>
          </cell>
          <cell r="D82">
            <v>-5.8984309166137611E-3</v>
          </cell>
        </row>
        <row r="83">
          <cell r="A83">
            <v>42180</v>
          </cell>
          <cell r="C83">
            <v>20616000</v>
          </cell>
          <cell r="D83">
            <v>2.1890226972566925E-4</v>
          </cell>
        </row>
        <row r="84">
          <cell r="A84">
            <v>42181</v>
          </cell>
          <cell r="C84">
            <v>49835300</v>
          </cell>
          <cell r="D84">
            <v>-8.5800785525848716E-3</v>
          </cell>
        </row>
        <row r="85">
          <cell r="A85">
            <v>42184</v>
          </cell>
          <cell r="C85">
            <v>34081700</v>
          </cell>
          <cell r="D85">
            <v>-1.9860009180122394E-2</v>
          </cell>
        </row>
        <row r="86">
          <cell r="A86">
            <v>42185</v>
          </cell>
          <cell r="C86">
            <v>35945400</v>
          </cell>
          <cell r="D86">
            <v>-4.9704932756641299E-3</v>
          </cell>
        </row>
        <row r="87">
          <cell r="A87">
            <v>42186</v>
          </cell>
          <cell r="C87">
            <v>28343900</v>
          </cell>
          <cell r="D87">
            <v>6.7719253383289732E-3</v>
          </cell>
        </row>
        <row r="88">
          <cell r="A88">
            <v>42187</v>
          </cell>
          <cell r="C88">
            <v>21752000</v>
          </cell>
          <cell r="D88">
            <v>-1.1257597579990846E-3</v>
          </cell>
        </row>
        <row r="89">
          <cell r="A89">
            <v>42191</v>
          </cell>
          <cell r="C89">
            <v>23034000</v>
          </cell>
          <cell r="D89">
            <v>-2.251402826934709E-4</v>
          </cell>
        </row>
        <row r="90">
          <cell r="A90">
            <v>42192</v>
          </cell>
          <cell r="C90">
            <v>36435800</v>
          </cell>
          <cell r="D90">
            <v>-2.0293924503410219E-3</v>
          </cell>
        </row>
        <row r="91">
          <cell r="A91">
            <v>42193</v>
          </cell>
          <cell r="C91">
            <v>39785900</v>
          </cell>
          <cell r="D91">
            <v>-1.35527805215972E-3</v>
          </cell>
        </row>
        <row r="92">
          <cell r="A92">
            <v>42194</v>
          </cell>
          <cell r="C92">
            <v>32424700</v>
          </cell>
          <cell r="D92">
            <v>6.3092804120309619E-3</v>
          </cell>
        </row>
        <row r="93">
          <cell r="A93">
            <v>42195</v>
          </cell>
          <cell r="C93">
            <v>25465800</v>
          </cell>
          <cell r="D93">
            <v>2.0194479166491183E-3</v>
          </cell>
        </row>
        <row r="94">
          <cell r="A94">
            <v>42198</v>
          </cell>
          <cell r="C94">
            <v>28178300</v>
          </cell>
          <cell r="D94">
            <v>2.0633118692152942E-2</v>
          </cell>
        </row>
        <row r="95">
          <cell r="A95">
            <v>42199</v>
          </cell>
          <cell r="C95">
            <v>22880300</v>
          </cell>
          <cell r="D95">
            <v>1.7548281301833419E-3</v>
          </cell>
        </row>
        <row r="96">
          <cell r="A96">
            <v>42200</v>
          </cell>
          <cell r="C96">
            <v>26629600</v>
          </cell>
          <cell r="D96">
            <v>3.0642932396240247E-3</v>
          </cell>
        </row>
        <row r="97">
          <cell r="A97">
            <v>42201</v>
          </cell>
          <cell r="C97">
            <v>26271700</v>
          </cell>
          <cell r="D97">
            <v>1.9476962468357735E-2</v>
          </cell>
        </row>
        <row r="98">
          <cell r="A98">
            <v>42202</v>
          </cell>
          <cell r="C98">
            <v>29467100</v>
          </cell>
          <cell r="D98">
            <v>-8.5761437534061572E-4</v>
          </cell>
        </row>
        <row r="99">
          <cell r="A99">
            <v>42205</v>
          </cell>
          <cell r="C99">
            <v>30631900</v>
          </cell>
          <cell r="D99">
            <v>6.4142865997689532E-3</v>
          </cell>
        </row>
        <row r="100">
          <cell r="A100">
            <v>42206</v>
          </cell>
          <cell r="C100">
            <v>42781900</v>
          </cell>
          <cell r="D100">
            <v>7.6433712469604889E-3</v>
          </cell>
        </row>
        <row r="101">
          <cell r="A101">
            <v>42207</v>
          </cell>
          <cell r="C101">
            <v>59152400</v>
          </cell>
          <cell r="D101">
            <v>-3.7496127309554039E-2</v>
          </cell>
        </row>
        <row r="102">
          <cell r="A102">
            <v>42208</v>
          </cell>
          <cell r="C102">
            <v>33934000</v>
          </cell>
          <cell r="D102">
            <v>1.2438581658724265E-2</v>
          </cell>
        </row>
        <row r="103">
          <cell r="A103">
            <v>42209</v>
          </cell>
          <cell r="C103">
            <v>32333200</v>
          </cell>
          <cell r="D103">
            <v>-3.6936349546662331E-3</v>
          </cell>
        </row>
        <row r="104">
          <cell r="A104">
            <v>42212</v>
          </cell>
          <cell r="C104">
            <v>39701400</v>
          </cell>
          <cell r="D104">
            <v>-1.2926158517456295E-2</v>
          </cell>
        </row>
        <row r="105">
          <cell r="A105">
            <v>42213</v>
          </cell>
          <cell r="C105">
            <v>34328900</v>
          </cell>
          <cell r="D105">
            <v>-2.2044776013179648E-4</v>
          </cell>
        </row>
        <row r="106">
          <cell r="A106">
            <v>42214</v>
          </cell>
          <cell r="C106">
            <v>40945900</v>
          </cell>
          <cell r="D106">
            <v>2.0736325540690864E-2</v>
          </cell>
        </row>
        <row r="107">
          <cell r="A107">
            <v>42215</v>
          </cell>
          <cell r="C107">
            <v>39777900</v>
          </cell>
          <cell r="D107">
            <v>1.2665230013537171E-2</v>
          </cell>
        </row>
        <row r="108">
          <cell r="A108">
            <v>42216</v>
          </cell>
          <cell r="C108">
            <v>31201500</v>
          </cell>
          <cell r="D108">
            <v>-3.846861855213368E-3</v>
          </cell>
        </row>
        <row r="109">
          <cell r="A109">
            <v>42219</v>
          </cell>
          <cell r="C109">
            <v>24125900</v>
          </cell>
          <cell r="D109">
            <v>2.352527732137536E-3</v>
          </cell>
        </row>
        <row r="110">
          <cell r="A110">
            <v>42220</v>
          </cell>
          <cell r="C110">
            <v>33403900</v>
          </cell>
          <cell r="D110">
            <v>1.5474593949255053E-2</v>
          </cell>
        </row>
        <row r="111">
          <cell r="A111">
            <v>42221</v>
          </cell>
          <cell r="C111">
            <v>26959700</v>
          </cell>
          <cell r="D111">
            <v>8.4118692007114574E-4</v>
          </cell>
        </row>
        <row r="112">
          <cell r="A112">
            <v>42222</v>
          </cell>
          <cell r="C112">
            <v>27368000</v>
          </cell>
          <cell r="D112">
            <v>-2.0382873264123535E-2</v>
          </cell>
        </row>
        <row r="113">
          <cell r="A113">
            <v>42223</v>
          </cell>
          <cell r="C113">
            <v>19163000</v>
          </cell>
          <cell r="D113">
            <v>2.5708047894536057E-3</v>
          </cell>
        </row>
        <row r="114">
          <cell r="A114">
            <v>42226</v>
          </cell>
          <cell r="C114">
            <v>23079900</v>
          </cell>
          <cell r="D114">
            <v>1.2543702087368323E-2</v>
          </cell>
        </row>
        <row r="115">
          <cell r="A115">
            <v>42227</v>
          </cell>
          <cell r="C115">
            <v>29237400</v>
          </cell>
          <cell r="D115">
            <v>-1.9629225518271561E-2</v>
          </cell>
        </row>
        <row r="116">
          <cell r="A116">
            <v>42228</v>
          </cell>
          <cell r="C116">
            <v>30181400</v>
          </cell>
          <cell r="D116">
            <v>7.0855234309032877E-3</v>
          </cell>
        </row>
        <row r="117">
          <cell r="A117">
            <v>42229</v>
          </cell>
          <cell r="C117">
            <v>22627200</v>
          </cell>
          <cell r="D117">
            <v>-2.1396183448128971E-4</v>
          </cell>
        </row>
        <row r="118">
          <cell r="A118">
            <v>42230</v>
          </cell>
          <cell r="C118">
            <v>21473400</v>
          </cell>
          <cell r="D118">
            <v>5.76124267990092E-3</v>
          </cell>
        </row>
        <row r="119">
          <cell r="A119">
            <v>42233</v>
          </cell>
          <cell r="C119">
            <v>21099700</v>
          </cell>
          <cell r="D119">
            <v>6.7852199424491399E-3</v>
          </cell>
        </row>
        <row r="120">
          <cell r="A120">
            <v>42234</v>
          </cell>
          <cell r="C120">
            <v>23574100</v>
          </cell>
          <cell r="D120">
            <v>5.5155087936888609E-3</v>
          </cell>
        </row>
        <row r="121">
          <cell r="A121">
            <v>42235</v>
          </cell>
          <cell r="C121">
            <v>31485500</v>
          </cell>
          <cell r="D121">
            <v>-1.4060797270217718E-2</v>
          </cell>
        </row>
        <row r="122">
          <cell r="A122">
            <v>42236</v>
          </cell>
          <cell r="C122">
            <v>36238200</v>
          </cell>
          <cell r="D122">
            <v>-2.0592235292877046E-2</v>
          </cell>
        </row>
        <row r="123">
          <cell r="A123">
            <v>42237</v>
          </cell>
          <cell r="C123">
            <v>70053100</v>
          </cell>
          <cell r="D123">
            <v>-5.8395986855485658E-2</v>
          </cell>
        </row>
        <row r="124">
          <cell r="A124">
            <v>42240</v>
          </cell>
          <cell r="C124">
            <v>88753700</v>
          </cell>
          <cell r="D124">
            <v>-3.280551546552387E-2</v>
          </cell>
        </row>
        <row r="125">
          <cell r="A125">
            <v>42241</v>
          </cell>
          <cell r="C125">
            <v>70616600</v>
          </cell>
          <cell r="D125">
            <v>-2.9460321426897956E-2</v>
          </cell>
        </row>
        <row r="126">
          <cell r="A126">
            <v>42242</v>
          </cell>
          <cell r="C126">
            <v>63408000</v>
          </cell>
          <cell r="D126">
            <v>5.3872263222360363E-2</v>
          </cell>
        </row>
        <row r="127">
          <cell r="A127">
            <v>42243</v>
          </cell>
          <cell r="C127">
            <v>50943200</v>
          </cell>
          <cell r="D127">
            <v>2.7481060109153684E-2</v>
          </cell>
        </row>
        <row r="128">
          <cell r="A128">
            <v>42244</v>
          </cell>
          <cell r="C128">
            <v>28246700</v>
          </cell>
          <cell r="D128">
            <v>6.8331537053691234E-4</v>
          </cell>
        </row>
        <row r="129">
          <cell r="A129">
            <v>42247</v>
          </cell>
          <cell r="C129">
            <v>34441700</v>
          </cell>
          <cell r="D129">
            <v>-9.3771304217321917E-3</v>
          </cell>
        </row>
        <row r="130">
          <cell r="A130">
            <v>42248</v>
          </cell>
          <cell r="C130">
            <v>49688900</v>
          </cell>
          <cell r="D130">
            <v>-3.9845761719502097E-2</v>
          </cell>
        </row>
        <row r="131">
          <cell r="A131">
            <v>42249</v>
          </cell>
          <cell r="C131">
            <v>37671500</v>
          </cell>
          <cell r="D131">
            <v>3.6162533195583275E-2</v>
          </cell>
        </row>
        <row r="132">
          <cell r="A132">
            <v>42250</v>
          </cell>
          <cell r="C132">
            <v>28285200</v>
          </cell>
          <cell r="D132">
            <v>3.223629086871108E-3</v>
          </cell>
        </row>
        <row r="133">
          <cell r="A133">
            <v>42251</v>
          </cell>
          <cell r="C133">
            <v>37138800</v>
          </cell>
          <cell r="D133">
            <v>-2.0671713043898698E-2</v>
          </cell>
        </row>
        <row r="134">
          <cell r="A134">
            <v>42255</v>
          </cell>
          <cell r="C134">
            <v>32469800</v>
          </cell>
          <cell r="D134">
            <v>2.9597293510733837E-2</v>
          </cell>
        </row>
        <row r="135">
          <cell r="A135">
            <v>42256</v>
          </cell>
          <cell r="C135">
            <v>33469500</v>
          </cell>
          <cell r="D135">
            <v>-1.885965241768427E-2</v>
          </cell>
        </row>
        <row r="136">
          <cell r="A136">
            <v>42257</v>
          </cell>
          <cell r="C136">
            <v>31366600</v>
          </cell>
          <cell r="D136">
            <v>5.0947735810866245E-3</v>
          </cell>
        </row>
        <row r="137">
          <cell r="A137">
            <v>42258</v>
          </cell>
          <cell r="C137">
            <v>27132500</v>
          </cell>
          <cell r="D137">
            <v>4.3795631321570079E-3</v>
          </cell>
        </row>
        <row r="138">
          <cell r="A138">
            <v>42261</v>
          </cell>
          <cell r="C138">
            <v>23656000</v>
          </cell>
          <cell r="D138">
            <v>-1.0171199231793002E-2</v>
          </cell>
        </row>
        <row r="139">
          <cell r="A139">
            <v>42262</v>
          </cell>
          <cell r="C139">
            <v>28882200</v>
          </cell>
          <cell r="D139">
            <v>2.160510505802829E-2</v>
          </cell>
        </row>
        <row r="140">
          <cell r="A140">
            <v>42263</v>
          </cell>
          <cell r="C140">
            <v>23372200</v>
          </cell>
          <cell r="D140">
            <v>7.2495586542115813E-3</v>
          </cell>
        </row>
        <row r="141">
          <cell r="A141">
            <v>42264</v>
          </cell>
          <cell r="C141">
            <v>32768200</v>
          </cell>
          <cell r="D141">
            <v>-1.129417867391361E-3</v>
          </cell>
        </row>
        <row r="142">
          <cell r="A142">
            <v>42265</v>
          </cell>
          <cell r="C142">
            <v>63143700</v>
          </cell>
          <cell r="D142">
            <v>-1.755404661305528E-2</v>
          </cell>
        </row>
        <row r="143">
          <cell r="A143">
            <v>42268</v>
          </cell>
          <cell r="C143">
            <v>26177200</v>
          </cell>
          <cell r="D143">
            <v>1.4385538647366958E-2</v>
          </cell>
        </row>
        <row r="144">
          <cell r="A144">
            <v>42269</v>
          </cell>
          <cell r="C144">
            <v>28085900</v>
          </cell>
          <cell r="D144">
            <v>-4.7723889215184846E-3</v>
          </cell>
        </row>
        <row r="145">
          <cell r="A145">
            <v>42270</v>
          </cell>
          <cell r="C145">
            <v>17145200</v>
          </cell>
          <cell r="D145">
            <v>-6.8365784840493079E-4</v>
          </cell>
        </row>
        <row r="146">
          <cell r="A146">
            <v>42271</v>
          </cell>
          <cell r="C146">
            <v>27905600</v>
          </cell>
          <cell r="D146">
            <v>9.1143997329487265E-4</v>
          </cell>
        </row>
        <row r="147">
          <cell r="A147">
            <v>42272</v>
          </cell>
          <cell r="C147">
            <v>29384600</v>
          </cell>
          <cell r="D147">
            <v>6.8296049432493464E-4</v>
          </cell>
        </row>
        <row r="148">
          <cell r="A148">
            <v>42275</v>
          </cell>
          <cell r="C148">
            <v>27613800</v>
          </cell>
          <cell r="D148">
            <v>-1.4903455477220384E-2</v>
          </cell>
        </row>
        <row r="149">
          <cell r="A149">
            <v>42276</v>
          </cell>
          <cell r="C149">
            <v>32763600</v>
          </cell>
          <cell r="D149">
            <v>3.4592817064886105E-3</v>
          </cell>
        </row>
        <row r="150">
          <cell r="A150">
            <v>42277</v>
          </cell>
          <cell r="C150">
            <v>34958900</v>
          </cell>
          <cell r="D150">
            <v>1.8700506594695895E-2</v>
          </cell>
        </row>
        <row r="151">
          <cell r="A151">
            <v>42278</v>
          </cell>
          <cell r="C151">
            <v>28657900</v>
          </cell>
          <cell r="D151">
            <v>7.8766589539375625E-3</v>
          </cell>
        </row>
        <row r="152">
          <cell r="A152">
            <v>42279</v>
          </cell>
          <cell r="C152">
            <v>41839000</v>
          </cell>
          <cell r="D152">
            <v>2.1291721765409038E-2</v>
          </cell>
        </row>
        <row r="153">
          <cell r="A153">
            <v>42282</v>
          </cell>
          <cell r="C153">
            <v>34369300</v>
          </cell>
          <cell r="D153">
            <v>2.2994524491624951E-2</v>
          </cell>
        </row>
        <row r="154">
          <cell r="A154">
            <v>42283</v>
          </cell>
          <cell r="C154">
            <v>27017200</v>
          </cell>
          <cell r="D154">
            <v>2.5699451053421739E-3</v>
          </cell>
        </row>
        <row r="155">
          <cell r="A155">
            <v>42284</v>
          </cell>
          <cell r="C155">
            <v>27711500</v>
          </cell>
          <cell r="D155">
            <v>1.0688661866825508E-3</v>
          </cell>
        </row>
        <row r="156">
          <cell r="A156">
            <v>42285</v>
          </cell>
          <cell r="C156">
            <v>33772700</v>
          </cell>
          <cell r="D156">
            <v>1.3793461191161781E-2</v>
          </cell>
        </row>
        <row r="157">
          <cell r="A157">
            <v>42286</v>
          </cell>
          <cell r="C157">
            <v>28600600</v>
          </cell>
          <cell r="D157">
            <v>-7.1909775101593161E-3</v>
          </cell>
        </row>
        <row r="158">
          <cell r="A158">
            <v>42289</v>
          </cell>
          <cell r="C158">
            <v>19769100</v>
          </cell>
          <cell r="D158">
            <v>-2.3379180784943777E-3</v>
          </cell>
        </row>
        <row r="159">
          <cell r="A159">
            <v>42290</v>
          </cell>
          <cell r="C159">
            <v>19987800</v>
          </cell>
          <cell r="D159">
            <v>-2.3433267150641123E-3</v>
          </cell>
        </row>
        <row r="160">
          <cell r="A160">
            <v>42291</v>
          </cell>
          <cell r="C160">
            <v>24697800</v>
          </cell>
          <cell r="D160">
            <v>-4.4883412049868711E-3</v>
          </cell>
        </row>
        <row r="161">
          <cell r="A161">
            <v>42292</v>
          </cell>
          <cell r="C161">
            <v>27189400</v>
          </cell>
          <cell r="D161">
            <v>7.0444276995301732E-3</v>
          </cell>
        </row>
        <row r="162">
          <cell r="A162">
            <v>42293</v>
          </cell>
          <cell r="C162">
            <v>26450300</v>
          </cell>
          <cell r="D162">
            <v>1.0579854547575101E-2</v>
          </cell>
        </row>
        <row r="163">
          <cell r="A163">
            <v>42296</v>
          </cell>
          <cell r="C163">
            <v>29387600</v>
          </cell>
          <cell r="D163">
            <v>2.3125056930151954E-3</v>
          </cell>
        </row>
        <row r="164">
          <cell r="A164">
            <v>42297</v>
          </cell>
          <cell r="C164">
            <v>30802200</v>
          </cell>
          <cell r="D164">
            <v>3.1450462728073413E-3</v>
          </cell>
        </row>
        <row r="165">
          <cell r="A165">
            <v>42298</v>
          </cell>
          <cell r="C165">
            <v>25144300</v>
          </cell>
          <cell r="D165">
            <v>-1.2003895543930682E-2</v>
          </cell>
        </row>
        <row r="166">
          <cell r="A166">
            <v>42299</v>
          </cell>
          <cell r="C166">
            <v>56637100</v>
          </cell>
          <cell r="D166">
            <v>1.7431892606980873E-2</v>
          </cell>
        </row>
        <row r="167">
          <cell r="A167">
            <v>42300</v>
          </cell>
          <cell r="C167">
            <v>135227100</v>
          </cell>
          <cell r="D167">
            <v>9.6010341863869891E-2</v>
          </cell>
        </row>
        <row r="168">
          <cell r="A168">
            <v>42303</v>
          </cell>
          <cell r="C168">
            <v>64633300</v>
          </cell>
          <cell r="D168">
            <v>2.5766749933295443E-2</v>
          </cell>
        </row>
        <row r="169">
          <cell r="A169">
            <v>42304</v>
          </cell>
          <cell r="C169">
            <v>50999900</v>
          </cell>
          <cell r="D169">
            <v>-1.0376261396837363E-2</v>
          </cell>
        </row>
        <row r="170">
          <cell r="A170">
            <v>42305</v>
          </cell>
          <cell r="C170">
            <v>47000800</v>
          </cell>
          <cell r="D170">
            <v>5.3869148624334628E-3</v>
          </cell>
        </row>
        <row r="171">
          <cell r="A171">
            <v>42306</v>
          </cell>
          <cell r="C171">
            <v>30202100</v>
          </cell>
          <cell r="D171">
            <v>-1.1552182678462914E-2</v>
          </cell>
        </row>
        <row r="172">
          <cell r="A172">
            <v>42307</v>
          </cell>
          <cell r="C172">
            <v>46619800</v>
          </cell>
          <cell r="D172">
            <v>-1.3585196180799525E-2</v>
          </cell>
        </row>
        <row r="173">
          <cell r="A173">
            <v>42310</v>
          </cell>
          <cell r="C173">
            <v>30285000</v>
          </cell>
          <cell r="D173">
            <v>1.1333716399645224E-2</v>
          </cell>
        </row>
        <row r="174">
          <cell r="A174">
            <v>42311</v>
          </cell>
          <cell r="C174">
            <v>36596900</v>
          </cell>
          <cell r="D174">
            <v>1.694827145021682E-2</v>
          </cell>
        </row>
        <row r="175">
          <cell r="A175">
            <v>42312</v>
          </cell>
          <cell r="C175">
            <v>37087800</v>
          </cell>
          <cell r="D175">
            <v>4.6060120226487462E-3</v>
          </cell>
        </row>
        <row r="176">
          <cell r="A176">
            <v>42313</v>
          </cell>
          <cell r="C176">
            <v>31468500</v>
          </cell>
          <cell r="D176">
            <v>-3.6782363203320413E-4</v>
          </cell>
        </row>
        <row r="177">
          <cell r="A177">
            <v>42314</v>
          </cell>
          <cell r="C177">
            <v>32851200</v>
          </cell>
          <cell r="D177">
            <v>9.8811261692956214E-3</v>
          </cell>
        </row>
        <row r="178">
          <cell r="A178">
            <v>42317</v>
          </cell>
          <cell r="C178">
            <v>32513100</v>
          </cell>
          <cell r="D178">
            <v>-1.3934806840555409E-2</v>
          </cell>
        </row>
        <row r="179">
          <cell r="A179">
            <v>42318</v>
          </cell>
          <cell r="C179">
            <v>55283700</v>
          </cell>
          <cell r="D179">
            <v>-1.2074177126860566E-2</v>
          </cell>
        </row>
        <row r="180">
          <cell r="A180">
            <v>42319</v>
          </cell>
          <cell r="C180">
            <v>36516300</v>
          </cell>
          <cell r="D180">
            <v>2.6130984569026319E-3</v>
          </cell>
        </row>
        <row r="181">
          <cell r="A181">
            <v>42320</v>
          </cell>
          <cell r="C181">
            <v>35361100</v>
          </cell>
          <cell r="D181">
            <v>-6.1702056261658854E-3</v>
          </cell>
        </row>
        <row r="182">
          <cell r="A182">
            <v>42321</v>
          </cell>
          <cell r="C182">
            <v>36848200</v>
          </cell>
          <cell r="D182">
            <v>-9.0428081502747573E-3</v>
          </cell>
        </row>
        <row r="183">
          <cell r="A183">
            <v>42324</v>
          </cell>
          <cell r="C183">
            <v>32165200</v>
          </cell>
          <cell r="D183">
            <v>1.7446980443482234E-2</v>
          </cell>
        </row>
        <row r="184">
          <cell r="A184">
            <v>42325</v>
          </cell>
          <cell r="C184">
            <v>31551300</v>
          </cell>
          <cell r="D184">
            <v>-8.2719888237969014E-3</v>
          </cell>
        </row>
        <row r="185">
          <cell r="A185">
            <v>42326</v>
          </cell>
          <cell r="C185">
            <v>29710000</v>
          </cell>
          <cell r="D185">
            <v>1.6476577252365367E-2</v>
          </cell>
        </row>
        <row r="186">
          <cell r="A186">
            <v>42327</v>
          </cell>
          <cell r="C186">
            <v>28149200</v>
          </cell>
          <cell r="D186">
            <v>1.6699783455071612E-3</v>
          </cell>
        </row>
        <row r="187">
          <cell r="A187">
            <v>42328</v>
          </cell>
          <cell r="C187">
            <v>37147600</v>
          </cell>
          <cell r="D187">
            <v>4.6238768624269743E-3</v>
          </cell>
        </row>
        <row r="188">
          <cell r="A188">
            <v>42331</v>
          </cell>
          <cell r="C188">
            <v>28235900</v>
          </cell>
          <cell r="D188">
            <v>0</v>
          </cell>
        </row>
        <row r="189">
          <cell r="A189">
            <v>42332</v>
          </cell>
          <cell r="C189">
            <v>24600000</v>
          </cell>
          <cell r="D189">
            <v>1.1066388857208221E-3</v>
          </cell>
        </row>
        <row r="190">
          <cell r="A190">
            <v>42333</v>
          </cell>
          <cell r="C190">
            <v>21005100</v>
          </cell>
          <cell r="D190">
            <v>-1.0376094976570433E-2</v>
          </cell>
        </row>
        <row r="191">
          <cell r="A191">
            <v>42335</v>
          </cell>
          <cell r="C191">
            <v>9009100</v>
          </cell>
          <cell r="D191">
            <v>4.4599262778052592E-3</v>
          </cell>
        </row>
        <row r="192">
          <cell r="A192">
            <v>42338</v>
          </cell>
          <cell r="C192">
            <v>56241400</v>
          </cell>
          <cell r="D192">
            <v>7.7579564392454784E-3</v>
          </cell>
        </row>
        <row r="193">
          <cell r="A193">
            <v>42339</v>
          </cell>
          <cell r="C193">
            <v>39952800</v>
          </cell>
          <cell r="D193">
            <v>1.5880541999533173E-2</v>
          </cell>
        </row>
        <row r="194">
          <cell r="A194">
            <v>42340</v>
          </cell>
          <cell r="C194">
            <v>47274900</v>
          </cell>
          <cell r="D194">
            <v>-1.8119157644044503E-4</v>
          </cell>
        </row>
        <row r="195">
          <cell r="A195">
            <v>42341</v>
          </cell>
          <cell r="C195">
            <v>38627800</v>
          </cell>
          <cell r="D195">
            <v>-1.8463095021513502E-2</v>
          </cell>
        </row>
        <row r="196">
          <cell r="A196">
            <v>42342</v>
          </cell>
          <cell r="C196">
            <v>43963700</v>
          </cell>
          <cell r="D196">
            <v>3.1062297876566062E-2</v>
          </cell>
        </row>
        <row r="197">
          <cell r="A197">
            <v>42345</v>
          </cell>
          <cell r="C197">
            <v>30709800</v>
          </cell>
          <cell r="D197">
            <v>-1.7900406110543203E-3</v>
          </cell>
        </row>
        <row r="198">
          <cell r="A198">
            <v>42346</v>
          </cell>
          <cell r="C198">
            <v>32878000</v>
          </cell>
          <cell r="D198">
            <v>-3.5858395150707842E-4</v>
          </cell>
        </row>
        <row r="199">
          <cell r="A199">
            <v>42347</v>
          </cell>
          <cell r="C199">
            <v>36373200</v>
          </cell>
          <cell r="D199">
            <v>-1.4625133416565681E-2</v>
          </cell>
        </row>
        <row r="200">
          <cell r="A200">
            <v>42348</v>
          </cell>
          <cell r="C200">
            <v>31775800</v>
          </cell>
          <cell r="D200">
            <v>5.2608386669390798E-3</v>
          </cell>
        </row>
        <row r="201">
          <cell r="A201">
            <v>42349</v>
          </cell>
          <cell r="C201">
            <v>39549500</v>
          </cell>
          <cell r="D201">
            <v>-2.213578320434605E-2</v>
          </cell>
        </row>
        <row r="202">
          <cell r="A202">
            <v>42352</v>
          </cell>
          <cell r="C202">
            <v>46768900</v>
          </cell>
          <cell r="D202">
            <v>1.9780968159192374E-2</v>
          </cell>
        </row>
        <row r="203">
          <cell r="A203">
            <v>42353</v>
          </cell>
          <cell r="C203">
            <v>39843000</v>
          </cell>
          <cell r="D203">
            <v>1.0875237669344189E-3</v>
          </cell>
        </row>
        <row r="204">
          <cell r="A204">
            <v>42354</v>
          </cell>
          <cell r="C204">
            <v>37503300</v>
          </cell>
          <cell r="D204">
            <v>1.6707402016952855E-2</v>
          </cell>
        </row>
        <row r="205">
          <cell r="A205">
            <v>42355</v>
          </cell>
          <cell r="C205">
            <v>41280900</v>
          </cell>
          <cell r="D205">
            <v>-7.6903731646692525E-3</v>
          </cell>
        </row>
        <row r="206">
          <cell r="A206">
            <v>42356</v>
          </cell>
          <cell r="C206">
            <v>84684200</v>
          </cell>
          <cell r="D206">
            <v>-2.8591602796468902E-2</v>
          </cell>
        </row>
        <row r="207">
          <cell r="A207">
            <v>42359</v>
          </cell>
          <cell r="C207">
            <v>37246300</v>
          </cell>
          <cell r="D207">
            <v>1.2849152655981E-2</v>
          </cell>
        </row>
        <row r="208">
          <cell r="A208">
            <v>42360</v>
          </cell>
          <cell r="C208">
            <v>28322200</v>
          </cell>
          <cell r="D208">
            <v>9.4388514952909626E-3</v>
          </cell>
        </row>
        <row r="209">
          <cell r="A209">
            <v>42361</v>
          </cell>
          <cell r="C209">
            <v>27279800</v>
          </cell>
          <cell r="D209">
            <v>8.4556134371104943E-3</v>
          </cell>
        </row>
        <row r="210">
          <cell r="A210">
            <v>42362</v>
          </cell>
          <cell r="C210">
            <v>9558500</v>
          </cell>
          <cell r="D210">
            <v>-2.6907087088831896E-3</v>
          </cell>
        </row>
        <row r="211">
          <cell r="A211">
            <v>42366</v>
          </cell>
          <cell r="C211">
            <v>22458300</v>
          </cell>
          <cell r="D211">
            <v>5.0171628048982777E-3</v>
          </cell>
        </row>
        <row r="212">
          <cell r="A212">
            <v>42367</v>
          </cell>
          <cell r="C212">
            <v>27731400</v>
          </cell>
          <cell r="D212">
            <v>1.0666668985140803E-2</v>
          </cell>
        </row>
        <row r="213">
          <cell r="A213">
            <v>42368</v>
          </cell>
          <cell r="C213">
            <v>21704500</v>
          </cell>
          <cell r="D213">
            <v>-4.2531437405504552E-3</v>
          </cell>
        </row>
        <row r="214">
          <cell r="A214">
            <v>42369</v>
          </cell>
          <cell r="C214">
            <v>27334100</v>
          </cell>
          <cell r="D214">
            <v>-1.4849406838983623E-2</v>
          </cell>
        </row>
        <row r="215">
          <cell r="A215">
            <v>42373</v>
          </cell>
          <cell r="C215">
            <v>53778000</v>
          </cell>
          <cell r="D215">
            <v>-1.2332519255532371E-2</v>
          </cell>
        </row>
        <row r="216">
          <cell r="A216">
            <v>42374</v>
          </cell>
          <cell r="C216">
            <v>34079700</v>
          </cell>
          <cell r="D216">
            <v>4.5517741361898482E-3</v>
          </cell>
        </row>
        <row r="217">
          <cell r="A217">
            <v>42375</v>
          </cell>
          <cell r="C217">
            <v>39518900</v>
          </cell>
          <cell r="D217">
            <v>-1.8332362368935567E-2</v>
          </cell>
        </row>
        <row r="218">
          <cell r="A218">
            <v>42376</v>
          </cell>
          <cell r="C218">
            <v>56564900</v>
          </cell>
          <cell r="D218">
            <v>-3.5402006250485209E-2</v>
          </cell>
        </row>
        <row r="219">
          <cell r="A219">
            <v>42377</v>
          </cell>
          <cell r="C219">
            <v>48754000</v>
          </cell>
          <cell r="D219">
            <v>3.0623928952350295E-3</v>
          </cell>
        </row>
        <row r="220">
          <cell r="A220">
            <v>42380</v>
          </cell>
          <cell r="C220">
            <v>36943800</v>
          </cell>
          <cell r="D220">
            <v>-5.7362379902426894E-4</v>
          </cell>
        </row>
        <row r="221">
          <cell r="A221">
            <v>42381</v>
          </cell>
          <cell r="C221">
            <v>36095500</v>
          </cell>
          <cell r="D221">
            <v>9.1360910320976776E-3</v>
          </cell>
        </row>
        <row r="222">
          <cell r="A222">
            <v>42382</v>
          </cell>
          <cell r="C222">
            <v>66883600</v>
          </cell>
          <cell r="D222">
            <v>-2.1835764426521929E-2</v>
          </cell>
        </row>
        <row r="223">
          <cell r="A223">
            <v>42383</v>
          </cell>
          <cell r="C223">
            <v>52381900</v>
          </cell>
          <cell r="D223">
            <v>2.8068674600969207E-2</v>
          </cell>
        </row>
        <row r="224">
          <cell r="A224">
            <v>42384</v>
          </cell>
          <cell r="C224">
            <v>71820700</v>
          </cell>
          <cell r="D224">
            <v>-4.0735652928348666E-2</v>
          </cell>
        </row>
        <row r="225">
          <cell r="A225">
            <v>42388</v>
          </cell>
          <cell r="C225">
            <v>43564500</v>
          </cell>
          <cell r="D225">
            <v>-8.4687771601467694E-3</v>
          </cell>
        </row>
        <row r="226">
          <cell r="A226">
            <v>42389</v>
          </cell>
          <cell r="C226">
            <v>63273000</v>
          </cell>
          <cell r="D226">
            <v>4.5386708979081591E-3</v>
          </cell>
        </row>
        <row r="227">
          <cell r="A227">
            <v>42390</v>
          </cell>
          <cell r="C227">
            <v>40191200</v>
          </cell>
          <cell r="D227">
            <v>-6.1224404291956372E-3</v>
          </cell>
        </row>
        <row r="228">
          <cell r="A228">
            <v>42391</v>
          </cell>
          <cell r="C228">
            <v>37555800</v>
          </cell>
          <cell r="D228">
            <v>3.5227889610421302E-2</v>
          </cell>
        </row>
        <row r="229">
          <cell r="A229">
            <v>42394</v>
          </cell>
          <cell r="C229">
            <v>34707700</v>
          </cell>
          <cell r="D229">
            <v>-9.6079767461112586E-3</v>
          </cell>
        </row>
        <row r="230">
          <cell r="A230">
            <v>42395</v>
          </cell>
          <cell r="C230">
            <v>28900800</v>
          </cell>
          <cell r="D230">
            <v>7.3105164527174395E-3</v>
          </cell>
        </row>
        <row r="231">
          <cell r="A231">
            <v>42396</v>
          </cell>
          <cell r="C231">
            <v>36775200</v>
          </cell>
          <cell r="D231">
            <v>-1.8377464109427085E-2</v>
          </cell>
        </row>
        <row r="232">
          <cell r="A232">
            <v>42397</v>
          </cell>
          <cell r="C232">
            <v>62513800</v>
          </cell>
          <cell r="D232">
            <v>1.6266737053267588E-2</v>
          </cell>
        </row>
        <row r="233">
          <cell r="A233">
            <v>42398</v>
          </cell>
          <cell r="C233">
            <v>83611700</v>
          </cell>
          <cell r="D233">
            <v>5.6571335950979185E-2</v>
          </cell>
        </row>
        <row r="234">
          <cell r="A234">
            <v>42401</v>
          </cell>
          <cell r="C234">
            <v>44208500</v>
          </cell>
          <cell r="D234">
            <v>-6.9216842380070516E-3</v>
          </cell>
        </row>
        <row r="235">
          <cell r="A235">
            <v>42402</v>
          </cell>
          <cell r="C235">
            <v>56313800</v>
          </cell>
          <cell r="D235">
            <v>-3.1754484337117479E-2</v>
          </cell>
        </row>
        <row r="236">
          <cell r="A236">
            <v>42403</v>
          </cell>
          <cell r="C236">
            <v>57559800</v>
          </cell>
          <cell r="D236">
            <v>-1.5976142500679243E-2</v>
          </cell>
        </row>
        <row r="237">
          <cell r="A237">
            <v>42404</v>
          </cell>
          <cell r="C237">
            <v>46987100</v>
          </cell>
          <cell r="D237">
            <v>-3.0720134114768575E-3</v>
          </cell>
        </row>
        <row r="238">
          <cell r="A238">
            <v>42405</v>
          </cell>
          <cell r="C238">
            <v>62009000</v>
          </cell>
          <cell r="D238">
            <v>-3.6025802680615358E-2</v>
          </cell>
        </row>
        <row r="239">
          <cell r="A239">
            <v>42408</v>
          </cell>
          <cell r="C239">
            <v>59290500</v>
          </cell>
          <cell r="D239">
            <v>-1.5065499379468647E-2</v>
          </cell>
        </row>
        <row r="240">
          <cell r="A240">
            <v>42409</v>
          </cell>
          <cell r="C240">
            <v>46740500</v>
          </cell>
          <cell r="D240">
            <v>-2.6342654596727974E-3</v>
          </cell>
        </row>
        <row r="241">
          <cell r="A241">
            <v>42410</v>
          </cell>
          <cell r="C241">
            <v>38237000</v>
          </cell>
          <cell r="D241">
            <v>8.6878817658467278E-3</v>
          </cell>
        </row>
        <row r="242">
          <cell r="A242">
            <v>42411</v>
          </cell>
          <cell r="C242">
            <v>48878600</v>
          </cell>
          <cell r="D242">
            <v>-4.025077877510556E-4</v>
          </cell>
        </row>
        <row r="243">
          <cell r="A243">
            <v>42412</v>
          </cell>
          <cell r="C243">
            <v>34243300</v>
          </cell>
          <cell r="D243">
            <v>1.616977583925451E-2</v>
          </cell>
        </row>
        <row r="244">
          <cell r="A244">
            <v>42416</v>
          </cell>
          <cell r="C244">
            <v>37291200</v>
          </cell>
          <cell r="D244">
            <v>1.8769677484794516E-2</v>
          </cell>
        </row>
        <row r="245">
          <cell r="A245">
            <v>42417</v>
          </cell>
          <cell r="C245">
            <v>40789000</v>
          </cell>
          <cell r="D245">
            <v>2.5699376378345323E-2</v>
          </cell>
        </row>
        <row r="246">
          <cell r="A246">
            <v>42418</v>
          </cell>
          <cell r="C246">
            <v>27176000</v>
          </cell>
          <cell r="D246">
            <v>-4.3973808063303647E-3</v>
          </cell>
        </row>
        <row r="247">
          <cell r="A247">
            <v>42419</v>
          </cell>
          <cell r="C247">
            <v>33559100</v>
          </cell>
          <cell r="D247">
            <v>-7.1148909516451017E-3</v>
          </cell>
        </row>
        <row r="248">
          <cell r="A248">
            <v>42422</v>
          </cell>
          <cell r="C248">
            <v>25008300</v>
          </cell>
          <cell r="D248">
            <v>1.589031821626324E-2</v>
          </cell>
        </row>
        <row r="249">
          <cell r="A249">
            <v>42423</v>
          </cell>
          <cell r="C249">
            <v>28895300</v>
          </cell>
          <cell r="D249">
            <v>-2.8317462151091363E-2</v>
          </cell>
        </row>
        <row r="250">
          <cell r="A250">
            <v>42424</v>
          </cell>
          <cell r="C250">
            <v>33014500</v>
          </cell>
          <cell r="D250">
            <v>3.5108453328123639E-3</v>
          </cell>
        </row>
        <row r="251">
          <cell r="A251">
            <v>42425</v>
          </cell>
          <cell r="C251">
            <v>26939500</v>
          </cell>
          <cell r="D251">
            <v>1.4305462659591844E-2</v>
          </cell>
        </row>
        <row r="252">
          <cell r="A252">
            <v>42426</v>
          </cell>
          <cell r="C252">
            <v>35975900</v>
          </cell>
          <cell r="D252">
            <v>-1.5474508693411999E-2</v>
          </cell>
        </row>
        <row r="253">
          <cell r="A253">
            <v>42429</v>
          </cell>
          <cell r="C253">
            <v>31654000</v>
          </cell>
          <cell r="D253">
            <v>-8.2206046845456557E-3</v>
          </cell>
        </row>
        <row r="254">
          <cell r="A254">
            <v>42430</v>
          </cell>
          <cell r="C254">
            <v>33024500</v>
          </cell>
          <cell r="D254">
            <v>3.2865957201118103E-2</v>
          </cell>
        </row>
        <row r="255">
          <cell r="A255">
            <v>42431</v>
          </cell>
          <cell r="C255">
            <v>29289900</v>
          </cell>
          <cell r="D255">
            <v>7.0122656116572511E-3</v>
          </cell>
        </row>
        <row r="256">
          <cell r="A256">
            <v>42432</v>
          </cell>
          <cell r="C256">
            <v>24427800</v>
          </cell>
          <cell r="D256">
            <v>-1.1396317877581009E-2</v>
          </cell>
        </row>
        <row r="257">
          <cell r="A257">
            <v>42433</v>
          </cell>
          <cell r="C257">
            <v>33034200</v>
          </cell>
          <cell r="D257">
            <v>-6.1314659739033677E-3</v>
          </cell>
        </row>
        <row r="258">
          <cell r="A258">
            <v>42436</v>
          </cell>
          <cell r="C258">
            <v>38407800</v>
          </cell>
          <cell r="D258">
            <v>-1.940675854204265E-2</v>
          </cell>
        </row>
        <row r="259">
          <cell r="A259">
            <v>42437</v>
          </cell>
          <cell r="C259">
            <v>33835100</v>
          </cell>
          <cell r="D259">
            <v>1.2076483184280604E-2</v>
          </cell>
        </row>
        <row r="260">
          <cell r="A260">
            <v>42438</v>
          </cell>
          <cell r="C260">
            <v>28251600</v>
          </cell>
          <cell r="D260">
            <v>2.2778485649539042E-2</v>
          </cell>
        </row>
        <row r="261">
          <cell r="A261">
            <v>42439</v>
          </cell>
          <cell r="C261">
            <v>38387800</v>
          </cell>
          <cell r="D261">
            <v>-1.5063678983937869E-2</v>
          </cell>
        </row>
        <row r="262">
          <cell r="A262">
            <v>42440</v>
          </cell>
          <cell r="C262">
            <v>32275700</v>
          </cell>
          <cell r="D262">
            <v>1.9406777495663809E-2</v>
          </cell>
        </row>
        <row r="263">
          <cell r="A263">
            <v>42443</v>
          </cell>
          <cell r="C263">
            <v>24083600</v>
          </cell>
          <cell r="D263">
            <v>1.8825103454395121E-3</v>
          </cell>
        </row>
        <row r="264">
          <cell r="A264">
            <v>42444</v>
          </cell>
          <cell r="C264">
            <v>21104800</v>
          </cell>
          <cell r="D264">
            <v>7.8680794868955101E-3</v>
          </cell>
        </row>
        <row r="265">
          <cell r="A265">
            <v>42445</v>
          </cell>
          <cell r="C265">
            <v>31691700</v>
          </cell>
          <cell r="D265">
            <v>1.4082262313828465E-2</v>
          </cell>
        </row>
        <row r="266">
          <cell r="A266">
            <v>42446</v>
          </cell>
          <cell r="C266">
            <v>28223900</v>
          </cell>
          <cell r="D266">
            <v>5.6875291246620665E-3</v>
          </cell>
        </row>
        <row r="267">
          <cell r="A267">
            <v>42447</v>
          </cell>
          <cell r="C267">
            <v>67625500</v>
          </cell>
          <cell r="D267">
            <v>-2.1637453642729433E-2</v>
          </cell>
        </row>
        <row r="268">
          <cell r="A268">
            <v>42450</v>
          </cell>
          <cell r="C268">
            <v>23925700</v>
          </cell>
          <cell r="D268">
            <v>6.8933607022788959E-3</v>
          </cell>
        </row>
        <row r="269">
          <cell r="A269">
            <v>42451</v>
          </cell>
          <cell r="C269">
            <v>23124100</v>
          </cell>
          <cell r="D269">
            <v>3.8914578928896711E-3</v>
          </cell>
        </row>
        <row r="270">
          <cell r="A270">
            <v>42452</v>
          </cell>
          <cell r="C270">
            <v>20129000</v>
          </cell>
          <cell r="D270">
            <v>-1.8510666472256489E-3</v>
          </cell>
        </row>
        <row r="271">
          <cell r="A271">
            <v>42453</v>
          </cell>
          <cell r="C271">
            <v>19950000</v>
          </cell>
          <cell r="D271">
            <v>4.4370440109774804E-3</v>
          </cell>
        </row>
        <row r="272">
          <cell r="A272">
            <v>42457</v>
          </cell>
          <cell r="C272">
            <v>17025100</v>
          </cell>
          <cell r="D272">
            <v>-1.2436569164414211E-2</v>
          </cell>
        </row>
        <row r="273">
          <cell r="A273">
            <v>42458</v>
          </cell>
          <cell r="C273">
            <v>23924300</v>
          </cell>
          <cell r="D273">
            <v>2.1617544546860264E-2</v>
          </cell>
        </row>
        <row r="274">
          <cell r="A274">
            <v>42459</v>
          </cell>
          <cell r="C274">
            <v>23008300</v>
          </cell>
          <cell r="D274">
            <v>6.1954805899919509E-3</v>
          </cell>
        </row>
        <row r="275">
          <cell r="A275">
            <v>42460</v>
          </cell>
          <cell r="C275">
            <v>26360500</v>
          </cell>
          <cell r="D275">
            <v>3.26422095055301E-3</v>
          </cell>
        </row>
        <row r="276">
          <cell r="A276">
            <v>42461</v>
          </cell>
          <cell r="C276">
            <v>24399200</v>
          </cell>
          <cell r="D276">
            <v>6.1374835744563063E-3</v>
          </cell>
        </row>
        <row r="277">
          <cell r="A277">
            <v>42464</v>
          </cell>
          <cell r="C277">
            <v>18928800</v>
          </cell>
          <cell r="D277">
            <v>-2.522531125640872E-3</v>
          </cell>
        </row>
        <row r="278">
          <cell r="A278">
            <v>42465</v>
          </cell>
          <cell r="C278">
            <v>19272300</v>
          </cell>
          <cell r="D278">
            <v>-1.5819980335477723E-2</v>
          </cell>
        </row>
        <row r="279">
          <cell r="A279">
            <v>42466</v>
          </cell>
          <cell r="C279">
            <v>21188700</v>
          </cell>
          <cell r="D279">
            <v>1.0211388161959581E-2</v>
          </cell>
        </row>
        <row r="280">
          <cell r="A280">
            <v>42467</v>
          </cell>
          <cell r="C280">
            <v>19225100</v>
          </cell>
          <cell r="D280">
            <v>-1.2045894315818513E-2</v>
          </cell>
        </row>
        <row r="281">
          <cell r="A281">
            <v>42468</v>
          </cell>
          <cell r="C281">
            <v>22167200</v>
          </cell>
          <cell r="D281">
            <v>-7.3484103713979132E-4</v>
          </cell>
        </row>
        <row r="282">
          <cell r="A282">
            <v>42471</v>
          </cell>
          <cell r="C282">
            <v>21414200</v>
          </cell>
          <cell r="D282">
            <v>-2.0233432091915828E-3</v>
          </cell>
        </row>
        <row r="283">
          <cell r="A283">
            <v>42472</v>
          </cell>
          <cell r="C283">
            <v>24944300</v>
          </cell>
          <cell r="D283">
            <v>6.2408299687991952E-3</v>
          </cell>
        </row>
        <row r="284">
          <cell r="A284">
            <v>42473</v>
          </cell>
          <cell r="C284">
            <v>20818000</v>
          </cell>
          <cell r="D284">
            <v>1.2727287121834725E-2</v>
          </cell>
        </row>
        <row r="285">
          <cell r="A285">
            <v>42474</v>
          </cell>
          <cell r="C285">
            <v>20877100</v>
          </cell>
          <cell r="D285">
            <v>1.8071261668581466E-4</v>
          </cell>
        </row>
        <row r="286">
          <cell r="A286">
            <v>42475</v>
          </cell>
          <cell r="C286">
            <v>28793800</v>
          </cell>
          <cell r="D286">
            <v>5.2248226093667329E-3</v>
          </cell>
        </row>
        <row r="287">
          <cell r="A287">
            <v>42478</v>
          </cell>
          <cell r="C287">
            <v>23786000</v>
          </cell>
          <cell r="D287">
            <v>1.4450326920736856E-2</v>
          </cell>
        </row>
        <row r="288">
          <cell r="A288">
            <v>42479</v>
          </cell>
          <cell r="C288">
            <v>29596800</v>
          </cell>
          <cell r="D288">
            <v>-1.2406174907049132E-3</v>
          </cell>
        </row>
        <row r="289">
          <cell r="A289">
            <v>42480</v>
          </cell>
          <cell r="C289">
            <v>36195700</v>
          </cell>
          <cell r="D289">
            <v>-1.4288430924479692E-2</v>
          </cell>
        </row>
        <row r="290">
          <cell r="A290">
            <v>42481</v>
          </cell>
          <cell r="C290">
            <v>38909100</v>
          </cell>
          <cell r="D290">
            <v>3.4120509744119841E-3</v>
          </cell>
        </row>
        <row r="291">
          <cell r="A291">
            <v>42482</v>
          </cell>
          <cell r="C291">
            <v>126834100</v>
          </cell>
          <cell r="D291">
            <v>-7.4411442397984112E-2</v>
          </cell>
        </row>
        <row r="292">
          <cell r="A292">
            <v>42485</v>
          </cell>
          <cell r="C292">
            <v>33226900</v>
          </cell>
          <cell r="D292">
            <v>6.3529625949324065E-3</v>
          </cell>
        </row>
        <row r="293">
          <cell r="A293">
            <v>42486</v>
          </cell>
          <cell r="C293">
            <v>33532600</v>
          </cell>
          <cell r="D293">
            <v>-1.2940844010853879E-2</v>
          </cell>
        </row>
        <row r="294">
          <cell r="A294">
            <v>42487</v>
          </cell>
          <cell r="C294">
            <v>43369300</v>
          </cell>
          <cell r="D294">
            <v>-9.7676308707387426E-3</v>
          </cell>
        </row>
        <row r="295">
          <cell r="A295">
            <v>42488</v>
          </cell>
          <cell r="C295">
            <v>43134800</v>
          </cell>
          <cell r="D295">
            <v>-2.0627452752892229E-2</v>
          </cell>
        </row>
        <row r="296">
          <cell r="A296">
            <v>42489</v>
          </cell>
          <cell r="C296">
            <v>48411700</v>
          </cell>
          <cell r="D296">
            <v>-6.0149789370757181E-4</v>
          </cell>
        </row>
        <row r="297">
          <cell r="A297">
            <v>42492</v>
          </cell>
          <cell r="C297">
            <v>33114500</v>
          </cell>
          <cell r="D297">
            <v>1.4729745578614725E-2</v>
          </cell>
        </row>
        <row r="298">
          <cell r="A298">
            <v>42493</v>
          </cell>
          <cell r="C298">
            <v>26460200</v>
          </cell>
          <cell r="D298">
            <v>-1.6535979370793395E-2</v>
          </cell>
        </row>
        <row r="299">
          <cell r="A299">
            <v>42494</v>
          </cell>
          <cell r="C299">
            <v>24257600</v>
          </cell>
          <cell r="D299">
            <v>1.8062337921786256E-3</v>
          </cell>
        </row>
        <row r="300">
          <cell r="A300">
            <v>42495</v>
          </cell>
          <cell r="C300">
            <v>25390700</v>
          </cell>
          <cell r="D300">
            <v>1.4027237305049337E-3</v>
          </cell>
        </row>
        <row r="301">
          <cell r="A301">
            <v>42496</v>
          </cell>
          <cell r="C301">
            <v>24787300</v>
          </cell>
          <cell r="D301">
            <v>8.9704899002581908E-3</v>
          </cell>
        </row>
        <row r="302">
          <cell r="A302">
            <v>42499</v>
          </cell>
          <cell r="C302">
            <v>17951600</v>
          </cell>
          <cell r="D302">
            <v>-6.3706557187930063E-3</v>
          </cell>
        </row>
        <row r="303">
          <cell r="A303">
            <v>42500</v>
          </cell>
          <cell r="C303">
            <v>22891000</v>
          </cell>
          <cell r="D303">
            <v>1.8795652745107989E-2</v>
          </cell>
        </row>
        <row r="304">
          <cell r="A304">
            <v>42501</v>
          </cell>
          <cell r="C304">
            <v>24039100</v>
          </cell>
          <cell r="D304">
            <v>5.8785934885470124E-4</v>
          </cell>
        </row>
        <row r="305">
          <cell r="A305">
            <v>42502</v>
          </cell>
          <cell r="C305">
            <v>24102800</v>
          </cell>
          <cell r="D305">
            <v>8.9703678164369041E-3</v>
          </cell>
        </row>
        <row r="306">
          <cell r="A306">
            <v>42503</v>
          </cell>
          <cell r="C306">
            <v>22592300</v>
          </cell>
          <cell r="D306">
            <v>-8.3827693032107343E-3</v>
          </cell>
        </row>
        <row r="307">
          <cell r="A307">
            <v>42506</v>
          </cell>
          <cell r="C307">
            <v>20032000</v>
          </cell>
          <cell r="D307">
            <v>1.4576025138070815E-2</v>
          </cell>
        </row>
        <row r="308">
          <cell r="A308">
            <v>42507</v>
          </cell>
          <cell r="C308">
            <v>27803500</v>
          </cell>
          <cell r="D308">
            <v>-1.8827943248916488E-2</v>
          </cell>
        </row>
        <row r="309">
          <cell r="A309">
            <v>42508</v>
          </cell>
          <cell r="C309">
            <v>24907500</v>
          </cell>
          <cell r="D309">
            <v>5.9218568579288301E-3</v>
          </cell>
        </row>
        <row r="310">
          <cell r="A310">
            <v>42509</v>
          </cell>
          <cell r="C310">
            <v>23842400</v>
          </cell>
          <cell r="D310">
            <v>-9.6906008041141543E-3</v>
          </cell>
        </row>
        <row r="311">
          <cell r="A311">
            <v>42510</v>
          </cell>
          <cell r="C311">
            <v>23905800</v>
          </cell>
          <cell r="D311">
            <v>5.944150603756285E-3</v>
          </cell>
        </row>
        <row r="312">
          <cell r="A312">
            <v>42513</v>
          </cell>
          <cell r="C312">
            <v>26118700</v>
          </cell>
          <cell r="D312">
            <v>-1.1723638771838109E-2</v>
          </cell>
        </row>
        <row r="313">
          <cell r="A313">
            <v>42514</v>
          </cell>
          <cell r="C313">
            <v>34757900</v>
          </cell>
          <cell r="D313">
            <v>3.0704973644792227E-2</v>
          </cell>
        </row>
        <row r="314">
          <cell r="A314">
            <v>42515</v>
          </cell>
          <cell r="C314">
            <v>24040200</v>
          </cell>
          <cell r="D314">
            <v>1.0220762009192735E-2</v>
          </cell>
        </row>
        <row r="315">
          <cell r="A315">
            <v>42516</v>
          </cell>
          <cell r="C315">
            <v>24335200</v>
          </cell>
          <cell r="D315">
            <v>-4.4227655294624343E-3</v>
          </cell>
        </row>
        <row r="316">
          <cell r="A316">
            <v>42517</v>
          </cell>
          <cell r="C316">
            <v>17721400</v>
          </cell>
          <cell r="D316">
            <v>8.252807055401476E-3</v>
          </cell>
        </row>
        <row r="317">
          <cell r="A317">
            <v>42521</v>
          </cell>
          <cell r="C317">
            <v>37653100</v>
          </cell>
          <cell r="D317">
            <v>1.2913330198325404E-2</v>
          </cell>
        </row>
        <row r="318">
          <cell r="A318">
            <v>42522</v>
          </cell>
          <cell r="C318">
            <v>25324800</v>
          </cell>
          <cell r="D318">
            <v>-2.8345185282298716E-3</v>
          </cell>
        </row>
        <row r="319">
          <cell r="A319">
            <v>42523</v>
          </cell>
          <cell r="C319">
            <v>22840800</v>
          </cell>
          <cell r="D319">
            <v>-7.0252318098765962E-3</v>
          </cell>
        </row>
        <row r="320">
          <cell r="A320">
            <v>42524</v>
          </cell>
          <cell r="C320">
            <v>23368300</v>
          </cell>
          <cell r="D320">
            <v>-1.3235402424586963E-2</v>
          </cell>
        </row>
        <row r="321">
          <cell r="A321">
            <v>42527</v>
          </cell>
          <cell r="C321">
            <v>18243300</v>
          </cell>
          <cell r="D321">
            <v>6.5438601857471454E-3</v>
          </cell>
        </row>
        <row r="322">
          <cell r="A322">
            <v>42528</v>
          </cell>
          <cell r="C322">
            <v>20866800</v>
          </cell>
          <cell r="D322">
            <v>-5.7577199629593007E-4</v>
          </cell>
        </row>
        <row r="323">
          <cell r="A323">
            <v>42529</v>
          </cell>
          <cell r="C323">
            <v>21149400</v>
          </cell>
          <cell r="D323">
            <v>-1.1525188871450748E-3</v>
          </cell>
        </row>
        <row r="324">
          <cell r="A324">
            <v>42530</v>
          </cell>
          <cell r="C324">
            <v>20305700</v>
          </cell>
          <cell r="D324">
            <v>-8.1035034452882713E-3</v>
          </cell>
        </row>
        <row r="325">
          <cell r="A325">
            <v>42531</v>
          </cell>
          <cell r="C325">
            <v>25833200</v>
          </cell>
          <cell r="D325">
            <v>-2.7156737020389175E-3</v>
          </cell>
        </row>
        <row r="326">
          <cell r="A326">
            <v>42534</v>
          </cell>
          <cell r="C326">
            <v>83217800</v>
          </cell>
          <cell r="D326">
            <v>-2.6374412971467271E-2</v>
          </cell>
        </row>
        <row r="327">
          <cell r="A327">
            <v>42535</v>
          </cell>
          <cell r="C327">
            <v>42577100</v>
          </cell>
          <cell r="D327">
            <v>-6.2017017456178014E-3</v>
          </cell>
        </row>
        <row r="328">
          <cell r="A328">
            <v>42536</v>
          </cell>
          <cell r="C328">
            <v>33757600</v>
          </cell>
          <cell r="D328">
            <v>-2.813535909444778E-3</v>
          </cell>
        </row>
        <row r="329">
          <cell r="A329">
            <v>42537</v>
          </cell>
          <cell r="C329">
            <v>31188600</v>
          </cell>
          <cell r="D329">
            <v>1.3989053952315877E-2</v>
          </cell>
        </row>
        <row r="330">
          <cell r="A330">
            <v>42538</v>
          </cell>
          <cell r="C330">
            <v>45710500</v>
          </cell>
          <cell r="D330">
            <v>-5.1730919664616862E-3</v>
          </cell>
        </row>
        <row r="331">
          <cell r="A331">
            <v>42541</v>
          </cell>
          <cell r="C331">
            <v>35607900</v>
          </cell>
          <cell r="D331">
            <v>-1.1975164170631382E-3</v>
          </cell>
        </row>
        <row r="332">
          <cell r="A332">
            <v>42542</v>
          </cell>
          <cell r="C332">
            <v>34097800</v>
          </cell>
          <cell r="D332">
            <v>2.2122001107661764E-2</v>
          </cell>
        </row>
        <row r="333">
          <cell r="A333">
            <v>42543</v>
          </cell>
          <cell r="C333">
            <v>28816800</v>
          </cell>
          <cell r="D333">
            <v>-3.9144390782076535E-3</v>
          </cell>
        </row>
        <row r="334">
          <cell r="A334">
            <v>42544</v>
          </cell>
          <cell r="C334">
            <v>29028800</v>
          </cell>
          <cell r="D334">
            <v>1.7881759660826769E-2</v>
          </cell>
        </row>
        <row r="335">
          <cell r="A335">
            <v>42545</v>
          </cell>
          <cell r="C335">
            <v>133503000</v>
          </cell>
          <cell r="D335">
            <v>-4.0894231349627289E-2</v>
          </cell>
        </row>
        <row r="336">
          <cell r="A336">
            <v>42548</v>
          </cell>
          <cell r="C336">
            <v>50216300</v>
          </cell>
          <cell r="D336">
            <v>-2.8497790147080718E-2</v>
          </cell>
        </row>
        <row r="337">
          <cell r="A337">
            <v>42549</v>
          </cell>
          <cell r="C337">
            <v>38140700</v>
          </cell>
          <cell r="D337">
            <v>2.0640279735181927E-2</v>
          </cell>
        </row>
        <row r="338">
          <cell r="A338">
            <v>42550</v>
          </cell>
          <cell r="C338">
            <v>31304000</v>
          </cell>
          <cell r="D338">
            <v>2.2005317033806541E-2</v>
          </cell>
        </row>
        <row r="339">
          <cell r="A339">
            <v>42551</v>
          </cell>
          <cell r="C339">
            <v>28527800</v>
          </cell>
          <cell r="D339">
            <v>1.2388355330803137E-2</v>
          </cell>
        </row>
        <row r="340">
          <cell r="A340">
            <v>42552</v>
          </cell>
          <cell r="C340">
            <v>21400400</v>
          </cell>
          <cell r="D340">
            <v>-1.9543167880627156E-4</v>
          </cell>
        </row>
        <row r="341">
          <cell r="A341">
            <v>42556</v>
          </cell>
          <cell r="C341">
            <v>24806400</v>
          </cell>
          <cell r="D341">
            <v>1.9543167880628753E-4</v>
          </cell>
        </row>
        <row r="342">
          <cell r="A342">
            <v>42557</v>
          </cell>
          <cell r="C342">
            <v>28167500</v>
          </cell>
          <cell r="D342">
            <v>4.0956427650919499E-3</v>
          </cell>
        </row>
        <row r="343">
          <cell r="A343">
            <v>42558</v>
          </cell>
          <cell r="C343">
            <v>19585200</v>
          </cell>
          <cell r="D343">
            <v>0</v>
          </cell>
        </row>
        <row r="344">
          <cell r="A344">
            <v>42559</v>
          </cell>
          <cell r="C344">
            <v>28391000</v>
          </cell>
          <cell r="D344">
            <v>1.7747289104323494E-2</v>
          </cell>
        </row>
        <row r="345">
          <cell r="A345">
            <v>42562</v>
          </cell>
          <cell r="C345">
            <v>22269200</v>
          </cell>
          <cell r="D345">
            <v>5.5297803944637236E-3</v>
          </cell>
        </row>
        <row r="346">
          <cell r="A346">
            <v>42563</v>
          </cell>
          <cell r="C346">
            <v>27317600</v>
          </cell>
          <cell r="D346">
            <v>1.1720264868072225E-2</v>
          </cell>
        </row>
        <row r="347">
          <cell r="A347">
            <v>42564</v>
          </cell>
          <cell r="C347">
            <v>25356800</v>
          </cell>
          <cell r="D347">
            <v>5.6220701000599558E-3</v>
          </cell>
        </row>
        <row r="348">
          <cell r="A348">
            <v>42565</v>
          </cell>
          <cell r="C348">
            <v>24545500</v>
          </cell>
          <cell r="D348">
            <v>4.2892340467701991E-3</v>
          </cell>
        </row>
        <row r="349">
          <cell r="A349">
            <v>42566</v>
          </cell>
          <cell r="C349">
            <v>32024400</v>
          </cell>
          <cell r="D349">
            <v>-7.4454661684181028E-4</v>
          </cell>
        </row>
        <row r="350">
          <cell r="A350">
            <v>42569</v>
          </cell>
          <cell r="C350">
            <v>31433900</v>
          </cell>
          <cell r="D350">
            <v>4.8299515737065526E-3</v>
          </cell>
        </row>
        <row r="351">
          <cell r="A351">
            <v>42570</v>
          </cell>
          <cell r="C351">
            <v>53336500</v>
          </cell>
          <cell r="D351">
            <v>-1.625444551863587E-2</v>
          </cell>
        </row>
        <row r="352">
          <cell r="A352">
            <v>42571</v>
          </cell>
          <cell r="C352">
            <v>89893300</v>
          </cell>
          <cell r="D352">
            <v>5.175462325935256E-2</v>
          </cell>
        </row>
        <row r="353">
          <cell r="A353">
            <v>42572</v>
          </cell>
          <cell r="C353">
            <v>32776700</v>
          </cell>
          <cell r="D353">
            <v>-1.9692977209827857E-3</v>
          </cell>
        </row>
        <row r="354">
          <cell r="A354">
            <v>42573</v>
          </cell>
          <cell r="C354">
            <v>32157200</v>
          </cell>
          <cell r="D354">
            <v>1.3704994933452414E-2</v>
          </cell>
        </row>
        <row r="355">
          <cell r="A355">
            <v>42576</v>
          </cell>
          <cell r="C355">
            <v>25610600</v>
          </cell>
          <cell r="D355">
            <v>2.8240588255450281E-3</v>
          </cell>
        </row>
        <row r="356">
          <cell r="A356">
            <v>42577</v>
          </cell>
          <cell r="C356">
            <v>28079000</v>
          </cell>
          <cell r="D356">
            <v>5.2869867263157747E-4</v>
          </cell>
        </row>
        <row r="357">
          <cell r="A357">
            <v>42578</v>
          </cell>
          <cell r="C357">
            <v>32327500</v>
          </cell>
          <cell r="D357">
            <v>-1.0092948240735753E-2</v>
          </cell>
        </row>
        <row r="358">
          <cell r="A358">
            <v>42579</v>
          </cell>
          <cell r="C358">
            <v>37550400</v>
          </cell>
          <cell r="D358">
            <v>3.5592192221810135E-4</v>
          </cell>
        </row>
        <row r="359">
          <cell r="A359">
            <v>42580</v>
          </cell>
          <cell r="C359">
            <v>30558700</v>
          </cell>
          <cell r="D359">
            <v>8.3266361288818636E-3</v>
          </cell>
        </row>
        <row r="360">
          <cell r="A360">
            <v>42583</v>
          </cell>
          <cell r="C360">
            <v>26003400</v>
          </cell>
          <cell r="D360">
            <v>-1.7657754503992279E-3</v>
          </cell>
        </row>
        <row r="361">
          <cell r="A361">
            <v>42584</v>
          </cell>
          <cell r="C361">
            <v>35122000</v>
          </cell>
          <cell r="D361">
            <v>0</v>
          </cell>
        </row>
        <row r="362">
          <cell r="A362">
            <v>42585</v>
          </cell>
          <cell r="C362">
            <v>22075600</v>
          </cell>
          <cell r="D362">
            <v>6.8693444441762881E-3</v>
          </cell>
        </row>
        <row r="363">
          <cell r="A363">
            <v>42586</v>
          </cell>
          <cell r="C363">
            <v>26587700</v>
          </cell>
          <cell r="D363">
            <v>7.3451660023315596E-3</v>
          </cell>
        </row>
        <row r="364">
          <cell r="A364">
            <v>42587</v>
          </cell>
          <cell r="C364">
            <v>29335200</v>
          </cell>
          <cell r="D364">
            <v>9.8829481971962167E-3</v>
          </cell>
        </row>
        <row r="365">
          <cell r="A365">
            <v>42590</v>
          </cell>
          <cell r="C365">
            <v>19473500</v>
          </cell>
          <cell r="D365">
            <v>1.7239911321753341E-3</v>
          </cell>
        </row>
        <row r="366">
          <cell r="A366">
            <v>42591</v>
          </cell>
          <cell r="C366">
            <v>16920700</v>
          </cell>
          <cell r="D366">
            <v>2.4082736882421628E-3</v>
          </cell>
        </row>
        <row r="367">
          <cell r="A367">
            <v>42592</v>
          </cell>
          <cell r="C367">
            <v>15756900</v>
          </cell>
          <cell r="D367">
            <v>-3.0973287475699112E-3</v>
          </cell>
        </row>
        <row r="368">
          <cell r="A368">
            <v>42593</v>
          </cell>
          <cell r="C368">
            <v>18162300</v>
          </cell>
          <cell r="D368">
            <v>4.8141247452686354E-3</v>
          </cell>
        </row>
        <row r="369">
          <cell r="A369">
            <v>42594</v>
          </cell>
          <cell r="C369">
            <v>21655200</v>
          </cell>
          <cell r="D369">
            <v>-6.1940124536607908E-3</v>
          </cell>
        </row>
        <row r="370">
          <cell r="A370">
            <v>42597</v>
          </cell>
          <cell r="C370">
            <v>19283900</v>
          </cell>
          <cell r="D370">
            <v>3.1017281592625717E-3</v>
          </cell>
        </row>
        <row r="371">
          <cell r="A371">
            <v>42598</v>
          </cell>
          <cell r="C371">
            <v>20523500</v>
          </cell>
          <cell r="D371">
            <v>-5.555636743185639E-3</v>
          </cell>
        </row>
        <row r="372">
          <cell r="A372">
            <v>42599</v>
          </cell>
          <cell r="C372">
            <v>18856400</v>
          </cell>
          <cell r="D372">
            <v>2.086940805799332E-3</v>
          </cell>
        </row>
        <row r="373">
          <cell r="A373">
            <v>42600</v>
          </cell>
          <cell r="C373">
            <v>14214300</v>
          </cell>
          <cell r="D373">
            <v>6.9484668124726741E-4</v>
          </cell>
        </row>
        <row r="374">
          <cell r="A374">
            <v>42601</v>
          </cell>
          <cell r="C374">
            <v>17271000</v>
          </cell>
          <cell r="D374">
            <v>3.4709444407597043E-4</v>
          </cell>
        </row>
        <row r="375">
          <cell r="A375">
            <v>42604</v>
          </cell>
          <cell r="C375">
            <v>15221900</v>
          </cell>
          <cell r="D375">
            <v>8.6737567202079598E-4</v>
          </cell>
        </row>
        <row r="376">
          <cell r="A376">
            <v>42605</v>
          </cell>
          <cell r="C376">
            <v>18732400</v>
          </cell>
          <cell r="D376">
            <v>3.8075661618286456E-3</v>
          </cell>
        </row>
        <row r="377">
          <cell r="A377">
            <v>42606</v>
          </cell>
          <cell r="C377">
            <v>18151500</v>
          </cell>
          <cell r="D377">
            <v>1.0359493835763183E-3</v>
          </cell>
        </row>
        <row r="378">
          <cell r="A378">
            <v>42607</v>
          </cell>
          <cell r="C378">
            <v>18552600</v>
          </cell>
          <cell r="D378">
            <v>3.7891302940359474E-3</v>
          </cell>
        </row>
        <row r="379">
          <cell r="A379">
            <v>42608</v>
          </cell>
          <cell r="C379">
            <v>20971200</v>
          </cell>
          <cell r="D379">
            <v>-2.40968474768598E-3</v>
          </cell>
        </row>
        <row r="380">
          <cell r="A380">
            <v>42611</v>
          </cell>
          <cell r="C380">
            <v>16417200</v>
          </cell>
          <cell r="D380">
            <v>1.2056048721944494E-3</v>
          </cell>
        </row>
        <row r="381">
          <cell r="A381">
            <v>42612</v>
          </cell>
          <cell r="C381">
            <v>16930200</v>
          </cell>
          <cell r="D381">
            <v>-3.6209998021206934E-3</v>
          </cell>
        </row>
        <row r="382">
          <cell r="A382">
            <v>42613</v>
          </cell>
          <cell r="C382">
            <v>20860300</v>
          </cell>
          <cell r="D382">
            <v>-7.4555400951986485E-3</v>
          </cell>
        </row>
        <row r="383">
          <cell r="A383">
            <v>42614</v>
          </cell>
          <cell r="C383">
            <v>26075400</v>
          </cell>
          <cell r="D383">
            <v>2.2598374053360059E-3</v>
          </cell>
        </row>
        <row r="384">
          <cell r="A384">
            <v>42615</v>
          </cell>
          <cell r="C384">
            <v>18900500</v>
          </cell>
          <cell r="D384">
            <v>1.3881365280338648E-3</v>
          </cell>
        </row>
        <row r="385">
          <cell r="A385">
            <v>42619</v>
          </cell>
          <cell r="C385">
            <v>16278400</v>
          </cell>
          <cell r="D385">
            <v>-1.0408338589450485E-3</v>
          </cell>
        </row>
        <row r="386">
          <cell r="A386">
            <v>42620</v>
          </cell>
          <cell r="C386">
            <v>17493400</v>
          </cell>
          <cell r="D386">
            <v>8.6737824993545008E-4</v>
          </cell>
        </row>
        <row r="387">
          <cell r="A387">
            <v>42621</v>
          </cell>
          <cell r="C387">
            <v>20146100</v>
          </cell>
          <cell r="D387">
            <v>-3.9968780161540032E-3</v>
          </cell>
        </row>
        <row r="388">
          <cell r="A388">
            <v>42622</v>
          </cell>
          <cell r="C388">
            <v>35113900</v>
          </cell>
          <cell r="D388">
            <v>-2.147203196679838E-2</v>
          </cell>
        </row>
        <row r="389">
          <cell r="A389">
            <v>42625</v>
          </cell>
          <cell r="C389">
            <v>29303000</v>
          </cell>
          <cell r="D389">
            <v>1.4833411620385931E-2</v>
          </cell>
        </row>
        <row r="390">
          <cell r="A390">
            <v>42626</v>
          </cell>
          <cell r="C390">
            <v>30130200</v>
          </cell>
          <cell r="D390">
            <v>-9.1565503840041976E-3</v>
          </cell>
        </row>
        <row r="391">
          <cell r="A391">
            <v>42627</v>
          </cell>
          <cell r="C391">
            <v>24062500</v>
          </cell>
          <cell r="D391">
            <v>-4.787889102740815E-3</v>
          </cell>
        </row>
        <row r="392">
          <cell r="A392">
            <v>42628</v>
          </cell>
          <cell r="C392">
            <v>26847000</v>
          </cell>
          <cell r="D392">
            <v>1.6395261667068891E-2</v>
          </cell>
        </row>
        <row r="393">
          <cell r="A393">
            <v>42629</v>
          </cell>
          <cell r="C393">
            <v>44607000</v>
          </cell>
          <cell r="D393">
            <v>1.0486972001422087E-3</v>
          </cell>
        </row>
        <row r="394">
          <cell r="A394">
            <v>42632</v>
          </cell>
          <cell r="C394">
            <v>20937100</v>
          </cell>
          <cell r="D394">
            <v>-5.6051357493384765E-3</v>
          </cell>
        </row>
        <row r="395">
          <cell r="A395">
            <v>42633</v>
          </cell>
          <cell r="C395">
            <v>17384000</v>
          </cell>
          <cell r="D395">
            <v>-2.1102093810686047E-3</v>
          </cell>
        </row>
        <row r="396">
          <cell r="A396">
            <v>42634</v>
          </cell>
          <cell r="C396">
            <v>33707300</v>
          </cell>
          <cell r="D396">
            <v>1.6584103523791315E-2</v>
          </cell>
        </row>
        <row r="397">
          <cell r="A397">
            <v>42635</v>
          </cell>
          <cell r="C397">
            <v>19822200</v>
          </cell>
          <cell r="D397">
            <v>1.0384088463847056E-3</v>
          </cell>
        </row>
        <row r="398">
          <cell r="A398">
            <v>42636</v>
          </cell>
          <cell r="C398">
            <v>19955300</v>
          </cell>
          <cell r="D398">
            <v>-6.7680662738225624E-3</v>
          </cell>
        </row>
        <row r="399">
          <cell r="A399">
            <v>42639</v>
          </cell>
          <cell r="C399">
            <v>21688700</v>
          </cell>
          <cell r="D399">
            <v>-9.2712359859912375E-3</v>
          </cell>
        </row>
        <row r="400">
          <cell r="A400">
            <v>42640</v>
          </cell>
          <cell r="C400">
            <v>28065100</v>
          </cell>
          <cell r="D400">
            <v>1.8285085156559942E-2</v>
          </cell>
        </row>
        <row r="401">
          <cell r="A401">
            <v>42641</v>
          </cell>
          <cell r="C401">
            <v>20536400</v>
          </cell>
          <cell r="D401">
            <v>1.3794455463499158E-3</v>
          </cell>
        </row>
        <row r="402">
          <cell r="A402">
            <v>42642</v>
          </cell>
          <cell r="C402">
            <v>25463500</v>
          </cell>
          <cell r="D402">
            <v>-1.0915648986803698E-2</v>
          </cell>
        </row>
        <row r="403">
          <cell r="A403">
            <v>42643</v>
          </cell>
          <cell r="C403">
            <v>29910800</v>
          </cell>
          <cell r="D403">
            <v>3.4782177789520227E-3</v>
          </cell>
        </row>
        <row r="404">
          <cell r="A404">
            <v>42646</v>
          </cell>
          <cell r="C404">
            <v>19189500</v>
          </cell>
          <cell r="D404">
            <v>-3.129895618244664E-3</v>
          </cell>
        </row>
        <row r="405">
          <cell r="A405">
            <v>42647</v>
          </cell>
          <cell r="C405">
            <v>20085900</v>
          </cell>
          <cell r="D405">
            <v>-3.1397412438898069E-3</v>
          </cell>
        </row>
        <row r="406">
          <cell r="A406">
            <v>42648</v>
          </cell>
          <cell r="C406">
            <v>16726400</v>
          </cell>
          <cell r="D406">
            <v>6.9638531921274319E-3</v>
          </cell>
        </row>
        <row r="407">
          <cell r="A407">
            <v>42649</v>
          </cell>
          <cell r="C407">
            <v>16212600</v>
          </cell>
          <cell r="D407">
            <v>1.7333799196320055E-3</v>
          </cell>
        </row>
        <row r="408">
          <cell r="A408">
            <v>42650</v>
          </cell>
          <cell r="C408">
            <v>20089000</v>
          </cell>
          <cell r="D408">
            <v>1.0385654519599226E-3</v>
          </cell>
        </row>
        <row r="409">
          <cell r="A409">
            <v>42653</v>
          </cell>
          <cell r="C409">
            <v>18196500</v>
          </cell>
          <cell r="D409">
            <v>4.1436743278642539E-3</v>
          </cell>
        </row>
        <row r="410">
          <cell r="A410">
            <v>42654</v>
          </cell>
          <cell r="C410">
            <v>26497400</v>
          </cell>
          <cell r="D410">
            <v>-1.475349770460437E-2</v>
          </cell>
        </row>
        <row r="411">
          <cell r="A411">
            <v>42655</v>
          </cell>
          <cell r="C411">
            <v>22177500</v>
          </cell>
          <cell r="D411">
            <v>-1.3997768802515409E-3</v>
          </cell>
        </row>
        <row r="412">
          <cell r="A412">
            <v>42656</v>
          </cell>
          <cell r="C412">
            <v>25313700</v>
          </cell>
          <cell r="D412">
            <v>-3.3322972356284561E-3</v>
          </cell>
        </row>
        <row r="413">
          <cell r="A413">
            <v>42657</v>
          </cell>
          <cell r="C413">
            <v>27402500</v>
          </cell>
          <cell r="D413">
            <v>8.7458401727908246E-3</v>
          </cell>
        </row>
        <row r="414">
          <cell r="A414">
            <v>42660</v>
          </cell>
          <cell r="C414">
            <v>23830000</v>
          </cell>
          <cell r="D414">
            <v>-3.4892148161157735E-3</v>
          </cell>
        </row>
        <row r="415">
          <cell r="A415">
            <v>42661</v>
          </cell>
          <cell r="C415">
            <v>19149500</v>
          </cell>
          <cell r="D415">
            <v>7.6601249414474928E-3</v>
          </cell>
        </row>
        <row r="416">
          <cell r="A416">
            <v>42662</v>
          </cell>
          <cell r="C416">
            <v>22878400</v>
          </cell>
          <cell r="D416">
            <v>-2.2570909921353841E-3</v>
          </cell>
        </row>
        <row r="417">
          <cell r="A417">
            <v>42663</v>
          </cell>
          <cell r="C417">
            <v>49455600</v>
          </cell>
          <cell r="D417">
            <v>-4.8788879899650016E-3</v>
          </cell>
        </row>
        <row r="418">
          <cell r="A418">
            <v>42664</v>
          </cell>
          <cell r="C418">
            <v>80032200</v>
          </cell>
          <cell r="D418">
            <v>4.1234103402741959E-2</v>
          </cell>
        </row>
        <row r="419">
          <cell r="A419">
            <v>42667</v>
          </cell>
          <cell r="C419">
            <v>54067000</v>
          </cell>
          <cell r="D419">
            <v>2.2212093319171761E-2</v>
          </cell>
        </row>
        <row r="420">
          <cell r="A420">
            <v>42668</v>
          </cell>
          <cell r="C420">
            <v>35137200</v>
          </cell>
          <cell r="D420">
            <v>-1.6391598538948899E-4</v>
          </cell>
        </row>
        <row r="421">
          <cell r="A421">
            <v>42669</v>
          </cell>
          <cell r="C421">
            <v>29911600</v>
          </cell>
          <cell r="D421">
            <v>-5.9202419412056869E-3</v>
          </cell>
        </row>
        <row r="422">
          <cell r="A422">
            <v>42670</v>
          </cell>
          <cell r="C422">
            <v>28479900</v>
          </cell>
          <cell r="D422">
            <v>-8.7798958598569749E-3</v>
          </cell>
        </row>
        <row r="423">
          <cell r="A423">
            <v>42671</v>
          </cell>
          <cell r="C423">
            <v>33574700</v>
          </cell>
          <cell r="D423">
            <v>-3.8342972020306947E-3</v>
          </cell>
        </row>
        <row r="424">
          <cell r="A424">
            <v>42674</v>
          </cell>
          <cell r="C424">
            <v>26434700</v>
          </cell>
          <cell r="D424">
            <v>8.3479208286350241E-4</v>
          </cell>
        </row>
        <row r="425">
          <cell r="A425">
            <v>42675</v>
          </cell>
          <cell r="C425">
            <v>24533000</v>
          </cell>
          <cell r="D425">
            <v>-2.0046088530261811E-3</v>
          </cell>
        </row>
        <row r="426">
          <cell r="A426">
            <v>42676</v>
          </cell>
          <cell r="C426">
            <v>22147000</v>
          </cell>
          <cell r="D426">
            <v>-6.2065557824073567E-3</v>
          </cell>
        </row>
        <row r="427">
          <cell r="A427">
            <v>42677</v>
          </cell>
          <cell r="C427">
            <v>21600400</v>
          </cell>
          <cell r="D427">
            <v>-3.7086642123059627E-3</v>
          </cell>
        </row>
        <row r="428">
          <cell r="A428">
            <v>42678</v>
          </cell>
          <cell r="C428">
            <v>28697000</v>
          </cell>
          <cell r="D428">
            <v>-8.4803898981084726E-3</v>
          </cell>
        </row>
        <row r="429">
          <cell r="A429">
            <v>42681</v>
          </cell>
          <cell r="C429">
            <v>31664800</v>
          </cell>
          <cell r="D429">
            <v>2.8710121975447467E-2</v>
          </cell>
        </row>
        <row r="430">
          <cell r="A430">
            <v>42682</v>
          </cell>
          <cell r="C430">
            <v>22935400</v>
          </cell>
          <cell r="D430">
            <v>8.2717848524831671E-4</v>
          </cell>
        </row>
        <row r="431">
          <cell r="A431">
            <v>42683</v>
          </cell>
          <cell r="C431">
            <v>49632500</v>
          </cell>
          <cell r="D431">
            <v>-4.9735957025007051E-3</v>
          </cell>
        </row>
        <row r="432">
          <cell r="A432">
            <v>42684</v>
          </cell>
          <cell r="C432">
            <v>57822400</v>
          </cell>
          <cell r="D432">
            <v>-2.4733942272061361E-2</v>
          </cell>
        </row>
        <row r="433">
          <cell r="A433">
            <v>42685</v>
          </cell>
          <cell r="C433">
            <v>38767800</v>
          </cell>
          <cell r="D433">
            <v>5.4365806884573613E-3</v>
          </cell>
        </row>
        <row r="434">
          <cell r="A434">
            <v>42688</v>
          </cell>
          <cell r="C434">
            <v>41328400</v>
          </cell>
          <cell r="D434">
            <v>-1.5366653754768322E-2</v>
          </cell>
        </row>
        <row r="435">
          <cell r="A435">
            <v>42689</v>
          </cell>
          <cell r="C435">
            <v>35904100</v>
          </cell>
          <cell r="D435">
            <v>1.9554809598097734E-2</v>
          </cell>
        </row>
        <row r="436">
          <cell r="A436">
            <v>42690</v>
          </cell>
          <cell r="C436">
            <v>27332500</v>
          </cell>
          <cell r="D436">
            <v>1.3162558527800176E-2</v>
          </cell>
        </row>
        <row r="437">
          <cell r="A437">
            <v>42691</v>
          </cell>
          <cell r="C437">
            <v>32132700</v>
          </cell>
          <cell r="D437">
            <v>1.6460452249956337E-2</v>
          </cell>
        </row>
        <row r="438">
          <cell r="A438">
            <v>42692</v>
          </cell>
          <cell r="C438">
            <v>27686300</v>
          </cell>
          <cell r="D438">
            <v>-4.7937461916815836E-3</v>
          </cell>
        </row>
        <row r="439">
          <cell r="A439">
            <v>42695</v>
          </cell>
          <cell r="C439">
            <v>19652600</v>
          </cell>
          <cell r="D439">
            <v>8.4151303087385797E-3</v>
          </cell>
        </row>
        <row r="440">
          <cell r="A440">
            <v>42696</v>
          </cell>
          <cell r="C440">
            <v>23206700</v>
          </cell>
          <cell r="D440">
            <v>4.2628962382468055E-3</v>
          </cell>
        </row>
        <row r="441">
          <cell r="A441">
            <v>42697</v>
          </cell>
          <cell r="C441">
            <v>21848900</v>
          </cell>
          <cell r="D441">
            <v>-1.1849819387498198E-2</v>
          </cell>
        </row>
        <row r="442">
          <cell r="A442">
            <v>42699</v>
          </cell>
          <cell r="C442">
            <v>8409600</v>
          </cell>
          <cell r="D442">
            <v>2.1499521296984526E-3</v>
          </cell>
        </row>
        <row r="443">
          <cell r="A443">
            <v>42702</v>
          </cell>
          <cell r="C443">
            <v>20732600</v>
          </cell>
          <cell r="D443">
            <v>1.3207536595512359E-3</v>
          </cell>
        </row>
        <row r="444">
          <cell r="A444">
            <v>42703</v>
          </cell>
          <cell r="C444">
            <v>22366700</v>
          </cell>
          <cell r="D444">
            <v>7.8883059611460603E-3</v>
          </cell>
        </row>
        <row r="445">
          <cell r="A445">
            <v>42704</v>
          </cell>
          <cell r="C445">
            <v>34655400</v>
          </cell>
          <cell r="D445">
            <v>-1.3679648770969496E-2</v>
          </cell>
        </row>
        <row r="446">
          <cell r="A446">
            <v>42705</v>
          </cell>
          <cell r="C446">
            <v>34542100</v>
          </cell>
          <cell r="D446">
            <v>-1.7747053059727808E-2</v>
          </cell>
        </row>
        <row r="447">
          <cell r="A447">
            <v>42706</v>
          </cell>
          <cell r="C447">
            <v>25515700</v>
          </cell>
          <cell r="D447">
            <v>8.4428891859689701E-4</v>
          </cell>
        </row>
        <row r="448">
          <cell r="A448">
            <v>42709</v>
          </cell>
          <cell r="C448">
            <v>23552700</v>
          </cell>
          <cell r="D448">
            <v>1.6238769788901021E-2</v>
          </cell>
        </row>
        <row r="449">
          <cell r="A449">
            <v>42710</v>
          </cell>
          <cell r="C449">
            <v>19907000</v>
          </cell>
          <cell r="D449">
            <v>-4.4936016222929835E-3</v>
          </cell>
        </row>
        <row r="450">
          <cell r="A450">
            <v>42711</v>
          </cell>
          <cell r="C450">
            <v>30809000</v>
          </cell>
          <cell r="D450">
            <v>2.3410200522157924E-2</v>
          </cell>
        </row>
        <row r="451">
          <cell r="A451">
            <v>42712</v>
          </cell>
          <cell r="C451">
            <v>21220800</v>
          </cell>
          <cell r="D451">
            <v>-5.8834638784353785E-3</v>
          </cell>
        </row>
        <row r="452">
          <cell r="A452">
            <v>42713</v>
          </cell>
          <cell r="C452">
            <v>27349400</v>
          </cell>
          <cell r="D452">
            <v>1.5612831168618254E-2</v>
          </cell>
        </row>
        <row r="453">
          <cell r="A453">
            <v>42716</v>
          </cell>
          <cell r="C453">
            <v>20198100</v>
          </cell>
          <cell r="D453">
            <v>3.2220239421265058E-3</v>
          </cell>
        </row>
        <row r="454">
          <cell r="A454">
            <v>42717</v>
          </cell>
          <cell r="C454">
            <v>35718900</v>
          </cell>
          <cell r="D454">
            <v>1.294466842241331E-2</v>
          </cell>
        </row>
        <row r="455">
          <cell r="A455">
            <v>42718</v>
          </cell>
          <cell r="C455">
            <v>30352700</v>
          </cell>
          <cell r="D455">
            <v>-4.7748159161737393E-3</v>
          </cell>
        </row>
        <row r="456">
          <cell r="A456">
            <v>42719</v>
          </cell>
          <cell r="C456">
            <v>27669900</v>
          </cell>
          <cell r="D456">
            <v>-1.596707743164903E-3</v>
          </cell>
        </row>
        <row r="457">
          <cell r="A457">
            <v>42720</v>
          </cell>
          <cell r="C457">
            <v>42453100</v>
          </cell>
          <cell r="D457">
            <v>-4.4843213778294156E-3</v>
          </cell>
        </row>
        <row r="458">
          <cell r="A458">
            <v>42723</v>
          </cell>
          <cell r="C458">
            <v>34338200</v>
          </cell>
          <cell r="D458">
            <v>2.096640213326981E-2</v>
          </cell>
        </row>
        <row r="459">
          <cell r="A459">
            <v>42724</v>
          </cell>
          <cell r="C459">
            <v>26028400</v>
          </cell>
          <cell r="D459">
            <v>-1.258160133481834E-3</v>
          </cell>
        </row>
        <row r="460">
          <cell r="A460">
            <v>42725</v>
          </cell>
          <cell r="C460">
            <v>17096300</v>
          </cell>
          <cell r="D460">
            <v>0</v>
          </cell>
        </row>
        <row r="461">
          <cell r="A461">
            <v>42726</v>
          </cell>
          <cell r="C461">
            <v>22176600</v>
          </cell>
          <cell r="D461">
            <v>1.5754811991009003E-4</v>
          </cell>
        </row>
        <row r="462">
          <cell r="A462">
            <v>42727</v>
          </cell>
          <cell r="C462">
            <v>12403800</v>
          </cell>
          <cell r="D462">
            <v>-4.8901153331598751E-3</v>
          </cell>
        </row>
        <row r="463">
          <cell r="A463">
            <v>42731</v>
          </cell>
          <cell r="C463">
            <v>11763200</v>
          </cell>
          <cell r="D463">
            <v>6.3222870462476108E-4</v>
          </cell>
        </row>
        <row r="464">
          <cell r="A464">
            <v>42732</v>
          </cell>
          <cell r="C464">
            <v>14653300</v>
          </cell>
          <cell r="D464">
            <v>-4.5932943851405188E-3</v>
          </cell>
        </row>
        <row r="465">
          <cell r="A465">
            <v>42733</v>
          </cell>
          <cell r="C465">
            <v>10250600</v>
          </cell>
          <cell r="D465">
            <v>-1.4297175542953779E-3</v>
          </cell>
        </row>
        <row r="466">
          <cell r="A466">
            <v>42734</v>
          </cell>
          <cell r="C466">
            <v>25579900</v>
          </cell>
          <cell r="D466">
            <v>-1.2156418519510815E-2</v>
          </cell>
        </row>
        <row r="467">
          <cell r="A467">
            <v>42738</v>
          </cell>
          <cell r="C467">
            <v>20694100</v>
          </cell>
          <cell r="D467">
            <v>7.0558483456131804E-3</v>
          </cell>
        </row>
        <row r="468">
          <cell r="A468">
            <v>42739</v>
          </cell>
          <cell r="C468">
            <v>21340000</v>
          </cell>
          <cell r="D468">
            <v>-4.4843213778294156E-3</v>
          </cell>
        </row>
        <row r="469">
          <cell r="A469">
            <v>42740</v>
          </cell>
          <cell r="C469">
            <v>24876000</v>
          </cell>
          <cell r="D469">
            <v>0</v>
          </cell>
        </row>
        <row r="470">
          <cell r="A470">
            <v>42741</v>
          </cell>
          <cell r="C470">
            <v>19922900</v>
          </cell>
          <cell r="D470">
            <v>8.630430007330072E-3</v>
          </cell>
        </row>
        <row r="471">
          <cell r="A471">
            <v>42744</v>
          </cell>
          <cell r="C471">
            <v>20382700</v>
          </cell>
          <cell r="D471">
            <v>-3.187751047522734E-3</v>
          </cell>
        </row>
        <row r="472">
          <cell r="A472">
            <v>42745</v>
          </cell>
          <cell r="C472">
            <v>18593000</v>
          </cell>
          <cell r="D472">
            <v>-3.1939555533410394E-4</v>
          </cell>
        </row>
        <row r="473">
          <cell r="A473">
            <v>42746</v>
          </cell>
          <cell r="C473">
            <v>21517300</v>
          </cell>
          <cell r="D473">
            <v>9.0612582788648123E-3</v>
          </cell>
        </row>
        <row r="474">
          <cell r="A474">
            <v>42747</v>
          </cell>
          <cell r="C474">
            <v>20968200</v>
          </cell>
          <cell r="D474">
            <v>-9.2209605140577203E-3</v>
          </cell>
        </row>
        <row r="475">
          <cell r="A475">
            <v>42748</v>
          </cell>
          <cell r="C475">
            <v>19422300</v>
          </cell>
          <cell r="D475">
            <v>1.436537802539763E-3</v>
          </cell>
        </row>
        <row r="476">
          <cell r="A476">
            <v>42752</v>
          </cell>
          <cell r="C476">
            <v>20664000</v>
          </cell>
          <cell r="D476">
            <v>-2.7150746887982611E-3</v>
          </cell>
        </row>
        <row r="477">
          <cell r="A477">
            <v>42753</v>
          </cell>
          <cell r="C477">
            <v>19670100</v>
          </cell>
          <cell r="D477">
            <v>-4.7987308179068324E-4</v>
          </cell>
        </row>
        <row r="478">
          <cell r="A478">
            <v>42754</v>
          </cell>
          <cell r="C478">
            <v>18451700</v>
          </cell>
          <cell r="D478">
            <v>-3.2051712012308789E-3</v>
          </cell>
        </row>
        <row r="479">
          <cell r="A479">
            <v>42755</v>
          </cell>
          <cell r="C479">
            <v>30213500</v>
          </cell>
          <cell r="D479">
            <v>7.0377909669801257E-3</v>
          </cell>
        </row>
        <row r="480">
          <cell r="A480">
            <v>42758</v>
          </cell>
          <cell r="C480">
            <v>23097600</v>
          </cell>
          <cell r="D480">
            <v>3.5005175298943986E-3</v>
          </cell>
        </row>
        <row r="481">
          <cell r="A481">
            <v>42759</v>
          </cell>
          <cell r="C481">
            <v>24672900</v>
          </cell>
          <cell r="D481">
            <v>8.855245939413052E-3</v>
          </cell>
        </row>
        <row r="482">
          <cell r="A482">
            <v>42760</v>
          </cell>
          <cell r="C482">
            <v>23672700</v>
          </cell>
          <cell r="D482">
            <v>2.5155463948327013E-3</v>
          </cell>
        </row>
        <row r="483">
          <cell r="A483">
            <v>42761</v>
          </cell>
          <cell r="C483">
            <v>43554600</v>
          </cell>
          <cell r="D483">
            <v>9.2224404235437662E-3</v>
          </cell>
        </row>
        <row r="484">
          <cell r="A484">
            <v>42762</v>
          </cell>
          <cell r="C484">
            <v>44818000</v>
          </cell>
          <cell r="D484">
            <v>2.3222882777023501E-2</v>
          </cell>
        </row>
        <row r="485">
          <cell r="A485">
            <v>42765</v>
          </cell>
          <cell r="C485">
            <v>31651400</v>
          </cell>
          <cell r="D485">
            <v>-9.9306977116690263E-3</v>
          </cell>
        </row>
        <row r="486">
          <cell r="A486">
            <v>42766</v>
          </cell>
          <cell r="C486">
            <v>25270500</v>
          </cell>
          <cell r="D486">
            <v>-7.3970520980604342E-3</v>
          </cell>
        </row>
        <row r="487">
          <cell r="A487">
            <v>42767</v>
          </cell>
          <cell r="C487">
            <v>39671500</v>
          </cell>
          <cell r="D487">
            <v>-1.6689004479861578E-2</v>
          </cell>
        </row>
        <row r="488">
          <cell r="A488">
            <v>42768</v>
          </cell>
          <cell r="C488">
            <v>45827000</v>
          </cell>
          <cell r="D488">
            <v>-6.4696762184890729E-3</v>
          </cell>
        </row>
        <row r="489">
          <cell r="A489">
            <v>42769</v>
          </cell>
          <cell r="C489">
            <v>30301800</v>
          </cell>
          <cell r="D489">
            <v>8.0411073075126009E-3</v>
          </cell>
        </row>
        <row r="490">
          <cell r="A490">
            <v>42772</v>
          </cell>
          <cell r="C490">
            <v>19796400</v>
          </cell>
          <cell r="D490">
            <v>-6.2832270117336238E-4</v>
          </cell>
        </row>
        <row r="491">
          <cell r="A491">
            <v>42773</v>
          </cell>
          <cell r="C491">
            <v>20277200</v>
          </cell>
          <cell r="D491">
            <v>-3.3052535749836876E-3</v>
          </cell>
        </row>
        <row r="492">
          <cell r="A492">
            <v>42774</v>
          </cell>
          <cell r="C492">
            <v>18096400</v>
          </cell>
          <cell r="D492">
            <v>-1.4197929252623837E-3</v>
          </cell>
        </row>
        <row r="493">
          <cell r="A493">
            <v>42775</v>
          </cell>
          <cell r="C493">
            <v>22644400</v>
          </cell>
          <cell r="D493">
            <v>1.1303008555086095E-2</v>
          </cell>
        </row>
        <row r="494">
          <cell r="A494">
            <v>42776</v>
          </cell>
          <cell r="C494">
            <v>18170700</v>
          </cell>
          <cell r="D494">
            <v>-9.3697172557742777E-4</v>
          </cell>
        </row>
        <row r="495">
          <cell r="A495">
            <v>42779</v>
          </cell>
          <cell r="C495">
            <v>22920100</v>
          </cell>
          <cell r="D495">
            <v>1.1187112251050743E-2</v>
          </cell>
        </row>
        <row r="496">
          <cell r="A496">
            <v>42780</v>
          </cell>
          <cell r="C496">
            <v>23108400</v>
          </cell>
          <cell r="D496">
            <v>3.7240262217257607E-3</v>
          </cell>
        </row>
        <row r="497">
          <cell r="A497">
            <v>42781</v>
          </cell>
          <cell r="C497">
            <v>17005200</v>
          </cell>
          <cell r="D497">
            <v>-6.1978754107283639E-4</v>
          </cell>
        </row>
        <row r="498">
          <cell r="A498">
            <v>42782</v>
          </cell>
          <cell r="C498">
            <v>20546300</v>
          </cell>
          <cell r="D498">
            <v>-1.5516588557045483E-4</v>
          </cell>
        </row>
        <row r="499">
          <cell r="A499">
            <v>42783</v>
          </cell>
          <cell r="C499">
            <v>21248800</v>
          </cell>
          <cell r="D499">
            <v>1.5489160841066958E-3</v>
          </cell>
        </row>
        <row r="500">
          <cell r="A500">
            <v>42787</v>
          </cell>
          <cell r="C500">
            <v>20655900</v>
          </cell>
          <cell r="D500">
            <v>-2.0137916247740749E-3</v>
          </cell>
        </row>
        <row r="501">
          <cell r="A501">
            <v>42788</v>
          </cell>
          <cell r="C501">
            <v>19292700</v>
          </cell>
          <cell r="D501">
            <v>-2.0179041984498907E-3</v>
          </cell>
        </row>
        <row r="502">
          <cell r="A502">
            <v>42789</v>
          </cell>
          <cell r="C502">
            <v>20273100</v>
          </cell>
          <cell r="D502">
            <v>4.0316958232240801E-3</v>
          </cell>
        </row>
        <row r="503">
          <cell r="A503">
            <v>42790</v>
          </cell>
          <cell r="C503">
            <v>21796800</v>
          </cell>
          <cell r="D503">
            <v>0</v>
          </cell>
        </row>
        <row r="504">
          <cell r="A504">
            <v>42793</v>
          </cell>
          <cell r="C504">
            <v>15871500</v>
          </cell>
          <cell r="D504">
            <v>-6.0535655531597241E-3</v>
          </cell>
        </row>
        <row r="505">
          <cell r="A505">
            <v>42794</v>
          </cell>
          <cell r="C505">
            <v>23239800</v>
          </cell>
          <cell r="D505">
            <v>-3.8999231506218835E-3</v>
          </cell>
        </row>
        <row r="506">
          <cell r="A506">
            <v>42795</v>
          </cell>
          <cell r="C506">
            <v>26937500</v>
          </cell>
          <cell r="D506">
            <v>1.4893447418472367E-2</v>
          </cell>
        </row>
        <row r="507">
          <cell r="A507">
            <v>42796</v>
          </cell>
          <cell r="C507">
            <v>24539600</v>
          </cell>
          <cell r="D507">
            <v>-1.4424620580563974E-2</v>
          </cell>
        </row>
        <row r="508">
          <cell r="A508">
            <v>42797</v>
          </cell>
          <cell r="C508">
            <v>18135900</v>
          </cell>
          <cell r="D508">
            <v>3.742280864986975E-3</v>
          </cell>
        </row>
        <row r="509">
          <cell r="A509">
            <v>42800</v>
          </cell>
          <cell r="C509">
            <v>18750300</v>
          </cell>
          <cell r="D509">
            <v>3.1130051816180966E-4</v>
          </cell>
        </row>
        <row r="510">
          <cell r="A510">
            <v>42801</v>
          </cell>
          <cell r="C510">
            <v>18521000</v>
          </cell>
          <cell r="D510">
            <v>2.020792482206804E-3</v>
          </cell>
        </row>
        <row r="511">
          <cell r="A511">
            <v>42802</v>
          </cell>
          <cell r="C511">
            <v>21510900</v>
          </cell>
          <cell r="D511">
            <v>9.1196232748189422E-3</v>
          </cell>
        </row>
        <row r="512">
          <cell r="A512">
            <v>42803</v>
          </cell>
          <cell r="C512">
            <v>19846800</v>
          </cell>
          <cell r="D512">
            <v>-4.0085182797614327E-3</v>
          </cell>
        </row>
        <row r="513">
          <cell r="A513">
            <v>42804</v>
          </cell>
          <cell r="C513">
            <v>19538200</v>
          </cell>
          <cell r="D513">
            <v>3.0847773724717903E-3</v>
          </cell>
        </row>
        <row r="514">
          <cell r="A514">
            <v>42807</v>
          </cell>
          <cell r="C514">
            <v>20100000</v>
          </cell>
          <cell r="D514">
            <v>-3.3938490277727203E-3</v>
          </cell>
        </row>
        <row r="515">
          <cell r="A515">
            <v>42808</v>
          </cell>
          <cell r="C515">
            <v>14280200</v>
          </cell>
          <cell r="D515">
            <v>-4.6468886841219432E-3</v>
          </cell>
        </row>
        <row r="516">
          <cell r="A516">
            <v>42809</v>
          </cell>
          <cell r="C516">
            <v>24833800</v>
          </cell>
          <cell r="D516">
            <v>5.2648877618172978E-3</v>
          </cell>
        </row>
        <row r="517">
          <cell r="A517">
            <v>42810</v>
          </cell>
          <cell r="C517">
            <v>20674300</v>
          </cell>
          <cell r="D517">
            <v>-1.7003725665953814E-3</v>
          </cell>
        </row>
        <row r="518">
          <cell r="A518">
            <v>42811</v>
          </cell>
          <cell r="C518">
            <v>49219700</v>
          </cell>
          <cell r="D518">
            <v>3.551870758037071E-3</v>
          </cell>
        </row>
        <row r="519">
          <cell r="A519">
            <v>42814</v>
          </cell>
          <cell r="C519">
            <v>14598100</v>
          </cell>
          <cell r="D519">
            <v>9.2435175863562764E-4</v>
          </cell>
        </row>
        <row r="520">
          <cell r="A520">
            <v>42815</v>
          </cell>
          <cell r="C520">
            <v>26640500</v>
          </cell>
          <cell r="D520">
            <v>-1.115065430877646E-2</v>
          </cell>
        </row>
        <row r="521">
          <cell r="A521">
            <v>42816</v>
          </cell>
          <cell r="C521">
            <v>20680000</v>
          </cell>
          <cell r="D521">
            <v>1.2689667895071904E-2</v>
          </cell>
        </row>
        <row r="522">
          <cell r="A522">
            <v>42817</v>
          </cell>
          <cell r="C522">
            <v>19269200</v>
          </cell>
          <cell r="D522">
            <v>-2.4633653449310784E-3</v>
          </cell>
        </row>
        <row r="523">
          <cell r="A523">
            <v>42818</v>
          </cell>
          <cell r="C523">
            <v>22617100</v>
          </cell>
          <cell r="D523">
            <v>1.6944621980806904E-3</v>
          </cell>
        </row>
        <row r="524">
          <cell r="A524">
            <v>42821</v>
          </cell>
          <cell r="C524">
            <v>18614700</v>
          </cell>
          <cell r="D524">
            <v>1.8448374119978503E-3</v>
          </cell>
        </row>
        <row r="525">
          <cell r="A525">
            <v>42822</v>
          </cell>
          <cell r="C525">
            <v>20080400</v>
          </cell>
          <cell r="D525">
            <v>2.9143707607694374E-3</v>
          </cell>
        </row>
        <row r="526">
          <cell r="A526">
            <v>42823</v>
          </cell>
          <cell r="C526">
            <v>13618400</v>
          </cell>
          <cell r="D526">
            <v>2.7531158940651006E-3</v>
          </cell>
        </row>
        <row r="527">
          <cell r="A527">
            <v>42824</v>
          </cell>
          <cell r="C527">
            <v>15122800</v>
          </cell>
          <cell r="D527">
            <v>3.6590434776777115E-3</v>
          </cell>
        </row>
        <row r="528">
          <cell r="A528">
            <v>42825</v>
          </cell>
          <cell r="C528">
            <v>21040300</v>
          </cell>
          <cell r="D528">
            <v>2.2802077289912769E-3</v>
          </cell>
        </row>
        <row r="529">
          <cell r="A529">
            <v>42828</v>
          </cell>
          <cell r="C529">
            <v>20400900</v>
          </cell>
          <cell r="D529">
            <v>-4.7180336787318181E-3</v>
          </cell>
        </row>
        <row r="530">
          <cell r="A530">
            <v>42829</v>
          </cell>
          <cell r="C530">
            <v>12997400</v>
          </cell>
          <cell r="D530">
            <v>2.7422587773322446E-3</v>
          </cell>
        </row>
        <row r="531">
          <cell r="A531">
            <v>42830</v>
          </cell>
          <cell r="C531">
            <v>21448600</v>
          </cell>
          <cell r="D531">
            <v>-2.5897234288631086E-3</v>
          </cell>
        </row>
        <row r="532">
          <cell r="A532">
            <v>42831</v>
          </cell>
          <cell r="C532">
            <v>18103500</v>
          </cell>
          <cell r="D532">
            <v>2.5897234288631194E-3</v>
          </cell>
        </row>
        <row r="533">
          <cell r="A533">
            <v>42832</v>
          </cell>
          <cell r="C533">
            <v>14108500</v>
          </cell>
          <cell r="D533">
            <v>-7.6107974082114446E-4</v>
          </cell>
        </row>
        <row r="534">
          <cell r="A534">
            <v>42835</v>
          </cell>
          <cell r="C534">
            <v>17952700</v>
          </cell>
          <cell r="D534">
            <v>-2.2867048085163585E-3</v>
          </cell>
        </row>
        <row r="535">
          <cell r="A535">
            <v>42836</v>
          </cell>
          <cell r="C535">
            <v>18791500</v>
          </cell>
          <cell r="D535">
            <v>-7.6303428745693965E-4</v>
          </cell>
        </row>
        <row r="536">
          <cell r="A536">
            <v>42837</v>
          </cell>
          <cell r="C536">
            <v>17108500</v>
          </cell>
          <cell r="D536">
            <v>-3.8252677391408746E-3</v>
          </cell>
        </row>
        <row r="537">
          <cell r="A537">
            <v>42838</v>
          </cell>
          <cell r="C537">
            <v>17896500</v>
          </cell>
          <cell r="D537">
            <v>-4.3017995836237798E-3</v>
          </cell>
        </row>
        <row r="538">
          <cell r="A538">
            <v>42842</v>
          </cell>
          <cell r="C538">
            <v>16689300</v>
          </cell>
          <cell r="D538">
            <v>8.1270673227645338E-3</v>
          </cell>
        </row>
        <row r="539">
          <cell r="A539">
            <v>42843</v>
          </cell>
          <cell r="C539">
            <v>15155600</v>
          </cell>
          <cell r="D539">
            <v>-1.3753038455331771E-3</v>
          </cell>
        </row>
        <row r="540">
          <cell r="A540">
            <v>42844</v>
          </cell>
          <cell r="C540">
            <v>26992800</v>
          </cell>
          <cell r="D540">
            <v>-5.3670195483738851E-3</v>
          </cell>
        </row>
        <row r="541">
          <cell r="A541">
            <v>42845</v>
          </cell>
          <cell r="C541">
            <v>22299500</v>
          </cell>
          <cell r="D541">
            <v>7.0478253908320557E-3</v>
          </cell>
        </row>
        <row r="542">
          <cell r="A542">
            <v>42846</v>
          </cell>
          <cell r="C542">
            <v>32522600</v>
          </cell>
          <cell r="D542">
            <v>1.364691918635037E-2</v>
          </cell>
        </row>
        <row r="543">
          <cell r="A543">
            <v>42849</v>
          </cell>
          <cell r="C543">
            <v>29770000</v>
          </cell>
          <cell r="D543">
            <v>1.6874737671429926E-2</v>
          </cell>
        </row>
        <row r="544">
          <cell r="A544">
            <v>42850</v>
          </cell>
          <cell r="C544">
            <v>30242700</v>
          </cell>
          <cell r="D544">
            <v>5.7588900915260411E-3</v>
          </cell>
        </row>
        <row r="545">
          <cell r="A545">
            <v>42851</v>
          </cell>
          <cell r="C545">
            <v>26190800</v>
          </cell>
          <cell r="D545">
            <v>-1.3261581213085385E-3</v>
          </cell>
        </row>
        <row r="546">
          <cell r="A546">
            <v>42852</v>
          </cell>
          <cell r="C546">
            <v>34971000</v>
          </cell>
          <cell r="D546">
            <v>6.4657671879984691E-3</v>
          </cell>
        </row>
        <row r="547">
          <cell r="A547">
            <v>42853</v>
          </cell>
          <cell r="C547">
            <v>39548800</v>
          </cell>
          <cell r="D547">
            <v>2.7793579830991707E-3</v>
          </cell>
        </row>
        <row r="548">
          <cell r="A548">
            <v>42856</v>
          </cell>
          <cell r="C548">
            <v>31954400</v>
          </cell>
          <cell r="D548">
            <v>1.378123628824697E-2</v>
          </cell>
        </row>
        <row r="549">
          <cell r="A549">
            <v>42857</v>
          </cell>
          <cell r="C549">
            <v>23906100</v>
          </cell>
          <cell r="D549">
            <v>-1.5861084665518377E-3</v>
          </cell>
        </row>
        <row r="550">
          <cell r="A550">
            <v>42858</v>
          </cell>
          <cell r="C550">
            <v>28928000</v>
          </cell>
          <cell r="D550">
            <v>-3.1794339326517689E-3</v>
          </cell>
        </row>
        <row r="551">
          <cell r="A551">
            <v>42859</v>
          </cell>
          <cell r="C551">
            <v>21749400</v>
          </cell>
          <cell r="D551">
            <v>-3.9165213059795421E-3</v>
          </cell>
        </row>
        <row r="552">
          <cell r="A552">
            <v>42860</v>
          </cell>
          <cell r="C552">
            <v>19128800</v>
          </cell>
          <cell r="D552">
            <v>2.7576835201142728E-3</v>
          </cell>
        </row>
        <row r="553">
          <cell r="A553">
            <v>42863</v>
          </cell>
          <cell r="C553">
            <v>18566100</v>
          </cell>
          <cell r="D553">
            <v>-8.7026223536195736E-4</v>
          </cell>
        </row>
        <row r="554">
          <cell r="A554">
            <v>42864</v>
          </cell>
          <cell r="C554">
            <v>22858400</v>
          </cell>
          <cell r="D554">
            <v>1.4499099363549479E-3</v>
          </cell>
        </row>
        <row r="555">
          <cell r="A555">
            <v>42865</v>
          </cell>
          <cell r="C555">
            <v>17977800</v>
          </cell>
          <cell r="D555">
            <v>3.903027315391187E-3</v>
          </cell>
        </row>
        <row r="556">
          <cell r="A556">
            <v>42866</v>
          </cell>
          <cell r="C556">
            <v>28789400</v>
          </cell>
          <cell r="D556">
            <v>-1.2339531119562427E-2</v>
          </cell>
        </row>
        <row r="557">
          <cell r="A557">
            <v>42867</v>
          </cell>
          <cell r="C557">
            <v>18714100</v>
          </cell>
          <cell r="D557">
            <v>-1.1692158233145044E-3</v>
          </cell>
        </row>
        <row r="558">
          <cell r="A558">
            <v>42870</v>
          </cell>
          <cell r="C558">
            <v>31530300</v>
          </cell>
          <cell r="D558">
            <v>7.3091623394578025E-4</v>
          </cell>
        </row>
        <row r="559">
          <cell r="A559">
            <v>42871</v>
          </cell>
          <cell r="C559">
            <v>34956000</v>
          </cell>
          <cell r="D559">
            <v>1.9935207611500846E-2</v>
          </cell>
        </row>
        <row r="560">
          <cell r="A560">
            <v>42872</v>
          </cell>
          <cell r="C560">
            <v>30548800</v>
          </cell>
          <cell r="D560">
            <v>-2.8199817794360427E-2</v>
          </cell>
        </row>
        <row r="561">
          <cell r="A561">
            <v>42873</v>
          </cell>
          <cell r="C561">
            <v>25201300</v>
          </cell>
          <cell r="D561">
            <v>3.4026033717746511E-3</v>
          </cell>
        </row>
        <row r="562">
          <cell r="A562">
            <v>42874</v>
          </cell>
          <cell r="C562">
            <v>26961100</v>
          </cell>
          <cell r="D562">
            <v>-2.9526620605626876E-4</v>
          </cell>
        </row>
        <row r="563">
          <cell r="A563">
            <v>42877</v>
          </cell>
          <cell r="C563">
            <v>16237600</v>
          </cell>
          <cell r="D563">
            <v>1.1164898531311139E-2</v>
          </cell>
        </row>
        <row r="564">
          <cell r="A564">
            <v>42878</v>
          </cell>
          <cell r="C564">
            <v>15425800</v>
          </cell>
          <cell r="D564">
            <v>3.3545881332865523E-3</v>
          </cell>
        </row>
        <row r="565">
          <cell r="A565">
            <v>42879</v>
          </cell>
          <cell r="C565">
            <v>14593900</v>
          </cell>
          <cell r="D565">
            <v>1.309596504494805E-3</v>
          </cell>
        </row>
        <row r="566">
          <cell r="A566">
            <v>42880</v>
          </cell>
          <cell r="C566">
            <v>21854100</v>
          </cell>
          <cell r="D566">
            <v>1.2284357492404665E-2</v>
          </cell>
        </row>
        <row r="567">
          <cell r="A567">
            <v>42881</v>
          </cell>
          <cell r="C567">
            <v>19827900</v>
          </cell>
          <cell r="D567">
            <v>4.8714188751061826E-3</v>
          </cell>
        </row>
        <row r="568">
          <cell r="A568">
            <v>42885</v>
          </cell>
          <cell r="C568">
            <v>17072800</v>
          </cell>
          <cell r="D568">
            <v>6.4120896244082995E-3</v>
          </cell>
        </row>
        <row r="569">
          <cell r="A569">
            <v>42886</v>
          </cell>
          <cell r="C569">
            <v>30436400</v>
          </cell>
          <cell r="D569">
            <v>-8.1287072548552781E-3</v>
          </cell>
        </row>
        <row r="570">
          <cell r="A570">
            <v>42887</v>
          </cell>
          <cell r="C570">
            <v>21603600</v>
          </cell>
          <cell r="D570">
            <v>3.7159242707276766E-3</v>
          </cell>
        </row>
        <row r="571">
          <cell r="A571">
            <v>42888</v>
          </cell>
          <cell r="C571">
            <v>34770300</v>
          </cell>
          <cell r="D571">
            <v>2.3404433186981079E-2</v>
          </cell>
        </row>
        <row r="572">
          <cell r="A572">
            <v>42891</v>
          </cell>
          <cell r="C572">
            <v>33316800</v>
          </cell>
          <cell r="D572">
            <v>7.2203141385030825E-3</v>
          </cell>
        </row>
        <row r="573">
          <cell r="A573">
            <v>42892</v>
          </cell>
          <cell r="C573">
            <v>31511100</v>
          </cell>
          <cell r="D573">
            <v>3.314873830460596E-3</v>
          </cell>
        </row>
        <row r="574">
          <cell r="A574">
            <v>42893</v>
          </cell>
          <cell r="C574">
            <v>22301800</v>
          </cell>
          <cell r="D574">
            <v>-1.7941726566914622E-3</v>
          </cell>
        </row>
        <row r="575">
          <cell r="A575">
            <v>42894</v>
          </cell>
          <cell r="C575">
            <v>24588300</v>
          </cell>
          <cell r="D575">
            <v>-6.0967438535315431E-3</v>
          </cell>
        </row>
        <row r="576">
          <cell r="A576">
            <v>42895</v>
          </cell>
          <cell r="C576">
            <v>49187400</v>
          </cell>
          <cell r="D576">
            <v>-2.2915128980887309E-2</v>
          </cell>
        </row>
        <row r="577">
          <cell r="A577">
            <v>42898</v>
          </cell>
          <cell r="C577">
            <v>47761700</v>
          </cell>
          <cell r="D577">
            <v>-7.7090799341699191E-3</v>
          </cell>
        </row>
        <row r="578">
          <cell r="A578">
            <v>42899</v>
          </cell>
          <cell r="C578">
            <v>25258600</v>
          </cell>
          <cell r="D578">
            <v>1.2390827542803885E-2</v>
          </cell>
        </row>
        <row r="579">
          <cell r="A579">
            <v>42900</v>
          </cell>
          <cell r="C579">
            <v>25510700</v>
          </cell>
          <cell r="D579">
            <v>-5.3930499777684725E-3</v>
          </cell>
        </row>
        <row r="580">
          <cell r="A580">
            <v>42901</v>
          </cell>
          <cell r="C580">
            <v>26068700</v>
          </cell>
          <cell r="D580">
            <v>-5.2792361069481982E-3</v>
          </cell>
        </row>
        <row r="581">
          <cell r="A581">
            <v>42902</v>
          </cell>
          <cell r="C581">
            <v>48345100</v>
          </cell>
          <cell r="D581">
            <v>1.4296212179432713E-3</v>
          </cell>
        </row>
        <row r="582">
          <cell r="A582">
            <v>42905</v>
          </cell>
          <cell r="C582">
            <v>23798300</v>
          </cell>
          <cell r="D582">
            <v>1.2351765892940254E-2</v>
          </cell>
        </row>
        <row r="583">
          <cell r="A583">
            <v>42906</v>
          </cell>
          <cell r="C583">
            <v>21512200</v>
          </cell>
          <cell r="D583">
            <v>-1.3638470622301188E-2</v>
          </cell>
        </row>
        <row r="584">
          <cell r="A584">
            <v>42907</v>
          </cell>
          <cell r="C584">
            <v>19891100</v>
          </cell>
          <cell r="D584">
            <v>5.1363196183659083E-3</v>
          </cell>
        </row>
        <row r="585">
          <cell r="A585">
            <v>42908</v>
          </cell>
          <cell r="C585">
            <v>22965700</v>
          </cell>
          <cell r="D585">
            <v>-1.4240754892722043E-4</v>
          </cell>
        </row>
        <row r="586">
          <cell r="A586">
            <v>42909</v>
          </cell>
          <cell r="C586">
            <v>27617300</v>
          </cell>
          <cell r="D586">
            <v>1.3430599637776784E-2</v>
          </cell>
        </row>
        <row r="587">
          <cell r="A587">
            <v>42912</v>
          </cell>
          <cell r="C587">
            <v>19607000</v>
          </cell>
          <cell r="D587">
            <v>-9.5952023661622192E-3</v>
          </cell>
        </row>
        <row r="588">
          <cell r="A588">
            <v>42913</v>
          </cell>
          <cell r="C588">
            <v>25215100</v>
          </cell>
          <cell r="D588">
            <v>-1.8892685268761641E-2</v>
          </cell>
        </row>
        <row r="589">
          <cell r="A589">
            <v>42914</v>
          </cell>
          <cell r="C589">
            <v>25806200</v>
          </cell>
          <cell r="D589">
            <v>8.4887914779397337E-3</v>
          </cell>
        </row>
        <row r="590">
          <cell r="A590">
            <v>42915</v>
          </cell>
          <cell r="C590">
            <v>28918700</v>
          </cell>
          <cell r="D590">
            <v>-1.8946287169094855E-2</v>
          </cell>
        </row>
        <row r="591">
          <cell r="A591">
            <v>42916</v>
          </cell>
          <cell r="C591">
            <v>24161100</v>
          </cell>
          <cell r="D591">
            <v>6.4036352340090773E-3</v>
          </cell>
        </row>
        <row r="592">
          <cell r="A592">
            <v>42919</v>
          </cell>
          <cell r="C592">
            <v>16165500</v>
          </cell>
          <cell r="D592">
            <v>-1.1086947908740097E-2</v>
          </cell>
        </row>
        <row r="593">
          <cell r="A593">
            <v>42921</v>
          </cell>
          <cell r="C593">
            <v>21176300</v>
          </cell>
          <cell r="D593">
            <v>1.32606267084719E-2</v>
          </cell>
        </row>
        <row r="594">
          <cell r="A594">
            <v>42922</v>
          </cell>
          <cell r="C594">
            <v>21117600</v>
          </cell>
          <cell r="D594">
            <v>-7.4100041005069443E-3</v>
          </cell>
        </row>
        <row r="595">
          <cell r="A595">
            <v>42923</v>
          </cell>
          <cell r="C595">
            <v>16878300</v>
          </cell>
          <cell r="D595">
            <v>1.2895929350948764E-2</v>
          </cell>
        </row>
        <row r="596">
          <cell r="A596">
            <v>42926</v>
          </cell>
          <cell r="C596">
            <v>15014500</v>
          </cell>
          <cell r="D596">
            <v>7.4585075278742301E-3</v>
          </cell>
        </row>
        <row r="597">
          <cell r="A597">
            <v>42927</v>
          </cell>
          <cell r="C597">
            <v>17460000</v>
          </cell>
          <cell r="D597">
            <v>1.4263357679557205E-4</v>
          </cell>
        </row>
        <row r="598">
          <cell r="A598">
            <v>42928</v>
          </cell>
          <cell r="C598">
            <v>17750900</v>
          </cell>
          <cell r="D598">
            <v>1.6438290699486855E-2</v>
          </cell>
        </row>
        <row r="599">
          <cell r="A599">
            <v>42929</v>
          </cell>
          <cell r="C599">
            <v>20269800</v>
          </cell>
          <cell r="D599">
            <v>8.6759944654972079E-3</v>
          </cell>
        </row>
        <row r="600">
          <cell r="A600">
            <v>42930</v>
          </cell>
          <cell r="C600">
            <v>25868100</v>
          </cell>
          <cell r="D600">
            <v>1.397483477809822E-2</v>
          </cell>
        </row>
        <row r="601">
          <cell r="A601">
            <v>42933</v>
          </cell>
          <cell r="C601">
            <v>21803900</v>
          </cell>
          <cell r="D601">
            <v>7.8011617719977496E-3</v>
          </cell>
        </row>
        <row r="602">
          <cell r="A602">
            <v>42934</v>
          </cell>
          <cell r="C602">
            <v>26435300</v>
          </cell>
          <cell r="D602">
            <v>-6.8190936229443335E-4</v>
          </cell>
        </row>
        <row r="603">
          <cell r="A603">
            <v>42935</v>
          </cell>
          <cell r="C603">
            <v>22416200</v>
          </cell>
          <cell r="D603">
            <v>7.6107939324657212E-3</v>
          </cell>
        </row>
        <row r="604">
          <cell r="A604">
            <v>42936</v>
          </cell>
          <cell r="C604">
            <v>42361000</v>
          </cell>
          <cell r="D604">
            <v>4.8622983865369779E-3</v>
          </cell>
        </row>
        <row r="605">
          <cell r="A605">
            <v>42937</v>
          </cell>
          <cell r="C605">
            <v>46717100</v>
          </cell>
          <cell r="D605">
            <v>-5.8104575728234057E-3</v>
          </cell>
        </row>
        <row r="606">
          <cell r="A606">
            <v>42940</v>
          </cell>
          <cell r="C606">
            <v>21394800</v>
          </cell>
          <cell r="D606">
            <v>-2.5781503978157031E-3</v>
          </cell>
        </row>
        <row r="607">
          <cell r="A607">
            <v>42941</v>
          </cell>
          <cell r="C607">
            <v>22018700</v>
          </cell>
          <cell r="D607">
            <v>7.9844920834341616E-3</v>
          </cell>
        </row>
        <row r="608">
          <cell r="A608">
            <v>42942</v>
          </cell>
          <cell r="C608">
            <v>16252200</v>
          </cell>
          <cell r="D608">
            <v>-1.8890957996488824E-3</v>
          </cell>
        </row>
        <row r="609">
          <cell r="A609">
            <v>42943</v>
          </cell>
          <cell r="C609">
            <v>36844200</v>
          </cell>
          <cell r="D609">
            <v>-1.2091607151406758E-2</v>
          </cell>
        </row>
        <row r="610">
          <cell r="A610">
            <v>42944</v>
          </cell>
          <cell r="C610">
            <v>18306700</v>
          </cell>
          <cell r="D610">
            <v>-1.6417861857979824E-3</v>
          </cell>
        </row>
        <row r="611">
          <cell r="A611">
            <v>42947</v>
          </cell>
          <cell r="C611">
            <v>23600100</v>
          </cell>
          <cell r="D611">
            <v>-4.6657188512514132E-3</v>
          </cell>
        </row>
        <row r="612">
          <cell r="A612">
            <v>42948</v>
          </cell>
          <cell r="C612">
            <v>22132300</v>
          </cell>
          <cell r="D612">
            <v>-1.6517507592447985E-3</v>
          </cell>
        </row>
        <row r="613">
          <cell r="A613">
            <v>42949</v>
          </cell>
          <cell r="C613">
            <v>26499200</v>
          </cell>
          <cell r="D613">
            <v>-4.4188159586316085E-3</v>
          </cell>
        </row>
        <row r="614">
          <cell r="A614">
            <v>42950</v>
          </cell>
          <cell r="C614">
            <v>18214400</v>
          </cell>
          <cell r="D614">
            <v>-1.5234390431541154E-3</v>
          </cell>
        </row>
        <row r="615">
          <cell r="A615">
            <v>42951</v>
          </cell>
          <cell r="C615">
            <v>22579000</v>
          </cell>
          <cell r="D615">
            <v>7.3190088938762778E-3</v>
          </cell>
        </row>
        <row r="616">
          <cell r="A616">
            <v>42954</v>
          </cell>
          <cell r="C616">
            <v>18705700</v>
          </cell>
          <cell r="D616">
            <v>-3.8599402404802217E-3</v>
          </cell>
        </row>
        <row r="617">
          <cell r="A617">
            <v>42955</v>
          </cell>
          <cell r="C617">
            <v>22044600</v>
          </cell>
          <cell r="D617">
            <v>5.3721777378385703E-3</v>
          </cell>
        </row>
        <row r="618">
          <cell r="A618">
            <v>42956</v>
          </cell>
          <cell r="C618">
            <v>22213400</v>
          </cell>
          <cell r="D618">
            <v>-4.4058238498586415E-3</v>
          </cell>
        </row>
        <row r="619">
          <cell r="A619">
            <v>42957</v>
          </cell>
          <cell r="C619">
            <v>24734500</v>
          </cell>
          <cell r="D619">
            <v>-1.4734972691603253E-2</v>
          </cell>
        </row>
        <row r="620">
          <cell r="A620">
            <v>42958</v>
          </cell>
          <cell r="C620">
            <v>21443700</v>
          </cell>
          <cell r="D620">
            <v>1.514879331930615E-2</v>
          </cell>
        </row>
        <row r="621">
          <cell r="A621">
            <v>42961</v>
          </cell>
          <cell r="C621">
            <v>20096600</v>
          </cell>
          <cell r="D621">
            <v>1.4922514551373891E-2</v>
          </cell>
        </row>
        <row r="622">
          <cell r="A622">
            <v>42962</v>
          </cell>
          <cell r="C622">
            <v>19181400</v>
          </cell>
          <cell r="D622">
            <v>2.7333029241064752E-4</v>
          </cell>
        </row>
        <row r="623">
          <cell r="A623">
            <v>42963</v>
          </cell>
          <cell r="C623">
            <v>18150400</v>
          </cell>
          <cell r="D623">
            <v>5.8554388606984276E-3</v>
          </cell>
        </row>
        <row r="624">
          <cell r="A624">
            <v>42964</v>
          </cell>
          <cell r="C624">
            <v>22977500</v>
          </cell>
          <cell r="D624">
            <v>-1.7117821235523693E-2</v>
          </cell>
        </row>
        <row r="625">
          <cell r="A625">
            <v>42965</v>
          </cell>
          <cell r="C625">
            <v>18761500</v>
          </cell>
          <cell r="D625">
            <v>1.2423429098293855E-3</v>
          </cell>
        </row>
        <row r="626">
          <cell r="A626">
            <v>42968</v>
          </cell>
          <cell r="C626">
            <v>17734800</v>
          </cell>
          <cell r="D626">
            <v>-4.7013179257244979E-3</v>
          </cell>
        </row>
        <row r="627">
          <cell r="A627">
            <v>42969</v>
          </cell>
          <cell r="C627">
            <v>14343700</v>
          </cell>
          <cell r="D627">
            <v>1.390169688252766E-2</v>
          </cell>
        </row>
        <row r="628">
          <cell r="A628">
            <v>42970</v>
          </cell>
          <cell r="C628">
            <v>13766500</v>
          </cell>
          <cell r="D628">
            <v>-6.0324048008673636E-3</v>
          </cell>
        </row>
        <row r="629">
          <cell r="A629">
            <v>42971</v>
          </cell>
          <cell r="C629">
            <v>17098300</v>
          </cell>
          <cell r="D629">
            <v>-4.1278594700200051E-4</v>
          </cell>
        </row>
        <row r="630">
          <cell r="A630">
            <v>42972</v>
          </cell>
          <cell r="C630">
            <v>12794300</v>
          </cell>
          <cell r="D630">
            <v>1.7865859039786481E-3</v>
          </cell>
        </row>
        <row r="631">
          <cell r="A631">
            <v>42975</v>
          </cell>
          <cell r="C631">
            <v>14569700</v>
          </cell>
          <cell r="D631">
            <v>1.3754480656608559E-4</v>
          </cell>
        </row>
        <row r="632">
          <cell r="A632">
            <v>42976</v>
          </cell>
          <cell r="C632">
            <v>11478400</v>
          </cell>
          <cell r="D632">
            <v>3.0160963633496119E-3</v>
          </cell>
        </row>
        <row r="633">
          <cell r="A633">
            <v>42977</v>
          </cell>
          <cell r="C633">
            <v>16897800</v>
          </cell>
          <cell r="D633">
            <v>1.305603893926781E-2</v>
          </cell>
        </row>
        <row r="634">
          <cell r="A634">
            <v>42978</v>
          </cell>
          <cell r="C634">
            <v>27652800</v>
          </cell>
          <cell r="D634">
            <v>1.0216724441662155E-2</v>
          </cell>
        </row>
        <row r="635">
          <cell r="A635">
            <v>42979</v>
          </cell>
          <cell r="C635">
            <v>21736200</v>
          </cell>
          <cell r="D635">
            <v>-1.1162882755511439E-2</v>
          </cell>
        </row>
        <row r="636">
          <cell r="A636">
            <v>42983</v>
          </cell>
          <cell r="C636">
            <v>21556000</v>
          </cell>
          <cell r="D636">
            <v>-4.4730349367868528E-3</v>
          </cell>
        </row>
        <row r="637">
          <cell r="A637">
            <v>42984</v>
          </cell>
          <cell r="C637">
            <v>16535800</v>
          </cell>
          <cell r="D637">
            <v>-2.8569515207526762E-3</v>
          </cell>
        </row>
        <row r="638">
          <cell r="A638">
            <v>42985</v>
          </cell>
          <cell r="C638">
            <v>17471200</v>
          </cell>
          <cell r="D638">
            <v>1.2725058725881368E-2</v>
          </cell>
        </row>
        <row r="639">
          <cell r="A639">
            <v>42986</v>
          </cell>
          <cell r="C639">
            <v>14703800</v>
          </cell>
          <cell r="D639">
            <v>-4.8541661595843041E-3</v>
          </cell>
        </row>
        <row r="640">
          <cell r="A640">
            <v>42989</v>
          </cell>
          <cell r="C640">
            <v>17910400</v>
          </cell>
          <cell r="D640">
            <v>1.0488098273365439E-2</v>
          </cell>
        </row>
        <row r="641">
          <cell r="A641">
            <v>42990</v>
          </cell>
          <cell r="C641">
            <v>14394900</v>
          </cell>
          <cell r="D641">
            <v>-1.0705721656052158E-3</v>
          </cell>
        </row>
        <row r="642">
          <cell r="A642">
            <v>42991</v>
          </cell>
          <cell r="C642">
            <v>13380800</v>
          </cell>
          <cell r="D642">
            <v>7.0719333027703651E-3</v>
          </cell>
        </row>
        <row r="643">
          <cell r="A643">
            <v>42992</v>
          </cell>
          <cell r="C643">
            <v>15733900</v>
          </cell>
          <cell r="D643">
            <v>-5.8674827637765631E-3</v>
          </cell>
        </row>
        <row r="644">
          <cell r="A644">
            <v>42993</v>
          </cell>
          <cell r="C644">
            <v>38578400</v>
          </cell>
          <cell r="D644">
            <v>7.1959407096923627E-3</v>
          </cell>
        </row>
        <row r="645">
          <cell r="A645">
            <v>42996</v>
          </cell>
          <cell r="C645">
            <v>23307000</v>
          </cell>
          <cell r="D645">
            <v>-1.9935569370974344E-3</v>
          </cell>
        </row>
        <row r="646">
          <cell r="A646">
            <v>42997</v>
          </cell>
          <cell r="C646">
            <v>16093300</v>
          </cell>
          <cell r="D646">
            <v>3.71856625252398E-3</v>
          </cell>
        </row>
        <row r="647">
          <cell r="A647">
            <v>42998</v>
          </cell>
          <cell r="C647">
            <v>21587900</v>
          </cell>
          <cell r="D647">
            <v>-6.649963036464787E-3</v>
          </cell>
        </row>
        <row r="648">
          <cell r="A648">
            <v>42999</v>
          </cell>
          <cell r="C648">
            <v>19186100</v>
          </cell>
          <cell r="D648">
            <v>-9.789031959026466E-3</v>
          </cell>
        </row>
        <row r="649">
          <cell r="A649">
            <v>43000</v>
          </cell>
          <cell r="C649">
            <v>14111400</v>
          </cell>
          <cell r="D649">
            <v>2.6915280501624084E-3</v>
          </cell>
        </row>
        <row r="650">
          <cell r="A650">
            <v>43003</v>
          </cell>
          <cell r="C650">
            <v>24149200</v>
          </cell>
          <cell r="D650">
            <v>-1.5575625953720118E-2</v>
          </cell>
        </row>
        <row r="651">
          <cell r="A651">
            <v>43004</v>
          </cell>
          <cell r="C651">
            <v>18019600</v>
          </cell>
          <cell r="D651">
            <v>0</v>
          </cell>
        </row>
        <row r="652">
          <cell r="A652">
            <v>43005</v>
          </cell>
          <cell r="C652">
            <v>19565100</v>
          </cell>
          <cell r="D652">
            <v>8.0212949664849459E-3</v>
          </cell>
        </row>
        <row r="653">
          <cell r="A653">
            <v>43006</v>
          </cell>
          <cell r="C653">
            <v>10883800</v>
          </cell>
          <cell r="D653">
            <v>2.7091077464507944E-4</v>
          </cell>
        </row>
        <row r="654">
          <cell r="A654">
            <v>43007</v>
          </cell>
          <cell r="C654">
            <v>17079100</v>
          </cell>
          <cell r="D654">
            <v>8.3579727726990072E-3</v>
          </cell>
        </row>
        <row r="655">
          <cell r="A655">
            <v>43010</v>
          </cell>
          <cell r="C655">
            <v>15304800</v>
          </cell>
          <cell r="D655">
            <v>1.609527502289455E-3</v>
          </cell>
        </row>
        <row r="656">
          <cell r="A656">
            <v>43011</v>
          </cell>
          <cell r="C656">
            <v>12190400</v>
          </cell>
          <cell r="D656">
            <v>-4.7018855267785976E-3</v>
          </cell>
        </row>
        <row r="657">
          <cell r="A657">
            <v>43012</v>
          </cell>
          <cell r="C657">
            <v>13317700</v>
          </cell>
          <cell r="D657">
            <v>5.7736707454368041E-3</v>
          </cell>
        </row>
        <row r="658">
          <cell r="A658">
            <v>43013</v>
          </cell>
          <cell r="C658">
            <v>21195300</v>
          </cell>
          <cell r="D658">
            <v>1.6992237636949112E-2</v>
          </cell>
        </row>
        <row r="659">
          <cell r="A659">
            <v>43014</v>
          </cell>
          <cell r="C659">
            <v>13959800</v>
          </cell>
          <cell r="D659">
            <v>3.9496750821699293E-4</v>
          </cell>
        </row>
        <row r="660">
          <cell r="A660">
            <v>43017</v>
          </cell>
          <cell r="C660">
            <v>11386500</v>
          </cell>
          <cell r="D660">
            <v>3.808534368775947E-3</v>
          </cell>
        </row>
        <row r="661">
          <cell r="A661">
            <v>43018</v>
          </cell>
          <cell r="C661">
            <v>13944500</v>
          </cell>
          <cell r="D661">
            <v>0</v>
          </cell>
        </row>
        <row r="662">
          <cell r="A662">
            <v>43019</v>
          </cell>
          <cell r="C662">
            <v>15388900</v>
          </cell>
          <cell r="D662">
            <v>1.7024604159661754E-3</v>
          </cell>
        </row>
        <row r="663">
          <cell r="A663">
            <v>43020</v>
          </cell>
          <cell r="C663">
            <v>16876500</v>
          </cell>
          <cell r="D663">
            <v>9.1181090710511295E-3</v>
          </cell>
        </row>
        <row r="664">
          <cell r="A664">
            <v>43021</v>
          </cell>
          <cell r="C664">
            <v>15335700</v>
          </cell>
          <cell r="D664">
            <v>4.786271818737085E-3</v>
          </cell>
        </row>
        <row r="665">
          <cell r="A665">
            <v>43024</v>
          </cell>
          <cell r="C665">
            <v>12380100</v>
          </cell>
          <cell r="D665">
            <v>2.0627857175702295E-3</v>
          </cell>
        </row>
        <row r="666">
          <cell r="A666">
            <v>43025</v>
          </cell>
          <cell r="C666">
            <v>16824000</v>
          </cell>
          <cell r="D666">
            <v>-7.7298742457087395E-4</v>
          </cell>
        </row>
        <row r="667">
          <cell r="A667">
            <v>43026</v>
          </cell>
          <cell r="C667">
            <v>13300700</v>
          </cell>
          <cell r="D667">
            <v>2.5766631325527034E-4</v>
          </cell>
        </row>
        <row r="668">
          <cell r="A668">
            <v>43027</v>
          </cell>
          <cell r="C668">
            <v>15092800</v>
          </cell>
          <cell r="D668">
            <v>3.8581571583444457E-3</v>
          </cell>
        </row>
        <row r="669">
          <cell r="A669">
            <v>43028</v>
          </cell>
          <cell r="C669">
            <v>22866400</v>
          </cell>
          <cell r="D669">
            <v>1.1485559204868811E-2</v>
          </cell>
        </row>
        <row r="670">
          <cell r="A670">
            <v>43031</v>
          </cell>
          <cell r="C670">
            <v>20627200</v>
          </cell>
          <cell r="D670">
            <v>2.5366486667373816E-4</v>
          </cell>
        </row>
        <row r="671">
          <cell r="A671">
            <v>43032</v>
          </cell>
          <cell r="C671">
            <v>17517200</v>
          </cell>
          <cell r="D671">
            <v>3.8044265552434633E-4</v>
          </cell>
        </row>
        <row r="672">
          <cell r="A672">
            <v>43033</v>
          </cell>
          <cell r="C672">
            <v>20410800</v>
          </cell>
          <cell r="D672">
            <v>-2.9206531077623382E-3</v>
          </cell>
        </row>
        <row r="673">
          <cell r="A673">
            <v>43034</v>
          </cell>
          <cell r="C673">
            <v>32120700</v>
          </cell>
          <cell r="D673">
            <v>1.6517318998436311E-3</v>
          </cell>
        </row>
        <row r="674">
          <cell r="A674">
            <v>43035</v>
          </cell>
          <cell r="C674">
            <v>71066700</v>
          </cell>
          <cell r="D674">
            <v>6.2147098317109045E-2</v>
          </cell>
        </row>
        <row r="675">
          <cell r="A675">
            <v>43038</v>
          </cell>
          <cell r="C675">
            <v>31756700</v>
          </cell>
          <cell r="D675">
            <v>9.5418916899277998E-4</v>
          </cell>
        </row>
        <row r="676">
          <cell r="A676">
            <v>43039</v>
          </cell>
          <cell r="C676">
            <v>27086600</v>
          </cell>
          <cell r="D676">
            <v>-8.4994907510489836E-3</v>
          </cell>
        </row>
        <row r="677">
          <cell r="A677">
            <v>43040</v>
          </cell>
          <cell r="C677">
            <v>22307400</v>
          </cell>
          <cell r="D677">
            <v>0</v>
          </cell>
        </row>
        <row r="678">
          <cell r="A678">
            <v>43041</v>
          </cell>
          <cell r="C678">
            <v>23992900</v>
          </cell>
          <cell r="D678">
            <v>1.0404956324170243E-2</v>
          </cell>
        </row>
        <row r="679">
          <cell r="A679">
            <v>43042</v>
          </cell>
          <cell r="C679">
            <v>17633500</v>
          </cell>
          <cell r="D679">
            <v>1.0701498256046561E-3</v>
          </cell>
        </row>
        <row r="680">
          <cell r="A680">
            <v>43045</v>
          </cell>
          <cell r="C680">
            <v>19860900</v>
          </cell>
          <cell r="D680">
            <v>3.9145324841498748E-3</v>
          </cell>
        </row>
        <row r="681">
          <cell r="A681">
            <v>43046</v>
          </cell>
          <cell r="C681">
            <v>17939700</v>
          </cell>
          <cell r="D681">
            <v>-2.3707836379158256E-3</v>
          </cell>
        </row>
        <row r="682">
          <cell r="A682">
            <v>43047</v>
          </cell>
          <cell r="C682">
            <v>18034200</v>
          </cell>
          <cell r="D682">
            <v>3.4354183579071431E-3</v>
          </cell>
        </row>
        <row r="683">
          <cell r="A683">
            <v>43048</v>
          </cell>
          <cell r="C683">
            <v>21178400</v>
          </cell>
          <cell r="D683">
            <v>-5.5737432000680272E-3</v>
          </cell>
        </row>
        <row r="684">
          <cell r="A684">
            <v>43049</v>
          </cell>
          <cell r="C684">
            <v>19397800</v>
          </cell>
          <cell r="D684">
            <v>-2.619414519376737E-3</v>
          </cell>
        </row>
        <row r="685">
          <cell r="A685">
            <v>43052</v>
          </cell>
          <cell r="C685">
            <v>14196900</v>
          </cell>
          <cell r="D685">
            <v>7.1502932359483132E-4</v>
          </cell>
        </row>
        <row r="686">
          <cell r="A686">
            <v>43053</v>
          </cell>
          <cell r="C686">
            <v>18801300</v>
          </cell>
          <cell r="D686">
            <v>1.4288113661040619E-3</v>
          </cell>
        </row>
        <row r="687">
          <cell r="A687">
            <v>43054</v>
          </cell>
          <cell r="C687">
            <v>19383100</v>
          </cell>
          <cell r="D687">
            <v>-7.8026005352264559E-3</v>
          </cell>
        </row>
        <row r="688">
          <cell r="A688">
            <v>43055</v>
          </cell>
          <cell r="C688">
            <v>20962800</v>
          </cell>
          <cell r="D688">
            <v>2.6475477411102375E-3</v>
          </cell>
        </row>
        <row r="689">
          <cell r="A689">
            <v>43056</v>
          </cell>
          <cell r="C689">
            <v>22079000</v>
          </cell>
          <cell r="D689">
            <v>-9.6617524274448773E-3</v>
          </cell>
        </row>
        <row r="690">
          <cell r="A690">
            <v>43059</v>
          </cell>
          <cell r="C690">
            <v>16315000</v>
          </cell>
          <cell r="D690">
            <v>1.5763027342826847E-3</v>
          </cell>
        </row>
        <row r="691">
          <cell r="A691">
            <v>43060</v>
          </cell>
          <cell r="C691">
            <v>21237500</v>
          </cell>
          <cell r="D691">
            <v>1.4316030973795123E-2</v>
          </cell>
        </row>
        <row r="692">
          <cell r="A692">
            <v>43061</v>
          </cell>
          <cell r="C692">
            <v>20553100</v>
          </cell>
          <cell r="D692">
            <v>-7.3126486612891698E-3</v>
          </cell>
        </row>
        <row r="693">
          <cell r="A693">
            <v>43063</v>
          </cell>
          <cell r="C693">
            <v>7425600</v>
          </cell>
          <cell r="D693">
            <v>1.8029448943927327E-3</v>
          </cell>
        </row>
        <row r="694">
          <cell r="A694">
            <v>43066</v>
          </cell>
          <cell r="C694">
            <v>18265200</v>
          </cell>
          <cell r="D694">
            <v>7.2999068165429904E-3</v>
          </cell>
        </row>
        <row r="695">
          <cell r="A695">
            <v>43067</v>
          </cell>
          <cell r="C695">
            <v>21926000</v>
          </cell>
          <cell r="D695">
            <v>1.1970447612166072E-2</v>
          </cell>
        </row>
        <row r="696">
          <cell r="A696">
            <v>43068</v>
          </cell>
          <cell r="C696">
            <v>27381100</v>
          </cell>
          <cell r="D696">
            <v>-1.8309917539179574E-2</v>
          </cell>
        </row>
        <row r="697">
          <cell r="A697">
            <v>43069</v>
          </cell>
          <cell r="C697">
            <v>33054600</v>
          </cell>
          <cell r="D697">
            <v>9.9099088807149439E-3</v>
          </cell>
        </row>
        <row r="698">
          <cell r="A698">
            <v>43070</v>
          </cell>
          <cell r="C698">
            <v>29532100</v>
          </cell>
          <cell r="D698">
            <v>1.0688163980256784E-3</v>
          </cell>
        </row>
        <row r="699">
          <cell r="A699">
            <v>43073</v>
          </cell>
          <cell r="C699">
            <v>39094900</v>
          </cell>
          <cell r="D699">
            <v>-3.8470865724226602E-2</v>
          </cell>
        </row>
        <row r="700">
          <cell r="A700">
            <v>43074</v>
          </cell>
          <cell r="C700">
            <v>26152300</v>
          </cell>
          <cell r="D700">
            <v>6.2701513148409275E-3</v>
          </cell>
        </row>
        <row r="701">
          <cell r="A701">
            <v>43075</v>
          </cell>
          <cell r="C701">
            <v>26162100</v>
          </cell>
          <cell r="D701">
            <v>1.447977880769807E-2</v>
          </cell>
        </row>
        <row r="702">
          <cell r="A702">
            <v>43076</v>
          </cell>
          <cell r="C702">
            <v>23184500</v>
          </cell>
          <cell r="D702">
            <v>-3.5094704756668317E-3</v>
          </cell>
        </row>
        <row r="703">
          <cell r="A703">
            <v>43077</v>
          </cell>
          <cell r="C703">
            <v>24489100</v>
          </cell>
          <cell r="D703">
            <v>2.0042888855096745E-2</v>
          </cell>
        </row>
        <row r="704">
          <cell r="A704">
            <v>43080</v>
          </cell>
          <cell r="C704">
            <v>22857900</v>
          </cell>
          <cell r="D704">
            <v>1.2633666485233203E-2</v>
          </cell>
        </row>
        <row r="705">
          <cell r="A705">
            <v>43081</v>
          </cell>
          <cell r="C705">
            <v>23924100</v>
          </cell>
          <cell r="D705">
            <v>4.0980814043230047E-3</v>
          </cell>
        </row>
        <row r="706">
          <cell r="A706">
            <v>43082</v>
          </cell>
          <cell r="C706">
            <v>22062700</v>
          </cell>
          <cell r="D706">
            <v>-2.6911366903609422E-3</v>
          </cell>
        </row>
        <row r="707">
          <cell r="A707">
            <v>43083</v>
          </cell>
          <cell r="C707">
            <v>19306000</v>
          </cell>
          <cell r="D707">
            <v>-7.7629971061014998E-3</v>
          </cell>
        </row>
        <row r="708">
          <cell r="A708">
            <v>43084</v>
          </cell>
          <cell r="C708">
            <v>53936700</v>
          </cell>
          <cell r="D708">
            <v>2.5185063490207805E-2</v>
          </cell>
        </row>
        <row r="709">
          <cell r="A709">
            <v>43087</v>
          </cell>
          <cell r="C709">
            <v>22283800</v>
          </cell>
          <cell r="D709">
            <v>-5.4263566232770708E-3</v>
          </cell>
        </row>
        <row r="710">
          <cell r="A710">
            <v>43088</v>
          </cell>
          <cell r="C710">
            <v>23524800</v>
          </cell>
          <cell r="D710">
            <v>-6.3874617701972867E-3</v>
          </cell>
        </row>
        <row r="711">
          <cell r="A711">
            <v>43089</v>
          </cell>
          <cell r="C711">
            <v>23674900</v>
          </cell>
          <cell r="D711">
            <v>-3.6183548440730626E-3</v>
          </cell>
        </row>
        <row r="712">
          <cell r="A712">
            <v>43090</v>
          </cell>
          <cell r="C712">
            <v>17990700</v>
          </cell>
          <cell r="D712">
            <v>-2.3386120239698803E-4</v>
          </cell>
        </row>
        <row r="713">
          <cell r="A713">
            <v>43091</v>
          </cell>
          <cell r="C713">
            <v>14145800</v>
          </cell>
          <cell r="D713">
            <v>1.1675584951109309E-4</v>
          </cell>
        </row>
        <row r="714">
          <cell r="A714">
            <v>43095</v>
          </cell>
          <cell r="C714">
            <v>9891200</v>
          </cell>
          <cell r="D714">
            <v>-1.287137482279528E-3</v>
          </cell>
        </row>
        <row r="715">
          <cell r="A715">
            <v>43096</v>
          </cell>
          <cell r="C715">
            <v>14678000</v>
          </cell>
          <cell r="D715">
            <v>3.6233457179888806E-3</v>
          </cell>
        </row>
        <row r="716">
          <cell r="A716">
            <v>43097</v>
          </cell>
          <cell r="C716">
            <v>10594300</v>
          </cell>
          <cell r="D716">
            <v>1.1673549597668408E-4</v>
          </cell>
        </row>
        <row r="717">
          <cell r="A717">
            <v>43098</v>
          </cell>
          <cell r="C717">
            <v>18717400</v>
          </cell>
          <cell r="D717">
            <v>-2.1018503303184923E-3</v>
          </cell>
        </row>
        <row r="718">
          <cell r="A718">
            <v>43102</v>
          </cell>
          <cell r="C718">
            <v>22483800</v>
          </cell>
          <cell r="D718">
            <v>4.7813865766213421E-3</v>
          </cell>
        </row>
        <row r="719">
          <cell r="A719">
            <v>43103</v>
          </cell>
          <cell r="C719">
            <v>26061400</v>
          </cell>
          <cell r="D719">
            <v>4.6429551074176458E-3</v>
          </cell>
        </row>
        <row r="720">
          <cell r="A720">
            <v>43104</v>
          </cell>
          <cell r="C720">
            <v>21912000</v>
          </cell>
          <cell r="D720">
            <v>8.763148703606987E-3</v>
          </cell>
        </row>
        <row r="721">
          <cell r="A721">
            <v>43105</v>
          </cell>
          <cell r="C721">
            <v>23407100</v>
          </cell>
          <cell r="D721">
            <v>1.2321902357049679E-2</v>
          </cell>
        </row>
        <row r="722">
          <cell r="A722">
            <v>43108</v>
          </cell>
          <cell r="C722">
            <v>22113000</v>
          </cell>
          <cell r="D722">
            <v>1.0198510834357915E-3</v>
          </cell>
        </row>
        <row r="723">
          <cell r="A723">
            <v>43109</v>
          </cell>
          <cell r="C723">
            <v>19484300</v>
          </cell>
          <cell r="D723">
            <v>-6.7978905428174574E-4</v>
          </cell>
        </row>
        <row r="724">
          <cell r="A724">
            <v>43110</v>
          </cell>
          <cell r="C724">
            <v>18652200</v>
          </cell>
          <cell r="D724">
            <v>-4.544478400571394E-3</v>
          </cell>
        </row>
        <row r="725">
          <cell r="A725">
            <v>43111</v>
          </cell>
          <cell r="C725">
            <v>17808900</v>
          </cell>
          <cell r="D725">
            <v>2.9561480261048891E-3</v>
          </cell>
        </row>
        <row r="726">
          <cell r="A726">
            <v>43112</v>
          </cell>
          <cell r="C726">
            <v>24271500</v>
          </cell>
          <cell r="D726">
            <v>1.7109833789066713E-2</v>
          </cell>
        </row>
        <row r="727">
          <cell r="A727">
            <v>43116</v>
          </cell>
          <cell r="C727">
            <v>36599700</v>
          </cell>
          <cell r="D727">
            <v>-1.4049126779318397E-2</v>
          </cell>
        </row>
        <row r="728">
          <cell r="A728">
            <v>43117</v>
          </cell>
          <cell r="C728">
            <v>25621200</v>
          </cell>
          <cell r="D728">
            <v>2.0057733441964317E-2</v>
          </cell>
        </row>
        <row r="729">
          <cell r="A729">
            <v>43118</v>
          </cell>
          <cell r="C729">
            <v>24159700</v>
          </cell>
          <cell r="D729">
            <v>-4.4361278560660247E-4</v>
          </cell>
        </row>
        <row r="730">
          <cell r="A730">
            <v>43119</v>
          </cell>
          <cell r="C730">
            <v>36875000</v>
          </cell>
          <cell r="D730">
            <v>-1.1105953120086778E-3</v>
          </cell>
        </row>
        <row r="731">
          <cell r="A731">
            <v>43122</v>
          </cell>
          <cell r="C731">
            <v>23601600</v>
          </cell>
          <cell r="D731">
            <v>1.7730703239187778E-2</v>
          </cell>
        </row>
        <row r="732">
          <cell r="A732">
            <v>43123</v>
          </cell>
          <cell r="C732">
            <v>23412800</v>
          </cell>
          <cell r="D732">
            <v>3.1607354670924628E-3</v>
          </cell>
        </row>
        <row r="733">
          <cell r="A733">
            <v>43124</v>
          </cell>
          <cell r="C733">
            <v>33277500</v>
          </cell>
          <cell r="D733">
            <v>-8.7110732160376205E-4</v>
          </cell>
        </row>
        <row r="734">
          <cell r="A734">
            <v>43125</v>
          </cell>
          <cell r="C734">
            <v>26383200</v>
          </cell>
          <cell r="D734">
            <v>5.5391991063339892E-3</v>
          </cell>
        </row>
        <row r="735">
          <cell r="A735">
            <v>43126</v>
          </cell>
          <cell r="C735">
            <v>29172200</v>
          </cell>
          <cell r="D735">
            <v>1.8563768244156693E-2</v>
          </cell>
        </row>
        <row r="736">
          <cell r="A736">
            <v>43129</v>
          </cell>
          <cell r="C736">
            <v>31569900</v>
          </cell>
          <cell r="D736">
            <v>-1.4896405549906951E-3</v>
          </cell>
        </row>
        <row r="737">
          <cell r="A737">
            <v>43130</v>
          </cell>
          <cell r="C737">
            <v>38635100</v>
          </cell>
          <cell r="D737">
            <v>-1.2643499359854113E-2</v>
          </cell>
        </row>
        <row r="738">
          <cell r="A738">
            <v>43131</v>
          </cell>
          <cell r="C738">
            <v>48756300</v>
          </cell>
          <cell r="D738">
            <v>2.4182292241189531E-2</v>
          </cell>
        </row>
        <row r="739">
          <cell r="A739">
            <v>43132</v>
          </cell>
          <cell r="C739">
            <v>47227900</v>
          </cell>
          <cell r="D739">
            <v>-7.9251669938118271E-3</v>
          </cell>
        </row>
        <row r="740">
          <cell r="A740">
            <v>43133</v>
          </cell>
          <cell r="C740">
            <v>47867800</v>
          </cell>
          <cell r="D740">
            <v>-2.6662616247432578E-2</v>
          </cell>
        </row>
        <row r="741">
          <cell r="A741">
            <v>43136</v>
          </cell>
          <cell r="C741">
            <v>51031500</v>
          </cell>
          <cell r="D741">
            <v>-4.2057439760575584E-2</v>
          </cell>
        </row>
        <row r="742">
          <cell r="A742">
            <v>43137</v>
          </cell>
          <cell r="C742">
            <v>67998600</v>
          </cell>
          <cell r="D742">
            <v>3.7142293683010259E-2</v>
          </cell>
        </row>
        <row r="743">
          <cell r="A743">
            <v>43138</v>
          </cell>
          <cell r="C743">
            <v>41107600</v>
          </cell>
          <cell r="D743">
            <v>-1.9012345040210234E-2</v>
          </cell>
        </row>
        <row r="744">
          <cell r="A744">
            <v>43139</v>
          </cell>
          <cell r="C744">
            <v>55628700</v>
          </cell>
          <cell r="D744">
            <v>-5.2697851614954216E-2</v>
          </cell>
        </row>
        <row r="745">
          <cell r="A745">
            <v>43140</v>
          </cell>
          <cell r="C745">
            <v>63499100</v>
          </cell>
          <cell r="D745">
            <v>3.6611151187977961E-2</v>
          </cell>
        </row>
        <row r="746">
          <cell r="A746">
            <v>43143</v>
          </cell>
          <cell r="C746">
            <v>35720300</v>
          </cell>
          <cell r="D746">
            <v>1.071565962354248E-2</v>
          </cell>
        </row>
        <row r="747">
          <cell r="A747">
            <v>43144</v>
          </cell>
          <cell r="C747">
            <v>26407700</v>
          </cell>
          <cell r="D747">
            <v>7.8232898594360854E-3</v>
          </cell>
        </row>
        <row r="748">
          <cell r="A748">
            <v>43145</v>
          </cell>
          <cell r="C748">
            <v>34960900</v>
          </cell>
          <cell r="D748">
            <v>1.5536833321667302E-2</v>
          </cell>
        </row>
        <row r="749">
          <cell r="A749">
            <v>43146</v>
          </cell>
          <cell r="C749">
            <v>27823900</v>
          </cell>
          <cell r="D749">
            <v>2.0167424397732146E-2</v>
          </cell>
        </row>
        <row r="750">
          <cell r="A750">
            <v>43147</v>
          </cell>
          <cell r="C750">
            <v>30596900</v>
          </cell>
          <cell r="D750">
            <v>-7.1482407500217844E-3</v>
          </cell>
        </row>
        <row r="751">
          <cell r="A751">
            <v>43151</v>
          </cell>
          <cell r="C751">
            <v>30911700</v>
          </cell>
          <cell r="D751">
            <v>7.7955753977355094E-3</v>
          </cell>
        </row>
        <row r="752">
          <cell r="A752">
            <v>43152</v>
          </cell>
          <cell r="C752">
            <v>26922500</v>
          </cell>
          <cell r="D752">
            <v>-1.3354671771375719E-2</v>
          </cell>
        </row>
        <row r="753">
          <cell r="A753">
            <v>43153</v>
          </cell>
          <cell r="C753">
            <v>24392800</v>
          </cell>
          <cell r="D753">
            <v>2.6199673629385225E-3</v>
          </cell>
        </row>
        <row r="754">
          <cell r="A754">
            <v>43154</v>
          </cell>
          <cell r="C754">
            <v>26329200</v>
          </cell>
          <cell r="D754">
            <v>2.508341119744139E-2</v>
          </cell>
        </row>
        <row r="755">
          <cell r="A755">
            <v>43157</v>
          </cell>
          <cell r="C755">
            <v>30199800</v>
          </cell>
          <cell r="D755">
            <v>1.4355155530152283E-2</v>
          </cell>
        </row>
        <row r="756">
          <cell r="A756">
            <v>43158</v>
          </cell>
          <cell r="C756">
            <v>25869100</v>
          </cell>
          <cell r="D756">
            <v>-1.2867756358039051E-2</v>
          </cell>
        </row>
        <row r="757">
          <cell r="A757">
            <v>43159</v>
          </cell>
          <cell r="C757">
            <v>31167300</v>
          </cell>
          <cell r="D757">
            <v>-4.5753179261620314E-3</v>
          </cell>
        </row>
        <row r="758">
          <cell r="A758">
            <v>43160</v>
          </cell>
          <cell r="C758">
            <v>37135600</v>
          </cell>
          <cell r="D758">
            <v>-9.8596747739874389E-3</v>
          </cell>
        </row>
        <row r="759">
          <cell r="A759">
            <v>43161</v>
          </cell>
          <cell r="C759">
            <v>32830400</v>
          </cell>
          <cell r="D759">
            <v>2.1517285797879693E-3</v>
          </cell>
        </row>
        <row r="760">
          <cell r="A760">
            <v>43164</v>
          </cell>
          <cell r="C760">
            <v>23901600</v>
          </cell>
          <cell r="D760">
            <v>6.3205891144218771E-3</v>
          </cell>
        </row>
        <row r="761">
          <cell r="A761">
            <v>43165</v>
          </cell>
          <cell r="C761">
            <v>22175800</v>
          </cell>
          <cell r="D761">
            <v>-3.4232597479467923E-3</v>
          </cell>
        </row>
        <row r="762">
          <cell r="A762">
            <v>43166</v>
          </cell>
          <cell r="C762">
            <v>26716100</v>
          </cell>
          <cell r="D762">
            <v>5.7699364384384113E-3</v>
          </cell>
        </row>
        <row r="763">
          <cell r="A763">
            <v>43167</v>
          </cell>
          <cell r="C763">
            <v>25887800</v>
          </cell>
          <cell r="D763">
            <v>6.054463453243699E-3</v>
          </cell>
        </row>
        <row r="764">
          <cell r="A764">
            <v>43168</v>
          </cell>
          <cell r="C764">
            <v>36937300</v>
          </cell>
          <cell r="D764">
            <v>2.2098702944286733E-2</v>
          </cell>
        </row>
        <row r="765">
          <cell r="A765">
            <v>43171</v>
          </cell>
          <cell r="C765">
            <v>26073700</v>
          </cell>
          <cell r="D765">
            <v>2.3794304696755429E-3</v>
          </cell>
        </row>
        <row r="766">
          <cell r="A766">
            <v>43172</v>
          </cell>
          <cell r="C766">
            <v>35387800</v>
          </cell>
          <cell r="D766">
            <v>-2.4689765256883035E-2</v>
          </cell>
        </row>
        <row r="767">
          <cell r="A767">
            <v>43173</v>
          </cell>
          <cell r="C767">
            <v>32132000</v>
          </cell>
          <cell r="D767">
            <v>-5.9494492130868709E-3</v>
          </cell>
        </row>
        <row r="768">
          <cell r="A768">
            <v>43174</v>
          </cell>
          <cell r="C768">
            <v>27611000</v>
          </cell>
          <cell r="D768">
            <v>3.5101281926800528E-3</v>
          </cell>
        </row>
        <row r="769">
          <cell r="A769">
            <v>43175</v>
          </cell>
          <cell r="C769">
            <v>49081300</v>
          </cell>
          <cell r="D769">
            <v>4.4495858771017608E-3</v>
          </cell>
        </row>
        <row r="770">
          <cell r="A770">
            <v>43178</v>
          </cell>
          <cell r="C770">
            <v>33344100</v>
          </cell>
          <cell r="D770">
            <v>-1.8241507685128906E-2</v>
          </cell>
        </row>
        <row r="771">
          <cell r="A771">
            <v>43179</v>
          </cell>
          <cell r="C771">
            <v>23075200</v>
          </cell>
          <cell r="D771">
            <v>2.5803540570126173E-3</v>
          </cell>
        </row>
        <row r="772">
          <cell r="A772">
            <v>43180</v>
          </cell>
          <cell r="C772">
            <v>24457100</v>
          </cell>
          <cell r="D772">
            <v>-7.0038291443563112E-3</v>
          </cell>
        </row>
        <row r="773">
          <cell r="A773">
            <v>43181</v>
          </cell>
          <cell r="C773">
            <v>38604700</v>
          </cell>
          <cell r="D773">
            <v>-2.9518825494487901E-2</v>
          </cell>
        </row>
        <row r="774">
          <cell r="A774">
            <v>43182</v>
          </cell>
          <cell r="C774">
            <v>44068900</v>
          </cell>
          <cell r="D774">
            <v>-2.9498528827014609E-2</v>
          </cell>
        </row>
        <row r="775">
          <cell r="A775">
            <v>43185</v>
          </cell>
          <cell r="C775">
            <v>56396800</v>
          </cell>
          <cell r="D775">
            <v>7.2976552659048302E-2</v>
          </cell>
        </row>
        <row r="776">
          <cell r="A776">
            <v>43186</v>
          </cell>
          <cell r="C776">
            <v>56569000</v>
          </cell>
          <cell r="D776">
            <v>-4.7048235732796186E-2</v>
          </cell>
        </row>
        <row r="777">
          <cell r="A777">
            <v>43187</v>
          </cell>
          <cell r="C777">
            <v>52501100</v>
          </cell>
          <cell r="D777">
            <v>-8.946374921592606E-4</v>
          </cell>
        </row>
        <row r="778">
          <cell r="A778">
            <v>43188</v>
          </cell>
          <cell r="C778">
            <v>45867500</v>
          </cell>
          <cell r="D778">
            <v>2.0813332393389908E-2</v>
          </cell>
        </row>
        <row r="779">
          <cell r="A779">
            <v>43192</v>
          </cell>
          <cell r="C779">
            <v>48515400</v>
          </cell>
          <cell r="D779">
            <v>-3.059360035516831E-2</v>
          </cell>
        </row>
        <row r="780">
          <cell r="A780">
            <v>43193</v>
          </cell>
          <cell r="C780">
            <v>37213800</v>
          </cell>
          <cell r="D780">
            <v>1.3353669634579311E-2</v>
          </cell>
        </row>
        <row r="781">
          <cell r="A781">
            <v>43194</v>
          </cell>
          <cell r="C781">
            <v>35560000</v>
          </cell>
          <cell r="D781">
            <v>2.8786984006298137E-2</v>
          </cell>
        </row>
        <row r="782">
          <cell r="A782">
            <v>43195</v>
          </cell>
          <cell r="C782">
            <v>29771900</v>
          </cell>
          <cell r="D782">
            <v>5.4133347484942537E-4</v>
          </cell>
        </row>
        <row r="783">
          <cell r="A783">
            <v>43196</v>
          </cell>
          <cell r="C783">
            <v>38026000</v>
          </cell>
          <cell r="D783">
            <v>-2.3548495658870818E-2</v>
          </cell>
        </row>
        <row r="784">
          <cell r="A784">
            <v>43199</v>
          </cell>
          <cell r="C784">
            <v>31533900</v>
          </cell>
          <cell r="D784">
            <v>5.9667621585084239E-3</v>
          </cell>
        </row>
        <row r="785">
          <cell r="A785">
            <v>43200</v>
          </cell>
          <cell r="C785">
            <v>26812000</v>
          </cell>
          <cell r="D785">
            <v>2.2979510950076019E-2</v>
          </cell>
        </row>
        <row r="786">
          <cell r="A786">
            <v>43201</v>
          </cell>
          <cell r="C786">
            <v>24872100</v>
          </cell>
          <cell r="D786">
            <v>-1.1042613083194963E-2</v>
          </cell>
        </row>
        <row r="787">
          <cell r="A787">
            <v>43202</v>
          </cell>
          <cell r="C787">
            <v>26758900</v>
          </cell>
          <cell r="D787">
            <v>1.855102833785607E-2</v>
          </cell>
        </row>
        <row r="788">
          <cell r="A788">
            <v>43203</v>
          </cell>
          <cell r="C788">
            <v>23346100</v>
          </cell>
          <cell r="D788">
            <v>-5.3573806732857476E-3</v>
          </cell>
        </row>
        <row r="789">
          <cell r="A789">
            <v>43206</v>
          </cell>
          <cell r="C789">
            <v>20288100</v>
          </cell>
          <cell r="D789">
            <v>1.1642372801169483E-2</v>
          </cell>
        </row>
        <row r="790">
          <cell r="A790">
            <v>43207</v>
          </cell>
          <cell r="C790">
            <v>26771000</v>
          </cell>
          <cell r="D790">
            <v>1.9975337717925451E-2</v>
          </cell>
        </row>
        <row r="791">
          <cell r="A791">
            <v>43208</v>
          </cell>
          <cell r="C791">
            <v>21043300</v>
          </cell>
          <cell r="D791">
            <v>3.8440555330469515E-3</v>
          </cell>
        </row>
        <row r="792">
          <cell r="A792">
            <v>43209</v>
          </cell>
          <cell r="C792">
            <v>23552500</v>
          </cell>
          <cell r="D792">
            <v>-3.4277404583833025E-3</v>
          </cell>
        </row>
        <row r="793">
          <cell r="A793">
            <v>43210</v>
          </cell>
          <cell r="C793">
            <v>31154400</v>
          </cell>
          <cell r="D793">
            <v>-1.1616504717123973E-2</v>
          </cell>
        </row>
        <row r="794">
          <cell r="A794">
            <v>43213</v>
          </cell>
          <cell r="C794">
            <v>22331800</v>
          </cell>
          <cell r="D794">
            <v>3.6773869742308457E-3</v>
          </cell>
        </row>
        <row r="795">
          <cell r="A795">
            <v>43214</v>
          </cell>
          <cell r="C795">
            <v>34524800</v>
          </cell>
          <cell r="D795">
            <v>-2.3665310934602744E-2</v>
          </cell>
        </row>
        <row r="796">
          <cell r="A796">
            <v>43215</v>
          </cell>
          <cell r="C796">
            <v>33729300</v>
          </cell>
          <cell r="D796">
            <v>-8.7364449515088538E-3</v>
          </cell>
        </row>
        <row r="797">
          <cell r="A797">
            <v>43216</v>
          </cell>
          <cell r="C797">
            <v>42529000</v>
          </cell>
          <cell r="D797">
            <v>2.0904467571739624E-2</v>
          </cell>
        </row>
        <row r="798">
          <cell r="A798">
            <v>43217</v>
          </cell>
          <cell r="C798">
            <v>48272800</v>
          </cell>
          <cell r="D798">
            <v>1.6414537118590044E-2</v>
          </cell>
        </row>
        <row r="799">
          <cell r="A799">
            <v>43220</v>
          </cell>
          <cell r="C799">
            <v>41523600</v>
          </cell>
          <cell r="D799">
            <v>-2.4296247873295505E-2</v>
          </cell>
        </row>
        <row r="800">
          <cell r="A800">
            <v>43221</v>
          </cell>
          <cell r="C800">
            <v>31408900</v>
          </cell>
          <cell r="D800">
            <v>1.5701612094846502E-2</v>
          </cell>
        </row>
        <row r="801">
          <cell r="A801">
            <v>43222</v>
          </cell>
          <cell r="C801">
            <v>27471000</v>
          </cell>
          <cell r="D801">
            <v>-1.5808363925681638E-2</v>
          </cell>
        </row>
        <row r="802">
          <cell r="A802">
            <v>43223</v>
          </cell>
          <cell r="C802">
            <v>31142500</v>
          </cell>
          <cell r="D802">
            <v>5.9706874758227446E-3</v>
          </cell>
        </row>
        <row r="803">
          <cell r="A803">
            <v>43224</v>
          </cell>
          <cell r="C803">
            <v>22531300</v>
          </cell>
          <cell r="D803">
            <v>1.1520539834581081E-2</v>
          </cell>
        </row>
        <row r="804">
          <cell r="A804">
            <v>43227</v>
          </cell>
          <cell r="C804">
            <v>24242000</v>
          </cell>
          <cell r="D804">
            <v>1.107747036153062E-2</v>
          </cell>
        </row>
        <row r="805">
          <cell r="A805">
            <v>43228</v>
          </cell>
          <cell r="C805">
            <v>23484600</v>
          </cell>
          <cell r="D805">
            <v>-4.2701345909234275E-3</v>
          </cell>
        </row>
        <row r="806">
          <cell r="A806">
            <v>43229</v>
          </cell>
          <cell r="C806">
            <v>27327400</v>
          </cell>
          <cell r="D806">
            <v>1.1725085305754364E-2</v>
          </cell>
        </row>
        <row r="807">
          <cell r="A807">
            <v>43230</v>
          </cell>
          <cell r="C807">
            <v>22388100</v>
          </cell>
          <cell r="D807">
            <v>9.9565535962856857E-3</v>
          </cell>
        </row>
        <row r="808">
          <cell r="A808">
            <v>43231</v>
          </cell>
          <cell r="C808">
            <v>16778300</v>
          </cell>
          <cell r="D808">
            <v>-2.1472296883441803E-3</v>
          </cell>
        </row>
        <row r="809">
          <cell r="A809">
            <v>43234</v>
          </cell>
          <cell r="C809">
            <v>19454100</v>
          </cell>
          <cell r="D809">
            <v>3.372134672010238E-3</v>
          </cell>
        </row>
        <row r="810">
          <cell r="A810">
            <v>43235</v>
          </cell>
          <cell r="C810">
            <v>24594000</v>
          </cell>
          <cell r="D810">
            <v>-7.2690093533620591E-3</v>
          </cell>
        </row>
        <row r="811">
          <cell r="A811">
            <v>43236</v>
          </cell>
          <cell r="C811">
            <v>17384700</v>
          </cell>
          <cell r="D811">
            <v>2.5765652720664955E-3</v>
          </cell>
        </row>
        <row r="812">
          <cell r="A812">
            <v>43237</v>
          </cell>
          <cell r="C812">
            <v>17246700</v>
          </cell>
          <cell r="D812">
            <v>-1.0034690588272267E-2</v>
          </cell>
        </row>
        <row r="813">
          <cell r="A813">
            <v>43238</v>
          </cell>
          <cell r="C813">
            <v>17865800</v>
          </cell>
          <cell r="D813">
            <v>1.8696992916524624E-3</v>
          </cell>
        </row>
        <row r="814">
          <cell r="A814">
            <v>43241</v>
          </cell>
          <cell r="C814">
            <v>19422500</v>
          </cell>
          <cell r="D814">
            <v>1.2786382648666965E-2</v>
          </cell>
        </row>
        <row r="815">
          <cell r="A815">
            <v>43242</v>
          </cell>
          <cell r="C815">
            <v>15441200</v>
          </cell>
          <cell r="D815">
            <v>-1.0250767989635806E-3</v>
          </cell>
        </row>
        <row r="816">
          <cell r="A816">
            <v>43243</v>
          </cell>
          <cell r="C816">
            <v>21251200</v>
          </cell>
          <cell r="D816">
            <v>1.1827140682334009E-2</v>
          </cell>
        </row>
        <row r="817">
          <cell r="A817">
            <v>43244</v>
          </cell>
          <cell r="C817">
            <v>26649300</v>
          </cell>
          <cell r="D817">
            <v>-3.5537992198107155E-3</v>
          </cell>
        </row>
        <row r="818">
          <cell r="A818">
            <v>43245</v>
          </cell>
          <cell r="C818">
            <v>18363900</v>
          </cell>
          <cell r="D818">
            <v>5.0845204138628324E-4</v>
          </cell>
        </row>
        <row r="819">
          <cell r="A819">
            <v>43249</v>
          </cell>
          <cell r="C819">
            <v>28671000</v>
          </cell>
          <cell r="D819">
            <v>-3.5648146173108274E-3</v>
          </cell>
        </row>
        <row r="820">
          <cell r="A820">
            <v>43250</v>
          </cell>
          <cell r="C820">
            <v>22158500</v>
          </cell>
          <cell r="D820">
            <v>9.5451827543329981E-3</v>
          </cell>
        </row>
        <row r="821">
          <cell r="A821">
            <v>43251</v>
          </cell>
          <cell r="C821">
            <v>34140900</v>
          </cell>
          <cell r="D821">
            <v>-1.1122044996743827E-3</v>
          </cell>
        </row>
        <row r="822">
          <cell r="A822">
            <v>43252</v>
          </cell>
          <cell r="C822">
            <v>28655600</v>
          </cell>
          <cell r="D822">
            <v>1.9536762710885901E-2</v>
          </cell>
        </row>
        <row r="823">
          <cell r="A823">
            <v>43255</v>
          </cell>
          <cell r="C823">
            <v>27281600</v>
          </cell>
          <cell r="D823">
            <v>8.6931330488041209E-3</v>
          </cell>
        </row>
        <row r="824">
          <cell r="A824">
            <v>43256</v>
          </cell>
          <cell r="C824">
            <v>23514400</v>
          </cell>
          <cell r="D824">
            <v>5.1015846463803366E-3</v>
          </cell>
        </row>
        <row r="825">
          <cell r="A825">
            <v>43257</v>
          </cell>
          <cell r="C825">
            <v>21122900</v>
          </cell>
          <cell r="D825">
            <v>2.9313770043711755E-3</v>
          </cell>
        </row>
        <row r="826">
          <cell r="A826">
            <v>43258</v>
          </cell>
          <cell r="C826">
            <v>28232200</v>
          </cell>
          <cell r="D826">
            <v>-1.5833537264518777E-2</v>
          </cell>
        </row>
        <row r="827">
          <cell r="A827">
            <v>43259</v>
          </cell>
          <cell r="C827">
            <v>22165100</v>
          </cell>
          <cell r="D827">
            <v>7.406964180230304E-3</v>
          </cell>
        </row>
        <row r="828">
          <cell r="A828">
            <v>43262</v>
          </cell>
          <cell r="C828">
            <v>23490900</v>
          </cell>
          <cell r="D828">
            <v>-5.7232154340835983E-3</v>
          </cell>
        </row>
        <row r="829">
          <cell r="A829">
            <v>43263</v>
          </cell>
          <cell r="C829">
            <v>18325200</v>
          </cell>
          <cell r="D829">
            <v>2.5696960061267048E-3</v>
          </cell>
        </row>
        <row r="830">
          <cell r="A830">
            <v>43264</v>
          </cell>
          <cell r="C830">
            <v>29492900</v>
          </cell>
          <cell r="D830">
            <v>-4.5508719976246241E-3</v>
          </cell>
        </row>
        <row r="831">
          <cell r="A831">
            <v>43265</v>
          </cell>
          <cell r="C831">
            <v>25691800</v>
          </cell>
          <cell r="D831">
            <v>5.6360558722543964E-3</v>
          </cell>
        </row>
        <row r="832">
          <cell r="A832">
            <v>43266</v>
          </cell>
          <cell r="C832">
            <v>65738600</v>
          </cell>
          <cell r="D832">
            <v>-1.2801019266744993E-2</v>
          </cell>
        </row>
        <row r="833">
          <cell r="A833">
            <v>43269</v>
          </cell>
          <cell r="C833">
            <v>23586000</v>
          </cell>
          <cell r="D833">
            <v>7.2641393723963102E-3</v>
          </cell>
        </row>
        <row r="834">
          <cell r="A834">
            <v>43270</v>
          </cell>
          <cell r="C834">
            <v>28653100</v>
          </cell>
          <cell r="D834">
            <v>0</v>
          </cell>
        </row>
        <row r="835">
          <cell r="A835">
            <v>43271</v>
          </cell>
          <cell r="C835">
            <v>26180800</v>
          </cell>
          <cell r="D835">
            <v>9.9640498503845969E-3</v>
          </cell>
        </row>
        <row r="836">
          <cell r="A836">
            <v>43272</v>
          </cell>
          <cell r="C836">
            <v>23198200</v>
          </cell>
          <cell r="D836">
            <v>-7.1917777782346554E-3</v>
          </cell>
        </row>
        <row r="837">
          <cell r="A837">
            <v>43273</v>
          </cell>
          <cell r="C837">
            <v>38923100</v>
          </cell>
          <cell r="D837">
            <v>-7.2438743389029109E-3</v>
          </cell>
        </row>
        <row r="838">
          <cell r="A838">
            <v>43276</v>
          </cell>
          <cell r="C838">
            <v>35433300</v>
          </cell>
          <cell r="D838">
            <v>-2.0322591313989519E-2</v>
          </cell>
        </row>
        <row r="839">
          <cell r="A839">
            <v>43277</v>
          </cell>
          <cell r="C839">
            <v>26897200</v>
          </cell>
          <cell r="D839">
            <v>6.9883791983392446E-3</v>
          </cell>
        </row>
        <row r="840">
          <cell r="A840">
            <v>43278</v>
          </cell>
          <cell r="C840">
            <v>31298400</v>
          </cell>
          <cell r="D840">
            <v>-1.566500433077286E-2</v>
          </cell>
        </row>
        <row r="841">
          <cell r="A841">
            <v>43279</v>
          </cell>
          <cell r="C841">
            <v>26650700</v>
          </cell>
          <cell r="D841">
            <v>1.1112802133667008E-2</v>
          </cell>
        </row>
        <row r="842">
          <cell r="A842">
            <v>43280</v>
          </cell>
          <cell r="C842">
            <v>28053200</v>
          </cell>
          <cell r="D842">
            <v>-2.0269112192025592E-4</v>
          </cell>
        </row>
        <row r="843">
          <cell r="A843">
            <v>43283</v>
          </cell>
          <cell r="C843">
            <v>19564500</v>
          </cell>
          <cell r="D843">
            <v>1.4097469140684207E-2</v>
          </cell>
        </row>
        <row r="844">
          <cell r="A844">
            <v>43284</v>
          </cell>
          <cell r="C844">
            <v>14670300</v>
          </cell>
          <cell r="D844">
            <v>-9.6453244224198025E-3</v>
          </cell>
        </row>
        <row r="845">
          <cell r="A845">
            <v>43286</v>
          </cell>
          <cell r="C845">
            <v>18977400</v>
          </cell>
          <cell r="D845">
            <v>7.1424518071418674E-3</v>
          </cell>
        </row>
        <row r="846">
          <cell r="A846">
            <v>43287</v>
          </cell>
          <cell r="C846">
            <v>19234600</v>
          </cell>
          <cell r="D846">
            <v>1.3936166854353785E-2</v>
          </cell>
        </row>
        <row r="847">
          <cell r="A847">
            <v>43290</v>
          </cell>
          <cell r="C847">
            <v>18212000</v>
          </cell>
          <cell r="D847">
            <v>6.7975992450344126E-3</v>
          </cell>
        </row>
        <row r="848">
          <cell r="A848">
            <v>43291</v>
          </cell>
          <cell r="C848">
            <v>19293100</v>
          </cell>
          <cell r="D848">
            <v>2.6474095435284803E-3</v>
          </cell>
        </row>
        <row r="849">
          <cell r="A849">
            <v>43292</v>
          </cell>
          <cell r="C849">
            <v>19644600</v>
          </cell>
          <cell r="D849">
            <v>-1.3717929845316567E-3</v>
          </cell>
        </row>
        <row r="850">
          <cell r="A850">
            <v>43293</v>
          </cell>
          <cell r="C850">
            <v>24335900</v>
          </cell>
          <cell r="D850">
            <v>2.1439524420459689E-2</v>
          </cell>
        </row>
        <row r="851">
          <cell r="A851">
            <v>43294</v>
          </cell>
          <cell r="C851">
            <v>24635200</v>
          </cell>
          <cell r="D851">
            <v>1.1830984444107696E-2</v>
          </cell>
        </row>
        <row r="852">
          <cell r="A852">
            <v>43297</v>
          </cell>
          <cell r="C852">
            <v>21786900</v>
          </cell>
          <cell r="D852">
            <v>-4.9444085017315391E-3</v>
          </cell>
        </row>
        <row r="853">
          <cell r="A853">
            <v>43298</v>
          </cell>
          <cell r="C853">
            <v>25901700</v>
          </cell>
          <cell r="D853">
            <v>9.8644997437968406E-3</v>
          </cell>
        </row>
        <row r="854">
          <cell r="A854">
            <v>43299</v>
          </cell>
          <cell r="C854">
            <v>29493900</v>
          </cell>
          <cell r="D854">
            <v>-7.8648335663995296E-3</v>
          </cell>
        </row>
        <row r="855">
          <cell r="A855">
            <v>43300</v>
          </cell>
          <cell r="C855">
            <v>40171600</v>
          </cell>
          <cell r="D855">
            <v>-6.8727616389907984E-3</v>
          </cell>
        </row>
        <row r="856">
          <cell r="A856">
            <v>43301</v>
          </cell>
          <cell r="C856">
            <v>56004000</v>
          </cell>
          <cell r="D856">
            <v>1.7753216620420443E-2</v>
          </cell>
        </row>
        <row r="857">
          <cell r="A857">
            <v>43304</v>
          </cell>
          <cell r="C857">
            <v>29707000</v>
          </cell>
          <cell r="D857">
            <v>1.5870535093981054E-2</v>
          </cell>
        </row>
        <row r="858">
          <cell r="A858">
            <v>43305</v>
          </cell>
          <cell r="C858">
            <v>26316600</v>
          </cell>
          <cell r="D858">
            <v>-2.8753672315931559E-3</v>
          </cell>
        </row>
        <row r="859">
          <cell r="A859">
            <v>43306</v>
          </cell>
          <cell r="C859">
            <v>30702100</v>
          </cell>
          <cell r="D859">
            <v>2.901932330409801E-2</v>
          </cell>
        </row>
        <row r="860">
          <cell r="A860">
            <v>43307</v>
          </cell>
          <cell r="C860">
            <v>31372100</v>
          </cell>
          <cell r="D860">
            <v>-1.0977566078042929E-2</v>
          </cell>
        </row>
        <row r="861">
          <cell r="A861">
            <v>43308</v>
          </cell>
          <cell r="C861">
            <v>37005300</v>
          </cell>
          <cell r="D861">
            <v>-1.7856026697250182E-2</v>
          </cell>
        </row>
        <row r="862">
          <cell r="A862">
            <v>43311</v>
          </cell>
          <cell r="C862">
            <v>34668300</v>
          </cell>
          <cell r="D862">
            <v>-2.16858807432809E-2</v>
          </cell>
        </row>
        <row r="863">
          <cell r="A863">
            <v>43312</v>
          </cell>
          <cell r="C863">
            <v>27655200</v>
          </cell>
          <cell r="D863">
            <v>6.7155767921931809E-3</v>
          </cell>
        </row>
        <row r="864">
          <cell r="A864">
            <v>43313</v>
          </cell>
          <cell r="C864">
            <v>23628700</v>
          </cell>
          <cell r="D864">
            <v>1.8836008163829845E-3</v>
          </cell>
        </row>
        <row r="865">
          <cell r="A865">
            <v>43314</v>
          </cell>
          <cell r="C865">
            <v>26104300</v>
          </cell>
          <cell r="D865">
            <v>1.2064648401342554E-2</v>
          </cell>
        </row>
        <row r="866">
          <cell r="A866">
            <v>43315</v>
          </cell>
          <cell r="C866">
            <v>18659600</v>
          </cell>
          <cell r="D866">
            <v>4.3597747233712235E-3</v>
          </cell>
        </row>
        <row r="867">
          <cell r="A867">
            <v>43318</v>
          </cell>
          <cell r="C867">
            <v>20265900</v>
          </cell>
          <cell r="D867">
            <v>8.3262105780279908E-4</v>
          </cell>
        </row>
        <row r="868">
          <cell r="A868">
            <v>43319</v>
          </cell>
          <cell r="C868">
            <v>16080200</v>
          </cell>
          <cell r="D868">
            <v>6.912189052684258E-3</v>
          </cell>
        </row>
        <row r="869">
          <cell r="A869">
            <v>43320</v>
          </cell>
          <cell r="C869">
            <v>15487500</v>
          </cell>
          <cell r="D869">
            <v>5.5868279591489104E-3</v>
          </cell>
        </row>
        <row r="870">
          <cell r="A870">
            <v>43321</v>
          </cell>
          <cell r="C870">
            <v>13677200</v>
          </cell>
          <cell r="D870">
            <v>1.6425984593147688E-3</v>
          </cell>
        </row>
        <row r="871">
          <cell r="A871">
            <v>43322</v>
          </cell>
          <cell r="C871">
            <v>18183700</v>
          </cell>
          <cell r="D871">
            <v>-6.1278837538750021E-3</v>
          </cell>
        </row>
        <row r="872">
          <cell r="A872">
            <v>43325</v>
          </cell>
          <cell r="C872">
            <v>18472500</v>
          </cell>
          <cell r="D872">
            <v>-7.2741677341858985E-3</v>
          </cell>
        </row>
        <row r="873">
          <cell r="A873">
            <v>43326</v>
          </cell>
          <cell r="C873">
            <v>16788300</v>
          </cell>
          <cell r="D873">
            <v>1.2398617110314208E-2</v>
          </cell>
        </row>
        <row r="874">
          <cell r="A874">
            <v>43327</v>
          </cell>
          <cell r="C874">
            <v>29982800</v>
          </cell>
          <cell r="D874">
            <v>-1.365332530561985E-2</v>
          </cell>
        </row>
        <row r="875">
          <cell r="A875">
            <v>43328</v>
          </cell>
          <cell r="C875">
            <v>21384300</v>
          </cell>
          <cell r="D875">
            <v>-1.8585033466391143E-4</v>
          </cell>
        </row>
        <row r="876">
          <cell r="A876">
            <v>43329</v>
          </cell>
          <cell r="C876">
            <v>18061500</v>
          </cell>
          <cell r="D876">
            <v>-5.5747335165187684E-4</v>
          </cell>
        </row>
        <row r="877">
          <cell r="A877">
            <v>43332</v>
          </cell>
          <cell r="C877">
            <v>17914200</v>
          </cell>
          <cell r="D877">
            <v>-6.6215403809092395E-3</v>
          </cell>
        </row>
        <row r="878">
          <cell r="A878">
            <v>43333</v>
          </cell>
          <cell r="C878">
            <v>22881900</v>
          </cell>
          <cell r="D878">
            <v>-8.3628127522681495E-3</v>
          </cell>
        </row>
        <row r="879">
          <cell r="A879">
            <v>43334</v>
          </cell>
          <cell r="C879">
            <v>18000600</v>
          </cell>
          <cell r="D879">
            <v>1.0138900253438771E-2</v>
          </cell>
        </row>
        <row r="880">
          <cell r="A880">
            <v>43335</v>
          </cell>
          <cell r="C880">
            <v>18167700</v>
          </cell>
          <cell r="D880">
            <v>4.6593883239595766E-3</v>
          </cell>
        </row>
        <row r="881">
          <cell r="A881">
            <v>43336</v>
          </cell>
          <cell r="C881">
            <v>17234000</v>
          </cell>
          <cell r="D881">
            <v>7.7793146649352092E-3</v>
          </cell>
        </row>
        <row r="882">
          <cell r="A882">
            <v>43339</v>
          </cell>
          <cell r="C882">
            <v>19662300</v>
          </cell>
          <cell r="D882">
            <v>1.1009244288346369E-2</v>
          </cell>
        </row>
        <row r="883">
          <cell r="A883">
            <v>43340</v>
          </cell>
          <cell r="C883">
            <v>19151500</v>
          </cell>
          <cell r="D883">
            <v>6.003970680926278E-3</v>
          </cell>
        </row>
        <row r="884">
          <cell r="A884">
            <v>43341</v>
          </cell>
          <cell r="C884">
            <v>20818000</v>
          </cell>
          <cell r="D884">
            <v>1.5836135405639055E-2</v>
          </cell>
        </row>
        <row r="885">
          <cell r="A885">
            <v>43342</v>
          </cell>
          <cell r="C885">
            <v>22798700</v>
          </cell>
          <cell r="D885">
            <v>-6.2509057975203091E-4</v>
          </cell>
        </row>
        <row r="886">
          <cell r="A886">
            <v>43343</v>
          </cell>
          <cell r="C886">
            <v>23222700</v>
          </cell>
          <cell r="D886">
            <v>3.3886720504518854E-3</v>
          </cell>
        </row>
        <row r="887">
          <cell r="A887">
            <v>43347</v>
          </cell>
          <cell r="C887">
            <v>22634600</v>
          </cell>
          <cell r="D887">
            <v>-5.5347483076697316E-3</v>
          </cell>
        </row>
        <row r="888">
          <cell r="A888">
            <v>43348</v>
          </cell>
          <cell r="C888">
            <v>32872400</v>
          </cell>
          <cell r="D888">
            <v>-2.9248275422704469E-2</v>
          </cell>
        </row>
        <row r="889">
          <cell r="A889">
            <v>43349</v>
          </cell>
          <cell r="C889">
            <v>23477600</v>
          </cell>
          <cell r="D889">
            <v>2.3017045486107544E-3</v>
          </cell>
        </row>
        <row r="890">
          <cell r="A890">
            <v>43350</v>
          </cell>
          <cell r="C890">
            <v>22498600</v>
          </cell>
          <cell r="D890">
            <v>-4.8858671665959266E-3</v>
          </cell>
        </row>
        <row r="891">
          <cell r="A891">
            <v>43353</v>
          </cell>
          <cell r="C891">
            <v>20727900</v>
          </cell>
          <cell r="D891">
            <v>1.0754284206636652E-2</v>
          </cell>
        </row>
        <row r="892">
          <cell r="A892">
            <v>43354</v>
          </cell>
          <cell r="C892">
            <v>24301800</v>
          </cell>
          <cell r="D892">
            <v>1.6861849144596479E-2</v>
          </cell>
        </row>
        <row r="893">
          <cell r="A893">
            <v>43355</v>
          </cell>
          <cell r="C893">
            <v>18891100</v>
          </cell>
          <cell r="D893">
            <v>4.2163046894565549E-3</v>
          </cell>
        </row>
        <row r="894">
          <cell r="A894">
            <v>43356</v>
          </cell>
          <cell r="C894">
            <v>26055600</v>
          </cell>
          <cell r="D894">
            <v>1.0684773120193945E-2</v>
          </cell>
        </row>
        <row r="895">
          <cell r="A895">
            <v>43357</v>
          </cell>
          <cell r="C895">
            <v>19122300</v>
          </cell>
          <cell r="D895">
            <v>4.065771928939717E-3</v>
          </cell>
        </row>
        <row r="896">
          <cell r="A896">
            <v>43360</v>
          </cell>
          <cell r="C896">
            <v>20736500</v>
          </cell>
          <cell r="D896">
            <v>-1.0908697380093419E-2</v>
          </cell>
        </row>
        <row r="897">
          <cell r="A897">
            <v>43361</v>
          </cell>
          <cell r="C897">
            <v>22170900</v>
          </cell>
          <cell r="D897">
            <v>9.4964001849114198E-3</v>
          </cell>
        </row>
        <row r="898">
          <cell r="A898">
            <v>43362</v>
          </cell>
          <cell r="C898">
            <v>21728400</v>
          </cell>
          <cell r="D898">
            <v>-1.3427868364395301E-2</v>
          </cell>
        </row>
        <row r="899">
          <cell r="A899">
            <v>43363</v>
          </cell>
          <cell r="C899">
            <v>23714500</v>
          </cell>
          <cell r="D899">
            <v>1.6602804272285554E-2</v>
          </cell>
        </row>
        <row r="900">
          <cell r="A900">
            <v>43364</v>
          </cell>
          <cell r="C900">
            <v>71229700</v>
          </cell>
          <cell r="D900">
            <v>6.0572436363902438E-3</v>
          </cell>
        </row>
        <row r="901">
          <cell r="A901">
            <v>43367</v>
          </cell>
          <cell r="C901">
            <v>27334500</v>
          </cell>
          <cell r="D901">
            <v>3.581738794990135E-3</v>
          </cell>
        </row>
        <row r="902">
          <cell r="A902">
            <v>43368</v>
          </cell>
          <cell r="C902">
            <v>22668000</v>
          </cell>
          <cell r="D902">
            <v>-1.9204994521875415E-3</v>
          </cell>
        </row>
        <row r="903">
          <cell r="A903">
            <v>43369</v>
          </cell>
          <cell r="C903">
            <v>19352000</v>
          </cell>
          <cell r="D903">
            <v>-4.1148158207202218E-3</v>
          </cell>
        </row>
        <row r="904">
          <cell r="A904">
            <v>43370</v>
          </cell>
          <cell r="C904">
            <v>19091300</v>
          </cell>
          <cell r="D904">
            <v>3.7654063935742112E-3</v>
          </cell>
        </row>
        <row r="905">
          <cell r="A905">
            <v>43371</v>
          </cell>
          <cell r="C905">
            <v>21647800</v>
          </cell>
          <cell r="D905">
            <v>-3.4972813787071034E-4</v>
          </cell>
        </row>
        <row r="906">
          <cell r="A906">
            <v>43374</v>
          </cell>
          <cell r="C906">
            <v>18883100</v>
          </cell>
          <cell r="D906">
            <v>1.0783729314930279E-2</v>
          </cell>
        </row>
        <row r="907">
          <cell r="A907">
            <v>43375</v>
          </cell>
          <cell r="C907">
            <v>20787200</v>
          </cell>
          <cell r="D907">
            <v>-3.9868381276272121E-3</v>
          </cell>
        </row>
        <row r="908">
          <cell r="A908">
            <v>43376</v>
          </cell>
          <cell r="C908">
            <v>16648000</v>
          </cell>
          <cell r="D908">
            <v>1.7359724713847301E-4</v>
          </cell>
        </row>
        <row r="909">
          <cell r="A909">
            <v>43377</v>
          </cell>
          <cell r="C909">
            <v>34821700</v>
          </cell>
          <cell r="D909">
            <v>-2.0881619860250271E-2</v>
          </cell>
        </row>
        <row r="910">
          <cell r="A910">
            <v>43378</v>
          </cell>
          <cell r="C910">
            <v>29068900</v>
          </cell>
          <cell r="D910">
            <v>-5.8687540163977151E-3</v>
          </cell>
        </row>
        <row r="911">
          <cell r="A911">
            <v>43381</v>
          </cell>
          <cell r="C911">
            <v>29640600</v>
          </cell>
          <cell r="D911">
            <v>-1.148097776133182E-2</v>
          </cell>
        </row>
        <row r="912">
          <cell r="A912">
            <v>43382</v>
          </cell>
          <cell r="C912">
            <v>26198600</v>
          </cell>
          <cell r="D912">
            <v>1.2639717397147721E-2</v>
          </cell>
        </row>
        <row r="913">
          <cell r="A913">
            <v>43383</v>
          </cell>
          <cell r="C913">
            <v>61376300</v>
          </cell>
          <cell r="D913">
            <v>-5.5870189018914301E-2</v>
          </cell>
        </row>
        <row r="914">
          <cell r="A914">
            <v>43384</v>
          </cell>
          <cell r="C914">
            <v>63904300</v>
          </cell>
          <cell r="D914">
            <v>-2.3577760676608459E-3</v>
          </cell>
        </row>
        <row r="915">
          <cell r="A915">
            <v>43385</v>
          </cell>
          <cell r="C915">
            <v>47742100</v>
          </cell>
          <cell r="D915">
            <v>3.397393398893301E-2</v>
          </cell>
        </row>
        <row r="916">
          <cell r="A916">
            <v>43388</v>
          </cell>
          <cell r="C916">
            <v>32068100</v>
          </cell>
          <cell r="D916">
            <v>-1.8143050405919143E-2</v>
          </cell>
        </row>
        <row r="917">
          <cell r="A917">
            <v>43389</v>
          </cell>
          <cell r="C917">
            <v>31610200</v>
          </cell>
          <cell r="D917">
            <v>3.1109669148699119E-2</v>
          </cell>
        </row>
        <row r="918">
          <cell r="A918">
            <v>43390</v>
          </cell>
          <cell r="C918">
            <v>26548200</v>
          </cell>
          <cell r="D918">
            <v>-2.6160758540968556E-3</v>
          </cell>
        </row>
        <row r="919">
          <cell r="A919">
            <v>43391</v>
          </cell>
          <cell r="C919">
            <v>32506200</v>
          </cell>
          <cell r="D919">
            <v>-2.0163973861236126E-2</v>
          </cell>
        </row>
        <row r="920">
          <cell r="A920">
            <v>43392</v>
          </cell>
          <cell r="C920">
            <v>32785500</v>
          </cell>
          <cell r="D920">
            <v>1.4736447061101646E-3</v>
          </cell>
        </row>
        <row r="921">
          <cell r="A921">
            <v>43395</v>
          </cell>
          <cell r="C921">
            <v>26545600</v>
          </cell>
          <cell r="D921">
            <v>8.8871283274494402E-3</v>
          </cell>
        </row>
        <row r="922">
          <cell r="A922">
            <v>43396</v>
          </cell>
          <cell r="C922">
            <v>43770400</v>
          </cell>
          <cell r="D922">
            <v>-1.4054248327436097E-2</v>
          </cell>
        </row>
        <row r="923">
          <cell r="A923">
            <v>43397</v>
          </cell>
          <cell r="C923">
            <v>63897800</v>
          </cell>
          <cell r="D923">
            <v>-5.4951545983454766E-2</v>
          </cell>
        </row>
        <row r="924">
          <cell r="A924">
            <v>43398</v>
          </cell>
          <cell r="C924">
            <v>61646800</v>
          </cell>
          <cell r="D924">
            <v>5.6800092648937026E-2</v>
          </cell>
        </row>
        <row r="925">
          <cell r="A925">
            <v>43399</v>
          </cell>
          <cell r="C925">
            <v>55523100</v>
          </cell>
          <cell r="D925">
            <v>-1.2450258805037169E-2</v>
          </cell>
        </row>
        <row r="926">
          <cell r="A926">
            <v>43402</v>
          </cell>
          <cell r="C926">
            <v>55162000</v>
          </cell>
          <cell r="D926">
            <v>-2.9507522806942476E-2</v>
          </cell>
        </row>
        <row r="927">
          <cell r="A927">
            <v>43403</v>
          </cell>
          <cell r="C927">
            <v>65350900</v>
          </cell>
          <cell r="D927">
            <v>-1.1561204435849954E-3</v>
          </cell>
        </row>
        <row r="928">
          <cell r="A928">
            <v>43404</v>
          </cell>
          <cell r="C928">
            <v>51062400</v>
          </cell>
          <cell r="D928">
            <v>2.9260157329401192E-2</v>
          </cell>
        </row>
        <row r="929">
          <cell r="A929">
            <v>43405</v>
          </cell>
          <cell r="C929">
            <v>33384200</v>
          </cell>
          <cell r="D929">
            <v>-8.3674546457261356E-3</v>
          </cell>
        </row>
        <row r="930">
          <cell r="A930">
            <v>43406</v>
          </cell>
          <cell r="C930">
            <v>37680200</v>
          </cell>
          <cell r="D930">
            <v>2.2634010515646475E-3</v>
          </cell>
        </row>
        <row r="931">
          <cell r="A931">
            <v>43409</v>
          </cell>
          <cell r="C931">
            <v>27922100</v>
          </cell>
          <cell r="D931">
            <v>1.2636474574022092E-2</v>
          </cell>
        </row>
        <row r="932">
          <cell r="A932">
            <v>43410</v>
          </cell>
          <cell r="C932">
            <v>24340200</v>
          </cell>
          <cell r="D932">
            <v>1.9513467622321314E-3</v>
          </cell>
        </row>
        <row r="933">
          <cell r="A933">
            <v>43411</v>
          </cell>
          <cell r="C933">
            <v>37901700</v>
          </cell>
          <cell r="D933">
            <v>3.860634403146497E-2</v>
          </cell>
        </row>
        <row r="934">
          <cell r="A934">
            <v>43412</v>
          </cell>
          <cell r="C934">
            <v>25644100</v>
          </cell>
          <cell r="D934">
            <v>-1.8773694983364915E-3</v>
          </cell>
        </row>
        <row r="935">
          <cell r="A935">
            <v>43413</v>
          </cell>
          <cell r="C935">
            <v>32039200</v>
          </cell>
          <cell r="D935">
            <v>-1.9700637948110757E-2</v>
          </cell>
        </row>
        <row r="936">
          <cell r="A936">
            <v>43416</v>
          </cell>
          <cell r="C936">
            <v>33621800</v>
          </cell>
          <cell r="D936">
            <v>-2.4950326299992418E-2</v>
          </cell>
        </row>
        <row r="937">
          <cell r="A937">
            <v>43417</v>
          </cell>
          <cell r="C937">
            <v>35374600</v>
          </cell>
          <cell r="D937">
            <v>6.5457425779129504E-4</v>
          </cell>
        </row>
        <row r="938">
          <cell r="A938">
            <v>43418</v>
          </cell>
          <cell r="C938">
            <v>39495100</v>
          </cell>
          <cell r="D938">
            <v>-1.4282540006321565E-2</v>
          </cell>
        </row>
        <row r="939">
          <cell r="A939">
            <v>43419</v>
          </cell>
          <cell r="C939">
            <v>38505200</v>
          </cell>
          <cell r="D939">
            <v>2.1767651933400065E-2</v>
          </cell>
        </row>
        <row r="940">
          <cell r="A940">
            <v>43420</v>
          </cell>
          <cell r="C940">
            <v>33502100</v>
          </cell>
          <cell r="D940">
            <v>9.370616501356014E-3</v>
          </cell>
        </row>
        <row r="941">
          <cell r="A941">
            <v>43423</v>
          </cell>
          <cell r="C941">
            <v>44773900</v>
          </cell>
          <cell r="D941">
            <v>-3.4478079037199662E-2</v>
          </cell>
        </row>
        <row r="942">
          <cell r="A942">
            <v>43424</v>
          </cell>
          <cell r="C942">
            <v>64052500</v>
          </cell>
          <cell r="D942">
            <v>-2.8209097877010866E-2</v>
          </cell>
        </row>
        <row r="943">
          <cell r="A943">
            <v>43425</v>
          </cell>
          <cell r="C943">
            <v>28130600</v>
          </cell>
          <cell r="D943">
            <v>1.3670721241990334E-2</v>
          </cell>
        </row>
        <row r="944">
          <cell r="A944">
            <v>43427</v>
          </cell>
          <cell r="C944">
            <v>13823100</v>
          </cell>
          <cell r="D944">
            <v>-3.8798279202098909E-4</v>
          </cell>
        </row>
        <row r="945">
          <cell r="A945">
            <v>43430</v>
          </cell>
          <cell r="C945">
            <v>32336200</v>
          </cell>
          <cell r="D945">
            <v>3.2454938939451269E-2</v>
          </cell>
        </row>
        <row r="946">
          <cell r="A946">
            <v>43431</v>
          </cell>
          <cell r="C946">
            <v>29124500</v>
          </cell>
          <cell r="D946">
            <v>6.2731419530162496E-3</v>
          </cell>
        </row>
        <row r="947">
          <cell r="A947">
            <v>43432</v>
          </cell>
          <cell r="C947">
            <v>46788500</v>
          </cell>
          <cell r="D947">
            <v>3.6474281381243256E-2</v>
          </cell>
        </row>
        <row r="948">
          <cell r="A948">
            <v>43433</v>
          </cell>
          <cell r="C948">
            <v>28123200</v>
          </cell>
          <cell r="D948">
            <v>-8.404568285909143E-3</v>
          </cell>
        </row>
        <row r="949">
          <cell r="A949">
            <v>43434</v>
          </cell>
          <cell r="C949">
            <v>33665600</v>
          </cell>
          <cell r="D949">
            <v>6.3326199177558551E-3</v>
          </cell>
        </row>
        <row r="950">
          <cell r="A950">
            <v>43437</v>
          </cell>
          <cell r="C950">
            <v>34732800</v>
          </cell>
          <cell r="D950">
            <v>1.0763371579182401E-2</v>
          </cell>
        </row>
        <row r="951">
          <cell r="A951">
            <v>43438</v>
          </cell>
          <cell r="C951">
            <v>45197000</v>
          </cell>
          <cell r="D951">
            <v>-3.2367704579684811E-2</v>
          </cell>
        </row>
        <row r="952">
          <cell r="A952">
            <v>43440</v>
          </cell>
          <cell r="C952">
            <v>49107400</v>
          </cell>
          <cell r="D952">
            <v>6.1550687231390101E-3</v>
          </cell>
        </row>
        <row r="953">
          <cell r="A953">
            <v>43441</v>
          </cell>
          <cell r="C953">
            <v>45044900</v>
          </cell>
          <cell r="D953">
            <v>-4.0844935031264365E-2</v>
          </cell>
        </row>
        <row r="954">
          <cell r="A954">
            <v>43444</v>
          </cell>
          <cell r="C954">
            <v>40801500</v>
          </cell>
          <cell r="D954">
            <v>2.6082990067379987E-2</v>
          </cell>
        </row>
        <row r="955">
          <cell r="A955">
            <v>43445</v>
          </cell>
          <cell r="C955">
            <v>42381900</v>
          </cell>
          <cell r="D955">
            <v>9.251662349908164E-3</v>
          </cell>
        </row>
        <row r="956">
          <cell r="A956">
            <v>43446</v>
          </cell>
          <cell r="C956">
            <v>36183000</v>
          </cell>
          <cell r="D956">
            <v>4.5023656102938557E-3</v>
          </cell>
        </row>
        <row r="957">
          <cell r="A957">
            <v>43447</v>
          </cell>
          <cell r="C957">
            <v>31333400</v>
          </cell>
          <cell r="D957">
            <v>3.3861384439619431E-3</v>
          </cell>
        </row>
        <row r="958">
          <cell r="A958">
            <v>43448</v>
          </cell>
          <cell r="C958">
            <v>47043100</v>
          </cell>
          <cell r="D958">
            <v>-3.1745644400947216E-2</v>
          </cell>
        </row>
        <row r="959">
          <cell r="A959">
            <v>43451</v>
          </cell>
          <cell r="C959">
            <v>56957300</v>
          </cell>
          <cell r="D959">
            <v>-3.0061647972816852E-2</v>
          </cell>
        </row>
        <row r="960">
          <cell r="A960">
            <v>43452</v>
          </cell>
          <cell r="C960">
            <v>49319200</v>
          </cell>
          <cell r="D960">
            <v>1.0441922509809165E-2</v>
          </cell>
        </row>
        <row r="961">
          <cell r="A961">
            <v>43453</v>
          </cell>
          <cell r="C961">
            <v>68198200</v>
          </cell>
          <cell r="D961">
            <v>-2.6966523244555704E-3</v>
          </cell>
        </row>
        <row r="962">
          <cell r="A962">
            <v>43454</v>
          </cell>
          <cell r="C962">
            <v>70334200</v>
          </cell>
          <cell r="D962">
            <v>-2.124838785032904E-2</v>
          </cell>
        </row>
        <row r="963">
          <cell r="A963">
            <v>43455</v>
          </cell>
          <cell r="C963">
            <v>111242100</v>
          </cell>
          <cell r="D963">
            <v>-3.2845729752350873E-2</v>
          </cell>
        </row>
        <row r="964">
          <cell r="A964">
            <v>43458</v>
          </cell>
          <cell r="C964">
            <v>43935200</v>
          </cell>
          <cell r="D964">
            <v>-4.2634820840488967E-2</v>
          </cell>
        </row>
        <row r="965">
          <cell r="A965">
            <v>43460</v>
          </cell>
          <cell r="C965">
            <v>51634800</v>
          </cell>
          <cell r="D965">
            <v>6.6077787949782293E-2</v>
          </cell>
        </row>
        <row r="966">
          <cell r="A966">
            <v>43461</v>
          </cell>
          <cell r="C966">
            <v>49498500</v>
          </cell>
          <cell r="D966">
            <v>6.1466653526778391E-3</v>
          </cell>
        </row>
        <row r="967">
          <cell r="A967">
            <v>43462</v>
          </cell>
          <cell r="C967">
            <v>38196300</v>
          </cell>
          <cell r="D967">
            <v>-7.83864236129613E-3</v>
          </cell>
        </row>
        <row r="968">
          <cell r="A968">
            <v>43465</v>
          </cell>
          <cell r="C968">
            <v>33173800</v>
          </cell>
          <cell r="D968">
            <v>1.1685592625736952E-2</v>
          </cell>
        </row>
        <row r="969">
          <cell r="A969">
            <v>43467</v>
          </cell>
          <cell r="C969">
            <v>35329300</v>
          </cell>
          <cell r="D969">
            <v>-4.4402322167570183E-3</v>
          </cell>
        </row>
        <row r="970">
          <cell r="A970">
            <v>43468</v>
          </cell>
          <cell r="C970">
            <v>42579100</v>
          </cell>
          <cell r="D970">
            <v>-3.7481750980094063E-2</v>
          </cell>
        </row>
        <row r="971">
          <cell r="A971">
            <v>43469</v>
          </cell>
          <cell r="C971">
            <v>44060600</v>
          </cell>
          <cell r="D971">
            <v>4.5460087993401177E-2</v>
          </cell>
        </row>
        <row r="972">
          <cell r="A972">
            <v>43472</v>
          </cell>
          <cell r="C972">
            <v>35656100</v>
          </cell>
          <cell r="D972">
            <v>1.274543873242099E-3</v>
          </cell>
        </row>
        <row r="973">
          <cell r="A973">
            <v>43473</v>
          </cell>
          <cell r="C973">
            <v>31514400</v>
          </cell>
          <cell r="D973">
            <v>7.2245033717509002E-3</v>
          </cell>
        </row>
        <row r="974">
          <cell r="A974">
            <v>43474</v>
          </cell>
          <cell r="C974">
            <v>32280800</v>
          </cell>
          <cell r="D974">
            <v>1.4198244672606806E-2</v>
          </cell>
        </row>
        <row r="975">
          <cell r="A975">
            <v>43475</v>
          </cell>
          <cell r="C975">
            <v>30067600</v>
          </cell>
          <cell r="D975">
            <v>-6.4462099300339618E-3</v>
          </cell>
        </row>
        <row r="976">
          <cell r="A976">
            <v>43476</v>
          </cell>
          <cell r="C976">
            <v>28314200</v>
          </cell>
          <cell r="D976">
            <v>-7.7520347425728865E-3</v>
          </cell>
        </row>
        <row r="977">
          <cell r="A977">
            <v>43479</v>
          </cell>
          <cell r="C977">
            <v>28437100</v>
          </cell>
          <cell r="D977">
            <v>-7.3224054852797649E-3</v>
          </cell>
        </row>
        <row r="978">
          <cell r="A978">
            <v>43480</v>
          </cell>
          <cell r="C978">
            <v>31587600</v>
          </cell>
          <cell r="D978">
            <v>2.8592648493639232E-2</v>
          </cell>
        </row>
        <row r="979">
          <cell r="A979">
            <v>43481</v>
          </cell>
          <cell r="C979">
            <v>29853900</v>
          </cell>
          <cell r="D979">
            <v>3.5172936039132427E-3</v>
          </cell>
        </row>
        <row r="980">
          <cell r="A980">
            <v>43482</v>
          </cell>
          <cell r="C980">
            <v>28393000</v>
          </cell>
          <cell r="D980">
            <v>6.9976893074021815E-3</v>
          </cell>
        </row>
        <row r="981">
          <cell r="A981">
            <v>43483</v>
          </cell>
          <cell r="C981">
            <v>37427600</v>
          </cell>
          <cell r="D981">
            <v>1.4871864922795644E-2</v>
          </cell>
        </row>
        <row r="982">
          <cell r="A982">
            <v>43487</v>
          </cell>
          <cell r="C982">
            <v>32371300</v>
          </cell>
          <cell r="D982">
            <v>-1.9026773676111629E-2</v>
          </cell>
        </row>
        <row r="983">
          <cell r="A983">
            <v>43488</v>
          </cell>
          <cell r="C983">
            <v>25874300</v>
          </cell>
          <cell r="D983">
            <v>9.6991715956513992E-3</v>
          </cell>
        </row>
        <row r="984">
          <cell r="A984">
            <v>43489</v>
          </cell>
          <cell r="C984">
            <v>23164800</v>
          </cell>
          <cell r="D984">
            <v>-4.7907466764429401E-3</v>
          </cell>
        </row>
        <row r="985">
          <cell r="A985">
            <v>43490</v>
          </cell>
          <cell r="C985">
            <v>31225600</v>
          </cell>
          <cell r="D985">
            <v>9.0922427047733356E-3</v>
          </cell>
        </row>
        <row r="986">
          <cell r="A986">
            <v>43493</v>
          </cell>
          <cell r="C986">
            <v>29476700</v>
          </cell>
          <cell r="D986">
            <v>-1.9694342861716216E-2</v>
          </cell>
        </row>
        <row r="987">
          <cell r="A987">
            <v>43494</v>
          </cell>
          <cell r="C987">
            <v>31490500</v>
          </cell>
          <cell r="D987">
            <v>-2.0575654440773642E-2</v>
          </cell>
        </row>
        <row r="988">
          <cell r="A988">
            <v>43495</v>
          </cell>
          <cell r="C988">
            <v>49471900</v>
          </cell>
          <cell r="D988">
            <v>3.2871243518281357E-2</v>
          </cell>
        </row>
        <row r="989">
          <cell r="A989">
            <v>43496</v>
          </cell>
          <cell r="C989">
            <v>55636400</v>
          </cell>
          <cell r="D989">
            <v>-1.8500579466766764E-2</v>
          </cell>
        </row>
        <row r="990">
          <cell r="A990">
            <v>43497</v>
          </cell>
          <cell r="C990">
            <v>35535700</v>
          </cell>
          <cell r="D990">
            <v>-1.5926204160644563E-2</v>
          </cell>
        </row>
        <row r="991">
          <cell r="A991">
            <v>43500</v>
          </cell>
          <cell r="C991">
            <v>31315100</v>
          </cell>
          <cell r="D991">
            <v>2.8392415073126512E-2</v>
          </cell>
        </row>
        <row r="992">
          <cell r="A992">
            <v>43501</v>
          </cell>
          <cell r="C992">
            <v>27325400</v>
          </cell>
          <cell r="D992">
            <v>1.3899597551624867E-2</v>
          </cell>
        </row>
        <row r="993">
          <cell r="A993">
            <v>43502</v>
          </cell>
          <cell r="C993">
            <v>20609800</v>
          </cell>
          <cell r="D993">
            <v>-1.1160699381283926E-2</v>
          </cell>
        </row>
        <row r="994">
          <cell r="A994">
            <v>43503</v>
          </cell>
          <cell r="C994">
            <v>29760700</v>
          </cell>
          <cell r="D994">
            <v>-7.1936785138986417E-3</v>
          </cell>
        </row>
        <row r="995">
          <cell r="A995">
            <v>43504</v>
          </cell>
          <cell r="C995">
            <v>21461100</v>
          </cell>
          <cell r="D995">
            <v>3.7926192729524424E-3</v>
          </cell>
        </row>
        <row r="996">
          <cell r="A996">
            <v>43507</v>
          </cell>
          <cell r="C996">
            <v>18914100</v>
          </cell>
          <cell r="D996">
            <v>-3.9826065882237801E-3</v>
          </cell>
        </row>
        <row r="997">
          <cell r="A997">
            <v>43508</v>
          </cell>
          <cell r="C997">
            <v>25056600</v>
          </cell>
          <cell r="D997">
            <v>1.5461862670405948E-2</v>
          </cell>
        </row>
        <row r="998">
          <cell r="A998">
            <v>43509</v>
          </cell>
          <cell r="C998">
            <v>18394900</v>
          </cell>
          <cell r="D998">
            <v>-7.4879308140887257E-4</v>
          </cell>
        </row>
        <row r="999">
          <cell r="A999">
            <v>43510</v>
          </cell>
          <cell r="C999">
            <v>21784700</v>
          </cell>
          <cell r="D999">
            <v>8.4226237685855378E-4</v>
          </cell>
        </row>
        <row r="1000">
          <cell r="A1000">
            <v>43511</v>
          </cell>
          <cell r="C1000">
            <v>26606900</v>
          </cell>
          <cell r="D1000">
            <v>1.2272397527564004E-2</v>
          </cell>
        </row>
        <row r="1001">
          <cell r="A1001">
            <v>43515</v>
          </cell>
          <cell r="C1001">
            <v>18038500</v>
          </cell>
          <cell r="D1001">
            <v>-4.6208853994775045E-4</v>
          </cell>
        </row>
        <row r="1002">
          <cell r="A1002">
            <v>43516</v>
          </cell>
          <cell r="C1002">
            <v>21607700</v>
          </cell>
          <cell r="D1002">
            <v>-5.2127214461200038E-3</v>
          </cell>
        </row>
        <row r="1003">
          <cell r="A1003">
            <v>43517</v>
          </cell>
          <cell r="C1003">
            <v>29063200</v>
          </cell>
          <cell r="D1003">
            <v>2.0872670526766661E-2</v>
          </cell>
        </row>
        <row r="1004">
          <cell r="A1004">
            <v>43518</v>
          </cell>
          <cell r="C1004">
            <v>27763200</v>
          </cell>
          <cell r="D1004">
            <v>1.4157501092124533E-2</v>
          </cell>
        </row>
        <row r="1005">
          <cell r="A1005">
            <v>43521</v>
          </cell>
          <cell r="C1005">
            <v>23750600</v>
          </cell>
          <cell r="D1005">
            <v>5.5715171050478617E-3</v>
          </cell>
        </row>
        <row r="1006">
          <cell r="A1006">
            <v>43522</v>
          </cell>
          <cell r="C1006">
            <v>21536700</v>
          </cell>
          <cell r="D1006">
            <v>6.8765850162755653E-3</v>
          </cell>
        </row>
        <row r="1007">
          <cell r="A1007">
            <v>43523</v>
          </cell>
          <cell r="C1007">
            <v>21487100</v>
          </cell>
          <cell r="D1007">
            <v>-1.6924606031482603E-3</v>
          </cell>
        </row>
        <row r="1008">
          <cell r="A1008">
            <v>43524</v>
          </cell>
          <cell r="C1008">
            <v>29083900</v>
          </cell>
          <cell r="D1008">
            <v>-1.248849826953407E-3</v>
          </cell>
        </row>
        <row r="1009">
          <cell r="A1009">
            <v>43525</v>
          </cell>
          <cell r="C1009">
            <v>23501200</v>
          </cell>
          <cell r="D1009">
            <v>4.4532134627436543E-3</v>
          </cell>
        </row>
        <row r="1010">
          <cell r="A1010">
            <v>43528</v>
          </cell>
          <cell r="C1010">
            <v>26608000</v>
          </cell>
          <cell r="D1010">
            <v>-2.40229379782103E-3</v>
          </cell>
        </row>
        <row r="1011">
          <cell r="A1011">
            <v>43529</v>
          </cell>
          <cell r="C1011">
            <v>19538300</v>
          </cell>
          <cell r="D1011">
            <v>-5.0009794976038704E-3</v>
          </cell>
        </row>
        <row r="1012">
          <cell r="A1012">
            <v>43530</v>
          </cell>
          <cell r="C1012">
            <v>17687000</v>
          </cell>
          <cell r="D1012">
            <v>4.4759900433401554E-4</v>
          </cell>
        </row>
        <row r="1013">
          <cell r="A1013">
            <v>43531</v>
          </cell>
          <cell r="C1013">
            <v>25339000</v>
          </cell>
          <cell r="D1013">
            <v>-1.22447353673208E-2</v>
          </cell>
        </row>
        <row r="1014">
          <cell r="A1014">
            <v>43532</v>
          </cell>
          <cell r="C1014">
            <v>22818400</v>
          </cell>
          <cell r="D1014">
            <v>1.0865099212928439E-3</v>
          </cell>
        </row>
        <row r="1015">
          <cell r="A1015">
            <v>43535</v>
          </cell>
          <cell r="C1015">
            <v>26491600</v>
          </cell>
          <cell r="D1015">
            <v>2.0776293165032076E-2</v>
          </cell>
        </row>
        <row r="1016">
          <cell r="A1016">
            <v>43536</v>
          </cell>
          <cell r="C1016">
            <v>26132700</v>
          </cell>
          <cell r="D1016">
            <v>6.9772383400327183E-3</v>
          </cell>
        </row>
        <row r="1017">
          <cell r="A1017">
            <v>43537</v>
          </cell>
          <cell r="C1017">
            <v>35513800</v>
          </cell>
          <cell r="D1017">
            <v>7.7152572899886187E-3</v>
          </cell>
        </row>
        <row r="1018">
          <cell r="A1018">
            <v>43538</v>
          </cell>
          <cell r="C1018">
            <v>30763400</v>
          </cell>
          <cell r="D1018">
            <v>7.8569275147172355E-4</v>
          </cell>
        </row>
        <row r="1019">
          <cell r="A1019">
            <v>43539</v>
          </cell>
          <cell r="C1019">
            <v>54681100</v>
          </cell>
          <cell r="D1019">
            <v>1.145356095857537E-2</v>
          </cell>
        </row>
        <row r="1020">
          <cell r="A1020">
            <v>43542</v>
          </cell>
          <cell r="C1020">
            <v>31207600</v>
          </cell>
          <cell r="D1020">
            <v>1.4219777904738324E-2</v>
          </cell>
        </row>
        <row r="1021">
          <cell r="A1021">
            <v>43543</v>
          </cell>
          <cell r="C1021">
            <v>37588700</v>
          </cell>
          <cell r="D1021">
            <v>6.8029725095035778E-4</v>
          </cell>
        </row>
        <row r="1022">
          <cell r="A1022">
            <v>43544</v>
          </cell>
          <cell r="C1022">
            <v>28113300</v>
          </cell>
          <cell r="D1022">
            <v>-1.1055963880726226E-3</v>
          </cell>
        </row>
        <row r="1023">
          <cell r="A1023">
            <v>43545</v>
          </cell>
          <cell r="C1023">
            <v>29854400</v>
          </cell>
          <cell r="D1023">
            <v>2.2714909232914884E-2</v>
          </cell>
        </row>
        <row r="1024">
          <cell r="A1024">
            <v>43546</v>
          </cell>
          <cell r="C1024">
            <v>33624500</v>
          </cell>
          <cell r="D1024">
            <v>-2.6722283374531801E-2</v>
          </cell>
        </row>
        <row r="1025">
          <cell r="A1025">
            <v>43549</v>
          </cell>
          <cell r="C1025">
            <v>27067100</v>
          </cell>
          <cell r="D1025">
            <v>5.1980558872766263E-3</v>
          </cell>
        </row>
        <row r="1026">
          <cell r="A1026">
            <v>43550</v>
          </cell>
          <cell r="C1026">
            <v>26097700</v>
          </cell>
          <cell r="D1026">
            <v>2.1223697924520526E-3</v>
          </cell>
        </row>
        <row r="1027">
          <cell r="A1027">
            <v>43551</v>
          </cell>
          <cell r="C1027">
            <v>22733400</v>
          </cell>
          <cell r="D1027">
            <v>-9.7155027194529512E-3</v>
          </cell>
        </row>
        <row r="1028">
          <cell r="A1028">
            <v>43552</v>
          </cell>
          <cell r="C1028">
            <v>18334800</v>
          </cell>
          <cell r="D1028">
            <v>1.3693660645596433E-3</v>
          </cell>
        </row>
        <row r="1029">
          <cell r="A1029">
            <v>43553</v>
          </cell>
          <cell r="C1029">
            <v>25399800</v>
          </cell>
          <cell r="D1029">
            <v>8.6006106923002344E-3</v>
          </cell>
        </row>
        <row r="1030">
          <cell r="A1030">
            <v>43556</v>
          </cell>
          <cell r="C1030">
            <v>22789100</v>
          </cell>
          <cell r="D1030">
            <v>9.1155037198726897E-3</v>
          </cell>
        </row>
        <row r="1031">
          <cell r="A1031">
            <v>43557</v>
          </cell>
          <cell r="C1031">
            <v>18142300</v>
          </cell>
          <cell r="D1031">
            <v>1.4272938289068599E-3</v>
          </cell>
        </row>
        <row r="1032">
          <cell r="A1032">
            <v>43558</v>
          </cell>
          <cell r="C1032">
            <v>22860700</v>
          </cell>
          <cell r="D1032">
            <v>6.5229131278463992E-3</v>
          </cell>
        </row>
        <row r="1033">
          <cell r="A1033">
            <v>43559</v>
          </cell>
          <cell r="C1033">
            <v>20112800</v>
          </cell>
          <cell r="D1033">
            <v>-5.097585652567912E-3</v>
          </cell>
        </row>
        <row r="1034">
          <cell r="A1034">
            <v>43560</v>
          </cell>
          <cell r="C1034">
            <v>15826200</v>
          </cell>
          <cell r="D1034">
            <v>4.4304485224133374E-3</v>
          </cell>
        </row>
        <row r="1035">
          <cell r="A1035">
            <v>43563</v>
          </cell>
          <cell r="C1035">
            <v>15116200</v>
          </cell>
          <cell r="D1035">
            <v>3.3356083519422633E-4</v>
          </cell>
        </row>
        <row r="1036">
          <cell r="A1036">
            <v>43564</v>
          </cell>
          <cell r="C1036">
            <v>17612000</v>
          </cell>
          <cell r="D1036">
            <v>-5.4346165643333619E-3</v>
          </cell>
        </row>
        <row r="1037">
          <cell r="A1037">
            <v>43565</v>
          </cell>
          <cell r="C1037">
            <v>16477200</v>
          </cell>
          <cell r="D1037">
            <v>7.6002860074552434E-3</v>
          </cell>
        </row>
        <row r="1038">
          <cell r="A1038">
            <v>43566</v>
          </cell>
          <cell r="C1038">
            <v>14209100</v>
          </cell>
          <cell r="D1038">
            <v>1.1641115785022439E-3</v>
          </cell>
        </row>
        <row r="1039">
          <cell r="A1039">
            <v>43567</v>
          </cell>
          <cell r="C1039">
            <v>19745100</v>
          </cell>
          <cell r="D1039">
            <v>5.139233892480599E-3</v>
          </cell>
        </row>
        <row r="1040">
          <cell r="A1040">
            <v>43570</v>
          </cell>
          <cell r="C1040">
            <v>15792600</v>
          </cell>
          <cell r="D1040">
            <v>8.2651150532387166E-4</v>
          </cell>
        </row>
        <row r="1041">
          <cell r="A1041">
            <v>43571</v>
          </cell>
          <cell r="C1041">
            <v>14071800</v>
          </cell>
          <cell r="D1041">
            <v>-2.3158417645469166E-3</v>
          </cell>
        </row>
        <row r="1042">
          <cell r="A1042">
            <v>43572</v>
          </cell>
          <cell r="C1042">
            <v>19300900</v>
          </cell>
          <cell r="D1042">
            <v>8.2461414361071957E-3</v>
          </cell>
        </row>
        <row r="1043">
          <cell r="A1043">
            <v>43573</v>
          </cell>
          <cell r="C1043">
            <v>27991000</v>
          </cell>
          <cell r="D1043">
            <v>1.3053963226159674E-2</v>
          </cell>
        </row>
        <row r="1044">
          <cell r="A1044">
            <v>43577</v>
          </cell>
          <cell r="C1044">
            <v>15648700</v>
          </cell>
          <cell r="D1044">
            <v>3.1561997667035576E-3</v>
          </cell>
        </row>
        <row r="1045">
          <cell r="A1045">
            <v>43578</v>
          </cell>
          <cell r="C1045">
            <v>24025500</v>
          </cell>
          <cell r="D1045">
            <v>1.3483432792680057E-2</v>
          </cell>
        </row>
        <row r="1046">
          <cell r="A1046">
            <v>43579</v>
          </cell>
          <cell r="C1046">
            <v>31257000</v>
          </cell>
          <cell r="D1046">
            <v>-3.4338212486964871E-3</v>
          </cell>
        </row>
        <row r="1047">
          <cell r="A1047">
            <v>43580</v>
          </cell>
          <cell r="C1047">
            <v>38033900</v>
          </cell>
          <cell r="D1047">
            <v>3.2580700761257748E-2</v>
          </cell>
        </row>
        <row r="1048">
          <cell r="A1048">
            <v>43581</v>
          </cell>
          <cell r="C1048">
            <v>23654900</v>
          </cell>
          <cell r="D1048">
            <v>5.7133784587545793E-3</v>
          </cell>
        </row>
        <row r="1049">
          <cell r="A1049">
            <v>43584</v>
          </cell>
          <cell r="C1049">
            <v>16324200</v>
          </cell>
          <cell r="D1049">
            <v>-9.2421499564292165E-4</v>
          </cell>
        </row>
        <row r="1050">
          <cell r="A1050">
            <v>43585</v>
          </cell>
          <cell r="C1050">
            <v>24166500</v>
          </cell>
          <cell r="D1050">
            <v>6.3756106541942789E-3</v>
          </cell>
        </row>
        <row r="1051">
          <cell r="A1051">
            <v>43586</v>
          </cell>
          <cell r="C1051">
            <v>26821700</v>
          </cell>
          <cell r="D1051">
            <v>-2.1046981241103924E-2</v>
          </cell>
        </row>
        <row r="1052">
          <cell r="A1052">
            <v>43587</v>
          </cell>
          <cell r="C1052">
            <v>27350200</v>
          </cell>
          <cell r="D1052">
            <v>-1.3145135115523997E-2</v>
          </cell>
        </row>
        <row r="1053">
          <cell r="A1053">
            <v>43588</v>
          </cell>
          <cell r="C1053">
            <v>24911100</v>
          </cell>
          <cell r="D1053">
            <v>2.1089744702829198E-2</v>
          </cell>
        </row>
        <row r="1054">
          <cell r="A1054">
            <v>43591</v>
          </cell>
          <cell r="C1054">
            <v>24239800</v>
          </cell>
          <cell r="D1054">
            <v>-5.8355550842674594E-3</v>
          </cell>
        </row>
        <row r="1055">
          <cell r="A1055">
            <v>43592</v>
          </cell>
          <cell r="C1055">
            <v>36017700</v>
          </cell>
          <cell r="D1055">
            <v>-2.0736347634366017E-2</v>
          </cell>
        </row>
        <row r="1056">
          <cell r="A1056">
            <v>43593</v>
          </cell>
          <cell r="C1056">
            <v>28419000</v>
          </cell>
          <cell r="D1056">
            <v>-7.9506899687271685E-5</v>
          </cell>
        </row>
        <row r="1057">
          <cell r="A1057">
            <v>43594</v>
          </cell>
          <cell r="C1057">
            <v>27235800</v>
          </cell>
          <cell r="D1057">
            <v>-7.9706986728520667E-5</v>
          </cell>
        </row>
        <row r="1058">
          <cell r="A1058">
            <v>43595</v>
          </cell>
          <cell r="C1058">
            <v>30915100</v>
          </cell>
          <cell r="D1058">
            <v>1.2904388462985064E-2</v>
          </cell>
        </row>
        <row r="1059">
          <cell r="A1059">
            <v>43598</v>
          </cell>
          <cell r="C1059">
            <v>33944900</v>
          </cell>
          <cell r="D1059">
            <v>-3.0184364072742182E-2</v>
          </cell>
        </row>
        <row r="1060">
          <cell r="A1060">
            <v>43599</v>
          </cell>
          <cell r="C1060">
            <v>25266300</v>
          </cell>
          <cell r="D1060">
            <v>1.1125654577390022E-2</v>
          </cell>
        </row>
        <row r="1061">
          <cell r="A1061">
            <v>43600</v>
          </cell>
          <cell r="C1061">
            <v>24722700</v>
          </cell>
          <cell r="D1061">
            <v>1.3983957606925085E-2</v>
          </cell>
        </row>
        <row r="1062">
          <cell r="A1062">
            <v>43601</v>
          </cell>
          <cell r="C1062">
            <v>30112200</v>
          </cell>
          <cell r="D1062">
            <v>2.2828967402076236E-2</v>
          </cell>
        </row>
        <row r="1063">
          <cell r="A1063">
            <v>43602</v>
          </cell>
          <cell r="C1063">
            <v>25770500</v>
          </cell>
          <cell r="D1063">
            <v>-6.6925211230724167E-3</v>
          </cell>
        </row>
        <row r="1064">
          <cell r="A1064">
            <v>43605</v>
          </cell>
          <cell r="C1064">
            <v>23706900</v>
          </cell>
          <cell r="D1064">
            <v>-1.4550583380574343E-2</v>
          </cell>
        </row>
        <row r="1065">
          <cell r="A1065">
            <v>43606</v>
          </cell>
          <cell r="C1065">
            <v>15293300</v>
          </cell>
          <cell r="D1065">
            <v>5.3729668684414532E-3</v>
          </cell>
        </row>
        <row r="1066">
          <cell r="A1066">
            <v>43607</v>
          </cell>
          <cell r="C1066">
            <v>15396500</v>
          </cell>
          <cell r="D1066">
            <v>6.0493595238305456E-3</v>
          </cell>
        </row>
        <row r="1067">
          <cell r="A1067">
            <v>43608</v>
          </cell>
          <cell r="C1067">
            <v>23603800</v>
          </cell>
          <cell r="D1067">
            <v>-1.1739309039476349E-2</v>
          </cell>
        </row>
        <row r="1068">
          <cell r="A1068">
            <v>43609</v>
          </cell>
          <cell r="C1068">
            <v>14123400</v>
          </cell>
          <cell r="D1068">
            <v>4.7531235184630771E-4</v>
          </cell>
        </row>
        <row r="1069">
          <cell r="A1069">
            <v>43613</v>
          </cell>
          <cell r="C1069">
            <v>23128400</v>
          </cell>
          <cell r="D1069">
            <v>-6.3378134995398358E-4</v>
          </cell>
        </row>
        <row r="1070">
          <cell r="A1070">
            <v>43614</v>
          </cell>
          <cell r="C1070">
            <v>22763100</v>
          </cell>
          <cell r="D1070">
            <v>-9.7173887401762887E-3</v>
          </cell>
        </row>
        <row r="1071">
          <cell r="A1071">
            <v>43615</v>
          </cell>
          <cell r="C1071">
            <v>16829600</v>
          </cell>
          <cell r="D1071">
            <v>6.3030689039343148E-3</v>
          </cell>
        </row>
        <row r="1072">
          <cell r="A1072">
            <v>43616</v>
          </cell>
          <cell r="C1072">
            <v>26646800</v>
          </cell>
          <cell r="D1072">
            <v>-1.6439128151177158E-2</v>
          </cell>
        </row>
        <row r="1073">
          <cell r="A1073">
            <v>43619</v>
          </cell>
          <cell r="C1073">
            <v>37983600</v>
          </cell>
          <cell r="D1073">
            <v>-3.1540127817358807E-2</v>
          </cell>
        </row>
        <row r="1074">
          <cell r="A1074">
            <v>43620</v>
          </cell>
          <cell r="C1074">
            <v>29382600</v>
          </cell>
          <cell r="D1074">
            <v>2.7326895846647003E-2</v>
          </cell>
        </row>
        <row r="1075">
          <cell r="A1075">
            <v>43621</v>
          </cell>
          <cell r="C1075">
            <v>24926100</v>
          </cell>
          <cell r="D1075">
            <v>2.144745895482322E-2</v>
          </cell>
        </row>
        <row r="1076">
          <cell r="A1076">
            <v>43622</v>
          </cell>
          <cell r="C1076">
            <v>21459000</v>
          </cell>
          <cell r="D1076">
            <v>1.5691218812663298E-2</v>
          </cell>
        </row>
        <row r="1077">
          <cell r="A1077">
            <v>43623</v>
          </cell>
          <cell r="C1077">
            <v>33885600</v>
          </cell>
          <cell r="D1077">
            <v>2.7622976152028994E-2</v>
          </cell>
        </row>
        <row r="1078">
          <cell r="A1078">
            <v>43626</v>
          </cell>
          <cell r="C1078">
            <v>26477100</v>
          </cell>
          <cell r="D1078">
            <v>9.0911359212059711E-3</v>
          </cell>
        </row>
        <row r="1079">
          <cell r="A1079">
            <v>43627</v>
          </cell>
          <cell r="C1079">
            <v>23913700</v>
          </cell>
          <cell r="D1079">
            <v>-3.7778833399348564E-3</v>
          </cell>
        </row>
        <row r="1080">
          <cell r="A1080">
            <v>43628</v>
          </cell>
          <cell r="C1080">
            <v>17084700</v>
          </cell>
          <cell r="D1080">
            <v>-4.6284064557764451E-3</v>
          </cell>
        </row>
        <row r="1081">
          <cell r="A1081">
            <v>43629</v>
          </cell>
          <cell r="C1081">
            <v>17200800</v>
          </cell>
          <cell r="D1081">
            <v>6.2923879749420689E-3</v>
          </cell>
        </row>
        <row r="1082">
          <cell r="A1082">
            <v>43630</v>
          </cell>
          <cell r="C1082">
            <v>17821700</v>
          </cell>
          <cell r="D1082">
            <v>9.8203466571918432E-4</v>
          </cell>
        </row>
        <row r="1083">
          <cell r="A1083">
            <v>43633</v>
          </cell>
          <cell r="C1083">
            <v>14517800</v>
          </cell>
          <cell r="D1083">
            <v>3.0154701190211919E-3</v>
          </cell>
        </row>
        <row r="1084">
          <cell r="A1084">
            <v>43634</v>
          </cell>
          <cell r="C1084">
            <v>25934500</v>
          </cell>
          <cell r="D1084">
            <v>1.7238539811566735E-2</v>
          </cell>
        </row>
        <row r="1085">
          <cell r="A1085">
            <v>43635</v>
          </cell>
          <cell r="C1085">
            <v>23744400</v>
          </cell>
          <cell r="D1085">
            <v>3.9136802145187527E-3</v>
          </cell>
        </row>
        <row r="1086">
          <cell r="A1086">
            <v>43636</v>
          </cell>
          <cell r="C1086">
            <v>33042600</v>
          </cell>
          <cell r="D1086">
            <v>9.2428216426312989E-3</v>
          </cell>
        </row>
        <row r="1087">
          <cell r="A1087">
            <v>43637</v>
          </cell>
          <cell r="C1087">
            <v>36727900</v>
          </cell>
          <cell r="D1087">
            <v>1.4621297781900058E-4</v>
          </cell>
        </row>
        <row r="1088">
          <cell r="A1088">
            <v>43640</v>
          </cell>
          <cell r="C1088">
            <v>20628800</v>
          </cell>
          <cell r="D1088">
            <v>5.8961810522148812E-3</v>
          </cell>
        </row>
        <row r="1089">
          <cell r="A1089">
            <v>43641</v>
          </cell>
          <cell r="C1089">
            <v>33327400</v>
          </cell>
          <cell r="D1089">
            <v>-3.2081274107307677E-2</v>
          </cell>
        </row>
        <row r="1090">
          <cell r="A1090">
            <v>43642</v>
          </cell>
          <cell r="C1090">
            <v>23657700</v>
          </cell>
          <cell r="D1090">
            <v>3.7403046376165709E-3</v>
          </cell>
        </row>
        <row r="1091">
          <cell r="A1091">
            <v>43643</v>
          </cell>
          <cell r="C1091">
            <v>16557500</v>
          </cell>
          <cell r="D1091">
            <v>1.6412639487353505E-3</v>
          </cell>
        </row>
        <row r="1092">
          <cell r="A1092">
            <v>43644</v>
          </cell>
          <cell r="C1092">
            <v>30043000</v>
          </cell>
          <cell r="D1092">
            <v>-1.4171321287742933E-3</v>
          </cell>
        </row>
        <row r="1093">
          <cell r="A1093">
            <v>43647</v>
          </cell>
          <cell r="C1093">
            <v>22654200</v>
          </cell>
          <cell r="D1093">
            <v>1.2757832248548064E-2</v>
          </cell>
        </row>
        <row r="1094">
          <cell r="A1094">
            <v>43648</v>
          </cell>
          <cell r="C1094">
            <v>15237800</v>
          </cell>
          <cell r="D1094">
            <v>6.6112708221197705E-3</v>
          </cell>
        </row>
        <row r="1095">
          <cell r="A1095">
            <v>43649</v>
          </cell>
          <cell r="C1095">
            <v>13629300</v>
          </cell>
          <cell r="D1095">
            <v>6.4225234253051941E-3</v>
          </cell>
        </row>
        <row r="1096">
          <cell r="A1096">
            <v>43651</v>
          </cell>
          <cell r="C1096">
            <v>18141100</v>
          </cell>
          <cell r="D1096">
            <v>-2.9142002751199204E-3</v>
          </cell>
        </row>
        <row r="1097">
          <cell r="A1097">
            <v>43654</v>
          </cell>
          <cell r="C1097">
            <v>16779700</v>
          </cell>
          <cell r="D1097">
            <v>-7.2987712532836333E-4</v>
          </cell>
        </row>
        <row r="1098">
          <cell r="A1098">
            <v>43655</v>
          </cell>
          <cell r="C1098">
            <v>19953100</v>
          </cell>
          <cell r="D1098">
            <v>-3.6572869195572772E-3</v>
          </cell>
        </row>
        <row r="1099">
          <cell r="A1099">
            <v>43656</v>
          </cell>
          <cell r="C1099">
            <v>24204400</v>
          </cell>
          <cell r="D1099">
            <v>1.0134680877645375E-2</v>
          </cell>
        </row>
        <row r="1100">
          <cell r="A1100">
            <v>43657</v>
          </cell>
          <cell r="C1100">
            <v>22327900</v>
          </cell>
          <cell r="D1100">
            <v>3.9817045286952507E-3</v>
          </cell>
        </row>
        <row r="1101">
          <cell r="A1101">
            <v>43658</v>
          </cell>
          <cell r="C1101">
            <v>18936800</v>
          </cell>
          <cell r="D1101">
            <v>3.606223275806248E-3</v>
          </cell>
        </row>
        <row r="1102">
          <cell r="A1102">
            <v>43661</v>
          </cell>
          <cell r="C1102">
            <v>16651500</v>
          </cell>
          <cell r="D1102">
            <v>0</v>
          </cell>
        </row>
        <row r="1103">
          <cell r="A1103">
            <v>43662</v>
          </cell>
          <cell r="C1103">
            <v>22726100</v>
          </cell>
          <cell r="D1103">
            <v>-1.3189577302510797E-2</v>
          </cell>
        </row>
        <row r="1104">
          <cell r="A1104">
            <v>43663</v>
          </cell>
          <cell r="C1104">
            <v>20211000</v>
          </cell>
          <cell r="D1104">
            <v>-5.9263795212024751E-3</v>
          </cell>
        </row>
        <row r="1105">
          <cell r="A1105">
            <v>43664</v>
          </cell>
          <cell r="C1105">
            <v>30808700</v>
          </cell>
          <cell r="D1105">
            <v>1.1001554580221467E-3</v>
          </cell>
        </row>
        <row r="1106">
          <cell r="A1106">
            <v>43665</v>
          </cell>
          <cell r="C1106">
            <v>48992400</v>
          </cell>
          <cell r="D1106">
            <v>1.4648828816962373E-3</v>
          </cell>
        </row>
        <row r="1107">
          <cell r="A1107">
            <v>43668</v>
          </cell>
          <cell r="C1107">
            <v>25074900</v>
          </cell>
          <cell r="D1107">
            <v>1.3161370097555955E-2</v>
          </cell>
        </row>
        <row r="1108">
          <cell r="A1108">
            <v>43669</v>
          </cell>
          <cell r="C1108">
            <v>18034600</v>
          </cell>
          <cell r="D1108">
            <v>6.1934312578354874E-3</v>
          </cell>
        </row>
        <row r="1109">
          <cell r="A1109">
            <v>43670</v>
          </cell>
          <cell r="C1109">
            <v>20738300</v>
          </cell>
          <cell r="D1109">
            <v>1.0213991711230035E-2</v>
          </cell>
        </row>
        <row r="1110">
          <cell r="A1110">
            <v>43671</v>
          </cell>
          <cell r="C1110">
            <v>18356900</v>
          </cell>
          <cell r="D1110">
            <v>-3.7734076253810246E-3</v>
          </cell>
        </row>
        <row r="1111">
          <cell r="A1111">
            <v>43672</v>
          </cell>
          <cell r="C1111">
            <v>19037600</v>
          </cell>
          <cell r="D1111">
            <v>8.169619776171597E-3</v>
          </cell>
        </row>
        <row r="1112">
          <cell r="A1112">
            <v>43675</v>
          </cell>
          <cell r="C1112">
            <v>16605900</v>
          </cell>
          <cell r="D1112">
            <v>-2.195690242181427E-3</v>
          </cell>
        </row>
        <row r="1113">
          <cell r="A1113">
            <v>43676</v>
          </cell>
          <cell r="C1113">
            <v>16846500</v>
          </cell>
          <cell r="D1113">
            <v>-4.8332884964730214E-3</v>
          </cell>
        </row>
        <row r="1114">
          <cell r="A1114">
            <v>43677</v>
          </cell>
          <cell r="C1114">
            <v>38598800</v>
          </cell>
          <cell r="D1114">
            <v>-2.9501064818475982E-2</v>
          </cell>
        </row>
        <row r="1115">
          <cell r="A1115">
            <v>43678</v>
          </cell>
          <cell r="C1115">
            <v>40557500</v>
          </cell>
          <cell r="D1115">
            <v>1.3050030279222963E-2</v>
          </cell>
        </row>
        <row r="1116">
          <cell r="A1116">
            <v>43679</v>
          </cell>
          <cell r="C1116">
            <v>30791600</v>
          </cell>
          <cell r="D1116">
            <v>-8.4376658235469134E-3</v>
          </cell>
        </row>
        <row r="1117">
          <cell r="A1117">
            <v>43682</v>
          </cell>
          <cell r="C1117">
            <v>42749600</v>
          </cell>
          <cell r="D1117">
            <v>-3.4859025979148826E-2</v>
          </cell>
        </row>
        <row r="1118">
          <cell r="A1118">
            <v>43683</v>
          </cell>
          <cell r="C1118">
            <v>32696700</v>
          </cell>
          <cell r="D1118">
            <v>1.8584298061649206E-2</v>
          </cell>
        </row>
        <row r="1119">
          <cell r="A1119">
            <v>43684</v>
          </cell>
          <cell r="C1119">
            <v>33414500</v>
          </cell>
          <cell r="D1119">
            <v>4.3706812748813889E-3</v>
          </cell>
        </row>
        <row r="1120">
          <cell r="A1120">
            <v>43685</v>
          </cell>
          <cell r="C1120">
            <v>27496500</v>
          </cell>
          <cell r="D1120">
            <v>2.6335663650574683E-2</v>
          </cell>
        </row>
        <row r="1121">
          <cell r="A1121">
            <v>43686</v>
          </cell>
          <cell r="C1121">
            <v>23466700</v>
          </cell>
          <cell r="D1121">
            <v>-8.5320916785360801E-3</v>
          </cell>
        </row>
        <row r="1122">
          <cell r="A1122">
            <v>43689</v>
          </cell>
          <cell r="C1122">
            <v>20476600</v>
          </cell>
          <cell r="D1122">
            <v>-1.4040706441450161E-2</v>
          </cell>
        </row>
        <row r="1123">
          <cell r="A1123">
            <v>43690</v>
          </cell>
          <cell r="C1123">
            <v>25154600</v>
          </cell>
          <cell r="D1123">
            <v>2.0482709723161616E-2</v>
          </cell>
        </row>
        <row r="1124">
          <cell r="A1124">
            <v>43691</v>
          </cell>
          <cell r="C1124">
            <v>32527300</v>
          </cell>
          <cell r="D1124">
            <v>-3.0577228476386817E-2</v>
          </cell>
        </row>
        <row r="1125">
          <cell r="A1125">
            <v>43692</v>
          </cell>
          <cell r="C1125">
            <v>28074400</v>
          </cell>
          <cell r="D1125">
            <v>-2.2416792609092394E-3</v>
          </cell>
        </row>
        <row r="1126">
          <cell r="A1126">
            <v>43693</v>
          </cell>
          <cell r="C1126">
            <v>24449100</v>
          </cell>
          <cell r="D1126">
            <v>1.8161564897177736E-2</v>
          </cell>
        </row>
        <row r="1127">
          <cell r="A1127">
            <v>43696</v>
          </cell>
          <cell r="C1127">
            <v>24355700</v>
          </cell>
          <cell r="D1127">
            <v>1.6610014631043231E-2</v>
          </cell>
        </row>
        <row r="1128">
          <cell r="A1128">
            <v>43697</v>
          </cell>
          <cell r="C1128">
            <v>21170800</v>
          </cell>
          <cell r="D1128">
            <v>-8.3434429850853149E-3</v>
          </cell>
        </row>
        <row r="1129">
          <cell r="A1129">
            <v>43698</v>
          </cell>
          <cell r="C1129">
            <v>14970300</v>
          </cell>
          <cell r="D1129">
            <v>1.1084967692666628E-2</v>
          </cell>
        </row>
        <row r="1130">
          <cell r="A1130">
            <v>43699</v>
          </cell>
          <cell r="C1130">
            <v>18697000</v>
          </cell>
          <cell r="D1130">
            <v>-7.3037675876326301E-3</v>
          </cell>
        </row>
        <row r="1131">
          <cell r="A1131">
            <v>43700</v>
          </cell>
          <cell r="C1131">
            <v>38508600</v>
          </cell>
          <cell r="D1131">
            <v>-3.2381005497225591E-2</v>
          </cell>
        </row>
        <row r="1132">
          <cell r="A1132">
            <v>43703</v>
          </cell>
          <cell r="C1132">
            <v>20312600</v>
          </cell>
          <cell r="D1132">
            <v>1.5325416722428349E-2</v>
          </cell>
        </row>
        <row r="1133">
          <cell r="A1133">
            <v>43704</v>
          </cell>
          <cell r="C1133">
            <v>23102100</v>
          </cell>
          <cell r="D1133">
            <v>2.1386835543478629E-3</v>
          </cell>
        </row>
        <row r="1134">
          <cell r="A1134">
            <v>43705</v>
          </cell>
          <cell r="C1134">
            <v>17393300</v>
          </cell>
          <cell r="D1134">
            <v>-1.3270118564456959E-3</v>
          </cell>
        </row>
        <row r="1135">
          <cell r="A1135">
            <v>43706</v>
          </cell>
          <cell r="C1135">
            <v>20168700</v>
          </cell>
          <cell r="D1135">
            <v>1.870855776923383E-2</v>
          </cell>
        </row>
        <row r="1136">
          <cell r="A1136">
            <v>43707</v>
          </cell>
          <cell r="C1136">
            <v>23940100</v>
          </cell>
          <cell r="D1136">
            <v>-1.8840458496979643E-3</v>
          </cell>
        </row>
        <row r="1137">
          <cell r="A1137">
            <v>43711</v>
          </cell>
          <cell r="C1137">
            <v>18869300</v>
          </cell>
          <cell r="D1137">
            <v>-1.3289803216755127E-2</v>
          </cell>
        </row>
        <row r="1138">
          <cell r="A1138">
            <v>43712</v>
          </cell>
          <cell r="C1138">
            <v>17995900</v>
          </cell>
          <cell r="D1138">
            <v>1.1620077497151595E-2</v>
          </cell>
        </row>
        <row r="1139">
          <cell r="A1139">
            <v>43713</v>
          </cell>
          <cell r="C1139">
            <v>26101800</v>
          </cell>
          <cell r="D1139">
            <v>1.7430490857472798E-2</v>
          </cell>
        </row>
        <row r="1140">
          <cell r="A1140">
            <v>43714</v>
          </cell>
          <cell r="C1140">
            <v>20824500</v>
          </cell>
          <cell r="D1140">
            <v>-6.8063998560519388E-3</v>
          </cell>
        </row>
        <row r="1141">
          <cell r="A1141">
            <v>43717</v>
          </cell>
          <cell r="C1141">
            <v>25773900</v>
          </cell>
          <cell r="D1141">
            <v>-1.1423666906798429E-2</v>
          </cell>
        </row>
        <row r="1142">
          <cell r="A1142">
            <v>43718</v>
          </cell>
          <cell r="C1142">
            <v>28903400</v>
          </cell>
          <cell r="D1142">
            <v>-1.0526452742983378E-2</v>
          </cell>
        </row>
        <row r="1143">
          <cell r="A1143">
            <v>43719</v>
          </cell>
          <cell r="C1143">
            <v>24726100</v>
          </cell>
          <cell r="D1143">
            <v>2.9374066174103313E-4</v>
          </cell>
        </row>
        <row r="1144">
          <cell r="A1144">
            <v>43720</v>
          </cell>
          <cell r="C1144">
            <v>27010000</v>
          </cell>
          <cell r="D1144">
            <v>1.023271208124244E-2</v>
          </cell>
        </row>
        <row r="1145">
          <cell r="A1145">
            <v>43721</v>
          </cell>
          <cell r="C1145">
            <v>23363100</v>
          </cell>
          <cell r="D1145">
            <v>-1.4554816068024299E-3</v>
          </cell>
        </row>
        <row r="1146">
          <cell r="A1146">
            <v>43724</v>
          </cell>
          <cell r="C1146">
            <v>16731400</v>
          </cell>
          <cell r="D1146">
            <v>-7.2354985997673685E-3</v>
          </cell>
        </row>
        <row r="1147">
          <cell r="A1147">
            <v>43725</v>
          </cell>
          <cell r="C1147">
            <v>17814200</v>
          </cell>
          <cell r="D1147">
            <v>7.745181236528227E-3</v>
          </cell>
        </row>
        <row r="1148">
          <cell r="A1148">
            <v>43726</v>
          </cell>
          <cell r="C1148">
            <v>23982100</v>
          </cell>
          <cell r="D1148">
            <v>8.1910689405916021E-3</v>
          </cell>
        </row>
        <row r="1149">
          <cell r="A1149">
            <v>43727</v>
          </cell>
          <cell r="C1149">
            <v>35772100</v>
          </cell>
          <cell r="D1149">
            <v>1.824156615929997E-2</v>
          </cell>
        </row>
        <row r="1150">
          <cell r="A1150">
            <v>43728</v>
          </cell>
          <cell r="C1150">
            <v>39167300</v>
          </cell>
          <cell r="D1150">
            <v>-1.1621881358398253E-2</v>
          </cell>
        </row>
        <row r="1151">
          <cell r="A1151">
            <v>43731</v>
          </cell>
          <cell r="C1151">
            <v>17139300</v>
          </cell>
          <cell r="D1151">
            <v>-2.1538079824681118E-3</v>
          </cell>
        </row>
        <row r="1152">
          <cell r="A1152">
            <v>43732</v>
          </cell>
          <cell r="C1152">
            <v>29773200</v>
          </cell>
          <cell r="D1152">
            <v>-1.2729697718742765E-2</v>
          </cell>
        </row>
        <row r="1153">
          <cell r="A1153">
            <v>43733</v>
          </cell>
          <cell r="C1153">
            <v>21382000</v>
          </cell>
          <cell r="D1153">
            <v>1.4309599745173587E-2</v>
          </cell>
        </row>
        <row r="1154">
          <cell r="A1154">
            <v>43734</v>
          </cell>
          <cell r="C1154">
            <v>17456600</v>
          </cell>
          <cell r="D1154">
            <v>1.2907354067850506E-3</v>
          </cell>
        </row>
        <row r="1155">
          <cell r="A1155">
            <v>43735</v>
          </cell>
          <cell r="C1155">
            <v>22477700</v>
          </cell>
          <cell r="D1155">
            <v>-1.3056064767729428E-2</v>
          </cell>
        </row>
        <row r="1156">
          <cell r="A1156">
            <v>43738</v>
          </cell>
          <cell r="C1156">
            <v>17280900</v>
          </cell>
          <cell r="D1156">
            <v>9.3945320635464534E-3</v>
          </cell>
        </row>
        <row r="1157">
          <cell r="A1157">
            <v>43739</v>
          </cell>
          <cell r="C1157">
            <v>21466600</v>
          </cell>
          <cell r="D1157">
            <v>-1.4197850863119466E-2</v>
          </cell>
        </row>
        <row r="1158">
          <cell r="A1158">
            <v>43740</v>
          </cell>
          <cell r="C1158">
            <v>30521700</v>
          </cell>
          <cell r="D1158">
            <v>-1.7813067227336814E-2</v>
          </cell>
        </row>
        <row r="1159">
          <cell r="A1159">
            <v>43741</v>
          </cell>
          <cell r="C1159">
            <v>24132900</v>
          </cell>
          <cell r="D1159">
            <v>1.2032837651085471E-2</v>
          </cell>
        </row>
        <row r="1160">
          <cell r="A1160">
            <v>43742</v>
          </cell>
          <cell r="C1160">
            <v>22897700</v>
          </cell>
          <cell r="D1160">
            <v>1.3411176396033458E-2</v>
          </cell>
        </row>
        <row r="1161">
          <cell r="A1161">
            <v>43745</v>
          </cell>
          <cell r="C1161">
            <v>15303700</v>
          </cell>
          <cell r="D1161">
            <v>-7.2663221379085357E-3</v>
          </cell>
        </row>
        <row r="1162">
          <cell r="A1162">
            <v>43746</v>
          </cell>
          <cell r="C1162">
            <v>25550500</v>
          </cell>
          <cell r="D1162">
            <v>-1.0630992310719137E-2</v>
          </cell>
        </row>
        <row r="1163">
          <cell r="A1163">
            <v>43747</v>
          </cell>
          <cell r="C1163">
            <v>19749900</v>
          </cell>
          <cell r="D1163">
            <v>1.8765824988080101E-2</v>
          </cell>
        </row>
        <row r="1164">
          <cell r="A1164">
            <v>43748</v>
          </cell>
          <cell r="C1164">
            <v>17654600</v>
          </cell>
          <cell r="D1164">
            <v>6.2018088926669339E-3</v>
          </cell>
        </row>
        <row r="1165">
          <cell r="A1165">
            <v>43749</v>
          </cell>
          <cell r="C1165">
            <v>25446000</v>
          </cell>
          <cell r="D1165">
            <v>4.160909712447698E-3</v>
          </cell>
        </row>
        <row r="1166">
          <cell r="A1166">
            <v>43752</v>
          </cell>
          <cell r="C1166">
            <v>13304300</v>
          </cell>
          <cell r="D1166">
            <v>-9.3105839626591734E-4</v>
          </cell>
        </row>
        <row r="1167">
          <cell r="A1167">
            <v>43753</v>
          </cell>
          <cell r="C1167">
            <v>19695700</v>
          </cell>
          <cell r="D1167">
            <v>1.4371397769148182E-2</v>
          </cell>
        </row>
        <row r="1168">
          <cell r="A1168">
            <v>43754</v>
          </cell>
          <cell r="C1168">
            <v>20751600</v>
          </cell>
          <cell r="D1168">
            <v>-8.2276287783917112E-3</v>
          </cell>
        </row>
        <row r="1169">
          <cell r="A1169">
            <v>43755</v>
          </cell>
          <cell r="C1169">
            <v>21460600</v>
          </cell>
          <cell r="D1169">
            <v>-5.1410484893887323E-3</v>
          </cell>
        </row>
        <row r="1170">
          <cell r="A1170">
            <v>43756</v>
          </cell>
          <cell r="C1170">
            <v>32273500</v>
          </cell>
          <cell r="D1170">
            <v>-1.645655697377179E-2</v>
          </cell>
        </row>
        <row r="1171">
          <cell r="A1171">
            <v>43759</v>
          </cell>
          <cell r="C1171">
            <v>20078200</v>
          </cell>
          <cell r="D1171">
            <v>7.3955603035338159E-3</v>
          </cell>
        </row>
        <row r="1172">
          <cell r="A1172">
            <v>43760</v>
          </cell>
          <cell r="C1172">
            <v>27431000</v>
          </cell>
          <cell r="D1172">
            <v>-1.4992909507781323E-2</v>
          </cell>
        </row>
        <row r="1173">
          <cell r="A1173">
            <v>43761</v>
          </cell>
          <cell r="C1173">
            <v>29844600</v>
          </cell>
          <cell r="D1173">
            <v>6.3595344215664953E-3</v>
          </cell>
        </row>
        <row r="1174">
          <cell r="A1174">
            <v>43762</v>
          </cell>
          <cell r="C1174">
            <v>37029300</v>
          </cell>
          <cell r="D1174">
            <v>1.9482560595001766E-2</v>
          </cell>
        </row>
        <row r="1175">
          <cell r="A1175">
            <v>43763</v>
          </cell>
          <cell r="C1175">
            <v>25959700</v>
          </cell>
          <cell r="D1175">
            <v>5.6292556463950795E-3</v>
          </cell>
        </row>
        <row r="1176">
          <cell r="A1176">
            <v>43766</v>
          </cell>
          <cell r="C1176">
            <v>35280100</v>
          </cell>
          <cell r="D1176">
            <v>2.4288821672556096E-2</v>
          </cell>
        </row>
        <row r="1177">
          <cell r="A1177">
            <v>43767</v>
          </cell>
          <cell r="C1177">
            <v>20589500</v>
          </cell>
          <cell r="D1177">
            <v>-9.4767900781229687E-3</v>
          </cell>
        </row>
        <row r="1178">
          <cell r="A1178">
            <v>43768</v>
          </cell>
          <cell r="C1178">
            <v>18496600</v>
          </cell>
          <cell r="D1178">
            <v>1.2385375537108192E-2</v>
          </cell>
        </row>
        <row r="1179">
          <cell r="A1179">
            <v>43769</v>
          </cell>
          <cell r="C1179">
            <v>24605100</v>
          </cell>
          <cell r="D1179">
            <v>-8.6119323998556981E-3</v>
          </cell>
        </row>
        <row r="1180">
          <cell r="A1180">
            <v>43770</v>
          </cell>
          <cell r="C1180">
            <v>33128400</v>
          </cell>
          <cell r="D1180">
            <v>2.438415699286595E-3</v>
          </cell>
        </row>
        <row r="1181">
          <cell r="A1181">
            <v>43773</v>
          </cell>
          <cell r="C1181">
            <v>16912000</v>
          </cell>
          <cell r="D1181">
            <v>5.7585330226960357E-3</v>
          </cell>
        </row>
        <row r="1182">
          <cell r="A1182">
            <v>43774</v>
          </cell>
          <cell r="C1182">
            <v>18250200</v>
          </cell>
          <cell r="D1182">
            <v>-6.2279162719817277E-4</v>
          </cell>
        </row>
        <row r="1183">
          <cell r="A1183">
            <v>43775</v>
          </cell>
          <cell r="C1183">
            <v>16575800</v>
          </cell>
          <cell r="D1183">
            <v>-2.772949984561103E-3</v>
          </cell>
        </row>
        <row r="1184">
          <cell r="A1184">
            <v>43776</v>
          </cell>
          <cell r="C1184">
            <v>17786700</v>
          </cell>
          <cell r="D1184">
            <v>1.3873280434516886E-3</v>
          </cell>
        </row>
        <row r="1185">
          <cell r="A1185">
            <v>43777</v>
          </cell>
          <cell r="C1185">
            <v>16732700</v>
          </cell>
          <cell r="D1185">
            <v>1.1715502930448258E-2</v>
          </cell>
        </row>
        <row r="1186">
          <cell r="A1186">
            <v>43780</v>
          </cell>
          <cell r="C1186">
            <v>14362600</v>
          </cell>
          <cell r="D1186">
            <v>1.0271089771352639E-3</v>
          </cell>
        </row>
        <row r="1187">
          <cell r="A1187">
            <v>43781</v>
          </cell>
          <cell r="C1187">
            <v>18641600</v>
          </cell>
          <cell r="D1187">
            <v>6.548960588560848E-3</v>
          </cell>
        </row>
        <row r="1188">
          <cell r="A1188">
            <v>43782</v>
          </cell>
          <cell r="C1188">
            <v>16919200</v>
          </cell>
          <cell r="D1188">
            <v>1.630487210144381E-3</v>
          </cell>
        </row>
        <row r="1189">
          <cell r="A1189">
            <v>43783</v>
          </cell>
          <cell r="C1189">
            <v>19729800</v>
          </cell>
          <cell r="D1189">
            <v>5.0783969364418188E-3</v>
          </cell>
        </row>
        <row r="1190">
          <cell r="A1190">
            <v>43784</v>
          </cell>
          <cell r="C1190">
            <v>23485700</v>
          </cell>
          <cell r="D1190">
            <v>1.2817732593662708E-2</v>
          </cell>
        </row>
        <row r="1191">
          <cell r="A1191">
            <v>43787</v>
          </cell>
          <cell r="C1191">
            <v>21534000</v>
          </cell>
          <cell r="D1191">
            <v>2.4640959814730651E-3</v>
          </cell>
        </row>
        <row r="1192">
          <cell r="A1192">
            <v>43788</v>
          </cell>
          <cell r="C1192">
            <v>23935700</v>
          </cell>
          <cell r="D1192">
            <v>3.3243918593543536E-4</v>
          </cell>
        </row>
        <row r="1193">
          <cell r="A1193">
            <v>43789</v>
          </cell>
          <cell r="C1193">
            <v>25696800</v>
          </cell>
          <cell r="D1193">
            <v>-1.736229111529297E-3</v>
          </cell>
        </row>
        <row r="1194">
          <cell r="A1194">
            <v>43790</v>
          </cell>
          <cell r="C1194">
            <v>18576100</v>
          </cell>
          <cell r="D1194">
            <v>-9.361375470787165E-4</v>
          </cell>
        </row>
        <row r="1195">
          <cell r="A1195">
            <v>43791</v>
          </cell>
          <cell r="C1195">
            <v>15901800</v>
          </cell>
          <cell r="D1195">
            <v>7.3568509841542807E-4</v>
          </cell>
        </row>
        <row r="1196">
          <cell r="A1196">
            <v>43794</v>
          </cell>
          <cell r="C1196">
            <v>22420900</v>
          </cell>
          <cell r="D1196">
            <v>1.0903606944871795E-2</v>
          </cell>
        </row>
        <row r="1197">
          <cell r="A1197">
            <v>43795</v>
          </cell>
          <cell r="C1197">
            <v>24620100</v>
          </cell>
          <cell r="D1197">
            <v>5.2760141915134283E-3</v>
          </cell>
        </row>
        <row r="1198">
          <cell r="A1198">
            <v>43796</v>
          </cell>
          <cell r="C1198">
            <v>15184400</v>
          </cell>
          <cell r="D1198">
            <v>1.905733843007715E-3</v>
          </cell>
        </row>
        <row r="1199">
          <cell r="A1199">
            <v>43798</v>
          </cell>
          <cell r="C1199">
            <v>11977300</v>
          </cell>
          <cell r="D1199">
            <v>-6.1903358518056034E-3</v>
          </cell>
        </row>
        <row r="1200">
          <cell r="A1200">
            <v>43801</v>
          </cell>
          <cell r="C1200">
            <v>27418400</v>
          </cell>
          <cell r="D1200">
            <v>-1.2162425333414374E-2</v>
          </cell>
        </row>
        <row r="1201">
          <cell r="A1201">
            <v>43802</v>
          </cell>
          <cell r="C1201">
            <v>24066000</v>
          </cell>
          <cell r="D1201">
            <v>-1.6061219306411558E-3</v>
          </cell>
        </row>
        <row r="1202">
          <cell r="A1202">
            <v>43803</v>
          </cell>
          <cell r="C1202">
            <v>17574700</v>
          </cell>
          <cell r="D1202">
            <v>3.6101050122116563E-3</v>
          </cell>
        </row>
        <row r="1203">
          <cell r="A1203">
            <v>43804</v>
          </cell>
          <cell r="C1203">
            <v>17869100</v>
          </cell>
          <cell r="D1203">
            <v>5.3366398356303633E-4</v>
          </cell>
        </row>
        <row r="1204">
          <cell r="A1204">
            <v>43805</v>
          </cell>
          <cell r="C1204">
            <v>16403500</v>
          </cell>
          <cell r="D1204">
            <v>1.2065948939348536E-2</v>
          </cell>
        </row>
        <row r="1205">
          <cell r="A1205">
            <v>43808</v>
          </cell>
          <cell r="C1205">
            <v>16687400</v>
          </cell>
          <cell r="D1205">
            <v>-2.5732805451397288E-3</v>
          </cell>
        </row>
        <row r="1206">
          <cell r="A1206">
            <v>43809</v>
          </cell>
          <cell r="C1206">
            <v>16476100</v>
          </cell>
          <cell r="D1206">
            <v>-1.5206885046745193E-3</v>
          </cell>
        </row>
        <row r="1207">
          <cell r="A1207">
            <v>43810</v>
          </cell>
          <cell r="C1207">
            <v>18856600</v>
          </cell>
          <cell r="D1207">
            <v>3.7644175458049255E-3</v>
          </cell>
        </row>
        <row r="1208">
          <cell r="A1208">
            <v>43811</v>
          </cell>
          <cell r="C1208">
            <v>24612100</v>
          </cell>
          <cell r="D1208">
            <v>1.0100478702117228E-2</v>
          </cell>
        </row>
        <row r="1209">
          <cell r="A1209">
            <v>43812</v>
          </cell>
          <cell r="C1209">
            <v>23845400</v>
          </cell>
          <cell r="D1209">
            <v>8.3829185333905345E-3</v>
          </cell>
        </row>
        <row r="1210">
          <cell r="A1210">
            <v>43815</v>
          </cell>
          <cell r="C1210">
            <v>24144200</v>
          </cell>
          <cell r="D1210">
            <v>6.450341275007012E-3</v>
          </cell>
        </row>
        <row r="1211">
          <cell r="A1211">
            <v>43816</v>
          </cell>
          <cell r="C1211">
            <v>25425600</v>
          </cell>
          <cell r="D1211">
            <v>-5.415499821023578E-3</v>
          </cell>
        </row>
        <row r="1212">
          <cell r="A1212">
            <v>43817</v>
          </cell>
          <cell r="C1212">
            <v>24129200</v>
          </cell>
          <cell r="D1212">
            <v>-2.0707549142539067E-3</v>
          </cell>
        </row>
        <row r="1213">
          <cell r="A1213">
            <v>43818</v>
          </cell>
          <cell r="C1213">
            <v>24958900</v>
          </cell>
          <cell r="D1213">
            <v>8.6429785302158009E-3</v>
          </cell>
        </row>
        <row r="1214">
          <cell r="A1214">
            <v>43819</v>
          </cell>
          <cell r="C1214">
            <v>53477500</v>
          </cell>
          <cell r="D1214">
            <v>1.0858593252942904E-2</v>
          </cell>
        </row>
        <row r="1215">
          <cell r="A1215">
            <v>43822</v>
          </cell>
          <cell r="C1215">
            <v>17718200</v>
          </cell>
          <cell r="D1215">
            <v>0</v>
          </cell>
        </row>
        <row r="1216">
          <cell r="A1216">
            <v>43823</v>
          </cell>
          <cell r="C1216">
            <v>8989200</v>
          </cell>
          <cell r="D1216">
            <v>-1.9063331246448623E-4</v>
          </cell>
        </row>
        <row r="1217">
          <cell r="A1217">
            <v>43825</v>
          </cell>
          <cell r="C1217">
            <v>14520600</v>
          </cell>
          <cell r="D1217">
            <v>8.163297119355083E-3</v>
          </cell>
        </row>
        <row r="1218">
          <cell r="A1218">
            <v>43826</v>
          </cell>
          <cell r="C1218">
            <v>18412800</v>
          </cell>
          <cell r="D1218">
            <v>1.8260556693930486E-3</v>
          </cell>
        </row>
        <row r="1219">
          <cell r="A1219">
            <v>43829</v>
          </cell>
          <cell r="C1219">
            <v>16348400</v>
          </cell>
          <cell r="D1219">
            <v>-8.6558984729044851E-3</v>
          </cell>
        </row>
        <row r="1220">
          <cell r="A1220">
            <v>43830</v>
          </cell>
          <cell r="C1220">
            <v>18369400</v>
          </cell>
          <cell r="D1220">
            <v>6.9774256253380318E-4</v>
          </cell>
        </row>
        <row r="1221">
          <cell r="A1221">
            <v>43832</v>
          </cell>
          <cell r="C1221">
            <v>22622100</v>
          </cell>
          <cell r="D1221">
            <v>1.8346844990473156E-2</v>
          </cell>
        </row>
        <row r="1222">
          <cell r="A1222">
            <v>43833</v>
          </cell>
          <cell r="C1222">
            <v>21116200</v>
          </cell>
          <cell r="D1222">
            <v>-1.2529927727749029E-2</v>
          </cell>
        </row>
        <row r="1223">
          <cell r="A1223">
            <v>43836</v>
          </cell>
          <cell r="C1223">
            <v>20813700</v>
          </cell>
          <cell r="D1223">
            <v>2.5815020124543373E-3</v>
          </cell>
        </row>
        <row r="1224">
          <cell r="A1224">
            <v>43837</v>
          </cell>
          <cell r="C1224">
            <v>21634100</v>
          </cell>
          <cell r="D1224">
            <v>-9.1595639069953546E-3</v>
          </cell>
        </row>
        <row r="1225">
          <cell r="A1225">
            <v>43838</v>
          </cell>
          <cell r="C1225">
            <v>27746500</v>
          </cell>
          <cell r="D1225">
            <v>1.5802765517368859E-2</v>
          </cell>
        </row>
        <row r="1226">
          <cell r="A1226">
            <v>43839</v>
          </cell>
          <cell r="C1226">
            <v>21385000</v>
          </cell>
          <cell r="D1226">
            <v>1.2415585607978811E-2</v>
          </cell>
        </row>
        <row r="1227">
          <cell r="A1227">
            <v>43840</v>
          </cell>
          <cell r="C1227">
            <v>20725900</v>
          </cell>
          <cell r="D1227">
            <v>-4.6377845518562029E-3</v>
          </cell>
        </row>
        <row r="1228">
          <cell r="A1228">
            <v>43843</v>
          </cell>
          <cell r="C1228">
            <v>21626500</v>
          </cell>
          <cell r="D1228">
            <v>1.1952625186715126E-2</v>
          </cell>
        </row>
        <row r="1229">
          <cell r="A1229">
            <v>43844</v>
          </cell>
          <cell r="C1229">
            <v>23477400</v>
          </cell>
          <cell r="D1229">
            <v>-7.0680268140189597E-3</v>
          </cell>
        </row>
        <row r="1230">
          <cell r="A1230">
            <v>43845</v>
          </cell>
          <cell r="C1230">
            <v>21417900</v>
          </cell>
          <cell r="D1230">
            <v>6.4553673156894781E-3</v>
          </cell>
        </row>
        <row r="1231">
          <cell r="A1231">
            <v>43846</v>
          </cell>
          <cell r="C1231">
            <v>23865400</v>
          </cell>
          <cell r="D1231">
            <v>1.8157484634160032E-2</v>
          </cell>
        </row>
        <row r="1232">
          <cell r="A1232">
            <v>43847</v>
          </cell>
          <cell r="C1232">
            <v>34371700</v>
          </cell>
          <cell r="D1232">
            <v>5.5811245434041392E-3</v>
          </cell>
        </row>
        <row r="1233">
          <cell r="A1233">
            <v>43851</v>
          </cell>
          <cell r="C1233">
            <v>29517200</v>
          </cell>
          <cell r="D1233">
            <v>-3.597170392046932E-3</v>
          </cell>
        </row>
        <row r="1234">
          <cell r="A1234">
            <v>43852</v>
          </cell>
          <cell r="C1234">
            <v>24138800</v>
          </cell>
          <cell r="D1234">
            <v>-4.8163859365927099E-3</v>
          </cell>
        </row>
        <row r="1235">
          <cell r="A1235">
            <v>43853</v>
          </cell>
          <cell r="C1235">
            <v>19680800</v>
          </cell>
          <cell r="D1235">
            <v>6.1368667659409144E-3</v>
          </cell>
        </row>
        <row r="1236">
          <cell r="A1236">
            <v>43854</v>
          </cell>
          <cell r="C1236">
            <v>24918100</v>
          </cell>
          <cell r="D1236">
            <v>-1.0127927326078045E-2</v>
          </cell>
        </row>
        <row r="1237">
          <cell r="A1237">
            <v>43857</v>
          </cell>
          <cell r="C1237">
            <v>32078100</v>
          </cell>
          <cell r="D1237">
            <v>-1.68646619802846E-2</v>
          </cell>
        </row>
        <row r="1238">
          <cell r="A1238">
            <v>43858</v>
          </cell>
          <cell r="C1238">
            <v>24899900</v>
          </cell>
          <cell r="D1238">
            <v>1.9406346124821613E-2</v>
          </cell>
        </row>
        <row r="1239">
          <cell r="A1239">
            <v>43859</v>
          </cell>
          <cell r="C1239">
            <v>34754500</v>
          </cell>
          <cell r="D1239">
            <v>1.5472450759707724E-2</v>
          </cell>
        </row>
        <row r="1240">
          <cell r="A1240">
            <v>43860</v>
          </cell>
          <cell r="C1240">
            <v>51597500</v>
          </cell>
          <cell r="D1240">
            <v>2.7817113311197877E-2</v>
          </cell>
        </row>
        <row r="1241">
          <cell r="A1241">
            <v>43861</v>
          </cell>
          <cell r="C1241">
            <v>36142700</v>
          </cell>
          <cell r="D1241">
            <v>-1.4868686670493932E-2</v>
          </cell>
        </row>
        <row r="1242">
          <cell r="A1242">
            <v>43864</v>
          </cell>
          <cell r="C1242">
            <v>30149100</v>
          </cell>
          <cell r="D1242">
            <v>2.4086405521947303E-2</v>
          </cell>
        </row>
        <row r="1243">
          <cell r="A1243">
            <v>43865</v>
          </cell>
          <cell r="C1243">
            <v>36433300</v>
          </cell>
          <cell r="D1243">
            <v>3.2386471810172041E-2</v>
          </cell>
        </row>
        <row r="1244">
          <cell r="A1244">
            <v>43866</v>
          </cell>
          <cell r="C1244">
            <v>39186300</v>
          </cell>
          <cell r="D1244">
            <v>-1.2221838326176451E-3</v>
          </cell>
        </row>
        <row r="1245">
          <cell r="A1245">
            <v>43867</v>
          </cell>
          <cell r="C1245">
            <v>27751400</v>
          </cell>
          <cell r="D1245">
            <v>2.0521773925560313E-2</v>
          </cell>
        </row>
        <row r="1246">
          <cell r="A1246">
            <v>43868</v>
          </cell>
          <cell r="C1246">
            <v>33529100</v>
          </cell>
          <cell r="D1246">
            <v>1.4148904136295636E-3</v>
          </cell>
        </row>
        <row r="1247">
          <cell r="A1247">
            <v>43871</v>
          </cell>
          <cell r="C1247">
            <v>35844300</v>
          </cell>
          <cell r="D1247">
            <v>2.5820657313755321E-2</v>
          </cell>
        </row>
        <row r="1248">
          <cell r="A1248">
            <v>43872</v>
          </cell>
          <cell r="C1248">
            <v>53159900</v>
          </cell>
          <cell r="D1248">
            <v>-2.2834169270691044E-2</v>
          </cell>
        </row>
        <row r="1249">
          <cell r="A1249">
            <v>43873</v>
          </cell>
          <cell r="C1249">
            <v>47062900</v>
          </cell>
          <cell r="D1249">
            <v>1.4627738290391454E-3</v>
          </cell>
        </row>
        <row r="1250">
          <cell r="A1250">
            <v>43874</v>
          </cell>
          <cell r="C1250">
            <v>35295800</v>
          </cell>
          <cell r="D1250">
            <v>-5.4285562192109456E-3</v>
          </cell>
        </row>
        <row r="1251">
          <cell r="A1251">
            <v>43875</v>
          </cell>
          <cell r="C1251">
            <v>23149500</v>
          </cell>
          <cell r="D1251">
            <v>8.8874761576710985E-3</v>
          </cell>
        </row>
        <row r="1252">
          <cell r="A1252">
            <v>43879</v>
          </cell>
          <cell r="C1252">
            <v>27792200</v>
          </cell>
          <cell r="D1252">
            <v>1.0091872413502859E-2</v>
          </cell>
        </row>
        <row r="1253">
          <cell r="A1253">
            <v>43880</v>
          </cell>
          <cell r="C1253">
            <v>29997500</v>
          </cell>
          <cell r="D1253">
            <v>2.9946439491984286E-3</v>
          </cell>
        </row>
        <row r="1254">
          <cell r="A1254">
            <v>43881</v>
          </cell>
          <cell r="C1254">
            <v>36862400</v>
          </cell>
          <cell r="D1254">
            <v>-1.5389063576872562E-2</v>
          </cell>
        </row>
        <row r="1255">
          <cell r="A1255">
            <v>43882</v>
          </cell>
          <cell r="C1255">
            <v>48572600</v>
          </cell>
          <cell r="D1255">
            <v>-3.2123100830446727E-2</v>
          </cell>
        </row>
        <row r="1256">
          <cell r="A1256">
            <v>43885</v>
          </cell>
          <cell r="C1256">
            <v>68311100</v>
          </cell>
          <cell r="D1256">
            <v>-4.407258462863764E-2</v>
          </cell>
        </row>
        <row r="1257">
          <cell r="A1257">
            <v>43886</v>
          </cell>
          <cell r="C1257">
            <v>68073300</v>
          </cell>
          <cell r="D1257">
            <v>-1.663946786931287E-2</v>
          </cell>
        </row>
        <row r="1258">
          <cell r="A1258">
            <v>43887</v>
          </cell>
          <cell r="C1258">
            <v>56206100</v>
          </cell>
          <cell r="D1258">
            <v>1.241732469260521E-2</v>
          </cell>
        </row>
        <row r="1259">
          <cell r="A1259">
            <v>43888</v>
          </cell>
          <cell r="C1259">
            <v>93174900</v>
          </cell>
          <cell r="D1259">
            <v>-7.3064344792504315E-2</v>
          </cell>
        </row>
        <row r="1260">
          <cell r="A1260">
            <v>43889</v>
          </cell>
          <cell r="C1260">
            <v>97073600</v>
          </cell>
          <cell r="D1260">
            <v>2.3924450022145893E-2</v>
          </cell>
        </row>
        <row r="1261">
          <cell r="A1261">
            <v>43892</v>
          </cell>
          <cell r="C1261">
            <v>71030800</v>
          </cell>
          <cell r="D1261">
            <v>6.4418912953391971E-2</v>
          </cell>
        </row>
        <row r="1262">
          <cell r="A1262">
            <v>43893</v>
          </cell>
          <cell r="C1262">
            <v>71677000</v>
          </cell>
          <cell r="D1262">
            <v>-4.9105615575386584E-2</v>
          </cell>
        </row>
        <row r="1263">
          <cell r="A1263">
            <v>43894</v>
          </cell>
          <cell r="C1263">
            <v>49814400</v>
          </cell>
          <cell r="D1263">
            <v>3.6057198216764667E-2</v>
          </cell>
        </row>
        <row r="1264">
          <cell r="A1264">
            <v>43895</v>
          </cell>
          <cell r="C1264">
            <v>47817300</v>
          </cell>
          <cell r="D1264">
            <v>-2.541552934526008E-2</v>
          </cell>
        </row>
        <row r="1265">
          <cell r="A1265">
            <v>43896</v>
          </cell>
          <cell r="C1265">
            <v>72821100</v>
          </cell>
          <cell r="D1265">
            <v>-2.8674468495931204E-2</v>
          </cell>
        </row>
        <row r="1266">
          <cell r="A1266">
            <v>43899</v>
          </cell>
          <cell r="C1266">
            <v>70419300</v>
          </cell>
          <cell r="D1266">
            <v>-7.0178453136530497E-2</v>
          </cell>
        </row>
        <row r="1267">
          <cell r="A1267">
            <v>43900</v>
          </cell>
          <cell r="C1267">
            <v>65354400</v>
          </cell>
          <cell r="D1267">
            <v>6.6147259175969017E-2</v>
          </cell>
        </row>
        <row r="1268">
          <cell r="A1268">
            <v>43901</v>
          </cell>
          <cell r="C1268">
            <v>56371600</v>
          </cell>
          <cell r="D1268">
            <v>-4.636018796475655E-2</v>
          </cell>
        </row>
        <row r="1269">
          <cell r="A1269">
            <v>43902</v>
          </cell>
          <cell r="C1269">
            <v>93226400</v>
          </cell>
          <cell r="D1269">
            <v>-9.9641666399704232E-2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W29"/>
  <sheetViews>
    <sheetView workbookViewId="0">
      <selection activeCell="C16" sqref="C16"/>
    </sheetView>
  </sheetViews>
  <sheetFormatPr baseColWidth="10" defaultColWidth="11.1640625" defaultRowHeight="16"/>
  <cols>
    <col min="2" max="2" width="12.6640625" bestFit="1" customWidth="1"/>
  </cols>
  <sheetData>
    <row r="1" spans="1:2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>
      <c r="A3" s="5"/>
      <c r="B3" s="5"/>
      <c r="C3" s="5"/>
      <c r="D3" s="32" t="s">
        <v>94</v>
      </c>
      <c r="E3" s="32"/>
      <c r="F3" s="32"/>
      <c r="G3" s="32"/>
      <c r="H3" s="32"/>
      <c r="I3" s="32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>
      <c r="A4" s="5"/>
      <c r="B4" s="5"/>
      <c r="C4" s="5"/>
      <c r="D4" s="32"/>
      <c r="E4" s="32"/>
      <c r="F4" s="32"/>
      <c r="G4" s="32"/>
      <c r="H4" s="32"/>
      <c r="I4" s="32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>
      <c r="A5" s="5"/>
      <c r="B5" s="5"/>
      <c r="C5" s="5"/>
      <c r="D5" s="32"/>
      <c r="E5" s="32"/>
      <c r="F5" s="32"/>
      <c r="G5" s="32"/>
      <c r="H5" s="32"/>
      <c r="I5" s="32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>
      <c r="A6" s="5"/>
      <c r="B6" s="5"/>
      <c r="C6" s="5"/>
      <c r="D6" s="32"/>
      <c r="E6" s="32"/>
      <c r="F6" s="32"/>
      <c r="G6" s="32"/>
      <c r="H6" s="32"/>
      <c r="I6" s="32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>
      <c r="A7" s="5"/>
      <c r="B7" s="5"/>
      <c r="C7" s="5"/>
      <c r="D7" s="5"/>
      <c r="E7" s="5"/>
      <c r="F7" s="33" t="s">
        <v>95</v>
      </c>
      <c r="G7" s="33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>
      <c r="A8" s="5"/>
      <c r="B8" s="5"/>
      <c r="C8" s="5"/>
      <c r="D8" s="5"/>
      <c r="E8" s="5"/>
      <c r="F8" s="33"/>
      <c r="G8" s="33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>
      <c r="A11" s="5"/>
      <c r="B11" s="5"/>
      <c r="C11" s="5"/>
      <c r="D11" s="5"/>
      <c r="E11" s="34" t="s">
        <v>96</v>
      </c>
      <c r="F11" s="34"/>
      <c r="G11" s="34"/>
      <c r="H11" s="34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>
      <c r="A12" s="5"/>
      <c r="B12" s="5"/>
      <c r="C12" s="5"/>
      <c r="D12" s="5"/>
      <c r="E12" s="34"/>
      <c r="F12" s="34"/>
      <c r="G12" s="34"/>
      <c r="H12" s="34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3">
    <mergeCell ref="D3:I6"/>
    <mergeCell ref="F7:G8"/>
    <mergeCell ref="E11:H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40"/>
  <sheetViews>
    <sheetView tabSelected="1" workbookViewId="0">
      <selection activeCell="B29" sqref="B29"/>
    </sheetView>
  </sheetViews>
  <sheetFormatPr baseColWidth="10" defaultColWidth="11.1640625" defaultRowHeight="16"/>
  <cols>
    <col min="1" max="1" width="22" bestFit="1" customWidth="1"/>
    <col min="2" max="2" width="11.5" bestFit="1" customWidth="1"/>
    <col min="3" max="3" width="12.8320312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4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97</v>
      </c>
    </row>
    <row r="17" spans="1:9">
      <c r="A17" t="s">
        <v>5</v>
      </c>
      <c r="B17" t="s">
        <v>121</v>
      </c>
      <c r="C17" t="s">
        <v>120</v>
      </c>
    </row>
    <row r="18" spans="1:9">
      <c r="A18" t="s">
        <v>16</v>
      </c>
      <c r="B18">
        <v>50</v>
      </c>
      <c r="C18">
        <v>50</v>
      </c>
    </row>
    <row r="19" spans="1:9">
      <c r="A19" t="s">
        <v>17</v>
      </c>
      <c r="B19" s="1">
        <v>0.1</v>
      </c>
      <c r="C19" s="1">
        <v>0.1</v>
      </c>
    </row>
    <row r="20" spans="1:9">
      <c r="A20" t="s">
        <v>18</v>
      </c>
      <c r="B20">
        <f>B18*(1+B19)^5</f>
        <v>80.525500000000022</v>
      </c>
      <c r="C20" s="9">
        <f>PV(B23,5,0,-B20)</f>
        <v>66.186091235350176</v>
      </c>
    </row>
    <row r="23" spans="1:9">
      <c r="A23" t="s">
        <v>19</v>
      </c>
      <c r="B23" s="1">
        <v>0.04</v>
      </c>
      <c r="C23" s="1"/>
    </row>
    <row r="24" spans="1:9">
      <c r="A24" t="s">
        <v>20</v>
      </c>
      <c r="B24" s="1">
        <v>0.01</v>
      </c>
      <c r="C24" s="1"/>
    </row>
    <row r="25" spans="1:9">
      <c r="A25" t="s">
        <v>0</v>
      </c>
      <c r="B25" s="3">
        <f>B20/(B23-B24)</f>
        <v>2684.1833333333343</v>
      </c>
      <c r="C25" s="55">
        <f>PV(B23,5,0,-B25)</f>
        <v>2206.2030411783394</v>
      </c>
      <c r="D25" s="3"/>
    </row>
    <row r="26" spans="1:9">
      <c r="B26" s="3"/>
    </row>
    <row r="27" spans="1:9">
      <c r="B27" s="3"/>
      <c r="C27" t="s">
        <v>3</v>
      </c>
    </row>
    <row r="28" spans="1:9">
      <c r="B28" s="55">
        <f>SUM(C25,C40)</f>
        <v>2502.9480471597594</v>
      </c>
      <c r="C28" s="2">
        <v>0.04</v>
      </c>
      <c r="D28" s="2">
        <v>0.05</v>
      </c>
      <c r="E28" s="2">
        <v>0.06</v>
      </c>
      <c r="F28" s="2">
        <v>7.0000000000000007E-2</v>
      </c>
      <c r="G28" s="2">
        <v>0.08</v>
      </c>
      <c r="H28" s="2">
        <v>0.09</v>
      </c>
      <c r="I28" s="2">
        <v>0.1</v>
      </c>
    </row>
    <row r="29" spans="1:9">
      <c r="A29" t="s">
        <v>2</v>
      </c>
      <c r="B29" s="2">
        <v>0.01</v>
      </c>
      <c r="C29" s="3">
        <f t="dataTable" ref="C29:I31" dt2D="1" dtr="1" r1="B23" r2="B24"/>
        <v>2502.9480471597594</v>
      </c>
      <c r="D29" s="3">
        <v>1865.4103069439277</v>
      </c>
      <c r="E29" s="3">
        <v>1483.2335549584702</v>
      </c>
      <c r="F29" s="3">
        <v>1228.723658453981</v>
      </c>
      <c r="G29" s="3">
        <v>1047.1552261256604</v>
      </c>
      <c r="H29" s="3">
        <v>911.16610630250887</v>
      </c>
      <c r="I29" s="3">
        <v>805.55555555555543</v>
      </c>
    </row>
    <row r="30" spans="1:9">
      <c r="B30" s="2">
        <v>0.02</v>
      </c>
      <c r="C30" s="3">
        <v>3606.0495677489289</v>
      </c>
      <c r="D30" s="3">
        <v>2391.1922762602267</v>
      </c>
      <c r="E30" s="3">
        <v>1784.1002449540988</v>
      </c>
      <c r="F30" s="3">
        <v>1420.1022204406881</v>
      </c>
      <c r="G30" s="3">
        <v>1177.6416600131402</v>
      </c>
      <c r="H30" s="3">
        <v>1004.623338172808</v>
      </c>
      <c r="I30" s="3">
        <v>874.99999999999989</v>
      </c>
    </row>
    <row r="31" spans="1:9">
      <c r="B31" s="2">
        <v>0.03</v>
      </c>
      <c r="C31" s="3">
        <v>6915.3541295164368</v>
      </c>
      <c r="D31" s="3">
        <v>3442.756214892825</v>
      </c>
      <c r="E31" s="3">
        <v>2285.544728280146</v>
      </c>
      <c r="F31" s="3">
        <v>1707.1700634207491</v>
      </c>
      <c r="G31" s="3">
        <v>1360.322667455612</v>
      </c>
      <c r="H31" s="3">
        <v>1129.2329806665398</v>
      </c>
      <c r="I31" s="3">
        <v>964.28571428571411</v>
      </c>
    </row>
    <row r="33" spans="1:4">
      <c r="A33" t="s">
        <v>40</v>
      </c>
      <c r="B33" t="s">
        <v>1</v>
      </c>
      <c r="C33" t="s">
        <v>120</v>
      </c>
    </row>
    <row r="34" spans="1:4">
      <c r="A34">
        <v>0</v>
      </c>
      <c r="B34" s="3">
        <v>50</v>
      </c>
      <c r="C34" s="54">
        <f>B34*$B$23^A34</f>
        <v>50</v>
      </c>
    </row>
    <row r="35" spans="1:4">
      <c r="A35">
        <v>1</v>
      </c>
      <c r="B35" s="54">
        <f>B34*(1+$B$19)</f>
        <v>55.000000000000007</v>
      </c>
      <c r="C35" s="54">
        <f>B35/(1+$B$23)^A35</f>
        <v>52.884615384615387</v>
      </c>
    </row>
    <row r="36" spans="1:4">
      <c r="A36">
        <v>2</v>
      </c>
      <c r="B36" s="54">
        <f t="shared" ref="B36:B38" si="0">B35*(1+$B$19)</f>
        <v>60.500000000000014</v>
      </c>
      <c r="C36" s="54">
        <f t="shared" ref="C36:C39" si="1">B36/(1+$B$23)^A36</f>
        <v>55.935650887573971</v>
      </c>
    </row>
    <row r="37" spans="1:4">
      <c r="A37">
        <v>3</v>
      </c>
      <c r="B37" s="54">
        <f t="shared" si="0"/>
        <v>66.550000000000026</v>
      </c>
      <c r="C37" s="54">
        <f t="shared" si="1"/>
        <v>59.162707669549405</v>
      </c>
    </row>
    <row r="38" spans="1:4">
      <c r="A38">
        <v>4</v>
      </c>
      <c r="B38" s="54">
        <f t="shared" si="0"/>
        <v>73.205000000000041</v>
      </c>
      <c r="C38" s="54">
        <f t="shared" si="1"/>
        <v>62.575940804331104</v>
      </c>
    </row>
    <row r="39" spans="1:4">
      <c r="A39">
        <v>5</v>
      </c>
      <c r="B39" s="54">
        <f t="shared" ref="B39" si="2">B38*(1+$B$19)</f>
        <v>80.525500000000051</v>
      </c>
      <c r="C39" s="54">
        <f t="shared" ref="C39" si="3">B39/(1+$B$23)^A39</f>
        <v>66.186091235350204</v>
      </c>
    </row>
    <row r="40" spans="1:4">
      <c r="A40" t="s">
        <v>122</v>
      </c>
      <c r="B40" s="54"/>
      <c r="C40" s="54">
        <f>SUM(C35:C39)</f>
        <v>296.74500598142004</v>
      </c>
      <c r="D40" s="9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workbookViewId="0">
      <selection activeCell="M6" sqref="M6:M7"/>
    </sheetView>
  </sheetViews>
  <sheetFormatPr baseColWidth="10" defaultColWidth="11.1640625" defaultRowHeight="16"/>
  <cols>
    <col min="3" max="3" width="15.1640625" bestFit="1" customWidth="1"/>
    <col min="8" max="8" width="12.6640625" bestFit="1" customWidth="1"/>
    <col min="14" max="14" width="11.6640625" bestFit="1" customWidth="1"/>
    <col min="15" max="24" width="12.6640625" bestFit="1" customWidth="1"/>
  </cols>
  <sheetData>
    <row r="2" spans="2:24">
      <c r="B2" t="s">
        <v>30</v>
      </c>
      <c r="C2" s="10">
        <v>10000</v>
      </c>
      <c r="F2" t="s">
        <v>31</v>
      </c>
      <c r="G2" s="10">
        <f>NPV(C4,C11:C30)+C10</f>
        <v>-706376.13439756352</v>
      </c>
    </row>
    <row r="3" spans="2:24">
      <c r="B3" t="s">
        <v>32</v>
      </c>
      <c r="C3" s="2">
        <v>0.05</v>
      </c>
      <c r="F3" t="s">
        <v>33</v>
      </c>
      <c r="G3" s="11">
        <f>IRR(C10:C30)</f>
        <v>-7.9699820715329772E-2</v>
      </c>
    </row>
    <row r="4" spans="2:24">
      <c r="B4" t="s">
        <v>34</v>
      </c>
      <c r="C4" s="2">
        <v>0.01</v>
      </c>
    </row>
    <row r="5" spans="2:24" ht="15.5" customHeight="1">
      <c r="B5" t="s">
        <v>35</v>
      </c>
      <c r="C5">
        <v>20</v>
      </c>
    </row>
    <row r="6" spans="2:24" ht="15.5" customHeight="1">
      <c r="B6" t="s">
        <v>36</v>
      </c>
      <c r="C6" s="10">
        <v>1000000</v>
      </c>
      <c r="F6" s="35" t="s">
        <v>37</v>
      </c>
      <c r="M6" s="35" t="s">
        <v>38</v>
      </c>
    </row>
    <row r="7" spans="2:24">
      <c r="F7" s="35"/>
      <c r="H7" t="s">
        <v>31</v>
      </c>
      <c r="I7" t="s">
        <v>33</v>
      </c>
      <c r="M7" s="35"/>
      <c r="O7" t="s">
        <v>39</v>
      </c>
    </row>
    <row r="8" spans="2:24">
      <c r="H8" s="12">
        <f>G2</f>
        <v>-706376.13439756352</v>
      </c>
      <c r="I8" s="13">
        <f>G3</f>
        <v>-7.9699820715329772E-2</v>
      </c>
      <c r="N8" s="10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>
      <c r="B9" t="s">
        <v>40</v>
      </c>
      <c r="C9" t="s">
        <v>41</v>
      </c>
      <c r="F9" t="s">
        <v>17</v>
      </c>
      <c r="G9" s="2">
        <v>0.01</v>
      </c>
      <c r="H9" s="10">
        <f t="dataTable" ref="H9:I18" dt2D="0" dtr="0" r1="C3"/>
        <v>-801980.19801980199</v>
      </c>
      <c r="I9" s="14">
        <v>-0.11237023581907013</v>
      </c>
      <c r="M9" t="s">
        <v>17</v>
      </c>
      <c r="N9" s="2">
        <v>0.01</v>
      </c>
      <c r="O9" s="10">
        <f t="dataTable" ref="O9:X18" dt2D="1" dtr="1" r1="C4" r2="C3" ca="1"/>
        <v>-801980.19801980199</v>
      </c>
      <c r="P9" s="10">
        <v>-821152.91782895732</v>
      </c>
      <c r="Q9" s="10">
        <v>-837794.82030942221</v>
      </c>
      <c r="R9" s="10">
        <v>-852292.93537236191</v>
      </c>
      <c r="S9" s="10">
        <v>-864969.19829069381</v>
      </c>
      <c r="T9" s="10">
        <v>-876092.20443101926</v>
      </c>
      <c r="U9" s="10">
        <v>-885886.71556112811</v>
      </c>
      <c r="V9" s="10">
        <v>-894541.36939473159</v>
      </c>
      <c r="W9" s="10">
        <v>-902214.94931642199</v>
      </c>
      <c r="X9" s="10">
        <v>-909041.4971574212</v>
      </c>
    </row>
    <row r="10" spans="2:24">
      <c r="B10">
        <v>0</v>
      </c>
      <c r="C10" s="10">
        <f>-C6</f>
        <v>-1000000</v>
      </c>
      <c r="G10" s="2">
        <v>0.02</v>
      </c>
      <c r="H10" s="10">
        <v>-782200.02841383603</v>
      </c>
      <c r="I10" s="14">
        <v>-0.10419539360566998</v>
      </c>
      <c r="N10" s="2">
        <v>0.02</v>
      </c>
      <c r="O10" s="10">
        <v>-782200.02841383603</v>
      </c>
      <c r="P10" s="10">
        <v>-803921.56862745096</v>
      </c>
      <c r="Q10" s="10">
        <v>-822733.04514953564</v>
      </c>
      <c r="R10" s="10">
        <v>-839083.49713316187</v>
      </c>
      <c r="S10" s="10">
        <v>-853345.98188225471</v>
      </c>
      <c r="T10" s="10">
        <v>-865831.35549252992</v>
      </c>
      <c r="U10" s="10">
        <v>-876799.40886051836</v>
      </c>
      <c r="V10" s="10">
        <v>-886467.89168398036</v>
      </c>
      <c r="W10" s="10">
        <v>-895019.8451477231</v>
      </c>
      <c r="X10" s="10">
        <v>-902609.57649890648</v>
      </c>
    </row>
    <row r="11" spans="2:24">
      <c r="B11">
        <v>1</v>
      </c>
      <c r="C11" s="10">
        <f>C2</f>
        <v>10000</v>
      </c>
      <c r="G11" s="2">
        <v>0.03</v>
      </c>
      <c r="H11" s="10">
        <v>-759905.7624063082</v>
      </c>
      <c r="I11" s="14">
        <v>-9.6025411411535644E-2</v>
      </c>
      <c r="N11" s="2">
        <v>0.03</v>
      </c>
      <c r="O11" s="10">
        <v>-759905.7624063082</v>
      </c>
      <c r="P11" s="10">
        <v>-784538.91466308455</v>
      </c>
      <c r="Q11" s="10">
        <v>-805825.24271844665</v>
      </c>
      <c r="R11" s="10">
        <v>-824285.59089061967</v>
      </c>
      <c r="S11" s="10">
        <v>-840352.16462283616</v>
      </c>
      <c r="T11" s="10">
        <v>-854384.67341732862</v>
      </c>
      <c r="U11" s="10">
        <v>-866683.36605854891</v>
      </c>
      <c r="V11" s="10">
        <v>-877499.58555413014</v>
      </c>
      <c r="W11" s="10">
        <v>-887044.33910796884</v>
      </c>
      <c r="X11" s="10">
        <v>-895495.2752194897</v>
      </c>
    </row>
    <row r="12" spans="2:24">
      <c r="B12">
        <v>2</v>
      </c>
      <c r="C12" s="10">
        <f>C11*(1+$C$3)</f>
        <v>10500</v>
      </c>
      <c r="G12" s="2">
        <v>0.04</v>
      </c>
      <c r="H12" s="10">
        <v>-734759.04809962853</v>
      </c>
      <c r="I12" s="14">
        <v>-8.7860237382852757E-2</v>
      </c>
      <c r="N12" s="2">
        <v>0.04</v>
      </c>
      <c r="O12" s="10">
        <v>-734759.04809962853</v>
      </c>
      <c r="P12" s="10">
        <v>-762718.46871444117</v>
      </c>
      <c r="Q12" s="10">
        <v>-786828.2412658392</v>
      </c>
      <c r="R12" s="10">
        <v>-807692.30769230775</v>
      </c>
      <c r="S12" s="10">
        <v>-825811.26828892948</v>
      </c>
      <c r="T12" s="10">
        <v>-841601.27659365733</v>
      </c>
      <c r="U12" s="10">
        <v>-855409.28588836209</v>
      </c>
      <c r="V12" s="10">
        <v>-867525.3856348407</v>
      </c>
      <c r="W12" s="10">
        <v>-878192.81040679419</v>
      </c>
      <c r="X12" s="10">
        <v>-887616.08223802538</v>
      </c>
    </row>
    <row r="13" spans="2:24">
      <c r="B13">
        <v>3</v>
      </c>
      <c r="C13" s="10">
        <f t="shared" ref="C13:C30" si="0">C12*(1+$C$3)</f>
        <v>11025</v>
      </c>
      <c r="G13" s="2">
        <v>0.05</v>
      </c>
      <c r="H13" s="10">
        <v>-706376.13439756352</v>
      </c>
      <c r="I13" s="14">
        <v>-7.9699820715329772E-2</v>
      </c>
      <c r="N13" s="2">
        <v>0.05</v>
      </c>
      <c r="O13" s="10">
        <v>-706376.13439756352</v>
      </c>
      <c r="P13" s="10">
        <v>-738135.56874546979</v>
      </c>
      <c r="Q13" s="10">
        <v>-765466.69601164595</v>
      </c>
      <c r="R13" s="10">
        <v>-789069.56298624084</v>
      </c>
      <c r="S13" s="10">
        <v>-809523.80952380947</v>
      </c>
      <c r="T13" s="10">
        <v>-827310.76630003098</v>
      </c>
      <c r="U13" s="10">
        <v>-842831.27356587374</v>
      </c>
      <c r="V13" s="10">
        <v>-856420.08878267766</v>
      </c>
      <c r="W13" s="10">
        <v>-868357.56759654172</v>
      </c>
      <c r="X13" s="10">
        <v>-878879.15942416037</v>
      </c>
    </row>
    <row r="14" spans="2:24">
      <c r="B14">
        <v>4</v>
      </c>
      <c r="C14" s="10">
        <f t="shared" si="0"/>
        <v>11576.25</v>
      </c>
      <c r="G14" s="2">
        <v>0.06</v>
      </c>
      <c r="H14" s="10">
        <v>-674321.97162507428</v>
      </c>
      <c r="I14" s="14">
        <v>-7.1544111623177975E-2</v>
      </c>
      <c r="N14" s="2">
        <v>0.06</v>
      </c>
      <c r="O14" s="10">
        <v>-674321.97162507428</v>
      </c>
      <c r="P14" s="10">
        <v>-710422.4414516954</v>
      </c>
      <c r="Q14" s="10">
        <v>-741428.94954826869</v>
      </c>
      <c r="R14" s="10">
        <v>-768152.61789146985</v>
      </c>
      <c r="S14" s="10">
        <v>-791264.37037404405</v>
      </c>
      <c r="T14" s="10">
        <v>-811320.7547169812</v>
      </c>
      <c r="U14" s="10">
        <v>-828784.75061822939</v>
      </c>
      <c r="V14" s="10">
        <v>-844042.58323261444</v>
      </c>
      <c r="W14" s="10">
        <v>-857417.34531973663</v>
      </c>
      <c r="X14" s="10">
        <v>-869180.06303866068</v>
      </c>
    </row>
    <row r="15" spans="2:24">
      <c r="B15">
        <v>5</v>
      </c>
      <c r="C15" s="10">
        <f t="shared" si="0"/>
        <v>12155.0625</v>
      </c>
      <c r="G15" s="2">
        <v>7.0000000000000007E-2</v>
      </c>
      <c r="H15" s="10">
        <v>-638103.58280321676</v>
      </c>
      <c r="I15" s="14">
        <v>-6.3393061309288901E-2</v>
      </c>
      <c r="N15" s="2">
        <v>7.0000000000000007E-2</v>
      </c>
      <c r="O15" s="10">
        <v>-638103.58280321676</v>
      </c>
      <c r="P15" s="10">
        <v>-679162.65771462757</v>
      </c>
      <c r="Q15" s="10">
        <v>-714362.38419245579</v>
      </c>
      <c r="R15" s="10">
        <v>-744642.17513444752</v>
      </c>
      <c r="S15" s="10">
        <v>-770778.31202594913</v>
      </c>
      <c r="T15" s="10">
        <v>-793414.09303917189</v>
      </c>
      <c r="U15" s="10">
        <v>-813084.11214953265</v>
      </c>
      <c r="V15" s="10">
        <v>-830233.8646457406</v>
      </c>
      <c r="W15" s="10">
        <v>-845235.62090901169</v>
      </c>
      <c r="X15" s="10">
        <v>-858401.31260420138</v>
      </c>
    </row>
    <row r="16" spans="2:24">
      <c r="B16">
        <v>6</v>
      </c>
      <c r="C16" s="10">
        <f t="shared" si="0"/>
        <v>12762.815625000001</v>
      </c>
      <c r="G16" s="2">
        <v>0.08</v>
      </c>
      <c r="H16" s="10">
        <v>-597162.62089702673</v>
      </c>
      <c r="I16" s="14">
        <v>-5.5246621936554829E-2</v>
      </c>
      <c r="N16" s="2">
        <v>0.08</v>
      </c>
      <c r="O16" s="10">
        <v>-597162.62089702673</v>
      </c>
      <c r="P16" s="10">
        <v>-643884.90955736814</v>
      </c>
      <c r="Q16" s="10">
        <v>-683868.20762981032</v>
      </c>
      <c r="R16" s="10">
        <v>-718200.00068587973</v>
      </c>
      <c r="S16" s="10">
        <v>-747778.09078713937</v>
      </c>
      <c r="T16" s="10">
        <v>-773345.76536716172</v>
      </c>
      <c r="U16" s="10">
        <v>-795520.10272828571</v>
      </c>
      <c r="V16" s="10">
        <v>-814814.81481481483</v>
      </c>
      <c r="W16" s="10">
        <v>-831658.73041404586</v>
      </c>
      <c r="X16" s="10">
        <v>-846410.78996340546</v>
      </c>
    </row>
    <row r="17" spans="2:24">
      <c r="B17">
        <v>7</v>
      </c>
      <c r="C17" s="10">
        <f t="shared" si="0"/>
        <v>13400.956406250001</v>
      </c>
      <c r="G17" s="2">
        <v>0.09</v>
      </c>
      <c r="H17" s="10">
        <v>-550867.01822106261</v>
      </c>
      <c r="I17" s="14">
        <v>-4.7104746600277525E-2</v>
      </c>
      <c r="N17" s="2">
        <v>0.09</v>
      </c>
      <c r="O17" s="10">
        <v>-550867.01822106261</v>
      </c>
      <c r="P17" s="10">
        <v>-604056.03061758401</v>
      </c>
      <c r="Q17" s="10">
        <v>-649495.60689672292</v>
      </c>
      <c r="R17" s="10">
        <v>-688444.01688720484</v>
      </c>
      <c r="S17" s="10">
        <v>-721939.13098104065</v>
      </c>
      <c r="T17" s="10">
        <v>-750839.41039848607</v>
      </c>
      <c r="U17" s="10">
        <v>-775856.87901571277</v>
      </c>
      <c r="V17" s="10">
        <v>-797583.71621717419</v>
      </c>
      <c r="W17" s="10">
        <v>-816513.76146788988</v>
      </c>
      <c r="X17" s="10">
        <v>-833059.94946014206</v>
      </c>
    </row>
    <row r="18" spans="2:24">
      <c r="B18">
        <v>8</v>
      </c>
      <c r="C18" s="10">
        <f t="shared" si="0"/>
        <v>14071.004226562502</v>
      </c>
      <c r="G18" s="2">
        <v>0.1</v>
      </c>
      <c r="H18" s="10">
        <v>-498501.6241484182</v>
      </c>
      <c r="I18" s="14">
        <v>-3.8967389301613364E-2</v>
      </c>
      <c r="N18" s="2">
        <v>0.1</v>
      </c>
      <c r="O18" s="10">
        <v>-498501.6241484182</v>
      </c>
      <c r="P18" s="10">
        <v>-559073.17382724467</v>
      </c>
      <c r="Q18" s="10">
        <v>-610735.19882408821</v>
      </c>
      <c r="R18" s="10">
        <v>-654942.80709298979</v>
      </c>
      <c r="S18" s="10">
        <v>-692895.20461410703</v>
      </c>
      <c r="T18" s="10">
        <v>-725583.42891859566</v>
      </c>
      <c r="U18" s="10">
        <v>-753828.72388830862</v>
      </c>
      <c r="V18" s="10">
        <v>-778313.47278065491</v>
      </c>
      <c r="W18" s="10">
        <v>-799606.19803167554</v>
      </c>
      <c r="X18" s="10">
        <v>-818181.81818181823</v>
      </c>
    </row>
    <row r="19" spans="2:24">
      <c r="B19">
        <v>9</v>
      </c>
      <c r="C19" s="10">
        <f t="shared" si="0"/>
        <v>14774.554437890627</v>
      </c>
    </row>
    <row r="20" spans="2:24">
      <c r="B20">
        <v>10</v>
      </c>
      <c r="C20" s="10">
        <f t="shared" si="0"/>
        <v>15513.28215978516</v>
      </c>
    </row>
    <row r="21" spans="2:24">
      <c r="B21">
        <v>11</v>
      </c>
      <c r="C21" s="10">
        <f t="shared" si="0"/>
        <v>16288.946267774418</v>
      </c>
    </row>
    <row r="22" spans="2:24">
      <c r="B22">
        <v>12</v>
      </c>
      <c r="C22" s="10">
        <f t="shared" si="0"/>
        <v>17103.393581163138</v>
      </c>
    </row>
    <row r="23" spans="2:24">
      <c r="B23">
        <v>13</v>
      </c>
      <c r="C23" s="10">
        <f t="shared" si="0"/>
        <v>17958.563260221297</v>
      </c>
    </row>
    <row r="24" spans="2:24">
      <c r="B24">
        <v>14</v>
      </c>
      <c r="C24" s="10">
        <f t="shared" si="0"/>
        <v>18856.491423232364</v>
      </c>
    </row>
    <row r="25" spans="2:24">
      <c r="B25">
        <v>15</v>
      </c>
      <c r="C25" s="10">
        <f t="shared" si="0"/>
        <v>19799.315994393983</v>
      </c>
    </row>
    <row r="26" spans="2:24">
      <c r="B26">
        <v>16</v>
      </c>
      <c r="C26" s="10">
        <f t="shared" si="0"/>
        <v>20789.281794113682</v>
      </c>
    </row>
    <row r="27" spans="2:24">
      <c r="B27">
        <v>17</v>
      </c>
      <c r="C27" s="10">
        <f t="shared" si="0"/>
        <v>21828.745883819367</v>
      </c>
    </row>
    <row r="28" spans="2:24">
      <c r="B28">
        <v>18</v>
      </c>
      <c r="C28" s="10">
        <f t="shared" si="0"/>
        <v>22920.183178010335</v>
      </c>
    </row>
    <row r="29" spans="2:24">
      <c r="B29">
        <v>19</v>
      </c>
      <c r="C29" s="10">
        <f t="shared" si="0"/>
        <v>24066.192336910852</v>
      </c>
    </row>
    <row r="30" spans="2:24">
      <c r="B30">
        <v>20</v>
      </c>
      <c r="C30" s="10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B8" sqref="B8"/>
    </sheetView>
  </sheetViews>
  <sheetFormatPr baseColWidth="10" defaultColWidth="11.1640625" defaultRowHeight="16"/>
  <cols>
    <col min="1" max="1" width="17.5" bestFit="1" customWidth="1"/>
    <col min="2" max="2" width="12.33203125" bestFit="1" customWidth="1"/>
    <col min="3" max="3" width="15.1640625" bestFit="1" customWidth="1"/>
  </cols>
  <sheetData>
    <row r="1" spans="1:3">
      <c r="A1" t="s">
        <v>8</v>
      </c>
      <c r="B1" t="s">
        <v>9</v>
      </c>
      <c r="C1" t="s">
        <v>10</v>
      </c>
    </row>
    <row r="2" spans="1:3">
      <c r="A2" t="s">
        <v>11</v>
      </c>
      <c r="B2" s="2">
        <v>0.35</v>
      </c>
      <c r="C2">
        <v>8</v>
      </c>
    </row>
    <row r="3" spans="1:3">
      <c r="A3" t="s">
        <v>12</v>
      </c>
      <c r="B3" s="2">
        <v>0.3</v>
      </c>
      <c r="C3">
        <v>4</v>
      </c>
    </row>
    <row r="4" spans="1:3">
      <c r="A4" t="s">
        <v>13</v>
      </c>
      <c r="B4" s="2">
        <v>0.35</v>
      </c>
      <c r="C4">
        <v>3</v>
      </c>
    </row>
    <row r="5" spans="1:3">
      <c r="B5" s="2"/>
    </row>
    <row r="6" spans="1:3">
      <c r="A6" t="s">
        <v>14</v>
      </c>
      <c r="B6" s="2">
        <v>0.02</v>
      </c>
    </row>
    <row r="8" spans="1:3">
      <c r="A8" t="s">
        <v>15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B3C87-9FD5-DB42-BCED-E9F313F9A425}">
  <dimension ref="A1:AH1270"/>
  <sheetViews>
    <sheetView zoomScale="64" zoomScaleNormal="100" workbookViewId="0">
      <selection activeCell="C39" sqref="C39"/>
    </sheetView>
  </sheetViews>
  <sheetFormatPr baseColWidth="10" defaultColWidth="9.83203125" defaultRowHeight="16"/>
  <cols>
    <col min="1" max="1" width="12.5" style="20" bestFit="1" customWidth="1"/>
    <col min="2" max="2" width="12.1640625" style="20" bestFit="1" customWidth="1"/>
    <col min="3" max="3" width="14.6640625" style="20" bestFit="1" customWidth="1"/>
    <col min="4" max="4" width="18.83203125" style="22" bestFit="1" customWidth="1"/>
    <col min="5" max="5" width="18.1640625" style="24" bestFit="1" customWidth="1"/>
    <col min="6" max="6" width="16.5" style="20" bestFit="1" customWidth="1"/>
    <col min="7" max="7" width="27.83203125" style="20" bestFit="1" customWidth="1"/>
    <col min="8" max="8" width="9.5" style="20" bestFit="1" customWidth="1"/>
    <col min="9" max="9" width="9.83203125" style="17"/>
    <col min="10" max="10" width="12.83203125" style="15" customWidth="1"/>
    <col min="11" max="11" width="10.5" style="15" customWidth="1"/>
    <col min="12" max="12" width="9.83203125" style="15" customWidth="1"/>
    <col min="13" max="13" width="12.83203125" style="15" bestFit="1" customWidth="1"/>
    <col min="14" max="14" width="11.1640625" style="15" customWidth="1"/>
    <col min="15" max="15" width="10.83203125" style="15" customWidth="1"/>
    <col min="16" max="16" width="12.1640625" style="15" customWidth="1"/>
    <col min="17" max="17" width="13.1640625" style="15" bestFit="1" customWidth="1"/>
    <col min="18" max="19" width="15" style="15" bestFit="1" customWidth="1"/>
    <col min="20" max="23" width="9.83203125" style="15"/>
    <col min="24" max="24" width="13.1640625" style="15" bestFit="1" customWidth="1"/>
    <col min="25" max="25" width="9.83203125" style="15"/>
    <col min="26" max="26" width="12" style="15" bestFit="1" customWidth="1"/>
    <col min="27" max="27" width="10.1640625" style="15" customWidth="1"/>
    <col min="28" max="28" width="10.5" style="15" bestFit="1" customWidth="1"/>
    <col min="29" max="16384" width="9.83203125" style="15"/>
  </cols>
  <sheetData>
    <row r="1" spans="1:20">
      <c r="A1" s="18" t="s">
        <v>42</v>
      </c>
      <c r="B1" s="18" t="s">
        <v>43</v>
      </c>
      <c r="C1" s="18" t="s">
        <v>44</v>
      </c>
      <c r="D1" s="18" t="s">
        <v>46</v>
      </c>
      <c r="E1" s="45" t="s">
        <v>90</v>
      </c>
      <c r="F1" s="46" t="s">
        <v>91</v>
      </c>
      <c r="G1" s="18" t="s">
        <v>93</v>
      </c>
      <c r="H1" s="18" t="s">
        <v>45</v>
      </c>
      <c r="I1" s="16"/>
    </row>
    <row r="2" spans="1:20">
      <c r="A2" s="19">
        <v>42065</v>
      </c>
      <c r="B2" s="20">
        <v>39.565928999999997</v>
      </c>
      <c r="C2" s="21">
        <v>31924000</v>
      </c>
      <c r="E2" s="47">
        <v>2117.389893</v>
      </c>
      <c r="F2" s="48">
        <v>3409490000</v>
      </c>
      <c r="H2" s="22"/>
      <c r="I2" s="16"/>
      <c r="J2" s="37" t="s">
        <v>47</v>
      </c>
      <c r="K2" s="38"/>
      <c r="L2" s="38"/>
      <c r="M2" s="39"/>
      <c r="P2" s="36" t="s">
        <v>99</v>
      </c>
      <c r="Q2" s="36"/>
      <c r="R2" s="36"/>
      <c r="S2" s="36"/>
    </row>
    <row r="3" spans="1:20">
      <c r="A3" s="19">
        <v>42066</v>
      </c>
      <c r="B3" s="20">
        <v>39.024906000000001</v>
      </c>
      <c r="C3" s="21">
        <v>31748600</v>
      </c>
      <c r="D3" s="23">
        <f t="shared" ref="D3:D66" si="0">LN(B3/B2)</f>
        <v>-1.3768311448059681E-2</v>
      </c>
      <c r="E3" s="47">
        <v>2107.780029</v>
      </c>
      <c r="F3" s="48">
        <v>3262300000</v>
      </c>
      <c r="G3" s="20">
        <f t="shared" ref="G3:G66" si="1">LN(E3/E2)</f>
        <v>-4.5488729439078276E-3</v>
      </c>
      <c r="H3" s="22">
        <v>1</v>
      </c>
      <c r="I3" s="16"/>
      <c r="J3" s="37" t="s">
        <v>46</v>
      </c>
      <c r="K3" s="39"/>
      <c r="L3" s="37" t="s">
        <v>51</v>
      </c>
      <c r="M3" s="39"/>
      <c r="P3" s="25"/>
      <c r="Q3" s="25" t="s">
        <v>48</v>
      </c>
      <c r="R3" s="25" t="s">
        <v>49</v>
      </c>
      <c r="S3" s="25" t="s">
        <v>50</v>
      </c>
    </row>
    <row r="4" spans="1:20">
      <c r="A4" s="19">
        <v>42067</v>
      </c>
      <c r="B4" s="20">
        <v>38.826534000000002</v>
      </c>
      <c r="C4" s="21">
        <v>25748700</v>
      </c>
      <c r="D4" s="23">
        <f t="shared" si="0"/>
        <v>-5.0961788074067507E-3</v>
      </c>
      <c r="E4" s="47">
        <v>2098.530029</v>
      </c>
      <c r="F4" s="48">
        <v>3421110000</v>
      </c>
      <c r="G4" s="20">
        <f t="shared" si="1"/>
        <v>-4.3981612307754693E-3</v>
      </c>
      <c r="H4" s="22">
        <v>1</v>
      </c>
      <c r="I4" s="16"/>
      <c r="J4" s="25" t="s">
        <v>53</v>
      </c>
      <c r="K4" s="26">
        <f>MIN(y)</f>
        <v>-9.9641666399704232E-2</v>
      </c>
      <c r="L4" s="25" t="s">
        <v>53</v>
      </c>
      <c r="M4" s="27">
        <f>MIN(a)</f>
        <v>7425600</v>
      </c>
      <c r="P4" s="25" t="s">
        <v>52</v>
      </c>
      <c r="Q4" s="49">
        <f>_xlfn.COVARIANCE.P(y,z)/_xlfn.VAR.P(z)</f>
        <v>1.2597793146612666</v>
      </c>
      <c r="R4" s="50">
        <f>SLOPE(y,z)</f>
        <v>1.2597793146612655</v>
      </c>
      <c r="S4" s="50">
        <f t="array" ref="S4:S5">MMULT(MINVERSE(MMULT(TRANSPOSE(x),x)),MMULT(TRANSPOSE(x),y))</f>
        <v>1.2597793146612666</v>
      </c>
    </row>
    <row r="5" spans="1:20">
      <c r="A5" s="19">
        <v>42068</v>
      </c>
      <c r="B5" s="20">
        <v>38.871628000000001</v>
      </c>
      <c r="C5" s="21">
        <v>23193500</v>
      </c>
      <c r="D5" s="23">
        <f t="shared" si="0"/>
        <v>1.1607483086424407E-3</v>
      </c>
      <c r="E5" s="47">
        <v>2101.040039</v>
      </c>
      <c r="F5" s="48">
        <v>3103030000</v>
      </c>
      <c r="G5" s="20">
        <f t="shared" si="1"/>
        <v>1.1953653627569873E-3</v>
      </c>
      <c r="H5" s="22">
        <v>1</v>
      </c>
      <c r="I5" s="16"/>
      <c r="J5" s="25" t="s">
        <v>55</v>
      </c>
      <c r="K5" s="26">
        <f>QUARTILE(y,1)</f>
        <v>-5.5815913373856397E-3</v>
      </c>
      <c r="L5" s="25" t="s">
        <v>55</v>
      </c>
      <c r="M5" s="27">
        <f>QUARTILE(a,1)</f>
        <v>20717950</v>
      </c>
      <c r="P5" s="25" t="s">
        <v>54</v>
      </c>
      <c r="Q5" s="25"/>
      <c r="R5" s="25"/>
      <c r="S5" s="25">
        <v>8.5057035809936931E-4</v>
      </c>
    </row>
    <row r="6" spans="1:20" ht="17" thickBot="1">
      <c r="A6" s="19">
        <v>42069</v>
      </c>
      <c r="B6" s="20">
        <v>38.195362000000003</v>
      </c>
      <c r="C6" s="21">
        <v>36248800</v>
      </c>
      <c r="D6" s="23">
        <f t="shared" si="0"/>
        <v>-1.7550532558731884E-2</v>
      </c>
      <c r="E6" s="47">
        <v>2071.26001</v>
      </c>
      <c r="F6" s="48">
        <v>3853570000</v>
      </c>
      <c r="G6" s="20">
        <f t="shared" si="1"/>
        <v>-1.4275356219564148E-2</v>
      </c>
      <c r="H6" s="22">
        <v>1</v>
      </c>
      <c r="I6" s="16"/>
      <c r="J6" s="25" t="s">
        <v>56</v>
      </c>
      <c r="K6" s="26">
        <f>MEDIAN(y)</f>
        <v>9.5631259356554368E-4</v>
      </c>
      <c r="L6" s="25" t="s">
        <v>56</v>
      </c>
      <c r="M6" s="27">
        <f>MEDIAN(a)</f>
        <v>25850650</v>
      </c>
      <c r="P6" s="48"/>
      <c r="Q6" s="48"/>
      <c r="R6" s="48"/>
      <c r="S6" s="48"/>
      <c r="T6" s="48"/>
    </row>
    <row r="7" spans="1:20">
      <c r="A7" s="19">
        <v>42072</v>
      </c>
      <c r="B7" s="20">
        <v>38.637188000000002</v>
      </c>
      <c r="C7" s="21">
        <v>32108000</v>
      </c>
      <c r="D7" s="23">
        <f t="shared" si="0"/>
        <v>1.1501137740280422E-2</v>
      </c>
      <c r="E7" s="47">
        <v>2079.429932</v>
      </c>
      <c r="F7" s="48">
        <v>3349090000</v>
      </c>
      <c r="G7" s="20">
        <f t="shared" si="1"/>
        <v>3.9366624176442495E-3</v>
      </c>
      <c r="H7" s="22">
        <v>1</v>
      </c>
      <c r="I7" s="16"/>
      <c r="J7" s="25" t="s">
        <v>57</v>
      </c>
      <c r="K7" s="26">
        <f>AVERAGE(y)</f>
        <v>1.0961089048145518E-3</v>
      </c>
      <c r="L7" s="25" t="s">
        <v>57</v>
      </c>
      <c r="M7" s="27">
        <f>AVERAGE(a)</f>
        <v>29261729.02208202</v>
      </c>
      <c r="P7" s="51"/>
      <c r="Q7" s="51" t="s">
        <v>101</v>
      </c>
      <c r="R7" s="51" t="s">
        <v>100</v>
      </c>
      <c r="S7" s="51" t="s">
        <v>102</v>
      </c>
      <c r="T7" s="51" t="s">
        <v>103</v>
      </c>
    </row>
    <row r="8" spans="1:20">
      <c r="A8" s="19">
        <v>42073</v>
      </c>
      <c r="B8" s="20">
        <v>37.897799999999997</v>
      </c>
      <c r="C8" s="21">
        <v>39159700</v>
      </c>
      <c r="D8" s="23">
        <f t="shared" si="0"/>
        <v>-1.9322169458859333E-2</v>
      </c>
      <c r="E8" s="47">
        <v>2044.160034</v>
      </c>
      <c r="F8" s="48">
        <v>3668900000</v>
      </c>
      <c r="G8" s="20">
        <f t="shared" si="1"/>
        <v>-1.7106821197868119E-2</v>
      </c>
      <c r="H8" s="22">
        <v>1</v>
      </c>
      <c r="I8" s="16"/>
      <c r="J8" s="25" t="s">
        <v>58</v>
      </c>
      <c r="K8" s="26">
        <f>QUARTILE(y,3)</f>
        <v>8.2048370644705014E-3</v>
      </c>
      <c r="L8" s="25" t="s">
        <v>58</v>
      </c>
      <c r="M8" s="27">
        <f>QUARTILE(a,3)</f>
        <v>33428250</v>
      </c>
      <c r="P8" s="48" t="s">
        <v>54</v>
      </c>
      <c r="Q8" s="49">
        <v>8.5057035809936975E-4</v>
      </c>
      <c r="R8" s="48">
        <v>2.6629250618545158E-4</v>
      </c>
      <c r="S8" s="48">
        <v>3.1941205191370088</v>
      </c>
      <c r="T8" s="48">
        <v>1.4371488894968283E-3</v>
      </c>
    </row>
    <row r="9" spans="1:20" ht="17" thickBot="1">
      <c r="A9" s="19">
        <v>42074</v>
      </c>
      <c r="B9" s="20">
        <v>37.852718000000003</v>
      </c>
      <c r="C9" s="21">
        <v>32215300</v>
      </c>
      <c r="D9" s="23">
        <f t="shared" si="0"/>
        <v>-1.1902758294672618E-3</v>
      </c>
      <c r="E9" s="47">
        <v>2040.23999</v>
      </c>
      <c r="F9" s="48">
        <v>3406570000</v>
      </c>
      <c r="G9" s="20">
        <f t="shared" si="1"/>
        <v>-1.9195207034580692E-3</v>
      </c>
      <c r="H9" s="22">
        <v>1</v>
      </c>
      <c r="I9" s="16"/>
      <c r="J9" s="25" t="s">
        <v>59</v>
      </c>
      <c r="K9" s="26">
        <f>MAX(y)</f>
        <v>0.1329289801505526</v>
      </c>
      <c r="L9" s="25" t="s">
        <v>59</v>
      </c>
      <c r="M9" s="27">
        <f>MAX(a)</f>
        <v>135227100</v>
      </c>
      <c r="P9" s="52" t="s">
        <v>104</v>
      </c>
      <c r="Q9" s="53">
        <v>1.2597793146612637</v>
      </c>
      <c r="R9" s="52">
        <v>2.6456167175960804E-2</v>
      </c>
      <c r="S9" s="52">
        <v>47.617604858724683</v>
      </c>
      <c r="T9" s="52">
        <v>1.8986468218622028E-284</v>
      </c>
    </row>
    <row r="10" spans="1:20">
      <c r="A10" s="19">
        <v>42075</v>
      </c>
      <c r="B10" s="20">
        <v>36.987105999999997</v>
      </c>
      <c r="C10" s="21">
        <v>59992500</v>
      </c>
      <c r="D10" s="23">
        <f t="shared" si="0"/>
        <v>-2.3133421658477208E-2</v>
      </c>
      <c r="E10" s="47">
        <v>2065.9499510000001</v>
      </c>
      <c r="F10" s="48">
        <v>3405860000</v>
      </c>
      <c r="G10" s="20">
        <f t="shared" si="1"/>
        <v>1.2522702237719055E-2</v>
      </c>
      <c r="H10" s="22">
        <v>1</v>
      </c>
      <c r="I10" s="16"/>
    </row>
    <row r="11" spans="1:20">
      <c r="A11" s="19">
        <v>42076</v>
      </c>
      <c r="B11" s="20">
        <v>37.311714000000002</v>
      </c>
      <c r="C11" s="21">
        <v>58007700</v>
      </c>
      <c r="D11" s="23">
        <f t="shared" si="0"/>
        <v>8.7379601820990593E-3</v>
      </c>
      <c r="E11" s="47">
        <v>2053.3999020000001</v>
      </c>
      <c r="F11" s="48">
        <v>3498560000</v>
      </c>
      <c r="G11" s="20">
        <f t="shared" si="1"/>
        <v>-6.0932371744078879E-3</v>
      </c>
      <c r="H11" s="22">
        <v>1</v>
      </c>
      <c r="I11" s="16"/>
    </row>
    <row r="12" spans="1:20">
      <c r="A12" s="19">
        <v>42079</v>
      </c>
      <c r="B12" s="20">
        <v>37.47401</v>
      </c>
      <c r="C12" s="21">
        <v>35273500</v>
      </c>
      <c r="D12" s="23">
        <f t="shared" si="0"/>
        <v>4.3403004236584374E-3</v>
      </c>
      <c r="E12" s="47">
        <v>2081.1899410000001</v>
      </c>
      <c r="F12" s="48">
        <v>3295600000</v>
      </c>
      <c r="G12" s="20">
        <f t="shared" si="1"/>
        <v>1.3442908996060394E-2</v>
      </c>
      <c r="H12" s="22">
        <v>1</v>
      </c>
      <c r="I12" s="16"/>
    </row>
    <row r="13" spans="1:20">
      <c r="A13" s="19">
        <v>42080</v>
      </c>
      <c r="B13" s="20">
        <v>37.600245999999999</v>
      </c>
      <c r="C13" s="21">
        <v>31673400</v>
      </c>
      <c r="D13" s="23">
        <f t="shared" si="0"/>
        <v>3.3629668996688635E-3</v>
      </c>
      <c r="E13" s="47">
        <v>2074.280029</v>
      </c>
      <c r="F13" s="48">
        <v>3221840000</v>
      </c>
      <c r="G13" s="20">
        <f t="shared" si="1"/>
        <v>-3.3256976557031678E-3</v>
      </c>
      <c r="H13" s="22">
        <v>1</v>
      </c>
      <c r="I13" s="16"/>
    </row>
    <row r="14" spans="1:20">
      <c r="A14" s="19">
        <v>42081</v>
      </c>
      <c r="B14" s="20">
        <v>38.321593999999997</v>
      </c>
      <c r="C14" s="21">
        <v>44194800</v>
      </c>
      <c r="D14" s="23">
        <f t="shared" si="0"/>
        <v>1.9002956387131672E-2</v>
      </c>
      <c r="E14" s="47">
        <v>2099.5</v>
      </c>
      <c r="F14" s="48">
        <v>4128210000</v>
      </c>
      <c r="G14" s="20">
        <f t="shared" si="1"/>
        <v>1.2085101644750693E-2</v>
      </c>
      <c r="H14" s="22">
        <v>1</v>
      </c>
      <c r="I14" s="16"/>
    </row>
    <row r="15" spans="1:20">
      <c r="A15" s="19">
        <v>42082</v>
      </c>
      <c r="B15" s="20">
        <v>38.132247999999997</v>
      </c>
      <c r="C15" s="21">
        <v>33879100</v>
      </c>
      <c r="D15" s="23">
        <f t="shared" si="0"/>
        <v>-4.9532209806805788E-3</v>
      </c>
      <c r="E15" s="47">
        <v>2089.2700199999999</v>
      </c>
      <c r="F15" s="48">
        <v>3305220000</v>
      </c>
      <c r="G15" s="20">
        <f t="shared" si="1"/>
        <v>-4.8844889025895554E-3</v>
      </c>
      <c r="H15" s="22">
        <v>1</v>
      </c>
      <c r="I15" s="16"/>
    </row>
    <row r="16" spans="1:20">
      <c r="A16" s="19">
        <v>42083</v>
      </c>
      <c r="B16" s="20">
        <v>38.664242000000002</v>
      </c>
      <c r="C16" s="21">
        <v>71904500</v>
      </c>
      <c r="D16" s="23">
        <f t="shared" si="0"/>
        <v>1.3854865241454638E-2</v>
      </c>
      <c r="E16" s="47">
        <v>2108.1000979999999</v>
      </c>
      <c r="F16" s="48">
        <v>5554120000</v>
      </c>
      <c r="G16" s="20">
        <f t="shared" si="1"/>
        <v>8.9723821319605199E-3</v>
      </c>
      <c r="H16" s="22">
        <v>1</v>
      </c>
      <c r="I16" s="16"/>
    </row>
    <row r="17" spans="1:34">
      <c r="A17" s="19">
        <v>42086</v>
      </c>
      <c r="B17" s="20">
        <v>38.646210000000004</v>
      </c>
      <c r="C17" s="21">
        <v>26246100</v>
      </c>
      <c r="D17" s="23">
        <f t="shared" si="0"/>
        <v>-4.6648285866928959E-4</v>
      </c>
      <c r="E17" s="47">
        <v>2104.419922</v>
      </c>
      <c r="F17" s="48">
        <v>3267960000</v>
      </c>
      <c r="G17" s="20">
        <f t="shared" si="1"/>
        <v>-1.7472567103759362E-3</v>
      </c>
      <c r="H17" s="22">
        <v>1</v>
      </c>
      <c r="I17" s="16"/>
    </row>
    <row r="18" spans="1:34">
      <c r="A18" s="19">
        <v>42087</v>
      </c>
      <c r="B18" s="20">
        <v>38.682270000000003</v>
      </c>
      <c r="C18" s="21">
        <v>25513300</v>
      </c>
      <c r="D18" s="23">
        <f t="shared" si="0"/>
        <v>9.3264480599716479E-4</v>
      </c>
      <c r="E18" s="47">
        <v>2091.5</v>
      </c>
      <c r="F18" s="48">
        <v>3189820000</v>
      </c>
      <c r="G18" s="20">
        <f t="shared" si="1"/>
        <v>-6.1583457609898215E-3</v>
      </c>
      <c r="H18" s="22">
        <v>1</v>
      </c>
      <c r="I18" s="16"/>
    </row>
    <row r="19" spans="1:34">
      <c r="A19" s="19">
        <v>42088</v>
      </c>
      <c r="B19" s="20">
        <v>37.383845999999998</v>
      </c>
      <c r="C19" s="21">
        <v>43469900</v>
      </c>
      <c r="D19" s="23">
        <f t="shared" si="0"/>
        <v>-3.4142669542604226E-2</v>
      </c>
      <c r="E19" s="47">
        <v>2061.0500489999999</v>
      </c>
      <c r="F19" s="48">
        <v>3521140000</v>
      </c>
      <c r="G19" s="20">
        <f t="shared" si="1"/>
        <v>-1.4665926443847035E-2</v>
      </c>
      <c r="H19" s="22">
        <v>1</v>
      </c>
      <c r="I19" s="16"/>
    </row>
    <row r="20" spans="1:34">
      <c r="A20" s="19">
        <v>42089</v>
      </c>
      <c r="B20" s="20">
        <v>37.158420999999997</v>
      </c>
      <c r="C20" s="21">
        <v>37495600</v>
      </c>
      <c r="D20" s="23">
        <f t="shared" si="0"/>
        <v>-6.0482648642400192E-3</v>
      </c>
      <c r="E20" s="47">
        <v>2056.1499020000001</v>
      </c>
      <c r="F20" s="48">
        <v>3510670000</v>
      </c>
      <c r="G20" s="20">
        <f t="shared" si="1"/>
        <v>-2.3803309880471176E-3</v>
      </c>
      <c r="H20" s="22">
        <v>1</v>
      </c>
      <c r="I20" s="16"/>
    </row>
    <row r="21" spans="1:34">
      <c r="A21" s="19">
        <v>42090</v>
      </c>
      <c r="B21" s="20">
        <v>36.942028000000001</v>
      </c>
      <c r="C21" s="21">
        <v>34401400</v>
      </c>
      <c r="D21" s="23">
        <f t="shared" si="0"/>
        <v>-5.8405480142997793E-3</v>
      </c>
      <c r="E21" s="47">
        <v>2061.0200199999999</v>
      </c>
      <c r="F21" s="48">
        <v>3008550000</v>
      </c>
      <c r="G21" s="20">
        <f t="shared" si="1"/>
        <v>2.3657611241204987E-3</v>
      </c>
      <c r="H21" s="22">
        <v>1</v>
      </c>
      <c r="I21" s="16"/>
    </row>
    <row r="22" spans="1:34">
      <c r="A22" s="19">
        <v>42093</v>
      </c>
      <c r="B22" s="20">
        <v>36.933010000000003</v>
      </c>
      <c r="C22" s="21">
        <v>35049700</v>
      </c>
      <c r="D22" s="23">
        <f t="shared" si="0"/>
        <v>-2.4414200760991864E-4</v>
      </c>
      <c r="E22" s="47">
        <v>2086.23999</v>
      </c>
      <c r="F22" s="48">
        <v>2917690000</v>
      </c>
      <c r="G22" s="20">
        <f t="shared" si="1"/>
        <v>1.2162382307370311E-2</v>
      </c>
      <c r="H22" s="22">
        <v>1</v>
      </c>
      <c r="I22" s="16"/>
    </row>
    <row r="23" spans="1:34">
      <c r="A23" s="19">
        <v>42094</v>
      </c>
      <c r="B23" s="20">
        <v>36.662495</v>
      </c>
      <c r="C23" s="21">
        <v>34887200</v>
      </c>
      <c r="D23" s="23">
        <f t="shared" si="0"/>
        <v>-7.3514331696913965E-3</v>
      </c>
      <c r="E23" s="47">
        <v>2067.889893</v>
      </c>
      <c r="F23" s="48">
        <v>3376550000</v>
      </c>
      <c r="G23" s="20">
        <f t="shared" si="1"/>
        <v>-8.834685901175145E-3</v>
      </c>
      <c r="H23" s="22">
        <v>1</v>
      </c>
      <c r="I23" s="16"/>
      <c r="Z23" s="48"/>
      <c r="AA23" s="48"/>
      <c r="AB23" s="48"/>
      <c r="AC23" s="48"/>
      <c r="AD23" s="48"/>
      <c r="AE23" s="48"/>
      <c r="AF23" s="48"/>
      <c r="AG23" s="48"/>
      <c r="AH23" s="48"/>
    </row>
    <row r="24" spans="1:34">
      <c r="A24" s="19">
        <v>42095</v>
      </c>
      <c r="B24" s="20">
        <v>36.716602000000002</v>
      </c>
      <c r="C24" s="21">
        <v>36865300</v>
      </c>
      <c r="D24" s="23">
        <f t="shared" si="0"/>
        <v>1.4747254195854192E-3</v>
      </c>
      <c r="E24" s="47">
        <v>2059.6899410000001</v>
      </c>
      <c r="F24" s="48">
        <v>3543270000</v>
      </c>
      <c r="G24" s="20">
        <f t="shared" si="1"/>
        <v>-3.9732546030981607E-3</v>
      </c>
      <c r="H24" s="22">
        <v>1</v>
      </c>
      <c r="I24" s="16"/>
      <c r="Z24" s="48"/>
      <c r="AA24" s="48"/>
      <c r="AB24" s="48"/>
      <c r="AC24" s="48"/>
      <c r="AD24" s="48"/>
      <c r="AE24" s="48"/>
      <c r="AF24" s="48"/>
      <c r="AG24" s="48"/>
      <c r="AH24" s="48"/>
    </row>
    <row r="25" spans="1:34">
      <c r="A25" s="19">
        <v>42096</v>
      </c>
      <c r="B25" s="20">
        <v>36.328884000000002</v>
      </c>
      <c r="C25" s="21">
        <v>37487500</v>
      </c>
      <c r="D25" s="23">
        <f t="shared" si="0"/>
        <v>-1.0615895997254489E-2</v>
      </c>
      <c r="E25" s="47">
        <v>2066.959961</v>
      </c>
      <c r="F25" s="48">
        <v>3095960000</v>
      </c>
      <c r="G25" s="20">
        <f t="shared" si="1"/>
        <v>3.5234525311901902E-3</v>
      </c>
      <c r="H25" s="22">
        <v>1</v>
      </c>
      <c r="I25" s="16"/>
      <c r="Z25" s="48"/>
      <c r="AA25" s="48"/>
      <c r="AB25" s="48"/>
      <c r="AC25" s="48"/>
      <c r="AD25" s="48"/>
      <c r="AE25" s="48"/>
      <c r="AF25" s="48"/>
      <c r="AG25" s="48"/>
      <c r="AH25" s="48"/>
    </row>
    <row r="26" spans="1:34">
      <c r="A26" s="19">
        <v>42100</v>
      </c>
      <c r="B26" s="20">
        <v>37.464993</v>
      </c>
      <c r="C26" s="21">
        <v>39223700</v>
      </c>
      <c r="D26" s="23">
        <f t="shared" si="0"/>
        <v>3.0793849628447816E-2</v>
      </c>
      <c r="E26" s="47">
        <v>2080.6201169999999</v>
      </c>
      <c r="F26" s="48">
        <v>3302970000</v>
      </c>
      <c r="G26" s="20">
        <f t="shared" si="1"/>
        <v>6.5870725268106249E-3</v>
      </c>
      <c r="H26" s="22">
        <v>1</v>
      </c>
      <c r="I26" s="16"/>
    </row>
    <row r="27" spans="1:34">
      <c r="A27" s="19">
        <v>42101</v>
      </c>
      <c r="B27" s="20">
        <v>37.446956999999998</v>
      </c>
      <c r="C27" s="21">
        <v>28809400</v>
      </c>
      <c r="D27" s="23">
        <f t="shared" si="0"/>
        <v>-4.8152532001892679E-4</v>
      </c>
      <c r="E27" s="47">
        <v>2076.330078</v>
      </c>
      <c r="F27" s="48">
        <v>3065510000</v>
      </c>
      <c r="G27" s="20">
        <f t="shared" si="1"/>
        <v>-2.0640326786721432E-3</v>
      </c>
      <c r="H27" s="22">
        <v>1</v>
      </c>
      <c r="I27" s="16"/>
    </row>
    <row r="28" spans="1:34">
      <c r="A28" s="19">
        <v>42102</v>
      </c>
      <c r="B28" s="20">
        <v>37.347771000000002</v>
      </c>
      <c r="C28" s="21">
        <v>24753400</v>
      </c>
      <c r="D28" s="23">
        <f t="shared" si="0"/>
        <v>-2.652220572064361E-3</v>
      </c>
      <c r="E28" s="47">
        <v>2081.8999020000001</v>
      </c>
      <c r="F28" s="48">
        <v>3265330000</v>
      </c>
      <c r="G28" s="20">
        <f t="shared" si="1"/>
        <v>2.6789414524361062E-3</v>
      </c>
      <c r="H28" s="22">
        <v>1</v>
      </c>
      <c r="I28" s="16"/>
    </row>
    <row r="29" spans="1:34">
      <c r="A29" s="19">
        <v>42103</v>
      </c>
      <c r="B29" s="20">
        <v>37.401885999999998</v>
      </c>
      <c r="C29" s="21">
        <v>25723900</v>
      </c>
      <c r="D29" s="23">
        <f t="shared" si="0"/>
        <v>1.4478998734120689E-3</v>
      </c>
      <c r="E29" s="47">
        <v>2091.179932</v>
      </c>
      <c r="F29" s="48">
        <v>3172360000</v>
      </c>
      <c r="G29" s="20">
        <f t="shared" si="1"/>
        <v>4.4475762105921478E-3</v>
      </c>
      <c r="H29" s="22">
        <v>1</v>
      </c>
      <c r="I29" s="16"/>
    </row>
    <row r="30" spans="1:34" ht="14.5" customHeight="1">
      <c r="A30" s="19">
        <v>42104</v>
      </c>
      <c r="B30" s="20">
        <v>37.618282000000001</v>
      </c>
      <c r="C30" s="21">
        <v>28022000</v>
      </c>
      <c r="D30" s="23">
        <f t="shared" si="0"/>
        <v>5.7690246752736766E-3</v>
      </c>
      <c r="E30" s="47">
        <v>2102.0600589999999</v>
      </c>
      <c r="F30" s="48">
        <v>3156200000</v>
      </c>
      <c r="G30" s="20">
        <f t="shared" si="1"/>
        <v>5.1893769208662789E-3</v>
      </c>
      <c r="H30" s="22">
        <v>1</v>
      </c>
      <c r="I30" s="16"/>
    </row>
    <row r="31" spans="1:34" ht="46.75" customHeight="1">
      <c r="A31" s="19">
        <v>42107</v>
      </c>
      <c r="B31" s="20">
        <v>37.654353999999998</v>
      </c>
      <c r="C31" s="21">
        <v>30276700</v>
      </c>
      <c r="D31" s="23">
        <f t="shared" si="0"/>
        <v>9.5843601813830727E-4</v>
      </c>
      <c r="E31" s="47">
        <v>2092.429932</v>
      </c>
      <c r="F31" s="48">
        <v>2908420000</v>
      </c>
      <c r="G31" s="20">
        <f t="shared" si="1"/>
        <v>-4.5918068424737933E-3</v>
      </c>
      <c r="H31" s="22">
        <v>1</v>
      </c>
      <c r="I31" s="16"/>
      <c r="J31" s="43" t="s">
        <v>60</v>
      </c>
      <c r="K31" s="40" t="s">
        <v>92</v>
      </c>
      <c r="L31" s="40" t="s">
        <v>61</v>
      </c>
      <c r="M31" s="31" t="s">
        <v>57</v>
      </c>
      <c r="N31" s="25">
        <f>AVERAGE(y)</f>
        <v>1.0961089048145518E-3</v>
      </c>
    </row>
    <row r="32" spans="1:34">
      <c r="A32" s="19">
        <v>42108</v>
      </c>
      <c r="B32" s="20">
        <v>37.555171999999999</v>
      </c>
      <c r="C32" s="21">
        <v>24244400</v>
      </c>
      <c r="D32" s="23">
        <f t="shared" si="0"/>
        <v>-2.6374865730509718E-3</v>
      </c>
      <c r="E32" s="47">
        <v>2095.8400879999999</v>
      </c>
      <c r="F32" s="48">
        <v>3301270000</v>
      </c>
      <c r="G32" s="20">
        <f t="shared" si="1"/>
        <v>1.6284321389502543E-3</v>
      </c>
      <c r="H32" s="22">
        <v>1</v>
      </c>
      <c r="I32" s="16"/>
      <c r="J32" s="44"/>
      <c r="K32" s="41"/>
      <c r="L32" s="42"/>
      <c r="M32" s="31" t="s">
        <v>62</v>
      </c>
      <c r="N32" s="25">
        <f>STDEV(y)</f>
        <v>1.5832425750335565E-2</v>
      </c>
    </row>
    <row r="33" spans="1:24">
      <c r="A33" s="19">
        <v>42109</v>
      </c>
      <c r="B33" s="20">
        <v>38.10519</v>
      </c>
      <c r="C33" s="21">
        <v>27343600</v>
      </c>
      <c r="D33" s="23">
        <f t="shared" si="0"/>
        <v>1.453938825103551E-2</v>
      </c>
      <c r="E33" s="47">
        <v>2106.6298830000001</v>
      </c>
      <c r="F33" s="48">
        <v>4013760000</v>
      </c>
      <c r="G33" s="20">
        <f t="shared" si="1"/>
        <v>5.134989081813774E-3</v>
      </c>
      <c r="H33" s="22">
        <v>1</v>
      </c>
      <c r="I33" s="16"/>
      <c r="J33" s="25">
        <v>0</v>
      </c>
      <c r="K33" s="42"/>
      <c r="L33" s="25">
        <f>B1270</f>
        <v>158.83000200000001</v>
      </c>
      <c r="M33" s="30" t="s">
        <v>98</v>
      </c>
      <c r="N33" s="25">
        <v>4.0000000000000001E-3</v>
      </c>
      <c r="O33" s="20"/>
    </row>
    <row r="34" spans="1:24">
      <c r="A34" s="19">
        <v>42110</v>
      </c>
      <c r="B34" s="20">
        <v>38.015030000000003</v>
      </c>
      <c r="C34" s="21">
        <v>22509700</v>
      </c>
      <c r="D34" s="23">
        <f t="shared" si="0"/>
        <v>-2.368885485668657E-3</v>
      </c>
      <c r="E34" s="47">
        <v>2104.98999</v>
      </c>
      <c r="F34" s="48">
        <v>3434120000</v>
      </c>
      <c r="G34" s="20">
        <f t="shared" si="1"/>
        <v>-7.7874695833246642E-4</v>
      </c>
      <c r="H34" s="22">
        <v>1</v>
      </c>
      <c r="I34" s="16"/>
      <c r="J34" s="20">
        <v>1</v>
      </c>
      <c r="K34" s="20">
        <v>0.95868472271831706</v>
      </c>
      <c r="L34" s="20">
        <f t="shared" ref="L34:L97" si="2">L33*EXP($N$31*$N$33+$N$32*K34*SQRT($N$33))</f>
        <v>158.98324274918522</v>
      </c>
      <c r="M34" s="20"/>
      <c r="N34" s="20"/>
      <c r="O34" s="20"/>
      <c r="P34" s="48"/>
      <c r="V34" s="48"/>
      <c r="W34" s="48"/>
      <c r="X34" s="48"/>
    </row>
    <row r="35" spans="1:24">
      <c r="A35" s="19">
        <v>42111</v>
      </c>
      <c r="B35" s="20">
        <v>37.528114000000002</v>
      </c>
      <c r="C35" s="21">
        <v>42387600</v>
      </c>
      <c r="D35" s="23">
        <f t="shared" si="0"/>
        <v>-1.2891249088891527E-2</v>
      </c>
      <c r="E35" s="47">
        <v>2081.179932</v>
      </c>
      <c r="F35" s="48">
        <v>3627600000</v>
      </c>
      <c r="G35" s="20">
        <f t="shared" si="1"/>
        <v>-1.1375703905032222E-2</v>
      </c>
      <c r="H35" s="22">
        <v>1</v>
      </c>
      <c r="I35" s="16"/>
      <c r="J35" s="20">
        <v>2</v>
      </c>
      <c r="K35" s="20">
        <v>1.0757207746792119</v>
      </c>
      <c r="L35" s="20">
        <f t="shared" si="2"/>
        <v>159.15528194309763</v>
      </c>
      <c r="M35" s="20"/>
      <c r="N35" s="20"/>
      <c r="O35" s="20"/>
    </row>
    <row r="36" spans="1:24">
      <c r="A36" s="19">
        <v>42114</v>
      </c>
      <c r="B36" s="20">
        <v>38.691284000000003</v>
      </c>
      <c r="C36" s="21">
        <v>46057700</v>
      </c>
      <c r="D36" s="23">
        <f t="shared" si="0"/>
        <v>3.0523996278372018E-2</v>
      </c>
      <c r="E36" s="47">
        <v>2100.3999020000001</v>
      </c>
      <c r="F36" s="48">
        <v>3000160000</v>
      </c>
      <c r="G36" s="20">
        <f t="shared" si="1"/>
        <v>9.1927482501988188E-3</v>
      </c>
      <c r="H36" s="22">
        <v>1</v>
      </c>
      <c r="I36" s="16"/>
      <c r="J36" s="20">
        <v>3</v>
      </c>
      <c r="K36" s="20">
        <v>-0.79704022937221453</v>
      </c>
      <c r="L36" s="20">
        <f t="shared" si="2"/>
        <v>159.02900792493941</v>
      </c>
      <c r="M36" s="20"/>
      <c r="N36" s="20"/>
      <c r="O36" s="20"/>
    </row>
    <row r="37" spans="1:24">
      <c r="A37" s="19">
        <v>42115</v>
      </c>
      <c r="B37" s="20">
        <v>38.447842000000001</v>
      </c>
      <c r="C37" s="21">
        <v>26013800</v>
      </c>
      <c r="D37" s="23">
        <f t="shared" si="0"/>
        <v>-6.3117854925977988E-3</v>
      </c>
      <c r="E37" s="47">
        <v>2097.290039</v>
      </c>
      <c r="F37" s="48">
        <v>3243410000</v>
      </c>
      <c r="G37" s="20">
        <f t="shared" si="1"/>
        <v>-1.4817023709090096E-3</v>
      </c>
      <c r="H37" s="22">
        <v>1</v>
      </c>
      <c r="I37" s="16"/>
      <c r="J37" s="20">
        <v>4</v>
      </c>
      <c r="K37" s="20">
        <v>0.68477675085887313</v>
      </c>
      <c r="L37" s="20">
        <f t="shared" si="2"/>
        <v>159.13878731157087</v>
      </c>
      <c r="M37" s="20"/>
      <c r="N37" s="20"/>
      <c r="O37" s="20"/>
    </row>
    <row r="38" spans="1:24">
      <c r="A38" s="19">
        <v>42116</v>
      </c>
      <c r="B38" s="20">
        <v>38.763427999999998</v>
      </c>
      <c r="C38" s="21">
        <v>25064300</v>
      </c>
      <c r="D38" s="23">
        <f t="shared" si="0"/>
        <v>8.1746552651517698E-3</v>
      </c>
      <c r="E38" s="47">
        <v>2107.959961</v>
      </c>
      <c r="F38" s="48">
        <v>3348480000</v>
      </c>
      <c r="G38" s="20">
        <f t="shared" si="1"/>
        <v>5.0745829128360466E-3</v>
      </c>
      <c r="H38" s="22">
        <v>1</v>
      </c>
      <c r="I38" s="16"/>
      <c r="J38" s="20">
        <v>5</v>
      </c>
      <c r="K38" s="20">
        <v>-1.3679391486220993</v>
      </c>
      <c r="L38" s="20">
        <f t="shared" si="2"/>
        <v>158.92165149281738</v>
      </c>
      <c r="M38" s="20"/>
      <c r="N38" s="20"/>
      <c r="O38" s="20"/>
      <c r="P38" s="48"/>
      <c r="Q38" s="48"/>
      <c r="R38" s="48"/>
      <c r="S38" s="48"/>
      <c r="T38" s="48"/>
      <c r="U38" s="48"/>
      <c r="V38" s="48"/>
      <c r="W38" s="48"/>
      <c r="X38" s="48"/>
    </row>
    <row r="39" spans="1:24">
      <c r="A39" s="19">
        <v>42117</v>
      </c>
      <c r="B39" s="20">
        <v>39.079014000000001</v>
      </c>
      <c r="C39" s="21">
        <v>46309500</v>
      </c>
      <c r="D39" s="23">
        <f t="shared" si="0"/>
        <v>8.1083717551697441E-3</v>
      </c>
      <c r="E39" s="47">
        <v>2112.929932</v>
      </c>
      <c r="F39" s="48">
        <v>3636670000</v>
      </c>
      <c r="G39" s="20">
        <f t="shared" si="1"/>
        <v>2.3549409829866624E-3</v>
      </c>
      <c r="H39" s="22">
        <v>1</v>
      </c>
      <c r="I39" s="16"/>
      <c r="J39" s="20">
        <v>6</v>
      </c>
      <c r="K39" s="20">
        <v>-0.12929831427754834</v>
      </c>
      <c r="L39" s="20">
        <f t="shared" si="2"/>
        <v>158.90177387612573</v>
      </c>
      <c r="M39" s="20"/>
      <c r="N39" s="20"/>
      <c r="O39" s="20"/>
      <c r="P39" s="48"/>
      <c r="Q39" s="48"/>
      <c r="R39" s="48"/>
      <c r="S39" s="48"/>
      <c r="T39" s="48"/>
      <c r="U39" s="48"/>
      <c r="V39" s="48"/>
      <c r="W39" s="48"/>
      <c r="X39" s="48"/>
    </row>
    <row r="40" spans="1:24">
      <c r="A40" s="19">
        <v>42118</v>
      </c>
      <c r="B40" s="20">
        <v>43.163646999999997</v>
      </c>
      <c r="C40" s="21">
        <v>130933700</v>
      </c>
      <c r="D40" s="23">
        <f t="shared" si="0"/>
        <v>9.941303979719146E-2</v>
      </c>
      <c r="E40" s="47">
        <v>2117.6899410000001</v>
      </c>
      <c r="F40" s="48">
        <v>3375780000</v>
      </c>
      <c r="G40" s="20">
        <f t="shared" si="1"/>
        <v>2.2502664628334234E-3</v>
      </c>
      <c r="H40" s="22">
        <v>1</v>
      </c>
      <c r="I40" s="16"/>
      <c r="J40" s="20">
        <v>7</v>
      </c>
      <c r="K40" s="20">
        <v>-1.2121086001570802</v>
      </c>
      <c r="L40" s="20">
        <f t="shared" si="2"/>
        <v>158.70972424638762</v>
      </c>
      <c r="M40" s="20"/>
      <c r="N40" s="20"/>
      <c r="O40" s="20"/>
      <c r="P40" s="48"/>
      <c r="Q40" s="48"/>
      <c r="R40" s="48"/>
      <c r="S40" s="48"/>
      <c r="T40" s="48"/>
      <c r="U40" s="48"/>
      <c r="V40" s="48"/>
      <c r="W40" s="48"/>
      <c r="X40" s="48"/>
    </row>
    <row r="41" spans="1:24">
      <c r="A41" s="19">
        <v>42121</v>
      </c>
      <c r="B41" s="20">
        <v>43.307915000000001</v>
      </c>
      <c r="C41" s="21">
        <v>59248200</v>
      </c>
      <c r="D41" s="23">
        <f t="shared" si="0"/>
        <v>3.3367764041909065E-3</v>
      </c>
      <c r="E41" s="47">
        <v>2108.919922</v>
      </c>
      <c r="F41" s="48">
        <v>3438750000</v>
      </c>
      <c r="G41" s="20">
        <f t="shared" si="1"/>
        <v>-4.1499129896262112E-3</v>
      </c>
      <c r="H41" s="22">
        <v>1</v>
      </c>
      <c r="I41" s="16"/>
      <c r="J41" s="20">
        <v>8</v>
      </c>
      <c r="K41" s="20">
        <v>1.0847702469618525</v>
      </c>
      <c r="L41" s="20">
        <f t="shared" si="2"/>
        <v>158.88290717301166</v>
      </c>
      <c r="M41" s="20"/>
      <c r="N41" s="20"/>
      <c r="O41" s="20"/>
      <c r="P41" s="48"/>
      <c r="Q41" s="48"/>
      <c r="R41" s="48"/>
      <c r="S41" s="48"/>
      <c r="T41" s="48"/>
      <c r="U41" s="48"/>
      <c r="V41" s="48"/>
      <c r="W41" s="48"/>
      <c r="X41" s="48"/>
    </row>
    <row r="42" spans="1:24">
      <c r="A42" s="19">
        <v>42122</v>
      </c>
      <c r="B42" s="20">
        <v>44.326824000000002</v>
      </c>
      <c r="C42" s="21">
        <v>60730800</v>
      </c>
      <c r="D42" s="23">
        <f t="shared" si="0"/>
        <v>2.3254588944977974E-2</v>
      </c>
      <c r="E42" s="47">
        <v>2114.76001</v>
      </c>
      <c r="F42" s="48">
        <v>3546270000</v>
      </c>
      <c r="G42" s="20">
        <f t="shared" si="1"/>
        <v>2.7654044889026041E-3</v>
      </c>
      <c r="H42" s="22">
        <v>1</v>
      </c>
      <c r="I42" s="16"/>
      <c r="J42" s="20">
        <v>9</v>
      </c>
      <c r="K42" s="20">
        <v>1.255671122635249</v>
      </c>
      <c r="L42" s="20">
        <f t="shared" si="2"/>
        <v>159.08350042957352</v>
      </c>
      <c r="M42" s="20"/>
      <c r="N42" s="20"/>
      <c r="O42" s="20"/>
      <c r="P42" s="48"/>
      <c r="Q42" s="48"/>
      <c r="R42" s="48"/>
      <c r="S42" s="48"/>
      <c r="T42" s="48"/>
      <c r="U42" s="48"/>
      <c r="V42" s="48"/>
      <c r="W42" s="48"/>
      <c r="X42" s="48"/>
    </row>
    <row r="43" spans="1:24">
      <c r="A43" s="19">
        <v>42123</v>
      </c>
      <c r="B43" s="20">
        <v>44.236649</v>
      </c>
      <c r="C43" s="21">
        <v>47804600</v>
      </c>
      <c r="D43" s="23">
        <f t="shared" si="0"/>
        <v>-2.0363932918983029E-3</v>
      </c>
      <c r="E43" s="47">
        <v>2106.8500979999999</v>
      </c>
      <c r="F43" s="48">
        <v>4074970000</v>
      </c>
      <c r="G43" s="20">
        <f t="shared" si="1"/>
        <v>-3.7473480752430819E-3</v>
      </c>
      <c r="H43" s="22">
        <v>1</v>
      </c>
      <c r="I43" s="16"/>
      <c r="J43" s="20">
        <v>10</v>
      </c>
      <c r="K43" s="20">
        <v>1.6503054212080315</v>
      </c>
      <c r="L43" s="20">
        <f t="shared" si="2"/>
        <v>159.34730207958293</v>
      </c>
      <c r="M43" s="20"/>
      <c r="N43" s="20"/>
      <c r="O43" s="20"/>
      <c r="P43" s="48"/>
      <c r="Q43" s="48"/>
      <c r="R43" s="48"/>
      <c r="S43" s="48"/>
      <c r="T43" s="48"/>
      <c r="U43" s="48"/>
      <c r="V43" s="48"/>
      <c r="W43" s="48"/>
      <c r="X43" s="48"/>
    </row>
    <row r="44" spans="1:24">
      <c r="A44" s="19">
        <v>42124</v>
      </c>
      <c r="B44" s="20">
        <v>43.857940999999997</v>
      </c>
      <c r="C44" s="21">
        <v>64725500</v>
      </c>
      <c r="D44" s="23">
        <f t="shared" si="0"/>
        <v>-8.5978113505696466E-3</v>
      </c>
      <c r="E44" s="47">
        <v>2085.51001</v>
      </c>
      <c r="F44" s="48">
        <v>4509680000</v>
      </c>
      <c r="G44" s="20">
        <f t="shared" si="1"/>
        <v>-1.0180553084023857E-2</v>
      </c>
      <c r="H44" s="22">
        <v>1</v>
      </c>
      <c r="I44" s="16"/>
      <c r="J44" s="20">
        <v>11</v>
      </c>
      <c r="K44" s="20">
        <v>0.92777099780505523</v>
      </c>
      <c r="L44" s="20">
        <f t="shared" si="2"/>
        <v>159.49610466954414</v>
      </c>
      <c r="M44" s="20"/>
      <c r="N44" s="20"/>
      <c r="O44" s="20"/>
      <c r="P44" s="48"/>
      <c r="Q44" s="48"/>
      <c r="R44" s="48"/>
      <c r="S44" s="48"/>
      <c r="T44" s="48"/>
      <c r="U44" s="48"/>
      <c r="V44" s="48"/>
      <c r="W44" s="48"/>
      <c r="X44" s="48"/>
    </row>
    <row r="45" spans="1:24">
      <c r="A45" s="19">
        <v>42125</v>
      </c>
      <c r="B45" s="20">
        <v>43.875984000000003</v>
      </c>
      <c r="C45" s="21">
        <v>38937300</v>
      </c>
      <c r="D45" s="23">
        <f t="shared" si="0"/>
        <v>4.1131182161018557E-4</v>
      </c>
      <c r="E45" s="47">
        <v>2108.290039</v>
      </c>
      <c r="F45" s="48">
        <v>3379390000</v>
      </c>
      <c r="G45" s="20">
        <f t="shared" si="1"/>
        <v>1.0863776421427699E-2</v>
      </c>
      <c r="H45" s="22">
        <v>1</v>
      </c>
      <c r="I45" s="16"/>
      <c r="J45" s="20">
        <v>12</v>
      </c>
      <c r="K45" s="20">
        <v>-1.6332342056557536</v>
      </c>
      <c r="L45" s="20">
        <f t="shared" si="2"/>
        <v>159.23617491496557</v>
      </c>
      <c r="M45" s="20"/>
      <c r="N45" s="20"/>
      <c r="O45" s="20"/>
      <c r="P45" s="48"/>
      <c r="Q45" s="48"/>
      <c r="R45" s="48"/>
      <c r="S45" s="48"/>
      <c r="T45" s="48"/>
      <c r="U45" s="48"/>
      <c r="V45" s="48"/>
      <c r="W45" s="48"/>
      <c r="X45" s="48"/>
    </row>
    <row r="46" spans="1:24">
      <c r="A46" s="19">
        <v>42128</v>
      </c>
      <c r="B46" s="20">
        <v>43.497272000000002</v>
      </c>
      <c r="C46" s="21">
        <v>34039500</v>
      </c>
      <c r="D46" s="23">
        <f t="shared" si="0"/>
        <v>-8.6688854005277684E-3</v>
      </c>
      <c r="E46" s="47">
        <v>2114.48999</v>
      </c>
      <c r="F46" s="48">
        <v>3091580000</v>
      </c>
      <c r="G46" s="20">
        <f t="shared" si="1"/>
        <v>2.9364330665656102E-3</v>
      </c>
      <c r="H46" s="22">
        <v>1</v>
      </c>
      <c r="I46" s="16"/>
      <c r="J46" s="20">
        <v>13</v>
      </c>
      <c r="K46" s="20">
        <v>-0.13114913599565625</v>
      </c>
      <c r="L46" s="20">
        <f t="shared" si="2"/>
        <v>159.21596288556987</v>
      </c>
      <c r="M46" s="20"/>
      <c r="N46" s="20"/>
      <c r="O46" s="20"/>
      <c r="P46" s="48"/>
      <c r="Q46" s="48"/>
      <c r="R46" s="31" t="s">
        <v>63</v>
      </c>
      <c r="S46" s="31" t="s">
        <v>64</v>
      </c>
      <c r="T46" s="31" t="s">
        <v>65</v>
      </c>
      <c r="U46" s="20"/>
      <c r="V46" s="36" t="s">
        <v>66</v>
      </c>
      <c r="W46" s="36"/>
      <c r="X46" s="48"/>
    </row>
    <row r="47" spans="1:24">
      <c r="A47" s="19">
        <v>42129</v>
      </c>
      <c r="B47" s="20">
        <v>42.920189000000001</v>
      </c>
      <c r="C47" s="21">
        <v>50369200</v>
      </c>
      <c r="D47" s="23">
        <f t="shared" si="0"/>
        <v>-1.3355902190165577E-2</v>
      </c>
      <c r="E47" s="47">
        <v>2089.459961</v>
      </c>
      <c r="F47" s="48">
        <v>3793950000</v>
      </c>
      <c r="G47" s="20">
        <f t="shared" si="1"/>
        <v>-1.1908003217775753E-2</v>
      </c>
      <c r="H47" s="22">
        <v>1</v>
      </c>
      <c r="I47" s="16"/>
      <c r="J47" s="20">
        <v>14</v>
      </c>
      <c r="K47" s="20">
        <v>0.4129447006562259</v>
      </c>
      <c r="L47" s="20">
        <f t="shared" si="2"/>
        <v>159.28250972767563</v>
      </c>
      <c r="M47" s="20"/>
      <c r="N47" s="20"/>
      <c r="O47" s="20"/>
      <c r="P47" s="48"/>
      <c r="Q47" s="48"/>
      <c r="R47" s="28" t="s">
        <v>67</v>
      </c>
      <c r="S47" s="29">
        <f>K4</f>
        <v>-9.9641666399704232E-2</v>
      </c>
      <c r="T47" s="31">
        <f t="array" ref="T47:T67">FREQUENCY($D$3:$D$1269,$S$47:$S$67)</f>
        <v>1</v>
      </c>
      <c r="U47" s="20"/>
      <c r="V47" s="25" t="s">
        <v>68</v>
      </c>
      <c r="W47" s="25">
        <v>20</v>
      </c>
      <c r="X47" s="48"/>
    </row>
    <row r="48" spans="1:24">
      <c r="A48" s="19">
        <v>42130</v>
      </c>
      <c r="B48" s="20">
        <v>41.729968999999997</v>
      </c>
      <c r="C48" s="21">
        <v>52433000</v>
      </c>
      <c r="D48" s="23">
        <f t="shared" si="0"/>
        <v>-2.8122769561925828E-2</v>
      </c>
      <c r="E48" s="47">
        <v>2080.1499020000001</v>
      </c>
      <c r="F48" s="48">
        <v>3792210000</v>
      </c>
      <c r="G48" s="20">
        <f t="shared" si="1"/>
        <v>-4.46568133609649E-3</v>
      </c>
      <c r="H48" s="22">
        <v>1</v>
      </c>
      <c r="I48" s="16"/>
      <c r="J48" s="20">
        <v>15</v>
      </c>
      <c r="K48" s="20">
        <v>-0.29383613764366601</v>
      </c>
      <c r="L48" s="20">
        <f t="shared" si="2"/>
        <v>159.23634955153838</v>
      </c>
      <c r="M48" s="20"/>
      <c r="N48" s="20"/>
      <c r="O48" s="20"/>
      <c r="P48" s="48"/>
      <c r="Q48" s="48"/>
      <c r="R48" s="28" t="s">
        <v>69</v>
      </c>
      <c r="S48" s="29">
        <f t="shared" ref="S48:S67" si="3">S47+$W$48</f>
        <v>-8.8013134072191385E-2</v>
      </c>
      <c r="T48" s="31">
        <v>0</v>
      </c>
      <c r="U48" s="20"/>
      <c r="V48" s="25" t="s">
        <v>70</v>
      </c>
      <c r="W48" s="25">
        <f>(K9-K4)/W47</f>
        <v>1.1628532327512842E-2</v>
      </c>
      <c r="X48" s="48"/>
    </row>
    <row r="49" spans="1:23">
      <c r="A49" s="19">
        <v>42131</v>
      </c>
      <c r="B49" s="20">
        <v>42.108677</v>
      </c>
      <c r="C49" s="21">
        <v>32971700</v>
      </c>
      <c r="D49" s="23">
        <f t="shared" si="0"/>
        <v>9.0342722324336534E-3</v>
      </c>
      <c r="E49" s="47">
        <v>2088</v>
      </c>
      <c r="F49" s="48">
        <v>3676640000</v>
      </c>
      <c r="G49" s="20">
        <f t="shared" si="1"/>
        <v>3.7667106347277534E-3</v>
      </c>
      <c r="H49" s="22">
        <v>1</v>
      </c>
      <c r="I49" s="16"/>
      <c r="J49" s="20">
        <v>16</v>
      </c>
      <c r="K49" s="20">
        <v>1.4325632946565747</v>
      </c>
      <c r="L49" s="20">
        <f t="shared" si="2"/>
        <v>159.46563228948511</v>
      </c>
      <c r="M49" s="20"/>
      <c r="N49" s="20"/>
      <c r="O49" s="20"/>
      <c r="R49" s="28" t="s">
        <v>71</v>
      </c>
      <c r="S49" s="29">
        <f t="shared" si="3"/>
        <v>-7.6384601744678537E-2</v>
      </c>
      <c r="T49" s="31">
        <v>0</v>
      </c>
      <c r="U49" s="20"/>
      <c r="V49" s="20"/>
      <c r="W49" s="20"/>
    </row>
    <row r="50" spans="1:23">
      <c r="A50" s="19">
        <v>42132</v>
      </c>
      <c r="B50" s="20">
        <v>43.055447000000001</v>
      </c>
      <c r="C50" s="21">
        <v>35364900</v>
      </c>
      <c r="D50" s="23">
        <f t="shared" si="0"/>
        <v>2.2234926198898688E-2</v>
      </c>
      <c r="E50" s="47">
        <v>2116.1000979999999</v>
      </c>
      <c r="F50" s="48">
        <v>3399440000</v>
      </c>
      <c r="G50" s="20">
        <f t="shared" si="1"/>
        <v>1.3368148149806192E-2</v>
      </c>
      <c r="H50" s="22">
        <v>1</v>
      </c>
      <c r="I50" s="16"/>
      <c r="J50" s="20">
        <v>17</v>
      </c>
      <c r="K50" s="20">
        <v>-0.58535988500807434</v>
      </c>
      <c r="L50" s="20">
        <f t="shared" si="2"/>
        <v>159.3728894539091</v>
      </c>
      <c r="M50" s="20"/>
      <c r="N50" s="20"/>
      <c r="O50" s="20"/>
      <c r="R50" s="28" t="s">
        <v>72</v>
      </c>
      <c r="S50" s="29">
        <f t="shared" si="3"/>
        <v>-6.475606941716569E-2</v>
      </c>
      <c r="T50" s="31">
        <v>3</v>
      </c>
      <c r="U50" s="20"/>
      <c r="V50" s="20"/>
      <c r="W50" s="20"/>
    </row>
    <row r="51" spans="1:23">
      <c r="A51" s="19">
        <v>42135</v>
      </c>
      <c r="B51" s="20">
        <v>42.712798999999997</v>
      </c>
      <c r="C51" s="21">
        <v>24609400</v>
      </c>
      <c r="D51" s="23">
        <f t="shared" si="0"/>
        <v>-7.9901324541186824E-3</v>
      </c>
      <c r="E51" s="47">
        <v>2105.330078</v>
      </c>
      <c r="F51" s="48">
        <v>2992670000</v>
      </c>
      <c r="G51" s="20">
        <f t="shared" si="1"/>
        <v>-5.1025566779002406E-3</v>
      </c>
      <c r="H51" s="22">
        <v>1</v>
      </c>
      <c r="I51" s="16"/>
      <c r="J51" s="20">
        <v>18</v>
      </c>
      <c r="K51" s="20">
        <v>-0.10118810678250156</v>
      </c>
      <c r="L51" s="20">
        <f t="shared" si="2"/>
        <v>159.35744086501711</v>
      </c>
      <c r="M51" s="20"/>
      <c r="N51" s="20"/>
      <c r="O51" s="20"/>
      <c r="R51" s="28" t="s">
        <v>73</v>
      </c>
      <c r="S51" s="29">
        <f t="shared" si="3"/>
        <v>-5.312753708965285E-2</v>
      </c>
      <c r="T51" s="31">
        <v>3</v>
      </c>
      <c r="U51" s="20"/>
      <c r="V51" s="20"/>
      <c r="W51" s="20"/>
    </row>
    <row r="52" spans="1:23">
      <c r="A52" s="19">
        <v>42136</v>
      </c>
      <c r="B52" s="20">
        <v>42.694777999999999</v>
      </c>
      <c r="C52" s="21">
        <v>29928300</v>
      </c>
      <c r="D52" s="23">
        <f t="shared" si="0"/>
        <v>-4.2200003560420883E-4</v>
      </c>
      <c r="E52" s="47">
        <v>2099.1201169999999</v>
      </c>
      <c r="F52" s="48">
        <v>3139520000</v>
      </c>
      <c r="G52" s="20">
        <f t="shared" si="1"/>
        <v>-2.9539964693172764E-3</v>
      </c>
      <c r="H52" s="22">
        <v>1</v>
      </c>
      <c r="I52" s="16"/>
      <c r="J52" s="20">
        <v>19</v>
      </c>
      <c r="K52" s="20">
        <v>-0.92413074526120909</v>
      </c>
      <c r="L52" s="20">
        <f t="shared" si="2"/>
        <v>159.21074406675194</v>
      </c>
      <c r="M52" s="20"/>
      <c r="N52" s="20"/>
      <c r="O52" s="20"/>
      <c r="R52" s="28" t="s">
        <v>74</v>
      </c>
      <c r="S52" s="29">
        <f t="shared" si="3"/>
        <v>-4.149900476214001E-2</v>
      </c>
      <c r="T52" s="31">
        <v>7</v>
      </c>
      <c r="U52" s="20"/>
      <c r="V52" s="20"/>
      <c r="W52" s="20"/>
    </row>
    <row r="53" spans="1:23">
      <c r="A53" s="19">
        <v>42137</v>
      </c>
      <c r="B53" s="20">
        <v>42.947243</v>
      </c>
      <c r="C53" s="21">
        <v>34184600</v>
      </c>
      <c r="D53" s="23">
        <f t="shared" si="0"/>
        <v>5.8958377763066649E-3</v>
      </c>
      <c r="E53" s="47">
        <v>2098.4799800000001</v>
      </c>
      <c r="F53" s="48">
        <v>3374260000</v>
      </c>
      <c r="G53" s="20">
        <f t="shared" si="1"/>
        <v>-3.0500142470446046E-4</v>
      </c>
      <c r="H53" s="22">
        <v>1</v>
      </c>
      <c r="I53" s="16"/>
      <c r="J53" s="20">
        <v>20</v>
      </c>
      <c r="K53" s="20">
        <v>0.68110693973721936</v>
      </c>
      <c r="L53" s="20">
        <f t="shared" si="2"/>
        <v>159.32006345420135</v>
      </c>
      <c r="M53" s="20"/>
      <c r="N53" s="20"/>
      <c r="O53" s="20"/>
      <c r="R53" s="28" t="s">
        <v>75</v>
      </c>
      <c r="S53" s="29">
        <f t="shared" si="3"/>
        <v>-2.987047243462717E-2</v>
      </c>
      <c r="T53" s="31">
        <v>25</v>
      </c>
      <c r="U53" s="20"/>
      <c r="V53" s="20"/>
      <c r="W53" s="20"/>
    </row>
    <row r="54" spans="1:23">
      <c r="A54" s="19">
        <v>42138</v>
      </c>
      <c r="B54" s="20">
        <v>43.930079999999997</v>
      </c>
      <c r="C54" s="21">
        <v>32980900</v>
      </c>
      <c r="D54" s="23">
        <f t="shared" si="0"/>
        <v>2.2626823614754207E-2</v>
      </c>
      <c r="E54" s="47">
        <v>2121.1000979999999</v>
      </c>
      <c r="F54" s="48">
        <v>3225740000</v>
      </c>
      <c r="G54" s="20">
        <f t="shared" si="1"/>
        <v>1.0721604647198088E-2</v>
      </c>
      <c r="H54" s="22">
        <v>1</v>
      </c>
      <c r="I54" s="16"/>
      <c r="J54" s="20">
        <v>21</v>
      </c>
      <c r="K54" s="20">
        <v>0.92178652266738936</v>
      </c>
      <c r="L54" s="20">
        <f t="shared" si="2"/>
        <v>159.46788500381845</v>
      </c>
      <c r="M54" s="20"/>
      <c r="N54" s="20"/>
      <c r="O54" s="20"/>
      <c r="R54" s="28" t="s">
        <v>76</v>
      </c>
      <c r="S54" s="29">
        <f t="shared" si="3"/>
        <v>-1.8241940107114329E-2</v>
      </c>
      <c r="T54" s="31">
        <v>59</v>
      </c>
      <c r="U54" s="20"/>
      <c r="V54" s="20"/>
      <c r="W54" s="20"/>
    </row>
    <row r="55" spans="1:23">
      <c r="A55" s="19">
        <v>42139</v>
      </c>
      <c r="B55" s="20">
        <v>43.551364999999997</v>
      </c>
      <c r="C55" s="21">
        <v>28642700</v>
      </c>
      <c r="D55" s="23">
        <f t="shared" si="0"/>
        <v>-8.6582329741158419E-3</v>
      </c>
      <c r="E55" s="47">
        <v>2122.7299800000001</v>
      </c>
      <c r="F55" s="48">
        <v>3092080000</v>
      </c>
      <c r="G55" s="20">
        <f t="shared" si="1"/>
        <v>7.6811844498031457E-4</v>
      </c>
      <c r="H55" s="22">
        <v>1</v>
      </c>
      <c r="I55" s="16"/>
      <c r="J55" s="20">
        <v>22</v>
      </c>
      <c r="K55" s="20">
        <v>0.84406565292738378</v>
      </c>
      <c r="L55" s="20">
        <f t="shared" si="2"/>
        <v>159.6034222016975</v>
      </c>
      <c r="M55" s="20"/>
      <c r="N55" s="20"/>
      <c r="O55" s="20"/>
      <c r="R55" s="28" t="s">
        <v>77</v>
      </c>
      <c r="S55" s="29">
        <f t="shared" si="3"/>
        <v>-6.6134077796014875E-3</v>
      </c>
      <c r="T55" s="31">
        <v>188</v>
      </c>
      <c r="U55" s="20"/>
      <c r="V55" s="20"/>
      <c r="W55" s="20"/>
    </row>
    <row r="56" spans="1:23">
      <c r="A56" s="19">
        <v>42142</v>
      </c>
      <c r="B56" s="20">
        <v>43.289883000000003</v>
      </c>
      <c r="C56" s="21">
        <v>24136500</v>
      </c>
      <c r="D56" s="23">
        <f t="shared" si="0"/>
        <v>-6.0220873433690612E-3</v>
      </c>
      <c r="E56" s="47">
        <v>2129.1999510000001</v>
      </c>
      <c r="F56" s="48">
        <v>2888190000</v>
      </c>
      <c r="G56" s="20">
        <f t="shared" si="1"/>
        <v>3.0433126126717365E-3</v>
      </c>
      <c r="H56" s="22">
        <v>1</v>
      </c>
      <c r="I56" s="16"/>
      <c r="J56" s="20">
        <v>23</v>
      </c>
      <c r="K56" s="20">
        <v>-1.2673694982368033</v>
      </c>
      <c r="L56" s="20">
        <f t="shared" si="2"/>
        <v>159.4017039100909</v>
      </c>
      <c r="M56" s="20"/>
      <c r="N56" s="20"/>
      <c r="O56" s="20"/>
      <c r="R56" s="28" t="s">
        <v>78</v>
      </c>
      <c r="S56" s="29">
        <f t="shared" si="3"/>
        <v>5.0151245479113545E-3</v>
      </c>
      <c r="T56" s="31">
        <v>536</v>
      </c>
      <c r="U56" s="20"/>
      <c r="V56" s="20"/>
      <c r="W56" s="20"/>
    </row>
    <row r="57" spans="1:23">
      <c r="A57" s="19">
        <v>42143</v>
      </c>
      <c r="B57" s="20">
        <v>43.180976999999999</v>
      </c>
      <c r="C57" s="21">
        <v>28574800</v>
      </c>
      <c r="D57" s="23">
        <f t="shared" si="0"/>
        <v>-2.5189077010013151E-3</v>
      </c>
      <c r="E57" s="47">
        <v>2127.830078</v>
      </c>
      <c r="F57" s="48">
        <v>3296030000</v>
      </c>
      <c r="G57" s="20">
        <f t="shared" si="1"/>
        <v>-6.4358157586455564E-4</v>
      </c>
      <c r="H57" s="22">
        <v>1</v>
      </c>
      <c r="I57" s="16"/>
      <c r="J57" s="20">
        <v>24</v>
      </c>
      <c r="K57" s="20">
        <v>0.18584614736028016</v>
      </c>
      <c r="L57" s="20">
        <f t="shared" si="2"/>
        <v>159.43206929676143</v>
      </c>
      <c r="M57" s="20"/>
      <c r="N57" s="20"/>
      <c r="O57" s="20"/>
      <c r="R57" s="28" t="s">
        <v>79</v>
      </c>
      <c r="S57" s="29">
        <f t="shared" si="3"/>
        <v>1.6643656875424198E-2</v>
      </c>
      <c r="T57" s="31">
        <v>317</v>
      </c>
      <c r="U57" s="20"/>
      <c r="V57" s="20"/>
      <c r="W57" s="20"/>
    </row>
    <row r="58" spans="1:23">
      <c r="A58" s="19">
        <v>42144</v>
      </c>
      <c r="B58" s="20">
        <v>43.180976999999999</v>
      </c>
      <c r="C58" s="21">
        <v>25047900</v>
      </c>
      <c r="D58" s="23">
        <f t="shared" si="0"/>
        <v>0</v>
      </c>
      <c r="E58" s="47">
        <v>2125.8500979999999</v>
      </c>
      <c r="F58" s="48">
        <v>3025880000</v>
      </c>
      <c r="G58" s="20">
        <f t="shared" si="1"/>
        <v>-9.3094923034876148E-4</v>
      </c>
      <c r="H58" s="22">
        <v>1</v>
      </c>
      <c r="I58" s="16"/>
      <c r="J58" s="20">
        <v>25</v>
      </c>
      <c r="K58" s="20">
        <v>-0.67408109316602349</v>
      </c>
      <c r="L58" s="20">
        <f t="shared" si="2"/>
        <v>159.32519102106659</v>
      </c>
      <c r="M58" s="20"/>
      <c r="N58" s="20"/>
      <c r="O58" s="20"/>
      <c r="R58" s="28" t="s">
        <v>80</v>
      </c>
      <c r="S58" s="29">
        <f t="shared" si="3"/>
        <v>2.8272189202937038E-2</v>
      </c>
      <c r="T58" s="31">
        <v>90</v>
      </c>
      <c r="U58" s="20"/>
      <c r="V58" s="20"/>
      <c r="W58" s="20"/>
    </row>
    <row r="59" spans="1:23">
      <c r="A59" s="19">
        <v>42145</v>
      </c>
      <c r="B59" s="20">
        <v>43.035767</v>
      </c>
      <c r="C59" s="21">
        <v>22410700</v>
      </c>
      <c r="D59" s="23">
        <f t="shared" si="0"/>
        <v>-3.3684904014661416E-3</v>
      </c>
      <c r="E59" s="47">
        <v>2130.820068</v>
      </c>
      <c r="F59" s="48">
        <v>3070460000</v>
      </c>
      <c r="G59" s="20">
        <f t="shared" si="1"/>
        <v>2.3351455783891246E-3</v>
      </c>
      <c r="H59" s="22">
        <v>1</v>
      </c>
      <c r="I59" s="16"/>
      <c r="J59" s="20">
        <v>26</v>
      </c>
      <c r="K59" s="20">
        <v>0.80738118413137272</v>
      </c>
      <c r="L59" s="20">
        <f t="shared" si="2"/>
        <v>159.45474953517208</v>
      </c>
      <c r="M59" s="20"/>
      <c r="N59" s="20"/>
      <c r="O59" s="20"/>
      <c r="R59" s="28" t="s">
        <v>81</v>
      </c>
      <c r="S59" s="29">
        <f t="shared" si="3"/>
        <v>3.9900721530449879E-2</v>
      </c>
      <c r="T59" s="31">
        <v>25</v>
      </c>
      <c r="U59" s="20"/>
      <c r="V59" s="20"/>
      <c r="W59" s="20"/>
    </row>
    <row r="60" spans="1:23">
      <c r="A60" s="19">
        <v>42146</v>
      </c>
      <c r="B60" s="20">
        <v>42.563839000000002</v>
      </c>
      <c r="C60" s="21">
        <v>25720600</v>
      </c>
      <c r="D60" s="23">
        <f t="shared" si="0"/>
        <v>-1.1026517611970578E-2</v>
      </c>
      <c r="E60" s="47">
        <v>2126.0600589999999</v>
      </c>
      <c r="F60" s="48">
        <v>2571860000</v>
      </c>
      <c r="G60" s="20">
        <f t="shared" si="1"/>
        <v>-2.2363847897467698E-3</v>
      </c>
      <c r="H60" s="22">
        <v>1</v>
      </c>
      <c r="I60" s="16"/>
      <c r="J60" s="20">
        <v>27</v>
      </c>
      <c r="K60" s="20">
        <v>-0.14211423149390612</v>
      </c>
      <c r="L60" s="20">
        <f t="shared" si="2"/>
        <v>159.43275923079182</v>
      </c>
      <c r="M60" s="20"/>
      <c r="N60" s="20"/>
      <c r="O60" s="20"/>
      <c r="R60" s="28" t="s">
        <v>82</v>
      </c>
      <c r="S60" s="29">
        <f t="shared" si="3"/>
        <v>5.1529253857962719E-2</v>
      </c>
      <c r="T60" s="31">
        <v>2</v>
      </c>
      <c r="U60" s="20"/>
      <c r="V60" s="20"/>
      <c r="W60" s="20"/>
    </row>
    <row r="61" spans="1:23">
      <c r="A61" s="19">
        <v>42150</v>
      </c>
      <c r="B61" s="20">
        <v>42.282513000000002</v>
      </c>
      <c r="C61" s="21">
        <v>29581900</v>
      </c>
      <c r="D61" s="23">
        <f t="shared" si="0"/>
        <v>-6.6314467112802396E-3</v>
      </c>
      <c r="E61" s="47">
        <v>2104.1999510000001</v>
      </c>
      <c r="F61" s="48">
        <v>3342130000</v>
      </c>
      <c r="G61" s="20">
        <f t="shared" si="1"/>
        <v>-1.0335205180265266E-2</v>
      </c>
      <c r="H61" s="22">
        <v>1</v>
      </c>
      <c r="I61" s="16"/>
      <c r="J61" s="20">
        <v>28</v>
      </c>
      <c r="K61" s="20">
        <v>-0.78157881944207475</v>
      </c>
      <c r="L61" s="20">
        <f t="shared" si="2"/>
        <v>159.308731457551</v>
      </c>
      <c r="M61" s="20"/>
      <c r="N61" s="20"/>
      <c r="O61" s="20"/>
      <c r="R61" s="28" t="s">
        <v>83</v>
      </c>
      <c r="S61" s="29">
        <f t="shared" si="3"/>
        <v>6.3157786185475559E-2</v>
      </c>
      <c r="T61" s="31">
        <v>5</v>
      </c>
      <c r="U61" s="20"/>
      <c r="V61" s="20"/>
      <c r="W61" s="20"/>
    </row>
    <row r="62" spans="1:23">
      <c r="A62" s="19">
        <v>42151</v>
      </c>
      <c r="B62" s="20">
        <v>43.208202</v>
      </c>
      <c r="C62" s="21">
        <v>27335600</v>
      </c>
      <c r="D62" s="23">
        <f t="shared" si="0"/>
        <v>2.1656742018019877E-2</v>
      </c>
      <c r="E62" s="47">
        <v>2123.4799800000001</v>
      </c>
      <c r="F62" s="48">
        <v>3127960000</v>
      </c>
      <c r="G62" s="20">
        <f t="shared" si="1"/>
        <v>9.1209187900458677E-3</v>
      </c>
      <c r="H62" s="22">
        <v>1</v>
      </c>
      <c r="I62" s="16"/>
      <c r="J62" s="20">
        <v>29</v>
      </c>
      <c r="K62" s="20">
        <v>8.3134636952308938E-2</v>
      </c>
      <c r="L62" s="20">
        <f t="shared" si="2"/>
        <v>159.32269224323412</v>
      </c>
      <c r="M62" s="20"/>
      <c r="N62" s="20"/>
      <c r="O62" s="20"/>
      <c r="R62" s="28" t="s">
        <v>84</v>
      </c>
      <c r="S62" s="29">
        <f t="shared" si="3"/>
        <v>7.4786318512988406E-2</v>
      </c>
      <c r="T62" s="31">
        <v>4</v>
      </c>
      <c r="U62" s="20"/>
      <c r="V62" s="20"/>
      <c r="W62" s="20"/>
    </row>
    <row r="63" spans="1:23">
      <c r="A63" s="19">
        <v>42152</v>
      </c>
      <c r="B63" s="20">
        <v>43.062995999999998</v>
      </c>
      <c r="C63" s="21">
        <v>19283700</v>
      </c>
      <c r="D63" s="23">
        <f t="shared" si="0"/>
        <v>-3.3662714900568437E-3</v>
      </c>
      <c r="E63" s="47">
        <v>2120.790039</v>
      </c>
      <c r="F63" s="48">
        <v>2980350000</v>
      </c>
      <c r="G63" s="20">
        <f t="shared" si="1"/>
        <v>-1.2675637262110088E-3</v>
      </c>
      <c r="H63" s="22">
        <v>1</v>
      </c>
      <c r="I63" s="16"/>
      <c r="J63" s="20">
        <v>30</v>
      </c>
      <c r="K63" s="20">
        <v>0.41769794734136667</v>
      </c>
      <c r="L63" s="20">
        <f t="shared" si="2"/>
        <v>159.39004232098878</v>
      </c>
      <c r="M63" s="20"/>
      <c r="N63" s="20"/>
      <c r="O63" s="20"/>
      <c r="R63" s="28" t="s">
        <v>85</v>
      </c>
      <c r="S63" s="29">
        <f t="shared" si="3"/>
        <v>8.6414850840501253E-2</v>
      </c>
      <c r="T63" s="31">
        <v>0</v>
      </c>
      <c r="U63" s="20"/>
      <c r="V63" s="20"/>
      <c r="W63" s="20"/>
    </row>
    <row r="64" spans="1:23">
      <c r="A64" s="19">
        <v>42153</v>
      </c>
      <c r="B64" s="20">
        <v>42.527546000000001</v>
      </c>
      <c r="C64" s="21">
        <v>36519600</v>
      </c>
      <c r="D64" s="23">
        <f t="shared" si="0"/>
        <v>-1.2512059695715226E-2</v>
      </c>
      <c r="E64" s="47">
        <v>2107.389893</v>
      </c>
      <c r="F64" s="48">
        <v>3927390000</v>
      </c>
      <c r="G64" s="20">
        <f t="shared" si="1"/>
        <v>-6.3385149544391154E-3</v>
      </c>
      <c r="H64" s="22">
        <v>1</v>
      </c>
      <c r="I64" s="16"/>
      <c r="J64" s="20">
        <v>31</v>
      </c>
      <c r="K64" s="20">
        <v>0.2090928319375962</v>
      </c>
      <c r="L64" s="20">
        <f t="shared" si="2"/>
        <v>159.4241164561665</v>
      </c>
      <c r="M64" s="20"/>
      <c r="N64" s="20"/>
      <c r="O64" s="20"/>
      <c r="R64" s="28" t="s">
        <v>86</v>
      </c>
      <c r="S64" s="29">
        <f t="shared" si="3"/>
        <v>9.80433831680141E-2</v>
      </c>
      <c r="T64" s="31">
        <v>1</v>
      </c>
      <c r="U64" s="20"/>
      <c r="V64" s="20"/>
      <c r="W64" s="20"/>
    </row>
    <row r="65" spans="1:23">
      <c r="A65" s="19">
        <v>42156</v>
      </c>
      <c r="B65" s="20">
        <v>42.863331000000002</v>
      </c>
      <c r="C65" s="21">
        <v>28837300</v>
      </c>
      <c r="D65" s="23">
        <f t="shared" si="0"/>
        <v>7.8646980235912729E-3</v>
      </c>
      <c r="E65" s="47">
        <v>2111.7299800000001</v>
      </c>
      <c r="F65" s="48">
        <v>3011710000</v>
      </c>
      <c r="G65" s="20">
        <f t="shared" si="1"/>
        <v>2.0573430769848127E-3</v>
      </c>
      <c r="H65" s="22">
        <v>1</v>
      </c>
      <c r="I65" s="16"/>
      <c r="J65" s="20">
        <v>32</v>
      </c>
      <c r="K65" s="20">
        <v>0.80135578173212707</v>
      </c>
      <c r="L65" s="20">
        <f t="shared" si="2"/>
        <v>159.55279276168719</v>
      </c>
      <c r="M65" s="20"/>
      <c r="N65" s="20"/>
      <c r="O65" s="20"/>
      <c r="R65" s="28" t="s">
        <v>87</v>
      </c>
      <c r="S65" s="29">
        <f t="shared" si="3"/>
        <v>0.10967191549552695</v>
      </c>
      <c r="T65" s="31">
        <v>1</v>
      </c>
      <c r="U65" s="20"/>
      <c r="V65" s="20"/>
      <c r="W65" s="20"/>
    </row>
    <row r="66" spans="1:23">
      <c r="A66" s="19">
        <v>42157</v>
      </c>
      <c r="B66" s="20">
        <v>42.581992999999997</v>
      </c>
      <c r="C66" s="21">
        <v>21498300</v>
      </c>
      <c r="D66" s="23">
        <f t="shared" si="0"/>
        <v>-6.5852407954766334E-3</v>
      </c>
      <c r="E66" s="47">
        <v>2109.6000979999999</v>
      </c>
      <c r="F66" s="48">
        <v>3049350000</v>
      </c>
      <c r="G66" s="20">
        <f t="shared" si="1"/>
        <v>-1.0091047804279632E-3</v>
      </c>
      <c r="H66" s="22">
        <v>1</v>
      </c>
      <c r="I66" s="16"/>
      <c r="J66" s="20">
        <v>33</v>
      </c>
      <c r="K66" s="20">
        <v>-1.306234480580315</v>
      </c>
      <c r="L66" s="20">
        <f t="shared" si="2"/>
        <v>159.34493716051526</v>
      </c>
      <c r="M66" s="20"/>
      <c r="N66" s="20"/>
      <c r="O66" s="20"/>
      <c r="R66" s="28" t="s">
        <v>88</v>
      </c>
      <c r="S66" s="29">
        <f t="shared" si="3"/>
        <v>0.12130044782303979</v>
      </c>
      <c r="T66" s="31">
        <v>0</v>
      </c>
      <c r="U66" s="20"/>
      <c r="V66" s="20"/>
      <c r="W66" s="20"/>
    </row>
    <row r="67" spans="1:23">
      <c r="A67" s="19">
        <v>42158</v>
      </c>
      <c r="B67" s="20">
        <v>42.518462999999997</v>
      </c>
      <c r="C67" s="21">
        <v>28002200</v>
      </c>
      <c r="D67" s="23">
        <f t="shared" ref="D67:D130" si="4">LN(B67/B66)</f>
        <v>-1.4930592569772619E-3</v>
      </c>
      <c r="E67" s="47">
        <v>2114.070068</v>
      </c>
      <c r="F67" s="48">
        <v>3099980000</v>
      </c>
      <c r="G67" s="20">
        <f t="shared" ref="G67:G130" si="5">LN(E67/E66)</f>
        <v>2.116629136818338E-3</v>
      </c>
      <c r="H67" s="22">
        <v>1</v>
      </c>
      <c r="I67" s="16"/>
      <c r="J67" s="20">
        <v>34</v>
      </c>
      <c r="K67" s="20">
        <v>-0.22185531634022482</v>
      </c>
      <c r="L67" s="20">
        <f t="shared" si="2"/>
        <v>159.31024101856309</v>
      </c>
      <c r="M67" s="20"/>
      <c r="N67" s="20"/>
      <c r="O67" s="20"/>
      <c r="R67" s="28" t="s">
        <v>89</v>
      </c>
      <c r="S67" s="29">
        <f t="shared" si="3"/>
        <v>0.13292898015055263</v>
      </c>
      <c r="T67" s="31">
        <v>0</v>
      </c>
      <c r="U67" s="20"/>
      <c r="V67" s="20"/>
      <c r="W67" s="20"/>
    </row>
    <row r="68" spans="1:23">
      <c r="A68" s="19">
        <v>42159</v>
      </c>
      <c r="B68" s="20">
        <v>42.073771999999998</v>
      </c>
      <c r="C68" s="21">
        <v>27745500</v>
      </c>
      <c r="D68" s="23">
        <f t="shared" si="4"/>
        <v>-1.0513851451671684E-2</v>
      </c>
      <c r="E68" s="47">
        <v>2095.8400879999999</v>
      </c>
      <c r="F68" s="48">
        <v>3200050000</v>
      </c>
      <c r="G68" s="20">
        <f t="shared" si="5"/>
        <v>-8.6605619929224897E-3</v>
      </c>
      <c r="H68" s="22">
        <v>1</v>
      </c>
      <c r="I68" s="16"/>
      <c r="J68" s="20">
        <v>35</v>
      </c>
      <c r="K68" s="20">
        <v>-0.79012124842847697</v>
      </c>
      <c r="L68" s="20">
        <f t="shared" si="2"/>
        <v>159.18494691489369</v>
      </c>
      <c r="M68" s="20"/>
      <c r="N68" s="20"/>
      <c r="O68" s="20"/>
    </row>
    <row r="69" spans="1:23">
      <c r="A69" s="19">
        <v>42160</v>
      </c>
      <c r="B69" s="20">
        <v>41.874107000000002</v>
      </c>
      <c r="C69" s="21">
        <v>25438100</v>
      </c>
      <c r="D69" s="23">
        <f t="shared" si="4"/>
        <v>-4.7568891288222084E-3</v>
      </c>
      <c r="E69" s="47">
        <v>2092.830078</v>
      </c>
      <c r="F69" s="48">
        <v>3243690000</v>
      </c>
      <c r="G69" s="20">
        <f t="shared" si="5"/>
        <v>-1.4372153446468713E-3</v>
      </c>
      <c r="H69" s="22">
        <v>1</v>
      </c>
      <c r="I69" s="16"/>
      <c r="J69" s="20">
        <v>36</v>
      </c>
      <c r="K69" s="20">
        <v>0.39203996493597515</v>
      </c>
      <c r="L69" s="20">
        <f t="shared" si="2"/>
        <v>159.24814728868733</v>
      </c>
      <c r="M69" s="20"/>
      <c r="N69" s="20"/>
      <c r="O69" s="20"/>
    </row>
    <row r="70" spans="1:23">
      <c r="A70" s="19">
        <v>42163</v>
      </c>
      <c r="B70" s="20">
        <v>41.502018</v>
      </c>
      <c r="C70" s="21">
        <v>22121600</v>
      </c>
      <c r="D70" s="23">
        <f t="shared" si="4"/>
        <v>-8.9256119842607388E-3</v>
      </c>
      <c r="E70" s="47">
        <v>2079.280029</v>
      </c>
      <c r="F70" s="48">
        <v>2917150000</v>
      </c>
      <c r="G70" s="20">
        <f t="shared" si="5"/>
        <v>-6.4955604213555807E-3</v>
      </c>
      <c r="H70" s="22">
        <v>1</v>
      </c>
      <c r="I70" s="16"/>
      <c r="J70" s="20">
        <v>37</v>
      </c>
      <c r="K70" s="20">
        <v>5.3644180297851562</v>
      </c>
      <c r="L70" s="20">
        <f t="shared" si="2"/>
        <v>160.10656109012913</v>
      </c>
      <c r="M70" s="20"/>
      <c r="N70" s="20"/>
      <c r="O70" s="20"/>
    </row>
    <row r="71" spans="1:23">
      <c r="A71" s="19">
        <v>42164</v>
      </c>
      <c r="B71" s="20">
        <v>41.429412999999997</v>
      </c>
      <c r="C71" s="21">
        <v>24406100</v>
      </c>
      <c r="D71" s="23">
        <f t="shared" si="4"/>
        <v>-1.7509650484590067E-3</v>
      </c>
      <c r="E71" s="47">
        <v>2080.1499020000001</v>
      </c>
      <c r="F71" s="48">
        <v>3034580000</v>
      </c>
      <c r="G71" s="20">
        <f t="shared" si="5"/>
        <v>4.1826549652815233E-4</v>
      </c>
      <c r="H71" s="22">
        <v>1</v>
      </c>
      <c r="I71" s="16"/>
      <c r="J71" s="20">
        <v>38</v>
      </c>
      <c r="K71" s="20">
        <v>1.2005489224975463</v>
      </c>
      <c r="L71" s="20">
        <f t="shared" si="2"/>
        <v>160.29985115609162</v>
      </c>
      <c r="M71" s="20"/>
      <c r="N71" s="20"/>
      <c r="O71" s="20"/>
    </row>
    <row r="72" spans="1:23">
      <c r="A72" s="19">
        <v>42165</v>
      </c>
      <c r="B72" s="20">
        <v>42.300654999999999</v>
      </c>
      <c r="C72" s="21">
        <v>28417400</v>
      </c>
      <c r="D72" s="23">
        <f t="shared" si="4"/>
        <v>2.0811483053928825E-2</v>
      </c>
      <c r="E72" s="47">
        <v>2105.1999510000001</v>
      </c>
      <c r="F72" s="48">
        <v>3414320000</v>
      </c>
      <c r="G72" s="20">
        <f t="shared" si="5"/>
        <v>1.1970491836123859E-2</v>
      </c>
      <c r="H72" s="22">
        <v>1</v>
      </c>
      <c r="I72" s="16"/>
      <c r="J72" s="20">
        <v>39</v>
      </c>
      <c r="K72" s="20">
        <v>-0.77784761742805131</v>
      </c>
      <c r="L72" s="20">
        <f t="shared" si="2"/>
        <v>160.17574728682555</v>
      </c>
      <c r="M72" s="20"/>
      <c r="N72" s="20"/>
      <c r="O72" s="20"/>
    </row>
    <row r="73" spans="1:23">
      <c r="A73" s="19">
        <v>42166</v>
      </c>
      <c r="B73" s="20">
        <v>42.146369999999997</v>
      </c>
      <c r="C73" s="21">
        <v>27347800</v>
      </c>
      <c r="D73" s="23">
        <f t="shared" si="4"/>
        <v>-3.6540108231191107E-3</v>
      </c>
      <c r="E73" s="47">
        <v>2108.860107</v>
      </c>
      <c r="F73" s="48">
        <v>3128600000</v>
      </c>
      <c r="G73" s="20">
        <f t="shared" si="5"/>
        <v>1.7371166381222091E-3</v>
      </c>
      <c r="H73" s="22">
        <v>1</v>
      </c>
      <c r="I73" s="16"/>
      <c r="J73" s="20">
        <v>40</v>
      </c>
      <c r="K73" s="20">
        <v>-0.15077375792316161</v>
      </c>
      <c r="L73" s="20">
        <f t="shared" si="2"/>
        <v>160.15226885604332</v>
      </c>
      <c r="M73" s="20"/>
      <c r="N73" s="20"/>
      <c r="O73" s="20"/>
    </row>
    <row r="74" spans="1:23">
      <c r="A74" s="19">
        <v>42167</v>
      </c>
      <c r="B74" s="20">
        <v>41.719830000000002</v>
      </c>
      <c r="C74" s="21">
        <v>23931000</v>
      </c>
      <c r="D74" s="23">
        <f t="shared" si="4"/>
        <v>-1.017200440280357E-2</v>
      </c>
      <c r="E74" s="47">
        <v>2094.110107</v>
      </c>
      <c r="F74" s="48">
        <v>2719400000</v>
      </c>
      <c r="G74" s="20">
        <f t="shared" si="5"/>
        <v>-7.0188746545117725E-3</v>
      </c>
      <c r="H74" s="22">
        <v>1</v>
      </c>
      <c r="I74" s="16"/>
      <c r="J74" s="20">
        <v>41</v>
      </c>
      <c r="K74" s="20">
        <v>-1.6572130334679969</v>
      </c>
      <c r="L74" s="20">
        <f t="shared" si="2"/>
        <v>159.88743069462126</v>
      </c>
      <c r="M74" s="20"/>
      <c r="N74" s="20"/>
      <c r="O74" s="20"/>
    </row>
    <row r="75" spans="1:23">
      <c r="A75" s="19">
        <v>42170</v>
      </c>
      <c r="B75" s="20">
        <v>41.275126999999998</v>
      </c>
      <c r="C75" s="21">
        <v>33254500</v>
      </c>
      <c r="D75" s="23">
        <f t="shared" si="4"/>
        <v>-1.0716488615458807E-2</v>
      </c>
      <c r="E75" s="47">
        <v>2084.429932</v>
      </c>
      <c r="F75" s="48">
        <v>3061570000</v>
      </c>
      <c r="G75" s="20">
        <f t="shared" si="5"/>
        <v>-4.6332892479042445E-3</v>
      </c>
      <c r="H75" s="22">
        <v>1</v>
      </c>
      <c r="I75" s="16"/>
      <c r="J75" s="20">
        <v>42</v>
      </c>
      <c r="K75" s="20">
        <v>-1.3779526852886193</v>
      </c>
      <c r="L75" s="20">
        <f t="shared" si="2"/>
        <v>159.66767242116379</v>
      </c>
      <c r="M75" s="20"/>
      <c r="N75" s="20"/>
      <c r="O75" s="20"/>
    </row>
    <row r="76" spans="1:23">
      <c r="A76" s="19">
        <v>42171</v>
      </c>
      <c r="B76" s="20">
        <v>41.592776999999998</v>
      </c>
      <c r="C76" s="21">
        <v>27070300</v>
      </c>
      <c r="D76" s="23">
        <f t="shared" si="4"/>
        <v>7.6664556595903155E-3</v>
      </c>
      <c r="E76" s="47">
        <v>2096.290039</v>
      </c>
      <c r="F76" s="48">
        <v>2919900000</v>
      </c>
      <c r="G76" s="20">
        <f t="shared" si="5"/>
        <v>5.6737303135299989E-3</v>
      </c>
      <c r="H76" s="22">
        <v>1</v>
      </c>
      <c r="I76" s="16"/>
      <c r="J76" s="20">
        <v>43</v>
      </c>
      <c r="K76" s="20">
        <v>1.0132885108760092</v>
      </c>
      <c r="L76" s="20">
        <f t="shared" si="2"/>
        <v>159.83046008465294</v>
      </c>
      <c r="M76" s="20"/>
      <c r="N76" s="20"/>
      <c r="O76" s="20"/>
    </row>
    <row r="77" spans="1:23">
      <c r="A77" s="19">
        <v>42172</v>
      </c>
      <c r="B77" s="20">
        <v>41.719830000000002</v>
      </c>
      <c r="C77" s="21">
        <v>28704100</v>
      </c>
      <c r="D77" s="23">
        <f t="shared" si="4"/>
        <v>3.050032955868595E-3</v>
      </c>
      <c r="E77" s="47">
        <v>2100.4399410000001</v>
      </c>
      <c r="F77" s="48">
        <v>3222240000</v>
      </c>
      <c r="G77" s="20">
        <f t="shared" si="5"/>
        <v>1.9776842314756056E-3</v>
      </c>
      <c r="H77" s="22">
        <v>1</v>
      </c>
      <c r="I77" s="16"/>
      <c r="J77" s="20">
        <v>44</v>
      </c>
      <c r="K77" s="20">
        <v>-1.2167470231361222</v>
      </c>
      <c r="L77" s="20">
        <f t="shared" si="2"/>
        <v>159.63654659048444</v>
      </c>
      <c r="M77" s="20"/>
      <c r="N77" s="20"/>
      <c r="O77" s="20"/>
    </row>
    <row r="78" spans="1:23">
      <c r="A78" s="19">
        <v>42173</v>
      </c>
      <c r="B78" s="20">
        <v>42.400486000000001</v>
      </c>
      <c r="C78" s="21">
        <v>32658300</v>
      </c>
      <c r="D78" s="23">
        <f t="shared" si="4"/>
        <v>1.6183269096378152E-2</v>
      </c>
      <c r="E78" s="47">
        <v>2121.23999</v>
      </c>
      <c r="F78" s="48">
        <v>3520360000</v>
      </c>
      <c r="G78" s="20">
        <f t="shared" si="5"/>
        <v>9.8540001369309162E-3</v>
      </c>
      <c r="H78" s="22">
        <v>1</v>
      </c>
      <c r="I78" s="16"/>
      <c r="J78" s="20">
        <v>45</v>
      </c>
      <c r="K78" s="20">
        <v>0.58354544307803735</v>
      </c>
      <c r="L78" s="20">
        <f t="shared" si="2"/>
        <v>159.73055329972021</v>
      </c>
      <c r="M78" s="20"/>
      <c r="N78" s="20"/>
      <c r="O78" s="20"/>
    </row>
    <row r="79" spans="1:23">
      <c r="A79" s="19">
        <v>42174</v>
      </c>
      <c r="B79" s="20">
        <v>41.837811000000002</v>
      </c>
      <c r="C79" s="21">
        <v>63837000</v>
      </c>
      <c r="D79" s="23">
        <f t="shared" si="4"/>
        <v>-1.3359324403997673E-2</v>
      </c>
      <c r="E79" s="47">
        <v>2109.98999</v>
      </c>
      <c r="F79" s="48">
        <v>4449810000</v>
      </c>
      <c r="G79" s="20">
        <f t="shared" si="5"/>
        <v>-5.3176152385387195E-3</v>
      </c>
      <c r="H79" s="22">
        <v>1</v>
      </c>
      <c r="I79" s="16"/>
      <c r="J79" s="20">
        <v>46</v>
      </c>
      <c r="K79" s="20">
        <v>2.6130874175578356</v>
      </c>
      <c r="L79" s="20">
        <f t="shared" si="2"/>
        <v>160.14974797871798</v>
      </c>
      <c r="M79" s="20"/>
      <c r="N79" s="20"/>
      <c r="O79" s="20"/>
    </row>
    <row r="80" spans="1:23">
      <c r="A80" s="19">
        <v>42177</v>
      </c>
      <c r="B80" s="20">
        <v>41.955790999999998</v>
      </c>
      <c r="C80" s="21">
        <v>20318100</v>
      </c>
      <c r="D80" s="23">
        <f t="shared" si="4"/>
        <v>2.8159686454809012E-3</v>
      </c>
      <c r="E80" s="47">
        <v>2122.8500979999999</v>
      </c>
      <c r="F80" s="48">
        <v>3030020000</v>
      </c>
      <c r="G80" s="20">
        <f t="shared" si="5"/>
        <v>6.0763682545493542E-3</v>
      </c>
      <c r="H80" s="22">
        <v>1</v>
      </c>
      <c r="I80" s="16"/>
      <c r="J80" s="20">
        <v>47</v>
      </c>
      <c r="K80" s="20">
        <v>-0.32134721550391987</v>
      </c>
      <c r="L80" s="20">
        <f t="shared" si="2"/>
        <v>160.0989260613066</v>
      </c>
      <c r="M80" s="20"/>
      <c r="N80" s="20"/>
      <c r="O80" s="20"/>
    </row>
    <row r="81" spans="1:15">
      <c r="A81" s="19">
        <v>42178</v>
      </c>
      <c r="B81" s="20">
        <v>41.665382000000001</v>
      </c>
      <c r="C81" s="21">
        <v>25896500</v>
      </c>
      <c r="D81" s="23">
        <f t="shared" si="4"/>
        <v>-6.9458525189793358E-3</v>
      </c>
      <c r="E81" s="47">
        <v>2124.1999510000001</v>
      </c>
      <c r="F81" s="48">
        <v>3091190000</v>
      </c>
      <c r="G81" s="20">
        <f t="shared" si="5"/>
        <v>6.356661823521784E-4</v>
      </c>
      <c r="H81" s="22">
        <v>1</v>
      </c>
      <c r="I81" s="16"/>
      <c r="J81" s="20">
        <v>48</v>
      </c>
      <c r="K81" s="20">
        <v>0.27821670300909318</v>
      </c>
      <c r="L81" s="20">
        <f t="shared" si="2"/>
        <v>160.14423587500144</v>
      </c>
      <c r="M81" s="20"/>
      <c r="N81" s="20"/>
      <c r="O81" s="20"/>
    </row>
    <row r="82" spans="1:15">
      <c r="A82" s="19">
        <v>42179</v>
      </c>
      <c r="B82" s="20">
        <v>41.420344999999998</v>
      </c>
      <c r="C82" s="21">
        <v>34890900</v>
      </c>
      <c r="D82" s="23">
        <f t="shared" si="4"/>
        <v>-5.8984309166137611E-3</v>
      </c>
      <c r="E82" s="47">
        <v>2108.580078</v>
      </c>
      <c r="F82" s="48">
        <v>3102480000</v>
      </c>
      <c r="G82" s="20">
        <f t="shared" si="5"/>
        <v>-7.3804656966740398E-3</v>
      </c>
      <c r="H82" s="22">
        <v>1</v>
      </c>
      <c r="I82" s="16"/>
      <c r="J82" s="20">
        <v>49</v>
      </c>
      <c r="K82" s="20">
        <v>-0.41736370803846512</v>
      </c>
      <c r="L82" s="20">
        <f t="shared" si="2"/>
        <v>160.0780243861411</v>
      </c>
      <c r="M82" s="20"/>
      <c r="N82" s="20"/>
      <c r="O82" s="20"/>
    </row>
    <row r="83" spans="1:15">
      <c r="A83" s="19">
        <v>42180</v>
      </c>
      <c r="B83" s="20">
        <v>41.429412999999997</v>
      </c>
      <c r="C83" s="21">
        <v>20616000</v>
      </c>
      <c r="D83" s="23">
        <f t="shared" si="4"/>
        <v>2.1890226972566925E-4</v>
      </c>
      <c r="E83" s="47">
        <v>2102.3100589999999</v>
      </c>
      <c r="F83" s="48">
        <v>3214610000</v>
      </c>
      <c r="G83" s="20">
        <f t="shared" si="5"/>
        <v>-2.9780039040750291E-3</v>
      </c>
      <c r="H83" s="22">
        <v>1</v>
      </c>
      <c r="I83" s="16"/>
      <c r="J83" s="20">
        <v>50</v>
      </c>
      <c r="K83" s="20">
        <v>0.52713176046381705</v>
      </c>
      <c r="L83" s="20">
        <f t="shared" si="2"/>
        <v>160.16324339690675</v>
      </c>
      <c r="M83" s="20"/>
      <c r="N83" s="20"/>
      <c r="O83" s="20"/>
    </row>
    <row r="84" spans="1:15">
      <c r="A84" s="19">
        <v>42181</v>
      </c>
      <c r="B84" s="20">
        <v>41.075465999999999</v>
      </c>
      <c r="C84" s="21">
        <v>49835300</v>
      </c>
      <c r="D84" s="23">
        <f t="shared" si="4"/>
        <v>-8.5800785525848716E-3</v>
      </c>
      <c r="E84" s="47">
        <v>2101.48999</v>
      </c>
      <c r="F84" s="48">
        <v>5025470000</v>
      </c>
      <c r="G84" s="20">
        <f t="shared" si="5"/>
        <v>-3.9015604969013028E-4</v>
      </c>
      <c r="H84" s="22">
        <v>1</v>
      </c>
      <c r="I84" s="16"/>
      <c r="J84" s="20">
        <v>51</v>
      </c>
      <c r="K84" s="20">
        <v>1.2921782399644144</v>
      </c>
      <c r="L84" s="20">
        <f t="shared" si="2"/>
        <v>160.37131548394703</v>
      </c>
      <c r="M84" s="20"/>
      <c r="N84" s="20"/>
      <c r="O84" s="20"/>
    </row>
    <row r="85" spans="1:15">
      <c r="A85" s="19">
        <v>42184</v>
      </c>
      <c r="B85" s="20">
        <v>40.267753999999996</v>
      </c>
      <c r="C85" s="21">
        <v>34081700</v>
      </c>
      <c r="D85" s="23">
        <f t="shared" si="4"/>
        <v>-1.9860009180122394E-2</v>
      </c>
      <c r="E85" s="47">
        <v>2057.639893</v>
      </c>
      <c r="F85" s="48">
        <v>3678960000</v>
      </c>
      <c r="G85" s="20">
        <f t="shared" si="5"/>
        <v>-2.1086969192055022E-2</v>
      </c>
      <c r="H85" s="22">
        <v>1</v>
      </c>
      <c r="I85" s="16"/>
      <c r="J85" s="20">
        <v>52</v>
      </c>
      <c r="K85" s="20">
        <v>-1.142657310992945</v>
      </c>
      <c r="L85" s="20">
        <f t="shared" si="2"/>
        <v>160.18862947944845</v>
      </c>
      <c r="M85" s="20"/>
      <c r="N85" s="20"/>
      <c r="O85" s="20"/>
    </row>
    <row r="86" spans="1:15">
      <c r="A86" s="19">
        <v>42185</v>
      </c>
      <c r="B86" s="20">
        <v>40.068100000000001</v>
      </c>
      <c r="C86" s="21">
        <v>35945400</v>
      </c>
      <c r="D86" s="23">
        <f t="shared" si="4"/>
        <v>-4.9704932756641299E-3</v>
      </c>
      <c r="E86" s="47">
        <v>2063.110107</v>
      </c>
      <c r="F86" s="48">
        <v>4078540000</v>
      </c>
      <c r="G86" s="20">
        <f t="shared" si="5"/>
        <v>2.6549619429538794E-3</v>
      </c>
      <c r="H86" s="22">
        <v>1</v>
      </c>
      <c r="I86" s="16"/>
      <c r="J86" s="20">
        <v>53</v>
      </c>
      <c r="K86" s="20">
        <v>-0.29144075597287156</v>
      </c>
      <c r="L86" s="20">
        <f t="shared" si="2"/>
        <v>160.14259082176989</v>
      </c>
      <c r="M86" s="20"/>
      <c r="N86" s="20"/>
      <c r="O86" s="20"/>
    </row>
    <row r="87" spans="1:15">
      <c r="A87" s="19">
        <v>42186</v>
      </c>
      <c r="B87" s="20">
        <v>40.340358999999999</v>
      </c>
      <c r="C87" s="21">
        <v>28343900</v>
      </c>
      <c r="D87" s="23">
        <f t="shared" si="4"/>
        <v>6.7719253383289732E-3</v>
      </c>
      <c r="E87" s="47">
        <v>2077.419922</v>
      </c>
      <c r="F87" s="48">
        <v>3727260000</v>
      </c>
      <c r="G87" s="20">
        <f t="shared" si="5"/>
        <v>6.9120966992928731E-3</v>
      </c>
      <c r="H87" s="22">
        <v>1</v>
      </c>
      <c r="I87" s="16"/>
      <c r="J87" s="20">
        <v>54</v>
      </c>
      <c r="K87" s="20">
        <v>-1.5264595276676118</v>
      </c>
      <c r="L87" s="20">
        <f t="shared" si="2"/>
        <v>159.89870242776425</v>
      </c>
      <c r="M87" s="20"/>
      <c r="N87" s="20"/>
      <c r="O87" s="20"/>
    </row>
    <row r="88" spans="1:15">
      <c r="A88" s="19">
        <v>42187</v>
      </c>
      <c r="B88" s="20">
        <v>40.294970999999997</v>
      </c>
      <c r="C88" s="21">
        <v>21752000</v>
      </c>
      <c r="D88" s="23">
        <f t="shared" si="4"/>
        <v>-1.1257597579990846E-3</v>
      </c>
      <c r="E88" s="47">
        <v>2076.780029</v>
      </c>
      <c r="F88" s="48">
        <v>2996540000</v>
      </c>
      <c r="G88" s="20">
        <f t="shared" si="5"/>
        <v>-3.0807039266700365E-4</v>
      </c>
      <c r="H88" s="22">
        <v>1</v>
      </c>
      <c r="I88" s="16"/>
      <c r="J88" s="20">
        <v>55</v>
      </c>
      <c r="K88" s="20">
        <v>-0.23811480787117034</v>
      </c>
      <c r="L88" s="20">
        <f t="shared" si="2"/>
        <v>159.86128296490918</v>
      </c>
      <c r="M88" s="20"/>
      <c r="N88" s="20"/>
      <c r="O88" s="20"/>
    </row>
    <row r="89" spans="1:15">
      <c r="A89" s="19">
        <v>42191</v>
      </c>
      <c r="B89" s="20">
        <v>40.285899999999998</v>
      </c>
      <c r="C89" s="21">
        <v>23034000</v>
      </c>
      <c r="D89" s="23">
        <f t="shared" si="4"/>
        <v>-2.251402826934709E-4</v>
      </c>
      <c r="E89" s="47">
        <v>2068.76001</v>
      </c>
      <c r="F89" s="48">
        <v>3486360000</v>
      </c>
      <c r="G89" s="20">
        <f t="shared" si="5"/>
        <v>-3.8692324426552824E-3</v>
      </c>
      <c r="H89" s="22">
        <v>1</v>
      </c>
      <c r="I89" s="16"/>
      <c r="J89" s="20">
        <v>56</v>
      </c>
      <c r="K89" s="20">
        <v>7.3312094173161313E-2</v>
      </c>
      <c r="L89" s="20">
        <f t="shared" si="2"/>
        <v>159.87371970903237</v>
      </c>
      <c r="M89" s="20"/>
      <c r="N89" s="20"/>
      <c r="O89" s="20"/>
    </row>
    <row r="90" spans="1:15">
      <c r="A90" s="19">
        <v>42192</v>
      </c>
      <c r="B90" s="20">
        <v>40.204227000000003</v>
      </c>
      <c r="C90" s="21">
        <v>36435800</v>
      </c>
      <c r="D90" s="23">
        <f t="shared" si="4"/>
        <v>-2.0293924503410219E-3</v>
      </c>
      <c r="E90" s="47">
        <v>2081.3400879999999</v>
      </c>
      <c r="F90" s="48">
        <v>4458660000</v>
      </c>
      <c r="G90" s="20">
        <f t="shared" si="5"/>
        <v>6.0625605331265549E-3</v>
      </c>
      <c r="H90" s="22">
        <v>1</v>
      </c>
      <c r="I90" s="16"/>
      <c r="J90" s="20">
        <v>57</v>
      </c>
      <c r="K90" s="20">
        <v>-0.34487811717553996</v>
      </c>
      <c r="L90" s="20">
        <f t="shared" si="2"/>
        <v>159.81921964802569</v>
      </c>
      <c r="M90" s="20"/>
      <c r="N90" s="20"/>
      <c r="O90" s="20"/>
    </row>
    <row r="91" spans="1:15">
      <c r="A91" s="19">
        <v>42193</v>
      </c>
      <c r="B91" s="20">
        <v>40.149776000000003</v>
      </c>
      <c r="C91" s="21">
        <v>39785900</v>
      </c>
      <c r="D91" s="23">
        <f t="shared" si="4"/>
        <v>-1.35527805215972E-3</v>
      </c>
      <c r="E91" s="47">
        <v>2046.6800539999999</v>
      </c>
      <c r="F91" s="48">
        <v>3608780000</v>
      </c>
      <c r="G91" s="20">
        <f t="shared" si="5"/>
        <v>-1.6792964823456991E-2</v>
      </c>
      <c r="H91" s="22">
        <v>1</v>
      </c>
      <c r="I91" s="16"/>
      <c r="J91" s="20">
        <v>58</v>
      </c>
      <c r="K91" s="20">
        <v>0.72787656790751498</v>
      </c>
      <c r="L91" s="20">
        <f t="shared" si="2"/>
        <v>159.93644678034192</v>
      </c>
      <c r="M91" s="20"/>
      <c r="N91" s="20"/>
      <c r="O91" s="20"/>
    </row>
    <row r="92" spans="1:15">
      <c r="A92" s="19">
        <v>42194</v>
      </c>
      <c r="B92" s="20">
        <v>40.403892999999997</v>
      </c>
      <c r="C92" s="21">
        <v>32424700</v>
      </c>
      <c r="D92" s="23">
        <f t="shared" si="4"/>
        <v>6.3092804120309619E-3</v>
      </c>
      <c r="E92" s="47">
        <v>2051.3100589999999</v>
      </c>
      <c r="F92" s="48">
        <v>3446810000</v>
      </c>
      <c r="G92" s="20">
        <f t="shared" si="5"/>
        <v>2.259647701629263E-3</v>
      </c>
      <c r="H92" s="22">
        <v>1</v>
      </c>
      <c r="I92" s="16"/>
      <c r="J92" s="20">
        <v>59</v>
      </c>
      <c r="K92" s="20">
        <v>0.68632516558864154</v>
      </c>
      <c r="L92" s="20">
        <f t="shared" si="2"/>
        <v>160.04710073032714</v>
      </c>
      <c r="M92" s="20"/>
      <c r="N92" s="20"/>
      <c r="O92" s="20"/>
    </row>
    <row r="93" spans="1:15">
      <c r="A93" s="19">
        <v>42195</v>
      </c>
      <c r="B93" s="20">
        <v>40.485568999999998</v>
      </c>
      <c r="C93" s="21">
        <v>25465800</v>
      </c>
      <c r="D93" s="23">
        <f t="shared" si="4"/>
        <v>2.0194479166491183E-3</v>
      </c>
      <c r="E93" s="47">
        <v>2076.6201169999999</v>
      </c>
      <c r="F93" s="48">
        <v>3065070000</v>
      </c>
      <c r="G93" s="20">
        <f t="shared" si="5"/>
        <v>1.2262986096672604E-2</v>
      </c>
      <c r="H93" s="22">
        <v>1</v>
      </c>
      <c r="I93" s="16"/>
      <c r="J93" s="20">
        <v>60</v>
      </c>
      <c r="K93" s="20">
        <v>1.7393540474586189</v>
      </c>
      <c r="L93" s="20">
        <f t="shared" si="2"/>
        <v>160.32679551852877</v>
      </c>
      <c r="M93" s="20"/>
      <c r="N93" s="20"/>
      <c r="O93" s="20"/>
    </row>
    <row r="94" spans="1:15">
      <c r="A94" s="19">
        <v>42198</v>
      </c>
      <c r="B94" s="20">
        <v>41.329590000000003</v>
      </c>
      <c r="C94" s="21">
        <v>28178300</v>
      </c>
      <c r="D94" s="23">
        <f t="shared" si="4"/>
        <v>2.0633118692152942E-2</v>
      </c>
      <c r="E94" s="47">
        <v>2099.6000979999999</v>
      </c>
      <c r="F94" s="48">
        <v>3096730000</v>
      </c>
      <c r="G94" s="20">
        <f t="shared" si="5"/>
        <v>1.1005268761367724E-2</v>
      </c>
      <c r="H94" s="22">
        <v>1</v>
      </c>
      <c r="I94" s="16"/>
      <c r="J94" s="20">
        <v>61</v>
      </c>
      <c r="K94" s="20">
        <v>-1.1818860912171658</v>
      </c>
      <c r="L94" s="20">
        <f t="shared" si="2"/>
        <v>160.13786973345537</v>
      </c>
      <c r="M94" s="20"/>
      <c r="N94" s="20"/>
      <c r="O94" s="20"/>
    </row>
    <row r="95" spans="1:15">
      <c r="A95" s="19">
        <v>42199</v>
      </c>
      <c r="B95" s="20">
        <v>41.402180000000001</v>
      </c>
      <c r="C95" s="21">
        <v>22880300</v>
      </c>
      <c r="D95" s="23">
        <f t="shared" si="4"/>
        <v>1.7548281301833419E-3</v>
      </c>
      <c r="E95" s="47">
        <v>2108.9499510000001</v>
      </c>
      <c r="F95" s="48">
        <v>3002120000</v>
      </c>
      <c r="G95" s="20">
        <f t="shared" si="5"/>
        <v>4.4432729912807552E-3</v>
      </c>
      <c r="H95" s="22">
        <v>1</v>
      </c>
      <c r="I95" s="16"/>
      <c r="J95" s="20">
        <v>62</v>
      </c>
      <c r="K95" s="20">
        <v>2.2783569875173271</v>
      </c>
      <c r="L95" s="20">
        <f t="shared" si="2"/>
        <v>160.5043271855356</v>
      </c>
      <c r="M95" s="20"/>
      <c r="N95" s="20"/>
      <c r="O95" s="20"/>
    </row>
    <row r="96" spans="1:15">
      <c r="A96" s="19">
        <v>42200</v>
      </c>
      <c r="B96" s="20">
        <v>41.529243000000001</v>
      </c>
      <c r="C96" s="21">
        <v>26629600</v>
      </c>
      <c r="D96" s="23">
        <f t="shared" si="4"/>
        <v>3.0642932396240247E-3</v>
      </c>
      <c r="E96" s="47">
        <v>2107.3999020000001</v>
      </c>
      <c r="F96" s="48">
        <v>3261810000</v>
      </c>
      <c r="G96" s="20">
        <f t="shared" si="5"/>
        <v>-7.35256382355035E-4</v>
      </c>
      <c r="H96" s="22">
        <v>1</v>
      </c>
      <c r="I96" s="16"/>
      <c r="J96" s="20">
        <v>63</v>
      </c>
      <c r="K96" s="20">
        <v>0.86378349806182086</v>
      </c>
      <c r="L96" s="20">
        <f t="shared" si="2"/>
        <v>160.64391702607068</v>
      </c>
      <c r="M96" s="20"/>
      <c r="N96" s="20"/>
      <c r="O96" s="20"/>
    </row>
    <row r="97" spans="1:15">
      <c r="A97" s="19">
        <v>42201</v>
      </c>
      <c r="B97" s="20">
        <v>42.346035000000001</v>
      </c>
      <c r="C97" s="21">
        <v>26271700</v>
      </c>
      <c r="D97" s="23">
        <f t="shared" si="4"/>
        <v>1.9476962468357735E-2</v>
      </c>
      <c r="E97" s="47">
        <v>2124.290039</v>
      </c>
      <c r="F97" s="48">
        <v>3227080000</v>
      </c>
      <c r="G97" s="20">
        <f t="shared" si="5"/>
        <v>7.9827335781697557E-3</v>
      </c>
      <c r="H97" s="22">
        <v>1</v>
      </c>
      <c r="I97" s="16"/>
      <c r="J97" s="20">
        <v>64</v>
      </c>
      <c r="K97" s="20">
        <v>-1.0423491403344087</v>
      </c>
      <c r="L97" s="20">
        <f t="shared" si="2"/>
        <v>160.47703825554305</v>
      </c>
      <c r="M97" s="20"/>
      <c r="N97" s="20"/>
      <c r="O97" s="20"/>
    </row>
    <row r="98" spans="1:15">
      <c r="A98" s="19">
        <v>42202</v>
      </c>
      <c r="B98" s="20">
        <v>42.309733999999999</v>
      </c>
      <c r="C98" s="21">
        <v>29467100</v>
      </c>
      <c r="D98" s="23">
        <f t="shared" si="4"/>
        <v>-8.5761437534061572E-4</v>
      </c>
      <c r="E98" s="47">
        <v>2126.639893</v>
      </c>
      <c r="F98" s="48">
        <v>3362750000</v>
      </c>
      <c r="G98" s="20">
        <f t="shared" si="5"/>
        <v>1.1055718522485251E-3</v>
      </c>
      <c r="H98" s="22">
        <v>1</v>
      </c>
      <c r="I98" s="16"/>
      <c r="J98" s="20">
        <v>65</v>
      </c>
      <c r="K98" s="20">
        <v>-2.7229543775320053</v>
      </c>
      <c r="L98" s="20">
        <f t="shared" ref="L98:L161" si="6">L97*EXP($N$31*$N$33+$N$32*K98*SQRT($N$33))</f>
        <v>160.04078285628262</v>
      </c>
      <c r="M98" s="20"/>
      <c r="N98" s="20"/>
      <c r="O98" s="20"/>
    </row>
    <row r="99" spans="1:15">
      <c r="A99" s="19">
        <v>42205</v>
      </c>
      <c r="B99" s="20">
        <v>42.581992999999997</v>
      </c>
      <c r="C99" s="21">
        <v>30631900</v>
      </c>
      <c r="D99" s="23">
        <f t="shared" si="4"/>
        <v>6.4142865997689532E-3</v>
      </c>
      <c r="E99" s="47">
        <v>2128.280029</v>
      </c>
      <c r="F99" s="48">
        <v>3245870000</v>
      </c>
      <c r="G99" s="20">
        <f t="shared" si="5"/>
        <v>7.7093628613465076E-4</v>
      </c>
      <c r="H99" s="22">
        <v>1</v>
      </c>
      <c r="I99" s="16"/>
      <c r="J99" s="20">
        <v>66</v>
      </c>
      <c r="K99" s="20">
        <v>-2.0235120246070437E-2</v>
      </c>
      <c r="L99" s="20">
        <f t="shared" si="6"/>
        <v>160.03824181164728</v>
      </c>
      <c r="M99" s="20"/>
      <c r="N99" s="20"/>
      <c r="O99" s="20"/>
    </row>
    <row r="100" spans="1:15">
      <c r="A100" s="19">
        <v>42206</v>
      </c>
      <c r="B100" s="20">
        <v>42.908709999999999</v>
      </c>
      <c r="C100" s="21">
        <v>42781900</v>
      </c>
      <c r="D100" s="23">
        <f t="shared" si="4"/>
        <v>7.6433712469604889E-3</v>
      </c>
      <c r="E100" s="47">
        <v>2119.209961</v>
      </c>
      <c r="F100" s="48">
        <v>3343690000</v>
      </c>
      <c r="G100" s="20">
        <f t="shared" si="5"/>
        <v>-4.2707960737403163E-3</v>
      </c>
      <c r="H100" s="22">
        <v>1</v>
      </c>
      <c r="I100" s="16"/>
      <c r="J100" s="20">
        <v>67</v>
      </c>
      <c r="K100" s="20">
        <v>-0.60637262322416063</v>
      </c>
      <c r="L100" s="20">
        <f t="shared" si="6"/>
        <v>159.94180063266572</v>
      </c>
      <c r="M100" s="20"/>
      <c r="N100" s="20"/>
      <c r="O100" s="20"/>
    </row>
    <row r="101" spans="1:15">
      <c r="A101" s="19">
        <v>42207</v>
      </c>
      <c r="B101" s="20">
        <v>41.329590000000003</v>
      </c>
      <c r="C101" s="21">
        <v>59152400</v>
      </c>
      <c r="D101" s="23">
        <f t="shared" si="4"/>
        <v>-3.7496127309554039E-2</v>
      </c>
      <c r="E101" s="47">
        <v>2114.1499020000001</v>
      </c>
      <c r="F101" s="48">
        <v>3694070000</v>
      </c>
      <c r="G101" s="20">
        <f t="shared" si="5"/>
        <v>-2.3905652122773076E-3</v>
      </c>
      <c r="H101" s="22">
        <v>1</v>
      </c>
      <c r="I101" s="16"/>
      <c r="J101" s="20">
        <v>68</v>
      </c>
      <c r="K101" s="20">
        <v>-4.6718469093320891E-2</v>
      </c>
      <c r="L101" s="20">
        <f t="shared" si="6"/>
        <v>159.93501985286659</v>
      </c>
      <c r="M101" s="20"/>
      <c r="N101" s="20"/>
      <c r="O101" s="20"/>
    </row>
    <row r="102" spans="1:15">
      <c r="A102" s="19">
        <v>42208</v>
      </c>
      <c r="B102" s="20">
        <v>41.846882000000001</v>
      </c>
      <c r="C102" s="21">
        <v>33934000</v>
      </c>
      <c r="D102" s="23">
        <f t="shared" si="4"/>
        <v>1.2438581658724265E-2</v>
      </c>
      <c r="E102" s="47">
        <v>2102.1499020000001</v>
      </c>
      <c r="F102" s="48">
        <v>3772810000</v>
      </c>
      <c r="G102" s="20">
        <f t="shared" si="5"/>
        <v>-5.6922102123075392E-3</v>
      </c>
      <c r="H102" s="22">
        <v>1</v>
      </c>
      <c r="I102" s="16"/>
      <c r="J102" s="20">
        <v>69</v>
      </c>
      <c r="K102" s="20">
        <v>0.98767259260057472</v>
      </c>
      <c r="L102" s="20">
        <f t="shared" si="6"/>
        <v>160.09397362466564</v>
      </c>
      <c r="M102" s="20"/>
      <c r="N102" s="20"/>
      <c r="O102" s="20"/>
    </row>
    <row r="103" spans="1:15">
      <c r="A103" s="19">
        <v>42209</v>
      </c>
      <c r="B103" s="20">
        <v>41.692599999999999</v>
      </c>
      <c r="C103" s="21">
        <v>32333200</v>
      </c>
      <c r="D103" s="23">
        <f t="shared" si="4"/>
        <v>-3.6936349546662331E-3</v>
      </c>
      <c r="E103" s="47">
        <v>2079.6499020000001</v>
      </c>
      <c r="F103" s="48">
        <v>3870040000</v>
      </c>
      <c r="G103" s="20">
        <f t="shared" si="5"/>
        <v>-1.0761020698430391E-2</v>
      </c>
      <c r="H103" s="22">
        <v>1</v>
      </c>
      <c r="I103" s="16"/>
      <c r="J103" s="20">
        <v>70</v>
      </c>
      <c r="K103" s="20">
        <v>-0.22569793145521544</v>
      </c>
      <c r="L103" s="20">
        <f t="shared" si="6"/>
        <v>160.05849852302842</v>
      </c>
      <c r="M103" s="20"/>
      <c r="N103" s="20"/>
      <c r="O103" s="20"/>
    </row>
    <row r="104" spans="1:15">
      <c r="A104" s="19">
        <v>42212</v>
      </c>
      <c r="B104" s="20">
        <v>41.157142999999998</v>
      </c>
      <c r="C104" s="21">
        <v>39701400</v>
      </c>
      <c r="D104" s="23">
        <f t="shared" si="4"/>
        <v>-1.2926158517456295E-2</v>
      </c>
      <c r="E104" s="47">
        <v>2067.639893</v>
      </c>
      <c r="F104" s="48">
        <v>3836750000</v>
      </c>
      <c r="G104" s="20">
        <f t="shared" si="5"/>
        <v>-5.7917546957350231E-3</v>
      </c>
      <c r="H104" s="22">
        <v>1</v>
      </c>
      <c r="I104" s="16"/>
      <c r="J104" s="20">
        <v>71</v>
      </c>
      <c r="K104" s="20">
        <v>-6.9708221417386085E-2</v>
      </c>
      <c r="L104" s="20">
        <f t="shared" si="6"/>
        <v>160.04802839322716</v>
      </c>
      <c r="M104" s="20"/>
      <c r="N104" s="20"/>
      <c r="O104" s="20"/>
    </row>
    <row r="105" spans="1:15">
      <c r="A105" s="19">
        <v>42213</v>
      </c>
      <c r="B105" s="20">
        <v>41.148071000000002</v>
      </c>
      <c r="C105" s="21">
        <v>34328900</v>
      </c>
      <c r="D105" s="23">
        <f t="shared" si="4"/>
        <v>-2.2044776013179648E-4</v>
      </c>
      <c r="E105" s="47">
        <v>2093.25</v>
      </c>
      <c r="F105" s="48">
        <v>4117740000</v>
      </c>
      <c r="G105" s="20">
        <f t="shared" si="5"/>
        <v>1.2310073597852267E-2</v>
      </c>
      <c r="H105" s="22">
        <v>1</v>
      </c>
      <c r="I105" s="16"/>
      <c r="J105" s="20">
        <v>72</v>
      </c>
      <c r="K105" s="20">
        <v>-0.45031129047856666</v>
      </c>
      <c r="L105" s="20">
        <f t="shared" si="6"/>
        <v>159.97657873969624</v>
      </c>
      <c r="M105" s="20"/>
      <c r="N105" s="20"/>
      <c r="O105" s="20"/>
    </row>
    <row r="106" spans="1:15">
      <c r="A106" s="19">
        <v>42214</v>
      </c>
      <c r="B106" s="20">
        <v>42.010238999999999</v>
      </c>
      <c r="C106" s="21">
        <v>40945900</v>
      </c>
      <c r="D106" s="23">
        <f t="shared" si="4"/>
        <v>2.0736325540690864E-2</v>
      </c>
      <c r="E106" s="47">
        <v>2108.570068</v>
      </c>
      <c r="F106" s="48">
        <v>4038900000</v>
      </c>
      <c r="G106" s="20">
        <f t="shared" si="5"/>
        <v>7.2921427569481731E-3</v>
      </c>
      <c r="H106" s="22">
        <v>1</v>
      </c>
      <c r="I106" s="16"/>
      <c r="J106" s="20">
        <v>73</v>
      </c>
      <c r="K106" s="20">
        <v>-1.9600520317908376</v>
      </c>
      <c r="L106" s="20">
        <f t="shared" si="6"/>
        <v>159.66360706822482</v>
      </c>
      <c r="M106" s="20"/>
      <c r="N106" s="20"/>
      <c r="O106" s="20"/>
    </row>
    <row r="107" spans="1:15">
      <c r="A107" s="19">
        <v>42215</v>
      </c>
      <c r="B107" s="20">
        <v>42.545692000000003</v>
      </c>
      <c r="C107" s="21">
        <v>39777900</v>
      </c>
      <c r="D107" s="23">
        <f t="shared" si="4"/>
        <v>1.2665230013537171E-2</v>
      </c>
      <c r="E107" s="47">
        <v>2108.6298830000001</v>
      </c>
      <c r="F107" s="48">
        <v>3579410000</v>
      </c>
      <c r="G107" s="20">
        <f t="shared" si="5"/>
        <v>2.8367163378208414E-5</v>
      </c>
      <c r="H107" s="22">
        <v>1</v>
      </c>
      <c r="I107" s="16"/>
      <c r="J107" s="20">
        <v>74</v>
      </c>
      <c r="K107" s="20">
        <v>4.181856638751924E-2</v>
      </c>
      <c r="L107" s="20">
        <f t="shared" si="6"/>
        <v>159.67099306080172</v>
      </c>
      <c r="M107" s="20"/>
      <c r="N107" s="20"/>
      <c r="O107" s="20"/>
    </row>
    <row r="108" spans="1:15">
      <c r="A108" s="19">
        <v>42216</v>
      </c>
      <c r="B108" s="20">
        <v>42.382339000000002</v>
      </c>
      <c r="C108" s="21">
        <v>31201500</v>
      </c>
      <c r="D108" s="23">
        <f t="shared" si="4"/>
        <v>-3.846861855213368E-3</v>
      </c>
      <c r="E108" s="47">
        <v>2103.8400879999999</v>
      </c>
      <c r="F108" s="48">
        <v>3681340000</v>
      </c>
      <c r="G108" s="20">
        <f t="shared" si="5"/>
        <v>-2.2741038379837917E-3</v>
      </c>
      <c r="H108" s="22">
        <v>1</v>
      </c>
      <c r="I108" s="16"/>
      <c r="J108" s="20">
        <v>75</v>
      </c>
      <c r="K108" s="20">
        <v>0.42924511944875121</v>
      </c>
      <c r="L108" s="20">
        <f t="shared" si="6"/>
        <v>159.74033736758705</v>
      </c>
      <c r="M108" s="20"/>
      <c r="N108" s="20"/>
      <c r="O108" s="20"/>
    </row>
    <row r="109" spans="1:15">
      <c r="A109" s="19">
        <v>42219</v>
      </c>
      <c r="B109" s="20">
        <v>42.482162000000002</v>
      </c>
      <c r="C109" s="21">
        <v>24125900</v>
      </c>
      <c r="D109" s="23">
        <f t="shared" si="4"/>
        <v>2.352527732137536E-3</v>
      </c>
      <c r="E109" s="47">
        <v>2098.040039</v>
      </c>
      <c r="F109" s="48">
        <v>3476770000</v>
      </c>
      <c r="G109" s="20">
        <f t="shared" si="5"/>
        <v>-2.7606940266825457E-3</v>
      </c>
      <c r="H109" s="22">
        <v>1</v>
      </c>
      <c r="I109" s="16"/>
      <c r="J109" s="20">
        <v>76</v>
      </c>
      <c r="K109" s="20">
        <v>0.46730974645470269</v>
      </c>
      <c r="L109" s="20">
        <f t="shared" si="6"/>
        <v>159.81580309712493</v>
      </c>
      <c r="M109" s="20"/>
      <c r="N109" s="20"/>
      <c r="O109" s="20"/>
    </row>
    <row r="110" spans="1:15">
      <c r="A110" s="19">
        <v>42220</v>
      </c>
      <c r="B110" s="20">
        <v>43.144669</v>
      </c>
      <c r="C110" s="21">
        <v>33403900</v>
      </c>
      <c r="D110" s="23">
        <f t="shared" si="4"/>
        <v>1.5474593949255053E-2</v>
      </c>
      <c r="E110" s="47">
        <v>2093.320068</v>
      </c>
      <c r="F110" s="48">
        <v>3546710000</v>
      </c>
      <c r="G110" s="20">
        <f t="shared" si="5"/>
        <v>-2.2522393088201631E-3</v>
      </c>
      <c r="H110" s="22">
        <v>1</v>
      </c>
      <c r="I110" s="16"/>
      <c r="J110" s="20">
        <v>77</v>
      </c>
      <c r="K110" s="20">
        <v>0.66222355599165894</v>
      </c>
      <c r="L110" s="20">
        <f t="shared" si="6"/>
        <v>159.9225140133963</v>
      </c>
      <c r="M110" s="20"/>
      <c r="N110" s="20"/>
      <c r="O110" s="20"/>
    </row>
    <row r="111" spans="1:15">
      <c r="A111" s="19">
        <v>42221</v>
      </c>
      <c r="B111" s="20">
        <v>43.180976999999999</v>
      </c>
      <c r="C111" s="21">
        <v>26959700</v>
      </c>
      <c r="D111" s="23">
        <f t="shared" si="4"/>
        <v>8.4118692007114574E-4</v>
      </c>
      <c r="E111" s="47">
        <v>2099.8400879999999</v>
      </c>
      <c r="F111" s="48">
        <v>3968680000</v>
      </c>
      <c r="G111" s="20">
        <f t="shared" si="5"/>
        <v>3.1098384092550632E-3</v>
      </c>
      <c r="H111" s="22">
        <v>1</v>
      </c>
      <c r="I111" s="16"/>
      <c r="J111" s="20">
        <v>78</v>
      </c>
      <c r="K111" s="20">
        <v>-0.69234033617249224</v>
      </c>
      <c r="L111" s="20">
        <f t="shared" si="6"/>
        <v>159.81238499646585</v>
      </c>
      <c r="M111" s="20"/>
      <c r="N111" s="20"/>
      <c r="O111" s="20"/>
    </row>
    <row r="112" spans="1:15">
      <c r="A112" s="19">
        <v>42222</v>
      </c>
      <c r="B112" s="20">
        <v>42.309733999999999</v>
      </c>
      <c r="C112" s="21">
        <v>27368000</v>
      </c>
      <c r="D112" s="23">
        <f t="shared" si="4"/>
        <v>-2.0382873264123535E-2</v>
      </c>
      <c r="E112" s="47">
        <v>2083.5600589999999</v>
      </c>
      <c r="F112" s="48">
        <v>4246570000</v>
      </c>
      <c r="G112" s="20">
        <f t="shared" si="5"/>
        <v>-7.7831957796706099E-3</v>
      </c>
      <c r="H112" s="22">
        <v>1</v>
      </c>
      <c r="I112" s="16"/>
      <c r="J112" s="20">
        <v>79</v>
      </c>
      <c r="K112" s="20">
        <v>-1.2735426935250871</v>
      </c>
      <c r="L112" s="20">
        <f t="shared" si="6"/>
        <v>159.60941598852961</v>
      </c>
      <c r="M112" s="20"/>
      <c r="N112" s="20"/>
      <c r="O112" s="20"/>
    </row>
    <row r="113" spans="1:15">
      <c r="A113" s="19">
        <v>42223</v>
      </c>
      <c r="B113" s="20">
        <v>42.418644</v>
      </c>
      <c r="C113" s="21">
        <v>19163000</v>
      </c>
      <c r="D113" s="23">
        <f t="shared" si="4"/>
        <v>2.5708047894536057E-3</v>
      </c>
      <c r="E113" s="47">
        <v>2077.570068</v>
      </c>
      <c r="F113" s="48">
        <v>3602320000</v>
      </c>
      <c r="G113" s="20">
        <f t="shared" si="5"/>
        <v>-2.8790232242949477E-3</v>
      </c>
      <c r="H113" s="22">
        <v>1</v>
      </c>
      <c r="I113" s="16"/>
      <c r="J113" s="20">
        <v>80</v>
      </c>
      <c r="K113" s="20">
        <v>0.37384779716376215</v>
      </c>
      <c r="L113" s="20">
        <f t="shared" si="6"/>
        <v>159.66987625457745</v>
      </c>
      <c r="M113" s="20"/>
      <c r="N113" s="20"/>
      <c r="O113" s="20"/>
    </row>
    <row r="114" spans="1:15">
      <c r="A114" s="19">
        <v>42226</v>
      </c>
      <c r="B114" s="20">
        <v>42.954082</v>
      </c>
      <c r="C114" s="21">
        <v>23079900</v>
      </c>
      <c r="D114" s="23">
        <f t="shared" si="4"/>
        <v>1.2543702087368323E-2</v>
      </c>
      <c r="E114" s="47">
        <v>2104.179932</v>
      </c>
      <c r="F114" s="48">
        <v>3514460000</v>
      </c>
      <c r="G114" s="20">
        <f t="shared" si="5"/>
        <v>1.2726835975794628E-2</v>
      </c>
      <c r="H114" s="22">
        <v>1</v>
      </c>
      <c r="I114" s="16"/>
      <c r="J114" s="20">
        <v>81</v>
      </c>
      <c r="K114" s="20">
        <v>0.39088376979634631</v>
      </c>
      <c r="L114" s="20">
        <f t="shared" si="6"/>
        <v>159.733084228904</v>
      </c>
      <c r="M114" s="20"/>
      <c r="N114" s="20"/>
      <c r="O114" s="20"/>
    </row>
    <row r="115" spans="1:15">
      <c r="A115" s="19">
        <v>42227</v>
      </c>
      <c r="B115" s="20">
        <v>42.119148000000003</v>
      </c>
      <c r="C115" s="21">
        <v>29237400</v>
      </c>
      <c r="D115" s="23">
        <f t="shared" si="4"/>
        <v>-1.9629225518271561E-2</v>
      </c>
      <c r="E115" s="47">
        <v>2084.070068</v>
      </c>
      <c r="F115" s="48">
        <v>3708880000</v>
      </c>
      <c r="G115" s="20">
        <f t="shared" si="5"/>
        <v>-9.6030650234122886E-3</v>
      </c>
      <c r="H115" s="22">
        <v>1</v>
      </c>
      <c r="I115" s="16"/>
      <c r="J115" s="20">
        <v>82</v>
      </c>
      <c r="K115" s="20">
        <v>-0.65007952798623592</v>
      </c>
      <c r="L115" s="20">
        <f t="shared" si="6"/>
        <v>159.62984057985847</v>
      </c>
      <c r="M115" s="20"/>
      <c r="N115" s="20"/>
      <c r="O115" s="20"/>
    </row>
    <row r="116" spans="1:15">
      <c r="A116" s="19">
        <v>42228</v>
      </c>
      <c r="B116" s="20">
        <v>42.418644</v>
      </c>
      <c r="C116" s="21">
        <v>30181400</v>
      </c>
      <c r="D116" s="23">
        <f t="shared" si="4"/>
        <v>7.0855234309032877E-3</v>
      </c>
      <c r="E116" s="47">
        <v>2086.0500489999999</v>
      </c>
      <c r="F116" s="48">
        <v>4269130000</v>
      </c>
      <c r="G116" s="20">
        <f t="shared" si="5"/>
        <v>9.4960389304633061E-4</v>
      </c>
      <c r="H116" s="22">
        <v>1</v>
      </c>
      <c r="I116" s="16"/>
      <c r="J116" s="20">
        <v>83</v>
      </c>
      <c r="K116" s="20">
        <v>-0.15402520148199983</v>
      </c>
      <c r="L116" s="20">
        <f t="shared" si="6"/>
        <v>159.60592252666717</v>
      </c>
      <c r="M116" s="20"/>
      <c r="N116" s="20"/>
      <c r="O116" s="20"/>
    </row>
    <row r="117" spans="1:15">
      <c r="A117" s="19">
        <v>42229</v>
      </c>
      <c r="B117" s="20">
        <v>42.409568999999998</v>
      </c>
      <c r="C117" s="21">
        <v>22627200</v>
      </c>
      <c r="D117" s="23">
        <f t="shared" si="4"/>
        <v>-2.1396183448128971E-4</v>
      </c>
      <c r="E117" s="47">
        <v>2083.389893</v>
      </c>
      <c r="F117" s="48">
        <v>3221300000</v>
      </c>
      <c r="G117" s="20">
        <f t="shared" si="5"/>
        <v>-1.2760257482792195E-3</v>
      </c>
      <c r="H117" s="22">
        <v>1</v>
      </c>
      <c r="I117" s="16"/>
      <c r="J117" s="20">
        <v>84</v>
      </c>
      <c r="K117" s="20">
        <v>0.78386619861703366</v>
      </c>
      <c r="L117" s="20">
        <f t="shared" si="6"/>
        <v>159.73194818699056</v>
      </c>
      <c r="M117" s="20"/>
      <c r="N117" s="20"/>
      <c r="O117" s="20"/>
    </row>
    <row r="118" spans="1:15">
      <c r="A118" s="19">
        <v>42230</v>
      </c>
      <c r="B118" s="20">
        <v>42.654606000000001</v>
      </c>
      <c r="C118" s="21">
        <v>21473400</v>
      </c>
      <c r="D118" s="23">
        <f t="shared" si="4"/>
        <v>5.76124267990092E-3</v>
      </c>
      <c r="E118" s="47">
        <v>2091.540039</v>
      </c>
      <c r="F118" s="48">
        <v>2795590000</v>
      </c>
      <c r="G118" s="20">
        <f t="shared" si="5"/>
        <v>3.904332041982352E-3</v>
      </c>
      <c r="H118" s="22">
        <v>1</v>
      </c>
      <c r="I118" s="16"/>
      <c r="J118" s="20">
        <v>85</v>
      </c>
      <c r="K118" s="20">
        <v>1.5555497157038189</v>
      </c>
      <c r="L118" s="20">
        <f t="shared" si="6"/>
        <v>159.98164506789271</v>
      </c>
      <c r="M118" s="20"/>
      <c r="N118" s="20"/>
      <c r="O118" s="20"/>
    </row>
    <row r="119" spans="1:15">
      <c r="A119" s="19">
        <v>42233</v>
      </c>
      <c r="B119" s="20">
        <v>42.945011000000001</v>
      </c>
      <c r="C119" s="21">
        <v>21099700</v>
      </c>
      <c r="D119" s="23">
        <f t="shared" si="4"/>
        <v>6.7852199424491399E-3</v>
      </c>
      <c r="E119" s="47">
        <v>2102.4399410000001</v>
      </c>
      <c r="F119" s="48">
        <v>2867690000</v>
      </c>
      <c r="G119" s="20">
        <f t="shared" si="5"/>
        <v>5.1978915460573353E-3</v>
      </c>
      <c r="H119" s="22">
        <v>1</v>
      </c>
      <c r="I119" s="16"/>
      <c r="J119" s="20">
        <v>86</v>
      </c>
      <c r="K119" s="20">
        <v>0.99216777016408741</v>
      </c>
      <c r="L119" s="20">
        <f t="shared" si="6"/>
        <v>160.14136599889764</v>
      </c>
      <c r="M119" s="20"/>
      <c r="N119" s="20"/>
      <c r="O119" s="20"/>
    </row>
    <row r="120" spans="1:15">
      <c r="A120" s="19">
        <v>42234</v>
      </c>
      <c r="B120" s="20">
        <v>43.182529000000002</v>
      </c>
      <c r="C120" s="21">
        <v>23574100</v>
      </c>
      <c r="D120" s="23">
        <f t="shared" si="4"/>
        <v>5.5155087936888609E-3</v>
      </c>
      <c r="E120" s="47">
        <v>2096.919922</v>
      </c>
      <c r="F120" s="48">
        <v>2949990000</v>
      </c>
      <c r="G120" s="20">
        <f t="shared" si="5"/>
        <v>-2.628982682793983E-3</v>
      </c>
      <c r="H120" s="22">
        <v>1</v>
      </c>
      <c r="I120" s="16"/>
      <c r="J120" s="20">
        <v>87</v>
      </c>
      <c r="K120" s="20">
        <v>0.55538521337439306</v>
      </c>
      <c r="L120" s="20">
        <f t="shared" si="6"/>
        <v>160.23115177273127</v>
      </c>
      <c r="M120" s="20"/>
      <c r="N120" s="20"/>
      <c r="O120" s="20"/>
    </row>
    <row r="121" spans="1:15">
      <c r="A121" s="19">
        <v>42235</v>
      </c>
      <c r="B121" s="20">
        <v>42.579597</v>
      </c>
      <c r="C121" s="21">
        <v>31485500</v>
      </c>
      <c r="D121" s="23">
        <f t="shared" si="4"/>
        <v>-1.4060797270217718E-2</v>
      </c>
      <c r="E121" s="47">
        <v>2079.610107</v>
      </c>
      <c r="F121" s="48">
        <v>3512920000</v>
      </c>
      <c r="G121" s="20">
        <f t="shared" si="5"/>
        <v>-8.2891366720709101E-3</v>
      </c>
      <c r="H121" s="22">
        <v>1</v>
      </c>
      <c r="I121" s="16"/>
      <c r="J121" s="20">
        <v>88</v>
      </c>
      <c r="K121" s="20">
        <v>1.0685175766411703</v>
      </c>
      <c r="L121" s="20">
        <f t="shared" si="6"/>
        <v>160.40338439706906</v>
      </c>
      <c r="M121" s="20"/>
      <c r="N121" s="20"/>
      <c r="O121" s="20"/>
    </row>
    <row r="122" spans="1:15">
      <c r="A122" s="19">
        <v>42236</v>
      </c>
      <c r="B122" s="20">
        <v>41.711753999999999</v>
      </c>
      <c r="C122" s="21">
        <v>36238200</v>
      </c>
      <c r="D122" s="23">
        <f t="shared" si="4"/>
        <v>-2.0592235292877046E-2</v>
      </c>
      <c r="E122" s="47">
        <v>2035.7299800000001</v>
      </c>
      <c r="F122" s="48">
        <v>3922470000</v>
      </c>
      <c r="G122" s="20">
        <f t="shared" si="5"/>
        <v>-2.1325960481545045E-2</v>
      </c>
      <c r="H122" s="22">
        <v>1</v>
      </c>
      <c r="I122" s="16"/>
      <c r="J122" s="20">
        <v>89</v>
      </c>
      <c r="K122" s="20">
        <v>-0.73477394835208543</v>
      </c>
      <c r="L122" s="20">
        <f t="shared" si="6"/>
        <v>160.28611352056373</v>
      </c>
      <c r="M122" s="20"/>
      <c r="N122" s="20"/>
      <c r="O122" s="20"/>
    </row>
    <row r="123" spans="1:15">
      <c r="A123" s="19">
        <v>42237</v>
      </c>
      <c r="B123" s="20">
        <v>39.345711000000001</v>
      </c>
      <c r="C123" s="21">
        <v>70053100</v>
      </c>
      <c r="D123" s="23">
        <f t="shared" si="4"/>
        <v>-5.8395986855485658E-2</v>
      </c>
      <c r="E123" s="47">
        <v>1970.8900149999999</v>
      </c>
      <c r="F123" s="48">
        <v>5018240000</v>
      </c>
      <c r="G123" s="20">
        <f t="shared" si="5"/>
        <v>-3.236924211323932E-2</v>
      </c>
      <c r="H123" s="22">
        <v>1</v>
      </c>
      <c r="I123" s="16"/>
      <c r="J123" s="20">
        <v>90</v>
      </c>
      <c r="K123" s="20">
        <v>1.185121618618723</v>
      </c>
      <c r="L123" s="20">
        <f t="shared" si="6"/>
        <v>160.47714130999751</v>
      </c>
      <c r="M123" s="20"/>
      <c r="N123" s="20"/>
      <c r="O123" s="20"/>
    </row>
    <row r="124" spans="1:15">
      <c r="A124" s="19">
        <v>42240</v>
      </c>
      <c r="B124" s="20">
        <v>38.075896999999998</v>
      </c>
      <c r="C124" s="21">
        <v>88753700</v>
      </c>
      <c r="D124" s="23">
        <f t="shared" si="4"/>
        <v>-3.280551546552387E-2</v>
      </c>
      <c r="E124" s="47">
        <v>1893.209961</v>
      </c>
      <c r="F124" s="48">
        <v>6612690000</v>
      </c>
      <c r="G124" s="20">
        <f t="shared" si="5"/>
        <v>-4.0211444491884053E-2</v>
      </c>
      <c r="H124" s="22">
        <v>1</v>
      </c>
      <c r="I124" s="16"/>
      <c r="J124" s="20">
        <v>91</v>
      </c>
      <c r="K124" s="20">
        <v>-7.6918240665690973E-2</v>
      </c>
      <c r="L124" s="20">
        <f t="shared" si="6"/>
        <v>160.46548529214877</v>
      </c>
      <c r="M124" s="20"/>
      <c r="N124" s="20"/>
      <c r="O124" s="20"/>
    </row>
    <row r="125" spans="1:15">
      <c r="A125" s="19">
        <v>42241</v>
      </c>
      <c r="B125" s="20">
        <v>36.970531000000001</v>
      </c>
      <c r="C125" s="21">
        <v>70616600</v>
      </c>
      <c r="D125" s="23">
        <f t="shared" si="4"/>
        <v>-2.9460321426897956E-2</v>
      </c>
      <c r="E125" s="47">
        <v>1867.6099850000001</v>
      </c>
      <c r="F125" s="48">
        <v>5183560000</v>
      </c>
      <c r="G125" s="20">
        <f t="shared" si="5"/>
        <v>-1.3614249963910554E-2</v>
      </c>
      <c r="H125" s="22">
        <v>1</v>
      </c>
      <c r="I125" s="16"/>
      <c r="J125" s="20">
        <v>92</v>
      </c>
      <c r="K125" s="20">
        <v>-2.1016421669628471</v>
      </c>
      <c r="L125" s="20">
        <f t="shared" si="6"/>
        <v>160.12885270187093</v>
      </c>
      <c r="M125" s="20"/>
      <c r="N125" s="20"/>
      <c r="O125" s="20"/>
    </row>
    <row r="126" spans="1:15">
      <c r="A126" s="19">
        <v>42242</v>
      </c>
      <c r="B126" s="20">
        <v>39.016841999999997</v>
      </c>
      <c r="C126" s="21">
        <v>63408000</v>
      </c>
      <c r="D126" s="23">
        <f t="shared" si="4"/>
        <v>5.3872263222360363E-2</v>
      </c>
      <c r="E126" s="47">
        <v>1940.51001</v>
      </c>
      <c r="F126" s="48">
        <v>5338250000</v>
      </c>
      <c r="G126" s="20">
        <f t="shared" si="5"/>
        <v>3.8291299743553803E-2</v>
      </c>
      <c r="H126" s="22">
        <v>1</v>
      </c>
      <c r="I126" s="16"/>
      <c r="J126" s="20">
        <v>93</v>
      </c>
      <c r="K126" s="20">
        <v>-1.0216308510280214</v>
      </c>
      <c r="L126" s="20">
        <f t="shared" si="6"/>
        <v>159.96582757967943</v>
      </c>
      <c r="M126" s="20"/>
      <c r="N126" s="20"/>
      <c r="O126" s="20"/>
    </row>
    <row r="127" spans="1:15">
      <c r="A127" s="19">
        <v>42243</v>
      </c>
      <c r="B127" s="20">
        <v>40.103935</v>
      </c>
      <c r="C127" s="21">
        <v>50943200</v>
      </c>
      <c r="D127" s="23">
        <f t="shared" si="4"/>
        <v>2.7481060109153684E-2</v>
      </c>
      <c r="E127" s="47">
        <v>1987.660034</v>
      </c>
      <c r="F127" s="48">
        <v>5006390000</v>
      </c>
      <c r="G127" s="20">
        <f t="shared" si="5"/>
        <v>2.4007254278508312E-2</v>
      </c>
      <c r="H127" s="22">
        <v>1</v>
      </c>
      <c r="I127" s="16"/>
      <c r="J127" s="20">
        <v>94</v>
      </c>
      <c r="K127" s="20">
        <v>0.7261826340254629</v>
      </c>
      <c r="L127" s="20">
        <f t="shared" si="6"/>
        <v>160.08289071780908</v>
      </c>
      <c r="M127" s="20"/>
      <c r="N127" s="20"/>
      <c r="O127" s="20"/>
    </row>
    <row r="128" spans="1:15">
      <c r="A128" s="19">
        <v>42244</v>
      </c>
      <c r="B128" s="20">
        <v>40.131348000000003</v>
      </c>
      <c r="C128" s="21">
        <v>28246700</v>
      </c>
      <c r="D128" s="23">
        <f t="shared" si="4"/>
        <v>6.8331537053691234E-4</v>
      </c>
      <c r="E128" s="47">
        <v>1988.869995</v>
      </c>
      <c r="F128" s="48">
        <v>3949080000</v>
      </c>
      <c r="G128" s="20">
        <f t="shared" si="5"/>
        <v>6.0855118835607827E-4</v>
      </c>
      <c r="H128" s="22">
        <v>1</v>
      </c>
      <c r="I128" s="16"/>
      <c r="J128" s="20">
        <v>95</v>
      </c>
      <c r="K128" s="20">
        <v>-0.58064529184775893</v>
      </c>
      <c r="L128" s="20">
        <f t="shared" si="6"/>
        <v>159.99054418607355</v>
      </c>
      <c r="M128" s="20"/>
      <c r="N128" s="20"/>
      <c r="O128" s="20"/>
    </row>
    <row r="129" spans="1:15">
      <c r="A129" s="19">
        <v>42247</v>
      </c>
      <c r="B129" s="20">
        <v>39.756790000000002</v>
      </c>
      <c r="C129" s="21">
        <v>34441700</v>
      </c>
      <c r="D129" s="23">
        <f t="shared" si="4"/>
        <v>-9.3771304217321917E-3</v>
      </c>
      <c r="E129" s="47">
        <v>1972.1800539999999</v>
      </c>
      <c r="F129" s="48">
        <v>3915100000</v>
      </c>
      <c r="G129" s="20">
        <f t="shared" si="5"/>
        <v>-8.4270784584924117E-3</v>
      </c>
      <c r="H129" s="22">
        <v>1</v>
      </c>
      <c r="I129" s="16"/>
      <c r="J129" s="20">
        <v>96</v>
      </c>
      <c r="K129" s="20">
        <v>1.5933255781419575</v>
      </c>
      <c r="L129" s="20">
        <f t="shared" si="6"/>
        <v>160.24670670774037</v>
      </c>
      <c r="M129" s="20"/>
      <c r="N129" s="20"/>
      <c r="O129" s="20"/>
    </row>
    <row r="130" spans="1:15">
      <c r="A130" s="19">
        <v>42248</v>
      </c>
      <c r="B130" s="20">
        <v>38.203795999999997</v>
      </c>
      <c r="C130" s="21">
        <v>49688900</v>
      </c>
      <c r="D130" s="23">
        <f t="shared" si="4"/>
        <v>-3.9845761719502097E-2</v>
      </c>
      <c r="E130" s="47">
        <v>1913.849976</v>
      </c>
      <c r="F130" s="48">
        <v>4371850000</v>
      </c>
      <c r="G130" s="20">
        <f t="shared" si="5"/>
        <v>-3.0022649772647417E-2</v>
      </c>
      <c r="H130" s="22">
        <v>1</v>
      </c>
      <c r="I130" s="16"/>
      <c r="J130" s="20">
        <v>97</v>
      </c>
      <c r="K130" s="20">
        <v>-1.8083028408000246</v>
      </c>
      <c r="L130" s="20">
        <f t="shared" si="6"/>
        <v>159.95751044155458</v>
      </c>
      <c r="M130" s="20"/>
      <c r="N130" s="20"/>
      <c r="O130" s="20"/>
    </row>
    <row r="131" spans="1:15">
      <c r="A131" s="19">
        <v>42249</v>
      </c>
      <c r="B131" s="20">
        <v>39.610626000000003</v>
      </c>
      <c r="C131" s="21">
        <v>37671500</v>
      </c>
      <c r="D131" s="23">
        <f t="shared" ref="D131:D194" si="7">LN(B131/B130)</f>
        <v>3.6162533195583275E-2</v>
      </c>
      <c r="E131" s="47">
        <v>1948.8599850000001</v>
      </c>
      <c r="F131" s="48">
        <v>3742620000</v>
      </c>
      <c r="G131" s="20">
        <f t="shared" ref="G131:G194" si="8">LN(E131/E130)</f>
        <v>1.8127671026470109E-2</v>
      </c>
      <c r="H131" s="22">
        <v>1</v>
      </c>
      <c r="I131" s="16"/>
      <c r="J131" s="20">
        <v>98</v>
      </c>
      <c r="K131" s="20">
        <v>1.2990858522243798</v>
      </c>
      <c r="L131" s="20">
        <f t="shared" si="6"/>
        <v>160.16642309151823</v>
      </c>
      <c r="M131" s="20"/>
      <c r="N131" s="20"/>
      <c r="O131" s="20"/>
    </row>
    <row r="132" spans="1:15">
      <c r="A132" s="19">
        <v>42250</v>
      </c>
      <c r="B132" s="20">
        <v>39.738522000000003</v>
      </c>
      <c r="C132" s="21">
        <v>28285200</v>
      </c>
      <c r="D132" s="23">
        <f t="shared" si="7"/>
        <v>3.223629086871108E-3</v>
      </c>
      <c r="E132" s="47">
        <v>1951.130005</v>
      </c>
      <c r="F132" s="48">
        <v>3520700000</v>
      </c>
      <c r="G132" s="20">
        <f t="shared" si="8"/>
        <v>1.1641159398742432E-3</v>
      </c>
      <c r="H132" s="22">
        <v>1</v>
      </c>
      <c r="I132" s="16"/>
      <c r="J132" s="20">
        <v>99</v>
      </c>
      <c r="K132" s="20">
        <v>-0.77185632108012214</v>
      </c>
      <c r="L132" s="20">
        <f t="shared" si="6"/>
        <v>160.04338266228149</v>
      </c>
      <c r="M132" s="20"/>
      <c r="N132" s="20"/>
      <c r="O132" s="20"/>
    </row>
    <row r="133" spans="1:15">
      <c r="A133" s="19">
        <v>42251</v>
      </c>
      <c r="B133" s="20">
        <v>38.925491000000001</v>
      </c>
      <c r="C133" s="21">
        <v>37138800</v>
      </c>
      <c r="D133" s="23">
        <f t="shared" si="7"/>
        <v>-2.0671713043898698E-2</v>
      </c>
      <c r="E133" s="47">
        <v>1921.219971</v>
      </c>
      <c r="F133" s="48">
        <v>3167090000</v>
      </c>
      <c r="G133" s="20">
        <f t="shared" si="8"/>
        <v>-1.5448308659813455E-2</v>
      </c>
      <c r="H133" s="22">
        <v>1</v>
      </c>
      <c r="I133" s="16"/>
      <c r="J133" s="20">
        <v>100</v>
      </c>
      <c r="K133" s="20">
        <v>2.1507548808585852</v>
      </c>
      <c r="L133" s="20">
        <f t="shared" si="6"/>
        <v>160.38912936076585</v>
      </c>
      <c r="M133" s="20"/>
      <c r="N133" s="20"/>
      <c r="O133" s="20"/>
    </row>
    <row r="134" spans="1:15">
      <c r="A134" s="19">
        <v>42255</v>
      </c>
      <c r="B134" s="20">
        <v>40.094799000000002</v>
      </c>
      <c r="C134" s="21">
        <v>32469800</v>
      </c>
      <c r="D134" s="23">
        <f t="shared" si="7"/>
        <v>2.9597293510733837E-2</v>
      </c>
      <c r="E134" s="47">
        <v>1969.410034</v>
      </c>
      <c r="F134" s="48">
        <v>3548650000</v>
      </c>
      <c r="G134" s="20">
        <f t="shared" si="8"/>
        <v>2.477363695127497E-2</v>
      </c>
      <c r="H134" s="22">
        <v>1</v>
      </c>
      <c r="I134" s="16"/>
      <c r="J134" s="20">
        <v>101</v>
      </c>
      <c r="K134" s="20">
        <v>0.29903162612754386</v>
      </c>
      <c r="L134" s="20">
        <f t="shared" si="6"/>
        <v>160.43786521556197</v>
      </c>
      <c r="M134" s="20"/>
      <c r="N134" s="20"/>
      <c r="O134" s="20"/>
    </row>
    <row r="135" spans="1:15">
      <c r="A135" s="19">
        <v>42256</v>
      </c>
      <c r="B135" s="20">
        <v>39.345711000000001</v>
      </c>
      <c r="C135" s="21">
        <v>33469500</v>
      </c>
      <c r="D135" s="23">
        <f t="shared" si="7"/>
        <v>-1.885965241768427E-2</v>
      </c>
      <c r="E135" s="47">
        <v>1942.040039</v>
      </c>
      <c r="F135" s="48">
        <v>3652120000</v>
      </c>
      <c r="G135" s="20">
        <f t="shared" si="8"/>
        <v>-1.3995035710028114E-2</v>
      </c>
      <c r="H135" s="22">
        <v>1</v>
      </c>
      <c r="I135" s="16"/>
      <c r="J135" s="20">
        <v>102</v>
      </c>
      <c r="K135" s="20">
        <v>-0.75506704888539389</v>
      </c>
      <c r="L135" s="20">
        <f t="shared" si="6"/>
        <v>160.31731143307755</v>
      </c>
      <c r="M135" s="20"/>
      <c r="N135" s="20"/>
      <c r="O135" s="20"/>
    </row>
    <row r="136" spans="1:15">
      <c r="A136" s="19">
        <v>42257</v>
      </c>
      <c r="B136" s="20">
        <v>39.546680000000002</v>
      </c>
      <c r="C136" s="21">
        <v>31366600</v>
      </c>
      <c r="D136" s="23">
        <f t="shared" si="7"/>
        <v>5.0947735810866245E-3</v>
      </c>
      <c r="E136" s="47">
        <v>1952.290039</v>
      </c>
      <c r="F136" s="48">
        <v>3626320000</v>
      </c>
      <c r="G136" s="20">
        <f t="shared" si="8"/>
        <v>5.2640754451046302E-3</v>
      </c>
      <c r="H136" s="22">
        <v>1</v>
      </c>
      <c r="I136" s="16"/>
      <c r="J136" s="20">
        <v>103</v>
      </c>
      <c r="K136" s="20">
        <v>6.5184622144442983E-2</v>
      </c>
      <c r="L136" s="20">
        <f t="shared" si="6"/>
        <v>160.3284788505951</v>
      </c>
      <c r="M136" s="20"/>
      <c r="N136" s="20"/>
      <c r="O136" s="20"/>
    </row>
    <row r="137" spans="1:15">
      <c r="A137" s="19">
        <v>42258</v>
      </c>
      <c r="B137" s="20">
        <v>39.720256999999997</v>
      </c>
      <c r="C137" s="21">
        <v>27132500</v>
      </c>
      <c r="D137" s="23">
        <f t="shared" si="7"/>
        <v>4.3795631321570079E-3</v>
      </c>
      <c r="E137" s="47">
        <v>1961.0500489999999</v>
      </c>
      <c r="F137" s="48">
        <v>3218590000</v>
      </c>
      <c r="G137" s="20">
        <f t="shared" si="8"/>
        <v>4.4770065646443351E-3</v>
      </c>
      <c r="H137" s="22">
        <v>1</v>
      </c>
      <c r="I137" s="16"/>
      <c r="J137" s="20">
        <v>104</v>
      </c>
      <c r="K137" s="20">
        <v>0.89531795310904272</v>
      </c>
      <c r="L137" s="20">
        <f t="shared" si="6"/>
        <v>160.47298283776973</v>
      </c>
      <c r="M137" s="20"/>
      <c r="N137" s="20"/>
      <c r="O137" s="20"/>
    </row>
    <row r="138" spans="1:15">
      <c r="A138" s="19">
        <v>42261</v>
      </c>
      <c r="B138" s="20">
        <v>39.318302000000003</v>
      </c>
      <c r="C138" s="21">
        <v>23656000</v>
      </c>
      <c r="D138" s="23">
        <f t="shared" si="7"/>
        <v>-1.0171199231793002E-2</v>
      </c>
      <c r="E138" s="47">
        <v>1953.030029</v>
      </c>
      <c r="F138" s="48">
        <v>3000200000</v>
      </c>
      <c r="G138" s="20">
        <f t="shared" si="8"/>
        <v>-4.0980414626955409E-3</v>
      </c>
      <c r="H138" s="22">
        <v>1</v>
      </c>
      <c r="I138" s="16"/>
      <c r="J138" s="20">
        <v>105</v>
      </c>
      <c r="K138" s="20">
        <v>-0.88305114331888035</v>
      </c>
      <c r="L138" s="20">
        <f t="shared" si="6"/>
        <v>160.331854121633</v>
      </c>
      <c r="M138" s="20"/>
      <c r="N138" s="20"/>
      <c r="O138" s="20"/>
    </row>
    <row r="139" spans="1:15">
      <c r="A139" s="19">
        <v>42262</v>
      </c>
      <c r="B139" s="20">
        <v>40.177021000000003</v>
      </c>
      <c r="C139" s="21">
        <v>28882200</v>
      </c>
      <c r="D139" s="23">
        <f t="shared" si="7"/>
        <v>2.160510505802829E-2</v>
      </c>
      <c r="E139" s="47">
        <v>1978.089966</v>
      </c>
      <c r="F139" s="48">
        <v>3239860000</v>
      </c>
      <c r="G139" s="20">
        <f t="shared" si="8"/>
        <v>1.2749687874278685E-2</v>
      </c>
      <c r="H139" s="22">
        <v>1</v>
      </c>
      <c r="I139" s="16"/>
      <c r="J139" s="20">
        <v>106</v>
      </c>
      <c r="K139" s="20">
        <v>-0.24118435248965397</v>
      </c>
      <c r="L139" s="20">
        <f t="shared" si="6"/>
        <v>160.29384060819379</v>
      </c>
      <c r="M139" s="20"/>
      <c r="N139" s="20"/>
      <c r="O139" s="20"/>
    </row>
    <row r="140" spans="1:15">
      <c r="A140" s="19">
        <v>42263</v>
      </c>
      <c r="B140" s="20">
        <v>40.469344999999997</v>
      </c>
      <c r="C140" s="21">
        <v>23372200</v>
      </c>
      <c r="D140" s="23">
        <f t="shared" si="7"/>
        <v>7.2495586542115813E-3</v>
      </c>
      <c r="E140" s="47">
        <v>1995.3100589999999</v>
      </c>
      <c r="F140" s="48">
        <v>3630680000</v>
      </c>
      <c r="G140" s="20">
        <f t="shared" si="8"/>
        <v>8.6677408281392605E-3</v>
      </c>
      <c r="H140" s="22">
        <v>1</v>
      </c>
      <c r="I140" s="16"/>
      <c r="J140" s="20">
        <v>107</v>
      </c>
      <c r="K140" s="20">
        <v>-1.4867191566736437</v>
      </c>
      <c r="L140" s="20">
        <f t="shared" si="6"/>
        <v>160.05609089381301</v>
      </c>
      <c r="M140" s="20"/>
      <c r="N140" s="20"/>
      <c r="O140" s="20"/>
    </row>
    <row r="141" spans="1:15">
      <c r="A141" s="19">
        <v>42264</v>
      </c>
      <c r="B141" s="20">
        <v>40.423664000000002</v>
      </c>
      <c r="C141" s="21">
        <v>32768200</v>
      </c>
      <c r="D141" s="23">
        <f t="shared" si="7"/>
        <v>-1.129417867391361E-3</v>
      </c>
      <c r="E141" s="47">
        <v>1990.1999510000001</v>
      </c>
      <c r="F141" s="48">
        <v>4183790000</v>
      </c>
      <c r="G141" s="20">
        <f t="shared" si="8"/>
        <v>-2.5643447325231369E-3</v>
      </c>
      <c r="H141" s="22">
        <v>1</v>
      </c>
      <c r="I141" s="16"/>
      <c r="J141" s="20">
        <v>108</v>
      </c>
      <c r="K141" s="20">
        <v>0.42229316932207439</v>
      </c>
      <c r="L141" s="20">
        <f t="shared" si="6"/>
        <v>160.12448778420108</v>
      </c>
      <c r="M141" s="20"/>
      <c r="N141" s="20"/>
      <c r="O141" s="20"/>
    </row>
    <row r="142" spans="1:15">
      <c r="A142" s="19">
        <v>42265</v>
      </c>
      <c r="B142" s="20">
        <v>39.720256999999997</v>
      </c>
      <c r="C142" s="21">
        <v>63143700</v>
      </c>
      <c r="D142" s="23">
        <f t="shared" si="7"/>
        <v>-1.755404661305528E-2</v>
      </c>
      <c r="E142" s="47">
        <v>1958.030029</v>
      </c>
      <c r="F142" s="48">
        <v>6021240000</v>
      </c>
      <c r="G142" s="20">
        <f t="shared" si="8"/>
        <v>-1.6296231019642143E-2</v>
      </c>
      <c r="H142" s="22">
        <v>1</v>
      </c>
      <c r="I142" s="16"/>
      <c r="J142" s="20">
        <v>109</v>
      </c>
      <c r="K142" s="20">
        <v>-1.6449575923616067</v>
      </c>
      <c r="L142" s="20">
        <f t="shared" si="6"/>
        <v>159.86165733317938</v>
      </c>
      <c r="M142" s="20"/>
      <c r="N142" s="20"/>
      <c r="O142" s="20"/>
    </row>
    <row r="143" spans="1:15">
      <c r="A143" s="19">
        <v>42268</v>
      </c>
      <c r="B143" s="20">
        <v>40.295783999999998</v>
      </c>
      <c r="C143" s="21">
        <v>26177200</v>
      </c>
      <c r="D143" s="23">
        <f t="shared" si="7"/>
        <v>1.4385538647366958E-2</v>
      </c>
      <c r="E143" s="47">
        <v>1966.969971</v>
      </c>
      <c r="F143" s="48">
        <v>3269350000</v>
      </c>
      <c r="G143" s="20">
        <f t="shared" si="8"/>
        <v>4.5553923362219801E-3</v>
      </c>
      <c r="H143" s="22">
        <v>1</v>
      </c>
      <c r="I143" s="16"/>
      <c r="J143" s="20">
        <v>110</v>
      </c>
      <c r="K143" s="20">
        <v>-1.3869021131540649</v>
      </c>
      <c r="L143" s="20">
        <f t="shared" si="6"/>
        <v>159.64050388558536</v>
      </c>
      <c r="M143" s="20"/>
      <c r="N143" s="20"/>
      <c r="O143" s="20"/>
    </row>
    <row r="144" spans="1:15">
      <c r="A144" s="19">
        <v>42269</v>
      </c>
      <c r="B144" s="20">
        <v>40.103935</v>
      </c>
      <c r="C144" s="21">
        <v>28085900</v>
      </c>
      <c r="D144" s="23">
        <f t="shared" si="7"/>
        <v>-4.7723889215184846E-3</v>
      </c>
      <c r="E144" s="47">
        <v>1942.73999</v>
      </c>
      <c r="F144" s="48">
        <v>3808260000</v>
      </c>
      <c r="G144" s="20">
        <f t="shared" si="8"/>
        <v>-1.2394930290949867E-2</v>
      </c>
      <c r="H144" s="22">
        <v>1</v>
      </c>
      <c r="I144" s="16"/>
      <c r="J144" s="20">
        <v>111</v>
      </c>
      <c r="K144" s="20">
        <v>0.80219933806802146</v>
      </c>
      <c r="L144" s="20">
        <f t="shared" si="6"/>
        <v>159.7694897981535</v>
      </c>
      <c r="M144" s="20"/>
      <c r="N144" s="20"/>
      <c r="O144" s="20"/>
    </row>
    <row r="145" spans="1:15">
      <c r="A145" s="19">
        <v>42270</v>
      </c>
      <c r="B145" s="20">
        <v>40.076526999999999</v>
      </c>
      <c r="C145" s="21">
        <v>17145200</v>
      </c>
      <c r="D145" s="23">
        <f t="shared" si="7"/>
        <v>-6.8365784840493079E-4</v>
      </c>
      <c r="E145" s="47">
        <v>1938.76001</v>
      </c>
      <c r="F145" s="48">
        <v>3190530000</v>
      </c>
      <c r="G145" s="20">
        <f t="shared" si="8"/>
        <v>-2.0507439880633901E-3</v>
      </c>
      <c r="H145" s="22">
        <v>1</v>
      </c>
      <c r="I145" s="16"/>
      <c r="J145" s="20">
        <v>112</v>
      </c>
      <c r="K145" s="20">
        <v>0.2969522938656155</v>
      </c>
      <c r="L145" s="20">
        <f t="shared" si="6"/>
        <v>159.8177046126103</v>
      </c>
      <c r="M145" s="20"/>
      <c r="N145" s="20"/>
      <c r="O145" s="20"/>
    </row>
    <row r="146" spans="1:15">
      <c r="A146" s="19">
        <v>42271</v>
      </c>
      <c r="B146" s="20">
        <v>40.113070999999998</v>
      </c>
      <c r="C146" s="21">
        <v>27905600</v>
      </c>
      <c r="D146" s="23">
        <f t="shared" si="7"/>
        <v>9.1143997329487265E-4</v>
      </c>
      <c r="E146" s="47">
        <v>1932.23999</v>
      </c>
      <c r="F146" s="48">
        <v>4091530000</v>
      </c>
      <c r="G146" s="20">
        <f t="shared" si="8"/>
        <v>-3.3686521134926087E-3</v>
      </c>
      <c r="H146" s="22">
        <v>1</v>
      </c>
      <c r="I146" s="16"/>
      <c r="J146" s="20">
        <v>113</v>
      </c>
      <c r="K146" s="20">
        <v>0.57711758927325718</v>
      </c>
      <c r="L146" s="20">
        <f t="shared" si="6"/>
        <v>159.91078874800507</v>
      </c>
      <c r="M146" s="20"/>
      <c r="N146" s="20"/>
      <c r="O146" s="20"/>
    </row>
    <row r="147" spans="1:15">
      <c r="A147" s="19">
        <v>42272</v>
      </c>
      <c r="B147" s="20">
        <v>40.140476</v>
      </c>
      <c r="C147" s="21">
        <v>29384600</v>
      </c>
      <c r="D147" s="23">
        <f t="shared" si="7"/>
        <v>6.8296049432493464E-4</v>
      </c>
      <c r="E147" s="47">
        <v>1931.339966</v>
      </c>
      <c r="F147" s="48">
        <v>3721870000</v>
      </c>
      <c r="G147" s="20">
        <f t="shared" si="8"/>
        <v>-4.6590158688575067E-4</v>
      </c>
      <c r="H147" s="22">
        <v>1</v>
      </c>
      <c r="I147" s="16"/>
      <c r="J147" s="20">
        <v>114</v>
      </c>
      <c r="K147" s="20">
        <v>1.2183522812847514</v>
      </c>
      <c r="L147" s="20">
        <f t="shared" si="6"/>
        <v>160.10669667017308</v>
      </c>
      <c r="M147" s="20"/>
      <c r="N147" s="20"/>
      <c r="O147" s="20"/>
    </row>
    <row r="148" spans="1:15">
      <c r="A148" s="19">
        <v>42275</v>
      </c>
      <c r="B148" s="20">
        <v>39.546680000000002</v>
      </c>
      <c r="C148" s="21">
        <v>27613800</v>
      </c>
      <c r="D148" s="23">
        <f t="shared" si="7"/>
        <v>-1.4903455477220384E-2</v>
      </c>
      <c r="E148" s="47">
        <v>1881.7700199999999</v>
      </c>
      <c r="F148" s="48">
        <v>4326660000</v>
      </c>
      <c r="G148" s="20">
        <f t="shared" si="8"/>
        <v>-2.6001211006746214E-2</v>
      </c>
      <c r="H148" s="22">
        <v>1</v>
      </c>
      <c r="I148" s="16"/>
      <c r="J148" s="20">
        <v>115</v>
      </c>
      <c r="K148" s="20">
        <v>0.72051761890179478</v>
      </c>
      <c r="L148" s="20">
        <f t="shared" si="6"/>
        <v>160.22295402072407</v>
      </c>
      <c r="M148" s="20"/>
      <c r="N148" s="20"/>
      <c r="O148" s="20"/>
    </row>
    <row r="149" spans="1:15">
      <c r="A149" s="19">
        <v>42276</v>
      </c>
      <c r="B149" s="20">
        <v>39.683720000000001</v>
      </c>
      <c r="C149" s="21">
        <v>32763600</v>
      </c>
      <c r="D149" s="23">
        <f t="shared" si="7"/>
        <v>3.4592817064886105E-3</v>
      </c>
      <c r="E149" s="47">
        <v>1884.089966</v>
      </c>
      <c r="F149" s="48">
        <v>4132390000</v>
      </c>
      <c r="G149" s="20">
        <f t="shared" si="8"/>
        <v>1.2320937592521393E-3</v>
      </c>
      <c r="H149" s="22">
        <v>1</v>
      </c>
      <c r="I149" s="16"/>
      <c r="J149" s="20">
        <v>116</v>
      </c>
      <c r="K149" s="20">
        <v>-1.6952435544226319</v>
      </c>
      <c r="L149" s="20">
        <f t="shared" si="6"/>
        <v>159.95190770572211</v>
      </c>
      <c r="M149" s="20"/>
      <c r="N149" s="20"/>
      <c r="O149" s="20"/>
    </row>
    <row r="150" spans="1:15">
      <c r="A150" s="19">
        <v>42277</v>
      </c>
      <c r="B150" s="20">
        <v>40.432808000000001</v>
      </c>
      <c r="C150" s="21">
        <v>34958900</v>
      </c>
      <c r="D150" s="23">
        <f t="shared" si="7"/>
        <v>1.8700506594695895E-2</v>
      </c>
      <c r="E150" s="47">
        <v>1920.030029</v>
      </c>
      <c r="F150" s="48">
        <v>4525070000</v>
      </c>
      <c r="G150" s="20">
        <f t="shared" si="8"/>
        <v>1.8895898353574289E-2</v>
      </c>
      <c r="H150" s="22">
        <v>1</v>
      </c>
      <c r="I150" s="16"/>
      <c r="J150" s="20">
        <v>117</v>
      </c>
      <c r="K150" s="20">
        <v>0.73337105277460068</v>
      </c>
      <c r="L150" s="20">
        <f t="shared" si="6"/>
        <v>160.07011283509902</v>
      </c>
      <c r="M150" s="20"/>
      <c r="N150" s="20"/>
      <c r="O150" s="20"/>
    </row>
    <row r="151" spans="1:15">
      <c r="A151" s="19">
        <v>42278</v>
      </c>
      <c r="B151" s="20">
        <v>40.752541000000001</v>
      </c>
      <c r="C151" s="21">
        <v>28657900</v>
      </c>
      <c r="D151" s="23">
        <f t="shared" si="7"/>
        <v>7.8766589539375625E-3</v>
      </c>
      <c r="E151" s="47">
        <v>1923.8199460000001</v>
      </c>
      <c r="F151" s="48">
        <v>3983600000</v>
      </c>
      <c r="G151" s="20">
        <f t="shared" si="8"/>
        <v>1.9719386827028343E-3</v>
      </c>
      <c r="H151" s="22">
        <v>1</v>
      </c>
      <c r="I151" s="16"/>
      <c r="J151" s="20">
        <v>118</v>
      </c>
      <c r="K151" s="20">
        <v>7.8223365562735125E-2</v>
      </c>
      <c r="L151" s="20">
        <f t="shared" si="6"/>
        <v>160.08335308251242</v>
      </c>
      <c r="M151" s="20"/>
      <c r="N151" s="20"/>
      <c r="O151" s="20"/>
    </row>
    <row r="152" spans="1:15">
      <c r="A152" s="19">
        <v>42279</v>
      </c>
      <c r="B152" s="20">
        <v>41.629536000000002</v>
      </c>
      <c r="C152" s="21">
        <v>41839000</v>
      </c>
      <c r="D152" s="23">
        <f t="shared" si="7"/>
        <v>2.1291721765409038E-2</v>
      </c>
      <c r="E152" s="47">
        <v>1951.3599850000001</v>
      </c>
      <c r="F152" s="48">
        <v>4378570000</v>
      </c>
      <c r="G152" s="20">
        <f t="shared" si="8"/>
        <v>1.4213792986497257E-2</v>
      </c>
      <c r="H152" s="22">
        <v>1</v>
      </c>
      <c r="I152" s="16"/>
      <c r="J152" s="20">
        <v>119</v>
      </c>
      <c r="K152" s="20">
        <v>-1.5622526916558854</v>
      </c>
      <c r="L152" s="20">
        <f t="shared" si="6"/>
        <v>159.83382623144743</v>
      </c>
      <c r="M152" s="20"/>
      <c r="N152" s="20"/>
      <c r="O152" s="20"/>
    </row>
    <row r="153" spans="1:15">
      <c r="A153" s="19">
        <v>42282</v>
      </c>
      <c r="B153" s="20">
        <v>42.597878000000001</v>
      </c>
      <c r="C153" s="21">
        <v>34369300</v>
      </c>
      <c r="D153" s="23">
        <f t="shared" si="7"/>
        <v>2.2994524491624951E-2</v>
      </c>
      <c r="E153" s="47">
        <v>1987.0500489999999</v>
      </c>
      <c r="F153" s="48">
        <v>4334490000</v>
      </c>
      <c r="G153" s="20">
        <f t="shared" si="8"/>
        <v>1.8124593785162658E-2</v>
      </c>
      <c r="H153" s="22">
        <v>1</v>
      </c>
      <c r="I153" s="16"/>
      <c r="J153" s="20">
        <v>120</v>
      </c>
      <c r="K153" s="20">
        <v>0.47175149120448623</v>
      </c>
      <c r="L153" s="20">
        <f t="shared" si="6"/>
        <v>159.9100473507728</v>
      </c>
      <c r="M153" s="20"/>
      <c r="N153" s="20"/>
      <c r="O153" s="20"/>
    </row>
    <row r="154" spans="1:15">
      <c r="A154" s="19">
        <v>42283</v>
      </c>
      <c r="B154" s="20">
        <v>42.707492999999999</v>
      </c>
      <c r="C154" s="21">
        <v>27017200</v>
      </c>
      <c r="D154" s="23">
        <f t="shared" si="7"/>
        <v>2.5699451053421739E-3</v>
      </c>
      <c r="E154" s="47">
        <v>1979.920044</v>
      </c>
      <c r="F154" s="48">
        <v>4202400000</v>
      </c>
      <c r="G154" s="20">
        <f t="shared" si="8"/>
        <v>-3.5946894030197459E-3</v>
      </c>
      <c r="H154" s="22">
        <v>1</v>
      </c>
      <c r="I154" s="16"/>
      <c r="J154" s="20">
        <v>121</v>
      </c>
      <c r="K154" s="20">
        <v>0.60904085330548696</v>
      </c>
      <c r="L154" s="20">
        <f t="shared" si="6"/>
        <v>160.00829997198551</v>
      </c>
      <c r="M154" s="20"/>
      <c r="N154" s="20"/>
      <c r="O154" s="20"/>
    </row>
    <row r="155" spans="1:15">
      <c r="A155" s="19">
        <v>42284</v>
      </c>
      <c r="B155" s="20">
        <v>42.753166</v>
      </c>
      <c r="C155" s="21">
        <v>27711500</v>
      </c>
      <c r="D155" s="23">
        <f t="shared" si="7"/>
        <v>1.0688661866825508E-3</v>
      </c>
      <c r="E155" s="47">
        <v>1995.829956</v>
      </c>
      <c r="F155" s="48">
        <v>4666470000</v>
      </c>
      <c r="G155" s="20">
        <f t="shared" si="8"/>
        <v>8.0035198025308167E-3</v>
      </c>
      <c r="H155" s="22">
        <v>1</v>
      </c>
      <c r="I155" s="16"/>
      <c r="J155" s="20">
        <v>122</v>
      </c>
      <c r="K155" s="20">
        <v>0.66174720814160537</v>
      </c>
      <c r="L155" s="20">
        <f t="shared" si="6"/>
        <v>160.11506304875019</v>
      </c>
      <c r="M155" s="20"/>
      <c r="N155" s="20"/>
      <c r="O155" s="20"/>
    </row>
    <row r="156" spans="1:15">
      <c r="A156" s="19">
        <v>42285</v>
      </c>
      <c r="B156" s="20">
        <v>43.346966000000002</v>
      </c>
      <c r="C156" s="21">
        <v>33772700</v>
      </c>
      <c r="D156" s="23">
        <f t="shared" si="7"/>
        <v>1.3793461191161781E-2</v>
      </c>
      <c r="E156" s="47">
        <v>2013.4300539999999</v>
      </c>
      <c r="F156" s="48">
        <v>3939140000</v>
      </c>
      <c r="G156" s="20">
        <f t="shared" si="8"/>
        <v>8.7797803155266266E-3</v>
      </c>
      <c r="H156" s="22">
        <v>1</v>
      </c>
      <c r="I156" s="16"/>
      <c r="J156" s="20">
        <v>123</v>
      </c>
      <c r="K156" s="20">
        <v>-2.2732456272933632</v>
      </c>
      <c r="L156" s="20">
        <f t="shared" si="6"/>
        <v>159.75171281171299</v>
      </c>
      <c r="M156" s="20"/>
      <c r="N156" s="20"/>
      <c r="O156" s="20"/>
    </row>
    <row r="157" spans="1:15">
      <c r="A157" s="19">
        <v>42286</v>
      </c>
      <c r="B157" s="20">
        <v>43.036377000000002</v>
      </c>
      <c r="C157" s="21">
        <v>28600600</v>
      </c>
      <c r="D157" s="23">
        <f t="shared" si="7"/>
        <v>-7.1909775101593161E-3</v>
      </c>
      <c r="E157" s="47">
        <v>2014.8900149999999</v>
      </c>
      <c r="F157" s="48">
        <v>3706900000</v>
      </c>
      <c r="G157" s="20">
        <f t="shared" si="8"/>
        <v>7.2484859143041565E-4</v>
      </c>
      <c r="H157" s="22">
        <v>1</v>
      </c>
      <c r="I157" s="16"/>
      <c r="J157" s="20">
        <v>124</v>
      </c>
      <c r="K157" s="20">
        <v>-0.30503770176437683</v>
      </c>
      <c r="L157" s="20">
        <f t="shared" si="6"/>
        <v>159.70362533955068</v>
      </c>
      <c r="M157" s="20"/>
      <c r="N157" s="20"/>
      <c r="O157" s="20"/>
    </row>
    <row r="158" spans="1:15">
      <c r="A158" s="19">
        <v>42289</v>
      </c>
      <c r="B158" s="20">
        <v>42.935879</v>
      </c>
      <c r="C158" s="21">
        <v>19769100</v>
      </c>
      <c r="D158" s="23">
        <f t="shared" si="7"/>
        <v>-2.3379180784943777E-3</v>
      </c>
      <c r="E158" s="47">
        <v>2017.459961</v>
      </c>
      <c r="F158" s="48">
        <v>2893250000</v>
      </c>
      <c r="G158" s="20">
        <f t="shared" si="8"/>
        <v>1.2746643338301428E-3</v>
      </c>
      <c r="H158" s="22">
        <v>1</v>
      </c>
      <c r="I158" s="16"/>
      <c r="J158" s="20">
        <v>125</v>
      </c>
      <c r="K158" s="20">
        <v>1.4608849596697837</v>
      </c>
      <c r="L158" s="20">
        <f t="shared" si="6"/>
        <v>159.93811657931334</v>
      </c>
      <c r="M158" s="20"/>
      <c r="N158" s="20"/>
      <c r="O158" s="20"/>
    </row>
    <row r="159" spans="1:15">
      <c r="A159" s="19">
        <v>42290</v>
      </c>
      <c r="B159" s="20">
        <v>42.835383999999998</v>
      </c>
      <c r="C159" s="21">
        <v>19987800</v>
      </c>
      <c r="D159" s="23">
        <f t="shared" si="7"/>
        <v>-2.3433267150641123E-3</v>
      </c>
      <c r="E159" s="47">
        <v>2003.6899410000001</v>
      </c>
      <c r="F159" s="48">
        <v>3401920000</v>
      </c>
      <c r="G159" s="20">
        <f t="shared" si="8"/>
        <v>-6.8488239238575872E-3</v>
      </c>
      <c r="H159" s="22">
        <v>1</v>
      </c>
      <c r="I159" s="16"/>
      <c r="J159" s="20">
        <v>126</v>
      </c>
      <c r="K159" s="20">
        <v>-0.322636424243683</v>
      </c>
      <c r="L159" s="20">
        <f t="shared" si="6"/>
        <v>159.88715541869573</v>
      </c>
      <c r="M159" s="20"/>
      <c r="N159" s="20"/>
      <c r="O159" s="20"/>
    </row>
    <row r="160" spans="1:15">
      <c r="A160" s="19">
        <v>42291</v>
      </c>
      <c r="B160" s="20">
        <v>42.643554999999999</v>
      </c>
      <c r="C160" s="21">
        <v>24697800</v>
      </c>
      <c r="D160" s="23">
        <f t="shared" si="7"/>
        <v>-4.4883412049868711E-3</v>
      </c>
      <c r="E160" s="47">
        <v>1994.23999</v>
      </c>
      <c r="F160" s="48">
        <v>3644590000</v>
      </c>
      <c r="G160" s="20">
        <f t="shared" si="8"/>
        <v>-4.7274308267142729E-3</v>
      </c>
      <c r="H160" s="22">
        <v>1</v>
      </c>
      <c r="I160" s="16"/>
      <c r="J160" s="20">
        <v>127</v>
      </c>
      <c r="K160" s="20">
        <v>-1.1794281817856245</v>
      </c>
      <c r="L160" s="20">
        <f t="shared" si="6"/>
        <v>159.69914074424366</v>
      </c>
      <c r="M160" s="20"/>
      <c r="N160" s="20"/>
      <c r="O160" s="20"/>
    </row>
    <row r="161" spans="1:15">
      <c r="A161" s="19">
        <v>42292</v>
      </c>
      <c r="B161" s="20">
        <v>42.945014999999998</v>
      </c>
      <c r="C161" s="21">
        <v>27189400</v>
      </c>
      <c r="D161" s="23">
        <f t="shared" si="7"/>
        <v>7.0444276995301732E-3</v>
      </c>
      <c r="E161" s="47">
        <v>2023.8599850000001</v>
      </c>
      <c r="F161" s="48">
        <v>3746290000</v>
      </c>
      <c r="G161" s="20">
        <f t="shared" si="8"/>
        <v>1.474355129517228E-2</v>
      </c>
      <c r="H161" s="22">
        <v>1</v>
      </c>
      <c r="I161" s="16"/>
      <c r="J161" s="20">
        <v>128</v>
      </c>
      <c r="K161" s="20">
        <v>-1.3515500540961511</v>
      </c>
      <c r="L161" s="20">
        <f t="shared" si="6"/>
        <v>159.48385760738401</v>
      </c>
      <c r="M161" s="20"/>
      <c r="N161" s="20"/>
      <c r="O161" s="20"/>
    </row>
    <row r="162" spans="1:15">
      <c r="A162" s="19">
        <v>42293</v>
      </c>
      <c r="B162" s="20">
        <v>43.401778999999998</v>
      </c>
      <c r="C162" s="21">
        <v>26450300</v>
      </c>
      <c r="D162" s="23">
        <f t="shared" si="7"/>
        <v>1.0579854547575101E-2</v>
      </c>
      <c r="E162" s="47">
        <v>2033.1099850000001</v>
      </c>
      <c r="F162" s="48">
        <v>3595430000</v>
      </c>
      <c r="G162" s="20">
        <f t="shared" si="8"/>
        <v>4.5600613744872197E-3</v>
      </c>
      <c r="H162" s="22">
        <v>1</v>
      </c>
      <c r="I162" s="16"/>
      <c r="J162" s="20">
        <v>129</v>
      </c>
      <c r="K162" s="20">
        <v>0.53841745284444187</v>
      </c>
      <c r="L162" s="20">
        <f t="shared" ref="L162:L225" si="9">L161*EXP($N$31*$N$33+$N$32*K162*SQRT($N$33))</f>
        <v>159.57056355819159</v>
      </c>
      <c r="M162" s="20"/>
      <c r="N162" s="20"/>
      <c r="O162" s="20"/>
    </row>
    <row r="163" spans="1:15">
      <c r="A163" s="19">
        <v>42296</v>
      </c>
      <c r="B163" s="20">
        <v>43.502262000000002</v>
      </c>
      <c r="C163" s="21">
        <v>29387600</v>
      </c>
      <c r="D163" s="23">
        <f t="shared" si="7"/>
        <v>2.3125056930151954E-3</v>
      </c>
      <c r="E163" s="47">
        <v>2033.660034</v>
      </c>
      <c r="F163" s="48">
        <v>3287320000</v>
      </c>
      <c r="G163" s="20">
        <f t="shared" si="8"/>
        <v>2.7050902843496526E-4</v>
      </c>
      <c r="H163" s="22">
        <v>1</v>
      </c>
      <c r="I163" s="16"/>
      <c r="J163" s="20">
        <v>130</v>
      </c>
      <c r="K163" s="20">
        <v>-0.36721075957757421</v>
      </c>
      <c r="L163" s="20">
        <f t="shared" si="9"/>
        <v>159.51259972391628</v>
      </c>
      <c r="M163" s="20"/>
      <c r="N163" s="20"/>
      <c r="O163" s="20"/>
    </row>
    <row r="164" spans="1:15">
      <c r="A164" s="19">
        <v>42297</v>
      </c>
      <c r="B164" s="20">
        <v>43.639294</v>
      </c>
      <c r="C164" s="21">
        <v>30802200</v>
      </c>
      <c r="D164" s="23">
        <f t="shared" si="7"/>
        <v>3.1450462728073413E-3</v>
      </c>
      <c r="E164" s="47">
        <v>2030.7700199999999</v>
      </c>
      <c r="F164" s="48">
        <v>3331500000</v>
      </c>
      <c r="G164" s="20">
        <f t="shared" si="8"/>
        <v>-1.4221007367133545E-3</v>
      </c>
      <c r="H164" s="22">
        <v>1</v>
      </c>
      <c r="I164" s="16"/>
      <c r="J164" s="20">
        <v>131</v>
      </c>
      <c r="K164" s="20">
        <v>-0.93437847681343555</v>
      </c>
      <c r="L164" s="20">
        <f t="shared" si="9"/>
        <v>159.3641247917972</v>
      </c>
      <c r="M164" s="20"/>
      <c r="N164" s="20"/>
      <c r="O164" s="20"/>
    </row>
    <row r="165" spans="1:15">
      <c r="A165" s="19">
        <v>42298</v>
      </c>
      <c r="B165" s="20">
        <v>43.118583999999998</v>
      </c>
      <c r="C165" s="21">
        <v>25144300</v>
      </c>
      <c r="D165" s="23">
        <f t="shared" si="7"/>
        <v>-1.2003895543930682E-2</v>
      </c>
      <c r="E165" s="47">
        <v>2018.9399410000001</v>
      </c>
      <c r="F165" s="48">
        <v>3627790000</v>
      </c>
      <c r="G165" s="20">
        <f t="shared" si="8"/>
        <v>-5.8424493431773871E-3</v>
      </c>
      <c r="H165" s="22">
        <v>1</v>
      </c>
      <c r="I165" s="16"/>
      <c r="J165" s="20">
        <v>132</v>
      </c>
      <c r="K165" s="20">
        <v>-1.5403384168166667</v>
      </c>
      <c r="L165" s="20">
        <f t="shared" si="9"/>
        <v>159.1192106073344</v>
      </c>
      <c r="M165" s="20"/>
      <c r="N165" s="20"/>
      <c r="O165" s="20"/>
    </row>
    <row r="166" spans="1:15">
      <c r="A166" s="19">
        <v>42299</v>
      </c>
      <c r="B166" s="20">
        <v>43.876812000000001</v>
      </c>
      <c r="C166" s="21">
        <v>56637100</v>
      </c>
      <c r="D166" s="23">
        <f t="shared" si="7"/>
        <v>1.7431892606980873E-2</v>
      </c>
      <c r="E166" s="47">
        <v>2052.51001</v>
      </c>
      <c r="F166" s="48">
        <v>4430850000</v>
      </c>
      <c r="G166" s="20">
        <f t="shared" si="8"/>
        <v>1.6490847328002923E-2</v>
      </c>
      <c r="H166" s="22">
        <v>1</v>
      </c>
      <c r="I166" s="16"/>
      <c r="J166" s="20">
        <v>133</v>
      </c>
      <c r="K166" s="20">
        <v>1.2041732588841114</v>
      </c>
      <c r="L166" s="20">
        <f t="shared" si="9"/>
        <v>159.31188685273332</v>
      </c>
      <c r="M166" s="20"/>
      <c r="N166" s="20"/>
      <c r="O166" s="20"/>
    </row>
    <row r="167" spans="1:15">
      <c r="A167" s="19">
        <v>42300</v>
      </c>
      <c r="B167" s="20">
        <v>48.298298000000003</v>
      </c>
      <c r="C167" s="21">
        <v>135227100</v>
      </c>
      <c r="D167" s="23">
        <f t="shared" si="7"/>
        <v>9.6010341863869891E-2</v>
      </c>
      <c r="E167" s="47">
        <v>2075.1499020000001</v>
      </c>
      <c r="F167" s="48">
        <v>4108460000</v>
      </c>
      <c r="G167" s="20">
        <f t="shared" si="8"/>
        <v>1.0969953689202727E-2</v>
      </c>
      <c r="H167" s="22">
        <v>1</v>
      </c>
      <c r="I167" s="16"/>
      <c r="J167" s="20">
        <v>134</v>
      </c>
      <c r="K167" s="20">
        <v>1.5059322322485968</v>
      </c>
      <c r="L167" s="20">
        <f t="shared" si="9"/>
        <v>159.55299973499112</v>
      </c>
      <c r="M167" s="20"/>
      <c r="N167" s="20"/>
      <c r="O167" s="20"/>
    </row>
    <row r="168" spans="1:15">
      <c r="A168" s="19">
        <v>42303</v>
      </c>
      <c r="B168" s="20">
        <v>49.558959999999999</v>
      </c>
      <c r="C168" s="21">
        <v>64633300</v>
      </c>
      <c r="D168" s="23">
        <f t="shared" si="7"/>
        <v>2.5766749933295443E-2</v>
      </c>
      <c r="E168" s="47">
        <v>2071.179932</v>
      </c>
      <c r="F168" s="48">
        <v>3385800000</v>
      </c>
      <c r="G168" s="20">
        <f t="shared" si="8"/>
        <v>-1.9149326619372631E-3</v>
      </c>
      <c r="H168" s="22">
        <v>1</v>
      </c>
      <c r="I168" s="16"/>
      <c r="J168" s="20">
        <v>135</v>
      </c>
      <c r="K168" s="20">
        <v>0.88712567958282307</v>
      </c>
      <c r="L168" s="20">
        <f t="shared" si="9"/>
        <v>159.69549476794919</v>
      </c>
      <c r="M168" s="20"/>
      <c r="N168" s="20"/>
      <c r="O168" s="20"/>
    </row>
    <row r="169" spans="1:15">
      <c r="A169" s="19">
        <v>42304</v>
      </c>
      <c r="B169" s="20">
        <v>49.047381999999999</v>
      </c>
      <c r="C169" s="21">
        <v>50999900</v>
      </c>
      <c r="D169" s="23">
        <f t="shared" si="7"/>
        <v>-1.0376261396837363E-2</v>
      </c>
      <c r="E169" s="47">
        <v>2065.889893</v>
      </c>
      <c r="F169" s="48">
        <v>4216880000</v>
      </c>
      <c r="G169" s="20">
        <f t="shared" si="8"/>
        <v>-2.5573858343901608E-3</v>
      </c>
      <c r="H169" s="22">
        <v>1</v>
      </c>
      <c r="I169" s="16"/>
      <c r="J169" s="20">
        <v>136</v>
      </c>
      <c r="K169" s="20">
        <v>1.0660846783139277</v>
      </c>
      <c r="L169" s="20">
        <f t="shared" si="9"/>
        <v>159.86676215649351</v>
      </c>
      <c r="M169" s="20"/>
      <c r="N169" s="20"/>
      <c r="O169" s="20"/>
    </row>
    <row r="170" spans="1:15">
      <c r="A170" s="19">
        <v>42305</v>
      </c>
      <c r="B170" s="20">
        <v>49.312308999999999</v>
      </c>
      <c r="C170" s="21">
        <v>47000800</v>
      </c>
      <c r="D170" s="23">
        <f t="shared" si="7"/>
        <v>5.3869148624334628E-3</v>
      </c>
      <c r="E170" s="47">
        <v>2090.3500979999999</v>
      </c>
      <c r="F170" s="48">
        <v>4698110000</v>
      </c>
      <c r="G170" s="20">
        <f t="shared" si="8"/>
        <v>1.1770488448379798E-2</v>
      </c>
      <c r="H170" s="22">
        <v>1</v>
      </c>
      <c r="I170" s="16"/>
      <c r="J170" s="20">
        <v>137</v>
      </c>
      <c r="K170" s="20">
        <v>1.5169598555075936</v>
      </c>
      <c r="L170" s="20">
        <f t="shared" si="9"/>
        <v>160.11048280036397</v>
      </c>
      <c r="M170" s="20"/>
      <c r="N170" s="20"/>
      <c r="O170" s="20"/>
    </row>
    <row r="171" spans="1:15">
      <c r="A171" s="19">
        <v>42306</v>
      </c>
      <c r="B171" s="20">
        <v>48.745922</v>
      </c>
      <c r="C171" s="21">
        <v>30202100</v>
      </c>
      <c r="D171" s="23">
        <f t="shared" si="7"/>
        <v>-1.1552182678462914E-2</v>
      </c>
      <c r="E171" s="47">
        <v>2089.4099120000001</v>
      </c>
      <c r="F171" s="48">
        <v>4008940000</v>
      </c>
      <c r="G171" s="20">
        <f t="shared" si="8"/>
        <v>-4.4987559745411469E-4</v>
      </c>
      <c r="H171" s="22">
        <v>1</v>
      </c>
      <c r="I171" s="16"/>
      <c r="J171" s="20">
        <v>138</v>
      </c>
      <c r="K171" s="20">
        <v>0.88158230937551707</v>
      </c>
      <c r="L171" s="20">
        <f t="shared" si="9"/>
        <v>160.25258619149068</v>
      </c>
      <c r="M171" s="20"/>
      <c r="N171" s="20"/>
      <c r="O171" s="20"/>
    </row>
    <row r="172" spans="1:15">
      <c r="A172" s="19">
        <v>42307</v>
      </c>
      <c r="B172" s="20">
        <v>48.088177000000002</v>
      </c>
      <c r="C172" s="21">
        <v>46619800</v>
      </c>
      <c r="D172" s="23">
        <f t="shared" si="7"/>
        <v>-1.3585196180799525E-2</v>
      </c>
      <c r="E172" s="47">
        <v>2079.360107</v>
      </c>
      <c r="F172" s="48">
        <v>4256200000</v>
      </c>
      <c r="G172" s="20">
        <f t="shared" si="8"/>
        <v>-4.8214818389651134E-3</v>
      </c>
      <c r="H172" s="22">
        <v>1</v>
      </c>
      <c r="I172" s="16"/>
      <c r="J172" s="20">
        <v>139</v>
      </c>
      <c r="K172" s="20">
        <v>-1.2079726730007678</v>
      </c>
      <c r="L172" s="20">
        <f t="shared" si="9"/>
        <v>160.05956683608485</v>
      </c>
      <c r="M172" s="20"/>
      <c r="N172" s="20"/>
      <c r="O172" s="20"/>
    </row>
    <row r="173" spans="1:15">
      <c r="A173" s="19">
        <v>42310</v>
      </c>
      <c r="B173" s="20">
        <v>48.636294999999997</v>
      </c>
      <c r="C173" s="21">
        <v>30285000</v>
      </c>
      <c r="D173" s="23">
        <f t="shared" si="7"/>
        <v>1.1333716399645224E-2</v>
      </c>
      <c r="E173" s="47">
        <v>2104.0500489999999</v>
      </c>
      <c r="F173" s="48">
        <v>3760020000</v>
      </c>
      <c r="G173" s="20">
        <f t="shared" si="8"/>
        <v>1.1803876623389281E-2</v>
      </c>
      <c r="H173" s="22">
        <v>1</v>
      </c>
      <c r="I173" s="16"/>
      <c r="J173" s="20">
        <v>140</v>
      </c>
      <c r="K173" s="20">
        <v>-1.1370889296813402</v>
      </c>
      <c r="L173" s="20">
        <f t="shared" si="9"/>
        <v>159.87812740256234</v>
      </c>
      <c r="M173" s="20"/>
      <c r="N173" s="20"/>
      <c r="O173" s="20"/>
    </row>
    <row r="174" spans="1:15">
      <c r="A174" s="19">
        <v>42311</v>
      </c>
      <c r="B174" s="20">
        <v>49.467621000000001</v>
      </c>
      <c r="C174" s="21">
        <v>36596900</v>
      </c>
      <c r="D174" s="23">
        <f t="shared" si="7"/>
        <v>1.694827145021682E-2</v>
      </c>
      <c r="E174" s="47">
        <v>2109.790039</v>
      </c>
      <c r="F174" s="48">
        <v>4272060000</v>
      </c>
      <c r="G174" s="20">
        <f t="shared" si="8"/>
        <v>2.7243528137560241E-3</v>
      </c>
      <c r="H174" s="22">
        <v>1</v>
      </c>
      <c r="I174" s="16"/>
      <c r="J174" s="20">
        <v>141</v>
      </c>
      <c r="K174" s="20">
        <v>0.49004256652551703</v>
      </c>
      <c r="L174" s="20">
        <f t="shared" si="9"/>
        <v>159.9572993051286</v>
      </c>
      <c r="M174" s="20"/>
      <c r="N174" s="20"/>
      <c r="O174" s="20"/>
    </row>
    <row r="175" spans="1:15">
      <c r="A175" s="19">
        <v>42312</v>
      </c>
      <c r="B175" s="20">
        <v>49.695995000000003</v>
      </c>
      <c r="C175" s="21">
        <v>37087800</v>
      </c>
      <c r="D175" s="23">
        <f t="shared" si="7"/>
        <v>4.6060120226487462E-3</v>
      </c>
      <c r="E175" s="47">
        <v>2102.3100589999999</v>
      </c>
      <c r="F175" s="48">
        <v>4078870000</v>
      </c>
      <c r="G175" s="20">
        <f t="shared" si="8"/>
        <v>-3.5516667167835828E-3</v>
      </c>
      <c r="H175" s="22">
        <v>1</v>
      </c>
      <c r="I175" s="16"/>
      <c r="J175" s="20">
        <v>142</v>
      </c>
      <c r="K175" s="20">
        <v>0.23520442482549697</v>
      </c>
      <c r="L175" s="20">
        <f t="shared" si="9"/>
        <v>159.99567795345914</v>
      </c>
      <c r="M175" s="20"/>
      <c r="N175" s="20"/>
      <c r="O175" s="20"/>
    </row>
    <row r="176" spans="1:15">
      <c r="A176" s="19">
        <v>42313</v>
      </c>
      <c r="B176" s="20">
        <v>49.677719000000003</v>
      </c>
      <c r="C176" s="21">
        <v>31468500</v>
      </c>
      <c r="D176" s="23">
        <f t="shared" si="7"/>
        <v>-3.6782363203320413E-4</v>
      </c>
      <c r="E176" s="47">
        <v>2099.929932</v>
      </c>
      <c r="F176" s="48">
        <v>4051890000</v>
      </c>
      <c r="G176" s="20">
        <f t="shared" si="8"/>
        <v>-1.1327897786013324E-3</v>
      </c>
      <c r="H176" s="22">
        <v>1</v>
      </c>
      <c r="I176" s="16"/>
      <c r="J176" s="20">
        <v>143</v>
      </c>
      <c r="K176" s="20">
        <v>-0.15309524314943701</v>
      </c>
      <c r="L176" s="20">
        <f t="shared" si="9"/>
        <v>159.97185405024518</v>
      </c>
      <c r="M176" s="20"/>
      <c r="N176" s="20"/>
      <c r="O176" s="20"/>
    </row>
    <row r="177" spans="1:15">
      <c r="A177" s="19">
        <v>42314</v>
      </c>
      <c r="B177" s="20">
        <v>50.171024000000003</v>
      </c>
      <c r="C177" s="21">
        <v>32851200</v>
      </c>
      <c r="D177" s="23">
        <f t="shared" si="7"/>
        <v>9.8811261692956214E-3</v>
      </c>
      <c r="E177" s="47">
        <v>2099.1999510000001</v>
      </c>
      <c r="F177" s="48">
        <v>4369020000</v>
      </c>
      <c r="G177" s="20">
        <f t="shared" si="8"/>
        <v>-3.4768203303673869E-4</v>
      </c>
      <c r="H177" s="22">
        <v>1</v>
      </c>
      <c r="I177" s="16"/>
      <c r="J177" s="20">
        <v>144</v>
      </c>
      <c r="K177" s="20">
        <v>0.71626118369749747</v>
      </c>
      <c r="L177" s="20">
        <f t="shared" si="9"/>
        <v>160.08733117887584</v>
      </c>
      <c r="M177" s="20"/>
      <c r="N177" s="20"/>
      <c r="O177" s="20"/>
    </row>
    <row r="178" spans="1:15">
      <c r="A178" s="19">
        <v>42317</v>
      </c>
      <c r="B178" s="20">
        <v>49.476748999999998</v>
      </c>
      <c r="C178" s="21">
        <v>32513100</v>
      </c>
      <c r="D178" s="23">
        <f t="shared" si="7"/>
        <v>-1.3934806840555409E-2</v>
      </c>
      <c r="E178" s="47">
        <v>2078.580078</v>
      </c>
      <c r="F178" s="48">
        <v>3882350000</v>
      </c>
      <c r="G178" s="20">
        <f t="shared" si="8"/>
        <v>-9.871290634763304E-3</v>
      </c>
      <c r="H178" s="22">
        <v>1</v>
      </c>
      <c r="I178" s="16"/>
      <c r="J178" s="20">
        <v>145</v>
      </c>
      <c r="K178" s="20">
        <v>-1.5164778233156539</v>
      </c>
      <c r="L178" s="20">
        <f t="shared" si="9"/>
        <v>159.84512458395943</v>
      </c>
      <c r="M178" s="20"/>
      <c r="N178" s="20"/>
      <c r="O178" s="20"/>
    </row>
    <row r="179" spans="1:15">
      <c r="A179" s="19">
        <v>42318</v>
      </c>
      <c r="B179" s="20">
        <v>48.882950000000001</v>
      </c>
      <c r="C179" s="21">
        <v>55283700</v>
      </c>
      <c r="D179" s="23">
        <f t="shared" si="7"/>
        <v>-1.2074177126860566E-2</v>
      </c>
      <c r="E179" s="47">
        <v>2081.719971</v>
      </c>
      <c r="F179" s="48">
        <v>3821440000</v>
      </c>
      <c r="G179" s="20">
        <f t="shared" si="8"/>
        <v>1.5094553561973928E-3</v>
      </c>
      <c r="H179" s="22">
        <v>1</v>
      </c>
      <c r="I179" s="16"/>
      <c r="J179" s="20">
        <v>146</v>
      </c>
      <c r="K179" s="20">
        <v>-0.65234871726715937</v>
      </c>
      <c r="L179" s="20">
        <f t="shared" si="9"/>
        <v>159.7414455512293</v>
      </c>
      <c r="M179" s="20"/>
      <c r="N179" s="20"/>
      <c r="O179" s="20"/>
    </row>
    <row r="180" spans="1:15">
      <c r="A180" s="19">
        <v>42319</v>
      </c>
      <c r="B180" s="20">
        <v>49.010852999999997</v>
      </c>
      <c r="C180" s="21">
        <v>36516300</v>
      </c>
      <c r="D180" s="23">
        <f t="shared" si="7"/>
        <v>2.6130984569026319E-3</v>
      </c>
      <c r="E180" s="47">
        <v>2075</v>
      </c>
      <c r="F180" s="48">
        <v>3692410000</v>
      </c>
      <c r="G180" s="20">
        <f t="shared" si="8"/>
        <v>-3.2333074641793741E-3</v>
      </c>
      <c r="H180" s="22">
        <v>1</v>
      </c>
      <c r="I180" s="16"/>
      <c r="J180" s="20">
        <v>147</v>
      </c>
      <c r="K180" s="20">
        <v>-1.0999110600096174</v>
      </c>
      <c r="L180" s="20">
        <f t="shared" si="9"/>
        <v>159.56630684977674</v>
      </c>
      <c r="M180" s="20"/>
      <c r="N180" s="20"/>
      <c r="O180" s="20"/>
    </row>
    <row r="181" spans="1:15">
      <c r="A181" s="19">
        <v>42320</v>
      </c>
      <c r="B181" s="20">
        <v>48.709377000000003</v>
      </c>
      <c r="C181" s="21">
        <v>35361100</v>
      </c>
      <c r="D181" s="23">
        <f t="shared" si="7"/>
        <v>-6.1702056261658854E-3</v>
      </c>
      <c r="E181" s="47">
        <v>2045.969971</v>
      </c>
      <c r="F181" s="48">
        <v>4016370000</v>
      </c>
      <c r="G181" s="20">
        <f t="shared" si="8"/>
        <v>-1.4089163191530417E-2</v>
      </c>
      <c r="H181" s="22">
        <v>1</v>
      </c>
      <c r="I181" s="16"/>
      <c r="J181" s="20">
        <v>148</v>
      </c>
      <c r="K181" s="20">
        <v>-0.27885221243195701</v>
      </c>
      <c r="L181" s="20">
        <f t="shared" si="9"/>
        <v>159.52245786398726</v>
      </c>
      <c r="M181" s="20"/>
      <c r="N181" s="20"/>
      <c r="O181" s="20"/>
    </row>
    <row r="182" spans="1:15">
      <c r="A182" s="19">
        <v>42321</v>
      </c>
      <c r="B182" s="20">
        <v>48.270893000000001</v>
      </c>
      <c r="C182" s="21">
        <v>36848200</v>
      </c>
      <c r="D182" s="23">
        <f t="shared" si="7"/>
        <v>-9.0428081502747573E-3</v>
      </c>
      <c r="E182" s="47">
        <v>2023.040039</v>
      </c>
      <c r="F182" s="48">
        <v>4278750000</v>
      </c>
      <c r="G182" s="20">
        <f t="shared" si="8"/>
        <v>-1.1270640608151911E-2</v>
      </c>
      <c r="H182" s="22">
        <v>1</v>
      </c>
      <c r="I182" s="16"/>
      <c r="J182" s="20">
        <v>149</v>
      </c>
      <c r="K182" s="20">
        <v>0.47834532779233996</v>
      </c>
      <c r="L182" s="20">
        <f t="shared" si="9"/>
        <v>159.5995842691232</v>
      </c>
      <c r="M182" s="20"/>
      <c r="N182" s="20"/>
      <c r="O182" s="20"/>
    </row>
    <row r="183" spans="1:15">
      <c r="A183" s="19">
        <v>42324</v>
      </c>
      <c r="B183" s="20">
        <v>49.120463999999998</v>
      </c>
      <c r="C183" s="21">
        <v>32165200</v>
      </c>
      <c r="D183" s="23">
        <f t="shared" si="7"/>
        <v>1.7446980443482234E-2</v>
      </c>
      <c r="E183" s="47">
        <v>2053.1899410000001</v>
      </c>
      <c r="F183" s="48">
        <v>3741240000</v>
      </c>
      <c r="G183" s="20">
        <f t="shared" si="8"/>
        <v>1.4793302627265626E-2</v>
      </c>
      <c r="H183" s="22">
        <v>1</v>
      </c>
      <c r="I183" s="16"/>
      <c r="J183" s="20">
        <v>150</v>
      </c>
      <c r="K183" s="20">
        <v>1.6217290976783261</v>
      </c>
      <c r="L183" s="20">
        <f t="shared" si="9"/>
        <v>159.85966737468931</v>
      </c>
      <c r="M183" s="20"/>
      <c r="N183" s="20"/>
      <c r="O183" s="20"/>
    </row>
    <row r="184" spans="1:15">
      <c r="A184" s="19">
        <v>42325</v>
      </c>
      <c r="B184" s="20">
        <v>48.715815999999997</v>
      </c>
      <c r="C184" s="21">
        <v>31551300</v>
      </c>
      <c r="D184" s="23">
        <f t="shared" si="7"/>
        <v>-8.2719888237969014E-3</v>
      </c>
      <c r="E184" s="47">
        <v>2050.4399410000001</v>
      </c>
      <c r="F184" s="48">
        <v>4427350000</v>
      </c>
      <c r="G184" s="20">
        <f t="shared" si="8"/>
        <v>-1.3402770185119402E-3</v>
      </c>
      <c r="H184" s="22">
        <v>1</v>
      </c>
      <c r="I184" s="16"/>
      <c r="J184" s="20">
        <v>151</v>
      </c>
      <c r="K184" s="20">
        <v>-0.59857711676158942</v>
      </c>
      <c r="L184" s="20">
        <f t="shared" si="9"/>
        <v>159.76458090509769</v>
      </c>
      <c r="M184" s="20"/>
      <c r="N184" s="20"/>
      <c r="O184" s="20"/>
    </row>
    <row r="185" spans="1:15">
      <c r="A185" s="19">
        <v>42326</v>
      </c>
      <c r="B185" s="20">
        <v>49.525134999999999</v>
      </c>
      <c r="C185" s="21">
        <v>29710000</v>
      </c>
      <c r="D185" s="23">
        <f t="shared" si="7"/>
        <v>1.6476577252365367E-2</v>
      </c>
      <c r="E185" s="47">
        <v>2083.580078</v>
      </c>
      <c r="F185" s="48">
        <v>3926390000</v>
      </c>
      <c r="G185" s="20">
        <f t="shared" si="8"/>
        <v>1.6033230015307577E-2</v>
      </c>
      <c r="H185" s="22">
        <v>1</v>
      </c>
      <c r="I185" s="16"/>
      <c r="J185" s="20">
        <v>152</v>
      </c>
      <c r="K185" s="20">
        <v>0.77557160693686455</v>
      </c>
      <c r="L185" s="20">
        <f t="shared" si="9"/>
        <v>159.88940385549637</v>
      </c>
      <c r="M185" s="20"/>
      <c r="N185" s="20"/>
      <c r="O185" s="20"/>
    </row>
    <row r="186" spans="1:15">
      <c r="A186" s="19">
        <v>42327</v>
      </c>
      <c r="B186" s="20">
        <v>49.607909999999997</v>
      </c>
      <c r="C186" s="21">
        <v>28149200</v>
      </c>
      <c r="D186" s="23">
        <f t="shared" si="7"/>
        <v>1.6699783455071612E-3</v>
      </c>
      <c r="E186" s="47">
        <v>2081.23999</v>
      </c>
      <c r="F186" s="48">
        <v>3628110000</v>
      </c>
      <c r="G186" s="20">
        <f t="shared" si="8"/>
        <v>-1.1237403815994775E-3</v>
      </c>
      <c r="H186" s="22">
        <v>1</v>
      </c>
      <c r="I186" s="16"/>
      <c r="J186" s="20">
        <v>153</v>
      </c>
      <c r="K186" s="20">
        <v>0.73547425927245058</v>
      </c>
      <c r="L186" s="20">
        <f t="shared" si="9"/>
        <v>160.00789977132715</v>
      </c>
      <c r="M186" s="20"/>
      <c r="N186" s="20"/>
      <c r="O186" s="20"/>
    </row>
    <row r="187" spans="1:15">
      <c r="A187" s="19">
        <v>42328</v>
      </c>
      <c r="B187" s="20">
        <v>49.837822000000003</v>
      </c>
      <c r="C187" s="21">
        <v>37147600</v>
      </c>
      <c r="D187" s="23">
        <f t="shared" si="7"/>
        <v>4.6238768624269743E-3</v>
      </c>
      <c r="E187" s="47">
        <v>2089.169922</v>
      </c>
      <c r="F187" s="48">
        <v>3929600000</v>
      </c>
      <c r="G187" s="20">
        <f t="shared" si="8"/>
        <v>3.8029554525950086E-3</v>
      </c>
      <c r="H187" s="22">
        <v>1</v>
      </c>
      <c r="I187" s="16"/>
      <c r="J187" s="20">
        <v>154</v>
      </c>
      <c r="K187" s="20">
        <v>1.1469273886177689</v>
      </c>
      <c r="L187" s="20">
        <f t="shared" si="9"/>
        <v>160.19246930180248</v>
      </c>
      <c r="M187" s="20"/>
      <c r="N187" s="20"/>
      <c r="O187" s="20"/>
    </row>
    <row r="188" spans="1:15">
      <c r="A188" s="19">
        <v>42331</v>
      </c>
      <c r="B188" s="20">
        <v>49.837822000000003</v>
      </c>
      <c r="C188" s="21">
        <v>28235900</v>
      </c>
      <c r="D188" s="23">
        <f t="shared" si="7"/>
        <v>0</v>
      </c>
      <c r="E188" s="47">
        <v>2086.5900879999999</v>
      </c>
      <c r="F188" s="48">
        <v>3587980000</v>
      </c>
      <c r="G188" s="20">
        <f t="shared" si="8"/>
        <v>-1.2356238490984315E-3</v>
      </c>
      <c r="H188" s="22">
        <v>1</v>
      </c>
      <c r="I188" s="16"/>
      <c r="J188" s="20">
        <v>155</v>
      </c>
      <c r="K188" s="20">
        <v>-1.3879048310627695</v>
      </c>
      <c r="L188" s="20">
        <f t="shared" si="9"/>
        <v>159.97069758822425</v>
      </c>
      <c r="M188" s="20"/>
      <c r="N188" s="20"/>
      <c r="O188" s="20"/>
    </row>
    <row r="189" spans="1:15">
      <c r="A189" s="19">
        <v>42332</v>
      </c>
      <c r="B189" s="20">
        <v>49.893005000000002</v>
      </c>
      <c r="C189" s="21">
        <v>24600000</v>
      </c>
      <c r="D189" s="23">
        <f t="shared" si="7"/>
        <v>1.1066388857208221E-3</v>
      </c>
      <c r="E189" s="47">
        <v>2089.139893</v>
      </c>
      <c r="F189" s="48">
        <v>3884930000</v>
      </c>
      <c r="G189" s="20">
        <f t="shared" si="8"/>
        <v>1.2212500944798874E-3</v>
      </c>
      <c r="H189" s="22">
        <v>1</v>
      </c>
      <c r="I189" s="16"/>
      <c r="J189" s="20">
        <v>156</v>
      </c>
      <c r="K189" s="20">
        <v>-0.88192109615192749</v>
      </c>
      <c r="L189" s="20">
        <f t="shared" si="9"/>
        <v>159.83019146506848</v>
      </c>
      <c r="M189" s="20"/>
      <c r="N189" s="20"/>
      <c r="O189" s="20"/>
    </row>
    <row r="190" spans="1:15">
      <c r="A190" s="19">
        <v>42333</v>
      </c>
      <c r="B190" s="20">
        <v>49.377986999999997</v>
      </c>
      <c r="C190" s="21">
        <v>21005100</v>
      </c>
      <c r="D190" s="23">
        <f t="shared" si="7"/>
        <v>-1.0376094976570433E-2</v>
      </c>
      <c r="E190" s="47">
        <v>2088.8701169999999</v>
      </c>
      <c r="F190" s="48">
        <v>2852940000</v>
      </c>
      <c r="G190" s="20">
        <f t="shared" si="8"/>
        <v>-1.2914090666574113E-4</v>
      </c>
      <c r="H190" s="22">
        <v>1</v>
      </c>
      <c r="I190" s="16"/>
      <c r="J190" s="20">
        <v>157</v>
      </c>
      <c r="K190" s="20">
        <v>-0.63222842072718777</v>
      </c>
      <c r="L190" s="20">
        <f t="shared" si="9"/>
        <v>159.72974017166069</v>
      </c>
      <c r="M190" s="20"/>
      <c r="N190" s="20"/>
      <c r="O190" s="20"/>
    </row>
    <row r="191" spans="1:15">
      <c r="A191" s="19">
        <v>42335</v>
      </c>
      <c r="B191" s="20">
        <v>49.598700999999998</v>
      </c>
      <c r="C191" s="21">
        <v>9009100</v>
      </c>
      <c r="D191" s="23">
        <f t="shared" si="7"/>
        <v>4.4599262778052592E-3</v>
      </c>
      <c r="E191" s="47">
        <v>2090.110107</v>
      </c>
      <c r="F191" s="48">
        <v>1466840000</v>
      </c>
      <c r="G191" s="20">
        <f t="shared" si="8"/>
        <v>5.934414473988609E-4</v>
      </c>
      <c r="H191" s="22">
        <v>1</v>
      </c>
      <c r="I191" s="16"/>
      <c r="J191" s="20">
        <v>158</v>
      </c>
      <c r="K191" s="20">
        <v>0.24346945792785846</v>
      </c>
      <c r="L191" s="20">
        <f t="shared" si="9"/>
        <v>159.76938647234917</v>
      </c>
      <c r="M191" s="20"/>
      <c r="N191" s="20"/>
      <c r="O191" s="20"/>
    </row>
    <row r="192" spans="1:15">
      <c r="A192" s="19">
        <v>42338</v>
      </c>
      <c r="B192" s="20">
        <v>49.984982000000002</v>
      </c>
      <c r="C192" s="21">
        <v>56241400</v>
      </c>
      <c r="D192" s="23">
        <f t="shared" si="7"/>
        <v>7.7579564392454784E-3</v>
      </c>
      <c r="E192" s="47">
        <v>2080.4099120000001</v>
      </c>
      <c r="F192" s="48">
        <v>4275030000</v>
      </c>
      <c r="G192" s="20">
        <f t="shared" si="8"/>
        <v>-4.6517999903487525E-3</v>
      </c>
      <c r="H192" s="22">
        <v>1</v>
      </c>
      <c r="I192" s="16"/>
      <c r="J192" s="20">
        <v>159</v>
      </c>
      <c r="K192" s="20">
        <v>-0.78886841947678477</v>
      </c>
      <c r="L192" s="20">
        <f t="shared" si="9"/>
        <v>159.64393153310951</v>
      </c>
      <c r="M192" s="20"/>
      <c r="N192" s="20"/>
      <c r="O192" s="20"/>
    </row>
    <row r="193" spans="1:15">
      <c r="A193" s="19">
        <v>42339</v>
      </c>
      <c r="B193" s="20">
        <v>50.785107000000004</v>
      </c>
      <c r="C193" s="21">
        <v>39952800</v>
      </c>
      <c r="D193" s="23">
        <f t="shared" si="7"/>
        <v>1.5880541999533173E-2</v>
      </c>
      <c r="E193" s="47">
        <v>2102.6298830000001</v>
      </c>
      <c r="F193" s="48">
        <v>3712120000</v>
      </c>
      <c r="G193" s="20">
        <f t="shared" si="8"/>
        <v>1.0623939088487118E-2</v>
      </c>
      <c r="H193" s="22">
        <v>1</v>
      </c>
      <c r="I193" s="16"/>
      <c r="J193" s="20">
        <v>160</v>
      </c>
      <c r="K193" s="20">
        <v>-1.0418216334073804</v>
      </c>
      <c r="L193" s="20">
        <f t="shared" si="9"/>
        <v>159.47817579690121</v>
      </c>
      <c r="M193" s="20"/>
      <c r="N193" s="20"/>
      <c r="O193" s="20"/>
    </row>
    <row r="194" spans="1:15">
      <c r="A194" s="19">
        <v>42340</v>
      </c>
      <c r="B194" s="20">
        <v>50.775905999999999</v>
      </c>
      <c r="C194" s="21">
        <v>47274900</v>
      </c>
      <c r="D194" s="23">
        <f t="shared" si="7"/>
        <v>-1.8119157644044503E-4</v>
      </c>
      <c r="E194" s="47">
        <v>2079.51001</v>
      </c>
      <c r="F194" s="48">
        <v>3950640000</v>
      </c>
      <c r="G194" s="20">
        <f t="shared" si="8"/>
        <v>-1.1056592615916112E-2</v>
      </c>
      <c r="H194" s="22">
        <v>1</v>
      </c>
      <c r="I194" s="16"/>
      <c r="J194" s="20">
        <v>161</v>
      </c>
      <c r="K194" s="20">
        <v>0.14110923984844703</v>
      </c>
      <c r="L194" s="20">
        <f t="shared" si="9"/>
        <v>159.50141049717601</v>
      </c>
      <c r="M194" s="20"/>
      <c r="N194" s="20"/>
      <c r="O194" s="20"/>
    </row>
    <row r="195" spans="1:15">
      <c r="A195" s="19">
        <v>42341</v>
      </c>
      <c r="B195" s="20">
        <v>49.847026999999997</v>
      </c>
      <c r="C195" s="21">
        <v>38627800</v>
      </c>
      <c r="D195" s="23">
        <f t="shared" ref="D195:D258" si="10">LN(B195/B194)</f>
        <v>-1.8463095021513502E-2</v>
      </c>
      <c r="E195" s="47">
        <v>2049.6201169999999</v>
      </c>
      <c r="F195" s="48">
        <v>4306490000</v>
      </c>
      <c r="G195" s="20">
        <f t="shared" ref="G195:G258" si="11">LN(E195/E194)</f>
        <v>-1.4477826648337327E-2</v>
      </c>
      <c r="H195" s="22">
        <v>1</v>
      </c>
      <c r="I195" s="16"/>
      <c r="J195" s="20">
        <v>162</v>
      </c>
      <c r="K195" s="20">
        <v>-7.4232957558706403E-2</v>
      </c>
      <c r="L195" s="20">
        <f t="shared" si="9"/>
        <v>159.49025419582122</v>
      </c>
      <c r="M195" s="20"/>
      <c r="N195" s="20"/>
      <c r="O195" s="20"/>
    </row>
    <row r="196" spans="1:15">
      <c r="A196" s="19">
        <v>42342</v>
      </c>
      <c r="B196" s="20">
        <v>51.419688999999998</v>
      </c>
      <c r="C196" s="21">
        <v>43963700</v>
      </c>
      <c r="D196" s="23">
        <f t="shared" si="10"/>
        <v>3.1062297876566062E-2</v>
      </c>
      <c r="E196" s="47">
        <v>2091.6899410000001</v>
      </c>
      <c r="F196" s="48">
        <v>4214910000</v>
      </c>
      <c r="G196" s="20">
        <f t="shared" si="11"/>
        <v>2.0317856261110587E-2</v>
      </c>
      <c r="H196" s="22">
        <v>1</v>
      </c>
      <c r="I196" s="16"/>
      <c r="J196" s="20">
        <v>163</v>
      </c>
      <c r="K196" s="20">
        <v>8.7280795924016275E-2</v>
      </c>
      <c r="L196" s="20">
        <f t="shared" si="9"/>
        <v>159.50489310017036</v>
      </c>
      <c r="M196" s="20"/>
      <c r="N196" s="20"/>
      <c r="O196" s="20"/>
    </row>
    <row r="197" spans="1:15">
      <c r="A197" s="19">
        <v>42345</v>
      </c>
      <c r="B197" s="20">
        <v>51.327728</v>
      </c>
      <c r="C197" s="21">
        <v>30709800</v>
      </c>
      <c r="D197" s="23">
        <f t="shared" si="10"/>
        <v>-1.7900406110543203E-3</v>
      </c>
      <c r="E197" s="47">
        <v>2077.070068</v>
      </c>
      <c r="F197" s="48">
        <v>4043820000</v>
      </c>
      <c r="G197" s="20">
        <f t="shared" si="11"/>
        <v>-7.0140439391970736E-3</v>
      </c>
      <c r="H197" s="22">
        <v>1</v>
      </c>
      <c r="I197" s="16"/>
      <c r="J197" s="20">
        <v>164</v>
      </c>
      <c r="K197" s="20">
        <v>0.7415042091452051</v>
      </c>
      <c r="L197" s="20">
        <f t="shared" si="9"/>
        <v>159.6240678534443</v>
      </c>
      <c r="M197" s="20"/>
      <c r="N197" s="20"/>
      <c r="O197" s="20"/>
    </row>
    <row r="198" spans="1:15">
      <c r="A198" s="19">
        <v>42346</v>
      </c>
      <c r="B198" s="20">
        <v>51.309325999999999</v>
      </c>
      <c r="C198" s="21">
        <v>32878000</v>
      </c>
      <c r="D198" s="23">
        <f t="shared" si="10"/>
        <v>-3.5858395150707842E-4</v>
      </c>
      <c r="E198" s="47">
        <v>2063.5900879999999</v>
      </c>
      <c r="F198" s="48">
        <v>4173570000</v>
      </c>
      <c r="G198" s="20">
        <f t="shared" si="11"/>
        <v>-6.5110523995720879E-3</v>
      </c>
      <c r="H198" s="22">
        <v>1</v>
      </c>
      <c r="I198" s="16"/>
      <c r="J198" s="20">
        <v>165</v>
      </c>
      <c r="K198" s="20">
        <v>0.58954128689947538</v>
      </c>
      <c r="L198" s="20">
        <f t="shared" si="9"/>
        <v>159.71902613584137</v>
      </c>
      <c r="M198" s="20"/>
      <c r="N198" s="20"/>
      <c r="O198" s="20"/>
    </row>
    <row r="199" spans="1:15">
      <c r="A199" s="19">
        <v>42347</v>
      </c>
      <c r="B199" s="20">
        <v>50.564380999999997</v>
      </c>
      <c r="C199" s="21">
        <v>36373200</v>
      </c>
      <c r="D199" s="23">
        <f t="shared" si="10"/>
        <v>-1.4625133416565681E-2</v>
      </c>
      <c r="E199" s="47">
        <v>2047.619995</v>
      </c>
      <c r="F199" s="48">
        <v>4385250000</v>
      </c>
      <c r="G199" s="20">
        <f t="shared" si="11"/>
        <v>-7.769086475925991E-3</v>
      </c>
      <c r="H199" s="22">
        <v>1</v>
      </c>
      <c r="I199" s="16"/>
      <c r="J199" s="20">
        <v>166</v>
      </c>
      <c r="K199" s="20">
        <v>0.12343662092462182</v>
      </c>
      <c r="L199" s="20">
        <f t="shared" si="9"/>
        <v>159.73946913022394</v>
      </c>
      <c r="M199" s="20"/>
      <c r="N199" s="20"/>
      <c r="O199" s="20"/>
    </row>
    <row r="200" spans="1:15">
      <c r="A200" s="19">
        <v>42348</v>
      </c>
      <c r="B200" s="20">
        <v>50.831093000000003</v>
      </c>
      <c r="C200" s="21">
        <v>31775800</v>
      </c>
      <c r="D200" s="23">
        <f t="shared" si="10"/>
        <v>5.2608386669390798E-3</v>
      </c>
      <c r="E200" s="47">
        <v>2052.2299800000001</v>
      </c>
      <c r="F200" s="48">
        <v>3715150000</v>
      </c>
      <c r="G200" s="20">
        <f t="shared" si="11"/>
        <v>2.2488564074157492E-3</v>
      </c>
      <c r="H200" s="22">
        <v>1</v>
      </c>
      <c r="I200" s="16"/>
      <c r="J200" s="20">
        <v>167</v>
      </c>
      <c r="K200" s="20">
        <v>0.11527049537107814</v>
      </c>
      <c r="L200" s="20">
        <f t="shared" si="9"/>
        <v>159.75860839116629</v>
      </c>
      <c r="M200" s="20"/>
      <c r="N200" s="20"/>
      <c r="O200" s="20"/>
    </row>
    <row r="201" spans="1:15">
      <c r="A201" s="19">
        <v>42349</v>
      </c>
      <c r="B201" s="20">
        <v>49.718268999999999</v>
      </c>
      <c r="C201" s="21">
        <v>39549500</v>
      </c>
      <c r="D201" s="23">
        <f t="shared" si="10"/>
        <v>-2.213578320434605E-2</v>
      </c>
      <c r="E201" s="47">
        <v>2012.369995</v>
      </c>
      <c r="F201" s="48">
        <v>4301060000</v>
      </c>
      <c r="G201" s="20">
        <f t="shared" si="11"/>
        <v>-1.961386758563884E-2</v>
      </c>
      <c r="H201" s="22">
        <v>1</v>
      </c>
      <c r="I201" s="16"/>
      <c r="J201" s="20">
        <v>168</v>
      </c>
      <c r="K201" s="20">
        <v>-1.5527348296018317</v>
      </c>
      <c r="L201" s="20">
        <f t="shared" si="9"/>
        <v>159.51110794713671</v>
      </c>
      <c r="M201" s="20"/>
      <c r="N201" s="20"/>
      <c r="O201" s="20"/>
    </row>
    <row r="202" spans="1:15">
      <c r="A202" s="19">
        <v>42352</v>
      </c>
      <c r="B202" s="20">
        <v>50.711536000000002</v>
      </c>
      <c r="C202" s="21">
        <v>46768900</v>
      </c>
      <c r="D202" s="23">
        <f t="shared" si="10"/>
        <v>1.9780968159192374E-2</v>
      </c>
      <c r="E202" s="47">
        <v>2021.9399410000001</v>
      </c>
      <c r="F202" s="48">
        <v>4612440000</v>
      </c>
      <c r="G202" s="20">
        <f t="shared" si="11"/>
        <v>4.7442879213808178E-3</v>
      </c>
      <c r="H202" s="22">
        <v>1</v>
      </c>
      <c r="I202" s="16"/>
      <c r="J202" s="20">
        <v>169</v>
      </c>
      <c r="K202" s="20">
        <v>0.50206836021970958</v>
      </c>
      <c r="L202" s="20">
        <f t="shared" si="9"/>
        <v>159.59201986379259</v>
      </c>
      <c r="M202" s="20"/>
      <c r="N202" s="20"/>
      <c r="O202" s="20"/>
    </row>
    <row r="203" spans="1:15">
      <c r="A203" s="19">
        <v>42353</v>
      </c>
      <c r="B203" s="20">
        <v>50.766716000000002</v>
      </c>
      <c r="C203" s="21">
        <v>39843000</v>
      </c>
      <c r="D203" s="23">
        <f t="shared" si="10"/>
        <v>1.0875237669344189E-3</v>
      </c>
      <c r="E203" s="47">
        <v>2043.410034</v>
      </c>
      <c r="F203" s="48">
        <v>4353540000</v>
      </c>
      <c r="G203" s="20">
        <f t="shared" si="11"/>
        <v>1.0562580218900188E-2</v>
      </c>
      <c r="H203" s="22">
        <v>1</v>
      </c>
      <c r="I203" s="16"/>
      <c r="J203" s="20">
        <v>170</v>
      </c>
      <c r="K203" s="20">
        <v>0.53735675464849919</v>
      </c>
      <c r="L203" s="20">
        <f t="shared" si="9"/>
        <v>159.6786150224803</v>
      </c>
      <c r="M203" s="20"/>
      <c r="N203" s="20"/>
      <c r="O203" s="20"/>
    </row>
    <row r="204" spans="1:15">
      <c r="A204" s="19">
        <v>42354</v>
      </c>
      <c r="B204" s="20">
        <v>51.622020999999997</v>
      </c>
      <c r="C204" s="21">
        <v>37503300</v>
      </c>
      <c r="D204" s="23">
        <f t="shared" si="10"/>
        <v>1.6707402016952855E-2</v>
      </c>
      <c r="E204" s="47">
        <v>2073.070068</v>
      </c>
      <c r="F204" s="48">
        <v>4635450000</v>
      </c>
      <c r="G204" s="20">
        <f t="shared" si="11"/>
        <v>1.4410635565352437E-2</v>
      </c>
      <c r="H204" s="22">
        <v>1</v>
      </c>
      <c r="I204" s="16"/>
      <c r="J204" s="20">
        <v>171</v>
      </c>
      <c r="K204" s="20">
        <v>-1.0619078238960356</v>
      </c>
      <c r="L204" s="20">
        <f t="shared" si="9"/>
        <v>159.50961503926149</v>
      </c>
      <c r="M204" s="20"/>
      <c r="N204" s="20"/>
      <c r="O204" s="20"/>
    </row>
    <row r="205" spans="1:15">
      <c r="A205" s="19">
        <v>42355</v>
      </c>
      <c r="B205" s="20">
        <v>51.226551000000001</v>
      </c>
      <c r="C205" s="21">
        <v>41280900</v>
      </c>
      <c r="D205" s="23">
        <f t="shared" si="10"/>
        <v>-7.6903731646692525E-3</v>
      </c>
      <c r="E205" s="47">
        <v>2041.8900149999999</v>
      </c>
      <c r="F205" s="48">
        <v>4327390000</v>
      </c>
      <c r="G205" s="20">
        <f t="shared" si="11"/>
        <v>-1.5154776290347281E-2</v>
      </c>
      <c r="H205" s="22">
        <v>1</v>
      </c>
      <c r="I205" s="16"/>
      <c r="J205" s="20">
        <v>172</v>
      </c>
      <c r="K205" s="20">
        <v>-0.54355268730432726</v>
      </c>
      <c r="L205" s="20">
        <f t="shared" si="9"/>
        <v>159.42352040293449</v>
      </c>
      <c r="M205" s="20"/>
      <c r="N205" s="20"/>
      <c r="O205" s="20"/>
    </row>
    <row r="206" spans="1:15">
      <c r="A206" s="19">
        <v>42356</v>
      </c>
      <c r="B206" s="20">
        <v>49.782642000000003</v>
      </c>
      <c r="C206" s="21">
        <v>84684200</v>
      </c>
      <c r="D206" s="23">
        <f t="shared" si="10"/>
        <v>-2.8591602796468902E-2</v>
      </c>
      <c r="E206" s="47">
        <v>2005.5500489999999</v>
      </c>
      <c r="F206" s="48">
        <v>6683070000</v>
      </c>
      <c r="G206" s="20">
        <f t="shared" si="11"/>
        <v>-1.7957495093582236E-2</v>
      </c>
      <c r="H206" s="22">
        <v>1</v>
      </c>
      <c r="I206" s="16"/>
      <c r="J206" s="20">
        <v>173</v>
      </c>
      <c r="K206" s="20">
        <v>-0.68390704655030277</v>
      </c>
      <c r="L206" s="20">
        <f t="shared" si="9"/>
        <v>159.31508034505251</v>
      </c>
      <c r="M206" s="20"/>
      <c r="N206" s="20"/>
      <c r="O206" s="20"/>
    </row>
    <row r="207" spans="1:15">
      <c r="A207" s="19">
        <v>42359</v>
      </c>
      <c r="B207" s="20">
        <v>50.426434</v>
      </c>
      <c r="C207" s="21">
        <v>37246300</v>
      </c>
      <c r="D207" s="23">
        <f t="shared" si="10"/>
        <v>1.2849152655981E-2</v>
      </c>
      <c r="E207" s="47">
        <v>2021.150024</v>
      </c>
      <c r="F207" s="48">
        <v>3760280000</v>
      </c>
      <c r="G207" s="20">
        <f t="shared" si="11"/>
        <v>7.7483064365918945E-3</v>
      </c>
      <c r="H207" s="22">
        <v>1</v>
      </c>
      <c r="I207" s="16"/>
      <c r="J207" s="20">
        <v>174</v>
      </c>
      <c r="K207" s="20">
        <v>-0.63250809034798294</v>
      </c>
      <c r="L207" s="20">
        <f t="shared" si="9"/>
        <v>159.21490820577185</v>
      </c>
      <c r="M207" s="20"/>
      <c r="N207" s="20"/>
      <c r="O207" s="20"/>
    </row>
    <row r="208" spans="1:15">
      <c r="A208" s="19">
        <v>42360</v>
      </c>
      <c r="B208" s="20">
        <v>50.904654999999998</v>
      </c>
      <c r="C208" s="21">
        <v>28322200</v>
      </c>
      <c r="D208" s="23">
        <f t="shared" si="10"/>
        <v>9.4388514952909626E-3</v>
      </c>
      <c r="E208" s="47">
        <v>2038.969971</v>
      </c>
      <c r="F208" s="48">
        <v>3520860000</v>
      </c>
      <c r="G208" s="20">
        <f t="shared" si="11"/>
        <v>8.7780959420341153E-3</v>
      </c>
      <c r="H208" s="22">
        <v>1</v>
      </c>
      <c r="I208" s="16"/>
      <c r="J208" s="20">
        <v>175</v>
      </c>
      <c r="K208" s="20">
        <v>0.98232931122765876</v>
      </c>
      <c r="L208" s="20">
        <f t="shared" si="9"/>
        <v>159.37229357769368</v>
      </c>
      <c r="M208" s="20"/>
      <c r="N208" s="20"/>
      <c r="O208" s="20"/>
    </row>
    <row r="209" spans="1:15">
      <c r="A209" s="19">
        <v>42361</v>
      </c>
      <c r="B209" s="20">
        <v>51.336910000000003</v>
      </c>
      <c r="C209" s="21">
        <v>27279800</v>
      </c>
      <c r="D209" s="23">
        <f t="shared" si="10"/>
        <v>8.4556134371104943E-3</v>
      </c>
      <c r="E209" s="47">
        <v>2064.290039</v>
      </c>
      <c r="F209" s="48">
        <v>3484090000</v>
      </c>
      <c r="G209" s="20">
        <f t="shared" si="11"/>
        <v>1.2341596351676601E-2</v>
      </c>
      <c r="H209" s="22">
        <v>1</v>
      </c>
      <c r="I209" s="16"/>
      <c r="J209" s="20">
        <v>176</v>
      </c>
      <c r="K209" s="20">
        <v>2.085216692648828</v>
      </c>
      <c r="L209" s="20">
        <f t="shared" si="9"/>
        <v>159.7061093821805</v>
      </c>
      <c r="M209" s="20"/>
      <c r="N209" s="20"/>
      <c r="O209" s="20"/>
    </row>
    <row r="210" spans="1:15">
      <c r="A210" s="19">
        <v>42362</v>
      </c>
      <c r="B210" s="20">
        <v>51.198962999999999</v>
      </c>
      <c r="C210" s="21">
        <v>9558500</v>
      </c>
      <c r="D210" s="23">
        <f t="shared" si="10"/>
        <v>-2.6907087088831896E-3</v>
      </c>
      <c r="E210" s="47">
        <v>2060.98999</v>
      </c>
      <c r="F210" s="48">
        <v>1411860000</v>
      </c>
      <c r="G210" s="20">
        <f t="shared" si="11"/>
        <v>-1.5999154873061849E-3</v>
      </c>
      <c r="H210" s="22">
        <v>1</v>
      </c>
      <c r="I210" s="16"/>
      <c r="J210" s="20">
        <v>177</v>
      </c>
      <c r="K210" s="20">
        <v>-0.6685240805381909</v>
      </c>
      <c r="L210" s="20">
        <f t="shared" si="9"/>
        <v>159.59993547500565</v>
      </c>
      <c r="M210" s="20"/>
      <c r="N210" s="20"/>
      <c r="O210" s="20"/>
    </row>
    <row r="211" spans="1:15">
      <c r="A211" s="19">
        <v>42366</v>
      </c>
      <c r="B211" s="20">
        <v>51.456482000000001</v>
      </c>
      <c r="C211" s="21">
        <v>22458300</v>
      </c>
      <c r="D211" s="23">
        <f t="shared" si="10"/>
        <v>5.0171628048982777E-3</v>
      </c>
      <c r="E211" s="47">
        <v>2056.5</v>
      </c>
      <c r="F211" s="48">
        <v>2492510000</v>
      </c>
      <c r="G211" s="20">
        <f t="shared" si="11"/>
        <v>-2.1809363425864849E-3</v>
      </c>
      <c r="H211" s="22">
        <v>1</v>
      </c>
      <c r="I211" s="16"/>
      <c r="J211" s="20">
        <v>178</v>
      </c>
      <c r="K211" s="20">
        <v>1.5085561244632117</v>
      </c>
      <c r="L211" s="20">
        <f t="shared" si="9"/>
        <v>159.84190427403152</v>
      </c>
      <c r="M211" s="20"/>
      <c r="N211" s="20"/>
      <c r="O211" s="20"/>
    </row>
    <row r="212" spans="1:15">
      <c r="A212" s="19">
        <v>42367</v>
      </c>
      <c r="B212" s="20">
        <v>52.008288999999998</v>
      </c>
      <c r="C212" s="21">
        <v>27731400</v>
      </c>
      <c r="D212" s="23">
        <f t="shared" si="10"/>
        <v>1.0666668985140803E-2</v>
      </c>
      <c r="E212" s="47">
        <v>2078.360107</v>
      </c>
      <c r="F212" s="48">
        <v>2542000000</v>
      </c>
      <c r="G212" s="20">
        <f t="shared" si="11"/>
        <v>1.0573663970038498E-2</v>
      </c>
      <c r="H212" s="22">
        <v>1</v>
      </c>
      <c r="I212" s="16"/>
      <c r="J212" s="20">
        <v>179</v>
      </c>
      <c r="K212" s="20">
        <v>-1.3343969840207137</v>
      </c>
      <c r="L212" s="20">
        <f t="shared" si="9"/>
        <v>159.62917043411235</v>
      </c>
      <c r="M212" s="20"/>
      <c r="N212" s="20"/>
      <c r="O212" s="20"/>
    </row>
    <row r="213" spans="1:15">
      <c r="A213" s="19">
        <v>42368</v>
      </c>
      <c r="B213" s="20">
        <v>51.787559999999999</v>
      </c>
      <c r="C213" s="21">
        <v>21704500</v>
      </c>
      <c r="D213" s="23">
        <f t="shared" si="10"/>
        <v>-4.2531437405504552E-3</v>
      </c>
      <c r="E213" s="47">
        <v>2063.360107</v>
      </c>
      <c r="F213" s="48">
        <v>2367430000</v>
      </c>
      <c r="G213" s="20">
        <f t="shared" si="11"/>
        <v>-7.2433987852541376E-3</v>
      </c>
      <c r="H213" s="22">
        <v>1</v>
      </c>
      <c r="I213" s="16"/>
      <c r="J213" s="20">
        <v>180</v>
      </c>
      <c r="K213" s="20">
        <v>-0.1158093709818786</v>
      </c>
      <c r="L213" s="20">
        <f t="shared" si="9"/>
        <v>159.61136016093522</v>
      </c>
      <c r="M213" s="20"/>
      <c r="N213" s="20"/>
      <c r="O213" s="20"/>
    </row>
    <row r="214" spans="1:15">
      <c r="A214" s="19">
        <v>42369</v>
      </c>
      <c r="B214" s="20">
        <v>51.024227000000003</v>
      </c>
      <c r="C214" s="21">
        <v>27334100</v>
      </c>
      <c r="D214" s="23">
        <f t="shared" si="10"/>
        <v>-1.4849406838983623E-2</v>
      </c>
      <c r="E214" s="47">
        <v>2043.9399410000001</v>
      </c>
      <c r="F214" s="48">
        <v>2655330000</v>
      </c>
      <c r="G214" s="20">
        <f t="shared" si="11"/>
        <v>-9.4564850357659186E-3</v>
      </c>
      <c r="H214" s="22">
        <v>1</v>
      </c>
      <c r="I214" s="16"/>
      <c r="J214" s="20">
        <v>181</v>
      </c>
      <c r="K214" s="20">
        <v>-1.859689291450195</v>
      </c>
      <c r="L214" s="20">
        <f t="shared" si="9"/>
        <v>159.31511275922247</v>
      </c>
      <c r="M214" s="20"/>
      <c r="N214" s="20"/>
      <c r="O214" s="20"/>
    </row>
    <row r="215" spans="1:15">
      <c r="A215" s="19">
        <v>42373</v>
      </c>
      <c r="B215" s="20">
        <v>50.398834000000001</v>
      </c>
      <c r="C215" s="21">
        <v>53778000</v>
      </c>
      <c r="D215" s="23">
        <f t="shared" si="10"/>
        <v>-1.2332519255532371E-2</v>
      </c>
      <c r="E215" s="47">
        <v>2012.660034</v>
      </c>
      <c r="F215" s="48">
        <v>4304880000</v>
      </c>
      <c r="G215" s="20">
        <f t="shared" si="11"/>
        <v>-1.5422041688326272E-2</v>
      </c>
      <c r="H215" s="22">
        <v>1</v>
      </c>
      <c r="I215" s="16"/>
      <c r="J215" s="20">
        <v>182</v>
      </c>
      <c r="K215" s="20">
        <v>-0.51399183575995266</v>
      </c>
      <c r="L215" s="20">
        <f t="shared" si="9"/>
        <v>159.23383638561342</v>
      </c>
      <c r="M215" s="20"/>
      <c r="N215" s="20"/>
      <c r="O215" s="20"/>
    </row>
    <row r="216" spans="1:15">
      <c r="A216" s="19">
        <v>42374</v>
      </c>
      <c r="B216" s="20">
        <v>50.628760999999997</v>
      </c>
      <c r="C216" s="21">
        <v>34079700</v>
      </c>
      <c r="D216" s="23">
        <f t="shared" si="10"/>
        <v>4.5517741361898482E-3</v>
      </c>
      <c r="E216" s="47">
        <v>2016.709961</v>
      </c>
      <c r="F216" s="48">
        <v>3706620000</v>
      </c>
      <c r="G216" s="20">
        <f t="shared" si="11"/>
        <v>2.0102042596295308E-3</v>
      </c>
      <c r="H216" s="22">
        <v>1</v>
      </c>
      <c r="I216" s="16"/>
      <c r="J216" s="20">
        <v>183</v>
      </c>
      <c r="K216" s="20">
        <v>1.7777711036615074</v>
      </c>
      <c r="L216" s="20">
        <f t="shared" si="9"/>
        <v>159.51824618811412</v>
      </c>
      <c r="M216" s="20"/>
      <c r="N216" s="20"/>
      <c r="O216" s="20"/>
    </row>
    <row r="217" spans="1:15">
      <c r="A217" s="19">
        <v>42375</v>
      </c>
      <c r="B217" s="20">
        <v>49.709071999999999</v>
      </c>
      <c r="C217" s="21">
        <v>39518900</v>
      </c>
      <c r="D217" s="23">
        <f t="shared" si="10"/>
        <v>-1.8332362368935567E-2</v>
      </c>
      <c r="E217" s="47">
        <v>1990.26001</v>
      </c>
      <c r="F217" s="48">
        <v>4336660000</v>
      </c>
      <c r="G217" s="20">
        <f t="shared" si="11"/>
        <v>-1.3202162915856163E-2</v>
      </c>
      <c r="H217" s="22">
        <v>1</v>
      </c>
      <c r="I217" s="16"/>
      <c r="J217" s="20">
        <v>184</v>
      </c>
      <c r="K217" s="20">
        <v>0.23229517864820082</v>
      </c>
      <c r="L217" s="20">
        <f t="shared" si="9"/>
        <v>159.55605468804083</v>
      </c>
      <c r="M217" s="20"/>
      <c r="N217" s="20"/>
      <c r="O217" s="20"/>
    </row>
    <row r="218" spans="1:15">
      <c r="A218" s="19">
        <v>42376</v>
      </c>
      <c r="B218" s="20">
        <v>47.980057000000002</v>
      </c>
      <c r="C218" s="21">
        <v>56564900</v>
      </c>
      <c r="D218" s="23">
        <f t="shared" si="10"/>
        <v>-3.5402006250485209E-2</v>
      </c>
      <c r="E218" s="47">
        <v>1943.089966</v>
      </c>
      <c r="F218" s="48">
        <v>5076590000</v>
      </c>
      <c r="G218" s="20">
        <f t="shared" si="11"/>
        <v>-2.3985816544630535E-2</v>
      </c>
      <c r="H218" s="22">
        <v>1</v>
      </c>
      <c r="I218" s="16"/>
      <c r="J218" s="20">
        <v>185</v>
      </c>
      <c r="K218" s="20">
        <v>-0.54027509577281307</v>
      </c>
      <c r="L218" s="20">
        <f t="shared" si="9"/>
        <v>159.47045835971349</v>
      </c>
      <c r="M218" s="20"/>
      <c r="N218" s="20"/>
      <c r="O218" s="20"/>
    </row>
    <row r="219" spans="1:15">
      <c r="A219" s="19">
        <v>42377</v>
      </c>
      <c r="B219" s="20">
        <v>48.127215999999997</v>
      </c>
      <c r="C219" s="21">
        <v>48754000</v>
      </c>
      <c r="D219" s="23">
        <f t="shared" si="10"/>
        <v>3.0623928952350295E-3</v>
      </c>
      <c r="E219" s="47">
        <v>1922.030029</v>
      </c>
      <c r="F219" s="48">
        <v>4664940000</v>
      </c>
      <c r="G219" s="20">
        <f t="shared" si="11"/>
        <v>-1.0897537692782108E-2</v>
      </c>
      <c r="H219" s="22">
        <v>1</v>
      </c>
      <c r="I219" s="16"/>
      <c r="J219" s="20">
        <v>186</v>
      </c>
      <c r="K219" s="20">
        <v>0.49366917664883658</v>
      </c>
      <c r="L219" s="20">
        <f t="shared" si="9"/>
        <v>159.55000777841974</v>
      </c>
      <c r="M219" s="20"/>
      <c r="N219" s="20"/>
      <c r="O219" s="20"/>
    </row>
    <row r="220" spans="1:15">
      <c r="A220" s="19">
        <v>42380</v>
      </c>
      <c r="B220" s="20">
        <v>48.099617000000002</v>
      </c>
      <c r="C220" s="21">
        <v>36943800</v>
      </c>
      <c r="D220" s="23">
        <f t="shared" si="10"/>
        <v>-5.7362379902426894E-4</v>
      </c>
      <c r="E220" s="47">
        <v>1923.670044</v>
      </c>
      <c r="F220" s="48">
        <v>4607290000</v>
      </c>
      <c r="G220" s="20">
        <f t="shared" si="11"/>
        <v>8.529084787104222E-4</v>
      </c>
      <c r="H220" s="22">
        <v>1</v>
      </c>
      <c r="I220" s="16"/>
      <c r="J220" s="20">
        <v>187</v>
      </c>
      <c r="K220" s="20">
        <v>0.42966462387994397</v>
      </c>
      <c r="L220" s="20">
        <f t="shared" si="9"/>
        <v>159.61936659201814</v>
      </c>
      <c r="M220" s="20"/>
      <c r="N220" s="20"/>
      <c r="O220" s="20"/>
    </row>
    <row r="221" spans="1:15">
      <c r="A221" s="19">
        <v>42381</v>
      </c>
      <c r="B221" s="20">
        <v>48.541072999999997</v>
      </c>
      <c r="C221" s="21">
        <v>36095500</v>
      </c>
      <c r="D221" s="23">
        <f t="shared" si="10"/>
        <v>9.1360910320976776E-3</v>
      </c>
      <c r="E221" s="47">
        <v>1938.6800539999999</v>
      </c>
      <c r="F221" s="48">
        <v>4887260000</v>
      </c>
      <c r="G221" s="20">
        <f t="shared" si="11"/>
        <v>7.7725142384488712E-3</v>
      </c>
      <c r="H221" s="22">
        <v>1</v>
      </c>
      <c r="I221" s="16"/>
      <c r="J221" s="20">
        <v>188</v>
      </c>
      <c r="K221" s="20">
        <v>0.65320136855007149</v>
      </c>
      <c r="L221" s="20">
        <f t="shared" si="9"/>
        <v>159.72450335699526</v>
      </c>
      <c r="M221" s="20"/>
      <c r="N221" s="20"/>
      <c r="O221" s="20"/>
    </row>
    <row r="222" spans="1:15">
      <c r="A222" s="19">
        <v>42382</v>
      </c>
      <c r="B222" s="20">
        <v>47.492629999999998</v>
      </c>
      <c r="C222" s="21">
        <v>66883600</v>
      </c>
      <c r="D222" s="23">
        <f t="shared" si="10"/>
        <v>-2.1835764426521929E-2</v>
      </c>
      <c r="E222" s="47">
        <v>1890.280029</v>
      </c>
      <c r="F222" s="48">
        <v>5087030000</v>
      </c>
      <c r="G222" s="20">
        <f t="shared" si="11"/>
        <v>-2.5282375384065234E-2</v>
      </c>
      <c r="H222" s="22">
        <v>1</v>
      </c>
      <c r="I222" s="16"/>
      <c r="J222" s="20">
        <v>189</v>
      </c>
      <c r="K222" s="20">
        <v>3.3244305086554959E-2</v>
      </c>
      <c r="L222" s="20">
        <f t="shared" si="9"/>
        <v>159.73052076725807</v>
      </c>
      <c r="M222" s="20"/>
      <c r="N222" s="20"/>
      <c r="O222" s="20"/>
    </row>
    <row r="223" spans="1:15">
      <c r="A223" s="19">
        <v>42383</v>
      </c>
      <c r="B223" s="20">
        <v>48.844569999999997</v>
      </c>
      <c r="C223" s="21">
        <v>52381900</v>
      </c>
      <c r="D223" s="23">
        <f t="shared" si="10"/>
        <v>2.8068674600969207E-2</v>
      </c>
      <c r="E223" s="47">
        <v>1921.839966</v>
      </c>
      <c r="F223" s="48">
        <v>5241110000</v>
      </c>
      <c r="G223" s="20">
        <f t="shared" si="11"/>
        <v>1.6558061184935031E-2</v>
      </c>
      <c r="H223" s="22">
        <v>1</v>
      </c>
      <c r="I223" s="16"/>
      <c r="J223" s="20">
        <v>190</v>
      </c>
      <c r="K223" s="20">
        <v>0.32086290957522579</v>
      </c>
      <c r="L223" s="20">
        <f t="shared" si="9"/>
        <v>159.78254935835213</v>
      </c>
      <c r="M223" s="20"/>
      <c r="N223" s="20"/>
      <c r="O223" s="20"/>
    </row>
    <row r="224" spans="1:15">
      <c r="A224" s="19">
        <v>42384</v>
      </c>
      <c r="B224" s="20">
        <v>46.894835999999998</v>
      </c>
      <c r="C224" s="21">
        <v>71820700</v>
      </c>
      <c r="D224" s="23">
        <f t="shared" si="10"/>
        <v>-4.0735652928348666E-2</v>
      </c>
      <c r="E224" s="47">
        <v>1880.329956</v>
      </c>
      <c r="F224" s="48">
        <v>5468460000</v>
      </c>
      <c r="G224" s="20">
        <f t="shared" si="11"/>
        <v>-2.183577282074398E-2</v>
      </c>
      <c r="H224" s="22">
        <v>1</v>
      </c>
      <c r="I224" s="16"/>
      <c r="J224" s="20">
        <v>191</v>
      </c>
      <c r="K224" s="20">
        <v>-0.69428551796590909</v>
      </c>
      <c r="L224" s="20">
        <f t="shared" si="9"/>
        <v>159.67220572164138</v>
      </c>
      <c r="M224" s="20"/>
      <c r="N224" s="20"/>
      <c r="O224" s="20"/>
    </row>
    <row r="225" spans="1:15">
      <c r="A225" s="19">
        <v>42388</v>
      </c>
      <c r="B225" s="20">
        <v>46.499370999999996</v>
      </c>
      <c r="C225" s="21">
        <v>43564500</v>
      </c>
      <c r="D225" s="23">
        <f t="shared" si="10"/>
        <v>-8.4687771601467694E-3</v>
      </c>
      <c r="E225" s="47">
        <v>1881.329956</v>
      </c>
      <c r="F225" s="48">
        <v>4928350000</v>
      </c>
      <c r="G225" s="20">
        <f t="shared" si="11"/>
        <v>5.316801874443635E-4</v>
      </c>
      <c r="H225" s="22">
        <v>1</v>
      </c>
      <c r="I225" s="16"/>
      <c r="J225" s="20">
        <v>192</v>
      </c>
      <c r="K225" s="20">
        <v>-0.38321559259202331</v>
      </c>
      <c r="L225" s="20">
        <f t="shared" si="9"/>
        <v>159.61164698880268</v>
      </c>
      <c r="M225" s="20"/>
      <c r="N225" s="20"/>
      <c r="O225" s="20"/>
    </row>
    <row r="226" spans="1:15">
      <c r="A226" s="19">
        <v>42389</v>
      </c>
      <c r="B226" s="20">
        <v>46.710895999999998</v>
      </c>
      <c r="C226" s="21">
        <v>63273000</v>
      </c>
      <c r="D226" s="23">
        <f t="shared" si="10"/>
        <v>4.5386708979081591E-3</v>
      </c>
      <c r="E226" s="47">
        <v>1859.329956</v>
      </c>
      <c r="F226" s="48">
        <v>6416070000</v>
      </c>
      <c r="G226" s="20">
        <f t="shared" si="11"/>
        <v>-1.1762766026242346E-2</v>
      </c>
      <c r="H226" s="22">
        <v>1</v>
      </c>
      <c r="I226" s="16"/>
      <c r="J226" s="20">
        <v>193</v>
      </c>
      <c r="K226" s="20">
        <v>-0.97627435025060549</v>
      </c>
      <c r="L226" s="20">
        <f t="shared" ref="L226:L283" si="12">L225*EXP($N$31*$N$33+$N$32*K226*SQRT($N$33))</f>
        <v>159.45639026939079</v>
      </c>
      <c r="M226" s="20"/>
      <c r="N226" s="20"/>
      <c r="O226" s="20"/>
    </row>
    <row r="227" spans="1:15">
      <c r="A227" s="19">
        <v>42390</v>
      </c>
      <c r="B227" s="20">
        <v>46.425784999999998</v>
      </c>
      <c r="C227" s="21">
        <v>40191200</v>
      </c>
      <c r="D227" s="23">
        <f t="shared" si="10"/>
        <v>-6.1224404291956372E-3</v>
      </c>
      <c r="E227" s="47">
        <v>1868.98999</v>
      </c>
      <c r="F227" s="48">
        <v>5078810000</v>
      </c>
      <c r="G227" s="20">
        <f t="shared" si="11"/>
        <v>5.1819885399586188E-3</v>
      </c>
      <c r="H227" s="22">
        <v>1</v>
      </c>
      <c r="I227" s="16"/>
      <c r="J227" s="20">
        <v>194</v>
      </c>
      <c r="K227" s="20">
        <v>0.73177034209948033</v>
      </c>
      <c r="L227" s="20">
        <f t="shared" si="12"/>
        <v>159.57397343748184</v>
      </c>
      <c r="M227" s="20"/>
      <c r="N227" s="20"/>
      <c r="O227" s="20"/>
    </row>
    <row r="228" spans="1:15">
      <c r="A228" s="19">
        <v>42391</v>
      </c>
      <c r="B228" s="20">
        <v>48.090415999999998</v>
      </c>
      <c r="C228" s="21">
        <v>37555800</v>
      </c>
      <c r="D228" s="23">
        <f t="shared" si="10"/>
        <v>3.5227889610421302E-2</v>
      </c>
      <c r="E228" s="47">
        <v>1906.900024</v>
      </c>
      <c r="F228" s="48">
        <v>4901760000</v>
      </c>
      <c r="G228" s="20">
        <f t="shared" si="11"/>
        <v>2.0080726790476438E-2</v>
      </c>
      <c r="H228" s="22">
        <v>1</v>
      </c>
      <c r="I228" s="16"/>
      <c r="J228" s="20">
        <v>195</v>
      </c>
      <c r="K228" s="20">
        <v>2.0175139070488513</v>
      </c>
      <c r="L228" s="20">
        <f t="shared" si="12"/>
        <v>159.89737140527444</v>
      </c>
      <c r="M228" s="20"/>
      <c r="N228" s="20"/>
      <c r="O228" s="20"/>
    </row>
    <row r="229" spans="1:15">
      <c r="A229" s="19">
        <v>42394</v>
      </c>
      <c r="B229" s="20">
        <v>47.630577000000002</v>
      </c>
      <c r="C229" s="21">
        <v>34707700</v>
      </c>
      <c r="D229" s="23">
        <f t="shared" si="10"/>
        <v>-9.6079767461112586E-3</v>
      </c>
      <c r="E229" s="47">
        <v>1877.079956</v>
      </c>
      <c r="F229" s="48">
        <v>4401380000</v>
      </c>
      <c r="G229" s="20">
        <f t="shared" si="11"/>
        <v>-1.5761544984816713E-2</v>
      </c>
      <c r="H229" s="22">
        <v>1</v>
      </c>
      <c r="I229" s="16"/>
      <c r="J229" s="20">
        <v>196</v>
      </c>
      <c r="K229" s="20">
        <v>-0.45514298108173534</v>
      </c>
      <c r="L229" s="20">
        <f t="shared" si="12"/>
        <v>159.82521575365962</v>
      </c>
      <c r="M229" s="20"/>
      <c r="N229" s="20"/>
      <c r="O229" s="20"/>
    </row>
    <row r="230" spans="1:15">
      <c r="A230" s="19">
        <v>42395</v>
      </c>
      <c r="B230" s="20">
        <v>47.980057000000002</v>
      </c>
      <c r="C230" s="21">
        <v>28900800</v>
      </c>
      <c r="D230" s="23">
        <f t="shared" si="10"/>
        <v>7.3105164527174395E-3</v>
      </c>
      <c r="E230" s="47">
        <v>1903.630005</v>
      </c>
      <c r="F230" s="48">
        <v>4357940000</v>
      </c>
      <c r="G230" s="20">
        <f t="shared" si="11"/>
        <v>1.4045237921062189E-2</v>
      </c>
      <c r="H230" s="22">
        <v>1</v>
      </c>
      <c r="I230" s="16"/>
      <c r="J230" s="20">
        <v>197</v>
      </c>
      <c r="K230" s="20">
        <v>0.63615743783884682</v>
      </c>
      <c r="L230" s="20">
        <f t="shared" si="12"/>
        <v>159.92775865799024</v>
      </c>
      <c r="M230" s="20"/>
      <c r="N230" s="20"/>
      <c r="O230" s="20"/>
    </row>
    <row r="231" spans="1:15">
      <c r="A231" s="19">
        <v>42396</v>
      </c>
      <c r="B231" s="20">
        <v>47.106358</v>
      </c>
      <c r="C231" s="21">
        <v>36775200</v>
      </c>
      <c r="D231" s="23">
        <f t="shared" si="10"/>
        <v>-1.8377464109427085E-2</v>
      </c>
      <c r="E231" s="47">
        <v>1882.9499510000001</v>
      </c>
      <c r="F231" s="48">
        <v>4754040000</v>
      </c>
      <c r="G231" s="20">
        <f t="shared" si="11"/>
        <v>-1.0922922453367977E-2</v>
      </c>
      <c r="H231" s="22">
        <v>1</v>
      </c>
      <c r="I231" s="16"/>
      <c r="J231" s="20">
        <v>198</v>
      </c>
      <c r="K231" s="20">
        <v>-2.773390406218823E-2</v>
      </c>
      <c r="L231" s="20">
        <f t="shared" si="12"/>
        <v>159.92401857213073</v>
      </c>
      <c r="M231" s="20"/>
      <c r="N231" s="20"/>
      <c r="O231" s="20"/>
    </row>
    <row r="232" spans="1:15">
      <c r="A232" s="19">
        <v>42397</v>
      </c>
      <c r="B232" s="20">
        <v>47.878891000000003</v>
      </c>
      <c r="C232" s="21">
        <v>62513800</v>
      </c>
      <c r="D232" s="23">
        <f t="shared" si="10"/>
        <v>1.6266737053267588E-2</v>
      </c>
      <c r="E232" s="47">
        <v>1893.3599850000001</v>
      </c>
      <c r="F232" s="48">
        <v>4693010000</v>
      </c>
      <c r="G232" s="20">
        <f t="shared" si="11"/>
        <v>5.5133506231893649E-3</v>
      </c>
      <c r="H232" s="22">
        <v>1</v>
      </c>
      <c r="I232" s="16"/>
      <c r="J232" s="20">
        <v>199</v>
      </c>
      <c r="K232" s="20">
        <v>0.58735849961522035</v>
      </c>
      <c r="L232" s="20">
        <f t="shared" si="12"/>
        <v>160.0188055391788</v>
      </c>
      <c r="M232" s="20"/>
      <c r="N232" s="20"/>
      <c r="O232" s="20"/>
    </row>
    <row r="233" spans="1:15">
      <c r="A233" s="19">
        <v>42398</v>
      </c>
      <c r="B233" s="20">
        <v>50.665543</v>
      </c>
      <c r="C233" s="21">
        <v>83611700</v>
      </c>
      <c r="D233" s="23">
        <f t="shared" si="10"/>
        <v>5.6571335950979185E-2</v>
      </c>
      <c r="E233" s="47">
        <v>1940.23999</v>
      </c>
      <c r="F233" s="48">
        <v>5497570000</v>
      </c>
      <c r="G233" s="20">
        <f t="shared" si="11"/>
        <v>2.4458651059441346E-2</v>
      </c>
      <c r="H233" s="22">
        <v>1</v>
      </c>
      <c r="I233" s="16"/>
      <c r="J233" s="20">
        <v>200</v>
      </c>
      <c r="K233" s="20">
        <v>0.49297796067548916</v>
      </c>
      <c r="L233" s="20">
        <f t="shared" si="12"/>
        <v>160.09851768262561</v>
      </c>
      <c r="M233" s="20"/>
      <c r="N233" s="20"/>
      <c r="O233" s="20"/>
    </row>
    <row r="234" spans="1:15">
      <c r="A234" s="19">
        <v>42401</v>
      </c>
      <c r="B234" s="20">
        <v>50.316063</v>
      </c>
      <c r="C234" s="21">
        <v>44208500</v>
      </c>
      <c r="D234" s="23">
        <f t="shared" si="10"/>
        <v>-6.9216842380070516E-3</v>
      </c>
      <c r="E234" s="47">
        <v>1939.380005</v>
      </c>
      <c r="F234" s="48">
        <v>4322530000</v>
      </c>
      <c r="G234" s="20">
        <f t="shared" si="11"/>
        <v>-4.433346643196018E-4</v>
      </c>
      <c r="H234" s="22">
        <v>1</v>
      </c>
      <c r="I234" s="16"/>
      <c r="J234" s="20">
        <v>201</v>
      </c>
      <c r="K234" s="20">
        <v>1.387702468491625</v>
      </c>
      <c r="L234" s="20">
        <f t="shared" si="12"/>
        <v>160.32183994604773</v>
      </c>
      <c r="M234" s="20"/>
      <c r="N234" s="20"/>
      <c r="O234" s="20"/>
    </row>
    <row r="235" spans="1:15">
      <c r="A235" s="19">
        <v>42402</v>
      </c>
      <c r="B235" s="20">
        <v>48.743403999999998</v>
      </c>
      <c r="C235" s="21">
        <v>56313800</v>
      </c>
      <c r="D235" s="23">
        <f t="shared" si="10"/>
        <v>-3.1754484337117479E-2</v>
      </c>
      <c r="E235" s="47">
        <v>1903.030029</v>
      </c>
      <c r="F235" s="48">
        <v>4463190000</v>
      </c>
      <c r="G235" s="20">
        <f t="shared" si="11"/>
        <v>-1.8920968934657827E-2</v>
      </c>
      <c r="H235" s="22">
        <v>1</v>
      </c>
      <c r="I235" s="16"/>
      <c r="J235" s="20">
        <v>202</v>
      </c>
      <c r="K235" s="20">
        <v>1.7559068510308862</v>
      </c>
      <c r="L235" s="20">
        <f t="shared" si="12"/>
        <v>160.60467683520389</v>
      </c>
      <c r="M235" s="20"/>
      <c r="N235" s="20"/>
      <c r="O235" s="20"/>
    </row>
    <row r="236" spans="1:15">
      <c r="A236" s="19">
        <v>42403</v>
      </c>
      <c r="B236" s="20">
        <v>47.970860000000002</v>
      </c>
      <c r="C236" s="21">
        <v>57559800</v>
      </c>
      <c r="D236" s="23">
        <f t="shared" si="10"/>
        <v>-1.5976142500679243E-2</v>
      </c>
      <c r="E236" s="47">
        <v>1912.530029</v>
      </c>
      <c r="F236" s="48">
        <v>5172950000</v>
      </c>
      <c r="G236" s="20">
        <f t="shared" si="11"/>
        <v>4.9796200223488655E-3</v>
      </c>
      <c r="H236" s="22">
        <v>1</v>
      </c>
      <c r="I236" s="16"/>
      <c r="J236" s="20">
        <v>203</v>
      </c>
      <c r="K236" s="20">
        <v>0.78792936619720422</v>
      </c>
      <c r="L236" s="20">
        <f t="shared" si="12"/>
        <v>160.73214506633704</v>
      </c>
      <c r="M236" s="20"/>
      <c r="N236" s="20"/>
      <c r="O236" s="20"/>
    </row>
    <row r="237" spans="1:15">
      <c r="A237" s="19">
        <v>42404</v>
      </c>
      <c r="B237" s="20">
        <v>47.823718999999997</v>
      </c>
      <c r="C237" s="21">
        <v>46987100</v>
      </c>
      <c r="D237" s="23">
        <f t="shared" si="10"/>
        <v>-3.0720134114768575E-3</v>
      </c>
      <c r="E237" s="47">
        <v>1915.4499510000001</v>
      </c>
      <c r="F237" s="48">
        <v>5193320000</v>
      </c>
      <c r="G237" s="20">
        <f t="shared" si="11"/>
        <v>1.5255683580189725E-3</v>
      </c>
      <c r="H237" s="22">
        <v>1</v>
      </c>
      <c r="I237" s="16"/>
      <c r="J237" s="20">
        <v>204</v>
      </c>
      <c r="K237" s="20">
        <v>9.442373993806541E-2</v>
      </c>
      <c r="L237" s="20">
        <f t="shared" si="12"/>
        <v>160.74804769627249</v>
      </c>
      <c r="M237" s="20"/>
      <c r="N237" s="20"/>
      <c r="O237" s="20"/>
    </row>
    <row r="238" spans="1:15">
      <c r="A238" s="19">
        <v>42405</v>
      </c>
      <c r="B238" s="20">
        <v>46.131495999999999</v>
      </c>
      <c r="C238" s="21">
        <v>62009000</v>
      </c>
      <c r="D238" s="23">
        <f t="shared" si="10"/>
        <v>-3.6025802680615358E-2</v>
      </c>
      <c r="E238" s="47">
        <v>1880.0500489999999</v>
      </c>
      <c r="F238" s="48">
        <v>4929940000</v>
      </c>
      <c r="G238" s="20">
        <f t="shared" si="11"/>
        <v>-1.8654158095200504E-2</v>
      </c>
      <c r="H238" s="22">
        <v>1</v>
      </c>
      <c r="I238" s="16"/>
      <c r="J238" s="20">
        <v>205</v>
      </c>
      <c r="K238" s="20">
        <v>1.0181565812672488</v>
      </c>
      <c r="L238" s="20">
        <f t="shared" si="12"/>
        <v>160.91272122093125</v>
      </c>
      <c r="M238" s="20"/>
      <c r="N238" s="20"/>
      <c r="O238" s="20"/>
    </row>
    <row r="239" spans="1:15">
      <c r="A239" s="19">
        <v>42408</v>
      </c>
      <c r="B239" s="20">
        <v>45.441710999999998</v>
      </c>
      <c r="C239" s="21">
        <v>59290500</v>
      </c>
      <c r="D239" s="23">
        <f t="shared" si="10"/>
        <v>-1.5065499379468647E-2</v>
      </c>
      <c r="E239" s="47">
        <v>1853.4399410000001</v>
      </c>
      <c r="F239" s="48">
        <v>5636460000</v>
      </c>
      <c r="G239" s="20">
        <f t="shared" si="11"/>
        <v>-1.4255058233664721E-2</v>
      </c>
      <c r="H239" s="22">
        <v>1</v>
      </c>
      <c r="I239" s="16"/>
      <c r="J239" s="20">
        <v>206</v>
      </c>
      <c r="K239" s="20">
        <v>2.2993481252342463</v>
      </c>
      <c r="L239" s="20">
        <f t="shared" si="12"/>
        <v>161.28434184399308</v>
      </c>
      <c r="M239" s="20"/>
      <c r="N239" s="20"/>
      <c r="O239" s="20"/>
    </row>
    <row r="240" spans="1:15">
      <c r="A240" s="19">
        <v>42409</v>
      </c>
      <c r="B240" s="20">
        <v>45.322163000000003</v>
      </c>
      <c r="C240" s="21">
        <v>46740500</v>
      </c>
      <c r="D240" s="23">
        <f t="shared" si="10"/>
        <v>-2.6342654596727974E-3</v>
      </c>
      <c r="E240" s="47">
        <v>1852.209961</v>
      </c>
      <c r="F240" s="48">
        <v>5183220000</v>
      </c>
      <c r="G240" s="20">
        <f t="shared" si="11"/>
        <v>-6.638403938297871E-4</v>
      </c>
      <c r="H240" s="22">
        <v>1</v>
      </c>
      <c r="I240" s="16"/>
      <c r="J240" s="20">
        <v>207</v>
      </c>
      <c r="K240" s="20">
        <v>0.12066266208421439</v>
      </c>
      <c r="L240" s="20">
        <f t="shared" si="12"/>
        <v>161.30453714046899</v>
      </c>
      <c r="M240" s="20"/>
      <c r="N240" s="20"/>
      <c r="O240" s="20"/>
    </row>
    <row r="241" spans="1:15">
      <c r="A241" s="19">
        <v>42410</v>
      </c>
      <c r="B241" s="20">
        <v>45.717632000000002</v>
      </c>
      <c r="C241" s="21">
        <v>38237000</v>
      </c>
      <c r="D241" s="23">
        <f t="shared" si="10"/>
        <v>8.6878817658467278E-3</v>
      </c>
      <c r="E241" s="47">
        <v>1851.8599850000001</v>
      </c>
      <c r="F241" s="48">
        <v>4471170000</v>
      </c>
      <c r="G241" s="20">
        <f t="shared" si="11"/>
        <v>-1.8896835434723531E-4</v>
      </c>
      <c r="H241" s="22">
        <v>1</v>
      </c>
      <c r="I241" s="16"/>
      <c r="J241" s="20">
        <v>208</v>
      </c>
      <c r="K241" s="20">
        <v>0.93402377387974411</v>
      </c>
      <c r="L241" s="20">
        <f t="shared" si="12"/>
        <v>161.45617833603026</v>
      </c>
      <c r="M241" s="20"/>
      <c r="N241" s="20"/>
      <c r="O241" s="20"/>
    </row>
    <row r="242" spans="1:15">
      <c r="A242" s="19">
        <v>42411</v>
      </c>
      <c r="B242" s="20">
        <v>45.699233999999997</v>
      </c>
      <c r="C242" s="21">
        <v>48878600</v>
      </c>
      <c r="D242" s="23">
        <f t="shared" si="10"/>
        <v>-4.025077877510556E-4</v>
      </c>
      <c r="E242" s="47">
        <v>1829.079956</v>
      </c>
      <c r="F242" s="48">
        <v>5500800000</v>
      </c>
      <c r="G242" s="20">
        <f t="shared" si="11"/>
        <v>-1.2377447169312198E-2</v>
      </c>
      <c r="H242" s="22">
        <v>1</v>
      </c>
      <c r="I242" s="16"/>
      <c r="J242" s="20">
        <v>209</v>
      </c>
      <c r="K242" s="20">
        <v>1.1295287549728528</v>
      </c>
      <c r="L242" s="20">
        <f t="shared" si="12"/>
        <v>161.63960238501258</v>
      </c>
      <c r="M242" s="20"/>
      <c r="N242" s="20"/>
      <c r="O242" s="20"/>
    </row>
    <row r="243" spans="1:15">
      <c r="A243" s="19">
        <v>42412</v>
      </c>
      <c r="B243" s="20">
        <v>46.444186999999999</v>
      </c>
      <c r="C243" s="21">
        <v>34243300</v>
      </c>
      <c r="D243" s="23">
        <f t="shared" si="10"/>
        <v>1.616977583925451E-2</v>
      </c>
      <c r="E243" s="47">
        <v>1864.780029</v>
      </c>
      <c r="F243" s="48">
        <v>4696920000</v>
      </c>
      <c r="G243" s="20">
        <f t="shared" si="11"/>
        <v>1.933001507774379E-2</v>
      </c>
      <c r="H243" s="22">
        <v>1</v>
      </c>
      <c r="I243" s="16"/>
      <c r="J243" s="20">
        <v>210</v>
      </c>
      <c r="K243" s="20">
        <v>-0.26147631615458522</v>
      </c>
      <c r="L243" s="20">
        <f t="shared" si="12"/>
        <v>161.59799527701006</v>
      </c>
      <c r="M243" s="20"/>
      <c r="N243" s="20"/>
      <c r="O243" s="20"/>
    </row>
    <row r="244" spans="1:15">
      <c r="A244" s="19">
        <v>42416</v>
      </c>
      <c r="B244" s="20">
        <v>47.324162000000001</v>
      </c>
      <c r="C244" s="21">
        <v>37291200</v>
      </c>
      <c r="D244" s="23">
        <f t="shared" si="10"/>
        <v>1.8769677484794516E-2</v>
      </c>
      <c r="E244" s="47">
        <v>1895.579956</v>
      </c>
      <c r="F244" s="48">
        <v>4570670000</v>
      </c>
      <c r="G244" s="20">
        <f t="shared" si="11"/>
        <v>1.638173787203618E-2</v>
      </c>
      <c r="H244" s="22">
        <v>1</v>
      </c>
      <c r="I244" s="16"/>
      <c r="J244" s="20">
        <v>211</v>
      </c>
      <c r="K244" s="20">
        <v>-0.12567284102260601</v>
      </c>
      <c r="L244" s="20">
        <f t="shared" si="12"/>
        <v>161.57836948476009</v>
      </c>
      <c r="M244" s="20"/>
      <c r="N244" s="20"/>
      <c r="O244" s="20"/>
    </row>
    <row r="245" spans="1:15">
      <c r="A245" s="19">
        <v>42417</v>
      </c>
      <c r="B245" s="20">
        <v>48.556125999999999</v>
      </c>
      <c r="C245" s="21">
        <v>40789000</v>
      </c>
      <c r="D245" s="23">
        <f t="shared" si="10"/>
        <v>2.5699376378345323E-2</v>
      </c>
      <c r="E245" s="47">
        <v>1926.8199460000001</v>
      </c>
      <c r="F245" s="48">
        <v>5011540000</v>
      </c>
      <c r="G245" s="20">
        <f t="shared" si="11"/>
        <v>1.6346110504470802E-2</v>
      </c>
      <c r="H245" s="22">
        <v>1</v>
      </c>
      <c r="I245" s="16"/>
      <c r="J245" s="20">
        <v>212</v>
      </c>
      <c r="K245" s="20">
        <v>-1.9198887457605451</v>
      </c>
      <c r="L245" s="20">
        <f t="shared" si="12"/>
        <v>161.26874970545785</v>
      </c>
      <c r="M245" s="20"/>
      <c r="N245" s="20"/>
      <c r="O245" s="20"/>
    </row>
    <row r="246" spans="1:15">
      <c r="A246" s="19">
        <v>42418</v>
      </c>
      <c r="B246" s="20">
        <v>48.343074999999999</v>
      </c>
      <c r="C246" s="21">
        <v>27176000</v>
      </c>
      <c r="D246" s="23">
        <f t="shared" si="10"/>
        <v>-4.3973808063303647E-3</v>
      </c>
      <c r="E246" s="47">
        <v>1917.829956</v>
      </c>
      <c r="F246" s="48">
        <v>4436490000</v>
      </c>
      <c r="G246" s="20">
        <f t="shared" si="11"/>
        <v>-4.6766320024294265E-3</v>
      </c>
      <c r="H246" s="22">
        <v>1</v>
      </c>
      <c r="I246" s="16"/>
      <c r="J246" s="20">
        <v>213</v>
      </c>
      <c r="K246" s="20">
        <v>0.48900801630225033</v>
      </c>
      <c r="L246" s="20">
        <f t="shared" si="12"/>
        <v>161.34844310114698</v>
      </c>
      <c r="M246" s="20"/>
      <c r="N246" s="20"/>
      <c r="O246" s="20"/>
    </row>
    <row r="247" spans="1:15">
      <c r="A247" s="19">
        <v>42419</v>
      </c>
      <c r="B247" s="20">
        <v>48.000340000000001</v>
      </c>
      <c r="C247" s="21">
        <v>33559100</v>
      </c>
      <c r="D247" s="23">
        <f t="shared" si="10"/>
        <v>-7.1148909516451017E-3</v>
      </c>
      <c r="E247" s="47">
        <v>1917.780029</v>
      </c>
      <c r="F247" s="48">
        <v>4142850000</v>
      </c>
      <c r="G247" s="20">
        <f t="shared" si="11"/>
        <v>-2.6033408087892532E-5</v>
      </c>
      <c r="H247" s="22">
        <v>1</v>
      </c>
      <c r="I247" s="16"/>
      <c r="J247" s="20">
        <v>214</v>
      </c>
      <c r="K247" s="20">
        <v>-0.76969399742665701</v>
      </c>
      <c r="L247" s="20">
        <f t="shared" si="12"/>
        <v>161.22484372359946</v>
      </c>
      <c r="M247" s="20"/>
      <c r="N247" s="20"/>
      <c r="O247" s="20"/>
    </row>
    <row r="248" spans="1:15">
      <c r="A248" s="19">
        <v>42422</v>
      </c>
      <c r="B248" s="20">
        <v>48.769173000000002</v>
      </c>
      <c r="C248" s="21">
        <v>25008300</v>
      </c>
      <c r="D248" s="23">
        <f t="shared" si="10"/>
        <v>1.589031821626324E-2</v>
      </c>
      <c r="E248" s="47">
        <v>1945.5</v>
      </c>
      <c r="F248" s="48">
        <v>4054710000</v>
      </c>
      <c r="G248" s="20">
        <f t="shared" si="11"/>
        <v>1.43507312538776E-2</v>
      </c>
      <c r="H248" s="22">
        <v>1</v>
      </c>
      <c r="I248" s="16"/>
      <c r="J248" s="20">
        <v>215</v>
      </c>
      <c r="K248" s="20">
        <v>1.9164190234732814E-2</v>
      </c>
      <c r="L248" s="20">
        <f t="shared" si="12"/>
        <v>161.22864450290402</v>
      </c>
      <c r="M248" s="20"/>
      <c r="N248" s="20"/>
      <c r="O248" s="20"/>
    </row>
    <row r="249" spans="1:15">
      <c r="A249" s="19">
        <v>42423</v>
      </c>
      <c r="B249" s="20">
        <v>47.407524000000002</v>
      </c>
      <c r="C249" s="21">
        <v>28895300</v>
      </c>
      <c r="D249" s="23">
        <f t="shared" si="10"/>
        <v>-2.8317462151091363E-2</v>
      </c>
      <c r="E249" s="47">
        <v>1921.2700199999999</v>
      </c>
      <c r="F249" s="48">
        <v>3890650000</v>
      </c>
      <c r="G249" s="20">
        <f t="shared" si="11"/>
        <v>-1.2532577326809282E-2</v>
      </c>
      <c r="H249" s="22">
        <v>1</v>
      </c>
      <c r="I249" s="16"/>
      <c r="J249" s="20">
        <v>216</v>
      </c>
      <c r="K249" s="20">
        <v>-0.82048700278392062</v>
      </c>
      <c r="L249" s="20">
        <f t="shared" si="12"/>
        <v>161.09694320246919</v>
      </c>
      <c r="M249" s="20"/>
      <c r="N249" s="20"/>
      <c r="O249" s="20"/>
    </row>
    <row r="250" spans="1:15">
      <c r="A250" s="19">
        <v>42424</v>
      </c>
      <c r="B250" s="20">
        <v>47.574257000000003</v>
      </c>
      <c r="C250" s="21">
        <v>33014500</v>
      </c>
      <c r="D250" s="23">
        <f t="shared" si="10"/>
        <v>3.5108453328123639E-3</v>
      </c>
      <c r="E250" s="47">
        <v>1929.8000489999999</v>
      </c>
      <c r="F250" s="48">
        <v>4317250000</v>
      </c>
      <c r="G250" s="20">
        <f t="shared" si="11"/>
        <v>4.4299598797164323E-3</v>
      </c>
      <c r="H250" s="22">
        <v>1</v>
      </c>
      <c r="I250" s="16"/>
      <c r="J250" s="20">
        <v>217</v>
      </c>
      <c r="K250" s="20">
        <v>-0.58508703659754246</v>
      </c>
      <c r="L250" s="20">
        <f t="shared" si="12"/>
        <v>161.0032956087106</v>
      </c>
      <c r="M250" s="20"/>
      <c r="N250" s="20"/>
      <c r="O250" s="20"/>
    </row>
    <row r="251" spans="1:15">
      <c r="A251" s="19">
        <v>42425</v>
      </c>
      <c r="B251" s="20">
        <v>48.259720000000002</v>
      </c>
      <c r="C251" s="21">
        <v>26939500</v>
      </c>
      <c r="D251" s="23">
        <f t="shared" si="10"/>
        <v>1.4305462659591844E-2</v>
      </c>
      <c r="E251" s="47">
        <v>1951.6999510000001</v>
      </c>
      <c r="F251" s="48">
        <v>4118210000</v>
      </c>
      <c r="G251" s="20">
        <f t="shared" si="11"/>
        <v>1.1284366553322904E-2</v>
      </c>
      <c r="H251" s="22">
        <v>1</v>
      </c>
      <c r="I251" s="16"/>
      <c r="J251" s="20">
        <v>218</v>
      </c>
      <c r="K251" s="20">
        <v>4.7867843022686429E-2</v>
      </c>
      <c r="L251" s="20">
        <f t="shared" si="12"/>
        <v>161.01171887230686</v>
      </c>
      <c r="M251" s="20"/>
      <c r="N251" s="20"/>
      <c r="O251" s="20"/>
    </row>
    <row r="252" spans="1:15">
      <c r="A252" s="19">
        <v>42426</v>
      </c>
      <c r="B252" s="20">
        <v>47.518673</v>
      </c>
      <c r="C252" s="21">
        <v>35975900</v>
      </c>
      <c r="D252" s="23">
        <f t="shared" si="10"/>
        <v>-1.5474508693411999E-2</v>
      </c>
      <c r="E252" s="47">
        <v>1948.0500489999999</v>
      </c>
      <c r="F252" s="48">
        <v>4348510000</v>
      </c>
      <c r="G252" s="20">
        <f t="shared" si="11"/>
        <v>-1.8718651532711654E-3</v>
      </c>
      <c r="H252" s="22">
        <v>1</v>
      </c>
      <c r="I252" s="16"/>
      <c r="J252" s="20">
        <v>219</v>
      </c>
      <c r="K252" s="20">
        <v>-1.9208528101444244</v>
      </c>
      <c r="L252" s="20">
        <f t="shared" si="12"/>
        <v>160.70302978623022</v>
      </c>
      <c r="M252" s="20"/>
      <c r="N252" s="20"/>
      <c r="O252" s="20"/>
    </row>
    <row r="253" spans="1:15">
      <c r="A253" s="19">
        <v>42429</v>
      </c>
      <c r="B253" s="20">
        <v>47.129641999999997</v>
      </c>
      <c r="C253" s="21">
        <v>31654000</v>
      </c>
      <c r="D253" s="23">
        <f t="shared" si="10"/>
        <v>-8.2206046845456557E-3</v>
      </c>
      <c r="E253" s="47">
        <v>1932.2299800000001</v>
      </c>
      <c r="F253" s="48">
        <v>4588180000</v>
      </c>
      <c r="G253" s="20">
        <f t="shared" si="11"/>
        <v>-8.1541314223962831E-3</v>
      </c>
      <c r="H253" s="22">
        <v>1</v>
      </c>
      <c r="I253" s="16"/>
      <c r="J253" s="20">
        <v>220</v>
      </c>
      <c r="K253" s="20">
        <v>-4.4747139327228069E-3</v>
      </c>
      <c r="L253" s="20">
        <f t="shared" si="12"/>
        <v>160.70301432145175</v>
      </c>
      <c r="M253" s="20"/>
      <c r="N253" s="20"/>
      <c r="O253" s="20"/>
    </row>
    <row r="254" spans="1:15">
      <c r="A254" s="19">
        <v>42430</v>
      </c>
      <c r="B254" s="20">
        <v>48.704338</v>
      </c>
      <c r="C254" s="21">
        <v>33024500</v>
      </c>
      <c r="D254" s="23">
        <f t="shared" si="10"/>
        <v>3.2865957201118103E-2</v>
      </c>
      <c r="E254" s="47">
        <v>1978.349976</v>
      </c>
      <c r="F254" s="48">
        <v>4819750000</v>
      </c>
      <c r="G254" s="20">
        <f t="shared" si="11"/>
        <v>2.3588385853510946E-2</v>
      </c>
      <c r="H254" s="22">
        <v>1</v>
      </c>
      <c r="I254" s="16"/>
      <c r="J254" s="20">
        <v>221</v>
      </c>
      <c r="K254" s="20">
        <v>0.15317255019908771</v>
      </c>
      <c r="L254" s="20">
        <f t="shared" si="12"/>
        <v>160.7283689551937</v>
      </c>
      <c r="M254" s="20"/>
      <c r="N254" s="20"/>
      <c r="O254" s="20"/>
    </row>
    <row r="255" spans="1:15">
      <c r="A255" s="19">
        <v>42431</v>
      </c>
      <c r="B255" s="20">
        <v>49.047066000000001</v>
      </c>
      <c r="C255" s="21">
        <v>29289900</v>
      </c>
      <c r="D255" s="23">
        <f t="shared" si="10"/>
        <v>7.0122656116572511E-3</v>
      </c>
      <c r="E255" s="47">
        <v>1986.4499510000001</v>
      </c>
      <c r="F255" s="48">
        <v>4666610000</v>
      </c>
      <c r="G255" s="20">
        <f t="shared" si="11"/>
        <v>4.0859495652811485E-3</v>
      </c>
      <c r="H255" s="22">
        <v>1</v>
      </c>
      <c r="I255" s="16"/>
      <c r="J255" s="20">
        <v>222</v>
      </c>
      <c r="K255" s="20">
        <v>-1.55222096509533</v>
      </c>
      <c r="L255" s="20">
        <f t="shared" si="12"/>
        <v>160.47944871787473</v>
      </c>
      <c r="M255" s="20"/>
      <c r="N255" s="20"/>
      <c r="O255" s="20"/>
    </row>
    <row r="256" spans="1:15">
      <c r="A256" s="19">
        <v>42432</v>
      </c>
      <c r="B256" s="20">
        <v>48.491283000000003</v>
      </c>
      <c r="C256" s="21">
        <v>24427800</v>
      </c>
      <c r="D256" s="23">
        <f t="shared" si="10"/>
        <v>-1.1396317877581009E-2</v>
      </c>
      <c r="E256" s="47">
        <v>1993.400024</v>
      </c>
      <c r="F256" s="48">
        <v>5081700000</v>
      </c>
      <c r="G256" s="20">
        <f t="shared" si="11"/>
        <v>3.4926341991238E-3</v>
      </c>
      <c r="H256" s="22">
        <v>1</v>
      </c>
      <c r="I256" s="16"/>
      <c r="J256" s="20">
        <v>223</v>
      </c>
      <c r="K256" s="20">
        <v>0.41611201595515013</v>
      </c>
      <c r="L256" s="20">
        <f t="shared" si="12"/>
        <v>160.54703283280662</v>
      </c>
      <c r="M256" s="20"/>
      <c r="N256" s="20"/>
      <c r="O256" s="20"/>
    </row>
    <row r="257" spans="1:15">
      <c r="A257" s="19">
        <v>42433</v>
      </c>
      <c r="B257" s="20">
        <v>48.194870000000002</v>
      </c>
      <c r="C257" s="21">
        <v>33034200</v>
      </c>
      <c r="D257" s="23">
        <f t="shared" si="10"/>
        <v>-6.1314659739033677E-3</v>
      </c>
      <c r="E257" s="47">
        <v>1999.98999</v>
      </c>
      <c r="F257" s="48">
        <v>6049930000</v>
      </c>
      <c r="G257" s="20">
        <f t="shared" si="11"/>
        <v>3.300439956470432E-3</v>
      </c>
      <c r="H257" s="22">
        <v>1</v>
      </c>
      <c r="I257" s="16"/>
      <c r="J257" s="20">
        <v>224</v>
      </c>
      <c r="K257" s="20">
        <v>0.19005142348760273</v>
      </c>
      <c r="L257" s="20">
        <f t="shared" si="12"/>
        <v>160.57829257316178</v>
      </c>
      <c r="M257" s="20"/>
      <c r="N257" s="20"/>
      <c r="O257" s="20"/>
    </row>
    <row r="258" spans="1:15">
      <c r="A258" s="19">
        <v>42436</v>
      </c>
      <c r="B258" s="20">
        <v>47.268580999999998</v>
      </c>
      <c r="C258" s="21">
        <v>38407800</v>
      </c>
      <c r="D258" s="23">
        <f t="shared" si="10"/>
        <v>-1.940675854204265E-2</v>
      </c>
      <c r="E258" s="47">
        <v>2001.76001</v>
      </c>
      <c r="F258" s="48">
        <v>4968180000</v>
      </c>
      <c r="G258" s="20">
        <f t="shared" si="11"/>
        <v>8.8462303513638313E-4</v>
      </c>
      <c r="H258" s="22">
        <v>1</v>
      </c>
      <c r="I258" s="16"/>
      <c r="J258" s="20">
        <v>225</v>
      </c>
      <c r="K258" s="20">
        <v>-1.0954408935504034</v>
      </c>
      <c r="L258" s="20">
        <f t="shared" si="12"/>
        <v>160.40295434248927</v>
      </c>
      <c r="M258" s="20"/>
      <c r="N258" s="20"/>
      <c r="O258" s="20"/>
    </row>
    <row r="259" spans="1:15">
      <c r="A259" s="19">
        <v>42437</v>
      </c>
      <c r="B259" s="20">
        <v>47.842880000000001</v>
      </c>
      <c r="C259" s="21">
        <v>33835100</v>
      </c>
      <c r="D259" s="23">
        <f t="shared" ref="D259:D322" si="13">LN(B259/B258)</f>
        <v>1.2076483184280604E-2</v>
      </c>
      <c r="E259" s="47">
        <v>1979.26001</v>
      </c>
      <c r="F259" s="48">
        <v>4641650000</v>
      </c>
      <c r="G259" s="20">
        <f t="shared" ref="G259:G322" si="14">LN(E259/E258)</f>
        <v>-1.1303756054675167E-2</v>
      </c>
      <c r="H259" s="22">
        <v>1</v>
      </c>
      <c r="I259" s="16"/>
      <c r="J259" s="20">
        <v>226</v>
      </c>
      <c r="K259" s="20">
        <v>0.46449599722109269</v>
      </c>
      <c r="L259" s="20">
        <f t="shared" si="12"/>
        <v>160.47828096344361</v>
      </c>
      <c r="M259" s="20"/>
      <c r="N259" s="20"/>
      <c r="O259" s="20"/>
    </row>
    <row r="260" spans="1:15">
      <c r="A260" s="19">
        <v>42438</v>
      </c>
      <c r="B260" s="20">
        <v>48.945174999999999</v>
      </c>
      <c r="C260" s="21">
        <v>28251600</v>
      </c>
      <c r="D260" s="23">
        <f t="shared" si="13"/>
        <v>2.2778485649539042E-2</v>
      </c>
      <c r="E260" s="47">
        <v>1989.26001</v>
      </c>
      <c r="F260" s="48">
        <v>4038120000</v>
      </c>
      <c r="G260" s="20">
        <f t="shared" si="14"/>
        <v>5.0396727822188481E-3</v>
      </c>
      <c r="H260" s="22">
        <v>1</v>
      </c>
      <c r="I260" s="16"/>
      <c r="J260" s="20">
        <v>227</v>
      </c>
      <c r="K260" s="20">
        <v>-8.6743057181593031E-2</v>
      </c>
      <c r="L260" s="20">
        <f t="shared" si="12"/>
        <v>160.46504621779067</v>
      </c>
      <c r="M260" s="20"/>
      <c r="N260" s="20"/>
      <c r="O260" s="20"/>
    </row>
    <row r="261" spans="1:15">
      <c r="A261" s="19">
        <v>42439</v>
      </c>
      <c r="B261" s="20">
        <v>48.213405999999999</v>
      </c>
      <c r="C261" s="21">
        <v>38387800</v>
      </c>
      <c r="D261" s="23">
        <f t="shared" si="13"/>
        <v>-1.5063678983937869E-2</v>
      </c>
      <c r="E261" s="47">
        <v>1989.5699460000001</v>
      </c>
      <c r="F261" s="48">
        <v>4376790000</v>
      </c>
      <c r="G261" s="20">
        <f t="shared" si="14"/>
        <v>1.557925340134523E-4</v>
      </c>
      <c r="H261" s="22">
        <v>1</v>
      </c>
      <c r="I261" s="16"/>
      <c r="J261" s="20">
        <v>228</v>
      </c>
      <c r="K261" s="20">
        <v>-1.3269800547277555</v>
      </c>
      <c r="L261" s="20">
        <f t="shared" si="12"/>
        <v>160.25267319705159</v>
      </c>
      <c r="M261" s="20"/>
      <c r="N261" s="20"/>
      <c r="O261" s="20"/>
    </row>
    <row r="262" spans="1:15">
      <c r="A262" s="19">
        <v>42440</v>
      </c>
      <c r="B262" s="20">
        <v>49.158211000000001</v>
      </c>
      <c r="C262" s="21">
        <v>32275700</v>
      </c>
      <c r="D262" s="23">
        <f t="shared" si="13"/>
        <v>1.9406777495663809E-2</v>
      </c>
      <c r="E262" s="47">
        <v>2022.1899410000001</v>
      </c>
      <c r="F262" s="48">
        <v>4078620000</v>
      </c>
      <c r="G262" s="20">
        <f t="shared" si="14"/>
        <v>1.6262545533244185E-2</v>
      </c>
      <c r="H262" s="22">
        <v>1</v>
      </c>
      <c r="I262" s="16"/>
      <c r="J262" s="20">
        <v>229</v>
      </c>
      <c r="K262" s="20">
        <v>-1.4481065591098741</v>
      </c>
      <c r="L262" s="20">
        <f t="shared" si="12"/>
        <v>160.02117147724255</v>
      </c>
      <c r="M262" s="20"/>
      <c r="N262" s="20"/>
      <c r="O262" s="20"/>
    </row>
    <row r="263" spans="1:15">
      <c r="A263" s="19">
        <v>42443</v>
      </c>
      <c r="B263" s="20">
        <v>49.250838999999999</v>
      </c>
      <c r="C263" s="21">
        <v>24083600</v>
      </c>
      <c r="D263" s="23">
        <f t="shared" si="13"/>
        <v>1.8825103454395121E-3</v>
      </c>
      <c r="E263" s="47">
        <v>2019.6400149999999</v>
      </c>
      <c r="F263" s="48">
        <v>3487850000</v>
      </c>
      <c r="G263" s="20">
        <f t="shared" si="14"/>
        <v>-1.261768241643932E-3</v>
      </c>
      <c r="H263" s="22">
        <v>1</v>
      </c>
      <c r="I263" s="16"/>
      <c r="J263" s="20">
        <v>230</v>
      </c>
      <c r="K263" s="20">
        <v>0.19620756575022824</v>
      </c>
      <c r="L263" s="20">
        <f t="shared" si="12"/>
        <v>160.05331544727252</v>
      </c>
      <c r="M263" s="20"/>
      <c r="N263" s="20"/>
      <c r="O263" s="20"/>
    </row>
    <row r="264" spans="1:15">
      <c r="A264" s="19">
        <v>42444</v>
      </c>
      <c r="B264" s="20">
        <v>49.639876999999998</v>
      </c>
      <c r="C264" s="21">
        <v>21104800</v>
      </c>
      <c r="D264" s="23">
        <f t="shared" si="13"/>
        <v>7.8680794868955101E-3</v>
      </c>
      <c r="E264" s="47">
        <v>2015.9300539999999</v>
      </c>
      <c r="F264" s="48">
        <v>3560280000</v>
      </c>
      <c r="G264" s="20">
        <f t="shared" si="14"/>
        <v>-1.8386309650007115E-3</v>
      </c>
      <c r="H264" s="22">
        <v>1</v>
      </c>
      <c r="I264" s="16"/>
      <c r="J264" s="20">
        <v>231</v>
      </c>
      <c r="K264" s="20">
        <v>-1.1953761713812128</v>
      </c>
      <c r="L264" s="20">
        <f t="shared" si="12"/>
        <v>159.86255248287912</v>
      </c>
      <c r="M264" s="20"/>
      <c r="N264" s="20"/>
      <c r="O264" s="20"/>
    </row>
    <row r="265" spans="1:15">
      <c r="A265" s="19">
        <v>42445</v>
      </c>
      <c r="B265" s="20">
        <v>50.343864000000004</v>
      </c>
      <c r="C265" s="21">
        <v>31691700</v>
      </c>
      <c r="D265" s="23">
        <f t="shared" si="13"/>
        <v>1.4082262313828465E-2</v>
      </c>
      <c r="E265" s="47">
        <v>2027.219971</v>
      </c>
      <c r="F265" s="48">
        <v>4057020000</v>
      </c>
      <c r="G265" s="20">
        <f t="shared" si="14"/>
        <v>5.584727884835018E-3</v>
      </c>
      <c r="H265" s="22">
        <v>1</v>
      </c>
      <c r="I265" s="16"/>
      <c r="J265" s="20">
        <v>232</v>
      </c>
      <c r="K265" s="20">
        <v>0.42095507524209097</v>
      </c>
      <c r="L265" s="20">
        <f t="shared" si="12"/>
        <v>159.93065238121358</v>
      </c>
      <c r="M265" s="20"/>
      <c r="N265" s="20"/>
      <c r="O265" s="20"/>
    </row>
    <row r="266" spans="1:15">
      <c r="A266" s="19">
        <v>42446</v>
      </c>
      <c r="B266" s="20">
        <v>50.631011999999998</v>
      </c>
      <c r="C266" s="21">
        <v>28223900</v>
      </c>
      <c r="D266" s="23">
        <f t="shared" si="13"/>
        <v>5.6875291246620665E-3</v>
      </c>
      <c r="E266" s="47">
        <v>2040.589966</v>
      </c>
      <c r="F266" s="48">
        <v>4530480000</v>
      </c>
      <c r="G266" s="20">
        <f t="shared" si="14"/>
        <v>6.5735830102084192E-3</v>
      </c>
      <c r="H266" s="22">
        <v>1</v>
      </c>
      <c r="I266" s="16"/>
      <c r="J266" s="20">
        <v>233</v>
      </c>
      <c r="K266" s="20">
        <v>-1.2788950698450208</v>
      </c>
      <c r="L266" s="20">
        <f t="shared" si="12"/>
        <v>159.72667711124475</v>
      </c>
      <c r="M266" s="20"/>
      <c r="N266" s="20"/>
      <c r="O266" s="20"/>
    </row>
    <row r="267" spans="1:15">
      <c r="A267" s="19">
        <v>42447</v>
      </c>
      <c r="B267" s="20">
        <v>49.547252999999998</v>
      </c>
      <c r="C267" s="21">
        <v>67625500</v>
      </c>
      <c r="D267" s="23">
        <f t="shared" si="13"/>
        <v>-2.1637453642729433E-2</v>
      </c>
      <c r="E267" s="47">
        <v>2049.580078</v>
      </c>
      <c r="F267" s="48">
        <v>6503140000</v>
      </c>
      <c r="G267" s="20">
        <f t="shared" si="14"/>
        <v>4.3959671019814534E-3</v>
      </c>
      <c r="H267" s="22">
        <v>1</v>
      </c>
      <c r="I267" s="16"/>
      <c r="J267" s="20">
        <v>234</v>
      </c>
      <c r="K267" s="20">
        <v>-0.35749053495237604</v>
      </c>
      <c r="L267" s="20">
        <f t="shared" si="12"/>
        <v>159.67021065665628</v>
      </c>
      <c r="M267" s="20"/>
      <c r="N267" s="20"/>
      <c r="O267" s="20"/>
    </row>
    <row r="268" spans="1:15">
      <c r="A268" s="19">
        <v>42450</v>
      </c>
      <c r="B268" s="20">
        <v>49.889980000000001</v>
      </c>
      <c r="C268" s="21">
        <v>23925700</v>
      </c>
      <c r="D268" s="23">
        <f t="shared" si="13"/>
        <v>6.8933607022788959E-3</v>
      </c>
      <c r="E268" s="47">
        <v>2051.6000979999999</v>
      </c>
      <c r="F268" s="48">
        <v>3376600000</v>
      </c>
      <c r="G268" s="20">
        <f t="shared" si="14"/>
        <v>9.8509213283250836E-4</v>
      </c>
      <c r="H268" s="22">
        <v>1</v>
      </c>
      <c r="I268" s="16"/>
      <c r="J268" s="20">
        <v>235</v>
      </c>
      <c r="K268" s="20">
        <v>1.5586329027428292</v>
      </c>
      <c r="L268" s="20">
        <f t="shared" si="12"/>
        <v>159.92030474742691</v>
      </c>
      <c r="M268" s="20"/>
      <c r="N268" s="20"/>
      <c r="O268" s="20"/>
    </row>
    <row r="269" spans="1:15">
      <c r="A269" s="19">
        <v>42451</v>
      </c>
      <c r="B269" s="20">
        <v>50.084502999999998</v>
      </c>
      <c r="C269" s="21">
        <v>23124100</v>
      </c>
      <c r="D269" s="23">
        <f t="shared" si="13"/>
        <v>3.8914578928896711E-3</v>
      </c>
      <c r="E269" s="47">
        <v>2049.8000489999999</v>
      </c>
      <c r="F269" s="48">
        <v>3418460000</v>
      </c>
      <c r="G269" s="20">
        <f t="shared" si="14"/>
        <v>-8.7777298047479432E-4</v>
      </c>
      <c r="H269" s="22">
        <v>1</v>
      </c>
      <c r="I269" s="16"/>
      <c r="J269" s="20">
        <v>236</v>
      </c>
      <c r="K269" s="20">
        <v>-0.26924226403934881</v>
      </c>
      <c r="L269" s="20">
        <f t="shared" si="12"/>
        <v>159.87789693782966</v>
      </c>
      <c r="M269" s="20"/>
      <c r="N269" s="20"/>
      <c r="O269" s="20"/>
    </row>
    <row r="270" spans="1:15">
      <c r="A270" s="19">
        <v>42452</v>
      </c>
      <c r="B270" s="20">
        <v>49.991878999999997</v>
      </c>
      <c r="C270" s="21">
        <v>20129000</v>
      </c>
      <c r="D270" s="23">
        <f t="shared" si="13"/>
        <v>-1.8510666472256489E-3</v>
      </c>
      <c r="E270" s="47">
        <v>2036.709961</v>
      </c>
      <c r="F270" s="48">
        <v>3639510000</v>
      </c>
      <c r="G270" s="20">
        <f t="shared" si="14"/>
        <v>-6.4065095838299205E-3</v>
      </c>
      <c r="H270" s="22">
        <v>1</v>
      </c>
      <c r="I270" s="16"/>
      <c r="J270" s="20">
        <v>237</v>
      </c>
      <c r="K270" s="20">
        <v>-1.1096290108980611</v>
      </c>
      <c r="L270" s="20">
        <f t="shared" si="12"/>
        <v>159.70105459313345</v>
      </c>
      <c r="M270" s="20"/>
      <c r="N270" s="20"/>
      <c r="O270" s="20"/>
    </row>
    <row r="271" spans="1:15">
      <c r="A271" s="19">
        <v>42453</v>
      </c>
      <c r="B271" s="20">
        <v>50.214188</v>
      </c>
      <c r="C271" s="21">
        <v>19950000</v>
      </c>
      <c r="D271" s="23">
        <f t="shared" si="13"/>
        <v>4.4370440109774804E-3</v>
      </c>
      <c r="E271" s="47">
        <v>2035.9399410000001</v>
      </c>
      <c r="F271" s="48">
        <v>3407720000</v>
      </c>
      <c r="G271" s="20">
        <f t="shared" si="14"/>
        <v>-3.7814200960276936E-4</v>
      </c>
      <c r="H271" s="22">
        <v>1</v>
      </c>
      <c r="I271" s="16"/>
      <c r="J271" s="20">
        <v>238</v>
      </c>
      <c r="K271" s="20">
        <v>-1.4678107618237846</v>
      </c>
      <c r="L271" s="20">
        <f t="shared" si="12"/>
        <v>159.4672033581146</v>
      </c>
      <c r="M271" s="20"/>
      <c r="N271" s="20"/>
      <c r="O271" s="20"/>
    </row>
    <row r="272" spans="1:15">
      <c r="A272" s="19">
        <v>42457</v>
      </c>
      <c r="B272" s="20">
        <v>49.593563000000003</v>
      </c>
      <c r="C272" s="21">
        <v>17025100</v>
      </c>
      <c r="D272" s="23">
        <f t="shared" si="13"/>
        <v>-1.2436569164414211E-2</v>
      </c>
      <c r="E272" s="47">
        <v>2037.0500489999999</v>
      </c>
      <c r="F272" s="48">
        <v>2809090000</v>
      </c>
      <c r="G272" s="20">
        <f t="shared" si="14"/>
        <v>5.4510717198609884E-4</v>
      </c>
      <c r="H272" s="22">
        <v>1</v>
      </c>
      <c r="I272" s="16"/>
      <c r="J272" s="20">
        <v>239</v>
      </c>
      <c r="K272" s="20">
        <v>1.3990120351081714</v>
      </c>
      <c r="L272" s="20">
        <f t="shared" si="12"/>
        <v>159.69145343174259</v>
      </c>
      <c r="M272" s="20"/>
      <c r="N272" s="20"/>
      <c r="O272" s="20"/>
    </row>
    <row r="273" spans="1:15">
      <c r="A273" s="19">
        <v>42458</v>
      </c>
      <c r="B273" s="20">
        <v>50.677326000000001</v>
      </c>
      <c r="C273" s="21">
        <v>23924300</v>
      </c>
      <c r="D273" s="23">
        <f t="shared" si="13"/>
        <v>2.1617544546860264E-2</v>
      </c>
      <c r="E273" s="47">
        <v>2055.01001</v>
      </c>
      <c r="F273" s="48">
        <v>3822330000</v>
      </c>
      <c r="G273" s="20">
        <f t="shared" si="14"/>
        <v>8.7780120839133745E-3</v>
      </c>
      <c r="H273" s="22">
        <v>1</v>
      </c>
      <c r="I273" s="16"/>
      <c r="J273" s="20">
        <v>240</v>
      </c>
      <c r="K273" s="20">
        <v>6.3107563619269058E-3</v>
      </c>
      <c r="L273" s="20">
        <f t="shared" si="12"/>
        <v>159.69316271251094</v>
      </c>
      <c r="M273" s="20"/>
      <c r="N273" s="20"/>
      <c r="O273" s="20"/>
    </row>
    <row r="274" spans="1:15">
      <c r="A274" s="19">
        <v>42459</v>
      </c>
      <c r="B274" s="20">
        <v>50.992271000000002</v>
      </c>
      <c r="C274" s="21">
        <v>23008300</v>
      </c>
      <c r="D274" s="23">
        <f t="shared" si="13"/>
        <v>6.1954805899919509E-3</v>
      </c>
      <c r="E274" s="47">
        <v>2063.9499510000001</v>
      </c>
      <c r="F274" s="48">
        <v>3590310000</v>
      </c>
      <c r="G274" s="20">
        <f t="shared" si="14"/>
        <v>4.3408797962407337E-3</v>
      </c>
      <c r="H274" s="22">
        <v>1</v>
      </c>
      <c r="I274" s="16"/>
      <c r="J274" s="20">
        <v>241</v>
      </c>
      <c r="K274" s="20">
        <v>0.10865051081054844</v>
      </c>
      <c r="L274" s="20">
        <f t="shared" si="12"/>
        <v>159.71123772904534</v>
      </c>
      <c r="M274" s="20"/>
      <c r="N274" s="20"/>
      <c r="O274" s="20"/>
    </row>
    <row r="275" spans="1:15">
      <c r="A275" s="19">
        <v>42460</v>
      </c>
      <c r="B275" s="20">
        <v>51.158993000000002</v>
      </c>
      <c r="C275" s="21">
        <v>26360500</v>
      </c>
      <c r="D275" s="23">
        <f t="shared" si="13"/>
        <v>3.26422095055301E-3</v>
      </c>
      <c r="E275" s="47">
        <v>2059.73999</v>
      </c>
      <c r="F275" s="48">
        <v>3715280000</v>
      </c>
      <c r="G275" s="20">
        <f t="shared" si="14"/>
        <v>-2.0418423901345938E-3</v>
      </c>
      <c r="H275" s="22">
        <v>1</v>
      </c>
      <c r="I275" s="16"/>
      <c r="J275" s="20">
        <v>242</v>
      </c>
      <c r="K275" s="20">
        <v>-1.9131675799144432</v>
      </c>
      <c r="L275" s="20">
        <f t="shared" si="12"/>
        <v>159.40626860371307</v>
      </c>
      <c r="M275" s="20"/>
      <c r="N275" s="20"/>
      <c r="O275" s="20"/>
    </row>
    <row r="276" spans="1:15">
      <c r="A276" s="19">
        <v>42461</v>
      </c>
      <c r="B276" s="20">
        <v>51.473945999999998</v>
      </c>
      <c r="C276" s="21">
        <v>24399200</v>
      </c>
      <c r="D276" s="23">
        <f t="shared" si="13"/>
        <v>6.1374835744563063E-3</v>
      </c>
      <c r="E276" s="47">
        <v>2072.780029</v>
      </c>
      <c r="F276" s="48">
        <v>3749990000</v>
      </c>
      <c r="G276" s="20">
        <f t="shared" si="14"/>
        <v>6.310959037162926E-3</v>
      </c>
      <c r="H276" s="22">
        <v>1</v>
      </c>
      <c r="I276" s="16"/>
      <c r="J276" s="20">
        <v>243</v>
      </c>
      <c r="K276" s="20">
        <v>-0.48616584535920992</v>
      </c>
      <c r="L276" s="20">
        <f t="shared" si="12"/>
        <v>159.32938506091065</v>
      </c>
      <c r="M276" s="20"/>
      <c r="N276" s="20"/>
      <c r="O276" s="20"/>
    </row>
    <row r="277" spans="1:15">
      <c r="A277" s="19">
        <v>42464</v>
      </c>
      <c r="B277" s="20">
        <v>51.344265</v>
      </c>
      <c r="C277" s="21">
        <v>18928800</v>
      </c>
      <c r="D277" s="23">
        <f t="shared" si="13"/>
        <v>-2.522531125640872E-3</v>
      </c>
      <c r="E277" s="47">
        <v>2066.1298830000001</v>
      </c>
      <c r="F277" s="48">
        <v>3485710000</v>
      </c>
      <c r="G277" s="20">
        <f t="shared" si="14"/>
        <v>-3.2134798118797336E-3</v>
      </c>
      <c r="H277" s="22">
        <v>1</v>
      </c>
      <c r="I277" s="16"/>
      <c r="J277" s="20">
        <v>244</v>
      </c>
      <c r="K277" s="20">
        <v>-1.569287633174099</v>
      </c>
      <c r="L277" s="20">
        <f t="shared" si="12"/>
        <v>159.07991283216904</v>
      </c>
      <c r="M277" s="20"/>
      <c r="N277" s="20"/>
      <c r="O277" s="20"/>
    </row>
    <row r="278" spans="1:15">
      <c r="A278" s="19">
        <v>42465</v>
      </c>
      <c r="B278" s="20">
        <v>50.538390999999997</v>
      </c>
      <c r="C278" s="21">
        <v>19272300</v>
      </c>
      <c r="D278" s="23">
        <f t="shared" si="13"/>
        <v>-1.5819980335477723E-2</v>
      </c>
      <c r="E278" s="47">
        <v>2045.170044</v>
      </c>
      <c r="F278" s="48">
        <v>4154920000</v>
      </c>
      <c r="G278" s="20">
        <f t="shared" si="14"/>
        <v>-1.019629847580408E-2</v>
      </c>
      <c r="H278" s="22">
        <v>1</v>
      </c>
      <c r="I278" s="16"/>
      <c r="J278" s="20">
        <v>245</v>
      </c>
      <c r="K278" s="20">
        <v>-1.5583736967528239</v>
      </c>
      <c r="L278" s="20">
        <f t="shared" si="12"/>
        <v>158.83256700358649</v>
      </c>
      <c r="M278" s="20"/>
      <c r="N278" s="20"/>
      <c r="O278" s="20"/>
    </row>
    <row r="279" spans="1:15">
      <c r="A279" s="19">
        <v>42466</v>
      </c>
      <c r="B279" s="20">
        <v>51.057102</v>
      </c>
      <c r="C279" s="21">
        <v>21188700</v>
      </c>
      <c r="D279" s="23">
        <f t="shared" si="13"/>
        <v>1.0211388161959581E-2</v>
      </c>
      <c r="E279" s="47">
        <v>2066.6599120000001</v>
      </c>
      <c r="F279" s="48">
        <v>3750800000</v>
      </c>
      <c r="G279" s="20">
        <f t="shared" si="14"/>
        <v>1.0452797852349736E-2</v>
      </c>
      <c r="H279" s="22">
        <v>1</v>
      </c>
      <c r="I279" s="16"/>
      <c r="J279" s="20">
        <v>246</v>
      </c>
      <c r="K279" s="20">
        <v>0.60233332987991162</v>
      </c>
      <c r="L279" s="20">
        <f t="shared" si="12"/>
        <v>158.92909015212848</v>
      </c>
      <c r="M279" s="20"/>
      <c r="N279" s="20"/>
      <c r="O279" s="20"/>
    </row>
    <row r="280" spans="1:15">
      <c r="A280" s="19">
        <v>42467</v>
      </c>
      <c r="B280" s="20">
        <v>50.445762999999999</v>
      </c>
      <c r="C280" s="21">
        <v>19225100</v>
      </c>
      <c r="D280" s="23">
        <f t="shared" si="13"/>
        <v>-1.2045894315818513E-2</v>
      </c>
      <c r="E280" s="47">
        <v>2041.910034</v>
      </c>
      <c r="F280" s="48">
        <v>3801250000</v>
      </c>
      <c r="G280" s="20">
        <f t="shared" si="14"/>
        <v>-1.2048074005081098E-2</v>
      </c>
      <c r="H280" s="22">
        <v>1</v>
      </c>
      <c r="I280" s="16"/>
      <c r="J280" s="20">
        <v>247</v>
      </c>
      <c r="K280" s="20">
        <v>-1.417570274497848</v>
      </c>
      <c r="L280" s="20">
        <f t="shared" si="12"/>
        <v>158.70435310138657</v>
      </c>
      <c r="M280" s="20"/>
      <c r="N280" s="20"/>
      <c r="O280" s="20"/>
    </row>
    <row r="281" spans="1:15">
      <c r="A281" s="19">
        <v>42468</v>
      </c>
      <c r="B281" s="20">
        <v>50.408707</v>
      </c>
      <c r="C281" s="21">
        <v>22167200</v>
      </c>
      <c r="D281" s="23">
        <f t="shared" si="13"/>
        <v>-7.3484103713979132E-4</v>
      </c>
      <c r="E281" s="47">
        <v>2047.599976</v>
      </c>
      <c r="F281" s="48">
        <v>3359530000</v>
      </c>
      <c r="G281" s="20">
        <f t="shared" si="14"/>
        <v>2.7827028948345474E-3</v>
      </c>
      <c r="H281" s="22">
        <v>1</v>
      </c>
      <c r="I281" s="16"/>
      <c r="J281" s="20">
        <v>248</v>
      </c>
      <c r="K281" s="20">
        <v>-0.32739421840233263</v>
      </c>
      <c r="L281" s="20">
        <f t="shared" si="12"/>
        <v>158.6530292108441</v>
      </c>
      <c r="M281" s="20"/>
      <c r="N281" s="20"/>
      <c r="O281" s="20"/>
    </row>
    <row r="282" spans="1:15">
      <c r="A282" s="19">
        <v>42471</v>
      </c>
      <c r="B282" s="20">
        <v>50.306815999999998</v>
      </c>
      <c r="C282" s="21">
        <v>21414200</v>
      </c>
      <c r="D282" s="23">
        <f t="shared" si="13"/>
        <v>-2.0233432091915828E-3</v>
      </c>
      <c r="E282" s="47">
        <v>2041.98999</v>
      </c>
      <c r="F282" s="48">
        <v>3567840000</v>
      </c>
      <c r="G282" s="20">
        <f t="shared" si="14"/>
        <v>-2.7435462066001262E-3</v>
      </c>
      <c r="H282" s="22">
        <v>1</v>
      </c>
      <c r="I282" s="16"/>
      <c r="J282" s="20">
        <v>249</v>
      </c>
      <c r="K282" s="20">
        <v>0.60784486777265556</v>
      </c>
      <c r="L282" s="20">
        <f t="shared" si="12"/>
        <v>158.7503193737312</v>
      </c>
      <c r="M282" s="20"/>
      <c r="N282" s="20"/>
      <c r="O282" s="20"/>
    </row>
    <row r="283" spans="1:15">
      <c r="A283" s="19">
        <v>42472</v>
      </c>
      <c r="B283" s="20">
        <v>50.621754000000003</v>
      </c>
      <c r="C283" s="21">
        <v>24944300</v>
      </c>
      <c r="D283" s="23">
        <f t="shared" si="13"/>
        <v>6.2408299687991952E-3</v>
      </c>
      <c r="E283" s="47">
        <v>2061.719971</v>
      </c>
      <c r="F283" s="48">
        <v>4239740000</v>
      </c>
      <c r="G283" s="20">
        <f t="shared" si="14"/>
        <v>9.6157541401615809E-3</v>
      </c>
      <c r="H283" s="22">
        <v>1</v>
      </c>
      <c r="I283" s="16"/>
      <c r="J283" s="20">
        <v>250</v>
      </c>
      <c r="K283" s="20">
        <v>0.24946302801254205</v>
      </c>
      <c r="L283" s="20">
        <f t="shared" si="12"/>
        <v>158.79067556019538</v>
      </c>
      <c r="M283" s="20"/>
      <c r="N283" s="20"/>
    </row>
    <row r="284" spans="1:15">
      <c r="A284" s="19">
        <v>42473</v>
      </c>
      <c r="B284" s="20">
        <v>51.270149000000004</v>
      </c>
      <c r="C284" s="21">
        <v>20818000</v>
      </c>
      <c r="D284" s="23">
        <f t="shared" si="13"/>
        <v>1.2727287121834725E-2</v>
      </c>
      <c r="E284" s="47">
        <v>2082.419922</v>
      </c>
      <c r="F284" s="48">
        <v>4191830000</v>
      </c>
      <c r="G284" s="20">
        <f t="shared" si="14"/>
        <v>9.9900696845903383E-3</v>
      </c>
      <c r="H284" s="22">
        <v>1</v>
      </c>
      <c r="I284" s="16"/>
    </row>
    <row r="285" spans="1:15">
      <c r="A285" s="19">
        <v>42474</v>
      </c>
      <c r="B285" s="20">
        <v>51.279415</v>
      </c>
      <c r="C285" s="21">
        <v>20877100</v>
      </c>
      <c r="D285" s="23">
        <f t="shared" si="13"/>
        <v>1.8071261668581466E-4</v>
      </c>
      <c r="E285" s="47">
        <v>2082.780029</v>
      </c>
      <c r="F285" s="48">
        <v>3765870000</v>
      </c>
      <c r="G285" s="20">
        <f t="shared" si="14"/>
        <v>1.7291222756818405E-4</v>
      </c>
      <c r="H285" s="22">
        <v>1</v>
      </c>
      <c r="I285" s="16"/>
    </row>
    <row r="286" spans="1:15">
      <c r="A286" s="19">
        <v>42475</v>
      </c>
      <c r="B286" s="20">
        <v>51.548042000000002</v>
      </c>
      <c r="C286" s="21">
        <v>28793800</v>
      </c>
      <c r="D286" s="23">
        <f t="shared" si="13"/>
        <v>5.2248226093667329E-3</v>
      </c>
      <c r="E286" s="47">
        <v>2080.7299800000001</v>
      </c>
      <c r="F286" s="48">
        <v>3701450000</v>
      </c>
      <c r="G286" s="20">
        <f t="shared" si="14"/>
        <v>-9.8476965888961271E-4</v>
      </c>
      <c r="H286" s="22">
        <v>1</v>
      </c>
      <c r="I286" s="16"/>
    </row>
    <row r="287" spans="1:15">
      <c r="A287" s="19">
        <v>42478</v>
      </c>
      <c r="B287" s="20">
        <v>52.298335999999999</v>
      </c>
      <c r="C287" s="21">
        <v>23786000</v>
      </c>
      <c r="D287" s="23">
        <f t="shared" si="13"/>
        <v>1.4450326920736856E-2</v>
      </c>
      <c r="E287" s="47">
        <v>2094.3400879999999</v>
      </c>
      <c r="F287" s="48">
        <v>3316880000</v>
      </c>
      <c r="G287" s="20">
        <f t="shared" si="14"/>
        <v>6.5197258913036061E-3</v>
      </c>
      <c r="H287" s="22">
        <v>1</v>
      </c>
      <c r="I287" s="16"/>
    </row>
    <row r="288" spans="1:15">
      <c r="A288" s="19">
        <v>42479</v>
      </c>
      <c r="B288" s="20">
        <v>52.233494</v>
      </c>
      <c r="C288" s="21">
        <v>29596800</v>
      </c>
      <c r="D288" s="23">
        <f t="shared" si="13"/>
        <v>-1.2406174907049132E-3</v>
      </c>
      <c r="E288" s="47">
        <v>2100.8000489999999</v>
      </c>
      <c r="F288" s="48">
        <v>3896830000</v>
      </c>
      <c r="G288" s="20">
        <f t="shared" si="14"/>
        <v>3.0797379324564098E-3</v>
      </c>
      <c r="H288" s="22">
        <v>1</v>
      </c>
      <c r="I288" s="16"/>
    </row>
    <row r="289" spans="1:9">
      <c r="A289" s="19">
        <v>42480</v>
      </c>
      <c r="B289" s="20">
        <v>51.492466</v>
      </c>
      <c r="C289" s="21">
        <v>36195700</v>
      </c>
      <c r="D289" s="23">
        <f t="shared" si="13"/>
        <v>-1.4288430924479692E-2</v>
      </c>
      <c r="E289" s="47">
        <v>2102.3999020000001</v>
      </c>
      <c r="F289" s="48">
        <v>4184880000</v>
      </c>
      <c r="G289" s="20">
        <f t="shared" si="14"/>
        <v>7.6125480391681512E-4</v>
      </c>
      <c r="H289" s="22">
        <v>1</v>
      </c>
      <c r="I289" s="16"/>
    </row>
    <row r="290" spans="1:9">
      <c r="A290" s="19">
        <v>42481</v>
      </c>
      <c r="B290" s="20">
        <v>51.668461000000001</v>
      </c>
      <c r="C290" s="21">
        <v>38909100</v>
      </c>
      <c r="D290" s="23">
        <f t="shared" si="13"/>
        <v>3.4120509744119841E-3</v>
      </c>
      <c r="E290" s="47">
        <v>2091.4799800000001</v>
      </c>
      <c r="F290" s="48">
        <v>4175290000</v>
      </c>
      <c r="G290" s="20">
        <f t="shared" si="14"/>
        <v>-5.2075629179119901E-3</v>
      </c>
      <c r="H290" s="22">
        <v>1</v>
      </c>
      <c r="I290" s="16"/>
    </row>
    <row r="291" spans="1:9">
      <c r="A291" s="19">
        <v>42482</v>
      </c>
      <c r="B291" s="20">
        <v>47.963298999999999</v>
      </c>
      <c r="C291" s="21">
        <v>126834100</v>
      </c>
      <c r="D291" s="23">
        <f t="shared" si="13"/>
        <v>-7.4411442397984112E-2</v>
      </c>
      <c r="E291" s="47">
        <v>2091.580078</v>
      </c>
      <c r="F291" s="48">
        <v>3790580000</v>
      </c>
      <c r="G291" s="20">
        <f t="shared" si="14"/>
        <v>4.7858743900950742E-5</v>
      </c>
      <c r="H291" s="22">
        <v>1</v>
      </c>
      <c r="I291" s="16"/>
    </row>
    <row r="292" spans="1:9">
      <c r="A292" s="19">
        <v>42485</v>
      </c>
      <c r="B292" s="20">
        <v>48.268977999999997</v>
      </c>
      <c r="C292" s="21">
        <v>33226900</v>
      </c>
      <c r="D292" s="23">
        <f t="shared" si="13"/>
        <v>6.3529625949324065E-3</v>
      </c>
      <c r="E292" s="47">
        <v>2087.790039</v>
      </c>
      <c r="F292" s="48">
        <v>3319740000</v>
      </c>
      <c r="G292" s="20">
        <f t="shared" si="14"/>
        <v>-1.8136895909355406E-3</v>
      </c>
      <c r="H292" s="22">
        <v>1</v>
      </c>
      <c r="I292" s="16"/>
    </row>
    <row r="293" spans="1:9">
      <c r="A293" s="19">
        <v>42486</v>
      </c>
      <c r="B293" s="20">
        <v>47.648361000000001</v>
      </c>
      <c r="C293" s="21">
        <v>33532600</v>
      </c>
      <c r="D293" s="23">
        <f t="shared" si="13"/>
        <v>-1.2940844010853879E-2</v>
      </c>
      <c r="E293" s="47">
        <v>2091.6999510000001</v>
      </c>
      <c r="F293" s="48">
        <v>3557190000</v>
      </c>
      <c r="G293" s="20">
        <f t="shared" si="14"/>
        <v>1.8710001220028356E-3</v>
      </c>
      <c r="H293" s="22">
        <v>1</v>
      </c>
      <c r="I293" s="16"/>
    </row>
    <row r="294" spans="1:9">
      <c r="A294" s="19">
        <v>42487</v>
      </c>
      <c r="B294" s="20">
        <v>47.185214999999999</v>
      </c>
      <c r="C294" s="21">
        <v>43369300</v>
      </c>
      <c r="D294" s="23">
        <f t="shared" si="13"/>
        <v>-9.7676308707387426E-3</v>
      </c>
      <c r="E294" s="47">
        <v>2095.1499020000001</v>
      </c>
      <c r="F294" s="48">
        <v>4100110000</v>
      </c>
      <c r="G294" s="20">
        <f t="shared" si="14"/>
        <v>1.64799402984732E-3</v>
      </c>
      <c r="H294" s="22">
        <v>1</v>
      </c>
      <c r="I294" s="16"/>
    </row>
    <row r="295" spans="1:9">
      <c r="A295" s="19">
        <v>42488</v>
      </c>
      <c r="B295" s="20">
        <v>46.221874</v>
      </c>
      <c r="C295" s="21">
        <v>43134800</v>
      </c>
      <c r="D295" s="23">
        <f t="shared" si="13"/>
        <v>-2.0627452752892229E-2</v>
      </c>
      <c r="E295" s="47">
        <v>2075.8100589999999</v>
      </c>
      <c r="F295" s="48">
        <v>4309840000</v>
      </c>
      <c r="G295" s="20">
        <f t="shared" si="14"/>
        <v>-9.2736357017856857E-3</v>
      </c>
      <c r="H295" s="22">
        <v>1</v>
      </c>
      <c r="I295" s="16"/>
    </row>
    <row r="296" spans="1:9">
      <c r="A296" s="19">
        <v>42489</v>
      </c>
      <c r="B296" s="20">
        <v>46.19408</v>
      </c>
      <c r="C296" s="21">
        <v>48411700</v>
      </c>
      <c r="D296" s="23">
        <f t="shared" si="13"/>
        <v>-6.0149789370757181E-4</v>
      </c>
      <c r="E296" s="47">
        <v>2065.3000489999999</v>
      </c>
      <c r="F296" s="48">
        <v>4704720000</v>
      </c>
      <c r="G296" s="20">
        <f t="shared" si="14"/>
        <v>-5.0759493430435152E-3</v>
      </c>
      <c r="H296" s="22">
        <v>1</v>
      </c>
      <c r="I296" s="16"/>
    </row>
    <row r="297" spans="1:9">
      <c r="A297" s="19">
        <v>42492</v>
      </c>
      <c r="B297" s="20">
        <v>46.879542999999998</v>
      </c>
      <c r="C297" s="21">
        <v>33114500</v>
      </c>
      <c r="D297" s="23">
        <f t="shared" si="13"/>
        <v>1.4729745578614725E-2</v>
      </c>
      <c r="E297" s="47">
        <v>2081.429932</v>
      </c>
      <c r="F297" s="48">
        <v>3841110000</v>
      </c>
      <c r="G297" s="20">
        <f t="shared" si="14"/>
        <v>7.7796067866815026E-3</v>
      </c>
      <c r="H297" s="22">
        <v>1</v>
      </c>
      <c r="I297" s="16"/>
    </row>
    <row r="298" spans="1:9">
      <c r="A298" s="19">
        <v>42493</v>
      </c>
      <c r="B298" s="20">
        <v>46.110717999999999</v>
      </c>
      <c r="C298" s="21">
        <v>26460200</v>
      </c>
      <c r="D298" s="23">
        <f t="shared" si="13"/>
        <v>-1.6535979370793395E-2</v>
      </c>
      <c r="E298" s="47">
        <v>2063.3701169999999</v>
      </c>
      <c r="F298" s="48">
        <v>4173390000</v>
      </c>
      <c r="G298" s="20">
        <f t="shared" si="14"/>
        <v>-8.7144996519244577E-3</v>
      </c>
      <c r="H298" s="22">
        <v>1</v>
      </c>
      <c r="I298" s="16"/>
    </row>
    <row r="299" spans="1:9">
      <c r="A299" s="19">
        <v>42494</v>
      </c>
      <c r="B299" s="20">
        <v>46.19408</v>
      </c>
      <c r="C299" s="21">
        <v>24257600</v>
      </c>
      <c r="D299" s="23">
        <f t="shared" si="13"/>
        <v>1.8062337921786256E-3</v>
      </c>
      <c r="E299" s="47">
        <v>2051.1201169999999</v>
      </c>
      <c r="F299" s="48">
        <v>4058560000</v>
      </c>
      <c r="G299" s="20">
        <f t="shared" si="14"/>
        <v>-5.9545827060152288E-3</v>
      </c>
      <c r="H299" s="22">
        <v>1</v>
      </c>
      <c r="I299" s="16"/>
    </row>
    <row r="300" spans="1:9">
      <c r="A300" s="19">
        <v>42495</v>
      </c>
      <c r="B300" s="20">
        <v>46.258923000000003</v>
      </c>
      <c r="C300" s="21">
        <v>25390700</v>
      </c>
      <c r="D300" s="23">
        <f t="shared" si="13"/>
        <v>1.4027237305049337E-3</v>
      </c>
      <c r="E300" s="47">
        <v>2050.6298830000001</v>
      </c>
      <c r="F300" s="48">
        <v>4008530000</v>
      </c>
      <c r="G300" s="20">
        <f t="shared" si="14"/>
        <v>-2.3903650994534542E-4</v>
      </c>
      <c r="H300" s="22">
        <v>1</v>
      </c>
      <c r="I300" s="16"/>
    </row>
    <row r="301" spans="1:9">
      <c r="A301" s="19">
        <v>42496</v>
      </c>
      <c r="B301" s="20">
        <v>46.675755000000002</v>
      </c>
      <c r="C301" s="21">
        <v>24787300</v>
      </c>
      <c r="D301" s="23">
        <f t="shared" si="13"/>
        <v>8.9704899002581908E-3</v>
      </c>
      <c r="E301" s="47">
        <v>2057.139893</v>
      </c>
      <c r="F301" s="48">
        <v>3796350000</v>
      </c>
      <c r="G301" s="20">
        <f t="shared" si="14"/>
        <v>3.1696106671955265E-3</v>
      </c>
      <c r="H301" s="22">
        <v>1</v>
      </c>
      <c r="I301" s="16"/>
    </row>
    <row r="302" spans="1:9">
      <c r="A302" s="19">
        <v>42499</v>
      </c>
      <c r="B302" s="20">
        <v>46.379345000000001</v>
      </c>
      <c r="C302" s="21">
        <v>17951600</v>
      </c>
      <c r="D302" s="23">
        <f t="shared" si="13"/>
        <v>-6.3706557187930063E-3</v>
      </c>
      <c r="E302" s="47">
        <v>2058.6899410000001</v>
      </c>
      <c r="F302" s="48">
        <v>3788620000</v>
      </c>
      <c r="G302" s="20">
        <f t="shared" si="14"/>
        <v>7.532129051973039E-4</v>
      </c>
      <c r="H302" s="22">
        <v>1</v>
      </c>
      <c r="I302" s="16"/>
    </row>
    <row r="303" spans="1:9">
      <c r="A303" s="19">
        <v>42500</v>
      </c>
      <c r="B303" s="20">
        <v>47.259318999999998</v>
      </c>
      <c r="C303" s="21">
        <v>22891000</v>
      </c>
      <c r="D303" s="23">
        <f t="shared" si="13"/>
        <v>1.8795652745107989E-2</v>
      </c>
      <c r="E303" s="47">
        <v>2084.389893</v>
      </c>
      <c r="F303" s="48">
        <v>3600200000</v>
      </c>
      <c r="G303" s="20">
        <f t="shared" si="14"/>
        <v>1.2406365635768817E-2</v>
      </c>
      <c r="H303" s="22">
        <v>1</v>
      </c>
      <c r="I303" s="16"/>
    </row>
    <row r="304" spans="1:9">
      <c r="A304" s="19">
        <v>42501</v>
      </c>
      <c r="B304" s="20">
        <v>47.287109000000001</v>
      </c>
      <c r="C304" s="21">
        <v>24039100</v>
      </c>
      <c r="D304" s="23">
        <f t="shared" si="13"/>
        <v>5.8785934885470124E-4</v>
      </c>
      <c r="E304" s="47">
        <v>2064.459961</v>
      </c>
      <c r="F304" s="48">
        <v>3821980000</v>
      </c>
      <c r="G304" s="20">
        <f t="shared" si="14"/>
        <v>-9.6075230499917813E-3</v>
      </c>
      <c r="H304" s="22">
        <v>1</v>
      </c>
      <c r="I304" s="16"/>
    </row>
    <row r="305" spans="1:9">
      <c r="A305" s="19">
        <v>42502</v>
      </c>
      <c r="B305" s="20">
        <v>47.713200000000001</v>
      </c>
      <c r="C305" s="21">
        <v>24102800</v>
      </c>
      <c r="D305" s="23">
        <f t="shared" si="13"/>
        <v>8.9703678164369041E-3</v>
      </c>
      <c r="E305" s="47">
        <v>2064.110107</v>
      </c>
      <c r="F305" s="48">
        <v>3782390000</v>
      </c>
      <c r="G305" s="20">
        <f t="shared" si="14"/>
        <v>-1.6947950262444553E-4</v>
      </c>
      <c r="H305" s="22">
        <v>1</v>
      </c>
      <c r="I305" s="16"/>
    </row>
    <row r="306" spans="1:9">
      <c r="A306" s="19">
        <v>42503</v>
      </c>
      <c r="B306" s="20">
        <v>47.314903000000001</v>
      </c>
      <c r="C306" s="21">
        <v>22592300</v>
      </c>
      <c r="D306" s="23">
        <f t="shared" si="13"/>
        <v>-8.3827693032107343E-3</v>
      </c>
      <c r="E306" s="47">
        <v>2046.6099850000001</v>
      </c>
      <c r="F306" s="48">
        <v>3579880000</v>
      </c>
      <c r="G306" s="20">
        <f t="shared" si="14"/>
        <v>-8.514434129144554E-3</v>
      </c>
      <c r="H306" s="22">
        <v>1</v>
      </c>
      <c r="I306" s="16"/>
    </row>
    <row r="307" spans="1:9">
      <c r="A307" s="19">
        <v>42506</v>
      </c>
      <c r="B307" s="20">
        <v>48.009616999999999</v>
      </c>
      <c r="C307" s="21">
        <v>20032000</v>
      </c>
      <c r="D307" s="23">
        <f t="shared" si="13"/>
        <v>1.4576025138070815E-2</v>
      </c>
      <c r="E307" s="47">
        <v>2066.6599120000001</v>
      </c>
      <c r="F307" s="48">
        <v>3501360000</v>
      </c>
      <c r="G307" s="20">
        <f t="shared" si="14"/>
        <v>9.7489765084672747E-3</v>
      </c>
      <c r="H307" s="22">
        <v>1</v>
      </c>
      <c r="I307" s="16"/>
    </row>
    <row r="308" spans="1:9">
      <c r="A308" s="19">
        <v>42507</v>
      </c>
      <c r="B308" s="20">
        <v>47.114151</v>
      </c>
      <c r="C308" s="21">
        <v>27803500</v>
      </c>
      <c r="D308" s="23">
        <f t="shared" si="13"/>
        <v>-1.8827943248916488E-2</v>
      </c>
      <c r="E308" s="47">
        <v>2047.209961</v>
      </c>
      <c r="F308" s="48">
        <v>4108960000</v>
      </c>
      <c r="G308" s="20">
        <f t="shared" si="14"/>
        <v>-9.4558634687098679E-3</v>
      </c>
      <c r="H308" s="22">
        <v>1</v>
      </c>
      <c r="I308" s="16"/>
    </row>
    <row r="309" spans="1:9">
      <c r="A309" s="19">
        <v>42508</v>
      </c>
      <c r="B309" s="20">
        <v>47.393982000000001</v>
      </c>
      <c r="C309" s="21">
        <v>24907500</v>
      </c>
      <c r="D309" s="23">
        <f t="shared" si="13"/>
        <v>5.9218568579288301E-3</v>
      </c>
      <c r="E309" s="47">
        <v>2047.630005</v>
      </c>
      <c r="F309" s="48">
        <v>4101320000</v>
      </c>
      <c r="G309" s="20">
        <f t="shared" si="14"/>
        <v>2.0515771310288176E-4</v>
      </c>
      <c r="H309" s="22">
        <v>1</v>
      </c>
      <c r="I309" s="16"/>
    </row>
    <row r="310" spans="1:9">
      <c r="A310" s="19">
        <v>42509</v>
      </c>
      <c r="B310" s="20">
        <v>46.936923999999998</v>
      </c>
      <c r="C310" s="21">
        <v>23842400</v>
      </c>
      <c r="D310" s="23">
        <f t="shared" si="13"/>
        <v>-9.6906008041141543E-3</v>
      </c>
      <c r="E310" s="47">
        <v>2040.040039</v>
      </c>
      <c r="F310" s="48">
        <v>3846770000</v>
      </c>
      <c r="G310" s="20">
        <f t="shared" si="14"/>
        <v>-3.7135946105880755E-3</v>
      </c>
      <c r="H310" s="22">
        <v>1</v>
      </c>
      <c r="I310" s="16"/>
    </row>
    <row r="311" spans="1:9">
      <c r="A311" s="19">
        <v>42510</v>
      </c>
      <c r="B311" s="20">
        <v>47.216754999999999</v>
      </c>
      <c r="C311" s="21">
        <v>23905800</v>
      </c>
      <c r="D311" s="23">
        <f t="shared" si="13"/>
        <v>5.944150603756285E-3</v>
      </c>
      <c r="E311" s="47">
        <v>2052.320068</v>
      </c>
      <c r="F311" s="48">
        <v>3507650000</v>
      </c>
      <c r="G311" s="20">
        <f t="shared" si="14"/>
        <v>6.0014590783345695E-3</v>
      </c>
      <c r="H311" s="22">
        <v>1</v>
      </c>
      <c r="I311" s="16"/>
    </row>
    <row r="312" spans="1:9">
      <c r="A312" s="19">
        <v>42513</v>
      </c>
      <c r="B312" s="20">
        <v>46.666435</v>
      </c>
      <c r="C312" s="21">
        <v>26118700</v>
      </c>
      <c r="D312" s="23">
        <f t="shared" si="13"/>
        <v>-1.1723638771838109E-2</v>
      </c>
      <c r="E312" s="47">
        <v>2048.040039</v>
      </c>
      <c r="F312" s="48">
        <v>3055480000</v>
      </c>
      <c r="G312" s="20">
        <f t="shared" si="14"/>
        <v>-2.0876364235120157E-3</v>
      </c>
      <c r="H312" s="22">
        <v>1</v>
      </c>
      <c r="I312" s="16"/>
    </row>
    <row r="313" spans="1:9">
      <c r="A313" s="19">
        <v>42514</v>
      </c>
      <c r="B313" s="20">
        <v>48.121552000000001</v>
      </c>
      <c r="C313" s="21">
        <v>34757900</v>
      </c>
      <c r="D313" s="23">
        <f t="shared" si="13"/>
        <v>3.0704973644792227E-2</v>
      </c>
      <c r="E313" s="47">
        <v>2076.0600589999999</v>
      </c>
      <c r="F313" s="48">
        <v>3627340000</v>
      </c>
      <c r="G313" s="20">
        <f t="shared" si="14"/>
        <v>1.3588637760190403E-2</v>
      </c>
      <c r="H313" s="22">
        <v>1</v>
      </c>
      <c r="I313" s="16"/>
    </row>
    <row r="314" spans="1:9">
      <c r="A314" s="19">
        <v>42515</v>
      </c>
      <c r="B314" s="20">
        <v>48.615912999999999</v>
      </c>
      <c r="C314" s="21">
        <v>24040200</v>
      </c>
      <c r="D314" s="23">
        <f t="shared" si="13"/>
        <v>1.0220762009192735E-2</v>
      </c>
      <c r="E314" s="47">
        <v>2090.540039</v>
      </c>
      <c r="F314" s="48">
        <v>3859160000</v>
      </c>
      <c r="G314" s="20">
        <f t="shared" si="14"/>
        <v>6.9505294260036226E-3</v>
      </c>
      <c r="H314" s="22">
        <v>1</v>
      </c>
      <c r="I314" s="16"/>
    </row>
    <row r="315" spans="1:9">
      <c r="A315" s="19">
        <v>42516</v>
      </c>
      <c r="B315" s="20">
        <v>48.401370999999997</v>
      </c>
      <c r="C315" s="21">
        <v>24335200</v>
      </c>
      <c r="D315" s="23">
        <f t="shared" si="13"/>
        <v>-4.4227655294624343E-3</v>
      </c>
      <c r="E315" s="47">
        <v>2090.1000979999999</v>
      </c>
      <c r="F315" s="48">
        <v>3230990000</v>
      </c>
      <c r="G315" s="20">
        <f t="shared" si="14"/>
        <v>-2.1046585556623991E-4</v>
      </c>
      <c r="H315" s="22">
        <v>1</v>
      </c>
      <c r="I315" s="16"/>
    </row>
    <row r="316" spans="1:9">
      <c r="A316" s="19">
        <v>42517</v>
      </c>
      <c r="B316" s="20">
        <v>48.802470999999997</v>
      </c>
      <c r="C316" s="21">
        <v>17721400</v>
      </c>
      <c r="D316" s="23">
        <f t="shared" si="13"/>
        <v>8.252807055401476E-3</v>
      </c>
      <c r="E316" s="47">
        <v>2099.0600589999999</v>
      </c>
      <c r="F316" s="48">
        <v>3079150000</v>
      </c>
      <c r="G316" s="20">
        <f t="shared" si="14"/>
        <v>4.2776949685127815E-3</v>
      </c>
      <c r="H316" s="22">
        <v>1</v>
      </c>
      <c r="I316" s="16"/>
    </row>
    <row r="317" spans="1:9">
      <c r="A317" s="19">
        <v>42521</v>
      </c>
      <c r="B317" s="20">
        <v>49.43676</v>
      </c>
      <c r="C317" s="21">
        <v>37653100</v>
      </c>
      <c r="D317" s="23">
        <f t="shared" si="13"/>
        <v>1.2913330198325404E-2</v>
      </c>
      <c r="E317" s="47">
        <v>2096.9499510000001</v>
      </c>
      <c r="F317" s="48">
        <v>4514410000</v>
      </c>
      <c r="G317" s="20">
        <f t="shared" si="14"/>
        <v>-1.0057688960932291E-3</v>
      </c>
      <c r="H317" s="22">
        <v>1</v>
      </c>
      <c r="I317" s="16"/>
    </row>
    <row r="318" spans="1:9">
      <c r="A318" s="19">
        <v>42522</v>
      </c>
      <c r="B318" s="20">
        <v>49.296829000000002</v>
      </c>
      <c r="C318" s="21">
        <v>25324800</v>
      </c>
      <c r="D318" s="23">
        <f t="shared" si="13"/>
        <v>-2.8345185282298716E-3</v>
      </c>
      <c r="E318" s="47">
        <v>2099.330078</v>
      </c>
      <c r="F318" s="48">
        <v>3525170000</v>
      </c>
      <c r="G318" s="20">
        <f t="shared" si="14"/>
        <v>1.1343986763476727E-3</v>
      </c>
      <c r="H318" s="22">
        <v>1</v>
      </c>
      <c r="I318" s="16"/>
    </row>
    <row r="319" spans="1:9">
      <c r="A319" s="19">
        <v>42523</v>
      </c>
      <c r="B319" s="20">
        <v>48.951720999999999</v>
      </c>
      <c r="C319" s="21">
        <v>22840800</v>
      </c>
      <c r="D319" s="23">
        <f t="shared" si="13"/>
        <v>-7.0252318098765962E-3</v>
      </c>
      <c r="E319" s="47">
        <v>2105.26001</v>
      </c>
      <c r="F319" s="48">
        <v>3632720000</v>
      </c>
      <c r="G319" s="20">
        <f t="shared" si="14"/>
        <v>2.820696337857359E-3</v>
      </c>
      <c r="H319" s="22">
        <v>1</v>
      </c>
      <c r="I319" s="16"/>
    </row>
    <row r="320" spans="1:9">
      <c r="A320" s="19">
        <v>42524</v>
      </c>
      <c r="B320" s="20">
        <v>48.308093999999997</v>
      </c>
      <c r="C320" s="21">
        <v>23368300</v>
      </c>
      <c r="D320" s="23">
        <f t="shared" si="13"/>
        <v>-1.3235402424586963E-2</v>
      </c>
      <c r="E320" s="47">
        <v>2099.1298830000001</v>
      </c>
      <c r="F320" s="48">
        <v>3627780000</v>
      </c>
      <c r="G320" s="20">
        <f t="shared" si="14"/>
        <v>-2.9160622587003754E-3</v>
      </c>
      <c r="H320" s="22">
        <v>1</v>
      </c>
      <c r="I320" s="16"/>
    </row>
    <row r="321" spans="1:9">
      <c r="A321" s="19">
        <v>42527</v>
      </c>
      <c r="B321" s="20">
        <v>48.625252000000003</v>
      </c>
      <c r="C321" s="21">
        <v>18243300</v>
      </c>
      <c r="D321" s="23">
        <f t="shared" si="13"/>
        <v>6.5438601857471454E-3</v>
      </c>
      <c r="E321" s="47">
        <v>2109.4099120000001</v>
      </c>
      <c r="F321" s="48">
        <v>3442020000</v>
      </c>
      <c r="G321" s="20">
        <f t="shared" si="14"/>
        <v>4.8853283781898054E-3</v>
      </c>
      <c r="H321" s="22">
        <v>1</v>
      </c>
      <c r="I321" s="16"/>
    </row>
    <row r="322" spans="1:9">
      <c r="A322" s="19">
        <v>42528</v>
      </c>
      <c r="B322" s="20">
        <v>48.597262999999998</v>
      </c>
      <c r="C322" s="21">
        <v>20866800</v>
      </c>
      <c r="D322" s="23">
        <f t="shared" si="13"/>
        <v>-5.7577199629593007E-4</v>
      </c>
      <c r="E322" s="47">
        <v>2112.1298830000001</v>
      </c>
      <c r="F322" s="48">
        <v>3534730000</v>
      </c>
      <c r="G322" s="20">
        <f t="shared" si="14"/>
        <v>1.2886157698214313E-3</v>
      </c>
      <c r="H322" s="22">
        <v>1</v>
      </c>
      <c r="I322" s="16"/>
    </row>
    <row r="323" spans="1:9">
      <c r="A323" s="19">
        <v>42529</v>
      </c>
      <c r="B323" s="20">
        <v>48.541285999999999</v>
      </c>
      <c r="C323" s="21">
        <v>21149400</v>
      </c>
      <c r="D323" s="23">
        <f t="shared" ref="D323:D386" si="15">LN(B323/B322)</f>
        <v>-1.1525188871450748E-3</v>
      </c>
      <c r="E323" s="47">
        <v>2119.1201169999999</v>
      </c>
      <c r="F323" s="48">
        <v>3562060000</v>
      </c>
      <c r="G323" s="20">
        <f t="shared" ref="G323:G386" si="16">LN(E323/E322)</f>
        <v>3.3041017947016116E-3</v>
      </c>
      <c r="H323" s="22">
        <v>1</v>
      </c>
      <c r="I323" s="16"/>
    </row>
    <row r="324" spans="1:9">
      <c r="A324" s="19">
        <v>42530</v>
      </c>
      <c r="B324" s="20">
        <v>48.149521</v>
      </c>
      <c r="C324" s="21">
        <v>20305700</v>
      </c>
      <c r="D324" s="23">
        <f t="shared" si="15"/>
        <v>-8.1035034452882713E-3</v>
      </c>
      <c r="E324" s="47">
        <v>2115.4799800000001</v>
      </c>
      <c r="F324" s="48">
        <v>3290320000</v>
      </c>
      <c r="G324" s="20">
        <f t="shared" si="16"/>
        <v>-1.7192357309944891E-3</v>
      </c>
      <c r="H324" s="22">
        <v>1</v>
      </c>
      <c r="I324" s="16"/>
    </row>
    <row r="325" spans="1:9">
      <c r="A325" s="19">
        <v>42531</v>
      </c>
      <c r="B325" s="20">
        <v>48.018940000000001</v>
      </c>
      <c r="C325" s="21">
        <v>25833200</v>
      </c>
      <c r="D325" s="23">
        <f t="shared" si="15"/>
        <v>-2.7156737020389175E-3</v>
      </c>
      <c r="E325" s="47">
        <v>2096.070068</v>
      </c>
      <c r="F325" s="48">
        <v>3515010000</v>
      </c>
      <c r="G325" s="20">
        <f t="shared" si="16"/>
        <v>-9.2175323600370163E-3</v>
      </c>
      <c r="H325" s="22">
        <v>1</v>
      </c>
      <c r="I325" s="16"/>
    </row>
    <row r="326" spans="1:9">
      <c r="A326" s="19">
        <v>42534</v>
      </c>
      <c r="B326" s="20">
        <v>46.769024000000002</v>
      </c>
      <c r="C326" s="21">
        <v>83217800</v>
      </c>
      <c r="D326" s="23">
        <f t="shared" si="15"/>
        <v>-2.6374412971467271E-2</v>
      </c>
      <c r="E326" s="47">
        <v>2079.0600589999999</v>
      </c>
      <c r="F326" s="48">
        <v>3392030000</v>
      </c>
      <c r="G326" s="20">
        <f t="shared" si="16"/>
        <v>-8.1482984228569144E-3</v>
      </c>
      <c r="H326" s="22">
        <v>1</v>
      </c>
      <c r="I326" s="16"/>
    </row>
    <row r="327" spans="1:9">
      <c r="A327" s="19">
        <v>42535</v>
      </c>
      <c r="B327" s="20">
        <v>46.479874000000002</v>
      </c>
      <c r="C327" s="21">
        <v>42577100</v>
      </c>
      <c r="D327" s="23">
        <f t="shared" si="15"/>
        <v>-6.2017017456178014E-3</v>
      </c>
      <c r="E327" s="47">
        <v>2075.320068</v>
      </c>
      <c r="F327" s="48">
        <v>3759770000</v>
      </c>
      <c r="G327" s="20">
        <f t="shared" si="16"/>
        <v>-1.8005054405386205E-3</v>
      </c>
      <c r="H327" s="22">
        <v>1</v>
      </c>
      <c r="I327" s="16"/>
    </row>
    <row r="328" spans="1:9">
      <c r="A328" s="19">
        <v>42536</v>
      </c>
      <c r="B328" s="20">
        <v>46.349285000000002</v>
      </c>
      <c r="C328" s="21">
        <v>33757600</v>
      </c>
      <c r="D328" s="23">
        <f t="shared" si="15"/>
        <v>-2.813535909444778E-3</v>
      </c>
      <c r="E328" s="47">
        <v>2071.5</v>
      </c>
      <c r="F328" s="48">
        <v>3544720000</v>
      </c>
      <c r="G328" s="20">
        <f t="shared" si="16"/>
        <v>-1.8424088906440429E-3</v>
      </c>
      <c r="H328" s="22">
        <v>1</v>
      </c>
      <c r="I328" s="16"/>
    </row>
    <row r="329" spans="1:9">
      <c r="A329" s="19">
        <v>42537</v>
      </c>
      <c r="B329" s="20">
        <v>47.002223999999998</v>
      </c>
      <c r="C329" s="21">
        <v>31188600</v>
      </c>
      <c r="D329" s="23">
        <f t="shared" si="15"/>
        <v>1.3989053952315877E-2</v>
      </c>
      <c r="E329" s="47">
        <v>2077.98999</v>
      </c>
      <c r="F329" s="48">
        <v>3628280000</v>
      </c>
      <c r="G329" s="20">
        <f t="shared" si="16"/>
        <v>3.1280929982563338E-3</v>
      </c>
      <c r="H329" s="22">
        <v>1</v>
      </c>
      <c r="I329" s="16"/>
    </row>
    <row r="330" spans="1:9">
      <c r="A330" s="19">
        <v>42538</v>
      </c>
      <c r="B330" s="20">
        <v>46.759704999999997</v>
      </c>
      <c r="C330" s="21">
        <v>45710500</v>
      </c>
      <c r="D330" s="23">
        <f t="shared" si="15"/>
        <v>-5.1730919664616862E-3</v>
      </c>
      <c r="E330" s="47">
        <v>2071.219971</v>
      </c>
      <c r="F330" s="48">
        <v>4952630000</v>
      </c>
      <c r="G330" s="20">
        <f t="shared" si="16"/>
        <v>-3.2632838884862482E-3</v>
      </c>
      <c r="H330" s="22">
        <v>1</v>
      </c>
      <c r="I330" s="16"/>
    </row>
    <row r="331" spans="1:9">
      <c r="A331" s="19">
        <v>42541</v>
      </c>
      <c r="B331" s="20">
        <v>46.703743000000003</v>
      </c>
      <c r="C331" s="21">
        <v>35607900</v>
      </c>
      <c r="D331" s="23">
        <f t="shared" si="15"/>
        <v>-1.1975164170631382E-3</v>
      </c>
      <c r="E331" s="47">
        <v>2083.25</v>
      </c>
      <c r="F331" s="48">
        <v>3467440000</v>
      </c>
      <c r="G331" s="20">
        <f t="shared" si="16"/>
        <v>5.7913826350895967E-3</v>
      </c>
      <c r="H331" s="22">
        <v>1</v>
      </c>
      <c r="I331" s="16"/>
    </row>
    <row r="332" spans="1:9">
      <c r="A332" s="19">
        <v>42542</v>
      </c>
      <c r="B332" s="20">
        <v>47.748435999999998</v>
      </c>
      <c r="C332" s="21">
        <v>34097800</v>
      </c>
      <c r="D332" s="23">
        <f t="shared" si="15"/>
        <v>2.2122001107661764E-2</v>
      </c>
      <c r="E332" s="47">
        <v>2088.8999020000001</v>
      </c>
      <c r="F332" s="48">
        <v>3232880000</v>
      </c>
      <c r="G332" s="20">
        <f t="shared" si="16"/>
        <v>2.7083904396495474E-3</v>
      </c>
      <c r="H332" s="22">
        <v>1</v>
      </c>
      <c r="I332" s="16"/>
    </row>
    <row r="333" spans="1:9">
      <c r="A333" s="19">
        <v>42543</v>
      </c>
      <c r="B333" s="20">
        <v>47.561892999999998</v>
      </c>
      <c r="C333" s="21">
        <v>28816800</v>
      </c>
      <c r="D333" s="23">
        <f t="shared" si="15"/>
        <v>-3.9144390782076535E-3</v>
      </c>
      <c r="E333" s="47">
        <v>2085.4499510000001</v>
      </c>
      <c r="F333" s="48">
        <v>3168160000</v>
      </c>
      <c r="G333" s="20">
        <f t="shared" si="16"/>
        <v>-1.6529289144317837E-3</v>
      </c>
      <c r="H333" s="22">
        <v>1</v>
      </c>
      <c r="I333" s="16"/>
    </row>
    <row r="334" spans="1:9">
      <c r="A334" s="19">
        <v>42544</v>
      </c>
      <c r="B334" s="20">
        <v>48.420032999999997</v>
      </c>
      <c r="C334" s="21">
        <v>29028800</v>
      </c>
      <c r="D334" s="23">
        <f t="shared" si="15"/>
        <v>1.7881759660826769E-2</v>
      </c>
      <c r="E334" s="47">
        <v>2113.320068</v>
      </c>
      <c r="F334" s="48">
        <v>3297940000</v>
      </c>
      <c r="G334" s="20">
        <f t="shared" si="16"/>
        <v>1.3275566984318879E-2</v>
      </c>
      <c r="H334" s="22">
        <v>1</v>
      </c>
      <c r="I334" s="16"/>
    </row>
    <row r="335" spans="1:9">
      <c r="A335" s="19">
        <v>42545</v>
      </c>
      <c r="B335" s="20">
        <v>46.479874000000002</v>
      </c>
      <c r="C335" s="21">
        <v>133503000</v>
      </c>
      <c r="D335" s="23">
        <f t="shared" si="15"/>
        <v>-4.0894231349627289E-2</v>
      </c>
      <c r="E335" s="47">
        <v>2037.410034</v>
      </c>
      <c r="F335" s="48">
        <v>7597450000</v>
      </c>
      <c r="G335" s="20">
        <f t="shared" si="16"/>
        <v>-3.6580792723724311E-2</v>
      </c>
      <c r="H335" s="22">
        <v>1</v>
      </c>
      <c r="I335" s="16"/>
    </row>
    <row r="336" spans="1:9">
      <c r="A336" s="19">
        <v>42548</v>
      </c>
      <c r="B336" s="20">
        <v>45.173996000000002</v>
      </c>
      <c r="C336" s="21">
        <v>50216300</v>
      </c>
      <c r="D336" s="23">
        <f t="shared" si="15"/>
        <v>-2.8497790147080718E-2</v>
      </c>
      <c r="E336" s="47">
        <v>2000.540039</v>
      </c>
      <c r="F336" s="48">
        <v>5431220000</v>
      </c>
      <c r="G336" s="20">
        <f t="shared" si="16"/>
        <v>-1.8262246454750181E-2</v>
      </c>
      <c r="H336" s="22">
        <v>1</v>
      </c>
      <c r="I336" s="16"/>
    </row>
    <row r="337" spans="1:9">
      <c r="A337" s="19">
        <v>42549</v>
      </c>
      <c r="B337" s="20">
        <v>46.116089000000002</v>
      </c>
      <c r="C337" s="21">
        <v>38140700</v>
      </c>
      <c r="D337" s="23">
        <f t="shared" si="15"/>
        <v>2.0640279735181927E-2</v>
      </c>
      <c r="E337" s="47">
        <v>2036.089966</v>
      </c>
      <c r="F337" s="48">
        <v>4385810000</v>
      </c>
      <c r="G337" s="20">
        <f t="shared" si="16"/>
        <v>1.7614121723580567E-2</v>
      </c>
      <c r="H337" s="22">
        <v>1</v>
      </c>
      <c r="I337" s="16"/>
    </row>
    <row r="338" spans="1:9">
      <c r="A338" s="19">
        <v>42550</v>
      </c>
      <c r="B338" s="20">
        <v>47.142136000000001</v>
      </c>
      <c r="C338" s="21">
        <v>31304000</v>
      </c>
      <c r="D338" s="23">
        <f t="shared" si="15"/>
        <v>2.2005317033806541E-2</v>
      </c>
      <c r="E338" s="47">
        <v>2070.7700199999999</v>
      </c>
      <c r="F338" s="48">
        <v>4241740000</v>
      </c>
      <c r="G338" s="20">
        <f t="shared" si="16"/>
        <v>1.6889243109367773E-2</v>
      </c>
      <c r="H338" s="22">
        <v>1</v>
      </c>
      <c r="I338" s="16"/>
    </row>
    <row r="339" spans="1:9">
      <c r="A339" s="19">
        <v>42551</v>
      </c>
      <c r="B339" s="20">
        <v>47.729782</v>
      </c>
      <c r="C339" s="21">
        <v>28527800</v>
      </c>
      <c r="D339" s="23">
        <f t="shared" si="15"/>
        <v>1.2388355330803137E-2</v>
      </c>
      <c r="E339" s="47">
        <v>2098.860107</v>
      </c>
      <c r="F339" s="48">
        <v>4622820000</v>
      </c>
      <c r="G339" s="20">
        <f t="shared" si="16"/>
        <v>1.3473862722098988E-2</v>
      </c>
      <c r="H339" s="22">
        <v>1</v>
      </c>
      <c r="I339" s="16"/>
    </row>
    <row r="340" spans="1:9">
      <c r="A340" s="19">
        <v>42552</v>
      </c>
      <c r="B340" s="20">
        <v>47.720455000000001</v>
      </c>
      <c r="C340" s="21">
        <v>21400400</v>
      </c>
      <c r="D340" s="23">
        <f t="shared" si="15"/>
        <v>-1.9543167880627156E-4</v>
      </c>
      <c r="E340" s="47">
        <v>2102.9499510000001</v>
      </c>
      <c r="F340" s="48">
        <v>3458890000</v>
      </c>
      <c r="G340" s="20">
        <f t="shared" si="16"/>
        <v>1.9467064123035718E-3</v>
      </c>
      <c r="H340" s="22">
        <v>1</v>
      </c>
      <c r="I340" s="16"/>
    </row>
    <row r="341" spans="1:9">
      <c r="A341" s="19">
        <v>42556</v>
      </c>
      <c r="B341" s="20">
        <v>47.729782</v>
      </c>
      <c r="C341" s="21">
        <v>24806400</v>
      </c>
      <c r="D341" s="23">
        <f t="shared" si="15"/>
        <v>1.9543167880628753E-4</v>
      </c>
      <c r="E341" s="47">
        <v>2088.5500489999999</v>
      </c>
      <c r="F341" s="48">
        <v>3658380000</v>
      </c>
      <c r="G341" s="20">
        <f t="shared" si="16"/>
        <v>-6.8710288215743185E-3</v>
      </c>
      <c r="H341" s="22">
        <v>1</v>
      </c>
      <c r="I341" s="16"/>
    </row>
    <row r="342" spans="1:9">
      <c r="A342" s="19">
        <v>42557</v>
      </c>
      <c r="B342" s="20">
        <v>47.925666999999997</v>
      </c>
      <c r="C342" s="21">
        <v>28167500</v>
      </c>
      <c r="D342" s="23">
        <f t="shared" si="15"/>
        <v>4.0956427650919499E-3</v>
      </c>
      <c r="E342" s="47">
        <v>2099.7299800000001</v>
      </c>
      <c r="F342" s="48">
        <v>3909380000</v>
      </c>
      <c r="G342" s="20">
        <f t="shared" si="16"/>
        <v>5.3386867527391987E-3</v>
      </c>
      <c r="H342" s="22">
        <v>1</v>
      </c>
      <c r="I342" s="16"/>
    </row>
    <row r="343" spans="1:9">
      <c r="A343" s="19">
        <v>42558</v>
      </c>
      <c r="B343" s="20">
        <v>47.925666999999997</v>
      </c>
      <c r="C343" s="21">
        <v>19585200</v>
      </c>
      <c r="D343" s="23">
        <f t="shared" si="15"/>
        <v>0</v>
      </c>
      <c r="E343" s="47">
        <v>2097.8999020000001</v>
      </c>
      <c r="F343" s="48">
        <v>3604550000</v>
      </c>
      <c r="G343" s="20">
        <f t="shared" si="16"/>
        <v>-8.7195782734437023E-4</v>
      </c>
      <c r="H343" s="22">
        <v>1</v>
      </c>
      <c r="I343" s="16"/>
    </row>
    <row r="344" spans="1:9">
      <c r="A344" s="19">
        <v>42559</v>
      </c>
      <c r="B344" s="20">
        <v>48.783810000000003</v>
      </c>
      <c r="C344" s="21">
        <v>28391000</v>
      </c>
      <c r="D344" s="23">
        <f t="shared" si="15"/>
        <v>1.7747289104323494E-2</v>
      </c>
      <c r="E344" s="47">
        <v>2129.8999020000001</v>
      </c>
      <c r="F344" s="48">
        <v>3607500000</v>
      </c>
      <c r="G344" s="20">
        <f t="shared" si="16"/>
        <v>1.5138186568454184E-2</v>
      </c>
      <c r="H344" s="22">
        <v>1</v>
      </c>
      <c r="I344" s="16"/>
    </row>
    <row r="345" spans="1:9">
      <c r="A345" s="19">
        <v>42562</v>
      </c>
      <c r="B345" s="20">
        <v>49.054321000000002</v>
      </c>
      <c r="C345" s="21">
        <v>22269200</v>
      </c>
      <c r="D345" s="23">
        <f t="shared" si="15"/>
        <v>5.5297803944637236E-3</v>
      </c>
      <c r="E345" s="47">
        <v>2137.1599120000001</v>
      </c>
      <c r="F345" s="48">
        <v>3253340000</v>
      </c>
      <c r="G345" s="20">
        <f t="shared" si="16"/>
        <v>3.4028194222132059E-3</v>
      </c>
      <c r="H345" s="22">
        <v>1</v>
      </c>
      <c r="I345" s="16"/>
    </row>
    <row r="346" spans="1:9">
      <c r="A346" s="19">
        <v>42563</v>
      </c>
      <c r="B346" s="20">
        <v>49.632632999999998</v>
      </c>
      <c r="C346" s="21">
        <v>27317600</v>
      </c>
      <c r="D346" s="23">
        <f t="shared" si="15"/>
        <v>1.1720264868072225E-2</v>
      </c>
      <c r="E346" s="47">
        <v>2152.139893</v>
      </c>
      <c r="F346" s="48">
        <v>4097820000</v>
      </c>
      <c r="G346" s="20">
        <f t="shared" si="16"/>
        <v>6.9848425545492024E-3</v>
      </c>
      <c r="H346" s="22">
        <v>1</v>
      </c>
      <c r="I346" s="16"/>
    </row>
    <row r="347" spans="1:9">
      <c r="A347" s="19">
        <v>42564</v>
      </c>
      <c r="B347" s="20">
        <v>49.912457000000003</v>
      </c>
      <c r="C347" s="21">
        <v>25356800</v>
      </c>
      <c r="D347" s="23">
        <f t="shared" si="15"/>
        <v>5.6220701000599558E-3</v>
      </c>
      <c r="E347" s="47">
        <v>2152.429932</v>
      </c>
      <c r="F347" s="48">
        <v>3502320000</v>
      </c>
      <c r="G347" s="20">
        <f t="shared" si="16"/>
        <v>1.3475864591820549E-4</v>
      </c>
      <c r="H347" s="22">
        <v>1</v>
      </c>
      <c r="I347" s="16"/>
    </row>
    <row r="348" spans="1:9">
      <c r="A348" s="19">
        <v>42565</v>
      </c>
      <c r="B348" s="20">
        <v>50.127003000000002</v>
      </c>
      <c r="C348" s="21">
        <v>24545500</v>
      </c>
      <c r="D348" s="23">
        <f t="shared" si="15"/>
        <v>4.2892340467701991E-3</v>
      </c>
      <c r="E348" s="47">
        <v>2163.75</v>
      </c>
      <c r="F348" s="48">
        <v>3465610000</v>
      </c>
      <c r="G348" s="20">
        <f t="shared" si="16"/>
        <v>5.2454226347346793E-3</v>
      </c>
      <c r="H348" s="22">
        <v>1</v>
      </c>
      <c r="I348" s="16"/>
    </row>
    <row r="349" spans="1:9">
      <c r="A349" s="19">
        <v>42566</v>
      </c>
      <c r="B349" s="20">
        <v>50.089694999999999</v>
      </c>
      <c r="C349" s="21">
        <v>32024400</v>
      </c>
      <c r="D349" s="23">
        <f t="shared" si="15"/>
        <v>-7.4454661684181028E-4</v>
      </c>
      <c r="E349" s="47">
        <v>2161.73999</v>
      </c>
      <c r="F349" s="48">
        <v>3122600000</v>
      </c>
      <c r="G349" s="20">
        <f t="shared" si="16"/>
        <v>-9.2937916829076938E-4</v>
      </c>
      <c r="H349" s="22">
        <v>1</v>
      </c>
      <c r="I349" s="16"/>
    </row>
    <row r="350" spans="1:9">
      <c r="A350" s="19">
        <v>42569</v>
      </c>
      <c r="B350" s="20">
        <v>50.332211000000001</v>
      </c>
      <c r="C350" s="21">
        <v>31433900</v>
      </c>
      <c r="D350" s="23">
        <f t="shared" si="15"/>
        <v>4.8299515737065526E-3</v>
      </c>
      <c r="E350" s="47">
        <v>2166.889893</v>
      </c>
      <c r="F350" s="48">
        <v>3009310000</v>
      </c>
      <c r="G350" s="20">
        <f t="shared" si="16"/>
        <v>2.3794621249798175E-3</v>
      </c>
      <c r="H350" s="22">
        <v>1</v>
      </c>
      <c r="I350" s="16"/>
    </row>
    <row r="351" spans="1:9">
      <c r="A351" s="19">
        <v>42570</v>
      </c>
      <c r="B351" s="20">
        <v>49.520702</v>
      </c>
      <c r="C351" s="21">
        <v>53336500</v>
      </c>
      <c r="D351" s="23">
        <f t="shared" si="15"/>
        <v>-1.625444551863587E-2</v>
      </c>
      <c r="E351" s="47">
        <v>2163.780029</v>
      </c>
      <c r="F351" s="48">
        <v>2968340000</v>
      </c>
      <c r="G351" s="20">
        <f t="shared" si="16"/>
        <v>-1.4362048323089381E-3</v>
      </c>
      <c r="H351" s="22">
        <v>1</v>
      </c>
      <c r="I351" s="16"/>
    </row>
    <row r="352" spans="1:9">
      <c r="A352" s="19">
        <v>42571</v>
      </c>
      <c r="B352" s="20">
        <v>52.151108000000001</v>
      </c>
      <c r="C352" s="21">
        <v>89893300</v>
      </c>
      <c r="D352" s="23">
        <f t="shared" si="15"/>
        <v>5.175462325935256E-2</v>
      </c>
      <c r="E352" s="47">
        <v>2173.0200199999999</v>
      </c>
      <c r="F352" s="48">
        <v>3211860000</v>
      </c>
      <c r="G352" s="20">
        <f t="shared" si="16"/>
        <v>4.2612086686796488E-3</v>
      </c>
      <c r="H352" s="22">
        <v>1</v>
      </c>
      <c r="I352" s="16"/>
    </row>
    <row r="353" spans="1:9">
      <c r="A353" s="19">
        <v>42572</v>
      </c>
      <c r="B353" s="20">
        <v>52.048507999999998</v>
      </c>
      <c r="C353" s="21">
        <v>32776700</v>
      </c>
      <c r="D353" s="23">
        <f t="shared" si="15"/>
        <v>-1.9692977209827857E-3</v>
      </c>
      <c r="E353" s="47">
        <v>2165.169922</v>
      </c>
      <c r="F353" s="48">
        <v>3438900000</v>
      </c>
      <c r="G353" s="20">
        <f t="shared" si="16"/>
        <v>-3.6190700145063283E-3</v>
      </c>
      <c r="H353" s="22">
        <v>1</v>
      </c>
      <c r="I353" s="16"/>
    </row>
    <row r="354" spans="1:9">
      <c r="A354" s="19">
        <v>42573</v>
      </c>
      <c r="B354" s="20">
        <v>52.766742999999998</v>
      </c>
      <c r="C354" s="21">
        <v>32157200</v>
      </c>
      <c r="D354" s="23">
        <f t="shared" si="15"/>
        <v>1.3704994933452414E-2</v>
      </c>
      <c r="E354" s="47">
        <v>2175.030029</v>
      </c>
      <c r="F354" s="48">
        <v>3023280000</v>
      </c>
      <c r="G354" s="20">
        <f t="shared" si="16"/>
        <v>4.543626595285696E-3</v>
      </c>
      <c r="H354" s="22">
        <v>1</v>
      </c>
      <c r="I354" s="16"/>
    </row>
    <row r="355" spans="1:9">
      <c r="A355" s="19">
        <v>42576</v>
      </c>
      <c r="B355" s="20">
        <v>52.915970000000002</v>
      </c>
      <c r="C355" s="21">
        <v>25610600</v>
      </c>
      <c r="D355" s="23">
        <f t="shared" si="15"/>
        <v>2.8240588255450281E-3</v>
      </c>
      <c r="E355" s="47">
        <v>2168.4799800000001</v>
      </c>
      <c r="F355" s="48">
        <v>3057240000</v>
      </c>
      <c r="G355" s="20">
        <f t="shared" si="16"/>
        <v>-3.0160188196025378E-3</v>
      </c>
      <c r="H355" s="22">
        <v>1</v>
      </c>
      <c r="I355" s="16"/>
    </row>
    <row r="356" spans="1:9">
      <c r="A356" s="19">
        <v>42577</v>
      </c>
      <c r="B356" s="20">
        <v>52.943953999999998</v>
      </c>
      <c r="C356" s="21">
        <v>28079000</v>
      </c>
      <c r="D356" s="23">
        <f t="shared" si="15"/>
        <v>5.2869867263157747E-4</v>
      </c>
      <c r="E356" s="47">
        <v>2169.179932</v>
      </c>
      <c r="F356" s="48">
        <v>3442350000</v>
      </c>
      <c r="G356" s="20">
        <f t="shared" si="16"/>
        <v>3.2273254255773474E-4</v>
      </c>
      <c r="H356" s="22">
        <v>1</v>
      </c>
      <c r="I356" s="16"/>
    </row>
    <row r="357" spans="1:9">
      <c r="A357" s="19">
        <v>42578</v>
      </c>
      <c r="B357" s="20">
        <v>52.412281</v>
      </c>
      <c r="C357" s="21">
        <v>32327500</v>
      </c>
      <c r="D357" s="23">
        <f t="shared" si="15"/>
        <v>-1.0092948240735753E-2</v>
      </c>
      <c r="E357" s="47">
        <v>2166.580078</v>
      </c>
      <c r="F357" s="48">
        <v>3995500000</v>
      </c>
      <c r="G357" s="20">
        <f t="shared" si="16"/>
        <v>-1.1992611701764468E-3</v>
      </c>
      <c r="H357" s="22">
        <v>1</v>
      </c>
      <c r="I357" s="16"/>
    </row>
    <row r="358" spans="1:9">
      <c r="A358" s="19">
        <v>42579</v>
      </c>
      <c r="B358" s="20">
        <v>52.430939000000002</v>
      </c>
      <c r="C358" s="21">
        <v>37550400</v>
      </c>
      <c r="D358" s="23">
        <f t="shared" si="15"/>
        <v>3.5592192221810135E-4</v>
      </c>
      <c r="E358" s="47">
        <v>2170.0600589999999</v>
      </c>
      <c r="F358" s="48">
        <v>3664240000</v>
      </c>
      <c r="G358" s="20">
        <f t="shared" si="16"/>
        <v>1.6049206929937636E-3</v>
      </c>
      <c r="H358" s="22">
        <v>1</v>
      </c>
      <c r="I358" s="16"/>
    </row>
    <row r="359" spans="1:9">
      <c r="A359" s="19">
        <v>42580</v>
      </c>
      <c r="B359" s="20">
        <v>52.869335</v>
      </c>
      <c r="C359" s="21">
        <v>30558700</v>
      </c>
      <c r="D359" s="23">
        <f t="shared" si="15"/>
        <v>8.3266361288818636E-3</v>
      </c>
      <c r="E359" s="47">
        <v>2173.6000979999999</v>
      </c>
      <c r="F359" s="48">
        <v>4038840000</v>
      </c>
      <c r="G359" s="20">
        <f t="shared" si="16"/>
        <v>1.6299800885987742E-3</v>
      </c>
      <c r="H359" s="22">
        <v>1</v>
      </c>
      <c r="I359" s="16"/>
    </row>
    <row r="360" spans="1:9">
      <c r="A360" s="19">
        <v>42583</v>
      </c>
      <c r="B360" s="20">
        <v>52.776062000000003</v>
      </c>
      <c r="C360" s="21">
        <v>26003400</v>
      </c>
      <c r="D360" s="23">
        <f t="shared" si="15"/>
        <v>-1.7657754503992279E-3</v>
      </c>
      <c r="E360" s="47">
        <v>2170.8400879999999</v>
      </c>
      <c r="F360" s="48">
        <v>3505990000</v>
      </c>
      <c r="G360" s="20">
        <f t="shared" si="16"/>
        <v>-1.2705942552551364E-3</v>
      </c>
      <c r="H360" s="22">
        <v>1</v>
      </c>
      <c r="I360" s="16"/>
    </row>
    <row r="361" spans="1:9">
      <c r="A361" s="19">
        <v>42584</v>
      </c>
      <c r="B361" s="20">
        <v>52.776062000000003</v>
      </c>
      <c r="C361" s="21">
        <v>35122000</v>
      </c>
      <c r="D361" s="23">
        <f t="shared" si="15"/>
        <v>0</v>
      </c>
      <c r="E361" s="47">
        <v>2157.030029</v>
      </c>
      <c r="F361" s="48">
        <v>3848750000</v>
      </c>
      <c r="G361" s="20">
        <f t="shared" si="16"/>
        <v>-6.3819410006827546E-3</v>
      </c>
      <c r="H361" s="22">
        <v>1</v>
      </c>
      <c r="I361" s="16"/>
    </row>
    <row r="362" spans="1:9">
      <c r="A362" s="19">
        <v>42585</v>
      </c>
      <c r="B362" s="20">
        <v>53.139847000000003</v>
      </c>
      <c r="C362" s="21">
        <v>22075600</v>
      </c>
      <c r="D362" s="23">
        <f t="shared" si="15"/>
        <v>6.8693444441762881E-3</v>
      </c>
      <c r="E362" s="47">
        <v>2163.790039</v>
      </c>
      <c r="F362" s="48">
        <v>3786530000</v>
      </c>
      <c r="G362" s="20">
        <f t="shared" si="16"/>
        <v>3.1290428248181399E-3</v>
      </c>
      <c r="H362" s="22">
        <v>1</v>
      </c>
      <c r="I362" s="16"/>
    </row>
    <row r="363" spans="1:9">
      <c r="A363" s="19">
        <v>42586</v>
      </c>
      <c r="B363" s="20">
        <v>53.531604999999999</v>
      </c>
      <c r="C363" s="21">
        <v>26587700</v>
      </c>
      <c r="D363" s="23">
        <f t="shared" si="15"/>
        <v>7.3451660023315596E-3</v>
      </c>
      <c r="E363" s="47">
        <v>2164.25</v>
      </c>
      <c r="F363" s="48">
        <v>3709200000</v>
      </c>
      <c r="G363" s="20">
        <f t="shared" si="16"/>
        <v>2.1254932837361468E-4</v>
      </c>
      <c r="H363" s="22">
        <v>1</v>
      </c>
      <c r="I363" s="16"/>
    </row>
    <row r="364" spans="1:9">
      <c r="A364" s="19">
        <v>42587</v>
      </c>
      <c r="B364" s="20">
        <v>54.063277999999997</v>
      </c>
      <c r="C364" s="21">
        <v>29335200</v>
      </c>
      <c r="D364" s="23">
        <f t="shared" si="15"/>
        <v>9.8829481971962167E-3</v>
      </c>
      <c r="E364" s="47">
        <v>2182.8701169999999</v>
      </c>
      <c r="F364" s="48">
        <v>3663070000</v>
      </c>
      <c r="G364" s="20">
        <f t="shared" si="16"/>
        <v>8.566697203483924E-3</v>
      </c>
      <c r="H364" s="22">
        <v>1</v>
      </c>
      <c r="I364" s="16"/>
    </row>
    <row r="365" spans="1:9">
      <c r="A365" s="19">
        <v>42590</v>
      </c>
      <c r="B365" s="20">
        <v>54.156562999999998</v>
      </c>
      <c r="C365" s="21">
        <v>19473500</v>
      </c>
      <c r="D365" s="23">
        <f t="shared" si="15"/>
        <v>1.7239911321753341E-3</v>
      </c>
      <c r="E365" s="47">
        <v>2180.889893</v>
      </c>
      <c r="F365" s="48">
        <v>3327550000</v>
      </c>
      <c r="G365" s="20">
        <f t="shared" si="16"/>
        <v>-9.0757701220377175E-4</v>
      </c>
      <c r="H365" s="22">
        <v>1</v>
      </c>
      <c r="I365" s="16"/>
    </row>
    <row r="366" spans="1:9">
      <c r="A366" s="19">
        <v>42591</v>
      </c>
      <c r="B366" s="20">
        <v>54.287143999999998</v>
      </c>
      <c r="C366" s="21">
        <v>16920700</v>
      </c>
      <c r="D366" s="23">
        <f t="shared" si="15"/>
        <v>2.4082736882421628E-3</v>
      </c>
      <c r="E366" s="47">
        <v>2181.73999</v>
      </c>
      <c r="F366" s="48">
        <v>3334300000</v>
      </c>
      <c r="G366" s="20">
        <f t="shared" si="16"/>
        <v>3.8971768568868799E-4</v>
      </c>
      <c r="H366" s="22">
        <v>1</v>
      </c>
      <c r="I366" s="16"/>
    </row>
    <row r="367" spans="1:9">
      <c r="A367" s="19">
        <v>42592</v>
      </c>
      <c r="B367" s="20">
        <v>54.119259</v>
      </c>
      <c r="C367" s="21">
        <v>15756900</v>
      </c>
      <c r="D367" s="23">
        <f t="shared" si="15"/>
        <v>-3.0973287475699112E-3</v>
      </c>
      <c r="E367" s="47">
        <v>2175.48999</v>
      </c>
      <c r="F367" s="48">
        <v>3254950000</v>
      </c>
      <c r="G367" s="20">
        <f t="shared" si="16"/>
        <v>-2.8687970637969228E-3</v>
      </c>
      <c r="H367" s="22">
        <v>1</v>
      </c>
      <c r="I367" s="16"/>
    </row>
    <row r="368" spans="1:9">
      <c r="A368" s="19">
        <v>42593</v>
      </c>
      <c r="B368" s="20">
        <v>54.380423999999998</v>
      </c>
      <c r="C368" s="21">
        <v>18162300</v>
      </c>
      <c r="D368" s="23">
        <f t="shared" si="15"/>
        <v>4.8141247452686354E-3</v>
      </c>
      <c r="E368" s="47">
        <v>2185.790039</v>
      </c>
      <c r="F368" s="48">
        <v>3423160000</v>
      </c>
      <c r="G368" s="20">
        <f t="shared" si="16"/>
        <v>4.7234151815842293E-3</v>
      </c>
      <c r="H368" s="22">
        <v>1</v>
      </c>
      <c r="I368" s="16"/>
    </row>
    <row r="369" spans="1:9">
      <c r="A369" s="19">
        <v>42594</v>
      </c>
      <c r="B369" s="20">
        <v>54.044632</v>
      </c>
      <c r="C369" s="21">
        <v>21655200</v>
      </c>
      <c r="D369" s="23">
        <f t="shared" si="15"/>
        <v>-6.1940124536607908E-3</v>
      </c>
      <c r="E369" s="47">
        <v>2184.0500489999999</v>
      </c>
      <c r="F369" s="48">
        <v>3000660000</v>
      </c>
      <c r="G369" s="20">
        <f t="shared" si="16"/>
        <v>-7.9636327962473777E-4</v>
      </c>
      <c r="H369" s="22">
        <v>1</v>
      </c>
      <c r="I369" s="16"/>
    </row>
    <row r="370" spans="1:9">
      <c r="A370" s="19">
        <v>42597</v>
      </c>
      <c r="B370" s="20">
        <v>54.212524000000002</v>
      </c>
      <c r="C370" s="21">
        <v>19283900</v>
      </c>
      <c r="D370" s="23">
        <f t="shared" si="15"/>
        <v>3.1017281592625717E-3</v>
      </c>
      <c r="E370" s="47">
        <v>2190.1499020000001</v>
      </c>
      <c r="F370" s="48">
        <v>3078530000</v>
      </c>
      <c r="G370" s="20">
        <f t="shared" si="16"/>
        <v>2.7890160588736079E-3</v>
      </c>
      <c r="H370" s="22">
        <v>1</v>
      </c>
      <c r="I370" s="16"/>
    </row>
    <row r="371" spans="1:9">
      <c r="A371" s="19">
        <v>42598</v>
      </c>
      <c r="B371" s="20">
        <v>53.912174</v>
      </c>
      <c r="C371" s="21">
        <v>20523500</v>
      </c>
      <c r="D371" s="23">
        <f t="shared" si="15"/>
        <v>-5.555636743185639E-3</v>
      </c>
      <c r="E371" s="47">
        <v>2178.1499020000001</v>
      </c>
      <c r="F371" s="48">
        <v>3196400000</v>
      </c>
      <c r="G371" s="20">
        <f t="shared" si="16"/>
        <v>-5.4941422173428317E-3</v>
      </c>
      <c r="H371" s="22">
        <v>1</v>
      </c>
      <c r="I371" s="16"/>
    </row>
    <row r="372" spans="1:9">
      <c r="A372" s="19">
        <v>42599</v>
      </c>
      <c r="B372" s="20">
        <v>54.024802999999999</v>
      </c>
      <c r="C372" s="21">
        <v>18856400</v>
      </c>
      <c r="D372" s="23">
        <f t="shared" si="15"/>
        <v>2.086940805799332E-3</v>
      </c>
      <c r="E372" s="47">
        <v>2182.219971</v>
      </c>
      <c r="F372" s="48">
        <v>3388910000</v>
      </c>
      <c r="G372" s="20">
        <f t="shared" si="16"/>
        <v>1.8668463000156262E-3</v>
      </c>
      <c r="H372" s="22">
        <v>1</v>
      </c>
      <c r="I372" s="16"/>
    </row>
    <row r="373" spans="1:9">
      <c r="A373" s="19">
        <v>42600</v>
      </c>
      <c r="B373" s="20">
        <v>54.062354999999997</v>
      </c>
      <c r="C373" s="21">
        <v>14214300</v>
      </c>
      <c r="D373" s="23">
        <f t="shared" si="15"/>
        <v>6.9484668124726741E-4</v>
      </c>
      <c r="E373" s="47">
        <v>2187.0200199999999</v>
      </c>
      <c r="F373" s="48">
        <v>3300570000</v>
      </c>
      <c r="G373" s="20">
        <f t="shared" si="16"/>
        <v>2.1972017746725615E-3</v>
      </c>
      <c r="H373" s="22">
        <v>1</v>
      </c>
      <c r="I373" s="16"/>
    </row>
    <row r="374" spans="1:9">
      <c r="A374" s="19">
        <v>42601</v>
      </c>
      <c r="B374" s="20">
        <v>54.081122999999998</v>
      </c>
      <c r="C374" s="21">
        <v>17271000</v>
      </c>
      <c r="D374" s="23">
        <f t="shared" si="15"/>
        <v>3.4709444407597043E-4</v>
      </c>
      <c r="E374" s="47">
        <v>2183.8701169999999</v>
      </c>
      <c r="F374" s="48">
        <v>3084800000</v>
      </c>
      <c r="G374" s="20">
        <f t="shared" si="16"/>
        <v>-1.4413098689576487E-3</v>
      </c>
      <c r="H374" s="22">
        <v>1</v>
      </c>
      <c r="I374" s="16"/>
    </row>
    <row r="375" spans="1:9">
      <c r="A375" s="19">
        <v>42604</v>
      </c>
      <c r="B375" s="20">
        <v>54.128051999999997</v>
      </c>
      <c r="C375" s="21">
        <v>15221900</v>
      </c>
      <c r="D375" s="23">
        <f t="shared" si="15"/>
        <v>8.6737567202079598E-4</v>
      </c>
      <c r="E375" s="47">
        <v>2182.639893</v>
      </c>
      <c r="F375" s="48">
        <v>2777550000</v>
      </c>
      <c r="G375" s="20">
        <f t="shared" si="16"/>
        <v>-5.6348160417969207E-4</v>
      </c>
      <c r="H375" s="22">
        <v>1</v>
      </c>
      <c r="I375" s="16"/>
    </row>
    <row r="376" spans="1:9">
      <c r="A376" s="19">
        <v>42605</v>
      </c>
      <c r="B376" s="20">
        <v>54.334541000000002</v>
      </c>
      <c r="C376" s="21">
        <v>18732400</v>
      </c>
      <c r="D376" s="23">
        <f t="shared" si="15"/>
        <v>3.8075661618286456E-3</v>
      </c>
      <c r="E376" s="47">
        <v>2186.8999020000001</v>
      </c>
      <c r="F376" s="48">
        <v>3041490000</v>
      </c>
      <c r="G376" s="20">
        <f t="shared" si="16"/>
        <v>1.9498668278891155E-3</v>
      </c>
      <c r="H376" s="22">
        <v>1</v>
      </c>
      <c r="I376" s="16"/>
    </row>
    <row r="377" spans="1:9">
      <c r="A377" s="19">
        <v>42606</v>
      </c>
      <c r="B377" s="20">
        <v>54.390858000000001</v>
      </c>
      <c r="C377" s="21">
        <v>18151500</v>
      </c>
      <c r="D377" s="23">
        <f t="shared" si="15"/>
        <v>1.0359493835763183E-3</v>
      </c>
      <c r="E377" s="47">
        <v>2175.4399410000001</v>
      </c>
      <c r="F377" s="48">
        <v>3148280000</v>
      </c>
      <c r="G377" s="20">
        <f t="shared" si="16"/>
        <v>-5.2540552892296902E-3</v>
      </c>
      <c r="H377" s="22">
        <v>1</v>
      </c>
      <c r="I377" s="16"/>
    </row>
    <row r="378" spans="1:9">
      <c r="A378" s="19">
        <v>42607</v>
      </c>
      <c r="B378" s="20">
        <v>54.597343000000002</v>
      </c>
      <c r="C378" s="21">
        <v>18552600</v>
      </c>
      <c r="D378" s="23">
        <f t="shared" si="15"/>
        <v>3.7891302940359474E-3</v>
      </c>
      <c r="E378" s="47">
        <v>2172.469971</v>
      </c>
      <c r="F378" s="48">
        <v>2969310000</v>
      </c>
      <c r="G378" s="20">
        <f t="shared" si="16"/>
        <v>-1.3661600732483932E-3</v>
      </c>
      <c r="H378" s="22">
        <v>1</v>
      </c>
      <c r="I378" s="16"/>
    </row>
    <row r="379" spans="1:9">
      <c r="A379" s="19">
        <v>42608</v>
      </c>
      <c r="B379" s="20">
        <v>54.465938999999999</v>
      </c>
      <c r="C379" s="21">
        <v>20971200</v>
      </c>
      <c r="D379" s="23">
        <f t="shared" si="15"/>
        <v>-2.40968474768598E-3</v>
      </c>
      <c r="E379" s="47">
        <v>2169.040039</v>
      </c>
      <c r="F379" s="48">
        <v>3342340000</v>
      </c>
      <c r="G379" s="20">
        <f t="shared" si="16"/>
        <v>-1.5800644041810373E-3</v>
      </c>
      <c r="H379" s="22">
        <v>1</v>
      </c>
      <c r="I379" s="16"/>
    </row>
    <row r="380" spans="1:9">
      <c r="A380" s="19">
        <v>42611</v>
      </c>
      <c r="B380" s="20">
        <v>54.531643000000003</v>
      </c>
      <c r="C380" s="21">
        <v>16417200</v>
      </c>
      <c r="D380" s="23">
        <f t="shared" si="15"/>
        <v>1.2056048721944494E-3</v>
      </c>
      <c r="E380" s="47">
        <v>2180.3798830000001</v>
      </c>
      <c r="F380" s="48">
        <v>2654780000</v>
      </c>
      <c r="G380" s="20">
        <f t="shared" si="16"/>
        <v>5.2144285434831354E-3</v>
      </c>
      <c r="H380" s="22">
        <v>1</v>
      </c>
      <c r="I380" s="16"/>
    </row>
    <row r="381" spans="1:9">
      <c r="A381" s="19">
        <v>42612</v>
      </c>
      <c r="B381" s="20">
        <v>54.334541000000002</v>
      </c>
      <c r="C381" s="21">
        <v>16930200</v>
      </c>
      <c r="D381" s="23">
        <f t="shared" si="15"/>
        <v>-3.6209998021206934E-3</v>
      </c>
      <c r="E381" s="47">
        <v>2176.1201169999999</v>
      </c>
      <c r="F381" s="48">
        <v>3006800000</v>
      </c>
      <c r="G381" s="20">
        <f t="shared" si="16"/>
        <v>-1.9555915792795644E-3</v>
      </c>
      <c r="H381" s="22">
        <v>1</v>
      </c>
      <c r="I381" s="16"/>
    </row>
    <row r="382" spans="1:9">
      <c r="A382" s="19">
        <v>42613</v>
      </c>
      <c r="B382" s="20">
        <v>53.930954</v>
      </c>
      <c r="C382" s="21">
        <v>20860300</v>
      </c>
      <c r="D382" s="23">
        <f t="shared" si="15"/>
        <v>-7.4555400951986485E-3</v>
      </c>
      <c r="E382" s="47">
        <v>2170.9499510000001</v>
      </c>
      <c r="F382" s="48">
        <v>3766390000</v>
      </c>
      <c r="G382" s="20">
        <f t="shared" si="16"/>
        <v>-2.3786910985704626E-3</v>
      </c>
      <c r="H382" s="22">
        <v>1</v>
      </c>
      <c r="I382" s="16"/>
    </row>
    <row r="383" spans="1:9">
      <c r="A383" s="19">
        <v>42614</v>
      </c>
      <c r="B383" s="20">
        <v>54.052967000000002</v>
      </c>
      <c r="C383" s="21">
        <v>26075400</v>
      </c>
      <c r="D383" s="23">
        <f t="shared" si="15"/>
        <v>2.2598374053360059E-3</v>
      </c>
      <c r="E383" s="47">
        <v>2170.860107</v>
      </c>
      <c r="F383" s="48">
        <v>3392120000</v>
      </c>
      <c r="G383" s="20">
        <f t="shared" si="16"/>
        <v>-4.1385504576534266E-5</v>
      </c>
      <c r="H383" s="22">
        <v>1</v>
      </c>
      <c r="I383" s="16"/>
    </row>
    <row r="384" spans="1:9">
      <c r="A384" s="19">
        <v>42615</v>
      </c>
      <c r="B384" s="20">
        <v>54.128051999999997</v>
      </c>
      <c r="C384" s="21">
        <v>18900500</v>
      </c>
      <c r="D384" s="23">
        <f t="shared" si="15"/>
        <v>1.3881365280338648E-3</v>
      </c>
      <c r="E384" s="47">
        <v>2179.9799800000001</v>
      </c>
      <c r="F384" s="48">
        <v>3091120000</v>
      </c>
      <c r="G384" s="20">
        <f t="shared" si="16"/>
        <v>4.1922415783452651E-3</v>
      </c>
      <c r="H384" s="22">
        <v>1</v>
      </c>
      <c r="I384" s="16"/>
    </row>
    <row r="385" spans="1:9">
      <c r="A385" s="19">
        <v>42619</v>
      </c>
      <c r="B385" s="20">
        <v>54.071742999999998</v>
      </c>
      <c r="C385" s="21">
        <v>16278400</v>
      </c>
      <c r="D385" s="23">
        <f t="shared" si="15"/>
        <v>-1.0408338589450485E-3</v>
      </c>
      <c r="E385" s="47">
        <v>2186.4799800000001</v>
      </c>
      <c r="F385" s="48">
        <v>3447650000</v>
      </c>
      <c r="G385" s="20">
        <f t="shared" si="16"/>
        <v>2.9772423706444862E-3</v>
      </c>
      <c r="H385" s="22">
        <v>1</v>
      </c>
      <c r="I385" s="16"/>
    </row>
    <row r="386" spans="1:9">
      <c r="A386" s="19">
        <v>42620</v>
      </c>
      <c r="B386" s="20">
        <v>54.118664000000003</v>
      </c>
      <c r="C386" s="21">
        <v>17493400</v>
      </c>
      <c r="D386" s="23">
        <f t="shared" si="15"/>
        <v>8.6737824993545008E-4</v>
      </c>
      <c r="E386" s="47">
        <v>2186.1599120000001</v>
      </c>
      <c r="F386" s="48">
        <v>3319420000</v>
      </c>
      <c r="G386" s="20">
        <f t="shared" si="16"/>
        <v>-1.4639577393839857E-4</v>
      </c>
      <c r="H386" s="22">
        <v>1</v>
      </c>
      <c r="I386" s="16"/>
    </row>
    <row r="387" spans="1:9">
      <c r="A387" s="19">
        <v>42621</v>
      </c>
      <c r="B387" s="20">
        <v>53.902790000000003</v>
      </c>
      <c r="C387" s="21">
        <v>20146100</v>
      </c>
      <c r="D387" s="23">
        <f t="shared" ref="D387:D450" si="17">LN(B387/B386)</f>
        <v>-3.9968780161540032E-3</v>
      </c>
      <c r="E387" s="47">
        <v>2181.3000489999999</v>
      </c>
      <c r="F387" s="48">
        <v>3727840000</v>
      </c>
      <c r="G387" s="20">
        <f t="shared" ref="G387:G450" si="18">LN(E387/E386)</f>
        <v>-2.2254880636449503E-3</v>
      </c>
      <c r="H387" s="22">
        <v>1</v>
      </c>
      <c r="I387" s="16"/>
    </row>
    <row r="388" spans="1:9">
      <c r="A388" s="19">
        <v>42622</v>
      </c>
      <c r="B388" s="20">
        <v>52.757725000000001</v>
      </c>
      <c r="C388" s="21">
        <v>35113900</v>
      </c>
      <c r="D388" s="23">
        <f t="shared" si="17"/>
        <v>-2.147203196679838E-2</v>
      </c>
      <c r="E388" s="47">
        <v>2127.8100589999999</v>
      </c>
      <c r="F388" s="48">
        <v>4233960000</v>
      </c>
      <c r="G388" s="20">
        <f t="shared" si="18"/>
        <v>-2.482774229870716E-2</v>
      </c>
      <c r="H388" s="22">
        <v>1</v>
      </c>
      <c r="I388" s="16"/>
    </row>
    <row r="389" spans="1:9">
      <c r="A389" s="19">
        <v>42625</v>
      </c>
      <c r="B389" s="20">
        <v>53.546135</v>
      </c>
      <c r="C389" s="21">
        <v>29303000</v>
      </c>
      <c r="D389" s="23">
        <f t="shared" si="17"/>
        <v>1.4833411620385931E-2</v>
      </c>
      <c r="E389" s="47">
        <v>2159.040039</v>
      </c>
      <c r="F389" s="48">
        <v>4010480000</v>
      </c>
      <c r="G389" s="20">
        <f t="shared" si="18"/>
        <v>1.4570387013562412E-2</v>
      </c>
      <c r="H389" s="22">
        <v>1</v>
      </c>
      <c r="I389" s="16"/>
    </row>
    <row r="390" spans="1:9">
      <c r="A390" s="19">
        <v>42626</v>
      </c>
      <c r="B390" s="20">
        <v>53.058075000000002</v>
      </c>
      <c r="C390" s="21">
        <v>30130200</v>
      </c>
      <c r="D390" s="23">
        <f t="shared" si="17"/>
        <v>-9.1565503840041976E-3</v>
      </c>
      <c r="E390" s="47">
        <v>2127.0200199999999</v>
      </c>
      <c r="F390" s="48">
        <v>4141670000</v>
      </c>
      <c r="G390" s="20">
        <f t="shared" si="18"/>
        <v>-1.4941748028884077E-2</v>
      </c>
      <c r="H390" s="22">
        <v>1</v>
      </c>
      <c r="I390" s="16"/>
    </row>
    <row r="391" spans="1:9">
      <c r="A391" s="19">
        <v>42627</v>
      </c>
      <c r="B391" s="20">
        <v>52.804645999999998</v>
      </c>
      <c r="C391" s="21">
        <v>24062500</v>
      </c>
      <c r="D391" s="23">
        <f t="shared" si="17"/>
        <v>-4.787889102740815E-3</v>
      </c>
      <c r="E391" s="47">
        <v>2125.7700199999999</v>
      </c>
      <c r="F391" s="48">
        <v>3664100000</v>
      </c>
      <c r="G391" s="20">
        <f t="shared" si="18"/>
        <v>-5.8784939968330771E-4</v>
      </c>
      <c r="H391" s="22">
        <v>1</v>
      </c>
      <c r="I391" s="16"/>
    </row>
    <row r="392" spans="1:9">
      <c r="A392" s="19">
        <v>42628</v>
      </c>
      <c r="B392" s="20">
        <v>53.677528000000002</v>
      </c>
      <c r="C392" s="21">
        <v>26847000</v>
      </c>
      <c r="D392" s="23">
        <f t="shared" si="17"/>
        <v>1.6395261667068891E-2</v>
      </c>
      <c r="E392" s="47">
        <v>2147.26001</v>
      </c>
      <c r="F392" s="48">
        <v>3373720000</v>
      </c>
      <c r="G392" s="20">
        <f t="shared" si="18"/>
        <v>1.0058516338082277E-2</v>
      </c>
      <c r="H392" s="22">
        <v>1</v>
      </c>
      <c r="I392" s="16"/>
    </row>
    <row r="393" spans="1:9">
      <c r="A393" s="19">
        <v>42629</v>
      </c>
      <c r="B393" s="20">
        <v>53.733848999999999</v>
      </c>
      <c r="C393" s="21">
        <v>44607000</v>
      </c>
      <c r="D393" s="23">
        <f t="shared" si="17"/>
        <v>1.0486972001422087E-3</v>
      </c>
      <c r="E393" s="47">
        <v>2139.1599120000001</v>
      </c>
      <c r="F393" s="48">
        <v>5014360000</v>
      </c>
      <c r="G393" s="20">
        <f t="shared" si="18"/>
        <v>-3.7794279558526649E-3</v>
      </c>
      <c r="H393" s="22">
        <v>1</v>
      </c>
      <c r="I393" s="16"/>
    </row>
    <row r="394" spans="1:9">
      <c r="A394" s="19">
        <v>42632</v>
      </c>
      <c r="B394" s="20">
        <v>53.433506000000001</v>
      </c>
      <c r="C394" s="21">
        <v>20937100</v>
      </c>
      <c r="D394" s="23">
        <f t="shared" si="17"/>
        <v>-5.6051357493384765E-3</v>
      </c>
      <c r="E394" s="47">
        <v>2139.1201169999999</v>
      </c>
      <c r="F394" s="48">
        <v>3163000000</v>
      </c>
      <c r="G394" s="20">
        <f t="shared" si="18"/>
        <v>-1.8603270347706181E-5</v>
      </c>
      <c r="H394" s="22">
        <v>1</v>
      </c>
      <c r="I394" s="16"/>
    </row>
    <row r="395" spans="1:9">
      <c r="A395" s="19">
        <v>42633</v>
      </c>
      <c r="B395" s="20">
        <v>53.320869000000002</v>
      </c>
      <c r="C395" s="21">
        <v>17384000</v>
      </c>
      <c r="D395" s="23">
        <f t="shared" si="17"/>
        <v>-2.1102093810686047E-3</v>
      </c>
      <c r="E395" s="47">
        <v>2139.76001</v>
      </c>
      <c r="F395" s="48">
        <v>3140730000</v>
      </c>
      <c r="G395" s="20">
        <f t="shared" si="18"/>
        <v>2.9909368142030094E-4</v>
      </c>
      <c r="H395" s="22">
        <v>1</v>
      </c>
      <c r="I395" s="16"/>
    </row>
    <row r="396" spans="1:9">
      <c r="A396" s="19">
        <v>42634</v>
      </c>
      <c r="B396" s="20">
        <v>54.212521000000002</v>
      </c>
      <c r="C396" s="21">
        <v>33707300</v>
      </c>
      <c r="D396" s="23">
        <f t="shared" si="17"/>
        <v>1.6584103523791315E-2</v>
      </c>
      <c r="E396" s="47">
        <v>2163.1201169999999</v>
      </c>
      <c r="F396" s="48">
        <v>3712090000</v>
      </c>
      <c r="G396" s="20">
        <f t="shared" si="18"/>
        <v>1.0858000137422273E-2</v>
      </c>
      <c r="H396" s="22">
        <v>1</v>
      </c>
      <c r="I396" s="16"/>
    </row>
    <row r="397" spans="1:9">
      <c r="A397" s="19">
        <v>42635</v>
      </c>
      <c r="B397" s="20">
        <v>54.268844999999999</v>
      </c>
      <c r="C397" s="21">
        <v>19822200</v>
      </c>
      <c r="D397" s="23">
        <f t="shared" si="17"/>
        <v>1.0384088463847056E-3</v>
      </c>
      <c r="E397" s="47">
        <v>2177.179932</v>
      </c>
      <c r="F397" s="48">
        <v>3552830000</v>
      </c>
      <c r="G397" s="20">
        <f t="shared" si="18"/>
        <v>6.478752169386928E-3</v>
      </c>
      <c r="H397" s="22">
        <v>1</v>
      </c>
      <c r="I397" s="16"/>
    </row>
    <row r="398" spans="1:9">
      <c r="A398" s="19">
        <v>42636</v>
      </c>
      <c r="B398" s="20">
        <v>53.902790000000003</v>
      </c>
      <c r="C398" s="21">
        <v>19955300</v>
      </c>
      <c r="D398" s="23">
        <f t="shared" si="17"/>
        <v>-6.7680662738225624E-3</v>
      </c>
      <c r="E398" s="47">
        <v>2164.6899410000001</v>
      </c>
      <c r="F398" s="48">
        <v>3317190000</v>
      </c>
      <c r="G398" s="20">
        <f t="shared" si="18"/>
        <v>-5.7532933124543554E-3</v>
      </c>
      <c r="H398" s="22">
        <v>1</v>
      </c>
      <c r="I398" s="16"/>
    </row>
    <row r="399" spans="1:9">
      <c r="A399" s="19">
        <v>42639</v>
      </c>
      <c r="B399" s="20">
        <v>53.405354000000003</v>
      </c>
      <c r="C399" s="21">
        <v>21688700</v>
      </c>
      <c r="D399" s="23">
        <f t="shared" si="17"/>
        <v>-9.2712359859912375E-3</v>
      </c>
      <c r="E399" s="47">
        <v>2146.1000979999999</v>
      </c>
      <c r="F399" s="48">
        <v>3216170000</v>
      </c>
      <c r="G399" s="20">
        <f t="shared" si="18"/>
        <v>-8.6248497700706916E-3</v>
      </c>
      <c r="H399" s="22">
        <v>1</v>
      </c>
      <c r="I399" s="16"/>
    </row>
    <row r="400" spans="1:9">
      <c r="A400" s="19">
        <v>42640</v>
      </c>
      <c r="B400" s="20">
        <v>54.390858000000001</v>
      </c>
      <c r="C400" s="21">
        <v>28065100</v>
      </c>
      <c r="D400" s="23">
        <f t="shared" si="17"/>
        <v>1.8285085156559942E-2</v>
      </c>
      <c r="E400" s="47">
        <v>2159.929932</v>
      </c>
      <c r="F400" s="48">
        <v>3437770000</v>
      </c>
      <c r="G400" s="20">
        <f t="shared" si="18"/>
        <v>6.4234951715066626E-3</v>
      </c>
      <c r="H400" s="22">
        <v>1</v>
      </c>
      <c r="I400" s="16"/>
    </row>
    <row r="401" spans="1:9">
      <c r="A401" s="19">
        <v>42641</v>
      </c>
      <c r="B401" s="20">
        <v>54.465938999999999</v>
      </c>
      <c r="C401" s="21">
        <v>20536400</v>
      </c>
      <c r="D401" s="23">
        <f t="shared" si="17"/>
        <v>1.3794455463499158E-3</v>
      </c>
      <c r="E401" s="47">
        <v>2171.3701169999999</v>
      </c>
      <c r="F401" s="48">
        <v>3891460000</v>
      </c>
      <c r="G401" s="20">
        <f t="shared" si="18"/>
        <v>5.2825763509087575E-3</v>
      </c>
      <c r="H401" s="22">
        <v>1</v>
      </c>
      <c r="I401" s="16"/>
    </row>
    <row r="402" spans="1:9">
      <c r="A402" s="19">
        <v>42642</v>
      </c>
      <c r="B402" s="20">
        <v>53.874640999999997</v>
      </c>
      <c r="C402" s="21">
        <v>25463500</v>
      </c>
      <c r="D402" s="23">
        <f t="shared" si="17"/>
        <v>-1.0915648986803698E-2</v>
      </c>
      <c r="E402" s="47">
        <v>2151.1298830000001</v>
      </c>
      <c r="F402" s="48">
        <v>4249220000</v>
      </c>
      <c r="G402" s="20">
        <f t="shared" si="18"/>
        <v>-9.3651275565667449E-3</v>
      </c>
      <c r="H402" s="22">
        <v>1</v>
      </c>
      <c r="I402" s="16"/>
    </row>
    <row r="403" spans="1:9">
      <c r="A403" s="19">
        <v>42643</v>
      </c>
      <c r="B403" s="20">
        <v>54.062354999999997</v>
      </c>
      <c r="C403" s="21">
        <v>29910800</v>
      </c>
      <c r="D403" s="23">
        <f t="shared" si="17"/>
        <v>3.4782177789520227E-3</v>
      </c>
      <c r="E403" s="47">
        <v>2168.2700199999999</v>
      </c>
      <c r="F403" s="48">
        <v>4173340000</v>
      </c>
      <c r="G403" s="20">
        <f t="shared" si="18"/>
        <v>7.9363927170502876E-3</v>
      </c>
      <c r="H403" s="22">
        <v>1</v>
      </c>
      <c r="I403" s="16"/>
    </row>
    <row r="404" spans="1:9">
      <c r="A404" s="19">
        <v>42646</v>
      </c>
      <c r="B404" s="20">
        <v>53.893410000000003</v>
      </c>
      <c r="C404" s="21">
        <v>19189500</v>
      </c>
      <c r="D404" s="23">
        <f t="shared" si="17"/>
        <v>-3.129895618244664E-3</v>
      </c>
      <c r="E404" s="47">
        <v>2161.1999510000001</v>
      </c>
      <c r="F404" s="48">
        <v>3137550000</v>
      </c>
      <c r="G404" s="20">
        <f t="shared" si="18"/>
        <v>-3.2660234772408018E-3</v>
      </c>
      <c r="H404" s="22">
        <v>1</v>
      </c>
      <c r="I404" s="16"/>
    </row>
    <row r="405" spans="1:9">
      <c r="A405" s="19">
        <v>42647</v>
      </c>
      <c r="B405" s="20">
        <v>53.724463999999998</v>
      </c>
      <c r="C405" s="21">
        <v>20085900</v>
      </c>
      <c r="D405" s="23">
        <f t="shared" si="17"/>
        <v>-3.1397412438898069E-3</v>
      </c>
      <c r="E405" s="47">
        <v>2150.48999</v>
      </c>
      <c r="F405" s="48">
        <v>3750890000</v>
      </c>
      <c r="G405" s="20">
        <f t="shared" si="18"/>
        <v>-4.9678818158212078E-3</v>
      </c>
      <c r="H405" s="22">
        <v>1</v>
      </c>
      <c r="I405" s="16"/>
    </row>
    <row r="406" spans="1:9">
      <c r="A406" s="19">
        <v>42648</v>
      </c>
      <c r="B406" s="20">
        <v>54.099899000000001</v>
      </c>
      <c r="C406" s="21">
        <v>16726400</v>
      </c>
      <c r="D406" s="23">
        <f t="shared" si="17"/>
        <v>6.9638531921274319E-3</v>
      </c>
      <c r="E406" s="47">
        <v>2159.7299800000001</v>
      </c>
      <c r="F406" s="48">
        <v>3906550000</v>
      </c>
      <c r="G406" s="20">
        <f t="shared" si="18"/>
        <v>4.2874861231427417E-3</v>
      </c>
      <c r="H406" s="22">
        <v>1</v>
      </c>
      <c r="I406" s="16"/>
    </row>
    <row r="407" spans="1:9">
      <c r="A407" s="19">
        <v>42649</v>
      </c>
      <c r="B407" s="20">
        <v>54.193756</v>
      </c>
      <c r="C407" s="21">
        <v>16212600</v>
      </c>
      <c r="D407" s="23">
        <f t="shared" si="17"/>
        <v>1.7333799196320055E-3</v>
      </c>
      <c r="E407" s="47">
        <v>2160.7700199999999</v>
      </c>
      <c r="F407" s="48">
        <v>3461550000</v>
      </c>
      <c r="G407" s="20">
        <f t="shared" si="18"/>
        <v>4.8144428658220277E-4</v>
      </c>
      <c r="H407" s="22">
        <v>1</v>
      </c>
      <c r="I407" s="16"/>
    </row>
    <row r="408" spans="1:9">
      <c r="A408" s="19">
        <v>42650</v>
      </c>
      <c r="B408" s="20">
        <v>54.250069000000003</v>
      </c>
      <c r="C408" s="21">
        <v>20089000</v>
      </c>
      <c r="D408" s="23">
        <f t="shared" si="17"/>
        <v>1.0385654519599226E-3</v>
      </c>
      <c r="E408" s="47">
        <v>2153.73999</v>
      </c>
      <c r="F408" s="48">
        <v>3619890000</v>
      </c>
      <c r="G408" s="20">
        <f t="shared" si="18"/>
        <v>-3.2587877673729898E-3</v>
      </c>
      <c r="H408" s="22">
        <v>1</v>
      </c>
      <c r="I408" s="16"/>
    </row>
    <row r="409" spans="1:9">
      <c r="A409" s="19">
        <v>42653</v>
      </c>
      <c r="B409" s="20">
        <v>54.47533</v>
      </c>
      <c r="C409" s="21">
        <v>18196500</v>
      </c>
      <c r="D409" s="23">
        <f t="shared" si="17"/>
        <v>4.1436743278642539E-3</v>
      </c>
      <c r="E409" s="47">
        <v>2163.6599120000001</v>
      </c>
      <c r="F409" s="48">
        <v>2916550000</v>
      </c>
      <c r="G409" s="20">
        <f t="shared" si="18"/>
        <v>4.5953303755956135E-3</v>
      </c>
      <c r="H409" s="22">
        <v>1</v>
      </c>
      <c r="I409" s="16"/>
    </row>
    <row r="410" spans="1:9">
      <c r="A410" s="19">
        <v>42654</v>
      </c>
      <c r="B410" s="20">
        <v>53.677528000000002</v>
      </c>
      <c r="C410" s="21">
        <v>26497400</v>
      </c>
      <c r="D410" s="23">
        <f t="shared" si="17"/>
        <v>-1.475349770460437E-2</v>
      </c>
      <c r="E410" s="47">
        <v>2136.7299800000001</v>
      </c>
      <c r="F410" s="48">
        <v>3438270000</v>
      </c>
      <c r="G410" s="20">
        <f t="shared" si="18"/>
        <v>-1.2524577866582336E-2</v>
      </c>
      <c r="H410" s="22">
        <v>1</v>
      </c>
      <c r="I410" s="16"/>
    </row>
    <row r="411" spans="1:9">
      <c r="A411" s="19">
        <v>42655</v>
      </c>
      <c r="B411" s="20">
        <v>53.602443999999998</v>
      </c>
      <c r="C411" s="21">
        <v>22177500</v>
      </c>
      <c r="D411" s="23">
        <f t="shared" si="17"/>
        <v>-1.3997768802515409E-3</v>
      </c>
      <c r="E411" s="47">
        <v>2139.179932</v>
      </c>
      <c r="F411" s="48">
        <v>2977100000</v>
      </c>
      <c r="G411" s="20">
        <f t="shared" si="18"/>
        <v>1.1459325937728834E-3</v>
      </c>
      <c r="H411" s="22">
        <v>1</v>
      </c>
      <c r="I411" s="16"/>
    </row>
    <row r="412" spans="1:9">
      <c r="A412" s="19">
        <v>42656</v>
      </c>
      <c r="B412" s="20">
        <v>53.424121999999997</v>
      </c>
      <c r="C412" s="21">
        <v>25313700</v>
      </c>
      <c r="D412" s="23">
        <f t="shared" si="17"/>
        <v>-3.3322972356284561E-3</v>
      </c>
      <c r="E412" s="47">
        <v>2132.5500489999999</v>
      </c>
      <c r="F412" s="48">
        <v>3580450000</v>
      </c>
      <c r="G412" s="20">
        <f t="shared" si="18"/>
        <v>-3.104076499634731E-3</v>
      </c>
      <c r="H412" s="22">
        <v>1</v>
      </c>
      <c r="I412" s="16"/>
    </row>
    <row r="413" spans="1:9">
      <c r="A413" s="19">
        <v>42657</v>
      </c>
      <c r="B413" s="20">
        <v>53.893410000000003</v>
      </c>
      <c r="C413" s="21">
        <v>27402500</v>
      </c>
      <c r="D413" s="23">
        <f t="shared" si="17"/>
        <v>8.7458401727908246E-3</v>
      </c>
      <c r="E413" s="47">
        <v>2132.9799800000001</v>
      </c>
      <c r="F413" s="48">
        <v>3228150000</v>
      </c>
      <c r="G413" s="20">
        <f t="shared" si="18"/>
        <v>2.0158385876223729E-4</v>
      </c>
      <c r="H413" s="22">
        <v>1</v>
      </c>
      <c r="I413" s="16"/>
    </row>
    <row r="414" spans="1:9">
      <c r="A414" s="19">
        <v>42660</v>
      </c>
      <c r="B414" s="20">
        <v>53.705691999999999</v>
      </c>
      <c r="C414" s="21">
        <v>23830000</v>
      </c>
      <c r="D414" s="23">
        <f t="shared" si="17"/>
        <v>-3.4892148161157735E-3</v>
      </c>
      <c r="E414" s="47">
        <v>2126.5</v>
      </c>
      <c r="F414" s="48">
        <v>2830390000</v>
      </c>
      <c r="G414" s="20">
        <f t="shared" si="18"/>
        <v>-3.0426178920773266E-3</v>
      </c>
      <c r="H414" s="22">
        <v>1</v>
      </c>
      <c r="I414" s="16"/>
    </row>
    <row r="415" spans="1:9">
      <c r="A415" s="19">
        <v>42661</v>
      </c>
      <c r="B415" s="20">
        <v>54.118664000000003</v>
      </c>
      <c r="C415" s="21">
        <v>19149500</v>
      </c>
      <c r="D415" s="23">
        <f t="shared" si="17"/>
        <v>7.6601249414474928E-3</v>
      </c>
      <c r="E415" s="47">
        <v>2139.6000979999999</v>
      </c>
      <c r="F415" s="48">
        <v>3170000000</v>
      </c>
      <c r="G415" s="20">
        <f t="shared" si="18"/>
        <v>6.1415057663595871E-3</v>
      </c>
      <c r="H415" s="22">
        <v>1</v>
      </c>
      <c r="I415" s="16"/>
    </row>
    <row r="416" spans="1:9">
      <c r="A416" s="19">
        <v>42662</v>
      </c>
      <c r="B416" s="20">
        <v>53.996651</v>
      </c>
      <c r="C416" s="21">
        <v>22878400</v>
      </c>
      <c r="D416" s="23">
        <f t="shared" si="17"/>
        <v>-2.2570909921353841E-3</v>
      </c>
      <c r="E416" s="47">
        <v>2144.290039</v>
      </c>
      <c r="F416" s="48">
        <v>3362670000</v>
      </c>
      <c r="G416" s="20">
        <f t="shared" si="18"/>
        <v>2.1895719655424944E-3</v>
      </c>
      <c r="H416" s="22">
        <v>1</v>
      </c>
      <c r="I416" s="16"/>
    </row>
    <row r="417" spans="1:9">
      <c r="A417" s="19">
        <v>42663</v>
      </c>
      <c r="B417" s="20">
        <v>53.733848999999999</v>
      </c>
      <c r="C417" s="21">
        <v>49455600</v>
      </c>
      <c r="D417" s="23">
        <f t="shared" si="17"/>
        <v>-4.8788879899650016E-3</v>
      </c>
      <c r="E417" s="47">
        <v>2141.3400879999999</v>
      </c>
      <c r="F417" s="48">
        <v>3337170000</v>
      </c>
      <c r="G417" s="20">
        <f t="shared" si="18"/>
        <v>-1.3766710511558952E-3</v>
      </c>
      <c r="H417" s="22">
        <v>1</v>
      </c>
      <c r="I417" s="16"/>
    </row>
    <row r="418" spans="1:9">
      <c r="A418" s="19">
        <v>42664</v>
      </c>
      <c r="B418" s="20">
        <v>55.995831000000003</v>
      </c>
      <c r="C418" s="21">
        <v>80032200</v>
      </c>
      <c r="D418" s="23">
        <f t="shared" si="17"/>
        <v>4.1234103402741959E-2</v>
      </c>
      <c r="E418" s="47">
        <v>2141.1599120000001</v>
      </c>
      <c r="F418" s="48">
        <v>3448850000</v>
      </c>
      <c r="G418" s="20">
        <f t="shared" si="18"/>
        <v>-8.4145242314662383E-5</v>
      </c>
      <c r="H418" s="22">
        <v>1</v>
      </c>
      <c r="I418" s="16"/>
    </row>
    <row r="419" spans="1:9">
      <c r="A419" s="19">
        <v>42667</v>
      </c>
      <c r="B419" s="20">
        <v>57.253532</v>
      </c>
      <c r="C419" s="21">
        <v>54067000</v>
      </c>
      <c r="D419" s="23">
        <f t="shared" si="17"/>
        <v>2.2212093319171761E-2</v>
      </c>
      <c r="E419" s="47">
        <v>2151.330078</v>
      </c>
      <c r="F419" s="48">
        <v>3357320000</v>
      </c>
      <c r="G419" s="20">
        <f t="shared" si="18"/>
        <v>4.7385946404059154E-3</v>
      </c>
      <c r="H419" s="22">
        <v>1</v>
      </c>
      <c r="I419" s="16"/>
    </row>
    <row r="420" spans="1:9">
      <c r="A420" s="19">
        <v>42668</v>
      </c>
      <c r="B420" s="20">
        <v>57.244148000000003</v>
      </c>
      <c r="C420" s="21">
        <v>35137200</v>
      </c>
      <c r="D420" s="23">
        <f t="shared" si="17"/>
        <v>-1.6391598538948899E-4</v>
      </c>
      <c r="E420" s="47">
        <v>2143.1599120000001</v>
      </c>
      <c r="F420" s="48">
        <v>3751340000</v>
      </c>
      <c r="G420" s="20">
        <f t="shared" si="18"/>
        <v>-3.8049574576371451E-3</v>
      </c>
      <c r="H420" s="22">
        <v>1</v>
      </c>
      <c r="I420" s="16"/>
    </row>
    <row r="421" spans="1:9">
      <c r="A421" s="19">
        <v>42669</v>
      </c>
      <c r="B421" s="20">
        <v>56.90625</v>
      </c>
      <c r="C421" s="21">
        <v>29911600</v>
      </c>
      <c r="D421" s="23">
        <f t="shared" si="17"/>
        <v>-5.9202419412056869E-3</v>
      </c>
      <c r="E421" s="47">
        <v>2139.429932</v>
      </c>
      <c r="F421" s="48">
        <v>3775200000</v>
      </c>
      <c r="G421" s="20">
        <f t="shared" si="18"/>
        <v>-1.741927702175836E-3</v>
      </c>
      <c r="H421" s="22">
        <v>1</v>
      </c>
      <c r="I421" s="16"/>
    </row>
    <row r="422" spans="1:9">
      <c r="A422" s="19">
        <v>42670</v>
      </c>
      <c r="B422" s="20">
        <v>56.408805999999998</v>
      </c>
      <c r="C422" s="21">
        <v>28479900</v>
      </c>
      <c r="D422" s="23">
        <f t="shared" si="17"/>
        <v>-8.7798958598569749E-3</v>
      </c>
      <c r="E422" s="47">
        <v>2133.040039</v>
      </c>
      <c r="F422" s="48">
        <v>4204830000</v>
      </c>
      <c r="G422" s="20">
        <f t="shared" si="18"/>
        <v>-2.991196103286747E-3</v>
      </c>
      <c r="H422" s="22">
        <v>1</v>
      </c>
      <c r="I422" s="16"/>
    </row>
    <row r="423" spans="1:9">
      <c r="A423" s="19">
        <v>42671</v>
      </c>
      <c r="B423" s="20">
        <v>56.192931999999999</v>
      </c>
      <c r="C423" s="21">
        <v>33574700</v>
      </c>
      <c r="D423" s="23">
        <f t="shared" si="17"/>
        <v>-3.8342972020306947E-3</v>
      </c>
      <c r="E423" s="47">
        <v>2126.4099120000001</v>
      </c>
      <c r="F423" s="48">
        <v>4019510000</v>
      </c>
      <c r="G423" s="20">
        <f t="shared" si="18"/>
        <v>-3.1131401617605554E-3</v>
      </c>
      <c r="H423" s="22">
        <v>1</v>
      </c>
      <c r="I423" s="16"/>
    </row>
    <row r="424" spans="1:9">
      <c r="A424" s="19">
        <v>42674</v>
      </c>
      <c r="B424" s="20">
        <v>56.239860999999998</v>
      </c>
      <c r="C424" s="21">
        <v>26434700</v>
      </c>
      <c r="D424" s="23">
        <f t="shared" si="17"/>
        <v>8.3479208286350241E-4</v>
      </c>
      <c r="E424" s="47">
        <v>2126.1499020000001</v>
      </c>
      <c r="F424" s="48">
        <v>3922400000</v>
      </c>
      <c r="G424" s="20">
        <f t="shared" si="18"/>
        <v>-1.2228399443930542E-4</v>
      </c>
      <c r="H424" s="22">
        <v>1</v>
      </c>
      <c r="I424" s="16"/>
    </row>
    <row r="425" spans="1:9">
      <c r="A425" s="19">
        <v>42675</v>
      </c>
      <c r="B425" s="20">
        <v>56.127234999999999</v>
      </c>
      <c r="C425" s="21">
        <v>24533000</v>
      </c>
      <c r="D425" s="23">
        <f t="shared" si="17"/>
        <v>-2.0046088530261811E-3</v>
      </c>
      <c r="E425" s="47">
        <v>2111.719971</v>
      </c>
      <c r="F425" s="48">
        <v>4532160000</v>
      </c>
      <c r="G425" s="20">
        <f t="shared" si="18"/>
        <v>-6.810018806473475E-3</v>
      </c>
      <c r="H425" s="22">
        <v>1</v>
      </c>
      <c r="I425" s="16"/>
    </row>
    <row r="426" spans="1:9">
      <c r="A426" s="19">
        <v>42676</v>
      </c>
      <c r="B426" s="20">
        <v>55.779957000000003</v>
      </c>
      <c r="C426" s="21">
        <v>22147000</v>
      </c>
      <c r="D426" s="23">
        <f t="shared" si="17"/>
        <v>-6.2065557824073567E-3</v>
      </c>
      <c r="E426" s="47">
        <v>2097.9399410000001</v>
      </c>
      <c r="F426" s="48">
        <v>4248580000</v>
      </c>
      <c r="G426" s="20">
        <f t="shared" si="18"/>
        <v>-6.5468847876808331E-3</v>
      </c>
      <c r="H426" s="22">
        <v>1</v>
      </c>
      <c r="I426" s="16"/>
    </row>
    <row r="427" spans="1:9">
      <c r="A427" s="19">
        <v>42677</v>
      </c>
      <c r="B427" s="20">
        <v>55.573470999999998</v>
      </c>
      <c r="C427" s="21">
        <v>21600400</v>
      </c>
      <c r="D427" s="23">
        <f t="shared" si="17"/>
        <v>-3.7086642123059627E-3</v>
      </c>
      <c r="E427" s="47">
        <v>2088.6599120000001</v>
      </c>
      <c r="F427" s="48">
        <v>3886740000</v>
      </c>
      <c r="G427" s="20">
        <f t="shared" si="18"/>
        <v>-4.4332128813332093E-3</v>
      </c>
      <c r="H427" s="22">
        <v>1</v>
      </c>
      <c r="I427" s="16"/>
    </row>
    <row r="428" spans="1:9">
      <c r="A428" s="19">
        <v>42678</v>
      </c>
      <c r="B428" s="20">
        <v>55.104179000000002</v>
      </c>
      <c r="C428" s="21">
        <v>28697000</v>
      </c>
      <c r="D428" s="23">
        <f t="shared" si="17"/>
        <v>-8.4803898981084726E-3</v>
      </c>
      <c r="E428" s="47">
        <v>2085.179932</v>
      </c>
      <c r="F428" s="48">
        <v>3837860000</v>
      </c>
      <c r="G428" s="20">
        <f t="shared" si="18"/>
        <v>-1.667520046979567E-3</v>
      </c>
      <c r="H428" s="22">
        <v>1</v>
      </c>
      <c r="I428" s="16"/>
    </row>
    <row r="429" spans="1:9">
      <c r="A429" s="19">
        <v>42681</v>
      </c>
      <c r="B429" s="20">
        <v>56.709156</v>
      </c>
      <c r="C429" s="21">
        <v>31664800</v>
      </c>
      <c r="D429" s="23">
        <f t="shared" si="17"/>
        <v>2.8710121975447467E-2</v>
      </c>
      <c r="E429" s="47">
        <v>2131.5200199999999</v>
      </c>
      <c r="F429" s="48">
        <v>3736060000</v>
      </c>
      <c r="G429" s="20">
        <f t="shared" si="18"/>
        <v>2.198019977703114E-2</v>
      </c>
      <c r="H429" s="22">
        <v>1</v>
      </c>
      <c r="I429" s="16"/>
    </row>
    <row r="430" spans="1:9">
      <c r="A430" s="19">
        <v>42682</v>
      </c>
      <c r="B430" s="20">
        <v>56.756084000000001</v>
      </c>
      <c r="C430" s="21">
        <v>22935400</v>
      </c>
      <c r="D430" s="23">
        <f t="shared" si="17"/>
        <v>8.2717848524831671E-4</v>
      </c>
      <c r="E430" s="47">
        <v>2139.5600589999999</v>
      </c>
      <c r="F430" s="48">
        <v>3916930000</v>
      </c>
      <c r="G430" s="20">
        <f t="shared" si="18"/>
        <v>3.7648783671193967E-3</v>
      </c>
      <c r="H430" s="22">
        <v>1</v>
      </c>
      <c r="I430" s="16"/>
    </row>
    <row r="431" spans="1:9">
      <c r="A431" s="19">
        <v>42683</v>
      </c>
      <c r="B431" s="20">
        <v>56.474502999999999</v>
      </c>
      <c r="C431" s="21">
        <v>49632500</v>
      </c>
      <c r="D431" s="23">
        <f t="shared" si="17"/>
        <v>-4.9735957025007051E-3</v>
      </c>
      <c r="E431" s="47">
        <v>2163.26001</v>
      </c>
      <c r="F431" s="48">
        <v>6264150000</v>
      </c>
      <c r="G431" s="20">
        <f t="shared" si="18"/>
        <v>1.1016119798123997E-2</v>
      </c>
      <c r="H431" s="22">
        <v>1</v>
      </c>
      <c r="I431" s="16"/>
    </row>
    <row r="432" spans="1:9">
      <c r="A432" s="19">
        <v>42684</v>
      </c>
      <c r="B432" s="20">
        <v>55.094799000000002</v>
      </c>
      <c r="C432" s="21">
        <v>57822400</v>
      </c>
      <c r="D432" s="23">
        <f t="shared" si="17"/>
        <v>-2.4733942272061361E-2</v>
      </c>
      <c r="E432" s="47">
        <v>2167.4799800000001</v>
      </c>
      <c r="F432" s="48">
        <v>6451640000</v>
      </c>
      <c r="G432" s="20">
        <f t="shared" si="18"/>
        <v>1.948845391487013E-3</v>
      </c>
      <c r="H432" s="22">
        <v>1</v>
      </c>
      <c r="I432" s="16"/>
    </row>
    <row r="433" spans="1:9">
      <c r="A433" s="19">
        <v>42685</v>
      </c>
      <c r="B433" s="20">
        <v>55.395142</v>
      </c>
      <c r="C433" s="21">
        <v>38767800</v>
      </c>
      <c r="D433" s="23">
        <f t="shared" si="17"/>
        <v>5.4365806884573613E-3</v>
      </c>
      <c r="E433" s="47">
        <v>2164.4499510000001</v>
      </c>
      <c r="F433" s="48">
        <v>4988050000</v>
      </c>
      <c r="G433" s="20">
        <f t="shared" si="18"/>
        <v>-1.3989282109407189E-3</v>
      </c>
      <c r="H433" s="22">
        <v>1</v>
      </c>
      <c r="I433" s="16"/>
    </row>
    <row r="434" spans="1:9">
      <c r="A434" s="19">
        <v>42688</v>
      </c>
      <c r="B434" s="20">
        <v>54.550410999999997</v>
      </c>
      <c r="C434" s="21">
        <v>41328400</v>
      </c>
      <c r="D434" s="23">
        <f t="shared" si="17"/>
        <v>-1.5366653754768322E-2</v>
      </c>
      <c r="E434" s="47">
        <v>2164.1999510000001</v>
      </c>
      <c r="F434" s="48">
        <v>5367200000</v>
      </c>
      <c r="G434" s="20">
        <f t="shared" si="18"/>
        <v>-1.1550945719234191E-4</v>
      </c>
      <c r="H434" s="22">
        <v>1</v>
      </c>
      <c r="I434" s="16"/>
    </row>
    <row r="435" spans="1:9">
      <c r="A435" s="19">
        <v>42689</v>
      </c>
      <c r="B435" s="20">
        <v>55.627631999999998</v>
      </c>
      <c r="C435" s="21">
        <v>35904100</v>
      </c>
      <c r="D435" s="23">
        <f t="shared" si="17"/>
        <v>1.9554809598097734E-2</v>
      </c>
      <c r="E435" s="47">
        <v>2180.389893</v>
      </c>
      <c r="F435" s="48">
        <v>4543860000</v>
      </c>
      <c r="G435" s="20">
        <f t="shared" si="18"/>
        <v>7.4529552949928806E-3</v>
      </c>
      <c r="H435" s="22">
        <v>1</v>
      </c>
      <c r="I435" s="16"/>
    </row>
    <row r="436" spans="1:9">
      <c r="A436" s="19">
        <v>42690</v>
      </c>
      <c r="B436" s="20">
        <v>56.364674000000001</v>
      </c>
      <c r="C436" s="21">
        <v>27332500</v>
      </c>
      <c r="D436" s="23">
        <f t="shared" si="17"/>
        <v>1.3162558527800176E-2</v>
      </c>
      <c r="E436" s="47">
        <v>2176.9399410000001</v>
      </c>
      <c r="F436" s="48">
        <v>3830590000</v>
      </c>
      <c r="G436" s="20">
        <f t="shared" si="18"/>
        <v>-1.5835169024771387E-3</v>
      </c>
      <c r="H436" s="22">
        <v>1</v>
      </c>
      <c r="I436" s="16"/>
    </row>
    <row r="437" spans="1:9">
      <c r="A437" s="19">
        <v>42691</v>
      </c>
      <c r="B437" s="20">
        <v>57.300139999999999</v>
      </c>
      <c r="C437" s="21">
        <v>32132700</v>
      </c>
      <c r="D437" s="23">
        <f t="shared" si="17"/>
        <v>1.6460452249956337E-2</v>
      </c>
      <c r="E437" s="47">
        <v>2187.1201169999999</v>
      </c>
      <c r="F437" s="48">
        <v>3809160000</v>
      </c>
      <c r="G437" s="20">
        <f t="shared" si="18"/>
        <v>4.6654694620837109E-3</v>
      </c>
      <c r="H437" s="22">
        <v>1</v>
      </c>
      <c r="I437" s="16"/>
    </row>
    <row r="438" spans="1:9">
      <c r="A438" s="19">
        <v>42692</v>
      </c>
      <c r="B438" s="20">
        <v>57.026114999999997</v>
      </c>
      <c r="C438" s="21">
        <v>27686300</v>
      </c>
      <c r="D438" s="23">
        <f t="shared" si="17"/>
        <v>-4.7937461916815836E-3</v>
      </c>
      <c r="E438" s="47">
        <v>2181.8999020000001</v>
      </c>
      <c r="F438" s="48">
        <v>3572400000</v>
      </c>
      <c r="G438" s="20">
        <f t="shared" si="18"/>
        <v>-2.3896514373653198E-3</v>
      </c>
      <c r="H438" s="22">
        <v>1</v>
      </c>
      <c r="I438" s="16"/>
    </row>
    <row r="439" spans="1:9">
      <c r="A439" s="19">
        <v>42695</v>
      </c>
      <c r="B439" s="20">
        <v>57.508021999999997</v>
      </c>
      <c r="C439" s="21">
        <v>19652600</v>
      </c>
      <c r="D439" s="23">
        <f t="shared" si="17"/>
        <v>8.4151303087385797E-3</v>
      </c>
      <c r="E439" s="47">
        <v>2198.179932</v>
      </c>
      <c r="F439" s="48">
        <v>3607010000</v>
      </c>
      <c r="G439" s="20">
        <f t="shared" si="18"/>
        <v>7.4337023919075753E-3</v>
      </c>
      <c r="H439" s="22">
        <v>1</v>
      </c>
      <c r="I439" s="16"/>
    </row>
    <row r="440" spans="1:9">
      <c r="A440" s="19">
        <v>42696</v>
      </c>
      <c r="B440" s="20">
        <v>57.753695999999998</v>
      </c>
      <c r="C440" s="21">
        <v>23206700</v>
      </c>
      <c r="D440" s="23">
        <f t="shared" si="17"/>
        <v>4.2628962382468055E-3</v>
      </c>
      <c r="E440" s="47">
        <v>2202.9399410000001</v>
      </c>
      <c r="F440" s="48">
        <v>3957940000</v>
      </c>
      <c r="G440" s="20">
        <f t="shared" si="18"/>
        <v>2.1630907556930735E-3</v>
      </c>
      <c r="H440" s="22">
        <v>1</v>
      </c>
      <c r="I440" s="16"/>
    </row>
    <row r="441" spans="1:9">
      <c r="A441" s="19">
        <v>42697</v>
      </c>
      <c r="B441" s="20">
        <v>57.073363999999998</v>
      </c>
      <c r="C441" s="21">
        <v>21848900</v>
      </c>
      <c r="D441" s="23">
        <f t="shared" si="17"/>
        <v>-1.1849819387498198E-2</v>
      </c>
      <c r="E441" s="47">
        <v>2204.719971</v>
      </c>
      <c r="F441" s="48">
        <v>3418640000</v>
      </c>
      <c r="G441" s="20">
        <f t="shared" si="18"/>
        <v>8.0769847597577586E-4</v>
      </c>
      <c r="H441" s="22">
        <v>1</v>
      </c>
      <c r="I441" s="16"/>
    </row>
    <row r="442" spans="1:9">
      <c r="A442" s="19">
        <v>42699</v>
      </c>
      <c r="B442" s="20">
        <v>57.196201000000002</v>
      </c>
      <c r="C442" s="21">
        <v>8409600</v>
      </c>
      <c r="D442" s="23">
        <f t="shared" si="17"/>
        <v>2.1499521296984526E-3</v>
      </c>
      <c r="E442" s="47">
        <v>2213.3500979999999</v>
      </c>
      <c r="F442" s="48">
        <v>1584600000</v>
      </c>
      <c r="G442" s="20">
        <f t="shared" si="18"/>
        <v>3.9067456340769443E-3</v>
      </c>
      <c r="H442" s="22">
        <v>1</v>
      </c>
      <c r="I442" s="16"/>
    </row>
    <row r="443" spans="1:9">
      <c r="A443" s="19">
        <v>42702</v>
      </c>
      <c r="B443" s="20">
        <v>57.271793000000002</v>
      </c>
      <c r="C443" s="21">
        <v>20732600</v>
      </c>
      <c r="D443" s="23">
        <f t="shared" si="17"/>
        <v>1.3207536595512359E-3</v>
      </c>
      <c r="E443" s="47">
        <v>2201.719971</v>
      </c>
      <c r="F443" s="48">
        <v>3505650000</v>
      </c>
      <c r="G443" s="20">
        <f t="shared" si="18"/>
        <v>-5.2683892752049318E-3</v>
      </c>
      <c r="H443" s="22">
        <v>1</v>
      </c>
      <c r="I443" s="16"/>
    </row>
    <row r="444" spans="1:9">
      <c r="A444" s="19">
        <v>42703</v>
      </c>
      <c r="B444" s="20">
        <v>57.725357000000002</v>
      </c>
      <c r="C444" s="21">
        <v>22366700</v>
      </c>
      <c r="D444" s="23">
        <f t="shared" si="17"/>
        <v>7.8883059611460603E-3</v>
      </c>
      <c r="E444" s="47">
        <v>2204.6599120000001</v>
      </c>
      <c r="F444" s="48">
        <v>3706560000</v>
      </c>
      <c r="G444" s="20">
        <f t="shared" si="18"/>
        <v>1.3344021688134898E-3</v>
      </c>
      <c r="H444" s="22">
        <v>1</v>
      </c>
      <c r="I444" s="16"/>
    </row>
    <row r="445" spans="1:9">
      <c r="A445" s="19">
        <v>42704</v>
      </c>
      <c r="B445" s="20">
        <v>56.941071000000001</v>
      </c>
      <c r="C445" s="21">
        <v>34655400</v>
      </c>
      <c r="D445" s="23">
        <f t="shared" si="17"/>
        <v>-1.3679648770969496E-2</v>
      </c>
      <c r="E445" s="47">
        <v>2198.8100589999999</v>
      </c>
      <c r="F445" s="48">
        <v>5533980000</v>
      </c>
      <c r="G445" s="20">
        <f t="shared" si="18"/>
        <v>-2.6569303207866061E-3</v>
      </c>
      <c r="H445" s="22">
        <v>1</v>
      </c>
      <c r="I445" s="16"/>
    </row>
    <row r="446" spans="1:9">
      <c r="A446" s="19">
        <v>42705</v>
      </c>
      <c r="B446" s="20">
        <v>55.939449000000003</v>
      </c>
      <c r="C446" s="21">
        <v>34542100</v>
      </c>
      <c r="D446" s="23">
        <f t="shared" si="17"/>
        <v>-1.7747053059727808E-2</v>
      </c>
      <c r="E446" s="47">
        <v>2191.080078</v>
      </c>
      <c r="F446" s="48">
        <v>5063740000</v>
      </c>
      <c r="G446" s="20">
        <f t="shared" si="18"/>
        <v>-3.5217232085723734E-3</v>
      </c>
      <c r="H446" s="22">
        <v>1</v>
      </c>
      <c r="I446" s="16"/>
    </row>
    <row r="447" spans="1:9">
      <c r="A447" s="19">
        <v>42706</v>
      </c>
      <c r="B447" s="20">
        <v>55.986697999999997</v>
      </c>
      <c r="C447" s="21">
        <v>25515700</v>
      </c>
      <c r="D447" s="23">
        <f t="shared" si="17"/>
        <v>8.4428891859689701E-4</v>
      </c>
      <c r="E447" s="47">
        <v>2191.9499510000001</v>
      </c>
      <c r="F447" s="48">
        <v>3779500000</v>
      </c>
      <c r="G447" s="20">
        <f t="shared" si="18"/>
        <v>3.9692769872242176E-4</v>
      </c>
      <c r="H447" s="22">
        <v>1</v>
      </c>
      <c r="I447" s="16"/>
    </row>
    <row r="448" spans="1:9">
      <c r="A448" s="19">
        <v>42709</v>
      </c>
      <c r="B448" s="20">
        <v>56.903275000000001</v>
      </c>
      <c r="C448" s="21">
        <v>23552700</v>
      </c>
      <c r="D448" s="23">
        <f t="shared" si="17"/>
        <v>1.6238769788901021E-2</v>
      </c>
      <c r="E448" s="47">
        <v>2204.709961</v>
      </c>
      <c r="F448" s="48">
        <v>3895230000</v>
      </c>
      <c r="G448" s="20">
        <f t="shared" si="18"/>
        <v>5.8044270335040676E-3</v>
      </c>
      <c r="H448" s="22">
        <v>1</v>
      </c>
      <c r="I448" s="16"/>
    </row>
    <row r="449" spans="1:9">
      <c r="A449" s="19">
        <v>42710</v>
      </c>
      <c r="B449" s="20">
        <v>56.648147999999999</v>
      </c>
      <c r="C449" s="21">
        <v>19907000</v>
      </c>
      <c r="D449" s="23">
        <f t="shared" si="17"/>
        <v>-4.4936016222929835E-3</v>
      </c>
      <c r="E449" s="47">
        <v>2212.2299800000001</v>
      </c>
      <c r="F449" s="48">
        <v>3855320000</v>
      </c>
      <c r="G449" s="20">
        <f t="shared" si="18"/>
        <v>3.4050842286357528E-3</v>
      </c>
      <c r="H449" s="22">
        <v>1</v>
      </c>
      <c r="I449" s="16"/>
    </row>
    <row r="450" spans="1:9">
      <c r="A450" s="19">
        <v>42711</v>
      </c>
      <c r="B450" s="20">
        <v>57.989936999999998</v>
      </c>
      <c r="C450" s="21">
        <v>30809000</v>
      </c>
      <c r="D450" s="23">
        <f t="shared" si="17"/>
        <v>2.3410200522157924E-2</v>
      </c>
      <c r="E450" s="47">
        <v>2241.3500979999999</v>
      </c>
      <c r="F450" s="48">
        <v>4501820000</v>
      </c>
      <c r="G450" s="20">
        <f t="shared" si="18"/>
        <v>1.3077359109980912E-2</v>
      </c>
      <c r="H450" s="22">
        <v>1</v>
      </c>
      <c r="I450" s="16"/>
    </row>
    <row r="451" spans="1:9">
      <c r="A451" s="19">
        <v>42712</v>
      </c>
      <c r="B451" s="20">
        <v>57.649757000000001</v>
      </c>
      <c r="C451" s="21">
        <v>21220800</v>
      </c>
      <c r="D451" s="23">
        <f t="shared" ref="D451:D514" si="19">LN(B451/B450)</f>
        <v>-5.8834638784353785E-3</v>
      </c>
      <c r="E451" s="47">
        <v>2246.1899410000001</v>
      </c>
      <c r="F451" s="48">
        <v>4200580000</v>
      </c>
      <c r="G451" s="20">
        <f t="shared" ref="G451:G514" si="20">LN(E451/E450)</f>
        <v>2.1570146826418611E-3</v>
      </c>
      <c r="H451" s="22">
        <v>1</v>
      </c>
      <c r="I451" s="16"/>
    </row>
    <row r="452" spans="1:9">
      <c r="A452" s="19">
        <v>42713</v>
      </c>
      <c r="B452" s="20">
        <v>58.556896000000002</v>
      </c>
      <c r="C452" s="21">
        <v>27349400</v>
      </c>
      <c r="D452" s="23">
        <f t="shared" si="19"/>
        <v>1.5612831168618254E-2</v>
      </c>
      <c r="E452" s="47">
        <v>2259.530029</v>
      </c>
      <c r="F452" s="48">
        <v>3884480000</v>
      </c>
      <c r="G452" s="20">
        <f t="shared" si="20"/>
        <v>5.9214185824436353E-3</v>
      </c>
      <c r="H452" s="22">
        <v>1</v>
      </c>
      <c r="I452" s="16"/>
    </row>
    <row r="453" spans="1:9">
      <c r="A453" s="19">
        <v>42716</v>
      </c>
      <c r="B453" s="20">
        <v>58.745871999999999</v>
      </c>
      <c r="C453" s="21">
        <v>20198100</v>
      </c>
      <c r="D453" s="23">
        <f t="shared" si="19"/>
        <v>3.2220239421265058E-3</v>
      </c>
      <c r="E453" s="47">
        <v>2256.959961</v>
      </c>
      <c r="F453" s="48">
        <v>4034510000</v>
      </c>
      <c r="G453" s="20">
        <f t="shared" si="20"/>
        <v>-1.1380821315193454E-3</v>
      </c>
      <c r="H453" s="22">
        <v>1</v>
      </c>
      <c r="I453" s="16"/>
    </row>
    <row r="454" spans="1:9">
      <c r="A454" s="19">
        <v>42717</v>
      </c>
      <c r="B454" s="20">
        <v>59.511260999999998</v>
      </c>
      <c r="C454" s="21">
        <v>35718900</v>
      </c>
      <c r="D454" s="23">
        <f t="shared" si="19"/>
        <v>1.294466842241331E-2</v>
      </c>
      <c r="E454" s="47">
        <v>2271.719971</v>
      </c>
      <c r="F454" s="48">
        <v>3857590000</v>
      </c>
      <c r="G454" s="20">
        <f t="shared" si="20"/>
        <v>6.5184833042276425E-3</v>
      </c>
      <c r="H454" s="22">
        <v>1</v>
      </c>
      <c r="I454" s="16"/>
    </row>
    <row r="455" spans="1:9">
      <c r="A455" s="19">
        <v>42718</v>
      </c>
      <c r="B455" s="20">
        <v>59.227783000000002</v>
      </c>
      <c r="C455" s="21">
        <v>30352700</v>
      </c>
      <c r="D455" s="23">
        <f t="shared" si="19"/>
        <v>-4.7748159161737393E-3</v>
      </c>
      <c r="E455" s="47">
        <v>2253.280029</v>
      </c>
      <c r="F455" s="48">
        <v>4406970000</v>
      </c>
      <c r="G455" s="20">
        <f t="shared" si="20"/>
        <v>-8.1502957242938472E-3</v>
      </c>
      <c r="H455" s="22">
        <v>1</v>
      </c>
      <c r="I455" s="16"/>
    </row>
    <row r="456" spans="1:9">
      <c r="A456" s="19">
        <v>42719</v>
      </c>
      <c r="B456" s="20">
        <v>59.133288999999998</v>
      </c>
      <c r="C456" s="21">
        <v>27669900</v>
      </c>
      <c r="D456" s="23">
        <f t="shared" si="19"/>
        <v>-1.596707743164903E-3</v>
      </c>
      <c r="E456" s="47">
        <v>2262.030029</v>
      </c>
      <c r="F456" s="48">
        <v>4168200000</v>
      </c>
      <c r="G456" s="20">
        <f t="shared" si="20"/>
        <v>3.8757076880631845E-3</v>
      </c>
      <c r="H456" s="22">
        <v>1</v>
      </c>
      <c r="I456" s="16"/>
    </row>
    <row r="457" spans="1:9">
      <c r="A457" s="19">
        <v>42720</v>
      </c>
      <c r="B457" s="20">
        <v>58.86871</v>
      </c>
      <c r="C457" s="21">
        <v>42453100</v>
      </c>
      <c r="D457" s="23">
        <f t="shared" si="19"/>
        <v>-4.4843213778294156E-3</v>
      </c>
      <c r="E457" s="47">
        <v>2258.070068</v>
      </c>
      <c r="F457" s="48">
        <v>5920340000</v>
      </c>
      <c r="G457" s="20">
        <f t="shared" si="20"/>
        <v>-1.7521567788889247E-3</v>
      </c>
      <c r="H457" s="22">
        <v>1</v>
      </c>
      <c r="I457" s="16"/>
    </row>
    <row r="458" spans="1:9">
      <c r="A458" s="19">
        <v>42723</v>
      </c>
      <c r="B458" s="20">
        <v>60.116005000000001</v>
      </c>
      <c r="C458" s="21">
        <v>34338200</v>
      </c>
      <c r="D458" s="23">
        <f t="shared" si="19"/>
        <v>2.096640213326981E-2</v>
      </c>
      <c r="E458" s="47">
        <v>2262.530029</v>
      </c>
      <c r="F458" s="48">
        <v>3248370000</v>
      </c>
      <c r="G458" s="20">
        <f t="shared" si="20"/>
        <v>1.9731727431487977E-3</v>
      </c>
      <c r="H458" s="22">
        <v>1</v>
      </c>
      <c r="I458" s="16"/>
    </row>
    <row r="459" spans="1:9">
      <c r="A459" s="19">
        <v>42724</v>
      </c>
      <c r="B459" s="20">
        <v>60.040416999999998</v>
      </c>
      <c r="C459" s="21">
        <v>26028400</v>
      </c>
      <c r="D459" s="23">
        <f t="shared" si="19"/>
        <v>-1.258160133481834E-3</v>
      </c>
      <c r="E459" s="47">
        <v>2270.76001</v>
      </c>
      <c r="F459" s="48">
        <v>3298780000</v>
      </c>
      <c r="G459" s="20">
        <f t="shared" si="20"/>
        <v>3.6309126355809252E-3</v>
      </c>
      <c r="H459" s="22">
        <v>1</v>
      </c>
      <c r="I459" s="16"/>
    </row>
    <row r="460" spans="1:9">
      <c r="A460" s="19">
        <v>42725</v>
      </c>
      <c r="B460" s="20">
        <v>60.040416999999998</v>
      </c>
      <c r="C460" s="21">
        <v>17096300</v>
      </c>
      <c r="D460" s="23">
        <f t="shared" si="19"/>
        <v>0</v>
      </c>
      <c r="E460" s="47">
        <v>2265.179932</v>
      </c>
      <c r="F460" s="48">
        <v>2852230000</v>
      </c>
      <c r="G460" s="20">
        <f t="shared" si="20"/>
        <v>-2.4603856692401176E-3</v>
      </c>
      <c r="H460" s="22">
        <v>1</v>
      </c>
      <c r="I460" s="16"/>
    </row>
    <row r="461" spans="1:9">
      <c r="A461" s="19">
        <v>42726</v>
      </c>
      <c r="B461" s="20">
        <v>60.049877000000002</v>
      </c>
      <c r="C461" s="21">
        <v>22176600</v>
      </c>
      <c r="D461" s="23">
        <f t="shared" si="19"/>
        <v>1.5754811991009003E-4</v>
      </c>
      <c r="E461" s="47">
        <v>2260.959961</v>
      </c>
      <c r="F461" s="48">
        <v>2876320000</v>
      </c>
      <c r="G461" s="20">
        <f t="shared" si="20"/>
        <v>-1.8647113534051916E-3</v>
      </c>
      <c r="H461" s="22">
        <v>1</v>
      </c>
      <c r="I461" s="16"/>
    </row>
    <row r="462" spans="1:9">
      <c r="A462" s="19">
        <v>42727</v>
      </c>
      <c r="B462" s="20">
        <v>59.756943</v>
      </c>
      <c r="C462" s="21">
        <v>12403800</v>
      </c>
      <c r="D462" s="23">
        <f t="shared" si="19"/>
        <v>-4.8901153331598751E-3</v>
      </c>
      <c r="E462" s="47">
        <v>2263.790039</v>
      </c>
      <c r="F462" s="48">
        <v>2020550000</v>
      </c>
      <c r="G462" s="20">
        <f t="shared" si="20"/>
        <v>1.2509324798275364E-3</v>
      </c>
      <c r="H462" s="22">
        <v>1</v>
      </c>
      <c r="I462" s="16"/>
    </row>
    <row r="463" spans="1:9">
      <c r="A463" s="19">
        <v>42731</v>
      </c>
      <c r="B463" s="20">
        <v>59.794735000000003</v>
      </c>
      <c r="C463" s="21">
        <v>11763200</v>
      </c>
      <c r="D463" s="23">
        <f t="shared" si="19"/>
        <v>6.3222870462476108E-4</v>
      </c>
      <c r="E463" s="47">
        <v>2268.8798830000001</v>
      </c>
      <c r="F463" s="48">
        <v>1987080000</v>
      </c>
      <c r="G463" s="20">
        <f t="shared" si="20"/>
        <v>2.2458490147972553E-3</v>
      </c>
      <c r="H463" s="22">
        <v>1</v>
      </c>
      <c r="I463" s="16"/>
    </row>
    <row r="464" spans="1:9">
      <c r="A464" s="19">
        <v>42732</v>
      </c>
      <c r="B464" s="20">
        <v>59.520710000000001</v>
      </c>
      <c r="C464" s="21">
        <v>14653300</v>
      </c>
      <c r="D464" s="23">
        <f t="shared" si="19"/>
        <v>-4.5932943851405188E-3</v>
      </c>
      <c r="E464" s="47">
        <v>2249.919922</v>
      </c>
      <c r="F464" s="48">
        <v>2392360000</v>
      </c>
      <c r="G464" s="20">
        <f t="shared" si="20"/>
        <v>-8.3916407368539048E-3</v>
      </c>
      <c r="H464" s="22">
        <v>1</v>
      </c>
      <c r="I464" s="16"/>
    </row>
    <row r="465" spans="1:9">
      <c r="A465" s="19">
        <v>42733</v>
      </c>
      <c r="B465" s="20">
        <v>59.435673000000001</v>
      </c>
      <c r="C465" s="21">
        <v>10250600</v>
      </c>
      <c r="D465" s="23">
        <f t="shared" si="19"/>
        <v>-1.4297175542953779E-3</v>
      </c>
      <c r="E465" s="47">
        <v>2249.26001</v>
      </c>
      <c r="F465" s="48">
        <v>2336370000</v>
      </c>
      <c r="G465" s="20">
        <f t="shared" si="20"/>
        <v>-2.9334768322500485E-4</v>
      </c>
      <c r="H465" s="22">
        <v>1</v>
      </c>
      <c r="I465" s="16"/>
    </row>
    <row r="466" spans="1:9">
      <c r="A466" s="19">
        <v>42734</v>
      </c>
      <c r="B466" s="20">
        <v>58.717522000000002</v>
      </c>
      <c r="C466" s="21">
        <v>25579900</v>
      </c>
      <c r="D466" s="23">
        <f t="shared" si="19"/>
        <v>-1.2156418519510815E-2</v>
      </c>
      <c r="E466" s="47">
        <v>2238.830078</v>
      </c>
      <c r="F466" s="48">
        <v>2670900000</v>
      </c>
      <c r="G466" s="20">
        <f t="shared" si="20"/>
        <v>-4.6478348568878983E-3</v>
      </c>
      <c r="H466" s="22">
        <v>1</v>
      </c>
      <c r="I466" s="16"/>
    </row>
    <row r="467" spans="1:9">
      <c r="A467" s="19">
        <v>42738</v>
      </c>
      <c r="B467" s="20">
        <v>59.133288999999998</v>
      </c>
      <c r="C467" s="21">
        <v>20694100</v>
      </c>
      <c r="D467" s="23">
        <f t="shared" si="19"/>
        <v>7.0558483456131804E-3</v>
      </c>
      <c r="E467" s="47">
        <v>2257.830078</v>
      </c>
      <c r="F467" s="48">
        <v>3770530000</v>
      </c>
      <c r="G467" s="20">
        <f t="shared" si="20"/>
        <v>8.4507667536269683E-3</v>
      </c>
      <c r="H467" s="22">
        <v>1</v>
      </c>
      <c r="I467" s="16"/>
    </row>
    <row r="468" spans="1:9">
      <c r="A468" s="19">
        <v>42739</v>
      </c>
      <c r="B468" s="20">
        <v>58.86871</v>
      </c>
      <c r="C468" s="21">
        <v>21340000</v>
      </c>
      <c r="D468" s="23">
        <f t="shared" si="19"/>
        <v>-4.4843213778294156E-3</v>
      </c>
      <c r="E468" s="47">
        <v>2270.75</v>
      </c>
      <c r="F468" s="48">
        <v>3764890000</v>
      </c>
      <c r="G468" s="20">
        <f t="shared" si="20"/>
        <v>5.70596382591232E-3</v>
      </c>
      <c r="H468" s="22">
        <v>1</v>
      </c>
      <c r="I468" s="16"/>
    </row>
    <row r="469" spans="1:9">
      <c r="A469" s="19">
        <v>42740</v>
      </c>
      <c r="B469" s="20">
        <v>58.86871</v>
      </c>
      <c r="C469" s="21">
        <v>24876000</v>
      </c>
      <c r="D469" s="23">
        <f t="shared" si="19"/>
        <v>0</v>
      </c>
      <c r="E469" s="47">
        <v>2269</v>
      </c>
      <c r="F469" s="48">
        <v>3761820000</v>
      </c>
      <c r="G469" s="20">
        <f t="shared" si="20"/>
        <v>-7.7096760248118474E-4</v>
      </c>
      <c r="H469" s="22">
        <v>1</v>
      </c>
      <c r="I469" s="16"/>
    </row>
    <row r="470" spans="1:9">
      <c r="A470" s="19">
        <v>42741</v>
      </c>
      <c r="B470" s="20">
        <v>59.378971</v>
      </c>
      <c r="C470" s="21">
        <v>19922900</v>
      </c>
      <c r="D470" s="23">
        <f t="shared" si="19"/>
        <v>8.630430007330072E-3</v>
      </c>
      <c r="E470" s="47">
        <v>2276.9799800000001</v>
      </c>
      <c r="F470" s="48">
        <v>3339890000</v>
      </c>
      <c r="G470" s="20">
        <f t="shared" si="20"/>
        <v>3.5107889747143313E-3</v>
      </c>
      <c r="H470" s="22">
        <v>1</v>
      </c>
      <c r="I470" s="16"/>
    </row>
    <row r="471" spans="1:9">
      <c r="A471" s="19">
        <v>42744</v>
      </c>
      <c r="B471" s="20">
        <v>59.189987000000002</v>
      </c>
      <c r="C471" s="21">
        <v>20382700</v>
      </c>
      <c r="D471" s="23">
        <f t="shared" si="19"/>
        <v>-3.187751047522734E-3</v>
      </c>
      <c r="E471" s="47">
        <v>2268.8999020000001</v>
      </c>
      <c r="F471" s="48">
        <v>3217610000</v>
      </c>
      <c r="G471" s="20">
        <f t="shared" si="20"/>
        <v>-3.5549054171999466E-3</v>
      </c>
      <c r="H471" s="22">
        <v>1</v>
      </c>
      <c r="I471" s="16"/>
    </row>
    <row r="472" spans="1:9">
      <c r="A472" s="19">
        <v>42745</v>
      </c>
      <c r="B472" s="20">
        <v>59.171084999999998</v>
      </c>
      <c r="C472" s="21">
        <v>18593000</v>
      </c>
      <c r="D472" s="23">
        <f t="shared" si="19"/>
        <v>-3.1939555533410394E-4</v>
      </c>
      <c r="E472" s="47">
        <v>2268.8999020000001</v>
      </c>
      <c r="F472" s="48">
        <v>3638790000</v>
      </c>
      <c r="G472" s="20">
        <f t="shared" si="20"/>
        <v>0</v>
      </c>
      <c r="H472" s="22">
        <v>1</v>
      </c>
      <c r="I472" s="16"/>
    </row>
    <row r="473" spans="1:9">
      <c r="A473" s="19">
        <v>42746</v>
      </c>
      <c r="B473" s="20">
        <v>59.709685999999998</v>
      </c>
      <c r="C473" s="21">
        <v>21517300</v>
      </c>
      <c r="D473" s="23">
        <f t="shared" si="19"/>
        <v>9.0612582788648123E-3</v>
      </c>
      <c r="E473" s="47">
        <v>2275.320068</v>
      </c>
      <c r="F473" s="48">
        <v>3620410000</v>
      </c>
      <c r="G473" s="20">
        <f t="shared" si="20"/>
        <v>2.825642382662228E-3</v>
      </c>
      <c r="H473" s="22">
        <v>1</v>
      </c>
      <c r="I473" s="16"/>
    </row>
    <row r="474" spans="1:9">
      <c r="A474" s="19">
        <v>42747</v>
      </c>
      <c r="B474" s="20">
        <v>59.161636000000001</v>
      </c>
      <c r="C474" s="21">
        <v>20968200</v>
      </c>
      <c r="D474" s="23">
        <f t="shared" si="19"/>
        <v>-9.2209605140577203E-3</v>
      </c>
      <c r="E474" s="47">
        <v>2270.4399410000001</v>
      </c>
      <c r="F474" s="48">
        <v>3462130000</v>
      </c>
      <c r="G474" s="20">
        <f t="shared" si="20"/>
        <v>-2.1471124147148762E-3</v>
      </c>
      <c r="H474" s="22">
        <v>1</v>
      </c>
      <c r="I474" s="16"/>
    </row>
    <row r="475" spans="1:9">
      <c r="A475" s="19">
        <v>42748</v>
      </c>
      <c r="B475" s="20">
        <v>59.246684999999999</v>
      </c>
      <c r="C475" s="21">
        <v>19422300</v>
      </c>
      <c r="D475" s="23">
        <f t="shared" si="19"/>
        <v>1.436537802539763E-3</v>
      </c>
      <c r="E475" s="47">
        <v>2274.639893</v>
      </c>
      <c r="F475" s="48">
        <v>3081270000</v>
      </c>
      <c r="G475" s="20">
        <f t="shared" si="20"/>
        <v>1.8481317595456588E-3</v>
      </c>
      <c r="H475" s="22">
        <v>1</v>
      </c>
      <c r="I475" s="16"/>
    </row>
    <row r="476" spans="1:9">
      <c r="A476" s="19">
        <v>42752</v>
      </c>
      <c r="B476" s="20">
        <v>59.086044000000001</v>
      </c>
      <c r="C476" s="21">
        <v>20664000</v>
      </c>
      <c r="D476" s="23">
        <f t="shared" si="19"/>
        <v>-2.7150746887982611E-3</v>
      </c>
      <c r="E476" s="47">
        <v>2267.889893</v>
      </c>
      <c r="F476" s="48">
        <v>3584990000</v>
      </c>
      <c r="G476" s="20">
        <f t="shared" si="20"/>
        <v>-2.9719144556663584E-3</v>
      </c>
      <c r="H476" s="22">
        <v>1</v>
      </c>
      <c r="I476" s="16"/>
    </row>
    <row r="477" spans="1:9">
      <c r="A477" s="19">
        <v>42753</v>
      </c>
      <c r="B477" s="20">
        <v>59.057696999999997</v>
      </c>
      <c r="C477" s="21">
        <v>19670100</v>
      </c>
      <c r="D477" s="23">
        <f t="shared" si="19"/>
        <v>-4.7987308179068324E-4</v>
      </c>
      <c r="E477" s="47">
        <v>2271.889893</v>
      </c>
      <c r="F477" s="48">
        <v>3315250000</v>
      </c>
      <c r="G477" s="20">
        <f t="shared" si="20"/>
        <v>1.7622004694819377E-3</v>
      </c>
      <c r="H477" s="22">
        <v>1</v>
      </c>
      <c r="I477" s="16"/>
    </row>
    <row r="478" spans="1:9">
      <c r="A478" s="19">
        <v>42754</v>
      </c>
      <c r="B478" s="20">
        <v>58.86871</v>
      </c>
      <c r="C478" s="21">
        <v>18451700</v>
      </c>
      <c r="D478" s="23">
        <f t="shared" si="19"/>
        <v>-3.2051712012308789E-3</v>
      </c>
      <c r="E478" s="47">
        <v>2263.6899410000001</v>
      </c>
      <c r="F478" s="48">
        <v>3165970000</v>
      </c>
      <c r="G478" s="20">
        <f t="shared" si="20"/>
        <v>-3.6158379894762971E-3</v>
      </c>
      <c r="H478" s="22">
        <v>1</v>
      </c>
      <c r="I478" s="16"/>
    </row>
    <row r="479" spans="1:9">
      <c r="A479" s="19">
        <v>42755</v>
      </c>
      <c r="B479" s="20">
        <v>59.284477000000003</v>
      </c>
      <c r="C479" s="21">
        <v>30213500</v>
      </c>
      <c r="D479" s="23">
        <f t="shared" si="19"/>
        <v>7.0377909669801257E-3</v>
      </c>
      <c r="E479" s="47">
        <v>2271.3100589999999</v>
      </c>
      <c r="F479" s="48">
        <v>3524970000</v>
      </c>
      <c r="G479" s="20">
        <f t="shared" si="20"/>
        <v>3.360584419625029E-3</v>
      </c>
      <c r="H479" s="22">
        <v>1</v>
      </c>
      <c r="I479" s="16"/>
    </row>
    <row r="480" spans="1:9">
      <c r="A480" s="19">
        <v>42758</v>
      </c>
      <c r="B480" s="20">
        <v>59.492367000000002</v>
      </c>
      <c r="C480" s="21">
        <v>23097600</v>
      </c>
      <c r="D480" s="23">
        <f t="shared" si="19"/>
        <v>3.5005175298943986E-3</v>
      </c>
      <c r="E480" s="47">
        <v>2265.1999510000001</v>
      </c>
      <c r="F480" s="48">
        <v>3152710000</v>
      </c>
      <c r="G480" s="20">
        <f t="shared" si="20"/>
        <v>-2.6937499008075371E-3</v>
      </c>
      <c r="H480" s="22">
        <v>1</v>
      </c>
      <c r="I480" s="16"/>
    </row>
    <row r="481" spans="1:9">
      <c r="A481" s="19">
        <v>42759</v>
      </c>
      <c r="B481" s="20">
        <v>60.021526000000001</v>
      </c>
      <c r="C481" s="21">
        <v>24672900</v>
      </c>
      <c r="D481" s="23">
        <f t="shared" si="19"/>
        <v>8.855245939413052E-3</v>
      </c>
      <c r="E481" s="47">
        <v>2280.070068</v>
      </c>
      <c r="F481" s="48">
        <v>3810960000</v>
      </c>
      <c r="G481" s="20">
        <f t="shared" si="20"/>
        <v>6.5431404472227183E-3</v>
      </c>
      <c r="H481" s="22">
        <v>1</v>
      </c>
      <c r="I481" s="16"/>
    </row>
    <row r="482" spans="1:9">
      <c r="A482" s="19">
        <v>42760</v>
      </c>
      <c r="B482" s="20">
        <v>60.172702999999998</v>
      </c>
      <c r="C482" s="21">
        <v>23672700</v>
      </c>
      <c r="D482" s="23">
        <f t="shared" si="19"/>
        <v>2.5155463948327013E-3</v>
      </c>
      <c r="E482" s="47">
        <v>2298.3701169999999</v>
      </c>
      <c r="F482" s="48">
        <v>3846020000</v>
      </c>
      <c r="G482" s="20">
        <f t="shared" si="20"/>
        <v>7.9940528720048743E-3</v>
      </c>
      <c r="H482" s="22">
        <v>1</v>
      </c>
      <c r="I482" s="16"/>
    </row>
    <row r="483" spans="1:9">
      <c r="A483" s="19">
        <v>42761</v>
      </c>
      <c r="B483" s="20">
        <v>60.730209000000002</v>
      </c>
      <c r="C483" s="21">
        <v>43554600</v>
      </c>
      <c r="D483" s="23">
        <f t="shared" si="19"/>
        <v>9.2224404235437662E-3</v>
      </c>
      <c r="E483" s="47">
        <v>2296.679932</v>
      </c>
      <c r="F483" s="48">
        <v>3610360000</v>
      </c>
      <c r="G483" s="20">
        <f t="shared" si="20"/>
        <v>-7.3565469720765909E-4</v>
      </c>
      <c r="H483" s="22">
        <v>1</v>
      </c>
      <c r="I483" s="16"/>
    </row>
    <row r="484" spans="1:9">
      <c r="A484" s="19">
        <v>42762</v>
      </c>
      <c r="B484" s="20">
        <v>62.157043000000002</v>
      </c>
      <c r="C484" s="21">
        <v>44818000</v>
      </c>
      <c r="D484" s="23">
        <f t="shared" si="19"/>
        <v>2.3222882777023501E-2</v>
      </c>
      <c r="E484" s="47">
        <v>2294.6899410000001</v>
      </c>
      <c r="F484" s="48">
        <v>3135890000</v>
      </c>
      <c r="G484" s="20">
        <f t="shared" si="20"/>
        <v>-8.668398232565737E-4</v>
      </c>
      <c r="H484" s="22">
        <v>1</v>
      </c>
      <c r="I484" s="16"/>
    </row>
    <row r="485" spans="1:9">
      <c r="A485" s="19">
        <v>42765</v>
      </c>
      <c r="B485" s="20">
        <v>61.542834999999997</v>
      </c>
      <c r="C485" s="21">
        <v>31651400</v>
      </c>
      <c r="D485" s="23">
        <f t="shared" si="19"/>
        <v>-9.9306977116690263E-3</v>
      </c>
      <c r="E485" s="47">
        <v>2280.8999020000001</v>
      </c>
      <c r="F485" s="48">
        <v>3591270000</v>
      </c>
      <c r="G485" s="20">
        <f t="shared" si="20"/>
        <v>-6.0276734697655744E-3</v>
      </c>
      <c r="H485" s="22">
        <v>1</v>
      </c>
      <c r="I485" s="16"/>
    </row>
    <row r="486" spans="1:9">
      <c r="A486" s="19">
        <v>42766</v>
      </c>
      <c r="B486" s="20">
        <v>61.089278999999998</v>
      </c>
      <c r="C486" s="21">
        <v>25270500</v>
      </c>
      <c r="D486" s="23">
        <f t="shared" si="19"/>
        <v>-7.3970520980604342E-3</v>
      </c>
      <c r="E486" s="47">
        <v>2278.8701169999999</v>
      </c>
      <c r="F486" s="48">
        <v>4087450000</v>
      </c>
      <c r="G486" s="20">
        <f t="shared" si="20"/>
        <v>-8.9030153960211638E-4</v>
      </c>
      <c r="H486" s="22">
        <v>1</v>
      </c>
      <c r="I486" s="16"/>
    </row>
    <row r="487" spans="1:9">
      <c r="A487" s="19">
        <v>42767</v>
      </c>
      <c r="B487" s="20">
        <v>60.078220000000002</v>
      </c>
      <c r="C487" s="21">
        <v>39671500</v>
      </c>
      <c r="D487" s="23">
        <f t="shared" si="19"/>
        <v>-1.6689004479861578E-2</v>
      </c>
      <c r="E487" s="47">
        <v>2279.5500489999999</v>
      </c>
      <c r="F487" s="48">
        <v>3916610000</v>
      </c>
      <c r="G487" s="20">
        <f t="shared" si="20"/>
        <v>2.9831914579263465E-4</v>
      </c>
      <c r="H487" s="22">
        <v>1</v>
      </c>
      <c r="I487" s="16"/>
    </row>
    <row r="488" spans="1:9">
      <c r="A488" s="19">
        <v>42768</v>
      </c>
      <c r="B488" s="20">
        <v>59.690787999999998</v>
      </c>
      <c r="C488" s="21">
        <v>45827000</v>
      </c>
      <c r="D488" s="23">
        <f t="shared" si="19"/>
        <v>-6.4696762184890729E-3</v>
      </c>
      <c r="E488" s="47">
        <v>2280.8500979999999</v>
      </c>
      <c r="F488" s="48">
        <v>3807710000</v>
      </c>
      <c r="G488" s="20">
        <f t="shared" si="20"/>
        <v>5.7014691400356185E-4</v>
      </c>
      <c r="H488" s="22">
        <v>1</v>
      </c>
      <c r="I488" s="16"/>
    </row>
    <row r="489" spans="1:9">
      <c r="A489" s="19">
        <v>42769</v>
      </c>
      <c r="B489" s="20">
        <v>60.172702999999998</v>
      </c>
      <c r="C489" s="21">
        <v>30301800</v>
      </c>
      <c r="D489" s="23">
        <f t="shared" si="19"/>
        <v>8.0411073075126009E-3</v>
      </c>
      <c r="E489" s="47">
        <v>2297.419922</v>
      </c>
      <c r="F489" s="48">
        <v>3597970000</v>
      </c>
      <c r="G489" s="20">
        <f t="shared" si="20"/>
        <v>7.23849675825126E-3</v>
      </c>
      <c r="H489" s="22">
        <v>1</v>
      </c>
      <c r="I489" s="16"/>
    </row>
    <row r="490" spans="1:9">
      <c r="A490" s="19">
        <v>42772</v>
      </c>
      <c r="B490" s="20">
        <v>60.134906999999998</v>
      </c>
      <c r="C490" s="21">
        <v>19796400</v>
      </c>
      <c r="D490" s="23">
        <f t="shared" si="19"/>
        <v>-6.2832270117336238E-4</v>
      </c>
      <c r="E490" s="47">
        <v>2292.5600589999999</v>
      </c>
      <c r="F490" s="48">
        <v>3109050000</v>
      </c>
      <c r="G490" s="20">
        <f t="shared" si="20"/>
        <v>-2.1175973909143666E-3</v>
      </c>
      <c r="H490" s="22">
        <v>1</v>
      </c>
      <c r="I490" s="16"/>
    </row>
    <row r="491" spans="1:9">
      <c r="A491" s="19">
        <v>42773</v>
      </c>
      <c r="B491" s="20">
        <v>59.936473999999997</v>
      </c>
      <c r="C491" s="21">
        <v>20277200</v>
      </c>
      <c r="D491" s="23">
        <f t="shared" si="19"/>
        <v>-3.3052535749836876E-3</v>
      </c>
      <c r="E491" s="47">
        <v>2293.080078</v>
      </c>
      <c r="F491" s="48">
        <v>3448690000</v>
      </c>
      <c r="G491" s="20">
        <f t="shared" si="20"/>
        <v>2.2680323213039314E-4</v>
      </c>
      <c r="H491" s="22">
        <v>1</v>
      </c>
      <c r="I491" s="16"/>
    </row>
    <row r="492" spans="1:9">
      <c r="A492" s="19">
        <v>42774</v>
      </c>
      <c r="B492" s="20">
        <v>59.851436999999997</v>
      </c>
      <c r="C492" s="21">
        <v>18096400</v>
      </c>
      <c r="D492" s="23">
        <f t="shared" si="19"/>
        <v>-1.4197929252623837E-3</v>
      </c>
      <c r="E492" s="47">
        <v>2294.669922</v>
      </c>
      <c r="F492" s="48">
        <v>3609740000</v>
      </c>
      <c r="G492" s="20">
        <f t="shared" si="20"/>
        <v>6.9308225759549607E-4</v>
      </c>
      <c r="H492" s="22">
        <v>1</v>
      </c>
      <c r="I492" s="16"/>
    </row>
    <row r="493" spans="1:9">
      <c r="A493" s="19">
        <v>42775</v>
      </c>
      <c r="B493" s="20">
        <v>60.531776000000001</v>
      </c>
      <c r="C493" s="21">
        <v>22644400</v>
      </c>
      <c r="D493" s="23">
        <f t="shared" si="19"/>
        <v>1.1303008555086095E-2</v>
      </c>
      <c r="E493" s="47">
        <v>2307.8701169999999</v>
      </c>
      <c r="F493" s="48">
        <v>3677940000</v>
      </c>
      <c r="G493" s="20">
        <f t="shared" si="20"/>
        <v>5.7360636002423832E-3</v>
      </c>
      <c r="H493" s="22">
        <v>1</v>
      </c>
      <c r="I493" s="16"/>
    </row>
    <row r="494" spans="1:9">
      <c r="A494" s="19">
        <v>42776</v>
      </c>
      <c r="B494" s="20">
        <v>60.475085999999997</v>
      </c>
      <c r="C494" s="21">
        <v>18170700</v>
      </c>
      <c r="D494" s="23">
        <f t="shared" si="19"/>
        <v>-9.3697172557742777E-4</v>
      </c>
      <c r="E494" s="47">
        <v>2316.1000979999999</v>
      </c>
      <c r="F494" s="48">
        <v>3475020000</v>
      </c>
      <c r="G494" s="20">
        <f t="shared" si="20"/>
        <v>3.5597070516704093E-3</v>
      </c>
      <c r="H494" s="22">
        <v>1</v>
      </c>
      <c r="I494" s="16"/>
    </row>
    <row r="495" spans="1:9">
      <c r="A495" s="19">
        <v>42779</v>
      </c>
      <c r="B495" s="20">
        <v>61.155425999999999</v>
      </c>
      <c r="C495" s="21">
        <v>22920100</v>
      </c>
      <c r="D495" s="23">
        <f t="shared" si="19"/>
        <v>1.1187112251050743E-2</v>
      </c>
      <c r="E495" s="47">
        <v>2328.25</v>
      </c>
      <c r="F495" s="48">
        <v>3349730000</v>
      </c>
      <c r="G495" s="20">
        <f t="shared" si="20"/>
        <v>5.2321334355937893E-3</v>
      </c>
      <c r="H495" s="22">
        <v>1</v>
      </c>
      <c r="I495" s="16"/>
    </row>
    <row r="496" spans="1:9">
      <c r="A496" s="19">
        <v>42780</v>
      </c>
      <c r="B496" s="20">
        <v>61.383595</v>
      </c>
      <c r="C496" s="21">
        <v>23108400</v>
      </c>
      <c r="D496" s="23">
        <f t="shared" si="19"/>
        <v>3.7240262217257607E-3</v>
      </c>
      <c r="E496" s="47">
        <v>2337.580078</v>
      </c>
      <c r="F496" s="48">
        <v>3520910000</v>
      </c>
      <c r="G496" s="20">
        <f t="shared" si="20"/>
        <v>3.9993271421984809E-3</v>
      </c>
      <c r="H496" s="22">
        <v>1</v>
      </c>
      <c r="I496" s="16"/>
    </row>
    <row r="497" spans="1:9">
      <c r="A497" s="19">
        <v>42781</v>
      </c>
      <c r="B497" s="20">
        <v>61.345562000000001</v>
      </c>
      <c r="C497" s="21">
        <v>17005200</v>
      </c>
      <c r="D497" s="23">
        <f t="shared" si="19"/>
        <v>-6.1978754107283639E-4</v>
      </c>
      <c r="E497" s="47">
        <v>2349.25</v>
      </c>
      <c r="F497" s="48">
        <v>3775590000</v>
      </c>
      <c r="G497" s="20">
        <f t="shared" si="20"/>
        <v>4.9798887192087238E-3</v>
      </c>
      <c r="H497" s="22">
        <v>1</v>
      </c>
      <c r="I497" s="16"/>
    </row>
    <row r="498" spans="1:9">
      <c r="A498" s="19">
        <v>42782</v>
      </c>
      <c r="B498" s="20">
        <v>61.336044000000001</v>
      </c>
      <c r="C498" s="21">
        <v>20546300</v>
      </c>
      <c r="D498" s="23">
        <f t="shared" si="19"/>
        <v>-1.5516588557045483E-4</v>
      </c>
      <c r="E498" s="47">
        <v>2347.219971</v>
      </c>
      <c r="F498" s="48">
        <v>3672370000</v>
      </c>
      <c r="G498" s="20">
        <f t="shared" si="20"/>
        <v>-8.6449147507085061E-4</v>
      </c>
      <c r="H498" s="22">
        <v>1</v>
      </c>
      <c r="I498" s="16"/>
    </row>
    <row r="499" spans="1:9">
      <c r="A499" s="19">
        <v>42783</v>
      </c>
      <c r="B499" s="20">
        <v>61.431122000000002</v>
      </c>
      <c r="C499" s="21">
        <v>21248800</v>
      </c>
      <c r="D499" s="23">
        <f t="shared" si="19"/>
        <v>1.5489160841066958E-3</v>
      </c>
      <c r="E499" s="47">
        <v>2351.1599120000001</v>
      </c>
      <c r="F499" s="48">
        <v>3513060000</v>
      </c>
      <c r="G499" s="20">
        <f t="shared" si="20"/>
        <v>1.6771491542383855E-3</v>
      </c>
      <c r="H499" s="22">
        <v>1</v>
      </c>
      <c r="I499" s="16"/>
    </row>
    <row r="500" spans="1:9">
      <c r="A500" s="19">
        <v>42787</v>
      </c>
      <c r="B500" s="20">
        <v>61.307537000000004</v>
      </c>
      <c r="C500" s="21">
        <v>20655900</v>
      </c>
      <c r="D500" s="23">
        <f t="shared" si="19"/>
        <v>-2.0137916247740749E-3</v>
      </c>
      <c r="E500" s="47">
        <v>2365.3798830000001</v>
      </c>
      <c r="F500" s="48">
        <v>3579780000</v>
      </c>
      <c r="G500" s="20">
        <f t="shared" si="20"/>
        <v>6.0298501458571517E-3</v>
      </c>
      <c r="H500" s="22">
        <v>1</v>
      </c>
      <c r="I500" s="16"/>
    </row>
    <row r="501" spans="1:9">
      <c r="A501" s="19">
        <v>42788</v>
      </c>
      <c r="B501" s="20">
        <v>61.183948999999998</v>
      </c>
      <c r="C501" s="21">
        <v>19292700</v>
      </c>
      <c r="D501" s="23">
        <f t="shared" si="19"/>
        <v>-2.0179041984498907E-3</v>
      </c>
      <c r="E501" s="47">
        <v>2362.820068</v>
      </c>
      <c r="F501" s="48">
        <v>3468670000</v>
      </c>
      <c r="G501" s="20">
        <f t="shared" si="20"/>
        <v>-1.0827863781683815E-3</v>
      </c>
      <c r="H501" s="22">
        <v>1</v>
      </c>
      <c r="I501" s="16"/>
    </row>
    <row r="502" spans="1:9">
      <c r="A502" s="19">
        <v>42789</v>
      </c>
      <c r="B502" s="20">
        <v>61.431122000000002</v>
      </c>
      <c r="C502" s="21">
        <v>20273100</v>
      </c>
      <c r="D502" s="23">
        <f t="shared" si="19"/>
        <v>4.0316958232240801E-3</v>
      </c>
      <c r="E502" s="47">
        <v>2363.8100589999999</v>
      </c>
      <c r="F502" s="48">
        <v>4015260000</v>
      </c>
      <c r="G502" s="20">
        <f t="shared" si="20"/>
        <v>4.188992952173622E-4</v>
      </c>
      <c r="H502" s="22">
        <v>1</v>
      </c>
      <c r="I502" s="16"/>
    </row>
    <row r="503" spans="1:9">
      <c r="A503" s="19">
        <v>42790</v>
      </c>
      <c r="B503" s="20">
        <v>61.431122000000002</v>
      </c>
      <c r="C503" s="21">
        <v>21796800</v>
      </c>
      <c r="D503" s="23">
        <f t="shared" si="19"/>
        <v>0</v>
      </c>
      <c r="E503" s="47">
        <v>2367.3400879999999</v>
      </c>
      <c r="F503" s="48">
        <v>3831570000</v>
      </c>
      <c r="G503" s="20">
        <f t="shared" si="20"/>
        <v>1.4922501063708675E-3</v>
      </c>
      <c r="H503" s="22">
        <v>1</v>
      </c>
      <c r="I503" s="16"/>
    </row>
    <row r="504" spans="1:9">
      <c r="A504" s="19">
        <v>42793</v>
      </c>
      <c r="B504" s="20">
        <v>61.060367999999997</v>
      </c>
      <c r="C504" s="21">
        <v>15871500</v>
      </c>
      <c r="D504" s="23">
        <f t="shared" si="19"/>
        <v>-6.0535655531597241E-3</v>
      </c>
      <c r="E504" s="47">
        <v>2369.75</v>
      </c>
      <c r="F504" s="48">
        <v>3582610000</v>
      </c>
      <c r="G504" s="20">
        <f t="shared" si="20"/>
        <v>1.0174652215321359E-3</v>
      </c>
      <c r="H504" s="22">
        <v>1</v>
      </c>
      <c r="I504" s="16"/>
    </row>
    <row r="505" spans="1:9">
      <c r="A505" s="19">
        <v>42794</v>
      </c>
      <c r="B505" s="20">
        <v>60.822701000000002</v>
      </c>
      <c r="C505" s="21">
        <v>23239800</v>
      </c>
      <c r="D505" s="23">
        <f t="shared" si="19"/>
        <v>-3.8999231506218835E-3</v>
      </c>
      <c r="E505" s="47">
        <v>2363.639893</v>
      </c>
      <c r="F505" s="48">
        <v>4210140000</v>
      </c>
      <c r="G505" s="20">
        <f t="shared" si="20"/>
        <v>-2.581705936709556E-3</v>
      </c>
      <c r="H505" s="22">
        <v>1</v>
      </c>
      <c r="I505" s="16"/>
    </row>
    <row r="506" spans="1:9">
      <c r="A506" s="19">
        <v>42795</v>
      </c>
      <c r="B506" s="20">
        <v>61.735340000000001</v>
      </c>
      <c r="C506" s="21">
        <v>26937500</v>
      </c>
      <c r="D506" s="23">
        <f t="shared" si="19"/>
        <v>1.4893447418472367E-2</v>
      </c>
      <c r="E506" s="47">
        <v>2395.959961</v>
      </c>
      <c r="F506" s="48">
        <v>4345180000</v>
      </c>
      <c r="G506" s="20">
        <f t="shared" si="20"/>
        <v>1.3581210931325458E-2</v>
      </c>
      <c r="H506" s="22">
        <v>1</v>
      </c>
      <c r="I506" s="16"/>
    </row>
    <row r="507" spans="1:9">
      <c r="A507" s="19">
        <v>42796</v>
      </c>
      <c r="B507" s="20">
        <v>60.851222999999997</v>
      </c>
      <c r="C507" s="21">
        <v>24539600</v>
      </c>
      <c r="D507" s="23">
        <f t="shared" si="19"/>
        <v>-1.4424620580563974E-2</v>
      </c>
      <c r="E507" s="47">
        <v>2381.919922</v>
      </c>
      <c r="F507" s="48">
        <v>3821320000</v>
      </c>
      <c r="G507" s="20">
        <f t="shared" si="20"/>
        <v>-5.8771169457121526E-3</v>
      </c>
      <c r="H507" s="22">
        <v>1</v>
      </c>
      <c r="I507" s="16"/>
    </row>
    <row r="508" spans="1:9">
      <c r="A508" s="19">
        <v>42797</v>
      </c>
      <c r="B508" s="20">
        <v>61.079371999999999</v>
      </c>
      <c r="C508" s="21">
        <v>18135900</v>
      </c>
      <c r="D508" s="23">
        <f t="shared" si="19"/>
        <v>3.742280864986975E-3</v>
      </c>
      <c r="E508" s="47">
        <v>2383.1201169999999</v>
      </c>
      <c r="F508" s="48">
        <v>3555260000</v>
      </c>
      <c r="G508" s="20">
        <f t="shared" si="20"/>
        <v>5.0375023737784424E-4</v>
      </c>
      <c r="H508" s="22">
        <v>1</v>
      </c>
      <c r="I508" s="16"/>
    </row>
    <row r="509" spans="1:9">
      <c r="A509" s="19">
        <v>42800</v>
      </c>
      <c r="B509" s="20">
        <v>61.098388999999997</v>
      </c>
      <c r="C509" s="21">
        <v>18750300</v>
      </c>
      <c r="D509" s="23">
        <f t="shared" si="19"/>
        <v>3.1130051816180966E-4</v>
      </c>
      <c r="E509" s="47">
        <v>2375.3100589999999</v>
      </c>
      <c r="F509" s="48">
        <v>3232700000</v>
      </c>
      <c r="G509" s="20">
        <f t="shared" si="20"/>
        <v>-3.2826225138571038E-3</v>
      </c>
      <c r="H509" s="22">
        <v>1</v>
      </c>
      <c r="I509" s="16"/>
    </row>
    <row r="510" spans="1:9">
      <c r="A510" s="19">
        <v>42801</v>
      </c>
      <c r="B510" s="20">
        <v>61.221981</v>
      </c>
      <c r="C510" s="21">
        <v>18521000</v>
      </c>
      <c r="D510" s="23">
        <f t="shared" si="19"/>
        <v>2.020792482206804E-3</v>
      </c>
      <c r="E510" s="47">
        <v>2368.389893</v>
      </c>
      <c r="F510" s="48">
        <v>3518390000</v>
      </c>
      <c r="G510" s="20">
        <f t="shared" si="20"/>
        <v>-2.9176258949927506E-3</v>
      </c>
      <c r="H510" s="22">
        <v>1</v>
      </c>
      <c r="I510" s="16"/>
    </row>
    <row r="511" spans="1:9">
      <c r="A511" s="19">
        <v>42802</v>
      </c>
      <c r="B511" s="20">
        <v>61.782856000000002</v>
      </c>
      <c r="C511" s="21">
        <v>21510900</v>
      </c>
      <c r="D511" s="23">
        <f t="shared" si="19"/>
        <v>9.1196232748189422E-3</v>
      </c>
      <c r="E511" s="47">
        <v>2362.9799800000001</v>
      </c>
      <c r="F511" s="48">
        <v>3812100000</v>
      </c>
      <c r="G511" s="20">
        <f t="shared" si="20"/>
        <v>-2.2868283405635356E-3</v>
      </c>
      <c r="H511" s="22">
        <v>1</v>
      </c>
      <c r="I511" s="16"/>
    </row>
    <row r="512" spans="1:9">
      <c r="A512" s="19">
        <v>42803</v>
      </c>
      <c r="B512" s="20">
        <v>61.535693999999999</v>
      </c>
      <c r="C512" s="21">
        <v>19846800</v>
      </c>
      <c r="D512" s="23">
        <f t="shared" si="19"/>
        <v>-4.0085182797614327E-3</v>
      </c>
      <c r="E512" s="47">
        <v>2364.8701169999999</v>
      </c>
      <c r="F512" s="48">
        <v>3716340000</v>
      </c>
      <c r="G512" s="20">
        <f t="shared" si="20"/>
        <v>7.9957573185312732E-4</v>
      </c>
      <c r="H512" s="22">
        <v>1</v>
      </c>
      <c r="I512" s="16"/>
    </row>
    <row r="513" spans="1:9">
      <c r="A513" s="19">
        <v>42804</v>
      </c>
      <c r="B513" s="20">
        <v>61.725811</v>
      </c>
      <c r="C513" s="21">
        <v>19538200</v>
      </c>
      <c r="D513" s="23">
        <f t="shared" si="19"/>
        <v>3.0847773724717903E-3</v>
      </c>
      <c r="E513" s="47">
        <v>2372.6000979999999</v>
      </c>
      <c r="F513" s="48">
        <v>3432950000</v>
      </c>
      <c r="G513" s="20">
        <f t="shared" si="20"/>
        <v>3.2633399300272393E-3</v>
      </c>
      <c r="H513" s="22">
        <v>1</v>
      </c>
      <c r="I513" s="16"/>
    </row>
    <row r="514" spans="1:9">
      <c r="A514" s="19">
        <v>42807</v>
      </c>
      <c r="B514" s="20">
        <v>61.516677999999999</v>
      </c>
      <c r="C514" s="21">
        <v>20100000</v>
      </c>
      <c r="D514" s="23">
        <f t="shared" si="19"/>
        <v>-3.3938490277727203E-3</v>
      </c>
      <c r="E514" s="47">
        <v>2373.469971</v>
      </c>
      <c r="F514" s="48">
        <v>3133900000</v>
      </c>
      <c r="G514" s="20">
        <f t="shared" si="20"/>
        <v>3.6656559936696162E-4</v>
      </c>
      <c r="H514" s="22">
        <v>1</v>
      </c>
      <c r="I514" s="16"/>
    </row>
    <row r="515" spans="1:9">
      <c r="A515" s="19">
        <v>42808</v>
      </c>
      <c r="B515" s="20">
        <v>61.231479999999998</v>
      </c>
      <c r="C515" s="21">
        <v>14280200</v>
      </c>
      <c r="D515" s="23">
        <f t="shared" ref="D515:D578" si="21">LN(B515/B514)</f>
        <v>-4.6468886841219432E-3</v>
      </c>
      <c r="E515" s="47">
        <v>2365.4499510000001</v>
      </c>
      <c r="F515" s="48">
        <v>3172630000</v>
      </c>
      <c r="G515" s="20">
        <f t="shared" ref="G515:G578" si="22">LN(E515/E514)</f>
        <v>-3.3847491786320912E-3</v>
      </c>
      <c r="H515" s="22">
        <v>1</v>
      </c>
      <c r="I515" s="16"/>
    </row>
    <row r="516" spans="1:9">
      <c r="A516" s="19">
        <v>42809</v>
      </c>
      <c r="B516" s="20">
        <v>61.554707000000001</v>
      </c>
      <c r="C516" s="21">
        <v>24833800</v>
      </c>
      <c r="D516" s="23">
        <f t="shared" si="21"/>
        <v>5.2648877618172978E-3</v>
      </c>
      <c r="E516" s="47">
        <v>2385.26001</v>
      </c>
      <c r="F516" s="48">
        <v>3906840000</v>
      </c>
      <c r="G516" s="20">
        <f t="shared" si="22"/>
        <v>8.3398792956066378E-3</v>
      </c>
      <c r="H516" s="22">
        <v>1</v>
      </c>
      <c r="I516" s="16"/>
    </row>
    <row r="517" spans="1:9">
      <c r="A517" s="19">
        <v>42810</v>
      </c>
      <c r="B517" s="20">
        <v>61.450130000000001</v>
      </c>
      <c r="C517" s="21">
        <v>20674300</v>
      </c>
      <c r="D517" s="23">
        <f t="shared" si="21"/>
        <v>-1.7003725665953814E-3</v>
      </c>
      <c r="E517" s="47">
        <v>2381.3798830000001</v>
      </c>
      <c r="F517" s="48">
        <v>3365660000</v>
      </c>
      <c r="G517" s="20">
        <f t="shared" si="22"/>
        <v>-1.6280348187074486E-3</v>
      </c>
      <c r="H517" s="22">
        <v>1</v>
      </c>
      <c r="I517" s="16"/>
    </row>
    <row r="518" spans="1:9">
      <c r="A518" s="19">
        <v>42811</v>
      </c>
      <c r="B518" s="20">
        <v>61.668781000000003</v>
      </c>
      <c r="C518" s="21">
        <v>49219700</v>
      </c>
      <c r="D518" s="23">
        <f t="shared" si="21"/>
        <v>3.551870758037071E-3</v>
      </c>
      <c r="E518" s="47">
        <v>2378.25</v>
      </c>
      <c r="F518" s="48">
        <v>5178040000</v>
      </c>
      <c r="G518" s="20">
        <f t="shared" si="22"/>
        <v>-1.3151793429673527E-3</v>
      </c>
      <c r="H518" s="22">
        <v>1</v>
      </c>
      <c r="I518" s="16"/>
    </row>
    <row r="519" spans="1:9">
      <c r="A519" s="19">
        <v>42814</v>
      </c>
      <c r="B519" s="20">
        <v>61.725811</v>
      </c>
      <c r="C519" s="21">
        <v>14598100</v>
      </c>
      <c r="D519" s="23">
        <f t="shared" si="21"/>
        <v>9.2435175863562764E-4</v>
      </c>
      <c r="E519" s="47">
        <v>2373.469971</v>
      </c>
      <c r="F519" s="48">
        <v>3054930000</v>
      </c>
      <c r="G519" s="20">
        <f t="shared" si="22"/>
        <v>-2.0119159552997494E-3</v>
      </c>
      <c r="H519" s="22">
        <v>1</v>
      </c>
      <c r="I519" s="16"/>
    </row>
    <row r="520" spans="1:9">
      <c r="A520" s="19">
        <v>42815</v>
      </c>
      <c r="B520" s="20">
        <v>61.041350999999999</v>
      </c>
      <c r="C520" s="21">
        <v>26640500</v>
      </c>
      <c r="D520" s="23">
        <f t="shared" si="21"/>
        <v>-1.115065430877646E-2</v>
      </c>
      <c r="E520" s="47">
        <v>2344.0200199999999</v>
      </c>
      <c r="F520" s="48">
        <v>4265590000</v>
      </c>
      <c r="G520" s="20">
        <f t="shared" si="22"/>
        <v>-1.2485594515205749E-2</v>
      </c>
      <c r="H520" s="22">
        <v>1</v>
      </c>
      <c r="I520" s="16"/>
    </row>
    <row r="521" spans="1:9">
      <c r="A521" s="19">
        <v>42816</v>
      </c>
      <c r="B521" s="20">
        <v>61.820881</v>
      </c>
      <c r="C521" s="21">
        <v>20680000</v>
      </c>
      <c r="D521" s="23">
        <f t="shared" si="21"/>
        <v>1.2689667895071904E-2</v>
      </c>
      <c r="E521" s="47">
        <v>2348.4499510000001</v>
      </c>
      <c r="F521" s="48">
        <v>3572730000</v>
      </c>
      <c r="G521" s="20">
        <f t="shared" si="22"/>
        <v>1.8881025742991701E-3</v>
      </c>
      <c r="H521" s="22">
        <v>1</v>
      </c>
      <c r="I521" s="16"/>
    </row>
    <row r="522" spans="1:9">
      <c r="A522" s="19">
        <v>42817</v>
      </c>
      <c r="B522" s="20">
        <v>61.668781000000003</v>
      </c>
      <c r="C522" s="21">
        <v>19269200</v>
      </c>
      <c r="D522" s="23">
        <f t="shared" si="21"/>
        <v>-2.4633653449310784E-3</v>
      </c>
      <c r="E522" s="47">
        <v>2345.959961</v>
      </c>
      <c r="F522" s="48">
        <v>3260600000</v>
      </c>
      <c r="G522" s="20">
        <f t="shared" si="22"/>
        <v>-1.0608320450020078E-3</v>
      </c>
      <c r="H522" s="22">
        <v>1</v>
      </c>
      <c r="I522" s="16"/>
    </row>
    <row r="523" spans="1:9">
      <c r="A523" s="19">
        <v>42818</v>
      </c>
      <c r="B523" s="20">
        <v>61.773364999999998</v>
      </c>
      <c r="C523" s="21">
        <v>22617100</v>
      </c>
      <c r="D523" s="23">
        <f t="shared" si="21"/>
        <v>1.6944621980806904E-3</v>
      </c>
      <c r="E523" s="47">
        <v>2343.9799800000001</v>
      </c>
      <c r="F523" s="48">
        <v>2975130000</v>
      </c>
      <c r="G523" s="20">
        <f t="shared" si="22"/>
        <v>-8.4435244056040287E-4</v>
      </c>
      <c r="H523" s="22">
        <v>1</v>
      </c>
      <c r="I523" s="16"/>
    </row>
    <row r="524" spans="1:9">
      <c r="A524" s="19">
        <v>42821</v>
      </c>
      <c r="B524" s="20">
        <v>61.887431999999997</v>
      </c>
      <c r="C524" s="21">
        <v>18614700</v>
      </c>
      <c r="D524" s="23">
        <f t="shared" si="21"/>
        <v>1.8448374119978503E-3</v>
      </c>
      <c r="E524" s="47">
        <v>2341.5900879999999</v>
      </c>
      <c r="F524" s="48">
        <v>3240230000</v>
      </c>
      <c r="G524" s="20">
        <f t="shared" si="22"/>
        <v>-1.0201073391556828E-3</v>
      </c>
      <c r="H524" s="22">
        <v>1</v>
      </c>
      <c r="I524" s="16"/>
    </row>
    <row r="525" spans="1:9">
      <c r="A525" s="19">
        <v>42822</v>
      </c>
      <c r="B525" s="20">
        <v>62.068058000000001</v>
      </c>
      <c r="C525" s="21">
        <v>20080400</v>
      </c>
      <c r="D525" s="23">
        <f t="shared" si="21"/>
        <v>2.9143707607694374E-3</v>
      </c>
      <c r="E525" s="47">
        <v>2358.570068</v>
      </c>
      <c r="F525" s="48">
        <v>3367780000</v>
      </c>
      <c r="G525" s="20">
        <f t="shared" si="22"/>
        <v>7.2253086305444176E-3</v>
      </c>
      <c r="H525" s="22">
        <v>1</v>
      </c>
      <c r="I525" s="16"/>
    </row>
    <row r="526" spans="1:9">
      <c r="A526" s="19">
        <v>42823</v>
      </c>
      <c r="B526" s="20">
        <v>62.239173999999998</v>
      </c>
      <c r="C526" s="21">
        <v>13618400</v>
      </c>
      <c r="D526" s="23">
        <f t="shared" si="21"/>
        <v>2.7531158940651006E-3</v>
      </c>
      <c r="E526" s="47">
        <v>2361.1298830000001</v>
      </c>
      <c r="F526" s="48">
        <v>3106940000</v>
      </c>
      <c r="G526" s="20">
        <f t="shared" si="22"/>
        <v>1.0847364356112272E-3</v>
      </c>
      <c r="H526" s="22">
        <v>1</v>
      </c>
      <c r="I526" s="16"/>
    </row>
    <row r="527" spans="1:9">
      <c r="A527" s="19">
        <v>42824</v>
      </c>
      <c r="B527" s="20">
        <v>62.467326999999997</v>
      </c>
      <c r="C527" s="21">
        <v>15122800</v>
      </c>
      <c r="D527" s="23">
        <f t="shared" si="21"/>
        <v>3.6590434776777115E-3</v>
      </c>
      <c r="E527" s="47">
        <v>2368.0600589999999</v>
      </c>
      <c r="F527" s="48">
        <v>3158420000</v>
      </c>
      <c r="G527" s="20">
        <f t="shared" si="22"/>
        <v>2.9308110038477526E-3</v>
      </c>
      <c r="H527" s="22">
        <v>1</v>
      </c>
      <c r="I527" s="16"/>
    </row>
    <row r="528" spans="1:9">
      <c r="A528" s="19">
        <v>42825</v>
      </c>
      <c r="B528" s="20">
        <v>62.609927999999996</v>
      </c>
      <c r="C528" s="21">
        <v>21040300</v>
      </c>
      <c r="D528" s="23">
        <f t="shared" si="21"/>
        <v>2.2802077289912769E-3</v>
      </c>
      <c r="E528" s="47">
        <v>2362.719971</v>
      </c>
      <c r="F528" s="48">
        <v>3354110000</v>
      </c>
      <c r="G528" s="20">
        <f t="shared" si="22"/>
        <v>-2.2575939841710303E-3</v>
      </c>
      <c r="H528" s="22">
        <v>1</v>
      </c>
      <c r="I528" s="16"/>
    </row>
    <row r="529" spans="1:9">
      <c r="A529" s="19">
        <v>42828</v>
      </c>
      <c r="B529" s="20">
        <v>62.315227999999998</v>
      </c>
      <c r="C529" s="21">
        <v>20400900</v>
      </c>
      <c r="D529" s="23">
        <f t="shared" si="21"/>
        <v>-4.7180336787318181E-3</v>
      </c>
      <c r="E529" s="47">
        <v>2358.8400879999999</v>
      </c>
      <c r="F529" s="48">
        <v>3416400000</v>
      </c>
      <c r="G529" s="20">
        <f t="shared" si="22"/>
        <v>-1.6434753872949851E-3</v>
      </c>
      <c r="H529" s="22">
        <v>1</v>
      </c>
      <c r="I529" s="16"/>
    </row>
    <row r="530" spans="1:9">
      <c r="A530" s="19">
        <v>42829</v>
      </c>
      <c r="B530" s="20">
        <v>62.486347000000002</v>
      </c>
      <c r="C530" s="21">
        <v>12997400</v>
      </c>
      <c r="D530" s="23">
        <f t="shared" si="21"/>
        <v>2.7422587773322446E-3</v>
      </c>
      <c r="E530" s="47">
        <v>2360.1599120000001</v>
      </c>
      <c r="F530" s="48">
        <v>3206240000</v>
      </c>
      <c r="G530" s="20">
        <f t="shared" si="22"/>
        <v>5.5936598195100253E-4</v>
      </c>
      <c r="H530" s="22">
        <v>1</v>
      </c>
      <c r="I530" s="16"/>
    </row>
    <row r="531" spans="1:9">
      <c r="A531" s="19">
        <v>42830</v>
      </c>
      <c r="B531" s="20">
        <v>62.324733999999999</v>
      </c>
      <c r="C531" s="21">
        <v>21448600</v>
      </c>
      <c r="D531" s="23">
        <f t="shared" si="21"/>
        <v>-2.5897234288631086E-3</v>
      </c>
      <c r="E531" s="47">
        <v>2352.9499510000001</v>
      </c>
      <c r="F531" s="48">
        <v>3770520000</v>
      </c>
      <c r="G531" s="20">
        <f t="shared" si="22"/>
        <v>-3.0595368382266273E-3</v>
      </c>
      <c r="H531" s="22">
        <v>1</v>
      </c>
      <c r="I531" s="16"/>
    </row>
    <row r="532" spans="1:9">
      <c r="A532" s="19">
        <v>42831</v>
      </c>
      <c r="B532" s="20">
        <v>62.486347000000002</v>
      </c>
      <c r="C532" s="21">
        <v>18103500</v>
      </c>
      <c r="D532" s="23">
        <f t="shared" si="21"/>
        <v>2.5897234288631194E-3</v>
      </c>
      <c r="E532" s="47">
        <v>2357.48999</v>
      </c>
      <c r="F532" s="48">
        <v>3201920000</v>
      </c>
      <c r="G532" s="20">
        <f t="shared" si="22"/>
        <v>1.9276502673643437E-3</v>
      </c>
      <c r="H532" s="22">
        <v>1</v>
      </c>
      <c r="I532" s="16"/>
    </row>
    <row r="533" spans="1:9">
      <c r="A533" s="19">
        <v>42832</v>
      </c>
      <c r="B533" s="20">
        <v>62.438808000000002</v>
      </c>
      <c r="C533" s="21">
        <v>14108500</v>
      </c>
      <c r="D533" s="23">
        <f t="shared" si="21"/>
        <v>-7.6107974082114446E-4</v>
      </c>
      <c r="E533" s="47">
        <v>2355.540039</v>
      </c>
      <c r="F533" s="48">
        <v>3053150000</v>
      </c>
      <c r="G533" s="20">
        <f t="shared" si="22"/>
        <v>-8.2747239006095098E-4</v>
      </c>
      <c r="H533" s="22">
        <v>1</v>
      </c>
      <c r="I533" s="16"/>
    </row>
    <row r="534" spans="1:9">
      <c r="A534" s="19">
        <v>42835</v>
      </c>
      <c r="B534" s="20">
        <v>62.296191999999998</v>
      </c>
      <c r="C534" s="21">
        <v>17952700</v>
      </c>
      <c r="D534" s="23">
        <f t="shared" si="21"/>
        <v>-2.2867048085163585E-3</v>
      </c>
      <c r="E534" s="47">
        <v>2357.1599120000001</v>
      </c>
      <c r="F534" s="48">
        <v>2785410000</v>
      </c>
      <c r="G534" s="20">
        <f t="shared" si="22"/>
        <v>6.8745011591528707E-4</v>
      </c>
      <c r="H534" s="22">
        <v>1</v>
      </c>
      <c r="I534" s="16"/>
    </row>
    <row r="535" spans="1:9">
      <c r="A535" s="19">
        <v>42836</v>
      </c>
      <c r="B535" s="20">
        <v>62.248676000000003</v>
      </c>
      <c r="C535" s="21">
        <v>18791500</v>
      </c>
      <c r="D535" s="23">
        <f t="shared" si="21"/>
        <v>-7.6303428745693965E-4</v>
      </c>
      <c r="E535" s="47">
        <v>2353.780029</v>
      </c>
      <c r="F535" s="48">
        <v>3117420000</v>
      </c>
      <c r="G535" s="20">
        <f t="shared" si="22"/>
        <v>-1.4349083716841415E-3</v>
      </c>
      <c r="H535" s="22">
        <v>1</v>
      </c>
      <c r="I535" s="16"/>
    </row>
    <row r="536" spans="1:9">
      <c r="A536" s="19">
        <v>42837</v>
      </c>
      <c r="B536" s="20">
        <v>62.011012999999998</v>
      </c>
      <c r="C536" s="21">
        <v>17108500</v>
      </c>
      <c r="D536" s="23">
        <f t="shared" si="21"/>
        <v>-3.8252677391408746E-3</v>
      </c>
      <c r="E536" s="47">
        <v>2344.929932</v>
      </c>
      <c r="F536" s="48">
        <v>3196950000</v>
      </c>
      <c r="G536" s="20">
        <f t="shared" si="22"/>
        <v>-3.7670371396038606E-3</v>
      </c>
      <c r="H536" s="22">
        <v>1</v>
      </c>
      <c r="I536" s="16"/>
    </row>
    <row r="537" spans="1:9">
      <c r="A537" s="19">
        <v>42838</v>
      </c>
      <c r="B537" s="20">
        <v>61.744827000000001</v>
      </c>
      <c r="C537" s="21">
        <v>17896500</v>
      </c>
      <c r="D537" s="23">
        <f t="shared" si="21"/>
        <v>-4.3017995836237798E-3</v>
      </c>
      <c r="E537" s="47">
        <v>2328.9499510000001</v>
      </c>
      <c r="F537" s="48">
        <v>3143890000</v>
      </c>
      <c r="G537" s="20">
        <f t="shared" si="22"/>
        <v>-6.8380205168596985E-3</v>
      </c>
      <c r="H537" s="22">
        <v>1</v>
      </c>
      <c r="I537" s="16"/>
    </row>
    <row r="538" spans="1:9">
      <c r="A538" s="19">
        <v>42842</v>
      </c>
      <c r="B538" s="20">
        <v>62.248676000000003</v>
      </c>
      <c r="C538" s="21">
        <v>16689300</v>
      </c>
      <c r="D538" s="23">
        <f t="shared" si="21"/>
        <v>8.1270673227645338E-3</v>
      </c>
      <c r="E538" s="47">
        <v>2349.01001</v>
      </c>
      <c r="F538" s="48">
        <v>2824710000</v>
      </c>
      <c r="G538" s="20">
        <f t="shared" si="22"/>
        <v>8.5764658646826294E-3</v>
      </c>
      <c r="H538" s="22">
        <v>1</v>
      </c>
      <c r="I538" s="16"/>
    </row>
    <row r="539" spans="1:9">
      <c r="A539" s="19">
        <v>42843</v>
      </c>
      <c r="B539" s="20">
        <v>62.163124000000003</v>
      </c>
      <c r="C539" s="21">
        <v>15155600</v>
      </c>
      <c r="D539" s="23">
        <f t="shared" si="21"/>
        <v>-1.3753038455331771E-3</v>
      </c>
      <c r="E539" s="47">
        <v>2342.1899410000001</v>
      </c>
      <c r="F539" s="48">
        <v>3269840000</v>
      </c>
      <c r="G539" s="20">
        <f t="shared" si="22"/>
        <v>-2.907603119058052E-3</v>
      </c>
      <c r="H539" s="22">
        <v>1</v>
      </c>
      <c r="I539" s="16"/>
    </row>
    <row r="540" spans="1:9">
      <c r="A540" s="19">
        <v>42844</v>
      </c>
      <c r="B540" s="20">
        <v>61.830387000000002</v>
      </c>
      <c r="C540" s="21">
        <v>26992800</v>
      </c>
      <c r="D540" s="23">
        <f t="shared" si="21"/>
        <v>-5.3670195483738851E-3</v>
      </c>
      <c r="E540" s="47">
        <v>2338.169922</v>
      </c>
      <c r="F540" s="48">
        <v>3519900000</v>
      </c>
      <c r="G540" s="20">
        <f t="shared" si="22"/>
        <v>-1.7178251699592046E-3</v>
      </c>
      <c r="H540" s="22">
        <v>1</v>
      </c>
      <c r="I540" s="16"/>
    </row>
    <row r="541" spans="1:9">
      <c r="A541" s="19">
        <v>42845</v>
      </c>
      <c r="B541" s="20">
        <v>62.267696000000001</v>
      </c>
      <c r="C541" s="21">
        <v>22299500</v>
      </c>
      <c r="D541" s="23">
        <f t="shared" si="21"/>
        <v>7.0478253908320557E-3</v>
      </c>
      <c r="E541" s="47">
        <v>2355.8400879999999</v>
      </c>
      <c r="F541" s="48">
        <v>3647420000</v>
      </c>
      <c r="G541" s="20">
        <f t="shared" si="22"/>
        <v>7.5288503559402323E-3</v>
      </c>
      <c r="H541" s="22">
        <v>1</v>
      </c>
      <c r="I541" s="16"/>
    </row>
    <row r="542" spans="1:9">
      <c r="A542" s="19">
        <v>42846</v>
      </c>
      <c r="B542" s="20">
        <v>63.123283000000001</v>
      </c>
      <c r="C542" s="21">
        <v>32522600</v>
      </c>
      <c r="D542" s="23">
        <f t="shared" si="21"/>
        <v>1.364691918635037E-2</v>
      </c>
      <c r="E542" s="47">
        <v>2348.6899410000001</v>
      </c>
      <c r="F542" s="48">
        <v>3503360000</v>
      </c>
      <c r="G542" s="20">
        <f t="shared" si="22"/>
        <v>-3.039688326511295E-3</v>
      </c>
      <c r="H542" s="22">
        <v>1</v>
      </c>
      <c r="I542" s="16"/>
    </row>
    <row r="543" spans="1:9">
      <c r="A543" s="19">
        <v>42849</v>
      </c>
      <c r="B543" s="20">
        <v>64.197509999999994</v>
      </c>
      <c r="C543" s="21">
        <v>29770000</v>
      </c>
      <c r="D543" s="23">
        <f t="shared" si="21"/>
        <v>1.6874737671429926E-2</v>
      </c>
      <c r="E543" s="47">
        <v>2374.1499020000001</v>
      </c>
      <c r="F543" s="48">
        <v>3690650000</v>
      </c>
      <c r="G543" s="20">
        <f t="shared" si="22"/>
        <v>1.0781736616292011E-2</v>
      </c>
      <c r="H543" s="22">
        <v>1</v>
      </c>
      <c r="I543" s="16"/>
    </row>
    <row r="544" spans="1:9">
      <c r="A544" s="19">
        <v>42850</v>
      </c>
      <c r="B544" s="20">
        <v>64.568282999999994</v>
      </c>
      <c r="C544" s="21">
        <v>30242700</v>
      </c>
      <c r="D544" s="23">
        <f t="shared" si="21"/>
        <v>5.7588900915260411E-3</v>
      </c>
      <c r="E544" s="47">
        <v>2388.610107</v>
      </c>
      <c r="F544" s="48">
        <v>3995240000</v>
      </c>
      <c r="G544" s="20">
        <f t="shared" si="22"/>
        <v>6.0722141799202222E-3</v>
      </c>
      <c r="H544" s="22">
        <v>1</v>
      </c>
      <c r="I544" s="16"/>
    </row>
    <row r="545" spans="1:9">
      <c r="A545" s="19">
        <v>42851</v>
      </c>
      <c r="B545" s="20">
        <v>64.482712000000006</v>
      </c>
      <c r="C545" s="21">
        <v>26190800</v>
      </c>
      <c r="D545" s="23">
        <f t="shared" si="21"/>
        <v>-1.3261581213085385E-3</v>
      </c>
      <c r="E545" s="47">
        <v>2387.4499510000001</v>
      </c>
      <c r="F545" s="48">
        <v>4105920000</v>
      </c>
      <c r="G545" s="20">
        <f t="shared" si="22"/>
        <v>-4.8582137105885161E-4</v>
      </c>
      <c r="H545" s="22">
        <v>1</v>
      </c>
      <c r="I545" s="16"/>
    </row>
    <row r="546" spans="1:9">
      <c r="A546" s="19">
        <v>42852</v>
      </c>
      <c r="B546" s="20">
        <v>64.900993</v>
      </c>
      <c r="C546" s="21">
        <v>34971000</v>
      </c>
      <c r="D546" s="23">
        <f t="shared" si="21"/>
        <v>6.4657671879984691E-3</v>
      </c>
      <c r="E546" s="47">
        <v>2388.7700199999999</v>
      </c>
      <c r="F546" s="48">
        <v>4098460000</v>
      </c>
      <c r="G546" s="20">
        <f t="shared" si="22"/>
        <v>5.5276726852089401E-4</v>
      </c>
      <c r="H546" s="22">
        <v>1</v>
      </c>
      <c r="I546" s="16"/>
    </row>
    <row r="547" spans="1:9">
      <c r="A547" s="19">
        <v>42853</v>
      </c>
      <c r="B547" s="20">
        <v>65.081626999999997</v>
      </c>
      <c r="C547" s="21">
        <v>39548800</v>
      </c>
      <c r="D547" s="23">
        <f t="shared" si="21"/>
        <v>2.7793579830991707E-3</v>
      </c>
      <c r="E547" s="47">
        <v>2384.1999510000001</v>
      </c>
      <c r="F547" s="48">
        <v>3718270000</v>
      </c>
      <c r="G547" s="20">
        <f t="shared" si="22"/>
        <v>-1.9149797398098202E-3</v>
      </c>
      <c r="H547" s="22">
        <v>1</v>
      </c>
      <c r="I547" s="16"/>
    </row>
    <row r="548" spans="1:9">
      <c r="A548" s="19">
        <v>42856</v>
      </c>
      <c r="B548" s="20">
        <v>65.984741</v>
      </c>
      <c r="C548" s="21">
        <v>31954400</v>
      </c>
      <c r="D548" s="23">
        <f t="shared" si="21"/>
        <v>1.378123628824697E-2</v>
      </c>
      <c r="E548" s="47">
        <v>2388.330078</v>
      </c>
      <c r="F548" s="48">
        <v>3199240000</v>
      </c>
      <c r="G548" s="20">
        <f t="shared" si="22"/>
        <v>1.7307918466451173E-3</v>
      </c>
      <c r="H548" s="22">
        <v>1</v>
      </c>
      <c r="I548" s="16"/>
    </row>
    <row r="549" spans="1:9">
      <c r="A549" s="19">
        <v>42857</v>
      </c>
      <c r="B549" s="20">
        <v>65.880165000000005</v>
      </c>
      <c r="C549" s="21">
        <v>23906100</v>
      </c>
      <c r="D549" s="23">
        <f t="shared" si="21"/>
        <v>-1.5861084665518377E-3</v>
      </c>
      <c r="E549" s="47">
        <v>2391.169922</v>
      </c>
      <c r="F549" s="48">
        <v>3813680000</v>
      </c>
      <c r="G549" s="20">
        <f t="shared" si="22"/>
        <v>1.1883436904249129E-3</v>
      </c>
      <c r="H549" s="22">
        <v>1</v>
      </c>
      <c r="I549" s="16"/>
    </row>
    <row r="550" spans="1:9">
      <c r="A550" s="19">
        <v>42858</v>
      </c>
      <c r="B550" s="20">
        <v>65.671036000000001</v>
      </c>
      <c r="C550" s="21">
        <v>28928000</v>
      </c>
      <c r="D550" s="23">
        <f t="shared" si="21"/>
        <v>-3.1794339326517689E-3</v>
      </c>
      <c r="E550" s="47">
        <v>2388.1298830000001</v>
      </c>
      <c r="F550" s="48">
        <v>3893990000</v>
      </c>
      <c r="G550" s="20">
        <f t="shared" si="22"/>
        <v>-1.2721693695897679E-3</v>
      </c>
      <c r="H550" s="22">
        <v>1</v>
      </c>
      <c r="I550" s="16"/>
    </row>
    <row r="551" spans="1:9">
      <c r="A551" s="19">
        <v>42859</v>
      </c>
      <c r="B551" s="20">
        <v>65.414337000000003</v>
      </c>
      <c r="C551" s="21">
        <v>21749400</v>
      </c>
      <c r="D551" s="23">
        <f t="shared" si="21"/>
        <v>-3.9165213059795421E-3</v>
      </c>
      <c r="E551" s="47">
        <v>2389.5200199999999</v>
      </c>
      <c r="F551" s="48">
        <v>4362540000</v>
      </c>
      <c r="G551" s="20">
        <f t="shared" si="22"/>
        <v>5.8193340552533356E-4</v>
      </c>
      <c r="H551" s="22">
        <v>1</v>
      </c>
      <c r="I551" s="16"/>
    </row>
    <row r="552" spans="1:9">
      <c r="A552" s="19">
        <v>42860</v>
      </c>
      <c r="B552" s="20">
        <v>65.594977999999998</v>
      </c>
      <c r="C552" s="21">
        <v>19128800</v>
      </c>
      <c r="D552" s="23">
        <f t="shared" si="21"/>
        <v>2.7576835201142728E-3</v>
      </c>
      <c r="E552" s="47">
        <v>2399.290039</v>
      </c>
      <c r="F552" s="48">
        <v>3540140000</v>
      </c>
      <c r="G552" s="20">
        <f t="shared" si="22"/>
        <v>4.0803591852600924E-3</v>
      </c>
      <c r="H552" s="22">
        <v>1</v>
      </c>
      <c r="I552" s="16"/>
    </row>
    <row r="553" spans="1:9">
      <c r="A553" s="19">
        <v>42863</v>
      </c>
      <c r="B553" s="20">
        <v>65.537918000000005</v>
      </c>
      <c r="C553" s="21">
        <v>18566100</v>
      </c>
      <c r="D553" s="23">
        <f t="shared" si="21"/>
        <v>-8.7026223536195736E-4</v>
      </c>
      <c r="E553" s="47">
        <v>2399.3798830000001</v>
      </c>
      <c r="F553" s="48">
        <v>3429440000</v>
      </c>
      <c r="G553" s="20">
        <f t="shared" si="22"/>
        <v>3.744537610262704E-5</v>
      </c>
      <c r="H553" s="22">
        <v>1</v>
      </c>
      <c r="I553" s="16"/>
    </row>
    <row r="554" spans="1:9">
      <c r="A554" s="19">
        <v>42864</v>
      </c>
      <c r="B554" s="20">
        <v>65.633010999999996</v>
      </c>
      <c r="C554" s="21">
        <v>22858400</v>
      </c>
      <c r="D554" s="23">
        <f t="shared" si="21"/>
        <v>1.4499099363549479E-3</v>
      </c>
      <c r="E554" s="47">
        <v>2396.919922</v>
      </c>
      <c r="F554" s="48">
        <v>3653590000</v>
      </c>
      <c r="G554" s="20">
        <f t="shared" si="22"/>
        <v>-1.0257745827880963E-3</v>
      </c>
      <c r="H554" s="22">
        <v>1</v>
      </c>
      <c r="I554" s="16"/>
    </row>
    <row r="555" spans="1:9">
      <c r="A555" s="19">
        <v>42865</v>
      </c>
      <c r="B555" s="20">
        <v>65.889679000000001</v>
      </c>
      <c r="C555" s="21">
        <v>17977800</v>
      </c>
      <c r="D555" s="23">
        <f t="shared" si="21"/>
        <v>3.903027315391187E-3</v>
      </c>
      <c r="E555" s="47">
        <v>2399.6298830000001</v>
      </c>
      <c r="F555" s="48">
        <v>3643530000</v>
      </c>
      <c r="G555" s="20">
        <f t="shared" si="22"/>
        <v>1.1299627434363934E-3</v>
      </c>
      <c r="H555" s="22">
        <v>1</v>
      </c>
      <c r="I555" s="16"/>
    </row>
    <row r="556" spans="1:9">
      <c r="A556" s="19">
        <v>42866</v>
      </c>
      <c r="B556" s="20">
        <v>65.081626999999997</v>
      </c>
      <c r="C556" s="21">
        <v>28789400</v>
      </c>
      <c r="D556" s="23">
        <f t="shared" si="21"/>
        <v>-1.2339531119562427E-2</v>
      </c>
      <c r="E556" s="47">
        <v>2394.4399410000001</v>
      </c>
      <c r="F556" s="48">
        <v>3727420000</v>
      </c>
      <c r="G556" s="20">
        <f t="shared" si="22"/>
        <v>-2.1651516219075512E-3</v>
      </c>
      <c r="H556" s="22">
        <v>1</v>
      </c>
      <c r="I556" s="16"/>
    </row>
    <row r="557" spans="1:9">
      <c r="A557" s="19">
        <v>42867</v>
      </c>
      <c r="B557" s="20">
        <v>65.005577000000002</v>
      </c>
      <c r="C557" s="21">
        <v>18714100</v>
      </c>
      <c r="D557" s="23">
        <f t="shared" si="21"/>
        <v>-1.1692158233145044E-3</v>
      </c>
      <c r="E557" s="47">
        <v>2390.8999020000001</v>
      </c>
      <c r="F557" s="48">
        <v>3305630000</v>
      </c>
      <c r="G557" s="20">
        <f t="shared" si="22"/>
        <v>-1.4795353149046619E-3</v>
      </c>
      <c r="H557" s="22">
        <v>1</v>
      </c>
      <c r="I557" s="16"/>
    </row>
    <row r="558" spans="1:9">
      <c r="A558" s="19">
        <v>42870</v>
      </c>
      <c r="B558" s="20">
        <v>65.053107999999995</v>
      </c>
      <c r="C558" s="21">
        <v>31530300</v>
      </c>
      <c r="D558" s="23">
        <f t="shared" si="21"/>
        <v>7.3091623394578025E-4</v>
      </c>
      <c r="E558" s="47">
        <v>2402.320068</v>
      </c>
      <c r="F558" s="48">
        <v>3473600000</v>
      </c>
      <c r="G558" s="20">
        <f t="shared" si="22"/>
        <v>4.7651422971946031E-3</v>
      </c>
      <c r="H558" s="22">
        <v>1</v>
      </c>
      <c r="I558" s="16"/>
    </row>
    <row r="559" spans="1:9">
      <c r="A559" s="19">
        <v>42871</v>
      </c>
      <c r="B559" s="20">
        <v>66.362967999999995</v>
      </c>
      <c r="C559" s="21">
        <v>34956000</v>
      </c>
      <c r="D559" s="23">
        <f t="shared" si="21"/>
        <v>1.9935207611500846E-2</v>
      </c>
      <c r="E559" s="47">
        <v>2400.669922</v>
      </c>
      <c r="F559" s="48">
        <v>3420790000</v>
      </c>
      <c r="G559" s="20">
        <f t="shared" si="22"/>
        <v>-6.871328353222825E-4</v>
      </c>
      <c r="H559" s="22">
        <v>1</v>
      </c>
      <c r="I559" s="16"/>
    </row>
    <row r="560" spans="1:9">
      <c r="A560" s="19">
        <v>42872</v>
      </c>
      <c r="B560" s="20">
        <v>64.517685</v>
      </c>
      <c r="C560" s="21">
        <v>30548800</v>
      </c>
      <c r="D560" s="23">
        <f t="shared" si="21"/>
        <v>-2.8199817794360427E-2</v>
      </c>
      <c r="E560" s="47">
        <v>2357.030029</v>
      </c>
      <c r="F560" s="48">
        <v>4163000000</v>
      </c>
      <c r="G560" s="20">
        <f t="shared" si="22"/>
        <v>-1.8345468349136904E-2</v>
      </c>
      <c r="H560" s="22">
        <v>1</v>
      </c>
      <c r="I560" s="16"/>
    </row>
    <row r="561" spans="1:9">
      <c r="A561" s="19">
        <v>42873</v>
      </c>
      <c r="B561" s="20">
        <v>64.737587000000005</v>
      </c>
      <c r="C561" s="21">
        <v>25201300</v>
      </c>
      <c r="D561" s="23">
        <f t="shared" si="21"/>
        <v>3.4026033717746511E-3</v>
      </c>
      <c r="E561" s="47">
        <v>2365.719971</v>
      </c>
      <c r="F561" s="48">
        <v>4319420000</v>
      </c>
      <c r="G561" s="20">
        <f t="shared" si="22"/>
        <v>3.6800388786592721E-3</v>
      </c>
      <c r="H561" s="22">
        <v>1</v>
      </c>
      <c r="I561" s="16"/>
    </row>
    <row r="562" spans="1:9">
      <c r="A562" s="19">
        <v>42874</v>
      </c>
      <c r="B562" s="20">
        <v>64.718474999999998</v>
      </c>
      <c r="C562" s="21">
        <v>26961100</v>
      </c>
      <c r="D562" s="23">
        <f t="shared" si="21"/>
        <v>-2.9526620605626876E-4</v>
      </c>
      <c r="E562" s="47">
        <v>2381.7299800000001</v>
      </c>
      <c r="F562" s="48">
        <v>3825160000</v>
      </c>
      <c r="G562" s="20">
        <f t="shared" si="22"/>
        <v>6.744702885899654E-3</v>
      </c>
      <c r="H562" s="22">
        <v>1</v>
      </c>
      <c r="I562" s="16"/>
    </row>
    <row r="563" spans="1:9">
      <c r="A563" s="19">
        <v>42877</v>
      </c>
      <c r="B563" s="20">
        <v>65.445098999999999</v>
      </c>
      <c r="C563" s="21">
        <v>16237600</v>
      </c>
      <c r="D563" s="23">
        <f t="shared" si="21"/>
        <v>1.1164898531311139E-2</v>
      </c>
      <c r="E563" s="47">
        <v>2394.0200199999999</v>
      </c>
      <c r="F563" s="48">
        <v>3172830000</v>
      </c>
      <c r="G563" s="20">
        <f t="shared" si="22"/>
        <v>5.1468636886192742E-3</v>
      </c>
      <c r="H563" s="22">
        <v>1</v>
      </c>
      <c r="I563" s="16"/>
    </row>
    <row r="564" spans="1:9">
      <c r="A564" s="19">
        <v>42878</v>
      </c>
      <c r="B564" s="20">
        <v>65.665008999999998</v>
      </c>
      <c r="C564" s="21">
        <v>15425800</v>
      </c>
      <c r="D564" s="23">
        <f t="shared" si="21"/>
        <v>3.3545881332865523E-3</v>
      </c>
      <c r="E564" s="47">
        <v>2398.419922</v>
      </c>
      <c r="F564" s="48">
        <v>3213570000</v>
      </c>
      <c r="G564" s="20">
        <f t="shared" si="22"/>
        <v>1.8361850286978481E-3</v>
      </c>
      <c r="H564" s="22">
        <v>1</v>
      </c>
      <c r="I564" s="16"/>
    </row>
    <row r="565" spans="1:9">
      <c r="A565" s="19">
        <v>42879</v>
      </c>
      <c r="B565" s="20">
        <v>65.751059999999995</v>
      </c>
      <c r="C565" s="21">
        <v>14593900</v>
      </c>
      <c r="D565" s="23">
        <f t="shared" si="21"/>
        <v>1.309596504494805E-3</v>
      </c>
      <c r="E565" s="47">
        <v>2404.389893</v>
      </c>
      <c r="F565" s="48">
        <v>3389900000</v>
      </c>
      <c r="G565" s="20">
        <f t="shared" si="22"/>
        <v>2.4860339279190358E-3</v>
      </c>
      <c r="H565" s="22">
        <v>1</v>
      </c>
      <c r="I565" s="16"/>
    </row>
    <row r="566" spans="1:9">
      <c r="A566" s="19">
        <v>42880</v>
      </c>
      <c r="B566" s="20">
        <v>66.563750999999996</v>
      </c>
      <c r="C566" s="21">
        <v>21854100</v>
      </c>
      <c r="D566" s="23">
        <f t="shared" si="21"/>
        <v>1.2284357492404665E-2</v>
      </c>
      <c r="E566" s="47">
        <v>2415.070068</v>
      </c>
      <c r="F566" s="48">
        <v>3535390000</v>
      </c>
      <c r="G566" s="20">
        <f t="shared" si="22"/>
        <v>4.4321117177126383E-3</v>
      </c>
      <c r="H566" s="22">
        <v>1</v>
      </c>
      <c r="I566" s="16"/>
    </row>
    <row r="567" spans="1:9">
      <c r="A567" s="19">
        <v>42881</v>
      </c>
      <c r="B567" s="20">
        <v>66.888801999999998</v>
      </c>
      <c r="C567" s="21">
        <v>19827900</v>
      </c>
      <c r="D567" s="23">
        <f t="shared" si="21"/>
        <v>4.8714188751061826E-3</v>
      </c>
      <c r="E567" s="47">
        <v>2415.820068</v>
      </c>
      <c r="F567" s="48">
        <v>2805040000</v>
      </c>
      <c r="G567" s="20">
        <f t="shared" si="22"/>
        <v>3.105017853485944E-4</v>
      </c>
      <c r="H567" s="22">
        <v>1</v>
      </c>
      <c r="I567" s="16"/>
    </row>
    <row r="568" spans="1:9">
      <c r="A568" s="19">
        <v>42885</v>
      </c>
      <c r="B568" s="20">
        <v>67.319076999999993</v>
      </c>
      <c r="C568" s="21">
        <v>17072800</v>
      </c>
      <c r="D568" s="23">
        <f t="shared" si="21"/>
        <v>6.4120896244082995E-3</v>
      </c>
      <c r="E568" s="47">
        <v>2412.9099120000001</v>
      </c>
      <c r="F568" s="48">
        <v>3203160000</v>
      </c>
      <c r="G568" s="20">
        <f t="shared" si="22"/>
        <v>-1.2053506261038615E-3</v>
      </c>
      <c r="H568" s="22">
        <v>1</v>
      </c>
      <c r="I568" s="16"/>
    </row>
    <row r="569" spans="1:9">
      <c r="A569" s="19">
        <v>42886</v>
      </c>
      <c r="B569" s="20">
        <v>66.774078000000003</v>
      </c>
      <c r="C569" s="21">
        <v>30436400</v>
      </c>
      <c r="D569" s="23">
        <f t="shared" si="21"/>
        <v>-8.1287072548552781E-3</v>
      </c>
      <c r="E569" s="47">
        <v>2411.8000489999999</v>
      </c>
      <c r="F569" s="48">
        <v>4516110000</v>
      </c>
      <c r="G569" s="20">
        <f t="shared" si="22"/>
        <v>-4.6007450335814259E-4</v>
      </c>
      <c r="H569" s="22">
        <v>1</v>
      </c>
      <c r="I569" s="16"/>
    </row>
    <row r="570" spans="1:9">
      <c r="A570" s="19">
        <v>42887</v>
      </c>
      <c r="B570" s="20">
        <v>67.022666999999998</v>
      </c>
      <c r="C570" s="21">
        <v>21603600</v>
      </c>
      <c r="D570" s="23">
        <f t="shared" si="21"/>
        <v>3.7159242707276766E-3</v>
      </c>
      <c r="E570" s="47">
        <v>2430.0600589999999</v>
      </c>
      <c r="F570" s="48">
        <v>3857140000</v>
      </c>
      <c r="G570" s="20">
        <f t="shared" si="22"/>
        <v>7.5425956807599771E-3</v>
      </c>
      <c r="H570" s="22">
        <v>1</v>
      </c>
      <c r="I570" s="16"/>
    </row>
    <row r="571" spans="1:9">
      <c r="A571" s="19">
        <v>42888</v>
      </c>
      <c r="B571" s="20">
        <v>68.609795000000005</v>
      </c>
      <c r="C571" s="21">
        <v>34770300</v>
      </c>
      <c r="D571" s="23">
        <f t="shared" si="21"/>
        <v>2.3404433186981079E-2</v>
      </c>
      <c r="E571" s="47">
        <v>2439.070068</v>
      </c>
      <c r="F571" s="48">
        <v>3461680000</v>
      </c>
      <c r="G571" s="20">
        <f t="shared" si="22"/>
        <v>3.7008743035282436E-3</v>
      </c>
      <c r="H571" s="22">
        <v>1</v>
      </c>
      <c r="I571" s="16"/>
    </row>
    <row r="572" spans="1:9">
      <c r="A572" s="19">
        <v>42891</v>
      </c>
      <c r="B572" s="20">
        <v>69.106971999999999</v>
      </c>
      <c r="C572" s="21">
        <v>33316800</v>
      </c>
      <c r="D572" s="23">
        <f t="shared" si="21"/>
        <v>7.2203141385030825E-3</v>
      </c>
      <c r="E572" s="47">
        <v>2436.1000979999999</v>
      </c>
      <c r="F572" s="48">
        <v>2912600000</v>
      </c>
      <c r="G572" s="20">
        <f t="shared" si="22"/>
        <v>-1.2184068519809704E-3</v>
      </c>
      <c r="H572" s="22">
        <v>1</v>
      </c>
      <c r="I572" s="16"/>
    </row>
    <row r="573" spans="1:9">
      <c r="A573" s="19">
        <v>42892</v>
      </c>
      <c r="B573" s="20">
        <v>69.336433</v>
      </c>
      <c r="C573" s="21">
        <v>31511100</v>
      </c>
      <c r="D573" s="23">
        <f t="shared" si="21"/>
        <v>3.314873830460596E-3</v>
      </c>
      <c r="E573" s="47">
        <v>2429.330078</v>
      </c>
      <c r="F573" s="48">
        <v>3357840000</v>
      </c>
      <c r="G573" s="20">
        <f t="shared" si="22"/>
        <v>-2.7829088587652804E-3</v>
      </c>
      <c r="H573" s="22">
        <v>1</v>
      </c>
      <c r="I573" s="16"/>
    </row>
    <row r="574" spans="1:9">
      <c r="A574" s="19">
        <v>42893</v>
      </c>
      <c r="B574" s="20">
        <v>69.212142999999998</v>
      </c>
      <c r="C574" s="21">
        <v>22301800</v>
      </c>
      <c r="D574" s="23">
        <f t="shared" si="21"/>
        <v>-1.7941726566914622E-3</v>
      </c>
      <c r="E574" s="47">
        <v>2433.139893</v>
      </c>
      <c r="F574" s="48">
        <v>3572300000</v>
      </c>
      <c r="G574" s="20">
        <f t="shared" si="22"/>
        <v>1.5670290211890142E-3</v>
      </c>
      <c r="H574" s="22">
        <v>1</v>
      </c>
      <c r="I574" s="16"/>
    </row>
    <row r="575" spans="1:9">
      <c r="A575" s="19">
        <v>42894</v>
      </c>
      <c r="B575" s="20">
        <v>68.791458000000006</v>
      </c>
      <c r="C575" s="21">
        <v>24588300</v>
      </c>
      <c r="D575" s="23">
        <f t="shared" si="21"/>
        <v>-6.0967438535315431E-3</v>
      </c>
      <c r="E575" s="47">
        <v>2433.790039</v>
      </c>
      <c r="F575" s="48">
        <v>3728860000</v>
      </c>
      <c r="G575" s="20">
        <f t="shared" si="22"/>
        <v>2.6716883659768292E-4</v>
      </c>
      <c r="H575" s="22">
        <v>1</v>
      </c>
      <c r="I575" s="16"/>
    </row>
    <row r="576" spans="1:9">
      <c r="A576" s="19">
        <v>42895</v>
      </c>
      <c r="B576" s="20">
        <v>67.233017000000004</v>
      </c>
      <c r="C576" s="21">
        <v>49187400</v>
      </c>
      <c r="D576" s="23">
        <f t="shared" si="21"/>
        <v>-2.2915128980887309E-2</v>
      </c>
      <c r="E576" s="47">
        <v>2431.7700199999999</v>
      </c>
      <c r="F576" s="48">
        <v>4027340000</v>
      </c>
      <c r="G576" s="20">
        <f t="shared" si="22"/>
        <v>-8.3033364774634012E-4</v>
      </c>
      <c r="H576" s="22">
        <v>1</v>
      </c>
      <c r="I576" s="16"/>
    </row>
    <row r="577" spans="1:9">
      <c r="A577" s="19">
        <v>42898</v>
      </c>
      <c r="B577" s="20">
        <v>66.716705000000005</v>
      </c>
      <c r="C577" s="21">
        <v>47761700</v>
      </c>
      <c r="D577" s="23">
        <f t="shared" si="21"/>
        <v>-7.7090799341699191E-3</v>
      </c>
      <c r="E577" s="47">
        <v>2429.389893</v>
      </c>
      <c r="F577" s="48">
        <v>4027750000</v>
      </c>
      <c r="G577" s="20">
        <f t="shared" si="22"/>
        <v>-9.7924249882421236E-4</v>
      </c>
      <c r="H577" s="22">
        <v>1</v>
      </c>
      <c r="I577" s="16"/>
    </row>
    <row r="578" spans="1:9">
      <c r="A578" s="19">
        <v>42899</v>
      </c>
      <c r="B578" s="20">
        <v>67.548523000000003</v>
      </c>
      <c r="C578" s="21">
        <v>25258600</v>
      </c>
      <c r="D578" s="23">
        <f t="shared" si="21"/>
        <v>1.2390827542803885E-2</v>
      </c>
      <c r="E578" s="47">
        <v>2440.3500979999999</v>
      </c>
      <c r="F578" s="48">
        <v>3275500000</v>
      </c>
      <c r="G578" s="20">
        <f t="shared" si="22"/>
        <v>4.5013588104362186E-3</v>
      </c>
      <c r="H578" s="22">
        <v>1</v>
      </c>
      <c r="I578" s="16"/>
    </row>
    <row r="579" spans="1:9">
      <c r="A579" s="19">
        <v>42900</v>
      </c>
      <c r="B579" s="20">
        <v>67.185210999999995</v>
      </c>
      <c r="C579" s="21">
        <v>25510700</v>
      </c>
      <c r="D579" s="23">
        <f t="shared" ref="D579:D642" si="23">LN(B579/B578)</f>
        <v>-5.3930499777684725E-3</v>
      </c>
      <c r="E579" s="47">
        <v>2437.919922</v>
      </c>
      <c r="F579" s="48">
        <v>3555590000</v>
      </c>
      <c r="G579" s="20">
        <f t="shared" ref="G579:G642" si="24">LN(E579/E578)</f>
        <v>-9.9632705490522574E-4</v>
      </c>
      <c r="H579" s="22">
        <v>1</v>
      </c>
      <c r="I579" s="16"/>
    </row>
    <row r="580" spans="1:9">
      <c r="A580" s="19">
        <v>42901</v>
      </c>
      <c r="B580" s="20">
        <v>66.831458999999995</v>
      </c>
      <c r="C580" s="21">
        <v>26068700</v>
      </c>
      <c r="D580" s="23">
        <f t="shared" si="23"/>
        <v>-5.2792361069481982E-3</v>
      </c>
      <c r="E580" s="47">
        <v>2432.459961</v>
      </c>
      <c r="F580" s="48">
        <v>3353050000</v>
      </c>
      <c r="G580" s="20">
        <f t="shared" si="24"/>
        <v>-2.242109822419468E-3</v>
      </c>
      <c r="H580" s="22">
        <v>1</v>
      </c>
      <c r="I580" s="16"/>
    </row>
    <row r="581" spans="1:9">
      <c r="A581" s="19">
        <v>42902</v>
      </c>
      <c r="B581" s="20">
        <v>66.927070999999998</v>
      </c>
      <c r="C581" s="21">
        <v>48345100</v>
      </c>
      <c r="D581" s="23">
        <f t="shared" si="23"/>
        <v>1.4296212179432713E-3</v>
      </c>
      <c r="E581" s="47">
        <v>2433.1499020000001</v>
      </c>
      <c r="F581" s="48">
        <v>5284720000</v>
      </c>
      <c r="G581" s="20">
        <f t="shared" si="24"/>
        <v>2.8359898308776774E-4</v>
      </c>
      <c r="H581" s="22">
        <v>1</v>
      </c>
      <c r="I581" s="16"/>
    </row>
    <row r="582" spans="1:9">
      <c r="A582" s="19">
        <v>42905</v>
      </c>
      <c r="B582" s="20">
        <v>67.758865</v>
      </c>
      <c r="C582" s="21">
        <v>23798300</v>
      </c>
      <c r="D582" s="23">
        <f t="shared" si="23"/>
        <v>1.2351765892940254E-2</v>
      </c>
      <c r="E582" s="47">
        <v>2453.459961</v>
      </c>
      <c r="F582" s="48">
        <v>3264700000</v>
      </c>
      <c r="G582" s="20">
        <f t="shared" si="24"/>
        <v>8.3125833736460205E-3</v>
      </c>
      <c r="H582" s="22">
        <v>1</v>
      </c>
      <c r="I582" s="16"/>
    </row>
    <row r="583" spans="1:9">
      <c r="A583" s="19">
        <v>42906</v>
      </c>
      <c r="B583" s="20">
        <v>66.841010999999995</v>
      </c>
      <c r="C583" s="21">
        <v>21512200</v>
      </c>
      <c r="D583" s="23">
        <f t="shared" si="23"/>
        <v>-1.3638470622301188E-2</v>
      </c>
      <c r="E583" s="47">
        <v>2437.030029</v>
      </c>
      <c r="F583" s="48">
        <v>3416510000</v>
      </c>
      <c r="G583" s="20">
        <f t="shared" si="24"/>
        <v>-6.7191605942243304E-3</v>
      </c>
      <c r="H583" s="22">
        <v>1</v>
      </c>
      <c r="I583" s="16"/>
    </row>
    <row r="584" spans="1:9">
      <c r="A584" s="19">
        <v>42907</v>
      </c>
      <c r="B584" s="20">
        <v>67.185210999999995</v>
      </c>
      <c r="C584" s="21">
        <v>19891100</v>
      </c>
      <c r="D584" s="23">
        <f t="shared" si="23"/>
        <v>5.1363196183659083E-3</v>
      </c>
      <c r="E584" s="47">
        <v>2435.610107</v>
      </c>
      <c r="F584" s="48">
        <v>3594820000</v>
      </c>
      <c r="G584" s="20">
        <f t="shared" si="24"/>
        <v>-5.8281424466445424E-4</v>
      </c>
      <c r="H584" s="22">
        <v>1</v>
      </c>
      <c r="I584" s="16"/>
    </row>
    <row r="585" spans="1:9">
      <c r="A585" s="19">
        <v>42908</v>
      </c>
      <c r="B585" s="20">
        <v>67.175644000000005</v>
      </c>
      <c r="C585" s="21">
        <v>22965700</v>
      </c>
      <c r="D585" s="23">
        <f t="shared" si="23"/>
        <v>-1.4240754892722043E-4</v>
      </c>
      <c r="E585" s="47">
        <v>2434.5</v>
      </c>
      <c r="F585" s="48">
        <v>3468210000</v>
      </c>
      <c r="G585" s="20">
        <f t="shared" si="24"/>
        <v>-4.5588579922685235E-4</v>
      </c>
      <c r="H585" s="22">
        <v>1</v>
      </c>
      <c r="I585" s="16"/>
    </row>
    <row r="586" spans="1:9">
      <c r="A586" s="19">
        <v>42909</v>
      </c>
      <c r="B586" s="20">
        <v>68.083939000000001</v>
      </c>
      <c r="C586" s="21">
        <v>27617300</v>
      </c>
      <c r="D586" s="23">
        <f t="shared" si="23"/>
        <v>1.3430599637776784E-2</v>
      </c>
      <c r="E586" s="47">
        <v>2438.3000489999999</v>
      </c>
      <c r="F586" s="48">
        <v>5278330000</v>
      </c>
      <c r="G586" s="20">
        <f t="shared" si="24"/>
        <v>1.5596986258985955E-3</v>
      </c>
      <c r="H586" s="22">
        <v>1</v>
      </c>
      <c r="I586" s="16"/>
    </row>
    <row r="587" spans="1:9">
      <c r="A587" s="19">
        <v>42912</v>
      </c>
      <c r="B587" s="20">
        <v>67.433784000000003</v>
      </c>
      <c r="C587" s="21">
        <v>19607000</v>
      </c>
      <c r="D587" s="23">
        <f t="shared" si="23"/>
        <v>-9.5952023661622192E-3</v>
      </c>
      <c r="E587" s="47">
        <v>2439.070068</v>
      </c>
      <c r="F587" s="48">
        <v>3238970000</v>
      </c>
      <c r="G587" s="20">
        <f t="shared" si="24"/>
        <v>3.1575172190189825E-4</v>
      </c>
      <c r="H587" s="22">
        <v>1</v>
      </c>
      <c r="I587" s="16"/>
    </row>
    <row r="588" spans="1:9">
      <c r="A588" s="19">
        <v>42913</v>
      </c>
      <c r="B588" s="20">
        <v>66.171738000000005</v>
      </c>
      <c r="C588" s="21">
        <v>25215100</v>
      </c>
      <c r="D588" s="23">
        <f t="shared" si="23"/>
        <v>-1.8892685268761641E-2</v>
      </c>
      <c r="E588" s="47">
        <v>2419.3798830000001</v>
      </c>
      <c r="F588" s="48">
        <v>3563910000</v>
      </c>
      <c r="G588" s="20">
        <f t="shared" si="24"/>
        <v>-8.1055863508326578E-3</v>
      </c>
      <c r="H588" s="22">
        <v>1</v>
      </c>
      <c r="I588" s="16"/>
    </row>
    <row r="589" spans="1:9">
      <c r="A589" s="19">
        <v>42914</v>
      </c>
      <c r="B589" s="20">
        <v>66.735847000000007</v>
      </c>
      <c r="C589" s="21">
        <v>25806200</v>
      </c>
      <c r="D589" s="23">
        <f t="shared" si="23"/>
        <v>8.4887914779397337E-3</v>
      </c>
      <c r="E589" s="47">
        <v>2440.6899410000001</v>
      </c>
      <c r="F589" s="48">
        <v>3500800000</v>
      </c>
      <c r="G589" s="20">
        <f t="shared" si="24"/>
        <v>8.7695014026030957E-3</v>
      </c>
      <c r="H589" s="22">
        <v>1</v>
      </c>
      <c r="I589" s="16"/>
    </row>
    <row r="590" spans="1:9">
      <c r="A590" s="19">
        <v>42915</v>
      </c>
      <c r="B590" s="20">
        <v>65.483352999999994</v>
      </c>
      <c r="C590" s="21">
        <v>28918700</v>
      </c>
      <c r="D590" s="23">
        <f t="shared" si="23"/>
        <v>-1.8946287169094855E-2</v>
      </c>
      <c r="E590" s="47">
        <v>2419.6999510000001</v>
      </c>
      <c r="F590" s="48">
        <v>3900280000</v>
      </c>
      <c r="G590" s="20">
        <f t="shared" si="24"/>
        <v>-8.6372167487240945E-3</v>
      </c>
      <c r="H590" s="22">
        <v>1</v>
      </c>
      <c r="I590" s="16"/>
    </row>
    <row r="591" spans="1:9">
      <c r="A591" s="19">
        <v>42916</v>
      </c>
      <c r="B591" s="20">
        <v>65.904030000000006</v>
      </c>
      <c r="C591" s="21">
        <v>24161100</v>
      </c>
      <c r="D591" s="23">
        <f t="shared" si="23"/>
        <v>6.4036352340090773E-3</v>
      </c>
      <c r="E591" s="47">
        <v>2423.4099120000001</v>
      </c>
      <c r="F591" s="48">
        <v>3361590000</v>
      </c>
      <c r="G591" s="20">
        <f t="shared" si="24"/>
        <v>1.532057636772409E-3</v>
      </c>
      <c r="H591" s="22">
        <v>1</v>
      </c>
      <c r="I591" s="16"/>
    </row>
    <row r="592" spans="1:9">
      <c r="A592" s="19">
        <v>42919</v>
      </c>
      <c r="B592" s="20">
        <v>65.177391</v>
      </c>
      <c r="C592" s="21">
        <v>16165500</v>
      </c>
      <c r="D592" s="23">
        <f t="shared" si="23"/>
        <v>-1.1086947908740097E-2</v>
      </c>
      <c r="E592" s="47">
        <v>2429.01001</v>
      </c>
      <c r="F592" s="48">
        <v>1962290000</v>
      </c>
      <c r="G592" s="20">
        <f t="shared" si="24"/>
        <v>2.3081681207700998E-3</v>
      </c>
      <c r="H592" s="22">
        <v>1</v>
      </c>
      <c r="I592" s="16"/>
    </row>
    <row r="593" spans="1:9">
      <c r="A593" s="19">
        <v>42921</v>
      </c>
      <c r="B593" s="20">
        <v>66.047439999999995</v>
      </c>
      <c r="C593" s="21">
        <v>21176300</v>
      </c>
      <c r="D593" s="23">
        <f t="shared" si="23"/>
        <v>1.32606267084719E-2</v>
      </c>
      <c r="E593" s="47">
        <v>2432.540039</v>
      </c>
      <c r="F593" s="48">
        <v>3367220000</v>
      </c>
      <c r="G593" s="20">
        <f t="shared" si="24"/>
        <v>1.4522239141054789E-3</v>
      </c>
      <c r="H593" s="22">
        <v>1</v>
      </c>
      <c r="I593" s="16"/>
    </row>
    <row r="594" spans="1:9">
      <c r="A594" s="19">
        <v>42922</v>
      </c>
      <c r="B594" s="20">
        <v>65.559837000000002</v>
      </c>
      <c r="C594" s="21">
        <v>21117600</v>
      </c>
      <c r="D594" s="23">
        <f t="shared" si="23"/>
        <v>-7.4100041005069443E-3</v>
      </c>
      <c r="E594" s="47">
        <v>2409.75</v>
      </c>
      <c r="F594" s="48">
        <v>3364520000</v>
      </c>
      <c r="G594" s="20">
        <f t="shared" si="24"/>
        <v>-9.4129872811729385E-3</v>
      </c>
      <c r="H594" s="22">
        <v>1</v>
      </c>
      <c r="I594" s="16"/>
    </row>
    <row r="595" spans="1:9">
      <c r="A595" s="19">
        <v>42923</v>
      </c>
      <c r="B595" s="20">
        <v>66.410767000000007</v>
      </c>
      <c r="C595" s="21">
        <v>16878300</v>
      </c>
      <c r="D595" s="23">
        <f t="shared" si="23"/>
        <v>1.2895929350948764E-2</v>
      </c>
      <c r="E595" s="47">
        <v>2425.179932</v>
      </c>
      <c r="F595" s="48">
        <v>2901330000</v>
      </c>
      <c r="G595" s="20">
        <f t="shared" si="24"/>
        <v>6.3827127178005495E-3</v>
      </c>
      <c r="H595" s="22">
        <v>1</v>
      </c>
      <c r="I595" s="16"/>
    </row>
    <row r="596" spans="1:9">
      <c r="A596" s="19">
        <v>42926</v>
      </c>
      <c r="B596" s="20">
        <v>66.907944000000001</v>
      </c>
      <c r="C596" s="21">
        <v>15014500</v>
      </c>
      <c r="D596" s="23">
        <f t="shared" si="23"/>
        <v>7.4585075278742301E-3</v>
      </c>
      <c r="E596" s="47">
        <v>2427.429932</v>
      </c>
      <c r="F596" s="48">
        <v>2999130000</v>
      </c>
      <c r="G596" s="20">
        <f t="shared" si="24"/>
        <v>9.2733610337524723E-4</v>
      </c>
      <c r="H596" s="22">
        <v>1</v>
      </c>
      <c r="I596" s="16"/>
    </row>
    <row r="597" spans="1:9">
      <c r="A597" s="19">
        <v>42927</v>
      </c>
      <c r="B597" s="20">
        <v>66.917488000000006</v>
      </c>
      <c r="C597" s="21">
        <v>17460000</v>
      </c>
      <c r="D597" s="23">
        <f t="shared" si="23"/>
        <v>1.4263357679557205E-4</v>
      </c>
      <c r="E597" s="47">
        <v>2425.530029</v>
      </c>
      <c r="F597" s="48">
        <v>3106750000</v>
      </c>
      <c r="G597" s="20">
        <f t="shared" si="24"/>
        <v>-7.8298733652557018E-4</v>
      </c>
      <c r="H597" s="22">
        <v>1</v>
      </c>
      <c r="I597" s="16"/>
    </row>
    <row r="598" spans="1:9">
      <c r="A598" s="19">
        <v>42928</v>
      </c>
      <c r="B598" s="20">
        <v>68.026588000000004</v>
      </c>
      <c r="C598" s="21">
        <v>17750900</v>
      </c>
      <c r="D598" s="23">
        <f t="shared" si="23"/>
        <v>1.6438290699486855E-2</v>
      </c>
      <c r="E598" s="47">
        <v>2443.25</v>
      </c>
      <c r="F598" s="48">
        <v>3171620000</v>
      </c>
      <c r="G598" s="20">
        <f t="shared" si="24"/>
        <v>7.2790510702173033E-3</v>
      </c>
      <c r="H598" s="22">
        <v>1</v>
      </c>
      <c r="I598" s="16"/>
    </row>
    <row r="599" spans="1:9">
      <c r="A599" s="19">
        <v>42929</v>
      </c>
      <c r="B599" s="20">
        <v>68.619354000000001</v>
      </c>
      <c r="C599" s="21">
        <v>20269800</v>
      </c>
      <c r="D599" s="23">
        <f t="shared" si="23"/>
        <v>8.6759944654972079E-3</v>
      </c>
      <c r="E599" s="47">
        <v>2447.830078</v>
      </c>
      <c r="F599" s="48">
        <v>3067670000</v>
      </c>
      <c r="G599" s="20">
        <f t="shared" si="24"/>
        <v>1.8728294224074943E-3</v>
      </c>
      <c r="H599" s="22">
        <v>1</v>
      </c>
      <c r="I599" s="16"/>
    </row>
    <row r="600" spans="1:9">
      <c r="A600" s="19">
        <v>42930</v>
      </c>
      <c r="B600" s="20">
        <v>69.585030000000003</v>
      </c>
      <c r="C600" s="21">
        <v>25868100</v>
      </c>
      <c r="D600" s="23">
        <f t="shared" si="23"/>
        <v>1.397483477809822E-2</v>
      </c>
      <c r="E600" s="47">
        <v>2459.2700199999999</v>
      </c>
      <c r="F600" s="48">
        <v>2736640000</v>
      </c>
      <c r="G600" s="20">
        <f t="shared" si="24"/>
        <v>4.6626164116802295E-3</v>
      </c>
      <c r="H600" s="22">
        <v>1</v>
      </c>
      <c r="I600" s="16"/>
    </row>
    <row r="601" spans="1:9">
      <c r="A601" s="19">
        <v>42933</v>
      </c>
      <c r="B601" s="20">
        <v>70.129997000000003</v>
      </c>
      <c r="C601" s="21">
        <v>21803900</v>
      </c>
      <c r="D601" s="23">
        <f t="shared" si="23"/>
        <v>7.8011617719977496E-3</v>
      </c>
      <c r="E601" s="47">
        <v>2459.139893</v>
      </c>
      <c r="F601" s="48">
        <v>2793170000</v>
      </c>
      <c r="G601" s="20">
        <f t="shared" si="24"/>
        <v>-5.2914255758300215E-5</v>
      </c>
      <c r="H601" s="22">
        <v>1</v>
      </c>
      <c r="I601" s="16"/>
    </row>
    <row r="602" spans="1:9">
      <c r="A602" s="19">
        <v>42934</v>
      </c>
      <c r="B602" s="20">
        <v>70.082190999999995</v>
      </c>
      <c r="C602" s="21">
        <v>26435300</v>
      </c>
      <c r="D602" s="23">
        <f t="shared" si="23"/>
        <v>-6.8190936229443335E-4</v>
      </c>
      <c r="E602" s="47">
        <v>2460.610107</v>
      </c>
      <c r="F602" s="48">
        <v>2962130000</v>
      </c>
      <c r="G602" s="20">
        <f t="shared" si="24"/>
        <v>5.9767835510570659E-4</v>
      </c>
      <c r="H602" s="22">
        <v>1</v>
      </c>
      <c r="I602" s="16"/>
    </row>
    <row r="603" spans="1:9">
      <c r="A603" s="19">
        <v>42935</v>
      </c>
      <c r="B603" s="20">
        <v>70.617607000000007</v>
      </c>
      <c r="C603" s="21">
        <v>22416200</v>
      </c>
      <c r="D603" s="23">
        <f t="shared" si="23"/>
        <v>7.6107939324657212E-3</v>
      </c>
      <c r="E603" s="47">
        <v>2473.830078</v>
      </c>
      <c r="F603" s="48">
        <v>3059760000</v>
      </c>
      <c r="G603" s="20">
        <f t="shared" si="24"/>
        <v>5.3582583369758633E-3</v>
      </c>
      <c r="H603" s="22">
        <v>1</v>
      </c>
      <c r="I603" s="16"/>
    </row>
    <row r="604" spans="1:9">
      <c r="A604" s="19">
        <v>42936</v>
      </c>
      <c r="B604" s="20">
        <v>70.961806999999993</v>
      </c>
      <c r="C604" s="21">
        <v>42361000</v>
      </c>
      <c r="D604" s="23">
        <f t="shared" si="23"/>
        <v>4.8622983865369779E-3</v>
      </c>
      <c r="E604" s="47">
        <v>2473.4499510000001</v>
      </c>
      <c r="F604" s="48">
        <v>3182780000</v>
      </c>
      <c r="G604" s="20">
        <f t="shared" si="24"/>
        <v>-1.5367110756601694E-4</v>
      </c>
      <c r="H604" s="22">
        <v>1</v>
      </c>
      <c r="I604" s="16"/>
    </row>
    <row r="605" spans="1:9">
      <c r="A605" s="19">
        <v>42937</v>
      </c>
      <c r="B605" s="20">
        <v>70.550681999999995</v>
      </c>
      <c r="C605" s="21">
        <v>46717100</v>
      </c>
      <c r="D605" s="23">
        <f t="shared" si="23"/>
        <v>-5.8104575728234057E-3</v>
      </c>
      <c r="E605" s="47">
        <v>2472.540039</v>
      </c>
      <c r="F605" s="48">
        <v>3059570000</v>
      </c>
      <c r="G605" s="20">
        <f t="shared" si="24"/>
        <v>-3.6793928499852593E-4</v>
      </c>
      <c r="H605" s="22">
        <v>1</v>
      </c>
      <c r="I605" s="16"/>
    </row>
    <row r="606" spans="1:9">
      <c r="A606" s="19">
        <v>42940</v>
      </c>
      <c r="B606" s="20">
        <v>70.369026000000005</v>
      </c>
      <c r="C606" s="21">
        <v>21394800</v>
      </c>
      <c r="D606" s="23">
        <f t="shared" si="23"/>
        <v>-2.5781503978157031E-3</v>
      </c>
      <c r="E606" s="47">
        <v>2469.9099120000001</v>
      </c>
      <c r="F606" s="48">
        <v>3010240000</v>
      </c>
      <c r="G606" s="20">
        <f t="shared" si="24"/>
        <v>-1.0643010144140571E-3</v>
      </c>
      <c r="H606" s="22">
        <v>1</v>
      </c>
      <c r="I606" s="16"/>
    </row>
    <row r="607" spans="1:9">
      <c r="A607" s="19">
        <v>42941</v>
      </c>
      <c r="B607" s="20">
        <v>70.933136000000005</v>
      </c>
      <c r="C607" s="21">
        <v>22018700</v>
      </c>
      <c r="D607" s="23">
        <f t="shared" si="23"/>
        <v>7.9844920834341616E-3</v>
      </c>
      <c r="E607" s="47">
        <v>2477.1298830000001</v>
      </c>
      <c r="F607" s="48">
        <v>4108060000</v>
      </c>
      <c r="G607" s="20">
        <f t="shared" si="24"/>
        <v>2.9189076398735176E-3</v>
      </c>
      <c r="H607" s="22">
        <v>1</v>
      </c>
      <c r="I607" s="16"/>
    </row>
    <row r="608" spans="1:9">
      <c r="A608" s="19">
        <v>42942</v>
      </c>
      <c r="B608" s="20">
        <v>70.799262999999996</v>
      </c>
      <c r="C608" s="21">
        <v>16252200</v>
      </c>
      <c r="D608" s="23">
        <f t="shared" si="23"/>
        <v>-1.8890957996488824E-3</v>
      </c>
      <c r="E608" s="47">
        <v>2477.830078</v>
      </c>
      <c r="F608" s="48">
        <v>3557020000</v>
      </c>
      <c r="G608" s="20">
        <f t="shared" si="24"/>
        <v>2.8262387997962017E-4</v>
      </c>
      <c r="H608" s="22">
        <v>1</v>
      </c>
      <c r="I608" s="16"/>
    </row>
    <row r="609" spans="1:9">
      <c r="A609" s="19">
        <v>42943</v>
      </c>
      <c r="B609" s="20">
        <v>69.948340999999999</v>
      </c>
      <c r="C609" s="21">
        <v>36844200</v>
      </c>
      <c r="D609" s="23">
        <f t="shared" si="23"/>
        <v>-1.2091607151406758E-2</v>
      </c>
      <c r="E609" s="47">
        <v>2475.419922</v>
      </c>
      <c r="F609" s="48">
        <v>3995520000</v>
      </c>
      <c r="G609" s="20">
        <f t="shared" si="24"/>
        <v>-9.7316153644986159E-4</v>
      </c>
      <c r="H609" s="22">
        <v>1</v>
      </c>
      <c r="I609" s="16"/>
    </row>
    <row r="610" spans="1:9">
      <c r="A610" s="19">
        <v>42944</v>
      </c>
      <c r="B610" s="20">
        <v>69.833595000000003</v>
      </c>
      <c r="C610" s="21">
        <v>18306700</v>
      </c>
      <c r="D610" s="23">
        <f t="shared" si="23"/>
        <v>-1.6417861857979824E-3</v>
      </c>
      <c r="E610" s="47">
        <v>2472.1000979999999</v>
      </c>
      <c r="F610" s="48">
        <v>3294770000</v>
      </c>
      <c r="G610" s="20">
        <f t="shared" si="24"/>
        <v>-1.3420155895607954E-3</v>
      </c>
      <c r="H610" s="22">
        <v>1</v>
      </c>
      <c r="I610" s="16"/>
    </row>
    <row r="611" spans="1:9">
      <c r="A611" s="19">
        <v>42947</v>
      </c>
      <c r="B611" s="20">
        <v>69.508529999999993</v>
      </c>
      <c r="C611" s="21">
        <v>23600100</v>
      </c>
      <c r="D611" s="23">
        <f t="shared" si="23"/>
        <v>-4.6657188512514132E-3</v>
      </c>
      <c r="E611" s="47">
        <v>2470.3000489999999</v>
      </c>
      <c r="F611" s="48">
        <v>3469210000</v>
      </c>
      <c r="G611" s="20">
        <f t="shared" si="24"/>
        <v>-7.2841090403496719E-4</v>
      </c>
      <c r="H611" s="22">
        <v>1</v>
      </c>
      <c r="I611" s="16"/>
    </row>
    <row r="612" spans="1:9">
      <c r="A612" s="19">
        <v>42948</v>
      </c>
      <c r="B612" s="20">
        <v>69.393814000000006</v>
      </c>
      <c r="C612" s="21">
        <v>22132300</v>
      </c>
      <c r="D612" s="23">
        <f t="shared" si="23"/>
        <v>-1.6517507592447985E-3</v>
      </c>
      <c r="E612" s="47">
        <v>2476.3500979999999</v>
      </c>
      <c r="F612" s="48">
        <v>3460860000</v>
      </c>
      <c r="G612" s="20">
        <f t="shared" si="24"/>
        <v>2.4461208441749348E-3</v>
      </c>
      <c r="H612" s="22">
        <v>1</v>
      </c>
      <c r="I612" s="16"/>
    </row>
    <row r="613" spans="1:9">
      <c r="A613" s="19">
        <v>42949</v>
      </c>
      <c r="B613" s="20">
        <v>69.087851999999998</v>
      </c>
      <c r="C613" s="21">
        <v>26499200</v>
      </c>
      <c r="D613" s="23">
        <f t="shared" si="23"/>
        <v>-4.4188159586316085E-3</v>
      </c>
      <c r="E613" s="47">
        <v>2477.570068</v>
      </c>
      <c r="F613" s="48">
        <v>3478580000</v>
      </c>
      <c r="G613" s="20">
        <f t="shared" si="24"/>
        <v>4.9252712348291973E-4</v>
      </c>
      <c r="H613" s="22">
        <v>1</v>
      </c>
      <c r="I613" s="16"/>
    </row>
    <row r="614" spans="1:9">
      <c r="A614" s="19">
        <v>42950</v>
      </c>
      <c r="B614" s="20">
        <v>68.982680999999999</v>
      </c>
      <c r="C614" s="21">
        <v>18214400</v>
      </c>
      <c r="D614" s="23">
        <f t="shared" si="23"/>
        <v>-1.5234390431541154E-3</v>
      </c>
      <c r="E614" s="47">
        <v>2472.1599120000001</v>
      </c>
      <c r="F614" s="48">
        <v>3645020000</v>
      </c>
      <c r="G614" s="20">
        <f t="shared" si="24"/>
        <v>-2.1860417341370017E-3</v>
      </c>
      <c r="H614" s="22">
        <v>1</v>
      </c>
      <c r="I614" s="16"/>
    </row>
    <row r="615" spans="1:9">
      <c r="A615" s="19">
        <v>42951</v>
      </c>
      <c r="B615" s="20">
        <v>69.489418000000001</v>
      </c>
      <c r="C615" s="21">
        <v>22579000</v>
      </c>
      <c r="D615" s="23">
        <f t="shared" si="23"/>
        <v>7.3190088938762778E-3</v>
      </c>
      <c r="E615" s="47">
        <v>2476.830078</v>
      </c>
      <c r="F615" s="48">
        <v>3235140000</v>
      </c>
      <c r="G615" s="20">
        <f t="shared" si="24"/>
        <v>1.8873214113143176E-3</v>
      </c>
      <c r="H615" s="22">
        <v>1</v>
      </c>
      <c r="I615" s="16"/>
    </row>
    <row r="616" spans="1:9">
      <c r="A616" s="19">
        <v>42954</v>
      </c>
      <c r="B616" s="20">
        <v>69.221710000000002</v>
      </c>
      <c r="C616" s="21">
        <v>18705700</v>
      </c>
      <c r="D616" s="23">
        <f t="shared" si="23"/>
        <v>-3.8599402404802217E-3</v>
      </c>
      <c r="E616" s="47">
        <v>2480.9099120000001</v>
      </c>
      <c r="F616" s="48">
        <v>2931780000</v>
      </c>
      <c r="G616" s="20">
        <f t="shared" si="24"/>
        <v>1.6458446506615104E-3</v>
      </c>
      <c r="H616" s="22">
        <v>1</v>
      </c>
      <c r="I616" s="16"/>
    </row>
    <row r="617" spans="1:9">
      <c r="A617" s="19">
        <v>42955</v>
      </c>
      <c r="B617" s="20">
        <v>69.594582000000003</v>
      </c>
      <c r="C617" s="21">
        <v>22044600</v>
      </c>
      <c r="D617" s="23">
        <f t="shared" si="23"/>
        <v>5.3721777378385703E-3</v>
      </c>
      <c r="E617" s="47">
        <v>2474.919922</v>
      </c>
      <c r="F617" s="48">
        <v>3344640000</v>
      </c>
      <c r="G617" s="20">
        <f t="shared" si="24"/>
        <v>-2.4173521357919855E-3</v>
      </c>
      <c r="H617" s="22">
        <v>1</v>
      </c>
      <c r="I617" s="16"/>
    </row>
    <row r="618" spans="1:9">
      <c r="A618" s="19">
        <v>42956</v>
      </c>
      <c r="B618" s="20">
        <v>69.288634999999999</v>
      </c>
      <c r="C618" s="21">
        <v>22213400</v>
      </c>
      <c r="D618" s="23">
        <f t="shared" si="23"/>
        <v>-4.4058238498586415E-3</v>
      </c>
      <c r="E618" s="47">
        <v>2474.0200199999999</v>
      </c>
      <c r="F618" s="48">
        <v>3308060000</v>
      </c>
      <c r="G618" s="20">
        <f t="shared" si="24"/>
        <v>-3.6367465375007732E-4</v>
      </c>
      <c r="H618" s="22">
        <v>1</v>
      </c>
      <c r="I618" s="16"/>
    </row>
    <row r="619" spans="1:9">
      <c r="A619" s="19">
        <v>42957</v>
      </c>
      <c r="B619" s="20">
        <v>68.275154000000001</v>
      </c>
      <c r="C619" s="21">
        <v>24734500</v>
      </c>
      <c r="D619" s="23">
        <f t="shared" si="23"/>
        <v>-1.4734972691603253E-2</v>
      </c>
      <c r="E619" s="47">
        <v>2438.209961</v>
      </c>
      <c r="F619" s="48">
        <v>3621070000</v>
      </c>
      <c r="G619" s="20">
        <f t="shared" si="24"/>
        <v>-1.4580218564576908E-2</v>
      </c>
      <c r="H619" s="22">
        <v>1</v>
      </c>
      <c r="I619" s="16"/>
    </row>
    <row r="620" spans="1:9">
      <c r="A620" s="19">
        <v>42958</v>
      </c>
      <c r="B620" s="20">
        <v>69.317313999999996</v>
      </c>
      <c r="C620" s="21">
        <v>21443700</v>
      </c>
      <c r="D620" s="23">
        <f t="shared" si="23"/>
        <v>1.514879331930615E-2</v>
      </c>
      <c r="E620" s="47">
        <v>2441.320068</v>
      </c>
      <c r="F620" s="48">
        <v>3159930000</v>
      </c>
      <c r="G620" s="20">
        <f t="shared" si="24"/>
        <v>1.2747569551484817E-3</v>
      </c>
      <c r="H620" s="22">
        <v>1</v>
      </c>
      <c r="I620" s="16"/>
    </row>
    <row r="621" spans="1:9">
      <c r="A621" s="19">
        <v>42961</v>
      </c>
      <c r="B621" s="20">
        <v>70.359459000000001</v>
      </c>
      <c r="C621" s="21">
        <v>20096600</v>
      </c>
      <c r="D621" s="23">
        <f t="shared" si="23"/>
        <v>1.4922514551373891E-2</v>
      </c>
      <c r="E621" s="47">
        <v>2465.8400879999999</v>
      </c>
      <c r="F621" s="48">
        <v>2822550000</v>
      </c>
      <c r="G621" s="20">
        <f t="shared" si="24"/>
        <v>9.9936514376108582E-3</v>
      </c>
      <c r="H621" s="22">
        <v>1</v>
      </c>
      <c r="I621" s="16"/>
    </row>
    <row r="622" spans="1:9">
      <c r="A622" s="19">
        <v>42962</v>
      </c>
      <c r="B622" s="20">
        <v>70.378692999999998</v>
      </c>
      <c r="C622" s="21">
        <v>19181400</v>
      </c>
      <c r="D622" s="23">
        <f t="shared" si="23"/>
        <v>2.7333029241064752E-4</v>
      </c>
      <c r="E622" s="47">
        <v>2464.610107</v>
      </c>
      <c r="F622" s="48">
        <v>2913100000</v>
      </c>
      <c r="G622" s="20">
        <f t="shared" si="24"/>
        <v>-4.9893254241267825E-4</v>
      </c>
      <c r="H622" s="22">
        <v>1</v>
      </c>
      <c r="I622" s="16"/>
    </row>
    <row r="623" spans="1:9">
      <c r="A623" s="19">
        <v>42963</v>
      </c>
      <c r="B623" s="20">
        <v>70.792000000000002</v>
      </c>
      <c r="C623" s="21">
        <v>18150400</v>
      </c>
      <c r="D623" s="23">
        <f t="shared" si="23"/>
        <v>5.8554388606984276E-3</v>
      </c>
      <c r="E623" s="47">
        <v>2468.110107</v>
      </c>
      <c r="F623" s="48">
        <v>2953650000</v>
      </c>
      <c r="G623" s="20">
        <f t="shared" si="24"/>
        <v>1.4190955235749438E-3</v>
      </c>
      <c r="H623" s="22">
        <v>1</v>
      </c>
      <c r="I623" s="16"/>
    </row>
    <row r="624" spans="1:9">
      <c r="A624" s="19">
        <v>42964</v>
      </c>
      <c r="B624" s="20">
        <v>69.590508</v>
      </c>
      <c r="C624" s="21">
        <v>22977500</v>
      </c>
      <c r="D624" s="23">
        <f t="shared" si="23"/>
        <v>-1.7117821235523693E-2</v>
      </c>
      <c r="E624" s="47">
        <v>2430.01001</v>
      </c>
      <c r="F624" s="48">
        <v>3142620000</v>
      </c>
      <c r="G624" s="20">
        <f t="shared" si="24"/>
        <v>-1.5557342219810788E-2</v>
      </c>
      <c r="H624" s="22">
        <v>1</v>
      </c>
      <c r="I624" s="16"/>
    </row>
    <row r="625" spans="1:9">
      <c r="A625" s="19">
        <v>42965</v>
      </c>
      <c r="B625" s="20">
        <v>69.677017000000006</v>
      </c>
      <c r="C625" s="21">
        <v>18761500</v>
      </c>
      <c r="D625" s="23">
        <f t="shared" si="23"/>
        <v>1.2423429098293855E-3</v>
      </c>
      <c r="E625" s="47">
        <v>2425.5500489999999</v>
      </c>
      <c r="F625" s="48">
        <v>3415680000</v>
      </c>
      <c r="G625" s="20">
        <f t="shared" si="24"/>
        <v>-1.8370536869419727E-3</v>
      </c>
      <c r="H625" s="22">
        <v>1</v>
      </c>
      <c r="I625" s="16"/>
    </row>
    <row r="626" spans="1:9">
      <c r="A626" s="19">
        <v>42968</v>
      </c>
      <c r="B626" s="20">
        <v>69.350211999999999</v>
      </c>
      <c r="C626" s="21">
        <v>17734800</v>
      </c>
      <c r="D626" s="23">
        <f t="shared" si="23"/>
        <v>-4.7013179257244979E-3</v>
      </c>
      <c r="E626" s="47">
        <v>2428.3701169999999</v>
      </c>
      <c r="F626" s="48">
        <v>2788150000</v>
      </c>
      <c r="G626" s="20">
        <f t="shared" si="24"/>
        <v>1.1619755664938251E-3</v>
      </c>
      <c r="H626" s="22">
        <v>1</v>
      </c>
      <c r="I626" s="16"/>
    </row>
    <row r="627" spans="1:9">
      <c r="A627" s="19">
        <v>42969</v>
      </c>
      <c r="B627" s="20">
        <v>70.321029999999993</v>
      </c>
      <c r="C627" s="21">
        <v>14343700</v>
      </c>
      <c r="D627" s="23">
        <f t="shared" si="23"/>
        <v>1.390169688252766E-2</v>
      </c>
      <c r="E627" s="47">
        <v>2452.51001</v>
      </c>
      <c r="F627" s="48">
        <v>2777490000</v>
      </c>
      <c r="G627" s="20">
        <f t="shared" si="24"/>
        <v>9.8916954334028386E-3</v>
      </c>
      <c r="H627" s="22">
        <v>1</v>
      </c>
      <c r="I627" s="16"/>
    </row>
    <row r="628" spans="1:9">
      <c r="A628" s="19">
        <v>42970</v>
      </c>
      <c r="B628" s="20">
        <v>69.898101999999994</v>
      </c>
      <c r="C628" s="21">
        <v>13766500</v>
      </c>
      <c r="D628" s="23">
        <f t="shared" si="23"/>
        <v>-6.0324048008673636E-3</v>
      </c>
      <c r="E628" s="47">
        <v>2444.040039</v>
      </c>
      <c r="F628" s="48">
        <v>2785290000</v>
      </c>
      <c r="G628" s="20">
        <f t="shared" si="24"/>
        <v>-3.4595702537768024E-3</v>
      </c>
      <c r="H628" s="22">
        <v>1</v>
      </c>
      <c r="I628" s="16"/>
    </row>
    <row r="629" spans="1:9">
      <c r="A629" s="19">
        <v>42971</v>
      </c>
      <c r="B629" s="20">
        <v>69.869254999999995</v>
      </c>
      <c r="C629" s="21">
        <v>17098300</v>
      </c>
      <c r="D629" s="23">
        <f t="shared" si="23"/>
        <v>-4.1278594700200051E-4</v>
      </c>
      <c r="E629" s="47">
        <v>2438.969971</v>
      </c>
      <c r="F629" s="48">
        <v>2846590000</v>
      </c>
      <c r="G629" s="20">
        <f t="shared" si="24"/>
        <v>-2.0766165998444643E-3</v>
      </c>
      <c r="H629" s="22">
        <v>1</v>
      </c>
      <c r="I629" s="16"/>
    </row>
    <row r="630" spans="1:9">
      <c r="A630" s="19">
        <v>42972</v>
      </c>
      <c r="B630" s="20">
        <v>69.994193999999993</v>
      </c>
      <c r="C630" s="21">
        <v>12794300</v>
      </c>
      <c r="D630" s="23">
        <f t="shared" si="23"/>
        <v>1.7865859039786481E-3</v>
      </c>
      <c r="E630" s="47">
        <v>2443.0500489999999</v>
      </c>
      <c r="F630" s="48">
        <v>2588780000</v>
      </c>
      <c r="G630" s="20">
        <f t="shared" si="24"/>
        <v>1.6714716175687365E-3</v>
      </c>
      <c r="H630" s="22">
        <v>1</v>
      </c>
      <c r="I630" s="16"/>
    </row>
    <row r="631" spans="1:9">
      <c r="A631" s="19">
        <v>42975</v>
      </c>
      <c r="B631" s="20">
        <v>70.003822</v>
      </c>
      <c r="C631" s="21">
        <v>14569700</v>
      </c>
      <c r="D631" s="23">
        <f t="shared" si="23"/>
        <v>1.3754480656608559E-4</v>
      </c>
      <c r="E631" s="47">
        <v>2444.23999</v>
      </c>
      <c r="F631" s="48">
        <v>2677700000</v>
      </c>
      <c r="G631" s="20">
        <f t="shared" si="24"/>
        <v>4.8695330705475671E-4</v>
      </c>
      <c r="H631" s="22">
        <v>1</v>
      </c>
      <c r="I631" s="16"/>
    </row>
    <row r="632" spans="1:9">
      <c r="A632" s="19">
        <v>42976</v>
      </c>
      <c r="B632" s="20">
        <v>70.215278999999995</v>
      </c>
      <c r="C632" s="21">
        <v>11478400</v>
      </c>
      <c r="D632" s="23">
        <f t="shared" si="23"/>
        <v>3.0160963633496119E-3</v>
      </c>
      <c r="E632" s="47">
        <v>2446.3000489999999</v>
      </c>
      <c r="F632" s="48">
        <v>2737580000</v>
      </c>
      <c r="G632" s="20">
        <f t="shared" si="24"/>
        <v>8.4246692815763099E-4</v>
      </c>
      <c r="H632" s="22">
        <v>1</v>
      </c>
      <c r="I632" s="16"/>
    </row>
    <row r="633" spans="1:9">
      <c r="A633" s="19">
        <v>42977</v>
      </c>
      <c r="B633" s="20">
        <v>71.138023000000004</v>
      </c>
      <c r="C633" s="21">
        <v>16897800</v>
      </c>
      <c r="D633" s="23">
        <f t="shared" si="23"/>
        <v>1.305603893926781E-2</v>
      </c>
      <c r="E633" s="47">
        <v>2457.5900879999999</v>
      </c>
      <c r="F633" s="48">
        <v>2633660000</v>
      </c>
      <c r="G633" s="20">
        <f t="shared" si="24"/>
        <v>4.6045317623068212E-3</v>
      </c>
      <c r="H633" s="22">
        <v>1</v>
      </c>
      <c r="I633" s="16"/>
    </row>
    <row r="634" spans="1:9">
      <c r="A634" s="19">
        <v>42978</v>
      </c>
      <c r="B634" s="20">
        <v>71.868545999999995</v>
      </c>
      <c r="C634" s="21">
        <v>27652800</v>
      </c>
      <c r="D634" s="23">
        <f t="shared" si="23"/>
        <v>1.0216724441662155E-2</v>
      </c>
      <c r="E634" s="47">
        <v>2471.6499020000001</v>
      </c>
      <c r="F634" s="48">
        <v>3348110000</v>
      </c>
      <c r="G634" s="20">
        <f t="shared" si="24"/>
        <v>5.7046734011315034E-3</v>
      </c>
      <c r="H634" s="22">
        <v>1</v>
      </c>
      <c r="I634" s="16"/>
    </row>
    <row r="635" spans="1:9">
      <c r="A635" s="19">
        <v>42979</v>
      </c>
      <c r="B635" s="20">
        <v>71.070746999999997</v>
      </c>
      <c r="C635" s="21">
        <v>21736200</v>
      </c>
      <c r="D635" s="23">
        <f t="shared" si="23"/>
        <v>-1.1162882755511439E-2</v>
      </c>
      <c r="E635" s="47">
        <v>2476.5500489999999</v>
      </c>
      <c r="F635" s="48">
        <v>2710730000</v>
      </c>
      <c r="G635" s="20">
        <f t="shared" si="24"/>
        <v>1.9805782508132293E-3</v>
      </c>
      <c r="H635" s="22">
        <v>1</v>
      </c>
      <c r="I635" s="16"/>
    </row>
    <row r="636" spans="1:9">
      <c r="A636" s="19">
        <v>42983</v>
      </c>
      <c r="B636" s="20">
        <v>70.753555000000006</v>
      </c>
      <c r="C636" s="21">
        <v>21556000</v>
      </c>
      <c r="D636" s="23">
        <f t="shared" si="23"/>
        <v>-4.4730349367868528E-3</v>
      </c>
      <c r="E636" s="47">
        <v>2457.8500979999999</v>
      </c>
      <c r="F636" s="48">
        <v>3490260000</v>
      </c>
      <c r="G636" s="20">
        <f t="shared" si="24"/>
        <v>-7.5794584816878553E-3</v>
      </c>
      <c r="H636" s="22">
        <v>1</v>
      </c>
      <c r="I636" s="16"/>
    </row>
    <row r="637" spans="1:9">
      <c r="A637" s="19">
        <v>42984</v>
      </c>
      <c r="B637" s="20">
        <v>70.551704000000001</v>
      </c>
      <c r="C637" s="21">
        <v>16535800</v>
      </c>
      <c r="D637" s="23">
        <f t="shared" si="23"/>
        <v>-2.8569515207526762E-3</v>
      </c>
      <c r="E637" s="47">
        <v>2465.540039</v>
      </c>
      <c r="F637" s="48">
        <v>3374410000</v>
      </c>
      <c r="G637" s="20">
        <f t="shared" si="24"/>
        <v>3.123842327936699E-3</v>
      </c>
      <c r="H637" s="22">
        <v>1</v>
      </c>
      <c r="I637" s="16"/>
    </row>
    <row r="638" spans="1:9">
      <c r="A638" s="19">
        <v>42985</v>
      </c>
      <c r="B638" s="20">
        <v>71.455214999999995</v>
      </c>
      <c r="C638" s="21">
        <v>17471200</v>
      </c>
      <c r="D638" s="23">
        <f t="shared" si="23"/>
        <v>1.2725058725881368E-2</v>
      </c>
      <c r="E638" s="47">
        <v>2465.1000979999999</v>
      </c>
      <c r="F638" s="48">
        <v>3353930000</v>
      </c>
      <c r="G638" s="20">
        <f t="shared" si="24"/>
        <v>-1.7845188005765874E-4</v>
      </c>
      <c r="H638" s="22">
        <v>1</v>
      </c>
      <c r="I638" s="16"/>
    </row>
    <row r="639" spans="1:9">
      <c r="A639" s="19">
        <v>42986</v>
      </c>
      <c r="B639" s="20">
        <v>71.109200000000001</v>
      </c>
      <c r="C639" s="21">
        <v>14703800</v>
      </c>
      <c r="D639" s="23">
        <f t="shared" si="23"/>
        <v>-4.8541661595843041E-3</v>
      </c>
      <c r="E639" s="47">
        <v>2461.429932</v>
      </c>
      <c r="F639" s="48">
        <v>3302490000</v>
      </c>
      <c r="G639" s="20">
        <f t="shared" si="24"/>
        <v>-1.4899601369018473E-3</v>
      </c>
      <c r="H639" s="22">
        <v>1</v>
      </c>
      <c r="I639" s="16"/>
    </row>
    <row r="640" spans="1:9">
      <c r="A640" s="19">
        <v>42989</v>
      </c>
      <c r="B640" s="20">
        <v>71.858924999999999</v>
      </c>
      <c r="C640" s="21">
        <v>17910400</v>
      </c>
      <c r="D640" s="23">
        <f t="shared" si="23"/>
        <v>1.0488098273365439E-2</v>
      </c>
      <c r="E640" s="47">
        <v>2488.110107</v>
      </c>
      <c r="F640" s="48">
        <v>3291760000</v>
      </c>
      <c r="G640" s="20">
        <f t="shared" si="24"/>
        <v>1.0780974881588173E-2</v>
      </c>
      <c r="H640" s="22">
        <v>1</v>
      </c>
      <c r="I640" s="16"/>
    </row>
    <row r="641" spans="1:9">
      <c r="A641" s="19">
        <v>42990</v>
      </c>
      <c r="B641" s="20">
        <v>71.782036000000005</v>
      </c>
      <c r="C641" s="21">
        <v>14394900</v>
      </c>
      <c r="D641" s="23">
        <f t="shared" si="23"/>
        <v>-1.0705721656052158E-3</v>
      </c>
      <c r="E641" s="47">
        <v>2496.4799800000001</v>
      </c>
      <c r="F641" s="48">
        <v>3230920000</v>
      </c>
      <c r="G641" s="20">
        <f t="shared" si="24"/>
        <v>3.3583025766751994E-3</v>
      </c>
      <c r="H641" s="22">
        <v>1</v>
      </c>
      <c r="I641" s="16"/>
    </row>
    <row r="642" spans="1:9">
      <c r="A642" s="19">
        <v>42991</v>
      </c>
      <c r="B642" s="20">
        <v>72.291472999999996</v>
      </c>
      <c r="C642" s="21">
        <v>13380800</v>
      </c>
      <c r="D642" s="23">
        <f t="shared" si="23"/>
        <v>7.0719333027703651E-3</v>
      </c>
      <c r="E642" s="47">
        <v>2498.3701169999999</v>
      </c>
      <c r="F642" s="48">
        <v>3368050000</v>
      </c>
      <c r="G642" s="20">
        <f t="shared" si="24"/>
        <v>7.5683436079784804E-4</v>
      </c>
      <c r="H642" s="22">
        <v>1</v>
      </c>
      <c r="I642" s="16"/>
    </row>
    <row r="643" spans="1:9">
      <c r="A643" s="19">
        <v>42992</v>
      </c>
      <c r="B643" s="20">
        <v>71.868545999999995</v>
      </c>
      <c r="C643" s="21">
        <v>15733900</v>
      </c>
      <c r="D643" s="23">
        <f t="shared" ref="D643:D706" si="25">LN(B643/B642)</f>
        <v>-5.8674827637765631E-3</v>
      </c>
      <c r="E643" s="47">
        <v>2495.6201169999999</v>
      </c>
      <c r="F643" s="48">
        <v>3414460000</v>
      </c>
      <c r="G643" s="20">
        <f t="shared" ref="G643:G706" si="26">LN(E643/E642)</f>
        <v>-1.101323850910665E-3</v>
      </c>
      <c r="H643" s="22">
        <v>1</v>
      </c>
      <c r="I643" s="16"/>
    </row>
    <row r="644" spans="1:9">
      <c r="A644" s="19">
        <v>42993</v>
      </c>
      <c r="B644" s="20">
        <v>72.387573000000003</v>
      </c>
      <c r="C644" s="21">
        <v>38578400</v>
      </c>
      <c r="D644" s="23">
        <f t="shared" si="25"/>
        <v>7.1959407096923627E-3</v>
      </c>
      <c r="E644" s="47">
        <v>2500.2299800000001</v>
      </c>
      <c r="F644" s="48">
        <v>4853170000</v>
      </c>
      <c r="G644" s="20">
        <f t="shared" si="26"/>
        <v>1.8454774338082527E-3</v>
      </c>
      <c r="H644" s="22">
        <v>1</v>
      </c>
      <c r="I644" s="16"/>
    </row>
    <row r="645" spans="1:9">
      <c r="A645" s="19">
        <v>42996</v>
      </c>
      <c r="B645" s="20">
        <v>72.243408000000002</v>
      </c>
      <c r="C645" s="21">
        <v>23307000</v>
      </c>
      <c r="D645" s="23">
        <f t="shared" si="25"/>
        <v>-1.9935569370974344E-3</v>
      </c>
      <c r="E645" s="47">
        <v>2503.8701169999999</v>
      </c>
      <c r="F645" s="48">
        <v>3194300000</v>
      </c>
      <c r="G645" s="20">
        <f t="shared" si="26"/>
        <v>1.4548620417280834E-3</v>
      </c>
      <c r="H645" s="22">
        <v>1</v>
      </c>
      <c r="I645" s="16"/>
    </row>
    <row r="646" spans="1:9">
      <c r="A646" s="19">
        <v>42997</v>
      </c>
      <c r="B646" s="20">
        <v>72.512550000000005</v>
      </c>
      <c r="C646" s="21">
        <v>16093300</v>
      </c>
      <c r="D646" s="23">
        <f t="shared" si="25"/>
        <v>3.71856625252398E-3</v>
      </c>
      <c r="E646" s="47">
        <v>2506.6499020000001</v>
      </c>
      <c r="F646" s="48">
        <v>3249100000</v>
      </c>
      <c r="G646" s="20">
        <f t="shared" si="26"/>
        <v>1.1095795544803473E-3</v>
      </c>
      <c r="H646" s="22">
        <v>1</v>
      </c>
      <c r="I646" s="16"/>
    </row>
    <row r="647" spans="1:9">
      <c r="A647" s="19">
        <v>42998</v>
      </c>
      <c r="B647" s="20">
        <v>72.031943999999996</v>
      </c>
      <c r="C647" s="21">
        <v>21587900</v>
      </c>
      <c r="D647" s="23">
        <f t="shared" si="25"/>
        <v>-6.649963036464787E-3</v>
      </c>
      <c r="E647" s="47">
        <v>2508.23999</v>
      </c>
      <c r="F647" s="48">
        <v>3530010000</v>
      </c>
      <c r="G647" s="20">
        <f t="shared" si="26"/>
        <v>6.3414674600274703E-4</v>
      </c>
      <c r="H647" s="22">
        <v>1</v>
      </c>
      <c r="I647" s="16"/>
    </row>
    <row r="648" spans="1:9">
      <c r="A648" s="19">
        <v>42999</v>
      </c>
      <c r="B648" s="20">
        <v>71.330260999999993</v>
      </c>
      <c r="C648" s="21">
        <v>19186100</v>
      </c>
      <c r="D648" s="23">
        <f t="shared" si="25"/>
        <v>-9.789031959026466E-3</v>
      </c>
      <c r="E648" s="47">
        <v>2500.6000979999999</v>
      </c>
      <c r="F648" s="48">
        <v>2930860000</v>
      </c>
      <c r="G648" s="20">
        <f t="shared" si="26"/>
        <v>-3.0505657160058717E-3</v>
      </c>
      <c r="H648" s="22">
        <v>1</v>
      </c>
      <c r="I648" s="16"/>
    </row>
    <row r="649" spans="1:9">
      <c r="A649" s="19">
        <v>43000</v>
      </c>
      <c r="B649" s="20">
        <v>71.522507000000004</v>
      </c>
      <c r="C649" s="21">
        <v>14111400</v>
      </c>
      <c r="D649" s="23">
        <f t="shared" si="25"/>
        <v>2.6915280501624084E-3</v>
      </c>
      <c r="E649" s="47">
        <v>2502.219971</v>
      </c>
      <c r="F649" s="48">
        <v>2865960000</v>
      </c>
      <c r="G649" s="20">
        <f t="shared" si="26"/>
        <v>6.4758397634472411E-4</v>
      </c>
      <c r="H649" s="22">
        <v>1</v>
      </c>
      <c r="I649" s="16"/>
    </row>
    <row r="650" spans="1:9">
      <c r="A650" s="19">
        <v>43003</v>
      </c>
      <c r="B650" s="20">
        <v>70.41713</v>
      </c>
      <c r="C650" s="21">
        <v>24149200</v>
      </c>
      <c r="D650" s="23">
        <f t="shared" si="25"/>
        <v>-1.5575625953720118E-2</v>
      </c>
      <c r="E650" s="47">
        <v>2496.6599120000001</v>
      </c>
      <c r="F650" s="48">
        <v>3297890000</v>
      </c>
      <c r="G650" s="20">
        <f t="shared" si="26"/>
        <v>-2.2245228623069533E-3</v>
      </c>
      <c r="H650" s="22">
        <v>1</v>
      </c>
      <c r="I650" s="16"/>
    </row>
    <row r="651" spans="1:9">
      <c r="A651" s="19">
        <v>43004</v>
      </c>
      <c r="B651" s="20">
        <v>70.41713</v>
      </c>
      <c r="C651" s="21">
        <v>18019600</v>
      </c>
      <c r="D651" s="23">
        <f t="shared" si="25"/>
        <v>0</v>
      </c>
      <c r="E651" s="47">
        <v>2496.8400879999999</v>
      </c>
      <c r="F651" s="48">
        <v>3043110000</v>
      </c>
      <c r="G651" s="20">
        <f t="shared" si="26"/>
        <v>7.2164213508689904E-5</v>
      </c>
      <c r="H651" s="22">
        <v>1</v>
      </c>
      <c r="I651" s="16"/>
    </row>
    <row r="652" spans="1:9">
      <c r="A652" s="19">
        <v>43005</v>
      </c>
      <c r="B652" s="20">
        <v>70.984238000000005</v>
      </c>
      <c r="C652" s="21">
        <v>19565100</v>
      </c>
      <c r="D652" s="23">
        <f t="shared" si="25"/>
        <v>8.0212949664849459E-3</v>
      </c>
      <c r="E652" s="47">
        <v>2507.040039</v>
      </c>
      <c r="F652" s="48">
        <v>3456030000</v>
      </c>
      <c r="G652" s="20">
        <f t="shared" si="26"/>
        <v>4.0768223332528133E-3</v>
      </c>
      <c r="H652" s="22">
        <v>1</v>
      </c>
      <c r="I652" s="16"/>
    </row>
    <row r="653" spans="1:9">
      <c r="A653" s="19">
        <v>43006</v>
      </c>
      <c r="B653" s="20">
        <v>71.003471000000005</v>
      </c>
      <c r="C653" s="21">
        <v>10883800</v>
      </c>
      <c r="D653" s="23">
        <f t="shared" si="25"/>
        <v>2.7091077464507944E-4</v>
      </c>
      <c r="E653" s="47">
        <v>2510.0600589999999</v>
      </c>
      <c r="F653" s="48">
        <v>3168620000</v>
      </c>
      <c r="G653" s="20">
        <f t="shared" si="26"/>
        <v>1.2038908157165553E-3</v>
      </c>
      <c r="H653" s="22">
        <v>1</v>
      </c>
      <c r="I653" s="16"/>
    </row>
    <row r="654" spans="1:9">
      <c r="A654" s="19">
        <v>43007</v>
      </c>
      <c r="B654" s="20">
        <v>71.599402999999995</v>
      </c>
      <c r="C654" s="21">
        <v>17079100</v>
      </c>
      <c r="D654" s="23">
        <f t="shared" si="25"/>
        <v>8.3579727726990072E-3</v>
      </c>
      <c r="E654" s="47">
        <v>2519.360107</v>
      </c>
      <c r="F654" s="48">
        <v>3211920000</v>
      </c>
      <c r="G654" s="20">
        <f t="shared" si="26"/>
        <v>3.6982627391968716E-3</v>
      </c>
      <c r="H654" s="22">
        <v>1</v>
      </c>
      <c r="I654" s="16"/>
    </row>
    <row r="655" spans="1:9">
      <c r="A655" s="19">
        <v>43010</v>
      </c>
      <c r="B655" s="20">
        <v>71.714737</v>
      </c>
      <c r="C655" s="21">
        <v>15304800</v>
      </c>
      <c r="D655" s="23">
        <f t="shared" si="25"/>
        <v>1.609527502289455E-3</v>
      </c>
      <c r="E655" s="47">
        <v>2529.1201169999999</v>
      </c>
      <c r="F655" s="48">
        <v>3199730000</v>
      </c>
      <c r="G655" s="20">
        <f t="shared" si="26"/>
        <v>3.8665189230292019E-3</v>
      </c>
      <c r="H655" s="22">
        <v>1</v>
      </c>
      <c r="I655" s="16"/>
    </row>
    <row r="656" spans="1:9">
      <c r="A656" s="19">
        <v>43011</v>
      </c>
      <c r="B656" s="20">
        <v>71.378333999999995</v>
      </c>
      <c r="C656" s="21">
        <v>12190400</v>
      </c>
      <c r="D656" s="23">
        <f t="shared" si="25"/>
        <v>-4.7018855267785976E-3</v>
      </c>
      <c r="E656" s="47">
        <v>2534.580078</v>
      </c>
      <c r="F656" s="48">
        <v>3068850000</v>
      </c>
      <c r="G656" s="20">
        <f t="shared" si="26"/>
        <v>2.1565112094796657E-3</v>
      </c>
      <c r="H656" s="22">
        <v>1</v>
      </c>
      <c r="I656" s="16"/>
    </row>
    <row r="657" spans="1:9">
      <c r="A657" s="19">
        <v>43012</v>
      </c>
      <c r="B657" s="20">
        <v>71.791640999999998</v>
      </c>
      <c r="C657" s="21">
        <v>13317700</v>
      </c>
      <c r="D657" s="23">
        <f t="shared" si="25"/>
        <v>5.7736707454368041E-3</v>
      </c>
      <c r="E657" s="47">
        <v>2537.73999</v>
      </c>
      <c r="F657" s="48">
        <v>3017120000</v>
      </c>
      <c r="G657" s="20">
        <f t="shared" si="26"/>
        <v>1.2459436180757644E-3</v>
      </c>
      <c r="H657" s="22">
        <v>1</v>
      </c>
      <c r="I657" s="16"/>
    </row>
    <row r="658" spans="1:9">
      <c r="A658" s="19">
        <v>43013</v>
      </c>
      <c r="B658" s="20">
        <v>73.021964999999994</v>
      </c>
      <c r="C658" s="21">
        <v>21195300</v>
      </c>
      <c r="D658" s="23">
        <f t="shared" si="25"/>
        <v>1.6992237636949112E-2</v>
      </c>
      <c r="E658" s="47">
        <v>2552.070068</v>
      </c>
      <c r="F658" s="48">
        <v>3045120000</v>
      </c>
      <c r="G658" s="20">
        <f t="shared" si="26"/>
        <v>5.6309039828313749E-3</v>
      </c>
      <c r="H658" s="22">
        <v>1</v>
      </c>
      <c r="I658" s="16"/>
    </row>
    <row r="659" spans="1:9">
      <c r="A659" s="19">
        <v>43014</v>
      </c>
      <c r="B659" s="20">
        <v>73.050811999999993</v>
      </c>
      <c r="C659" s="21">
        <v>13959800</v>
      </c>
      <c r="D659" s="23">
        <f t="shared" si="25"/>
        <v>3.9496750821699293E-4</v>
      </c>
      <c r="E659" s="47">
        <v>2549.330078</v>
      </c>
      <c r="F659" s="48">
        <v>2884570000</v>
      </c>
      <c r="G659" s="20">
        <f t="shared" si="26"/>
        <v>-1.0742110734551899E-3</v>
      </c>
      <c r="H659" s="22">
        <v>1</v>
      </c>
      <c r="I659" s="16"/>
    </row>
    <row r="660" spans="1:9">
      <c r="A660" s="19">
        <v>43017</v>
      </c>
      <c r="B660" s="20">
        <v>73.329559000000003</v>
      </c>
      <c r="C660" s="21">
        <v>11386500</v>
      </c>
      <c r="D660" s="23">
        <f t="shared" si="25"/>
        <v>3.808534368775947E-3</v>
      </c>
      <c r="E660" s="47">
        <v>2544.7299800000001</v>
      </c>
      <c r="F660" s="48">
        <v>2483970000</v>
      </c>
      <c r="G660" s="20">
        <f t="shared" si="26"/>
        <v>-1.8060640031853121E-3</v>
      </c>
      <c r="H660" s="22">
        <v>1</v>
      </c>
      <c r="I660" s="16"/>
    </row>
    <row r="661" spans="1:9">
      <c r="A661" s="19">
        <v>43018</v>
      </c>
      <c r="B661" s="20">
        <v>73.329559000000003</v>
      </c>
      <c r="C661" s="21">
        <v>13944500</v>
      </c>
      <c r="D661" s="23">
        <f t="shared" si="25"/>
        <v>0</v>
      </c>
      <c r="E661" s="47">
        <v>2550.639893</v>
      </c>
      <c r="F661" s="48">
        <v>2960500000</v>
      </c>
      <c r="G661" s="20">
        <f t="shared" si="26"/>
        <v>2.3197199800818369E-3</v>
      </c>
      <c r="H661" s="22">
        <v>1</v>
      </c>
      <c r="I661" s="16"/>
    </row>
    <row r="662" spans="1:9">
      <c r="A662" s="19">
        <v>43019</v>
      </c>
      <c r="B662" s="20">
        <v>73.454505999999995</v>
      </c>
      <c r="C662" s="21">
        <v>15388900</v>
      </c>
      <c r="D662" s="23">
        <f t="shared" si="25"/>
        <v>1.7024604159661754E-3</v>
      </c>
      <c r="E662" s="47">
        <v>2555.23999</v>
      </c>
      <c r="F662" s="48">
        <v>2976090000</v>
      </c>
      <c r="G662" s="20">
        <f t="shared" si="26"/>
        <v>1.8018826725406682E-3</v>
      </c>
      <c r="H662" s="22">
        <v>1</v>
      </c>
      <c r="I662" s="16"/>
    </row>
    <row r="663" spans="1:9">
      <c r="A663" s="19">
        <v>43020</v>
      </c>
      <c r="B663" s="20">
        <v>74.127335000000002</v>
      </c>
      <c r="C663" s="21">
        <v>16876500</v>
      </c>
      <c r="D663" s="23">
        <f t="shared" si="25"/>
        <v>9.1181090710511295E-3</v>
      </c>
      <c r="E663" s="47">
        <v>2550.929932</v>
      </c>
      <c r="F663" s="48">
        <v>3151510000</v>
      </c>
      <c r="G663" s="20">
        <f t="shared" si="26"/>
        <v>-1.688176887748127E-3</v>
      </c>
      <c r="H663" s="22">
        <v>1</v>
      </c>
      <c r="I663" s="16"/>
    </row>
    <row r="664" spans="1:9">
      <c r="A664" s="19">
        <v>43021</v>
      </c>
      <c r="B664" s="20">
        <v>74.482979</v>
      </c>
      <c r="C664" s="21">
        <v>15335700</v>
      </c>
      <c r="D664" s="23">
        <f t="shared" si="25"/>
        <v>4.786271818737085E-3</v>
      </c>
      <c r="E664" s="47">
        <v>2553.169922</v>
      </c>
      <c r="F664" s="48">
        <v>3149440000</v>
      </c>
      <c r="G664" s="20">
        <f t="shared" si="26"/>
        <v>8.7772191292505937E-4</v>
      </c>
      <c r="H664" s="22">
        <v>1</v>
      </c>
      <c r="I664" s="16"/>
    </row>
    <row r="665" spans="1:9">
      <c r="A665" s="19">
        <v>43024</v>
      </c>
      <c r="B665" s="20">
        <v>74.636780000000002</v>
      </c>
      <c r="C665" s="21">
        <v>12380100</v>
      </c>
      <c r="D665" s="23">
        <f t="shared" si="25"/>
        <v>2.0627857175702295E-3</v>
      </c>
      <c r="E665" s="47">
        <v>2557.639893</v>
      </c>
      <c r="F665" s="48">
        <v>2916020000</v>
      </c>
      <c r="G665" s="20">
        <f t="shared" si="26"/>
        <v>1.7492226482939653E-3</v>
      </c>
      <c r="H665" s="22">
        <v>1</v>
      </c>
      <c r="I665" s="16"/>
    </row>
    <row r="666" spans="1:9">
      <c r="A666" s="19">
        <v>43025</v>
      </c>
      <c r="B666" s="20">
        <v>74.579109000000003</v>
      </c>
      <c r="C666" s="21">
        <v>16824000</v>
      </c>
      <c r="D666" s="23">
        <f t="shared" si="25"/>
        <v>-7.7298742457087395E-4</v>
      </c>
      <c r="E666" s="47">
        <v>2559.360107</v>
      </c>
      <c r="F666" s="48">
        <v>2889390000</v>
      </c>
      <c r="G666" s="20">
        <f t="shared" si="26"/>
        <v>6.7235257565088588E-4</v>
      </c>
      <c r="H666" s="22">
        <v>1</v>
      </c>
      <c r="I666" s="16"/>
    </row>
    <row r="667" spans="1:9">
      <c r="A667" s="19">
        <v>43026</v>
      </c>
      <c r="B667" s="20">
        <v>74.598327999999995</v>
      </c>
      <c r="C667" s="21">
        <v>13300700</v>
      </c>
      <c r="D667" s="23">
        <f t="shared" si="25"/>
        <v>2.5766631325527034E-4</v>
      </c>
      <c r="E667" s="47">
        <v>2561.26001</v>
      </c>
      <c r="F667" s="48">
        <v>2998090000</v>
      </c>
      <c r="G667" s="20">
        <f t="shared" si="26"/>
        <v>7.4205976767338102E-4</v>
      </c>
      <c r="H667" s="22">
        <v>1</v>
      </c>
      <c r="I667" s="16"/>
    </row>
    <row r="668" spans="1:9">
      <c r="A668" s="19">
        <v>43027</v>
      </c>
      <c r="B668" s="20">
        <v>74.886696000000001</v>
      </c>
      <c r="C668" s="21">
        <v>15092800</v>
      </c>
      <c r="D668" s="23">
        <f t="shared" si="25"/>
        <v>3.8581571583444457E-3</v>
      </c>
      <c r="E668" s="47">
        <v>2562.1000979999999</v>
      </c>
      <c r="F668" s="48">
        <v>2990710000</v>
      </c>
      <c r="G668" s="20">
        <f t="shared" si="26"/>
        <v>3.2794415766991368E-4</v>
      </c>
      <c r="H668" s="22">
        <v>1</v>
      </c>
      <c r="I668" s="16"/>
    </row>
    <row r="669" spans="1:9">
      <c r="A669" s="19">
        <v>43028</v>
      </c>
      <c r="B669" s="20">
        <v>75.751769999999993</v>
      </c>
      <c r="C669" s="21">
        <v>22866400</v>
      </c>
      <c r="D669" s="23">
        <f t="shared" si="25"/>
        <v>1.1485559204868811E-2</v>
      </c>
      <c r="E669" s="47">
        <v>2575.209961</v>
      </c>
      <c r="F669" s="48">
        <v>3384650000</v>
      </c>
      <c r="G669" s="20">
        <f t="shared" si="26"/>
        <v>5.1037960751330715E-3</v>
      </c>
      <c r="H669" s="22">
        <v>1</v>
      </c>
      <c r="I669" s="16"/>
    </row>
    <row r="670" spans="1:9">
      <c r="A670" s="19">
        <v>43031</v>
      </c>
      <c r="B670" s="20">
        <v>75.770988000000003</v>
      </c>
      <c r="C670" s="21">
        <v>20627200</v>
      </c>
      <c r="D670" s="23">
        <f t="shared" si="25"/>
        <v>2.5366486667373816E-4</v>
      </c>
      <c r="E670" s="47">
        <v>2564.9799800000001</v>
      </c>
      <c r="F670" s="48">
        <v>3211710000</v>
      </c>
      <c r="G670" s="20">
        <f t="shared" si="26"/>
        <v>-3.9803955200169707E-3</v>
      </c>
      <c r="H670" s="22">
        <v>1</v>
      </c>
      <c r="I670" s="16"/>
    </row>
    <row r="671" spans="1:9">
      <c r="A671" s="19">
        <v>43032</v>
      </c>
      <c r="B671" s="20">
        <v>75.799819999999997</v>
      </c>
      <c r="C671" s="21">
        <v>17517200</v>
      </c>
      <c r="D671" s="23">
        <f t="shared" si="25"/>
        <v>3.8044265552434633E-4</v>
      </c>
      <c r="E671" s="47">
        <v>2569.1298830000001</v>
      </c>
      <c r="F671" s="48">
        <v>3427330000</v>
      </c>
      <c r="G671" s="20">
        <f t="shared" si="26"/>
        <v>1.6166011302900614E-3</v>
      </c>
      <c r="H671" s="22">
        <v>1</v>
      </c>
      <c r="I671" s="16"/>
    </row>
    <row r="672" spans="1:9">
      <c r="A672" s="19">
        <v>43033</v>
      </c>
      <c r="B672" s="20">
        <v>75.578757999999993</v>
      </c>
      <c r="C672" s="21">
        <v>20410800</v>
      </c>
      <c r="D672" s="23">
        <f t="shared" si="25"/>
        <v>-2.9206531077623382E-3</v>
      </c>
      <c r="E672" s="47">
        <v>2557.1499020000001</v>
      </c>
      <c r="F672" s="48">
        <v>3874510000</v>
      </c>
      <c r="G672" s="20">
        <f t="shared" si="26"/>
        <v>-4.673955894668895E-3</v>
      </c>
      <c r="H672" s="22">
        <v>1</v>
      </c>
      <c r="I672" s="16"/>
    </row>
    <row r="673" spans="1:9">
      <c r="A673" s="19">
        <v>43034</v>
      </c>
      <c r="B673" s="20">
        <v>75.703697000000005</v>
      </c>
      <c r="C673" s="21">
        <v>32120700</v>
      </c>
      <c r="D673" s="23">
        <f t="shared" si="25"/>
        <v>1.6517318998436311E-3</v>
      </c>
      <c r="E673" s="47">
        <v>2560.3999020000001</v>
      </c>
      <c r="F673" s="48">
        <v>3869050000</v>
      </c>
      <c r="G673" s="20">
        <f t="shared" si="26"/>
        <v>1.270139250772935E-3</v>
      </c>
      <c r="H673" s="22">
        <v>1</v>
      </c>
      <c r="I673" s="16"/>
    </row>
    <row r="674" spans="1:9">
      <c r="A674" s="19">
        <v>43035</v>
      </c>
      <c r="B674" s="20">
        <v>80.557732000000001</v>
      </c>
      <c r="C674" s="21">
        <v>71066700</v>
      </c>
      <c r="D674" s="23">
        <f t="shared" si="25"/>
        <v>6.2147098317109045E-2</v>
      </c>
      <c r="E674" s="47">
        <v>2581.070068</v>
      </c>
      <c r="F674" s="48">
        <v>3887110000</v>
      </c>
      <c r="G674" s="20">
        <f t="shared" si="26"/>
        <v>8.040609974748418E-3</v>
      </c>
      <c r="H674" s="22">
        <v>1</v>
      </c>
      <c r="I674" s="16"/>
    </row>
    <row r="675" spans="1:9">
      <c r="A675" s="19">
        <v>43038</v>
      </c>
      <c r="B675" s="20">
        <v>80.634636</v>
      </c>
      <c r="C675" s="21">
        <v>31756700</v>
      </c>
      <c r="D675" s="23">
        <f t="shared" si="25"/>
        <v>9.5418916899277998E-4</v>
      </c>
      <c r="E675" s="47">
        <v>2572.830078</v>
      </c>
      <c r="F675" s="48">
        <v>3658870000</v>
      </c>
      <c r="G675" s="20">
        <f t="shared" si="26"/>
        <v>-3.1975772860904912E-3</v>
      </c>
      <c r="H675" s="22">
        <v>1</v>
      </c>
      <c r="I675" s="16"/>
    </row>
    <row r="676" spans="1:9">
      <c r="A676" s="19">
        <v>43039</v>
      </c>
      <c r="B676" s="20">
        <v>79.952186999999995</v>
      </c>
      <c r="C676" s="21">
        <v>27086600</v>
      </c>
      <c r="D676" s="23">
        <f t="shared" si="25"/>
        <v>-8.4994907510489836E-3</v>
      </c>
      <c r="E676" s="47">
        <v>2575.26001</v>
      </c>
      <c r="F676" s="48">
        <v>3827230000</v>
      </c>
      <c r="G676" s="20">
        <f t="shared" si="26"/>
        <v>9.4401307627437045E-4</v>
      </c>
      <c r="H676" s="22">
        <v>1</v>
      </c>
      <c r="I676" s="16"/>
    </row>
    <row r="677" spans="1:9">
      <c r="A677" s="19">
        <v>43040</v>
      </c>
      <c r="B677" s="20">
        <v>79.952186999999995</v>
      </c>
      <c r="C677" s="21">
        <v>22307400</v>
      </c>
      <c r="D677" s="23">
        <f t="shared" si="25"/>
        <v>0</v>
      </c>
      <c r="E677" s="47">
        <v>2579.360107</v>
      </c>
      <c r="F677" s="48">
        <v>3813180000</v>
      </c>
      <c r="G677" s="20">
        <f t="shared" si="26"/>
        <v>1.5908438533357942E-3</v>
      </c>
      <c r="H677" s="22">
        <v>1</v>
      </c>
      <c r="I677" s="16"/>
    </row>
    <row r="678" spans="1:9">
      <c r="A678" s="19">
        <v>43041</v>
      </c>
      <c r="B678" s="20">
        <v>80.788428999999994</v>
      </c>
      <c r="C678" s="21">
        <v>23992900</v>
      </c>
      <c r="D678" s="23">
        <f t="shared" si="25"/>
        <v>1.0404956324170243E-2</v>
      </c>
      <c r="E678" s="47">
        <v>2579.8500979999999</v>
      </c>
      <c r="F678" s="48">
        <v>4048270000</v>
      </c>
      <c r="G678" s="20">
        <f t="shared" si="26"/>
        <v>1.8994806646887061E-4</v>
      </c>
      <c r="H678" s="22">
        <v>1</v>
      </c>
      <c r="I678" s="16"/>
    </row>
    <row r="679" spans="1:9">
      <c r="A679" s="19">
        <v>43042</v>
      </c>
      <c r="B679" s="20">
        <v>80.874931000000004</v>
      </c>
      <c r="C679" s="21">
        <v>17633500</v>
      </c>
      <c r="D679" s="23">
        <f t="shared" si="25"/>
        <v>1.0701498256046561E-3</v>
      </c>
      <c r="E679" s="47">
        <v>2587.8400879999999</v>
      </c>
      <c r="F679" s="48">
        <v>3567710000</v>
      </c>
      <c r="G679" s="20">
        <f t="shared" si="26"/>
        <v>3.0922892353351652E-3</v>
      </c>
      <c r="H679" s="22">
        <v>1</v>
      </c>
      <c r="I679" s="16"/>
    </row>
    <row r="680" spans="1:9">
      <c r="A680" s="19">
        <v>43045</v>
      </c>
      <c r="B680" s="20">
        <v>81.192138999999997</v>
      </c>
      <c r="C680" s="21">
        <v>19860900</v>
      </c>
      <c r="D680" s="23">
        <f t="shared" si="25"/>
        <v>3.9145324841498748E-3</v>
      </c>
      <c r="E680" s="47">
        <v>2591.1298830000001</v>
      </c>
      <c r="F680" s="48">
        <v>3539080000</v>
      </c>
      <c r="G680" s="20">
        <f t="shared" si="26"/>
        <v>1.2704439148736187E-3</v>
      </c>
      <c r="H680" s="22">
        <v>1</v>
      </c>
      <c r="I680" s="16"/>
    </row>
    <row r="681" spans="1:9">
      <c r="A681" s="19">
        <v>43046</v>
      </c>
      <c r="B681" s="20">
        <v>80.999877999999995</v>
      </c>
      <c r="C681" s="21">
        <v>17939700</v>
      </c>
      <c r="D681" s="23">
        <f t="shared" si="25"/>
        <v>-2.3707836379158256E-3</v>
      </c>
      <c r="E681" s="47">
        <v>2590.639893</v>
      </c>
      <c r="F681" s="48">
        <v>3809650000</v>
      </c>
      <c r="G681" s="20">
        <f t="shared" si="26"/>
        <v>-1.8912071459828347E-4</v>
      </c>
      <c r="H681" s="22">
        <v>1</v>
      </c>
      <c r="I681" s="16"/>
    </row>
    <row r="682" spans="1:9">
      <c r="A682" s="19">
        <v>43047</v>
      </c>
      <c r="B682" s="20">
        <v>81.278625000000005</v>
      </c>
      <c r="C682" s="21">
        <v>18034200</v>
      </c>
      <c r="D682" s="23">
        <f t="shared" si="25"/>
        <v>3.4354183579071431E-3</v>
      </c>
      <c r="E682" s="47">
        <v>2594.3798830000001</v>
      </c>
      <c r="F682" s="48">
        <v>3899360000</v>
      </c>
      <c r="G682" s="20">
        <f t="shared" si="26"/>
        <v>1.4426138414861736E-3</v>
      </c>
      <c r="H682" s="22">
        <v>1</v>
      </c>
      <c r="I682" s="16"/>
    </row>
    <row r="683" spans="1:9">
      <c r="A683" s="19">
        <v>43048</v>
      </c>
      <c r="B683" s="20">
        <v>80.826858999999999</v>
      </c>
      <c r="C683" s="21">
        <v>21178400</v>
      </c>
      <c r="D683" s="23">
        <f t="shared" si="25"/>
        <v>-5.5737432000680272E-3</v>
      </c>
      <c r="E683" s="47">
        <v>2584.6201169999999</v>
      </c>
      <c r="F683" s="48">
        <v>3831610000</v>
      </c>
      <c r="G683" s="20">
        <f t="shared" si="26"/>
        <v>-3.7689814841862911E-3</v>
      </c>
      <c r="H683" s="22">
        <v>1</v>
      </c>
      <c r="I683" s="16"/>
    </row>
    <row r="684" spans="1:9">
      <c r="A684" s="19">
        <v>43049</v>
      </c>
      <c r="B684" s="20">
        <v>80.615416999999994</v>
      </c>
      <c r="C684" s="21">
        <v>19397800</v>
      </c>
      <c r="D684" s="23">
        <f t="shared" si="25"/>
        <v>-2.619414519376737E-3</v>
      </c>
      <c r="E684" s="47">
        <v>2582.3000489999999</v>
      </c>
      <c r="F684" s="48">
        <v>3486910000</v>
      </c>
      <c r="G684" s="20">
        <f t="shared" si="26"/>
        <v>-8.9804683695034952E-4</v>
      </c>
      <c r="H684" s="22">
        <v>1</v>
      </c>
      <c r="I684" s="16"/>
    </row>
    <row r="685" spans="1:9">
      <c r="A685" s="19">
        <v>43052</v>
      </c>
      <c r="B685" s="20">
        <v>80.673079999999999</v>
      </c>
      <c r="C685" s="21">
        <v>14196900</v>
      </c>
      <c r="D685" s="23">
        <f t="shared" si="25"/>
        <v>7.1502932359483132E-4</v>
      </c>
      <c r="E685" s="47">
        <v>2584.8400879999999</v>
      </c>
      <c r="F685" s="48">
        <v>3402930000</v>
      </c>
      <c r="G685" s="20">
        <f t="shared" si="26"/>
        <v>9.831508870482928E-4</v>
      </c>
      <c r="H685" s="22">
        <v>1</v>
      </c>
      <c r="I685" s="16"/>
    </row>
    <row r="686" spans="1:9">
      <c r="A686" s="19">
        <v>43053</v>
      </c>
      <c r="B686" s="20">
        <v>80.788428999999994</v>
      </c>
      <c r="C686" s="21">
        <v>18801300</v>
      </c>
      <c r="D686" s="23">
        <f t="shared" si="25"/>
        <v>1.4288113661040619E-3</v>
      </c>
      <c r="E686" s="47">
        <v>2578.8701169999999</v>
      </c>
      <c r="F686" s="48">
        <v>3641760000</v>
      </c>
      <c r="G686" s="20">
        <f t="shared" si="26"/>
        <v>-2.3122806753022251E-3</v>
      </c>
      <c r="H686" s="22">
        <v>1</v>
      </c>
      <c r="I686" s="16"/>
    </row>
    <row r="687" spans="1:9">
      <c r="A687" s="19">
        <v>43054</v>
      </c>
      <c r="B687" s="20">
        <v>80.160522</v>
      </c>
      <c r="C687" s="21">
        <v>19383100</v>
      </c>
      <c r="D687" s="23">
        <f t="shared" si="25"/>
        <v>-7.8026005352264559E-3</v>
      </c>
      <c r="E687" s="47">
        <v>2564.6201169999999</v>
      </c>
      <c r="F687" s="48">
        <v>3558890000</v>
      </c>
      <c r="G687" s="20">
        <f t="shared" si="26"/>
        <v>-5.5409987425276332E-3</v>
      </c>
      <c r="H687" s="22">
        <v>1</v>
      </c>
      <c r="I687" s="16"/>
    </row>
    <row r="688" spans="1:9">
      <c r="A688" s="19">
        <v>43055</v>
      </c>
      <c r="B688" s="20">
        <v>80.373031999999995</v>
      </c>
      <c r="C688" s="21">
        <v>20962800</v>
      </c>
      <c r="D688" s="23">
        <f t="shared" si="25"/>
        <v>2.6475477411102375E-3</v>
      </c>
      <c r="E688" s="47">
        <v>2585.639893</v>
      </c>
      <c r="F688" s="48">
        <v>3312710000</v>
      </c>
      <c r="G688" s="20">
        <f t="shared" si="26"/>
        <v>8.1626530192433662E-3</v>
      </c>
      <c r="H688" s="22">
        <v>1</v>
      </c>
      <c r="I688" s="16"/>
    </row>
    <row r="689" spans="1:9">
      <c r="A689" s="19">
        <v>43056</v>
      </c>
      <c r="B689" s="20">
        <v>79.600227000000004</v>
      </c>
      <c r="C689" s="21">
        <v>22079000</v>
      </c>
      <c r="D689" s="23">
        <f t="shared" si="25"/>
        <v>-9.6617524274448773E-3</v>
      </c>
      <c r="E689" s="47">
        <v>2578.8500979999999</v>
      </c>
      <c r="F689" s="48">
        <v>3300160000</v>
      </c>
      <c r="G689" s="20">
        <f t="shared" si="26"/>
        <v>-2.6294170087623257E-3</v>
      </c>
      <c r="H689" s="22">
        <v>1</v>
      </c>
      <c r="I689" s="16"/>
    </row>
    <row r="690" spans="1:9">
      <c r="A690" s="19">
        <v>43059</v>
      </c>
      <c r="B690" s="20">
        <v>79.725800000000007</v>
      </c>
      <c r="C690" s="21">
        <v>16315000</v>
      </c>
      <c r="D690" s="23">
        <f t="shared" si="25"/>
        <v>1.5763027342826847E-3</v>
      </c>
      <c r="E690" s="47">
        <v>2582.139893</v>
      </c>
      <c r="F690" s="48">
        <v>3003540000</v>
      </c>
      <c r="G690" s="20">
        <f t="shared" si="26"/>
        <v>1.2748699188762996E-3</v>
      </c>
      <c r="H690" s="22">
        <v>1</v>
      </c>
      <c r="I690" s="16"/>
    </row>
    <row r="691" spans="1:9">
      <c r="A691" s="19">
        <v>43060</v>
      </c>
      <c r="B691" s="20">
        <v>80.875366</v>
      </c>
      <c r="C691" s="21">
        <v>21237500</v>
      </c>
      <c r="D691" s="23">
        <f t="shared" si="25"/>
        <v>1.4316030973795123E-2</v>
      </c>
      <c r="E691" s="47">
        <v>2599.030029</v>
      </c>
      <c r="F691" s="48">
        <v>3332720000</v>
      </c>
      <c r="G691" s="20">
        <f t="shared" si="26"/>
        <v>6.5198386021454125E-3</v>
      </c>
      <c r="H691" s="22">
        <v>1</v>
      </c>
      <c r="I691" s="16"/>
    </row>
    <row r="692" spans="1:9">
      <c r="A692" s="19">
        <v>43061</v>
      </c>
      <c r="B692" s="20">
        <v>80.286109999999994</v>
      </c>
      <c r="C692" s="21">
        <v>20553100</v>
      </c>
      <c r="D692" s="23">
        <f t="shared" si="25"/>
        <v>-7.3126486612891698E-3</v>
      </c>
      <c r="E692" s="47">
        <v>2597.080078</v>
      </c>
      <c r="F692" s="48">
        <v>2762950000</v>
      </c>
      <c r="G692" s="20">
        <f t="shared" si="26"/>
        <v>-7.5054263723523104E-4</v>
      </c>
      <c r="H692" s="22">
        <v>1</v>
      </c>
      <c r="I692" s="16"/>
    </row>
    <row r="693" spans="1:9">
      <c r="A693" s="19">
        <v>43063</v>
      </c>
      <c r="B693" s="20">
        <v>80.430992000000003</v>
      </c>
      <c r="C693" s="21">
        <v>7425600</v>
      </c>
      <c r="D693" s="23">
        <f t="shared" si="25"/>
        <v>1.8029448943927327E-3</v>
      </c>
      <c r="E693" s="47">
        <v>2602.419922</v>
      </c>
      <c r="F693" s="48">
        <v>1349780000</v>
      </c>
      <c r="G693" s="20">
        <f t="shared" si="26"/>
        <v>2.0539843743953862E-3</v>
      </c>
      <c r="H693" s="22">
        <v>1</v>
      </c>
      <c r="I693" s="16"/>
    </row>
    <row r="694" spans="1:9">
      <c r="A694" s="19">
        <v>43066</v>
      </c>
      <c r="B694" s="20">
        <v>81.020279000000002</v>
      </c>
      <c r="C694" s="21">
        <v>18265200</v>
      </c>
      <c r="D694" s="23">
        <f t="shared" si="25"/>
        <v>7.2999068165429904E-3</v>
      </c>
      <c r="E694" s="47">
        <v>2601.419922</v>
      </c>
      <c r="F694" s="48">
        <v>3006860000</v>
      </c>
      <c r="G694" s="20">
        <f t="shared" si="26"/>
        <v>-3.8433158678481715E-4</v>
      </c>
      <c r="H694" s="22">
        <v>1</v>
      </c>
      <c r="I694" s="16"/>
    </row>
    <row r="695" spans="1:9">
      <c r="A695" s="19">
        <v>43067</v>
      </c>
      <c r="B695" s="20">
        <v>81.995956000000007</v>
      </c>
      <c r="C695" s="21">
        <v>21926000</v>
      </c>
      <c r="D695" s="23">
        <f t="shared" si="25"/>
        <v>1.1970447612166072E-2</v>
      </c>
      <c r="E695" s="47">
        <v>2627.040039</v>
      </c>
      <c r="F695" s="48">
        <v>3488420000</v>
      </c>
      <c r="G695" s="20">
        <f t="shared" si="26"/>
        <v>9.8003321249518788E-3</v>
      </c>
      <c r="H695" s="22">
        <v>1</v>
      </c>
      <c r="I695" s="16"/>
    </row>
    <row r="696" spans="1:9">
      <c r="A696" s="19">
        <v>43068</v>
      </c>
      <c r="B696" s="20">
        <v>80.508278000000004</v>
      </c>
      <c r="C696" s="21">
        <v>27381100</v>
      </c>
      <c r="D696" s="23">
        <f t="shared" si="25"/>
        <v>-1.8309917539179574E-2</v>
      </c>
      <c r="E696" s="47">
        <v>2626.070068</v>
      </c>
      <c r="F696" s="48">
        <v>4078280000</v>
      </c>
      <c r="G696" s="20">
        <f t="shared" si="26"/>
        <v>-3.6929399584867401E-4</v>
      </c>
      <c r="H696" s="22">
        <v>1</v>
      </c>
      <c r="I696" s="16"/>
    </row>
    <row r="697" spans="1:9">
      <c r="A697" s="19">
        <v>43069</v>
      </c>
      <c r="B697" s="20">
        <v>81.310074</v>
      </c>
      <c r="C697" s="21">
        <v>33054600</v>
      </c>
      <c r="D697" s="23">
        <f t="shared" si="25"/>
        <v>9.9099088807149439E-3</v>
      </c>
      <c r="E697" s="47">
        <v>2647.580078</v>
      </c>
      <c r="F697" s="48">
        <v>4938490000</v>
      </c>
      <c r="G697" s="20">
        <f t="shared" si="26"/>
        <v>8.1575867524471251E-3</v>
      </c>
      <c r="H697" s="22">
        <v>1</v>
      </c>
      <c r="I697" s="16"/>
    </row>
    <row r="698" spans="1:9">
      <c r="A698" s="19">
        <v>43070</v>
      </c>
      <c r="B698" s="20">
        <v>81.397025999999997</v>
      </c>
      <c r="C698" s="21">
        <v>29532100</v>
      </c>
      <c r="D698" s="23">
        <f t="shared" si="25"/>
        <v>1.0688163980256784E-3</v>
      </c>
      <c r="E698" s="47">
        <v>2642.219971</v>
      </c>
      <c r="F698" s="48">
        <v>3942320000</v>
      </c>
      <c r="G698" s="20">
        <f t="shared" si="26"/>
        <v>-2.0265827762343275E-3</v>
      </c>
      <c r="H698" s="22">
        <v>1</v>
      </c>
      <c r="I698" s="16"/>
    </row>
    <row r="699" spans="1:9">
      <c r="A699" s="19">
        <v>43073</v>
      </c>
      <c r="B699" s="20">
        <v>78.325080999999997</v>
      </c>
      <c r="C699" s="21">
        <v>39094900</v>
      </c>
      <c r="D699" s="23">
        <f t="shared" si="25"/>
        <v>-3.8470865724226602E-2</v>
      </c>
      <c r="E699" s="47">
        <v>2639.4399410000001</v>
      </c>
      <c r="F699" s="48">
        <v>4023150000</v>
      </c>
      <c r="G699" s="20">
        <f t="shared" si="26"/>
        <v>-1.052710815559842E-3</v>
      </c>
      <c r="H699" s="22">
        <v>1</v>
      </c>
      <c r="I699" s="16"/>
    </row>
    <row r="700" spans="1:9">
      <c r="A700" s="19">
        <v>43074</v>
      </c>
      <c r="B700" s="20">
        <v>78.817734000000002</v>
      </c>
      <c r="C700" s="21">
        <v>26152300</v>
      </c>
      <c r="D700" s="23">
        <f t="shared" si="25"/>
        <v>6.2701513148409275E-3</v>
      </c>
      <c r="E700" s="47">
        <v>2629.570068</v>
      </c>
      <c r="F700" s="48">
        <v>3539040000</v>
      </c>
      <c r="G700" s="20">
        <f t="shared" si="26"/>
        <v>-3.7463905087070002E-3</v>
      </c>
      <c r="H700" s="22">
        <v>1</v>
      </c>
      <c r="I700" s="16"/>
    </row>
    <row r="701" spans="1:9">
      <c r="A701" s="19">
        <v>43075</v>
      </c>
      <c r="B701" s="20">
        <v>79.967299999999994</v>
      </c>
      <c r="C701" s="21">
        <v>26162100</v>
      </c>
      <c r="D701" s="23">
        <f t="shared" si="25"/>
        <v>1.447977880769807E-2</v>
      </c>
      <c r="E701" s="47">
        <v>2629.2700199999999</v>
      </c>
      <c r="F701" s="48">
        <v>3229000000</v>
      </c>
      <c r="G701" s="20">
        <f t="shared" si="26"/>
        <v>-1.1411185558209418E-4</v>
      </c>
      <c r="H701" s="22">
        <v>1</v>
      </c>
      <c r="I701" s="16"/>
    </row>
    <row r="702" spans="1:9">
      <c r="A702" s="19">
        <v>43076</v>
      </c>
      <c r="B702" s="20">
        <v>79.687149000000005</v>
      </c>
      <c r="C702" s="21">
        <v>23184500</v>
      </c>
      <c r="D702" s="23">
        <f t="shared" si="25"/>
        <v>-3.5094704756668317E-3</v>
      </c>
      <c r="E702" s="47">
        <v>2636.9799800000001</v>
      </c>
      <c r="F702" s="48">
        <v>3292400000</v>
      </c>
      <c r="G702" s="20">
        <f t="shared" si="26"/>
        <v>2.9280666540677323E-3</v>
      </c>
      <c r="H702" s="22">
        <v>1</v>
      </c>
      <c r="I702" s="16"/>
    </row>
    <row r="703" spans="1:9">
      <c r="A703" s="19">
        <v>43077</v>
      </c>
      <c r="B703" s="20">
        <v>81.300422999999995</v>
      </c>
      <c r="C703" s="21">
        <v>24489100</v>
      </c>
      <c r="D703" s="23">
        <f t="shared" si="25"/>
        <v>2.0042888855096745E-2</v>
      </c>
      <c r="E703" s="47">
        <v>2651.5</v>
      </c>
      <c r="F703" s="48">
        <v>3106150000</v>
      </c>
      <c r="G703" s="20">
        <f t="shared" si="26"/>
        <v>5.4912022132783626E-3</v>
      </c>
      <c r="H703" s="22">
        <v>1</v>
      </c>
      <c r="I703" s="16"/>
    </row>
    <row r="704" spans="1:9">
      <c r="A704" s="19">
        <v>43080</v>
      </c>
      <c r="B704" s="20">
        <v>82.334061000000005</v>
      </c>
      <c r="C704" s="21">
        <v>22857900</v>
      </c>
      <c r="D704" s="23">
        <f t="shared" si="25"/>
        <v>1.2633666485233203E-2</v>
      </c>
      <c r="E704" s="47">
        <v>2659.98999</v>
      </c>
      <c r="F704" s="48">
        <v>3091950000</v>
      </c>
      <c r="G704" s="20">
        <f t="shared" si="26"/>
        <v>3.1968420335846677E-3</v>
      </c>
      <c r="H704" s="22">
        <v>1</v>
      </c>
      <c r="I704" s="16"/>
    </row>
    <row r="705" spans="1:9">
      <c r="A705" s="19">
        <v>43081</v>
      </c>
      <c r="B705" s="20">
        <v>82.672165000000007</v>
      </c>
      <c r="C705" s="21">
        <v>23924100</v>
      </c>
      <c r="D705" s="23">
        <f t="shared" si="25"/>
        <v>4.0980814043230047E-3</v>
      </c>
      <c r="E705" s="47">
        <v>2664.110107</v>
      </c>
      <c r="F705" s="48">
        <v>3555680000</v>
      </c>
      <c r="G705" s="20">
        <f t="shared" si="26"/>
        <v>1.5477236518457054E-3</v>
      </c>
      <c r="H705" s="22">
        <v>1</v>
      </c>
      <c r="I705" s="16"/>
    </row>
    <row r="706" spans="1:9">
      <c r="A706" s="19">
        <v>43082</v>
      </c>
      <c r="B706" s="20">
        <v>82.449982000000006</v>
      </c>
      <c r="C706" s="21">
        <v>22062700</v>
      </c>
      <c r="D706" s="23">
        <f t="shared" si="25"/>
        <v>-2.6911366903609422E-3</v>
      </c>
      <c r="E706" s="47">
        <v>2662.8500979999999</v>
      </c>
      <c r="F706" s="48">
        <v>3542370000</v>
      </c>
      <c r="G706" s="20">
        <f t="shared" si="26"/>
        <v>-4.7306868270428188E-4</v>
      </c>
      <c r="H706" s="22">
        <v>1</v>
      </c>
      <c r="I706" s="16"/>
    </row>
    <row r="707" spans="1:9">
      <c r="A707" s="19">
        <v>43083</v>
      </c>
      <c r="B707" s="20">
        <v>81.812400999999994</v>
      </c>
      <c r="C707" s="21">
        <v>19306000</v>
      </c>
      <c r="D707" s="23">
        <f t="shared" ref="D707:D770" si="27">LN(B707/B706)</f>
        <v>-7.7629971061014998E-3</v>
      </c>
      <c r="E707" s="47">
        <v>2652.01001</v>
      </c>
      <c r="F707" s="48">
        <v>3430030000</v>
      </c>
      <c r="G707" s="20">
        <f t="shared" ref="G707:G770" si="28">LN(E707/E706)</f>
        <v>-4.0791677714772118E-3</v>
      </c>
      <c r="H707" s="22">
        <v>1</v>
      </c>
      <c r="I707" s="16"/>
    </row>
    <row r="708" spans="1:9">
      <c r="A708" s="19">
        <v>43084</v>
      </c>
      <c r="B708" s="20">
        <v>83.899017000000001</v>
      </c>
      <c r="C708" s="21">
        <v>53936700</v>
      </c>
      <c r="D708" s="23">
        <f t="shared" si="27"/>
        <v>2.5185063490207805E-2</v>
      </c>
      <c r="E708" s="47">
        <v>2675.8100589999999</v>
      </c>
      <c r="F708" s="48">
        <v>5723920000</v>
      </c>
      <c r="G708" s="20">
        <f t="shared" si="28"/>
        <v>8.934313473589495E-3</v>
      </c>
      <c r="H708" s="22">
        <v>1</v>
      </c>
      <c r="I708" s="16"/>
    </row>
    <row r="709" spans="1:9">
      <c r="A709" s="19">
        <v>43087</v>
      </c>
      <c r="B709" s="20">
        <v>83.444984000000005</v>
      </c>
      <c r="C709" s="21">
        <v>22283800</v>
      </c>
      <c r="D709" s="23">
        <f t="shared" si="27"/>
        <v>-5.4263566232770708E-3</v>
      </c>
      <c r="E709" s="47">
        <v>2690.1599120000001</v>
      </c>
      <c r="F709" s="48">
        <v>3724660000</v>
      </c>
      <c r="G709" s="20">
        <f t="shared" si="28"/>
        <v>5.3484783871170635E-3</v>
      </c>
      <c r="H709" s="22">
        <v>1</v>
      </c>
      <c r="I709" s="16"/>
    </row>
    <row r="710" spans="1:9">
      <c r="A710" s="19">
        <v>43088</v>
      </c>
      <c r="B710" s="20">
        <v>82.913680999999997</v>
      </c>
      <c r="C710" s="21">
        <v>23524800</v>
      </c>
      <c r="D710" s="23">
        <f t="shared" si="27"/>
        <v>-6.3874617701972867E-3</v>
      </c>
      <c r="E710" s="47">
        <v>2681.469971</v>
      </c>
      <c r="F710" s="48">
        <v>3368590000</v>
      </c>
      <c r="G710" s="20">
        <f t="shared" si="28"/>
        <v>-3.2354978917475585E-3</v>
      </c>
      <c r="H710" s="22">
        <v>1</v>
      </c>
      <c r="I710" s="16"/>
    </row>
    <row r="711" spans="1:9">
      <c r="A711" s="19">
        <v>43089</v>
      </c>
      <c r="B711" s="20">
        <v>82.614211999999995</v>
      </c>
      <c r="C711" s="21">
        <v>23674900</v>
      </c>
      <c r="D711" s="23">
        <f t="shared" si="27"/>
        <v>-3.6183548440730626E-3</v>
      </c>
      <c r="E711" s="47">
        <v>2679.25</v>
      </c>
      <c r="F711" s="48">
        <v>3241030000</v>
      </c>
      <c r="G711" s="20">
        <f t="shared" si="28"/>
        <v>-8.2823618428607023E-4</v>
      </c>
      <c r="H711" s="22">
        <v>1</v>
      </c>
      <c r="I711" s="16"/>
    </row>
    <row r="712" spans="1:9">
      <c r="A712" s="19">
        <v>43090</v>
      </c>
      <c r="B712" s="20">
        <v>82.594893999999996</v>
      </c>
      <c r="C712" s="21">
        <v>17990700</v>
      </c>
      <c r="D712" s="23">
        <f t="shared" si="27"/>
        <v>-2.3386120239698803E-4</v>
      </c>
      <c r="E712" s="47">
        <v>2684.570068</v>
      </c>
      <c r="F712" s="48">
        <v>3273390000</v>
      </c>
      <c r="G712" s="20">
        <f t="shared" si="28"/>
        <v>1.9836868787915067E-3</v>
      </c>
      <c r="H712" s="22">
        <v>1</v>
      </c>
      <c r="I712" s="16"/>
    </row>
    <row r="713" spans="1:9">
      <c r="A713" s="19">
        <v>43091</v>
      </c>
      <c r="B713" s="20">
        <v>82.604538000000005</v>
      </c>
      <c r="C713" s="21">
        <v>14145800</v>
      </c>
      <c r="D713" s="23">
        <f t="shared" si="27"/>
        <v>1.1675584951109309E-4</v>
      </c>
      <c r="E713" s="47">
        <v>2683.3400879999999</v>
      </c>
      <c r="F713" s="48">
        <v>2399830000</v>
      </c>
      <c r="G713" s="20">
        <f t="shared" si="28"/>
        <v>-4.5827146348614839E-4</v>
      </c>
      <c r="H713" s="22">
        <v>1</v>
      </c>
      <c r="I713" s="16"/>
    </row>
    <row r="714" spans="1:9">
      <c r="A714" s="19">
        <v>43095</v>
      </c>
      <c r="B714" s="20">
        <v>82.498283000000001</v>
      </c>
      <c r="C714" s="21">
        <v>9891200</v>
      </c>
      <c r="D714" s="23">
        <f t="shared" si="27"/>
        <v>-1.287137482279528E-3</v>
      </c>
      <c r="E714" s="47">
        <v>2680.5</v>
      </c>
      <c r="F714" s="48">
        <v>1968780000</v>
      </c>
      <c r="G714" s="20">
        <f t="shared" si="28"/>
        <v>-1.0589757408193626E-3</v>
      </c>
      <c r="H714" s="22">
        <v>1</v>
      </c>
      <c r="I714" s="16"/>
    </row>
    <row r="715" spans="1:9">
      <c r="A715" s="19">
        <v>43096</v>
      </c>
      <c r="B715" s="20">
        <v>82.797745000000006</v>
      </c>
      <c r="C715" s="21">
        <v>14678000</v>
      </c>
      <c r="D715" s="23">
        <f t="shared" si="27"/>
        <v>3.6233457179888806E-3</v>
      </c>
      <c r="E715" s="47">
        <v>2682.6201169999999</v>
      </c>
      <c r="F715" s="48">
        <v>2202080000</v>
      </c>
      <c r="G715" s="20">
        <f t="shared" si="28"/>
        <v>7.9062824034794189E-4</v>
      </c>
      <c r="H715" s="22">
        <v>1</v>
      </c>
      <c r="I715" s="16"/>
    </row>
    <row r="716" spans="1:9">
      <c r="A716" s="19">
        <v>43097</v>
      </c>
      <c r="B716" s="20">
        <v>82.807411000000002</v>
      </c>
      <c r="C716" s="21">
        <v>10594300</v>
      </c>
      <c r="D716" s="23">
        <f t="shared" si="27"/>
        <v>1.1673549597668408E-4</v>
      </c>
      <c r="E716" s="47">
        <v>2687.540039</v>
      </c>
      <c r="F716" s="48">
        <v>2153330000</v>
      </c>
      <c r="G716" s="20">
        <f t="shared" si="28"/>
        <v>1.832319049558422E-3</v>
      </c>
      <c r="H716" s="22">
        <v>1</v>
      </c>
      <c r="I716" s="16"/>
    </row>
    <row r="717" spans="1:9">
      <c r="A717" s="19">
        <v>43098</v>
      </c>
      <c r="B717" s="20">
        <v>82.633544999999998</v>
      </c>
      <c r="C717" s="21">
        <v>18717400</v>
      </c>
      <c r="D717" s="23">
        <f t="shared" si="27"/>
        <v>-2.1018503303184923E-3</v>
      </c>
      <c r="E717" s="47">
        <v>2673.610107</v>
      </c>
      <c r="F717" s="48">
        <v>2443490000</v>
      </c>
      <c r="G717" s="20">
        <f t="shared" si="28"/>
        <v>-5.1966324272850065E-3</v>
      </c>
      <c r="H717" s="22">
        <v>1</v>
      </c>
      <c r="I717" s="16"/>
    </row>
    <row r="718" spans="1:9">
      <c r="A718" s="19">
        <v>43102</v>
      </c>
      <c r="B718" s="20">
        <v>83.029594000000003</v>
      </c>
      <c r="C718" s="21">
        <v>22483800</v>
      </c>
      <c r="D718" s="23">
        <f t="shared" si="27"/>
        <v>4.7813865766213421E-3</v>
      </c>
      <c r="E718" s="47">
        <v>2695.8100589999999</v>
      </c>
      <c r="F718" s="48">
        <v>3367250000</v>
      </c>
      <c r="G718" s="20">
        <f t="shared" si="28"/>
        <v>8.2690785268871494E-3</v>
      </c>
      <c r="H718" s="22">
        <v>1</v>
      </c>
      <c r="I718" s="16"/>
    </row>
    <row r="719" spans="1:9">
      <c r="A719" s="19">
        <v>43103</v>
      </c>
      <c r="B719" s="20">
        <v>83.415993</v>
      </c>
      <c r="C719" s="21">
        <v>26061400</v>
      </c>
      <c r="D719" s="23">
        <f t="shared" si="27"/>
        <v>4.6429551074176458E-3</v>
      </c>
      <c r="E719" s="47">
        <v>2713.0600589999999</v>
      </c>
      <c r="F719" s="48">
        <v>3538660000</v>
      </c>
      <c r="G719" s="20">
        <f t="shared" si="28"/>
        <v>6.3784332429780467E-3</v>
      </c>
      <c r="H719" s="22">
        <v>1</v>
      </c>
      <c r="I719" s="16"/>
    </row>
    <row r="720" spans="1:9">
      <c r="A720" s="19">
        <v>43104</v>
      </c>
      <c r="B720" s="20">
        <v>84.150192000000004</v>
      </c>
      <c r="C720" s="21">
        <v>21912000</v>
      </c>
      <c r="D720" s="23">
        <f t="shared" si="27"/>
        <v>8.763148703606987E-3</v>
      </c>
      <c r="E720" s="47">
        <v>2723.98999</v>
      </c>
      <c r="F720" s="48">
        <v>3695260000</v>
      </c>
      <c r="G720" s="20">
        <f t="shared" si="28"/>
        <v>4.0205426195473347E-3</v>
      </c>
      <c r="H720" s="22">
        <v>1</v>
      </c>
      <c r="I720" s="16"/>
    </row>
    <row r="721" spans="1:9">
      <c r="A721" s="19">
        <v>43105</v>
      </c>
      <c r="B721" s="20">
        <v>85.193496999999994</v>
      </c>
      <c r="C721" s="21">
        <v>23407100</v>
      </c>
      <c r="D721" s="23">
        <f t="shared" si="27"/>
        <v>1.2321902357049679E-2</v>
      </c>
      <c r="E721" s="47">
        <v>2743.1499020000001</v>
      </c>
      <c r="F721" s="48">
        <v>3236620000</v>
      </c>
      <c r="G721" s="20">
        <f t="shared" si="28"/>
        <v>7.0091458493143173E-3</v>
      </c>
      <c r="H721" s="22">
        <v>1</v>
      </c>
      <c r="I721" s="16"/>
    </row>
    <row r="722" spans="1:9">
      <c r="A722" s="19">
        <v>43108</v>
      </c>
      <c r="B722" s="20">
        <v>85.280426000000006</v>
      </c>
      <c r="C722" s="21">
        <v>22113000</v>
      </c>
      <c r="D722" s="23">
        <f t="shared" si="27"/>
        <v>1.0198510834357915E-3</v>
      </c>
      <c r="E722" s="47">
        <v>2747.709961</v>
      </c>
      <c r="F722" s="48">
        <v>3242650000</v>
      </c>
      <c r="G722" s="20">
        <f t="shared" si="28"/>
        <v>1.660963915355335E-3</v>
      </c>
      <c r="H722" s="22">
        <v>1</v>
      </c>
      <c r="I722" s="16"/>
    </row>
    <row r="723" spans="1:9">
      <c r="A723" s="19">
        <v>43109</v>
      </c>
      <c r="B723" s="20">
        <v>85.222472999999994</v>
      </c>
      <c r="C723" s="21">
        <v>19484300</v>
      </c>
      <c r="D723" s="23">
        <f t="shared" si="27"/>
        <v>-6.7978905428174574E-4</v>
      </c>
      <c r="E723" s="47">
        <v>2751.290039</v>
      </c>
      <c r="F723" s="48">
        <v>3453480000</v>
      </c>
      <c r="G723" s="20">
        <f t="shared" si="28"/>
        <v>1.3020834718354051E-3</v>
      </c>
      <c r="H723" s="22">
        <v>1</v>
      </c>
      <c r="I723" s="16"/>
    </row>
    <row r="724" spans="1:9">
      <c r="A724" s="19">
        <v>43110</v>
      </c>
      <c r="B724" s="20">
        <v>84.836060000000003</v>
      </c>
      <c r="C724" s="21">
        <v>18652200</v>
      </c>
      <c r="D724" s="23">
        <f t="shared" si="27"/>
        <v>-4.544478400571394E-3</v>
      </c>
      <c r="E724" s="47">
        <v>2748.2299800000001</v>
      </c>
      <c r="F724" s="48">
        <v>3576350000</v>
      </c>
      <c r="G724" s="20">
        <f t="shared" si="28"/>
        <v>-1.1128459593683269E-3</v>
      </c>
      <c r="H724" s="22">
        <v>1</v>
      </c>
      <c r="I724" s="16"/>
    </row>
    <row r="725" spans="1:9">
      <c r="A725" s="19">
        <v>43111</v>
      </c>
      <c r="B725" s="20">
        <v>85.087219000000005</v>
      </c>
      <c r="C725" s="21">
        <v>17808900</v>
      </c>
      <c r="D725" s="23">
        <f t="shared" si="27"/>
        <v>2.9561480261048891E-3</v>
      </c>
      <c r="E725" s="47">
        <v>2767.5600589999999</v>
      </c>
      <c r="F725" s="48">
        <v>3641320000</v>
      </c>
      <c r="G725" s="20">
        <f t="shared" si="28"/>
        <v>7.0090260862362194E-3</v>
      </c>
      <c r="H725" s="22">
        <v>1</v>
      </c>
      <c r="I725" s="16"/>
    </row>
    <row r="726" spans="1:9">
      <c r="A726" s="19">
        <v>43112</v>
      </c>
      <c r="B726" s="20">
        <v>86.555572999999995</v>
      </c>
      <c r="C726" s="21">
        <v>24271500</v>
      </c>
      <c r="D726" s="23">
        <f t="shared" si="27"/>
        <v>1.7109833789066713E-2</v>
      </c>
      <c r="E726" s="47">
        <v>2786.23999</v>
      </c>
      <c r="F726" s="48">
        <v>3573970000</v>
      </c>
      <c r="G726" s="20">
        <f t="shared" si="28"/>
        <v>6.7269261681854198E-3</v>
      </c>
      <c r="H726" s="22">
        <v>1</v>
      </c>
      <c r="I726" s="16"/>
    </row>
    <row r="727" spans="1:9">
      <c r="A727" s="19">
        <v>43116</v>
      </c>
      <c r="B727" s="20">
        <v>85.348044999999999</v>
      </c>
      <c r="C727" s="21">
        <v>36599700</v>
      </c>
      <c r="D727" s="23">
        <f t="shared" si="27"/>
        <v>-1.4049126779318397E-2</v>
      </c>
      <c r="E727" s="47">
        <v>2776.419922</v>
      </c>
      <c r="F727" s="48">
        <v>4325970000</v>
      </c>
      <c r="G727" s="20">
        <f t="shared" si="28"/>
        <v>-3.5307131324618969E-3</v>
      </c>
      <c r="H727" s="22">
        <v>1</v>
      </c>
      <c r="I727" s="16"/>
    </row>
    <row r="728" spans="1:9">
      <c r="A728" s="19">
        <v>43117</v>
      </c>
      <c r="B728" s="20">
        <v>87.077217000000005</v>
      </c>
      <c r="C728" s="21">
        <v>25621200</v>
      </c>
      <c r="D728" s="23">
        <f t="shared" si="27"/>
        <v>2.0057733441964317E-2</v>
      </c>
      <c r="E728" s="47">
        <v>2802.5600589999999</v>
      </c>
      <c r="F728" s="48">
        <v>3778050000</v>
      </c>
      <c r="G728" s="20">
        <f t="shared" si="28"/>
        <v>9.3710063064367261E-3</v>
      </c>
      <c r="H728" s="22">
        <v>1</v>
      </c>
      <c r="I728" s="16"/>
    </row>
    <row r="729" spans="1:9">
      <c r="A729" s="19">
        <v>43118</v>
      </c>
      <c r="B729" s="20">
        <v>87.038596999999996</v>
      </c>
      <c r="C729" s="21">
        <v>24159700</v>
      </c>
      <c r="D729" s="23">
        <f t="shared" si="27"/>
        <v>-4.4361278560660247E-4</v>
      </c>
      <c r="E729" s="47">
        <v>2798.030029</v>
      </c>
      <c r="F729" s="48">
        <v>3681470000</v>
      </c>
      <c r="G729" s="20">
        <f t="shared" si="28"/>
        <v>-1.6176977485318196E-3</v>
      </c>
      <c r="H729" s="22">
        <v>1</v>
      </c>
      <c r="I729" s="16"/>
    </row>
    <row r="730" spans="1:9">
      <c r="A730" s="19">
        <v>43119</v>
      </c>
      <c r="B730" s="20">
        <v>86.941986</v>
      </c>
      <c r="C730" s="21">
        <v>36875000</v>
      </c>
      <c r="D730" s="23">
        <f t="shared" si="27"/>
        <v>-1.1105953120086778E-3</v>
      </c>
      <c r="E730" s="47">
        <v>2810.3000489999999</v>
      </c>
      <c r="F730" s="48">
        <v>3639430000</v>
      </c>
      <c r="G730" s="20">
        <f t="shared" si="28"/>
        <v>4.3756481542505214E-3</v>
      </c>
      <c r="H730" s="22">
        <v>1</v>
      </c>
      <c r="I730" s="16"/>
    </row>
    <row r="731" spans="1:9">
      <c r="A731" s="19">
        <v>43122</v>
      </c>
      <c r="B731" s="20">
        <v>88.497275999999999</v>
      </c>
      <c r="C731" s="21">
        <v>23601600</v>
      </c>
      <c r="D731" s="23">
        <f t="shared" si="27"/>
        <v>1.7730703239187778E-2</v>
      </c>
      <c r="E731" s="47">
        <v>2832.969971</v>
      </c>
      <c r="F731" s="48">
        <v>3471780000</v>
      </c>
      <c r="G731" s="20">
        <f t="shared" si="28"/>
        <v>8.0343644258471826E-3</v>
      </c>
      <c r="H731" s="22">
        <v>1</v>
      </c>
      <c r="I731" s="16"/>
    </row>
    <row r="732" spans="1:9">
      <c r="A732" s="19">
        <v>43123</v>
      </c>
      <c r="B732" s="20">
        <v>88.777434999999997</v>
      </c>
      <c r="C732" s="21">
        <v>23412800</v>
      </c>
      <c r="D732" s="23">
        <f t="shared" si="27"/>
        <v>3.1607354670924628E-3</v>
      </c>
      <c r="E732" s="47">
        <v>2839.1298830000001</v>
      </c>
      <c r="F732" s="48">
        <v>3519650000</v>
      </c>
      <c r="G732" s="20">
        <f t="shared" si="28"/>
        <v>2.172004929470756E-3</v>
      </c>
      <c r="H732" s="22">
        <v>1</v>
      </c>
      <c r="I732" s="16"/>
    </row>
    <row r="733" spans="1:9">
      <c r="A733" s="19">
        <v>43124</v>
      </c>
      <c r="B733" s="20">
        <v>88.700134000000006</v>
      </c>
      <c r="C733" s="21">
        <v>33277500</v>
      </c>
      <c r="D733" s="23">
        <f t="shared" si="27"/>
        <v>-8.7110732160376205E-4</v>
      </c>
      <c r="E733" s="47">
        <v>2837.540039</v>
      </c>
      <c r="F733" s="48">
        <v>4014070000</v>
      </c>
      <c r="G733" s="20">
        <f t="shared" si="28"/>
        <v>-5.601326352995111E-4</v>
      </c>
      <c r="H733" s="22">
        <v>1</v>
      </c>
      <c r="I733" s="16"/>
    </row>
    <row r="734" spans="1:9">
      <c r="A734" s="19">
        <v>43125</v>
      </c>
      <c r="B734" s="20">
        <v>89.192824999999999</v>
      </c>
      <c r="C734" s="21">
        <v>26383200</v>
      </c>
      <c r="D734" s="23">
        <f t="shared" si="27"/>
        <v>5.5391991063339892E-3</v>
      </c>
      <c r="E734" s="47">
        <v>2839.25</v>
      </c>
      <c r="F734" s="48">
        <v>3835150000</v>
      </c>
      <c r="G734" s="20">
        <f t="shared" si="28"/>
        <v>6.0243942085909743E-4</v>
      </c>
      <c r="H734" s="22">
        <v>1</v>
      </c>
      <c r="I734" s="16"/>
    </row>
    <row r="735" spans="1:9">
      <c r="A735" s="19">
        <v>43126</v>
      </c>
      <c r="B735" s="20">
        <v>90.864044000000007</v>
      </c>
      <c r="C735" s="21">
        <v>29172200</v>
      </c>
      <c r="D735" s="23">
        <f t="shared" si="27"/>
        <v>1.8563768244156693E-2</v>
      </c>
      <c r="E735" s="47">
        <v>2872.8701169999999</v>
      </c>
      <c r="F735" s="48">
        <v>3443230000</v>
      </c>
      <c r="G735" s="20">
        <f t="shared" si="28"/>
        <v>1.1771638040818483E-2</v>
      </c>
      <c r="H735" s="22">
        <v>1</v>
      </c>
      <c r="I735" s="16"/>
    </row>
    <row r="736" spans="1:9">
      <c r="A736" s="19">
        <v>43129</v>
      </c>
      <c r="B736" s="20">
        <v>90.728790000000004</v>
      </c>
      <c r="C736" s="21">
        <v>31569900</v>
      </c>
      <c r="D736" s="23">
        <f t="shared" si="27"/>
        <v>-1.4896405549906951E-3</v>
      </c>
      <c r="E736" s="47">
        <v>2853.530029</v>
      </c>
      <c r="F736" s="48">
        <v>3573830000</v>
      </c>
      <c r="G736" s="20">
        <f t="shared" si="28"/>
        <v>-6.754736323635129E-3</v>
      </c>
      <c r="H736" s="22">
        <v>1</v>
      </c>
      <c r="I736" s="16"/>
    </row>
    <row r="737" spans="1:9">
      <c r="A737" s="19">
        <v>43130</v>
      </c>
      <c r="B737" s="20">
        <v>89.588881999999998</v>
      </c>
      <c r="C737" s="21">
        <v>38635100</v>
      </c>
      <c r="D737" s="23">
        <f t="shared" si="27"/>
        <v>-1.2643499359854113E-2</v>
      </c>
      <c r="E737" s="47">
        <v>2822.429932</v>
      </c>
      <c r="F737" s="48">
        <v>3990650000</v>
      </c>
      <c r="G737" s="20">
        <f t="shared" si="28"/>
        <v>-1.0958642573971082E-2</v>
      </c>
      <c r="H737" s="22">
        <v>1</v>
      </c>
      <c r="I737" s="16"/>
    </row>
    <row r="738" spans="1:9">
      <c r="A738" s="19">
        <v>43131</v>
      </c>
      <c r="B738" s="20">
        <v>91.781754000000006</v>
      </c>
      <c r="C738" s="21">
        <v>48756300</v>
      </c>
      <c r="D738" s="23">
        <f t="shared" si="27"/>
        <v>2.4182292241189531E-2</v>
      </c>
      <c r="E738" s="47">
        <v>2823.8100589999999</v>
      </c>
      <c r="F738" s="48">
        <v>4261280000</v>
      </c>
      <c r="G738" s="20">
        <f t="shared" si="28"/>
        <v>4.8886587523235534E-4</v>
      </c>
      <c r="H738" s="22">
        <v>1</v>
      </c>
      <c r="I738" s="16"/>
    </row>
    <row r="739" spans="1:9">
      <c r="A739" s="19">
        <v>43132</v>
      </c>
      <c r="B739" s="20">
        <v>91.057243</v>
      </c>
      <c r="C739" s="21">
        <v>47227900</v>
      </c>
      <c r="D739" s="23">
        <f t="shared" si="27"/>
        <v>-7.9251669938118271E-3</v>
      </c>
      <c r="E739" s="47">
        <v>2821.9799800000001</v>
      </c>
      <c r="F739" s="48">
        <v>3938450000</v>
      </c>
      <c r="G739" s="20">
        <f t="shared" si="28"/>
        <v>-6.4829866199597882E-4</v>
      </c>
      <c r="H739" s="22">
        <v>1</v>
      </c>
      <c r="I739" s="16"/>
    </row>
    <row r="740" spans="1:9">
      <c r="A740" s="19">
        <v>43133</v>
      </c>
      <c r="B740" s="20">
        <v>88.661499000000006</v>
      </c>
      <c r="C740" s="21">
        <v>47867800</v>
      </c>
      <c r="D740" s="23">
        <f t="shared" si="27"/>
        <v>-2.6662616247432578E-2</v>
      </c>
      <c r="E740" s="47">
        <v>2762.1298830000001</v>
      </c>
      <c r="F740" s="48">
        <v>4301130000</v>
      </c>
      <c r="G740" s="20">
        <f t="shared" si="28"/>
        <v>-2.1436680282709664E-2</v>
      </c>
      <c r="H740" s="22">
        <v>1</v>
      </c>
      <c r="I740" s="16"/>
    </row>
    <row r="741" spans="1:9">
      <c r="A741" s="19">
        <v>43136</v>
      </c>
      <c r="B741" s="20">
        <v>85.009949000000006</v>
      </c>
      <c r="C741" s="21">
        <v>51031500</v>
      </c>
      <c r="D741" s="23">
        <f t="shared" si="27"/>
        <v>-4.2057439760575584E-2</v>
      </c>
      <c r="E741" s="47">
        <v>2648.9399410000001</v>
      </c>
      <c r="F741" s="48">
        <v>5283460000</v>
      </c>
      <c r="G741" s="20">
        <f t="shared" si="28"/>
        <v>-4.1842541159627059E-2</v>
      </c>
      <c r="H741" s="22">
        <v>1</v>
      </c>
      <c r="I741" s="16"/>
    </row>
    <row r="742" spans="1:9">
      <c r="A742" s="19">
        <v>43137</v>
      </c>
      <c r="B742" s="20">
        <v>88.226783999999995</v>
      </c>
      <c r="C742" s="21">
        <v>67998600</v>
      </c>
      <c r="D742" s="23">
        <f t="shared" si="27"/>
        <v>3.7142293683010259E-2</v>
      </c>
      <c r="E742" s="47">
        <v>2695.139893</v>
      </c>
      <c r="F742" s="48">
        <v>5891660000</v>
      </c>
      <c r="G742" s="20">
        <f t="shared" si="28"/>
        <v>1.729057365883202E-2</v>
      </c>
      <c r="H742" s="22">
        <v>1</v>
      </c>
      <c r="I742" s="16"/>
    </row>
    <row r="743" spans="1:9">
      <c r="A743" s="19">
        <v>43138</v>
      </c>
      <c r="B743" s="20">
        <v>86.565230999999997</v>
      </c>
      <c r="C743" s="21">
        <v>41107600</v>
      </c>
      <c r="D743" s="23">
        <f t="shared" si="27"/>
        <v>-1.9012345040210234E-2</v>
      </c>
      <c r="E743" s="47">
        <v>2681.6599120000001</v>
      </c>
      <c r="F743" s="48">
        <v>4626570000</v>
      </c>
      <c r="G743" s="20">
        <f t="shared" si="28"/>
        <v>-5.0141384210705929E-3</v>
      </c>
      <c r="H743" s="22">
        <v>1</v>
      </c>
      <c r="I743" s="16"/>
    </row>
    <row r="744" spans="1:9">
      <c r="A744" s="19">
        <v>43139</v>
      </c>
      <c r="B744" s="20">
        <v>82.121544</v>
      </c>
      <c r="C744" s="21">
        <v>55628700</v>
      </c>
      <c r="D744" s="23">
        <f t="shared" si="27"/>
        <v>-5.2697851614954216E-2</v>
      </c>
      <c r="E744" s="47">
        <v>2581</v>
      </c>
      <c r="F744" s="48">
        <v>5305440000</v>
      </c>
      <c r="G744" s="20">
        <f t="shared" si="28"/>
        <v>-3.8259052205015347E-2</v>
      </c>
      <c r="H744" s="22">
        <v>1</v>
      </c>
      <c r="I744" s="16"/>
    </row>
    <row r="745" spans="1:9">
      <c r="A745" s="19">
        <v>43140</v>
      </c>
      <c r="B745" s="20">
        <v>85.183823000000004</v>
      </c>
      <c r="C745" s="21">
        <v>63499100</v>
      </c>
      <c r="D745" s="23">
        <f t="shared" si="27"/>
        <v>3.6611151187977961E-2</v>
      </c>
      <c r="E745" s="47">
        <v>2619.5500489999999</v>
      </c>
      <c r="F745" s="48">
        <v>5680070000</v>
      </c>
      <c r="G745" s="20">
        <f t="shared" si="28"/>
        <v>1.4825645265136861E-2</v>
      </c>
      <c r="H745" s="22">
        <v>1</v>
      </c>
      <c r="I745" s="16"/>
    </row>
    <row r="746" spans="1:9">
      <c r="A746" s="19">
        <v>43143</v>
      </c>
      <c r="B746" s="20">
        <v>86.101532000000006</v>
      </c>
      <c r="C746" s="21">
        <v>35720300</v>
      </c>
      <c r="D746" s="23">
        <f t="shared" si="27"/>
        <v>1.071565962354248E-2</v>
      </c>
      <c r="E746" s="47">
        <v>2656</v>
      </c>
      <c r="F746" s="48">
        <v>4055790000</v>
      </c>
      <c r="G746" s="20">
        <f t="shared" si="28"/>
        <v>1.3818665612573789E-2</v>
      </c>
      <c r="H746" s="22">
        <v>1</v>
      </c>
      <c r="I746" s="16"/>
    </row>
    <row r="747" spans="1:9">
      <c r="A747" s="19">
        <v>43144</v>
      </c>
      <c r="B747" s="20">
        <v>86.777771000000001</v>
      </c>
      <c r="C747" s="21">
        <v>26407700</v>
      </c>
      <c r="D747" s="23">
        <f t="shared" si="27"/>
        <v>7.8232898594360854E-3</v>
      </c>
      <c r="E747" s="47">
        <v>2662.9399410000001</v>
      </c>
      <c r="F747" s="48">
        <v>3472870000</v>
      </c>
      <c r="G747" s="20">
        <f t="shared" si="28"/>
        <v>2.6095218277205311E-3</v>
      </c>
      <c r="H747" s="22">
        <v>1</v>
      </c>
      <c r="I747" s="16"/>
    </row>
    <row r="748" spans="1:9">
      <c r="A748" s="19">
        <v>43145</v>
      </c>
      <c r="B748" s="20">
        <v>88.136550999999997</v>
      </c>
      <c r="C748" s="21">
        <v>34960900</v>
      </c>
      <c r="D748" s="23">
        <f t="shared" si="27"/>
        <v>1.5536833321667302E-2</v>
      </c>
      <c r="E748" s="47">
        <v>2698.6298830000001</v>
      </c>
      <c r="F748" s="48">
        <v>4003740000</v>
      </c>
      <c r="G748" s="20">
        <f t="shared" si="28"/>
        <v>1.331344003093363E-2</v>
      </c>
      <c r="H748" s="22">
        <v>1</v>
      </c>
      <c r="I748" s="16"/>
    </row>
    <row r="749" spans="1:9">
      <c r="A749" s="19">
        <v>43146</v>
      </c>
      <c r="B749" s="20">
        <v>89.932083000000006</v>
      </c>
      <c r="C749" s="21">
        <v>27823900</v>
      </c>
      <c r="D749" s="23">
        <f t="shared" si="27"/>
        <v>2.0167424397732146E-2</v>
      </c>
      <c r="E749" s="47">
        <v>2731.1999510000001</v>
      </c>
      <c r="F749" s="48">
        <v>3684910000</v>
      </c>
      <c r="G749" s="20">
        <f t="shared" si="28"/>
        <v>1.1996861644365414E-2</v>
      </c>
      <c r="H749" s="22">
        <v>1</v>
      </c>
      <c r="I749" s="16"/>
    </row>
    <row r="750" spans="1:9">
      <c r="A750" s="19">
        <v>43147</v>
      </c>
      <c r="B750" s="20">
        <v>89.291518999999994</v>
      </c>
      <c r="C750" s="21">
        <v>30596900</v>
      </c>
      <c r="D750" s="23">
        <f t="shared" si="27"/>
        <v>-7.1482407500217844E-3</v>
      </c>
      <c r="E750" s="47">
        <v>2732.219971</v>
      </c>
      <c r="F750" s="48">
        <v>3637460000</v>
      </c>
      <c r="G750" s="20">
        <f t="shared" si="28"/>
        <v>3.7339982150897137E-4</v>
      </c>
      <c r="H750" s="22">
        <v>1</v>
      </c>
      <c r="I750" s="16"/>
    </row>
    <row r="751" spans="1:9">
      <c r="A751" s="19">
        <v>43151</v>
      </c>
      <c r="B751" s="20">
        <v>89.990318000000002</v>
      </c>
      <c r="C751" s="21">
        <v>30911700</v>
      </c>
      <c r="D751" s="23">
        <f t="shared" si="27"/>
        <v>7.7955753977355094E-3</v>
      </c>
      <c r="E751" s="47">
        <v>2716.26001</v>
      </c>
      <c r="F751" s="48">
        <v>3627610000</v>
      </c>
      <c r="G751" s="20">
        <f t="shared" si="28"/>
        <v>-5.8585171292084527E-3</v>
      </c>
      <c r="H751" s="22">
        <v>1</v>
      </c>
      <c r="I751" s="16"/>
    </row>
    <row r="752" spans="1:9">
      <c r="A752" s="19">
        <v>43152</v>
      </c>
      <c r="B752" s="20">
        <v>88.796515999999997</v>
      </c>
      <c r="C752" s="21">
        <v>26922500</v>
      </c>
      <c r="D752" s="23">
        <f t="shared" si="27"/>
        <v>-1.3354671771375719E-2</v>
      </c>
      <c r="E752" s="47">
        <v>2701.330078</v>
      </c>
      <c r="F752" s="48">
        <v>3779400000</v>
      </c>
      <c r="G752" s="20">
        <f t="shared" si="28"/>
        <v>-5.51166461587029E-3</v>
      </c>
      <c r="H752" s="22">
        <v>1</v>
      </c>
      <c r="I752" s="16"/>
    </row>
    <row r="753" spans="1:9">
      <c r="A753" s="19">
        <v>43153</v>
      </c>
      <c r="B753" s="20">
        <v>89.029465000000002</v>
      </c>
      <c r="C753" s="21">
        <v>24392800</v>
      </c>
      <c r="D753" s="23">
        <f t="shared" si="27"/>
        <v>2.6199673629385225E-3</v>
      </c>
      <c r="E753" s="47">
        <v>2703.959961</v>
      </c>
      <c r="F753" s="48">
        <v>3701270000</v>
      </c>
      <c r="G753" s="20">
        <f t="shared" si="28"/>
        <v>9.7307755496563826E-4</v>
      </c>
      <c r="H753" s="22">
        <v>1</v>
      </c>
      <c r="I753" s="16"/>
    </row>
    <row r="754" spans="1:9">
      <c r="A754" s="19">
        <v>43154</v>
      </c>
      <c r="B754" s="20">
        <v>91.290870999999996</v>
      </c>
      <c r="C754" s="21">
        <v>26329200</v>
      </c>
      <c r="D754" s="23">
        <f t="shared" si="27"/>
        <v>2.508341119744139E-2</v>
      </c>
      <c r="E754" s="47">
        <v>2747.3000489999999</v>
      </c>
      <c r="F754" s="48">
        <v>3189190000</v>
      </c>
      <c r="G754" s="20">
        <f t="shared" si="28"/>
        <v>1.5901278284568242E-2</v>
      </c>
      <c r="H754" s="22">
        <v>1</v>
      </c>
      <c r="I754" s="16"/>
    </row>
    <row r="755" spans="1:9">
      <c r="A755" s="19">
        <v>43157</v>
      </c>
      <c r="B755" s="20">
        <v>92.610816999999997</v>
      </c>
      <c r="C755" s="21">
        <v>30199800</v>
      </c>
      <c r="D755" s="23">
        <f t="shared" si="27"/>
        <v>1.4355155530152283E-2</v>
      </c>
      <c r="E755" s="47">
        <v>2779.6000979999999</v>
      </c>
      <c r="F755" s="48">
        <v>3424650000</v>
      </c>
      <c r="G755" s="20">
        <f t="shared" si="28"/>
        <v>1.1688438681734836E-2</v>
      </c>
      <c r="H755" s="22">
        <v>1</v>
      </c>
      <c r="I755" s="16"/>
    </row>
    <row r="756" spans="1:9">
      <c r="A756" s="19">
        <v>43158</v>
      </c>
      <c r="B756" s="20">
        <v>91.426758000000007</v>
      </c>
      <c r="C756" s="21">
        <v>25869100</v>
      </c>
      <c r="D756" s="23">
        <f t="shared" si="27"/>
        <v>-1.2867756358039051E-2</v>
      </c>
      <c r="E756" s="47">
        <v>2744.280029</v>
      </c>
      <c r="F756" s="48">
        <v>3745080000</v>
      </c>
      <c r="G756" s="20">
        <f t="shared" si="28"/>
        <v>-1.2788311673315955E-2</v>
      </c>
      <c r="H756" s="22">
        <v>1</v>
      </c>
      <c r="I756" s="16"/>
    </row>
    <row r="757" spans="1:9">
      <c r="A757" s="19">
        <v>43159</v>
      </c>
      <c r="B757" s="20">
        <v>91.009406999999996</v>
      </c>
      <c r="C757" s="21">
        <v>31167300</v>
      </c>
      <c r="D757" s="23">
        <f t="shared" si="27"/>
        <v>-4.5753179261620314E-3</v>
      </c>
      <c r="E757" s="47">
        <v>2713.830078</v>
      </c>
      <c r="F757" s="48">
        <v>4230660000</v>
      </c>
      <c r="G757" s="20">
        <f t="shared" si="28"/>
        <v>-1.1157806021536957E-2</v>
      </c>
      <c r="H757" s="22">
        <v>1</v>
      </c>
      <c r="I757" s="16"/>
    </row>
    <row r="758" spans="1:9">
      <c r="A758" s="19">
        <v>43160</v>
      </c>
      <c r="B758" s="20">
        <v>90.116493000000006</v>
      </c>
      <c r="C758" s="21">
        <v>37135600</v>
      </c>
      <c r="D758" s="23">
        <f t="shared" si="27"/>
        <v>-9.8596747739874389E-3</v>
      </c>
      <c r="E758" s="47">
        <v>2677.669922</v>
      </c>
      <c r="F758" s="48">
        <v>4503970000</v>
      </c>
      <c r="G758" s="20">
        <f t="shared" si="28"/>
        <v>-1.3413965762133684E-2</v>
      </c>
      <c r="H758" s="22">
        <v>1</v>
      </c>
      <c r="I758" s="16"/>
    </row>
    <row r="759" spans="1:9">
      <c r="A759" s="19">
        <v>43161</v>
      </c>
      <c r="B759" s="20">
        <v>90.310608000000002</v>
      </c>
      <c r="C759" s="21">
        <v>32830400</v>
      </c>
      <c r="D759" s="23">
        <f t="shared" si="27"/>
        <v>2.1517285797879693E-3</v>
      </c>
      <c r="E759" s="47">
        <v>2691.25</v>
      </c>
      <c r="F759" s="48">
        <v>3882450000</v>
      </c>
      <c r="G759" s="20">
        <f t="shared" si="28"/>
        <v>5.0587854385161684E-3</v>
      </c>
      <c r="H759" s="22">
        <v>1</v>
      </c>
      <c r="I759" s="16"/>
    </row>
    <row r="760" spans="1:9">
      <c r="A760" s="19">
        <v>43164</v>
      </c>
      <c r="B760" s="20">
        <v>90.883232000000007</v>
      </c>
      <c r="C760" s="21">
        <v>23901600</v>
      </c>
      <c r="D760" s="23">
        <f t="shared" si="27"/>
        <v>6.3205891144218771E-3</v>
      </c>
      <c r="E760" s="47">
        <v>2720.9399410000001</v>
      </c>
      <c r="F760" s="48">
        <v>3710810000</v>
      </c>
      <c r="G760" s="20">
        <f t="shared" si="28"/>
        <v>1.0971617461221566E-2</v>
      </c>
      <c r="H760" s="22">
        <v>1</v>
      </c>
      <c r="I760" s="16"/>
    </row>
    <row r="761" spans="1:9">
      <c r="A761" s="19">
        <v>43165</v>
      </c>
      <c r="B761" s="20">
        <v>90.572647000000003</v>
      </c>
      <c r="C761" s="21">
        <v>22175800</v>
      </c>
      <c r="D761" s="23">
        <f t="shared" si="27"/>
        <v>-3.4232597479467923E-3</v>
      </c>
      <c r="E761" s="47">
        <v>2728.1201169999999</v>
      </c>
      <c r="F761" s="48">
        <v>3370690000</v>
      </c>
      <c r="G761" s="20">
        <f t="shared" si="28"/>
        <v>2.6353830125731121E-3</v>
      </c>
      <c r="H761" s="22">
        <v>1</v>
      </c>
      <c r="I761" s="16"/>
    </row>
    <row r="762" spans="1:9">
      <c r="A762" s="19">
        <v>43166</v>
      </c>
      <c r="B762" s="20">
        <v>91.096755999999999</v>
      </c>
      <c r="C762" s="21">
        <v>26716100</v>
      </c>
      <c r="D762" s="23">
        <f t="shared" si="27"/>
        <v>5.7699364384384113E-3</v>
      </c>
      <c r="E762" s="47">
        <v>2726.8000489999999</v>
      </c>
      <c r="F762" s="48">
        <v>3393270000</v>
      </c>
      <c r="G762" s="20">
        <f t="shared" si="28"/>
        <v>-4.8399169395596596E-4</v>
      </c>
      <c r="H762" s="22">
        <v>1</v>
      </c>
      <c r="I762" s="16"/>
    </row>
    <row r="763" spans="1:9">
      <c r="A763" s="19">
        <v>43167</v>
      </c>
      <c r="B763" s="20">
        <v>91.649970999999994</v>
      </c>
      <c r="C763" s="21">
        <v>25887800</v>
      </c>
      <c r="D763" s="23">
        <f t="shared" si="27"/>
        <v>6.054463453243699E-3</v>
      </c>
      <c r="E763" s="47">
        <v>2738.969971</v>
      </c>
      <c r="F763" s="48">
        <v>3212320000</v>
      </c>
      <c r="G763" s="20">
        <f t="shared" si="28"/>
        <v>4.4531482542421938E-3</v>
      </c>
      <c r="H763" s="22">
        <v>1</v>
      </c>
      <c r="I763" s="16"/>
    </row>
    <row r="764" spans="1:9">
      <c r="A764" s="19">
        <v>43168</v>
      </c>
      <c r="B764" s="20">
        <v>93.697861000000003</v>
      </c>
      <c r="C764" s="21">
        <v>36937300</v>
      </c>
      <c r="D764" s="23">
        <f t="shared" si="27"/>
        <v>2.2098702944286733E-2</v>
      </c>
      <c r="E764" s="47">
        <v>2786.570068</v>
      </c>
      <c r="F764" s="48">
        <v>3364100000</v>
      </c>
      <c r="G764" s="20">
        <f t="shared" si="28"/>
        <v>1.7229546503851501E-2</v>
      </c>
      <c r="H764" s="22">
        <v>1</v>
      </c>
      <c r="I764" s="16"/>
    </row>
    <row r="765" spans="1:9">
      <c r="A765" s="19">
        <v>43171</v>
      </c>
      <c r="B765" s="20">
        <v>93.921074000000004</v>
      </c>
      <c r="C765" s="21">
        <v>26073700</v>
      </c>
      <c r="D765" s="23">
        <f t="shared" si="27"/>
        <v>2.3794304696755429E-3</v>
      </c>
      <c r="E765" s="47">
        <v>2783.0200199999999</v>
      </c>
      <c r="F765" s="48">
        <v>3185020000</v>
      </c>
      <c r="G765" s="20">
        <f t="shared" si="28"/>
        <v>-1.2747970405995702E-3</v>
      </c>
      <c r="H765" s="22">
        <v>1</v>
      </c>
      <c r="I765" s="16"/>
    </row>
    <row r="766" spans="1:9">
      <c r="A766" s="19">
        <v>43172</v>
      </c>
      <c r="B766" s="20">
        <v>91.630577000000002</v>
      </c>
      <c r="C766" s="21">
        <v>35387800</v>
      </c>
      <c r="D766" s="23">
        <f t="shared" si="27"/>
        <v>-2.4689765256883035E-2</v>
      </c>
      <c r="E766" s="47">
        <v>2765.3100589999999</v>
      </c>
      <c r="F766" s="48">
        <v>3301650000</v>
      </c>
      <c r="G766" s="20">
        <f t="shared" si="28"/>
        <v>-6.3839104358374464E-3</v>
      </c>
      <c r="H766" s="22">
        <v>1</v>
      </c>
      <c r="I766" s="16"/>
    </row>
    <row r="767" spans="1:9">
      <c r="A767" s="19">
        <v>43173</v>
      </c>
      <c r="B767" s="20">
        <v>91.087044000000006</v>
      </c>
      <c r="C767" s="21">
        <v>32132000</v>
      </c>
      <c r="D767" s="23">
        <f t="shared" si="27"/>
        <v>-5.9494492130868709E-3</v>
      </c>
      <c r="E767" s="47">
        <v>2749.4799800000001</v>
      </c>
      <c r="F767" s="48">
        <v>3391360000</v>
      </c>
      <c r="G767" s="20">
        <f t="shared" si="28"/>
        <v>-5.7409701425848447E-3</v>
      </c>
      <c r="H767" s="22">
        <v>1</v>
      </c>
      <c r="I767" s="16"/>
    </row>
    <row r="768" spans="1:9">
      <c r="A768" s="19">
        <v>43174</v>
      </c>
      <c r="B768" s="20">
        <v>91.407332999999994</v>
      </c>
      <c r="C768" s="21">
        <v>27611000</v>
      </c>
      <c r="D768" s="23">
        <f t="shared" si="27"/>
        <v>3.5101281926800528E-3</v>
      </c>
      <c r="E768" s="47">
        <v>2747.330078</v>
      </c>
      <c r="F768" s="48">
        <v>3500330000</v>
      </c>
      <c r="G768" s="20">
        <f t="shared" si="28"/>
        <v>-7.8223627410849855E-4</v>
      </c>
      <c r="H768" s="22">
        <v>1</v>
      </c>
      <c r="I768" s="16"/>
    </row>
    <row r="769" spans="1:9">
      <c r="A769" s="19">
        <v>43175</v>
      </c>
      <c r="B769" s="20">
        <v>91.814964000000003</v>
      </c>
      <c r="C769" s="21">
        <v>49081300</v>
      </c>
      <c r="D769" s="23">
        <f t="shared" si="27"/>
        <v>4.4495858771017608E-3</v>
      </c>
      <c r="E769" s="47">
        <v>2752.01001</v>
      </c>
      <c r="F769" s="48">
        <v>5372340000</v>
      </c>
      <c r="G769" s="20">
        <f t="shared" si="28"/>
        <v>1.7019980778953542E-3</v>
      </c>
      <c r="H769" s="22">
        <v>1</v>
      </c>
      <c r="I769" s="16"/>
    </row>
    <row r="770" spans="1:9">
      <c r="A770" s="19">
        <v>43178</v>
      </c>
      <c r="B770" s="20">
        <v>90.155304000000001</v>
      </c>
      <c r="C770" s="21">
        <v>33344100</v>
      </c>
      <c r="D770" s="23">
        <f t="shared" si="27"/>
        <v>-1.8241507685128906E-2</v>
      </c>
      <c r="E770" s="47">
        <v>2712.919922</v>
      </c>
      <c r="F770" s="48">
        <v>3302130000</v>
      </c>
      <c r="G770" s="20">
        <f t="shared" si="28"/>
        <v>-1.4306040580462488E-2</v>
      </c>
      <c r="H770" s="22">
        <v>1</v>
      </c>
      <c r="I770" s="16"/>
    </row>
    <row r="771" spans="1:9">
      <c r="A771" s="19">
        <v>43179</v>
      </c>
      <c r="B771" s="20">
        <v>90.388237000000004</v>
      </c>
      <c r="C771" s="21">
        <v>23075200</v>
      </c>
      <c r="D771" s="23">
        <f t="shared" ref="D771:D834" si="29">LN(B771/B770)</f>
        <v>2.5803540570126173E-3</v>
      </c>
      <c r="E771" s="47">
        <v>2716.9399410000001</v>
      </c>
      <c r="F771" s="48">
        <v>3261030000</v>
      </c>
      <c r="G771" s="20">
        <f t="shared" ref="G771:G834" si="30">LN(E771/E770)</f>
        <v>1.4807084661183528E-3</v>
      </c>
      <c r="H771" s="22">
        <v>1</v>
      </c>
      <c r="I771" s="16"/>
    </row>
    <row r="772" spans="1:9">
      <c r="A772" s="19">
        <v>43180</v>
      </c>
      <c r="B772" s="20">
        <v>89.757384999999999</v>
      </c>
      <c r="C772" s="21">
        <v>24457100</v>
      </c>
      <c r="D772" s="23">
        <f t="shared" si="29"/>
        <v>-7.0038291443563112E-3</v>
      </c>
      <c r="E772" s="47">
        <v>2711.929932</v>
      </c>
      <c r="F772" s="48">
        <v>3415510000</v>
      </c>
      <c r="G772" s="20">
        <f t="shared" si="30"/>
        <v>-1.8456918435882967E-3</v>
      </c>
      <c r="H772" s="22">
        <v>1</v>
      </c>
      <c r="I772" s="16"/>
    </row>
    <row r="773" spans="1:9">
      <c r="A773" s="19">
        <v>43181</v>
      </c>
      <c r="B773" s="20">
        <v>87.146575999999996</v>
      </c>
      <c r="C773" s="21">
        <v>38604700</v>
      </c>
      <c r="D773" s="23">
        <f t="shared" si="29"/>
        <v>-2.9518825494487901E-2</v>
      </c>
      <c r="E773" s="47">
        <v>2643.6899410000001</v>
      </c>
      <c r="F773" s="48">
        <v>3739800000</v>
      </c>
      <c r="G773" s="20">
        <f t="shared" si="30"/>
        <v>-2.5484887259038472E-2</v>
      </c>
      <c r="H773" s="22">
        <v>1</v>
      </c>
      <c r="I773" s="16"/>
    </row>
    <row r="774" spans="1:9">
      <c r="A774" s="19">
        <v>43182</v>
      </c>
      <c r="B774" s="20">
        <v>84.613426000000004</v>
      </c>
      <c r="C774" s="21">
        <v>44068900</v>
      </c>
      <c r="D774" s="23">
        <f t="shared" si="29"/>
        <v>-2.9498528827014609E-2</v>
      </c>
      <c r="E774" s="47">
        <v>2588.26001</v>
      </c>
      <c r="F774" s="48">
        <v>3815080000</v>
      </c>
      <c r="G774" s="20">
        <f t="shared" si="30"/>
        <v>-2.1189807067529817E-2</v>
      </c>
      <c r="H774" s="22">
        <v>1</v>
      </c>
      <c r="I774" s="16"/>
    </row>
    <row r="775" spans="1:9">
      <c r="A775" s="19">
        <v>43185</v>
      </c>
      <c r="B775" s="20">
        <v>91.019112000000007</v>
      </c>
      <c r="C775" s="21">
        <v>56396800</v>
      </c>
      <c r="D775" s="23">
        <f t="shared" si="29"/>
        <v>7.2976552659048302E-2</v>
      </c>
      <c r="E775" s="47">
        <v>2658.5500489999999</v>
      </c>
      <c r="F775" s="48">
        <v>3511100000</v>
      </c>
      <c r="G775" s="20">
        <f t="shared" si="30"/>
        <v>2.6795040680132134E-2</v>
      </c>
      <c r="H775" s="22">
        <v>1</v>
      </c>
      <c r="I775" s="16"/>
    </row>
    <row r="776" spans="1:9">
      <c r="A776" s="19">
        <v>43186</v>
      </c>
      <c r="B776" s="20">
        <v>86.835999000000001</v>
      </c>
      <c r="C776" s="21">
        <v>56569000</v>
      </c>
      <c r="D776" s="23">
        <f t="shared" si="29"/>
        <v>-4.7048235732796186E-2</v>
      </c>
      <c r="E776" s="47">
        <v>2612.6201169999999</v>
      </c>
      <c r="F776" s="48">
        <v>3706350000</v>
      </c>
      <c r="G776" s="20">
        <f t="shared" si="30"/>
        <v>-1.7427285781738779E-2</v>
      </c>
      <c r="H776" s="22">
        <v>1</v>
      </c>
      <c r="I776" s="16"/>
    </row>
    <row r="777" spans="1:9">
      <c r="A777" s="19">
        <v>43187</v>
      </c>
      <c r="B777" s="20">
        <v>86.758347000000001</v>
      </c>
      <c r="C777" s="21">
        <v>52501100</v>
      </c>
      <c r="D777" s="23">
        <f t="shared" si="29"/>
        <v>-8.946374921592606E-4</v>
      </c>
      <c r="E777" s="47">
        <v>2605</v>
      </c>
      <c r="F777" s="48">
        <v>3864500000</v>
      </c>
      <c r="G777" s="20">
        <f t="shared" si="30"/>
        <v>-2.9209188276955976E-3</v>
      </c>
      <c r="H777" s="22">
        <v>1</v>
      </c>
      <c r="I777" s="16"/>
    </row>
    <row r="778" spans="1:9">
      <c r="A778" s="19">
        <v>43188</v>
      </c>
      <c r="B778" s="20">
        <v>88.582999999999998</v>
      </c>
      <c r="C778" s="21">
        <v>45867500</v>
      </c>
      <c r="D778" s="23">
        <f t="shared" si="29"/>
        <v>2.0813332393389908E-2</v>
      </c>
      <c r="E778" s="47">
        <v>2640.8701169999999</v>
      </c>
      <c r="F778" s="48">
        <v>3565990000</v>
      </c>
      <c r="G778" s="20">
        <f t="shared" si="30"/>
        <v>1.3675777422843996E-2</v>
      </c>
      <c r="H778" s="22">
        <v>1</v>
      </c>
      <c r="I778" s="16"/>
    </row>
    <row r="779" spans="1:9">
      <c r="A779" s="19">
        <v>43192</v>
      </c>
      <c r="B779" s="20">
        <v>85.913962999999995</v>
      </c>
      <c r="C779" s="21">
        <v>48515400</v>
      </c>
      <c r="D779" s="23">
        <f t="shared" si="29"/>
        <v>-3.059360035516831E-2</v>
      </c>
      <c r="E779" s="47">
        <v>2581.8798830000001</v>
      </c>
      <c r="F779" s="48">
        <v>3598520000</v>
      </c>
      <c r="G779" s="20">
        <f t="shared" si="30"/>
        <v>-2.2590682199874954E-2</v>
      </c>
      <c r="H779" s="22">
        <v>1</v>
      </c>
      <c r="I779" s="16"/>
    </row>
    <row r="780" spans="1:9">
      <c r="A780" s="19">
        <v>43193</v>
      </c>
      <c r="B780" s="20">
        <v>87.068923999999996</v>
      </c>
      <c r="C780" s="21">
        <v>37213800</v>
      </c>
      <c r="D780" s="23">
        <f t="shared" si="29"/>
        <v>1.3353669634579311E-2</v>
      </c>
      <c r="E780" s="47">
        <v>2614.4499510000001</v>
      </c>
      <c r="F780" s="48">
        <v>3392810000</v>
      </c>
      <c r="G780" s="20">
        <f t="shared" si="30"/>
        <v>1.2535961177379224E-2</v>
      </c>
      <c r="H780" s="22">
        <v>1</v>
      </c>
      <c r="I780" s="16"/>
    </row>
    <row r="781" spans="1:9">
      <c r="A781" s="19">
        <v>43194</v>
      </c>
      <c r="B781" s="20">
        <v>89.611801</v>
      </c>
      <c r="C781" s="21">
        <v>35560000</v>
      </c>
      <c r="D781" s="23">
        <f t="shared" si="29"/>
        <v>2.8786984006298137E-2</v>
      </c>
      <c r="E781" s="47">
        <v>2644.6899410000001</v>
      </c>
      <c r="F781" s="48">
        <v>3350340000</v>
      </c>
      <c r="G781" s="20">
        <f t="shared" si="30"/>
        <v>1.150010225857756E-2</v>
      </c>
      <c r="H781" s="22">
        <v>1</v>
      </c>
      <c r="I781" s="16"/>
    </row>
    <row r="782" spans="1:9">
      <c r="A782" s="19">
        <v>43195</v>
      </c>
      <c r="B782" s="20">
        <v>89.660324000000003</v>
      </c>
      <c r="C782" s="21">
        <v>29771900</v>
      </c>
      <c r="D782" s="23">
        <f t="shared" si="29"/>
        <v>5.4133347484942537E-4</v>
      </c>
      <c r="E782" s="47">
        <v>2662.8400879999999</v>
      </c>
      <c r="F782" s="48">
        <v>3178970000</v>
      </c>
      <c r="G782" s="20">
        <f t="shared" si="30"/>
        <v>6.8394215963354203E-3</v>
      </c>
      <c r="H782" s="22">
        <v>1</v>
      </c>
      <c r="I782" s="16"/>
    </row>
    <row r="783" spans="1:9">
      <c r="A783" s="19">
        <v>43196</v>
      </c>
      <c r="B783" s="20">
        <v>87.573623999999995</v>
      </c>
      <c r="C783" s="21">
        <v>38026000</v>
      </c>
      <c r="D783" s="23">
        <f t="shared" si="29"/>
        <v>-2.3548495658870818E-2</v>
      </c>
      <c r="E783" s="47">
        <v>2604.469971</v>
      </c>
      <c r="F783" s="48">
        <v>3299700000</v>
      </c>
      <c r="G783" s="20">
        <f t="shared" si="30"/>
        <v>-2.216406698415278E-2</v>
      </c>
      <c r="H783" s="22">
        <v>1</v>
      </c>
      <c r="I783" s="16"/>
    </row>
    <row r="784" spans="1:9">
      <c r="A784" s="19">
        <v>43199</v>
      </c>
      <c r="B784" s="20">
        <v>88.097717000000003</v>
      </c>
      <c r="C784" s="21">
        <v>31533900</v>
      </c>
      <c r="D784" s="23">
        <f t="shared" si="29"/>
        <v>5.9667621585084239E-3</v>
      </c>
      <c r="E784" s="47">
        <v>2613.1599120000001</v>
      </c>
      <c r="F784" s="48">
        <v>3062960000</v>
      </c>
      <c r="G784" s="20">
        <f t="shared" si="30"/>
        <v>3.3309948117507698E-3</v>
      </c>
      <c r="H784" s="22">
        <v>1</v>
      </c>
      <c r="I784" s="16"/>
    </row>
    <row r="785" spans="1:9">
      <c r="A785" s="19">
        <v>43200</v>
      </c>
      <c r="B785" s="20">
        <v>90.145599000000004</v>
      </c>
      <c r="C785" s="21">
        <v>26812000</v>
      </c>
      <c r="D785" s="23">
        <f t="shared" si="29"/>
        <v>2.2979510950076019E-2</v>
      </c>
      <c r="E785" s="47">
        <v>2656.8701169999999</v>
      </c>
      <c r="F785" s="48">
        <v>3543930000</v>
      </c>
      <c r="G785" s="20">
        <f t="shared" si="30"/>
        <v>1.658859896759754E-2</v>
      </c>
      <c r="H785" s="22">
        <v>1</v>
      </c>
      <c r="I785" s="16"/>
    </row>
    <row r="786" spans="1:9">
      <c r="A786" s="19">
        <v>43201</v>
      </c>
      <c r="B786" s="20">
        <v>89.155631999999997</v>
      </c>
      <c r="C786" s="21">
        <v>24872100</v>
      </c>
      <c r="D786" s="23">
        <f t="shared" si="29"/>
        <v>-1.1042613083194963E-2</v>
      </c>
      <c r="E786" s="47">
        <v>2642.1899410000001</v>
      </c>
      <c r="F786" s="48">
        <v>3020760000</v>
      </c>
      <c r="G786" s="20">
        <f t="shared" si="30"/>
        <v>-5.5406858556443965E-3</v>
      </c>
      <c r="H786" s="22">
        <v>1</v>
      </c>
      <c r="I786" s="16"/>
    </row>
    <row r="787" spans="1:9">
      <c r="A787" s="19">
        <v>43202</v>
      </c>
      <c r="B787" s="20">
        <v>90.824996999999996</v>
      </c>
      <c r="C787" s="21">
        <v>26758900</v>
      </c>
      <c r="D787" s="23">
        <f t="shared" si="29"/>
        <v>1.855102833785607E-2</v>
      </c>
      <c r="E787" s="47">
        <v>2663.98999</v>
      </c>
      <c r="F787" s="48">
        <v>3021320000</v>
      </c>
      <c r="G787" s="20">
        <f t="shared" si="30"/>
        <v>8.2168987634330705E-3</v>
      </c>
      <c r="H787" s="22">
        <v>1</v>
      </c>
      <c r="I787" s="16"/>
    </row>
    <row r="788" spans="1:9">
      <c r="A788" s="19">
        <v>43203</v>
      </c>
      <c r="B788" s="20">
        <v>90.339714000000001</v>
      </c>
      <c r="C788" s="21">
        <v>23346100</v>
      </c>
      <c r="D788" s="23">
        <f t="shared" si="29"/>
        <v>-5.3573806732857476E-3</v>
      </c>
      <c r="E788" s="47">
        <v>2656.3000489999999</v>
      </c>
      <c r="F788" s="48">
        <v>2960910000</v>
      </c>
      <c r="G788" s="20">
        <f t="shared" si="30"/>
        <v>-2.8907996740231202E-3</v>
      </c>
      <c r="H788" s="22">
        <v>1</v>
      </c>
      <c r="I788" s="16"/>
    </row>
    <row r="789" spans="1:9">
      <c r="A789" s="19">
        <v>43206</v>
      </c>
      <c r="B789" s="20">
        <v>91.397628999999995</v>
      </c>
      <c r="C789" s="21">
        <v>20288100</v>
      </c>
      <c r="D789" s="23">
        <f t="shared" si="29"/>
        <v>1.1642372801169483E-2</v>
      </c>
      <c r="E789" s="47">
        <v>2677.8400879999999</v>
      </c>
      <c r="F789" s="48">
        <v>3019700000</v>
      </c>
      <c r="G789" s="20">
        <f t="shared" si="30"/>
        <v>8.076336777702902E-3</v>
      </c>
      <c r="H789" s="22">
        <v>1</v>
      </c>
      <c r="I789" s="16"/>
    </row>
    <row r="790" spans="1:9">
      <c r="A790" s="19">
        <v>43207</v>
      </c>
      <c r="B790" s="20">
        <v>93.241684000000006</v>
      </c>
      <c r="C790" s="21">
        <v>26771000</v>
      </c>
      <c r="D790" s="23">
        <f t="shared" si="29"/>
        <v>1.9975337717925451E-2</v>
      </c>
      <c r="E790" s="47">
        <v>2706.389893</v>
      </c>
      <c r="F790" s="48">
        <v>3234360000</v>
      </c>
      <c r="G790" s="20">
        <f t="shared" si="30"/>
        <v>1.0605071728903286E-2</v>
      </c>
      <c r="H790" s="22">
        <v>1</v>
      </c>
      <c r="I790" s="16"/>
    </row>
    <row r="791" spans="1:9">
      <c r="A791" s="19">
        <v>43208</v>
      </c>
      <c r="B791" s="20">
        <v>93.600800000000007</v>
      </c>
      <c r="C791" s="21">
        <v>21043300</v>
      </c>
      <c r="D791" s="23">
        <f t="shared" si="29"/>
        <v>3.8440555330469515E-3</v>
      </c>
      <c r="E791" s="47">
        <v>2708.639893</v>
      </c>
      <c r="F791" s="48">
        <v>3383410000</v>
      </c>
      <c r="G791" s="20">
        <f t="shared" si="30"/>
        <v>8.3102040742370005E-4</v>
      </c>
      <c r="H791" s="22">
        <v>1</v>
      </c>
      <c r="I791" s="16"/>
    </row>
    <row r="792" spans="1:9">
      <c r="A792" s="19">
        <v>43209</v>
      </c>
      <c r="B792" s="20">
        <v>93.280510000000007</v>
      </c>
      <c r="C792" s="21">
        <v>23552500</v>
      </c>
      <c r="D792" s="23">
        <f t="shared" si="29"/>
        <v>-3.4277404583833025E-3</v>
      </c>
      <c r="E792" s="47">
        <v>2693.1298830000001</v>
      </c>
      <c r="F792" s="48">
        <v>3349370000</v>
      </c>
      <c r="G792" s="20">
        <f t="shared" si="30"/>
        <v>-5.7425818819625924E-3</v>
      </c>
      <c r="H792" s="22">
        <v>1</v>
      </c>
      <c r="I792" s="16"/>
    </row>
    <row r="793" spans="1:9">
      <c r="A793" s="19">
        <v>43210</v>
      </c>
      <c r="B793" s="20">
        <v>92.203186000000002</v>
      </c>
      <c r="C793" s="21">
        <v>31154400</v>
      </c>
      <c r="D793" s="23">
        <f t="shared" si="29"/>
        <v>-1.1616504717123973E-2</v>
      </c>
      <c r="E793" s="47">
        <v>2670.139893</v>
      </c>
      <c r="F793" s="48">
        <v>3388590000</v>
      </c>
      <c r="G793" s="20">
        <f t="shared" si="30"/>
        <v>-8.5731770999769308E-3</v>
      </c>
      <c r="H793" s="22">
        <v>1</v>
      </c>
      <c r="I793" s="16"/>
    </row>
    <row r="794" spans="1:9">
      <c r="A794" s="19">
        <v>43213</v>
      </c>
      <c r="B794" s="20">
        <v>92.542877000000004</v>
      </c>
      <c r="C794" s="21">
        <v>22331800</v>
      </c>
      <c r="D794" s="23">
        <f t="shared" si="29"/>
        <v>3.6773869742308457E-3</v>
      </c>
      <c r="E794" s="47">
        <v>2670.290039</v>
      </c>
      <c r="F794" s="48">
        <v>3017480000</v>
      </c>
      <c r="G794" s="20">
        <f t="shared" si="30"/>
        <v>5.6229929781411334E-5</v>
      </c>
      <c r="H794" s="22">
        <v>1</v>
      </c>
      <c r="I794" s="16"/>
    </row>
    <row r="795" spans="1:9">
      <c r="A795" s="19">
        <v>43214</v>
      </c>
      <c r="B795" s="20">
        <v>90.378532000000007</v>
      </c>
      <c r="C795" s="21">
        <v>34524800</v>
      </c>
      <c r="D795" s="23">
        <f t="shared" si="29"/>
        <v>-2.3665310934602744E-2</v>
      </c>
      <c r="E795" s="47">
        <v>2634.5600589999999</v>
      </c>
      <c r="F795" s="48">
        <v>3706740000</v>
      </c>
      <c r="G795" s="20">
        <f t="shared" si="30"/>
        <v>-1.34708878288692E-2</v>
      </c>
      <c r="H795" s="22">
        <v>1</v>
      </c>
      <c r="I795" s="16"/>
    </row>
    <row r="796" spans="1:9">
      <c r="A796" s="19">
        <v>43215</v>
      </c>
      <c r="B796" s="20">
        <v>89.592383999999996</v>
      </c>
      <c r="C796" s="21">
        <v>33729300</v>
      </c>
      <c r="D796" s="23">
        <f t="shared" si="29"/>
        <v>-8.7364449515088538E-3</v>
      </c>
      <c r="E796" s="47">
        <v>2639.3999020000001</v>
      </c>
      <c r="F796" s="48">
        <v>3499440000</v>
      </c>
      <c r="G796" s="20">
        <f t="shared" si="30"/>
        <v>1.835373948385443E-3</v>
      </c>
      <c r="H796" s="22">
        <v>1</v>
      </c>
      <c r="I796" s="16"/>
    </row>
    <row r="797" spans="1:9">
      <c r="A797" s="19">
        <v>43216</v>
      </c>
      <c r="B797" s="20">
        <v>91.484977999999998</v>
      </c>
      <c r="C797" s="21">
        <v>42529000</v>
      </c>
      <c r="D797" s="23">
        <f t="shared" si="29"/>
        <v>2.0904467571739624E-2</v>
      </c>
      <c r="E797" s="47">
        <v>2666.9399410000001</v>
      </c>
      <c r="F797" s="48">
        <v>3665720000</v>
      </c>
      <c r="G797" s="20">
        <f t="shared" si="30"/>
        <v>1.0380144165286856E-2</v>
      </c>
      <c r="H797" s="22">
        <v>1</v>
      </c>
      <c r="I797" s="16"/>
    </row>
    <row r="798" spans="1:9">
      <c r="A798" s="19">
        <v>43217</v>
      </c>
      <c r="B798" s="20">
        <v>92.999054000000001</v>
      </c>
      <c r="C798" s="21">
        <v>48272800</v>
      </c>
      <c r="D798" s="23">
        <f t="shared" si="29"/>
        <v>1.6414537118590044E-2</v>
      </c>
      <c r="E798" s="47">
        <v>2669.9099120000001</v>
      </c>
      <c r="F798" s="48">
        <v>3219030000</v>
      </c>
      <c r="G798" s="20">
        <f t="shared" si="30"/>
        <v>1.1130053827261748E-3</v>
      </c>
      <c r="H798" s="22">
        <v>1</v>
      </c>
      <c r="I798" s="16"/>
    </row>
    <row r="799" spans="1:9">
      <c r="A799" s="19">
        <v>43220</v>
      </c>
      <c r="B799" s="20">
        <v>90.766754000000006</v>
      </c>
      <c r="C799" s="21">
        <v>41523600</v>
      </c>
      <c r="D799" s="23">
        <f t="shared" si="29"/>
        <v>-2.4296247873295505E-2</v>
      </c>
      <c r="E799" s="47">
        <v>2648.0500489999999</v>
      </c>
      <c r="F799" s="48">
        <v>3734530000</v>
      </c>
      <c r="G799" s="20">
        <f t="shared" si="30"/>
        <v>-8.221192443049306E-3</v>
      </c>
      <c r="H799" s="22">
        <v>1</v>
      </c>
      <c r="I799" s="16"/>
    </row>
    <row r="800" spans="1:9">
      <c r="A800" s="19">
        <v>43221</v>
      </c>
      <c r="B800" s="20">
        <v>92.203186000000002</v>
      </c>
      <c r="C800" s="21">
        <v>31408900</v>
      </c>
      <c r="D800" s="23">
        <f t="shared" si="29"/>
        <v>1.5701612094846502E-2</v>
      </c>
      <c r="E800" s="47">
        <v>2654.8000489999999</v>
      </c>
      <c r="F800" s="48">
        <v>3559850000</v>
      </c>
      <c r="G800" s="20">
        <f t="shared" si="30"/>
        <v>2.54580217086239E-3</v>
      </c>
      <c r="H800" s="22">
        <v>1</v>
      </c>
      <c r="I800" s="16"/>
    </row>
    <row r="801" spans="1:9">
      <c r="A801" s="19">
        <v>43222</v>
      </c>
      <c r="B801" s="20">
        <v>90.757064999999997</v>
      </c>
      <c r="C801" s="21">
        <v>27471000</v>
      </c>
      <c r="D801" s="23">
        <f t="shared" si="29"/>
        <v>-1.5808363925681638E-2</v>
      </c>
      <c r="E801" s="47">
        <v>2635.669922</v>
      </c>
      <c r="F801" s="48">
        <v>4010770000</v>
      </c>
      <c r="G801" s="20">
        <f t="shared" si="30"/>
        <v>-7.2319512187172617E-3</v>
      </c>
      <c r="H801" s="22">
        <v>1</v>
      </c>
      <c r="I801" s="16"/>
    </row>
    <row r="802" spans="1:9">
      <c r="A802" s="19">
        <v>43223</v>
      </c>
      <c r="B802" s="20">
        <v>91.300567999999998</v>
      </c>
      <c r="C802" s="21">
        <v>31142500</v>
      </c>
      <c r="D802" s="23">
        <f t="shared" si="29"/>
        <v>5.9706874758227446E-3</v>
      </c>
      <c r="E802" s="47">
        <v>2629.7299800000001</v>
      </c>
      <c r="F802" s="48">
        <v>3851470000</v>
      </c>
      <c r="G802" s="20">
        <f t="shared" si="30"/>
        <v>-2.256217810740562E-3</v>
      </c>
      <c r="H802" s="22">
        <v>1</v>
      </c>
      <c r="I802" s="16"/>
    </row>
    <row r="803" spans="1:9">
      <c r="A803" s="19">
        <v>43224</v>
      </c>
      <c r="B803" s="20">
        <v>92.358481999999995</v>
      </c>
      <c r="C803" s="21">
        <v>22531300</v>
      </c>
      <c r="D803" s="23">
        <f t="shared" si="29"/>
        <v>1.1520539834581081E-2</v>
      </c>
      <c r="E803" s="47">
        <v>2663.419922</v>
      </c>
      <c r="F803" s="48">
        <v>3327220000</v>
      </c>
      <c r="G803" s="20">
        <f t="shared" si="30"/>
        <v>1.2729810253517449E-2</v>
      </c>
      <c r="H803" s="22">
        <v>1</v>
      </c>
      <c r="I803" s="16"/>
    </row>
    <row r="804" spans="1:9">
      <c r="A804" s="19">
        <v>43227</v>
      </c>
      <c r="B804" s="20">
        <v>93.387268000000006</v>
      </c>
      <c r="C804" s="21">
        <v>24242000</v>
      </c>
      <c r="D804" s="23">
        <f t="shared" si="29"/>
        <v>1.107747036153062E-2</v>
      </c>
      <c r="E804" s="47">
        <v>2672.6298830000001</v>
      </c>
      <c r="F804" s="48">
        <v>3237960000</v>
      </c>
      <c r="G804" s="20">
        <f t="shared" si="30"/>
        <v>3.4519805782134557E-3</v>
      </c>
      <c r="H804" s="22">
        <v>1</v>
      </c>
      <c r="I804" s="16"/>
    </row>
    <row r="805" spans="1:9">
      <c r="A805" s="19">
        <v>43228</v>
      </c>
      <c r="B805" s="20">
        <v>92.989341999999994</v>
      </c>
      <c r="C805" s="21">
        <v>23484600</v>
      </c>
      <c r="D805" s="23">
        <f t="shared" si="29"/>
        <v>-4.2701345909234275E-3</v>
      </c>
      <c r="E805" s="47">
        <v>2671.919922</v>
      </c>
      <c r="F805" s="48">
        <v>3717570000</v>
      </c>
      <c r="G805" s="20">
        <f t="shared" si="30"/>
        <v>-2.6567663510656126E-4</v>
      </c>
      <c r="H805" s="22">
        <v>1</v>
      </c>
      <c r="I805" s="16"/>
    </row>
    <row r="806" spans="1:9">
      <c r="A806" s="19">
        <v>43229</v>
      </c>
      <c r="B806" s="20">
        <v>94.086067</v>
      </c>
      <c r="C806" s="21">
        <v>27327400</v>
      </c>
      <c r="D806" s="23">
        <f t="shared" si="29"/>
        <v>1.1725085305754364E-2</v>
      </c>
      <c r="E806" s="47">
        <v>2697.790039</v>
      </c>
      <c r="F806" s="48">
        <v>3909500000</v>
      </c>
      <c r="G806" s="20">
        <f t="shared" si="30"/>
        <v>9.6356478649187744E-3</v>
      </c>
      <c r="H806" s="22">
        <v>1</v>
      </c>
      <c r="I806" s="16"/>
    </row>
    <row r="807" spans="1:9">
      <c r="A807" s="19">
        <v>43230</v>
      </c>
      <c r="B807" s="20">
        <v>95.027518999999998</v>
      </c>
      <c r="C807" s="21">
        <v>22388100</v>
      </c>
      <c r="D807" s="23">
        <f t="shared" si="29"/>
        <v>9.9565535962856857E-3</v>
      </c>
      <c r="E807" s="47">
        <v>2723.070068</v>
      </c>
      <c r="F807" s="48">
        <v>3333050000</v>
      </c>
      <c r="G807" s="20">
        <f t="shared" si="30"/>
        <v>9.3270114950413738E-3</v>
      </c>
      <c r="H807" s="22">
        <v>1</v>
      </c>
      <c r="I807" s="16"/>
    </row>
    <row r="808" spans="1:9">
      <c r="A808" s="19">
        <v>43231</v>
      </c>
      <c r="B808" s="20">
        <v>94.823691999999994</v>
      </c>
      <c r="C808" s="21">
        <v>16778300</v>
      </c>
      <c r="D808" s="23">
        <f t="shared" si="29"/>
        <v>-2.1472296883441803E-3</v>
      </c>
      <c r="E808" s="47">
        <v>2727.719971</v>
      </c>
      <c r="F808" s="48">
        <v>2862700000</v>
      </c>
      <c r="G808" s="20">
        <f t="shared" si="30"/>
        <v>1.7061395117717584E-3</v>
      </c>
      <c r="H808" s="22">
        <v>1</v>
      </c>
      <c r="I808" s="16"/>
    </row>
    <row r="809" spans="1:9">
      <c r="A809" s="19">
        <v>43234</v>
      </c>
      <c r="B809" s="20">
        <v>95.143990000000002</v>
      </c>
      <c r="C809" s="21">
        <v>19454100</v>
      </c>
      <c r="D809" s="23">
        <f t="shared" si="29"/>
        <v>3.372134672010238E-3</v>
      </c>
      <c r="E809" s="47">
        <v>2730.1298830000001</v>
      </c>
      <c r="F809" s="48">
        <v>2972660000</v>
      </c>
      <c r="G809" s="20">
        <f t="shared" si="30"/>
        <v>8.8309946996841199E-4</v>
      </c>
      <c r="H809" s="22">
        <v>1</v>
      </c>
      <c r="I809" s="16"/>
    </row>
    <row r="810" spans="1:9">
      <c r="A810" s="19">
        <v>43235</v>
      </c>
      <c r="B810" s="20">
        <v>94.454894999999993</v>
      </c>
      <c r="C810" s="21">
        <v>24594000</v>
      </c>
      <c r="D810" s="23">
        <f t="shared" si="29"/>
        <v>-7.2690093533620591E-3</v>
      </c>
      <c r="E810" s="47">
        <v>2711.4499510000001</v>
      </c>
      <c r="F810" s="48">
        <v>3290680000</v>
      </c>
      <c r="G810" s="20">
        <f t="shared" si="30"/>
        <v>-6.8656551760573987E-3</v>
      </c>
      <c r="H810" s="22">
        <v>1</v>
      </c>
      <c r="I810" s="16"/>
    </row>
    <row r="811" spans="1:9">
      <c r="A811" s="19">
        <v>43236</v>
      </c>
      <c r="B811" s="20">
        <v>94.698577999999998</v>
      </c>
      <c r="C811" s="21">
        <v>17384700</v>
      </c>
      <c r="D811" s="23">
        <f t="shared" si="29"/>
        <v>2.5765652720664955E-3</v>
      </c>
      <c r="E811" s="47">
        <v>2722.459961</v>
      </c>
      <c r="F811" s="48">
        <v>3202670000</v>
      </c>
      <c r="G811" s="20">
        <f t="shared" si="30"/>
        <v>4.0523399338602221E-3</v>
      </c>
      <c r="H811" s="22">
        <v>1</v>
      </c>
      <c r="I811" s="16"/>
    </row>
    <row r="812" spans="1:9">
      <c r="A812" s="19">
        <v>43237</v>
      </c>
      <c r="B812" s="20">
        <v>93.753058999999993</v>
      </c>
      <c r="C812" s="21">
        <v>17246700</v>
      </c>
      <c r="D812" s="23">
        <f t="shared" si="29"/>
        <v>-1.0034690588272267E-2</v>
      </c>
      <c r="E812" s="47">
        <v>2720.1298830000001</v>
      </c>
      <c r="F812" s="48">
        <v>3475400000</v>
      </c>
      <c r="G812" s="20">
        <f t="shared" si="30"/>
        <v>-8.5623874263671856E-4</v>
      </c>
      <c r="H812" s="22">
        <v>1</v>
      </c>
      <c r="I812" s="16"/>
    </row>
    <row r="813" spans="1:9">
      <c r="A813" s="19">
        <v>43238</v>
      </c>
      <c r="B813" s="20">
        <v>93.928512999999995</v>
      </c>
      <c r="C813" s="21">
        <v>17865800</v>
      </c>
      <c r="D813" s="23">
        <f t="shared" si="29"/>
        <v>1.8696992916524624E-3</v>
      </c>
      <c r="E813" s="47">
        <v>2712.969971</v>
      </c>
      <c r="F813" s="48">
        <v>3368690000</v>
      </c>
      <c r="G813" s="20">
        <f t="shared" si="30"/>
        <v>-2.6356652140528051E-3</v>
      </c>
      <c r="H813" s="22">
        <v>1</v>
      </c>
      <c r="I813" s="16"/>
    </row>
    <row r="814" spans="1:9">
      <c r="A814" s="19">
        <v>43241</v>
      </c>
      <c r="B814" s="20">
        <v>95.137230000000002</v>
      </c>
      <c r="C814" s="21">
        <v>19422500</v>
      </c>
      <c r="D814" s="23">
        <f t="shared" si="29"/>
        <v>1.2786382648666965E-2</v>
      </c>
      <c r="E814" s="47">
        <v>2733.01001</v>
      </c>
      <c r="F814" s="48">
        <v>3019890000</v>
      </c>
      <c r="G814" s="20">
        <f t="shared" si="30"/>
        <v>7.3596045242624092E-3</v>
      </c>
      <c r="H814" s="22">
        <v>1</v>
      </c>
      <c r="I814" s="16"/>
    </row>
    <row r="815" spans="1:9">
      <c r="A815" s="19">
        <v>43242</v>
      </c>
      <c r="B815" s="20">
        <v>95.039756999999994</v>
      </c>
      <c r="C815" s="21">
        <v>15441200</v>
      </c>
      <c r="D815" s="23">
        <f t="shared" si="29"/>
        <v>-1.0250767989635806E-3</v>
      </c>
      <c r="E815" s="47">
        <v>2724.4399410000001</v>
      </c>
      <c r="F815" s="48">
        <v>3366310000</v>
      </c>
      <c r="G815" s="20">
        <f t="shared" si="30"/>
        <v>-3.1406888277453991E-3</v>
      </c>
      <c r="H815" s="22">
        <v>1</v>
      </c>
      <c r="I815" s="16"/>
    </row>
    <row r="816" spans="1:9">
      <c r="A816" s="19">
        <v>43243</v>
      </c>
      <c r="B816" s="20">
        <v>96.170479</v>
      </c>
      <c r="C816" s="21">
        <v>21251200</v>
      </c>
      <c r="D816" s="23">
        <f t="shared" si="29"/>
        <v>1.1827140682334009E-2</v>
      </c>
      <c r="E816" s="47">
        <v>2733.290039</v>
      </c>
      <c r="F816" s="48">
        <v>3326290000</v>
      </c>
      <c r="G816" s="20">
        <f t="shared" si="30"/>
        <v>3.2431453331457786E-3</v>
      </c>
      <c r="H816" s="22">
        <v>1</v>
      </c>
      <c r="I816" s="16"/>
    </row>
    <row r="817" spans="1:9">
      <c r="A817" s="19">
        <v>43244</v>
      </c>
      <c r="B817" s="20">
        <v>95.829314999999994</v>
      </c>
      <c r="C817" s="21">
        <v>26649300</v>
      </c>
      <c r="D817" s="23">
        <f t="shared" si="29"/>
        <v>-3.5537992198107155E-3</v>
      </c>
      <c r="E817" s="47">
        <v>2727.76001</v>
      </c>
      <c r="F817" s="48">
        <v>3256030000</v>
      </c>
      <c r="G817" s="20">
        <f t="shared" si="30"/>
        <v>-2.0252628489341846E-3</v>
      </c>
      <c r="H817" s="22">
        <v>1</v>
      </c>
      <c r="I817" s="16"/>
    </row>
    <row r="818" spans="1:9">
      <c r="A818" s="19">
        <v>43245</v>
      </c>
      <c r="B818" s="20">
        <v>95.878051999999997</v>
      </c>
      <c r="C818" s="21">
        <v>18363900</v>
      </c>
      <c r="D818" s="23">
        <f t="shared" si="29"/>
        <v>5.0845204138628324E-4</v>
      </c>
      <c r="E818" s="47">
        <v>2721.330078</v>
      </c>
      <c r="F818" s="48">
        <v>2995260000</v>
      </c>
      <c r="G818" s="20">
        <f t="shared" si="30"/>
        <v>-2.3600031860415097E-3</v>
      </c>
      <c r="H818" s="22">
        <v>1</v>
      </c>
      <c r="I818" s="16"/>
    </row>
    <row r="819" spans="1:9">
      <c r="A819" s="19">
        <v>43249</v>
      </c>
      <c r="B819" s="20">
        <v>95.536873</v>
      </c>
      <c r="C819" s="21">
        <v>28671000</v>
      </c>
      <c r="D819" s="23">
        <f t="shared" si="29"/>
        <v>-3.5648146173108274E-3</v>
      </c>
      <c r="E819" s="47">
        <v>2689.860107</v>
      </c>
      <c r="F819" s="48">
        <v>3736890000</v>
      </c>
      <c r="G819" s="20">
        <f t="shared" si="30"/>
        <v>-1.1631572622697848E-2</v>
      </c>
      <c r="H819" s="22">
        <v>1</v>
      </c>
      <c r="I819" s="16"/>
    </row>
    <row r="820" spans="1:9">
      <c r="A820" s="19">
        <v>43250</v>
      </c>
      <c r="B820" s="20">
        <v>96.453156000000007</v>
      </c>
      <c r="C820" s="21">
        <v>22158500</v>
      </c>
      <c r="D820" s="23">
        <f t="shared" si="29"/>
        <v>9.5451827543329981E-3</v>
      </c>
      <c r="E820" s="47">
        <v>2724.01001</v>
      </c>
      <c r="F820" s="48">
        <v>3561050000</v>
      </c>
      <c r="G820" s="20">
        <f t="shared" si="30"/>
        <v>1.2615875594803282E-2</v>
      </c>
      <c r="H820" s="22">
        <v>1</v>
      </c>
      <c r="I820" s="16"/>
    </row>
    <row r="821" spans="1:9">
      <c r="A821" s="19">
        <v>43251</v>
      </c>
      <c r="B821" s="20">
        <v>96.345939999999999</v>
      </c>
      <c r="C821" s="21">
        <v>34140900</v>
      </c>
      <c r="D821" s="23">
        <f t="shared" si="29"/>
        <v>-1.1122044996743827E-3</v>
      </c>
      <c r="E821" s="47">
        <v>2705.2700199999999</v>
      </c>
      <c r="F821" s="48">
        <v>4235370000</v>
      </c>
      <c r="G821" s="20">
        <f t="shared" si="30"/>
        <v>-6.9033331562017184E-3</v>
      </c>
      <c r="H821" s="22">
        <v>1</v>
      </c>
      <c r="I821" s="16"/>
    </row>
    <row r="822" spans="1:9">
      <c r="A822" s="19">
        <v>43252</v>
      </c>
      <c r="B822" s="20">
        <v>98.246735000000001</v>
      </c>
      <c r="C822" s="21">
        <v>28655600</v>
      </c>
      <c r="D822" s="23">
        <f t="shared" si="29"/>
        <v>1.9536762710885901E-2</v>
      </c>
      <c r="E822" s="47">
        <v>2734.6201169999999</v>
      </c>
      <c r="F822" s="48">
        <v>3684130000</v>
      </c>
      <c r="G822" s="20">
        <f t="shared" si="30"/>
        <v>1.0790799467401633E-2</v>
      </c>
      <c r="H822" s="22">
        <v>1</v>
      </c>
      <c r="I822" s="16"/>
    </row>
    <row r="823" spans="1:9">
      <c r="A823" s="19">
        <v>43255</v>
      </c>
      <c r="B823" s="20">
        <v>99.104529999999997</v>
      </c>
      <c r="C823" s="21">
        <v>27281600</v>
      </c>
      <c r="D823" s="23">
        <f t="shared" si="29"/>
        <v>8.6931330488041209E-3</v>
      </c>
      <c r="E823" s="47">
        <v>2746.8701169999999</v>
      </c>
      <c r="F823" s="48">
        <v>3376510000</v>
      </c>
      <c r="G823" s="20">
        <f t="shared" si="30"/>
        <v>4.4695948986579392E-3</v>
      </c>
      <c r="H823" s="22">
        <v>1</v>
      </c>
      <c r="I823" s="16"/>
    </row>
    <row r="824" spans="1:9">
      <c r="A824" s="19">
        <v>43256</v>
      </c>
      <c r="B824" s="20">
        <v>99.611412000000001</v>
      </c>
      <c r="C824" s="21">
        <v>23514400</v>
      </c>
      <c r="D824" s="23">
        <f t="shared" si="29"/>
        <v>5.1015846463803366E-3</v>
      </c>
      <c r="E824" s="47">
        <v>2748.8000489999999</v>
      </c>
      <c r="F824" s="48">
        <v>3517790000</v>
      </c>
      <c r="G824" s="20">
        <f t="shared" si="30"/>
        <v>7.0234640036242536E-4</v>
      </c>
      <c r="H824" s="22">
        <v>1</v>
      </c>
      <c r="I824" s="16"/>
    </row>
    <row r="825" spans="1:9">
      <c r="A825" s="19">
        <v>43257</v>
      </c>
      <c r="B825" s="20">
        <v>99.903839000000005</v>
      </c>
      <c r="C825" s="21">
        <v>21122900</v>
      </c>
      <c r="D825" s="23">
        <f t="shared" si="29"/>
        <v>2.9313770043711755E-3</v>
      </c>
      <c r="E825" s="47">
        <v>2772.3500979999999</v>
      </c>
      <c r="F825" s="48">
        <v>3651640000</v>
      </c>
      <c r="G825" s="20">
        <f t="shared" si="30"/>
        <v>8.5309006987769002E-3</v>
      </c>
      <c r="H825" s="22">
        <v>1</v>
      </c>
      <c r="I825" s="16"/>
    </row>
    <row r="826" spans="1:9">
      <c r="A826" s="19">
        <v>43258</v>
      </c>
      <c r="B826" s="20">
        <v>98.334464999999994</v>
      </c>
      <c r="C826" s="21">
        <v>28232200</v>
      </c>
      <c r="D826" s="23">
        <f t="shared" si="29"/>
        <v>-1.5833537264518777E-2</v>
      </c>
      <c r="E826" s="47">
        <v>2770.3701169999999</v>
      </c>
      <c r="F826" s="48">
        <v>3711330000</v>
      </c>
      <c r="G826" s="20">
        <f t="shared" si="30"/>
        <v>-7.1444381365731767E-4</v>
      </c>
      <c r="H826" s="22">
        <v>1</v>
      </c>
      <c r="I826" s="16"/>
    </row>
    <row r="827" spans="1:9">
      <c r="A827" s="19">
        <v>43259</v>
      </c>
      <c r="B827" s="20">
        <v>99.065528999999998</v>
      </c>
      <c r="C827" s="21">
        <v>22165100</v>
      </c>
      <c r="D827" s="23">
        <f t="shared" si="29"/>
        <v>7.406964180230304E-3</v>
      </c>
      <c r="E827" s="47">
        <v>2779.030029</v>
      </c>
      <c r="F827" s="48">
        <v>3123210000</v>
      </c>
      <c r="G827" s="20">
        <f t="shared" si="30"/>
        <v>3.1210288686051267E-3</v>
      </c>
      <c r="H827" s="22">
        <v>1</v>
      </c>
      <c r="I827" s="16"/>
    </row>
    <row r="828" spans="1:9">
      <c r="A828" s="19">
        <v>43262</v>
      </c>
      <c r="B828" s="20">
        <v>98.500174999999999</v>
      </c>
      <c r="C828" s="21">
        <v>23490900</v>
      </c>
      <c r="D828" s="23">
        <f t="shared" si="29"/>
        <v>-5.7232154340835983E-3</v>
      </c>
      <c r="E828" s="47">
        <v>2782</v>
      </c>
      <c r="F828" s="48">
        <v>3232330000</v>
      </c>
      <c r="G828" s="20">
        <f t="shared" si="30"/>
        <v>1.0681371137670548E-3</v>
      </c>
      <c r="H828" s="22">
        <v>1</v>
      </c>
      <c r="I828" s="16"/>
    </row>
    <row r="829" spans="1:9">
      <c r="A829" s="19">
        <v>43263</v>
      </c>
      <c r="B829" s="20">
        <v>98.753615999999994</v>
      </c>
      <c r="C829" s="21">
        <v>18325200</v>
      </c>
      <c r="D829" s="23">
        <f t="shared" si="29"/>
        <v>2.5696960061267048E-3</v>
      </c>
      <c r="E829" s="47">
        <v>2786.8500979999999</v>
      </c>
      <c r="F829" s="48">
        <v>3401010000</v>
      </c>
      <c r="G829" s="20">
        <f t="shared" si="30"/>
        <v>1.7418674020510782E-3</v>
      </c>
      <c r="H829" s="22">
        <v>1</v>
      </c>
      <c r="I829" s="16"/>
    </row>
    <row r="830" spans="1:9">
      <c r="A830" s="19">
        <v>43264</v>
      </c>
      <c r="B830" s="20">
        <v>98.305222000000001</v>
      </c>
      <c r="C830" s="21">
        <v>29492900</v>
      </c>
      <c r="D830" s="23">
        <f t="shared" si="29"/>
        <v>-4.5508719976246241E-3</v>
      </c>
      <c r="E830" s="47">
        <v>2775.6298830000001</v>
      </c>
      <c r="F830" s="48">
        <v>3779230000</v>
      </c>
      <c r="G830" s="20">
        <f t="shared" si="30"/>
        <v>-4.0342545972063088E-3</v>
      </c>
      <c r="H830" s="22">
        <v>1</v>
      </c>
      <c r="I830" s="16"/>
    </row>
    <row r="831" spans="1:9">
      <c r="A831" s="19">
        <v>43265</v>
      </c>
      <c r="B831" s="20">
        <v>98.860839999999996</v>
      </c>
      <c r="C831" s="21">
        <v>25691800</v>
      </c>
      <c r="D831" s="23">
        <f t="shared" si="29"/>
        <v>5.6360558722543964E-3</v>
      </c>
      <c r="E831" s="47">
        <v>2782.48999</v>
      </c>
      <c r="F831" s="48">
        <v>3526890000</v>
      </c>
      <c r="G831" s="20">
        <f t="shared" si="30"/>
        <v>2.4685003707192116E-3</v>
      </c>
      <c r="H831" s="22">
        <v>1</v>
      </c>
      <c r="I831" s="16"/>
    </row>
    <row r="832" spans="1:9">
      <c r="A832" s="19">
        <v>43266</v>
      </c>
      <c r="B832" s="20">
        <v>97.603386</v>
      </c>
      <c r="C832" s="21">
        <v>65738600</v>
      </c>
      <c r="D832" s="23">
        <f t="shared" si="29"/>
        <v>-1.2801019266744993E-2</v>
      </c>
      <c r="E832" s="47">
        <v>2779.6599120000001</v>
      </c>
      <c r="F832" s="48">
        <v>5428790000</v>
      </c>
      <c r="G832" s="20">
        <f t="shared" si="30"/>
        <v>-1.0176202706102954E-3</v>
      </c>
      <c r="H832" s="22">
        <v>1</v>
      </c>
      <c r="I832" s="16"/>
    </row>
    <row r="833" spans="1:9">
      <c r="A833" s="19">
        <v>43269</v>
      </c>
      <c r="B833" s="20">
        <v>98.314971999999997</v>
      </c>
      <c r="C833" s="21">
        <v>23586000</v>
      </c>
      <c r="D833" s="23">
        <f t="shared" si="29"/>
        <v>7.2641393723963102E-3</v>
      </c>
      <c r="E833" s="47">
        <v>2773.75</v>
      </c>
      <c r="F833" s="48">
        <v>3287150000</v>
      </c>
      <c r="G833" s="20">
        <f t="shared" si="30"/>
        <v>-2.1283911415382649E-3</v>
      </c>
      <c r="H833" s="22">
        <v>1</v>
      </c>
      <c r="I833" s="16"/>
    </row>
    <row r="834" spans="1:9">
      <c r="A834" s="19">
        <v>43270</v>
      </c>
      <c r="B834" s="20">
        <v>98.314971999999997</v>
      </c>
      <c r="C834" s="21">
        <v>28653100</v>
      </c>
      <c r="D834" s="23">
        <f t="shared" si="29"/>
        <v>0</v>
      </c>
      <c r="E834" s="47">
        <v>2762.5900879999999</v>
      </c>
      <c r="F834" s="48">
        <v>3661470000</v>
      </c>
      <c r="G834" s="20">
        <f t="shared" si="30"/>
        <v>-4.0315179117998779E-3</v>
      </c>
      <c r="H834" s="22">
        <v>1</v>
      </c>
      <c r="I834" s="16"/>
    </row>
    <row r="835" spans="1:9">
      <c r="A835" s="19">
        <v>43271</v>
      </c>
      <c r="B835" s="20">
        <v>99.299484000000007</v>
      </c>
      <c r="C835" s="21">
        <v>26180800</v>
      </c>
      <c r="D835" s="23">
        <f t="shared" ref="D835:D898" si="31">LN(B835/B834)</f>
        <v>9.9640498503845969E-3</v>
      </c>
      <c r="E835" s="47">
        <v>2767.320068</v>
      </c>
      <c r="F835" s="48">
        <v>3327600000</v>
      </c>
      <c r="G835" s="20">
        <f t="shared" ref="G835:G898" si="32">LN(E835/E834)</f>
        <v>1.710690054657128E-3</v>
      </c>
      <c r="H835" s="22">
        <v>1</v>
      </c>
      <c r="I835" s="16"/>
    </row>
    <row r="836" spans="1:9">
      <c r="A836" s="19">
        <v>43272</v>
      </c>
      <c r="B836" s="20">
        <v>98.587906000000004</v>
      </c>
      <c r="C836" s="21">
        <v>23198200</v>
      </c>
      <c r="D836" s="23">
        <f t="shared" si="31"/>
        <v>-7.1917777782346554E-3</v>
      </c>
      <c r="E836" s="47">
        <v>2749.76001</v>
      </c>
      <c r="F836" s="48">
        <v>3300060000</v>
      </c>
      <c r="G836" s="20">
        <f t="shared" si="32"/>
        <v>-6.3657286281216608E-3</v>
      </c>
      <c r="H836" s="22">
        <v>1</v>
      </c>
      <c r="I836" s="16"/>
    </row>
    <row r="837" spans="1:9">
      <c r="A837" s="19">
        <v>43273</v>
      </c>
      <c r="B837" s="20">
        <v>97.876328000000001</v>
      </c>
      <c r="C837" s="21">
        <v>38923100</v>
      </c>
      <c r="D837" s="23">
        <f t="shared" si="31"/>
        <v>-7.2438743389029109E-3</v>
      </c>
      <c r="E837" s="47">
        <v>2754.8798830000001</v>
      </c>
      <c r="F837" s="48">
        <v>5450550000</v>
      </c>
      <c r="G837" s="20">
        <f t="shared" si="32"/>
        <v>1.860203237960289E-3</v>
      </c>
      <c r="H837" s="22">
        <v>1</v>
      </c>
      <c r="I837" s="16"/>
    </row>
    <row r="838" spans="1:9">
      <c r="A838" s="19">
        <v>43276</v>
      </c>
      <c r="B838" s="20">
        <v>95.907302999999999</v>
      </c>
      <c r="C838" s="21">
        <v>35433300</v>
      </c>
      <c r="D838" s="23">
        <f t="shared" si="31"/>
        <v>-2.0322591313989519E-2</v>
      </c>
      <c r="E838" s="47">
        <v>2717.070068</v>
      </c>
      <c r="F838" s="48">
        <v>3655080000</v>
      </c>
      <c r="G838" s="20">
        <f t="shared" si="32"/>
        <v>-1.3819723168097358E-2</v>
      </c>
      <c r="H838" s="22">
        <v>1</v>
      </c>
      <c r="I838" s="16"/>
    </row>
    <row r="839" spans="1:9">
      <c r="A839" s="19">
        <v>43277</v>
      </c>
      <c r="B839" s="20">
        <v>96.579886999999999</v>
      </c>
      <c r="C839" s="21">
        <v>26897200</v>
      </c>
      <c r="D839" s="23">
        <f t="shared" si="31"/>
        <v>6.9883791983392446E-3</v>
      </c>
      <c r="E839" s="47">
        <v>2723.0600589999999</v>
      </c>
      <c r="F839" s="48">
        <v>3555090000</v>
      </c>
      <c r="G839" s="20">
        <f t="shared" si="32"/>
        <v>2.2021507871512656E-3</v>
      </c>
      <c r="H839" s="22">
        <v>1</v>
      </c>
      <c r="I839" s="16"/>
    </row>
    <row r="840" spans="1:9">
      <c r="A840" s="19">
        <v>43278</v>
      </c>
      <c r="B840" s="20">
        <v>95.078750999999997</v>
      </c>
      <c r="C840" s="21">
        <v>31298400</v>
      </c>
      <c r="D840" s="23">
        <f t="shared" si="31"/>
        <v>-1.566500433077286E-2</v>
      </c>
      <c r="E840" s="47">
        <v>2699.6298830000001</v>
      </c>
      <c r="F840" s="48">
        <v>3776090000</v>
      </c>
      <c r="G840" s="20">
        <f t="shared" si="32"/>
        <v>-8.6415863928759502E-3</v>
      </c>
      <c r="H840" s="22">
        <v>1</v>
      </c>
      <c r="I840" s="16"/>
    </row>
    <row r="841" spans="1:9">
      <c r="A841" s="19">
        <v>43279</v>
      </c>
      <c r="B841" s="20">
        <v>96.141234999999995</v>
      </c>
      <c r="C841" s="21">
        <v>26650700</v>
      </c>
      <c r="D841" s="23">
        <f t="shared" si="31"/>
        <v>1.1112802133667008E-2</v>
      </c>
      <c r="E841" s="47">
        <v>2716.3100589999999</v>
      </c>
      <c r="F841" s="48">
        <v>3428140000</v>
      </c>
      <c r="G841" s="20">
        <f t="shared" si="32"/>
        <v>6.1596800991367559E-3</v>
      </c>
      <c r="H841" s="22">
        <v>1</v>
      </c>
      <c r="I841" s="16"/>
    </row>
    <row r="842" spans="1:9">
      <c r="A842" s="19">
        <v>43280</v>
      </c>
      <c r="B842" s="20">
        <v>96.121750000000006</v>
      </c>
      <c r="C842" s="21">
        <v>28053200</v>
      </c>
      <c r="D842" s="23">
        <f t="shared" si="31"/>
        <v>-2.0269112192025592E-4</v>
      </c>
      <c r="E842" s="47">
        <v>2718.3701169999999</v>
      </c>
      <c r="F842" s="48">
        <v>3565620000</v>
      </c>
      <c r="G842" s="20">
        <f t="shared" si="32"/>
        <v>7.5811566898234637E-4</v>
      </c>
      <c r="H842" s="22">
        <v>1</v>
      </c>
      <c r="I842" s="16"/>
    </row>
    <row r="843" spans="1:9">
      <c r="A843" s="19">
        <v>43283</v>
      </c>
      <c r="B843" s="20">
        <v>97.486419999999995</v>
      </c>
      <c r="C843" s="21">
        <v>19564500</v>
      </c>
      <c r="D843" s="23">
        <f t="shared" si="31"/>
        <v>1.4097469140684207E-2</v>
      </c>
      <c r="E843" s="47">
        <v>2726.709961</v>
      </c>
      <c r="F843" s="48">
        <v>3073650000</v>
      </c>
      <c r="G843" s="20">
        <f t="shared" si="32"/>
        <v>3.0632609261900135E-3</v>
      </c>
      <c r="H843" s="22">
        <v>1</v>
      </c>
      <c r="I843" s="16"/>
    </row>
    <row r="844" spans="1:9">
      <c r="A844" s="19">
        <v>43284</v>
      </c>
      <c r="B844" s="20">
        <v>96.550651999999999</v>
      </c>
      <c r="C844" s="21">
        <v>14670300</v>
      </c>
      <c r="D844" s="23">
        <f t="shared" si="31"/>
        <v>-9.6453244224198025E-3</v>
      </c>
      <c r="E844" s="47">
        <v>2713.219971</v>
      </c>
      <c r="F844" s="48">
        <v>1911470000</v>
      </c>
      <c r="G844" s="20">
        <f t="shared" si="32"/>
        <v>-4.9596291940371519E-3</v>
      </c>
      <c r="H844" s="22">
        <v>1</v>
      </c>
      <c r="I844" s="16"/>
    </row>
    <row r="845" spans="1:9">
      <c r="A845" s="19">
        <v>43286</v>
      </c>
      <c r="B845" s="20">
        <v>97.242728999999997</v>
      </c>
      <c r="C845" s="21">
        <v>18977400</v>
      </c>
      <c r="D845" s="23">
        <f t="shared" si="31"/>
        <v>7.1424518071418674E-3</v>
      </c>
      <c r="E845" s="47">
        <v>2736.610107</v>
      </c>
      <c r="F845" s="48">
        <v>2953420000</v>
      </c>
      <c r="G845" s="20">
        <f t="shared" si="32"/>
        <v>8.5838564819602902E-3</v>
      </c>
      <c r="H845" s="22">
        <v>1</v>
      </c>
      <c r="I845" s="16"/>
    </row>
    <row r="846" spans="1:9">
      <c r="A846" s="19">
        <v>43287</v>
      </c>
      <c r="B846" s="20">
        <v>98.607406999999995</v>
      </c>
      <c r="C846" s="21">
        <v>19234600</v>
      </c>
      <c r="D846" s="23">
        <f t="shared" si="31"/>
        <v>1.3936166854353785E-2</v>
      </c>
      <c r="E846" s="47">
        <v>2759.820068</v>
      </c>
      <c r="F846" s="48">
        <v>2554780000</v>
      </c>
      <c r="G846" s="20">
        <f t="shared" si="32"/>
        <v>8.4455176245228913E-3</v>
      </c>
      <c r="H846" s="22">
        <v>1</v>
      </c>
      <c r="I846" s="16"/>
    </row>
    <row r="847" spans="1:9">
      <c r="A847" s="19">
        <v>43290</v>
      </c>
      <c r="B847" s="20">
        <v>99.279983999999999</v>
      </c>
      <c r="C847" s="21">
        <v>18212000</v>
      </c>
      <c r="D847" s="23">
        <f t="shared" si="31"/>
        <v>6.7975992450344126E-3</v>
      </c>
      <c r="E847" s="47">
        <v>2784.169922</v>
      </c>
      <c r="F847" s="48">
        <v>3050040000</v>
      </c>
      <c r="G847" s="20">
        <f t="shared" si="32"/>
        <v>8.7842909604549466E-3</v>
      </c>
      <c r="H847" s="22">
        <v>1</v>
      </c>
      <c r="I847" s="16"/>
    </row>
    <row r="848" spans="1:9">
      <c r="A848" s="19">
        <v>43291</v>
      </c>
      <c r="B848" s="20">
        <v>99.543166999999997</v>
      </c>
      <c r="C848" s="21">
        <v>19293100</v>
      </c>
      <c r="D848" s="23">
        <f t="shared" si="31"/>
        <v>2.6474095435284803E-3</v>
      </c>
      <c r="E848" s="47">
        <v>2793.8400879999999</v>
      </c>
      <c r="F848" s="48">
        <v>3063850000</v>
      </c>
      <c r="G848" s="20">
        <f t="shared" si="32"/>
        <v>3.4672493130737708E-3</v>
      </c>
      <c r="H848" s="22">
        <v>1</v>
      </c>
      <c r="I848" s="16"/>
    </row>
    <row r="849" spans="1:9">
      <c r="A849" s="19">
        <v>43292</v>
      </c>
      <c r="B849" s="20">
        <v>99.406707999999995</v>
      </c>
      <c r="C849" s="21">
        <v>19644600</v>
      </c>
      <c r="D849" s="23">
        <f t="shared" si="31"/>
        <v>-1.3717929845316567E-3</v>
      </c>
      <c r="E849" s="47">
        <v>2774.0200199999999</v>
      </c>
      <c r="F849" s="48">
        <v>2964740000</v>
      </c>
      <c r="G849" s="20">
        <f t="shared" si="32"/>
        <v>-7.1194862420864667E-3</v>
      </c>
      <c r="H849" s="22">
        <v>1</v>
      </c>
      <c r="I849" s="16"/>
    </row>
    <row r="850" spans="1:9">
      <c r="A850" s="19">
        <v>43293</v>
      </c>
      <c r="B850" s="20">
        <v>101.560951</v>
      </c>
      <c r="C850" s="21">
        <v>24335900</v>
      </c>
      <c r="D850" s="23">
        <f t="shared" si="31"/>
        <v>2.1439524420459689E-2</v>
      </c>
      <c r="E850" s="47">
        <v>2798.290039</v>
      </c>
      <c r="F850" s="48">
        <v>2821690000</v>
      </c>
      <c r="G850" s="20">
        <f t="shared" si="32"/>
        <v>8.7109913888583079E-3</v>
      </c>
      <c r="H850" s="22">
        <v>1</v>
      </c>
      <c r="I850" s="16"/>
    </row>
    <row r="851" spans="1:9">
      <c r="A851" s="19">
        <v>43294</v>
      </c>
      <c r="B851" s="20">
        <v>102.76965300000001</v>
      </c>
      <c r="C851" s="21">
        <v>24635200</v>
      </c>
      <c r="D851" s="23">
        <f t="shared" si="31"/>
        <v>1.1830984444107696E-2</v>
      </c>
      <c r="E851" s="47">
        <v>2801.3100589999999</v>
      </c>
      <c r="F851" s="48">
        <v>2614000000</v>
      </c>
      <c r="G851" s="20">
        <f t="shared" si="32"/>
        <v>1.0786557039651253E-3</v>
      </c>
      <c r="H851" s="22">
        <v>1</v>
      </c>
      <c r="I851" s="16"/>
    </row>
    <row r="852" spans="1:9">
      <c r="A852" s="19">
        <v>43297</v>
      </c>
      <c r="B852" s="20">
        <v>102.262772</v>
      </c>
      <c r="C852" s="21">
        <v>21786900</v>
      </c>
      <c r="D852" s="23">
        <f t="shared" si="31"/>
        <v>-4.9444085017315391E-3</v>
      </c>
      <c r="E852" s="47">
        <v>2798.429932</v>
      </c>
      <c r="F852" s="48">
        <v>2812230000</v>
      </c>
      <c r="G852" s="20">
        <f t="shared" si="32"/>
        <v>-1.028664637499674E-3</v>
      </c>
      <c r="H852" s="22">
        <v>1</v>
      </c>
      <c r="I852" s="16"/>
    </row>
    <row r="853" spans="1:9">
      <c r="A853" s="19">
        <v>43298</v>
      </c>
      <c r="B853" s="20">
        <v>103.276535</v>
      </c>
      <c r="C853" s="21">
        <v>25901700</v>
      </c>
      <c r="D853" s="23">
        <f t="shared" si="31"/>
        <v>9.8644997437968406E-3</v>
      </c>
      <c r="E853" s="47">
        <v>2809.5500489999999</v>
      </c>
      <c r="F853" s="48">
        <v>3050730000</v>
      </c>
      <c r="G853" s="20">
        <f t="shared" si="32"/>
        <v>3.965824276198425E-3</v>
      </c>
      <c r="H853" s="22">
        <v>1</v>
      </c>
      <c r="I853" s="16"/>
    </row>
    <row r="854" spans="1:9">
      <c r="A854" s="19">
        <v>43299</v>
      </c>
      <c r="B854" s="20">
        <v>102.467468</v>
      </c>
      <c r="C854" s="21">
        <v>29493900</v>
      </c>
      <c r="D854" s="23">
        <f t="shared" si="31"/>
        <v>-7.8648335663995296E-3</v>
      </c>
      <c r="E854" s="47">
        <v>2815.6201169999999</v>
      </c>
      <c r="F854" s="48">
        <v>3089780000</v>
      </c>
      <c r="G854" s="20">
        <f t="shared" si="32"/>
        <v>2.1581819489692655E-3</v>
      </c>
      <c r="H854" s="22">
        <v>1</v>
      </c>
      <c r="I854" s="16"/>
    </row>
    <row r="855" spans="1:9">
      <c r="A855" s="19">
        <v>43300</v>
      </c>
      <c r="B855" s="20">
        <v>101.765648</v>
      </c>
      <c r="C855" s="21">
        <v>40171600</v>
      </c>
      <c r="D855" s="23">
        <f t="shared" si="31"/>
        <v>-6.8727616389907984E-3</v>
      </c>
      <c r="E855" s="47">
        <v>2804.48999</v>
      </c>
      <c r="F855" s="48">
        <v>3266700000</v>
      </c>
      <c r="G855" s="20">
        <f t="shared" si="32"/>
        <v>-3.9608268660280945E-3</v>
      </c>
      <c r="H855" s="22">
        <v>1</v>
      </c>
      <c r="I855" s="16"/>
    </row>
    <row r="856" spans="1:9">
      <c r="A856" s="19">
        <v>43301</v>
      </c>
      <c r="B856" s="20">
        <v>103.588448</v>
      </c>
      <c r="C856" s="21">
        <v>56004000</v>
      </c>
      <c r="D856" s="23">
        <f t="shared" si="31"/>
        <v>1.7753216620420443E-2</v>
      </c>
      <c r="E856" s="47">
        <v>2801.830078</v>
      </c>
      <c r="F856" s="48">
        <v>3230210000</v>
      </c>
      <c r="G856" s="20">
        <f t="shared" si="32"/>
        <v>-9.4889773231677382E-4</v>
      </c>
      <c r="H856" s="22">
        <v>1</v>
      </c>
      <c r="I856" s="16"/>
    </row>
    <row r="857" spans="1:9">
      <c r="A857" s="19">
        <v>43304</v>
      </c>
      <c r="B857" s="20">
        <v>105.24556699999999</v>
      </c>
      <c r="C857" s="21">
        <v>29707000</v>
      </c>
      <c r="D857" s="23">
        <f t="shared" si="31"/>
        <v>1.5870535093981054E-2</v>
      </c>
      <c r="E857" s="47">
        <v>2806.9799800000001</v>
      </c>
      <c r="F857" s="48">
        <v>2907430000</v>
      </c>
      <c r="G857" s="20">
        <f t="shared" si="32"/>
        <v>1.8363622208507574E-3</v>
      </c>
      <c r="H857" s="22">
        <v>1</v>
      </c>
      <c r="I857" s="16"/>
    </row>
    <row r="858" spans="1:9">
      <c r="A858" s="19">
        <v>43305</v>
      </c>
      <c r="B858" s="20">
        <v>104.943382</v>
      </c>
      <c r="C858" s="21">
        <v>26316600</v>
      </c>
      <c r="D858" s="23">
        <f t="shared" si="31"/>
        <v>-2.8753672315931559E-3</v>
      </c>
      <c r="E858" s="47">
        <v>2820.3999020000001</v>
      </c>
      <c r="F858" s="48">
        <v>3417530000</v>
      </c>
      <c r="G858" s="20">
        <f t="shared" si="32"/>
        <v>4.7695189311680571E-3</v>
      </c>
      <c r="H858" s="22">
        <v>1</v>
      </c>
      <c r="I858" s="16"/>
    </row>
    <row r="859" spans="1:9">
      <c r="A859" s="19">
        <v>43306</v>
      </c>
      <c r="B859" s="20">
        <v>108.03338599999999</v>
      </c>
      <c r="C859" s="21">
        <v>30702100</v>
      </c>
      <c r="D859" s="23">
        <f t="shared" si="31"/>
        <v>2.901932330409801E-2</v>
      </c>
      <c r="E859" s="47">
        <v>2846.070068</v>
      </c>
      <c r="F859" s="48">
        <v>3553010000</v>
      </c>
      <c r="G859" s="20">
        <f t="shared" si="32"/>
        <v>9.0604350659817777E-3</v>
      </c>
      <c r="H859" s="22">
        <v>1</v>
      </c>
      <c r="I859" s="16"/>
    </row>
    <row r="860" spans="1:9">
      <c r="A860" s="19">
        <v>43307</v>
      </c>
      <c r="B860" s="20">
        <v>106.853928</v>
      </c>
      <c r="C860" s="21">
        <v>31372100</v>
      </c>
      <c r="D860" s="23">
        <f t="shared" si="31"/>
        <v>-1.0977566078042929E-2</v>
      </c>
      <c r="E860" s="47">
        <v>2837.4399410000001</v>
      </c>
      <c r="F860" s="48">
        <v>3653330000</v>
      </c>
      <c r="G860" s="20">
        <f t="shared" si="32"/>
        <v>-3.0369027657715817E-3</v>
      </c>
      <c r="H860" s="22">
        <v>1</v>
      </c>
      <c r="I860" s="16"/>
    </row>
    <row r="861" spans="1:9">
      <c r="A861" s="19">
        <v>43308</v>
      </c>
      <c r="B861" s="20">
        <v>104.962875</v>
      </c>
      <c r="C861" s="21">
        <v>37005300</v>
      </c>
      <c r="D861" s="23">
        <f t="shared" si="31"/>
        <v>-1.7856026697250182E-2</v>
      </c>
      <c r="E861" s="47">
        <v>2818.820068</v>
      </c>
      <c r="F861" s="48">
        <v>3415710000</v>
      </c>
      <c r="G861" s="20">
        <f t="shared" si="32"/>
        <v>-6.5838346291620022E-3</v>
      </c>
      <c r="H861" s="22">
        <v>1</v>
      </c>
      <c r="I861" s="16"/>
    </row>
    <row r="862" spans="1:9">
      <c r="A862" s="19">
        <v>43311</v>
      </c>
      <c r="B862" s="20">
        <v>102.71116600000001</v>
      </c>
      <c r="C862" s="21">
        <v>34668300</v>
      </c>
      <c r="D862" s="23">
        <f t="shared" si="31"/>
        <v>-2.16858807432809E-2</v>
      </c>
      <c r="E862" s="47">
        <v>2802.6000979999999</v>
      </c>
      <c r="F862" s="48">
        <v>3245770000</v>
      </c>
      <c r="G862" s="20">
        <f t="shared" si="32"/>
        <v>-5.7707890654419306E-3</v>
      </c>
      <c r="H862" s="22">
        <v>1</v>
      </c>
      <c r="I862" s="16"/>
    </row>
    <row r="863" spans="1:9">
      <c r="A863" s="19">
        <v>43312</v>
      </c>
      <c r="B863" s="20">
        <v>103.40325199999999</v>
      </c>
      <c r="C863" s="21">
        <v>27655200</v>
      </c>
      <c r="D863" s="23">
        <f t="shared" si="31"/>
        <v>6.7155767921931809E-3</v>
      </c>
      <c r="E863" s="47">
        <v>2816.290039</v>
      </c>
      <c r="F863" s="48">
        <v>3892100000</v>
      </c>
      <c r="G863" s="20">
        <f t="shared" si="32"/>
        <v>4.8728370744568371E-3</v>
      </c>
      <c r="H863" s="22">
        <v>1</v>
      </c>
      <c r="I863" s="16"/>
    </row>
    <row r="864" spans="1:9">
      <c r="A864" s="19">
        <v>43313</v>
      </c>
      <c r="B864" s="20">
        <v>103.598206</v>
      </c>
      <c r="C864" s="21">
        <v>23628700</v>
      </c>
      <c r="D864" s="23">
        <f t="shared" si="31"/>
        <v>1.8836008163829845E-3</v>
      </c>
      <c r="E864" s="47">
        <v>2813.360107</v>
      </c>
      <c r="F864" s="48">
        <v>3496990000</v>
      </c>
      <c r="G864" s="20">
        <f t="shared" si="32"/>
        <v>-1.0408931953329581E-3</v>
      </c>
      <c r="H864" s="22">
        <v>1</v>
      </c>
      <c r="I864" s="16"/>
    </row>
    <row r="865" spans="1:9">
      <c r="A865" s="19">
        <v>43314</v>
      </c>
      <c r="B865" s="20">
        <v>104.85565200000001</v>
      </c>
      <c r="C865" s="21">
        <v>26104300</v>
      </c>
      <c r="D865" s="23">
        <f t="shared" si="31"/>
        <v>1.2064648401342554E-2</v>
      </c>
      <c r="E865" s="47">
        <v>2827.219971</v>
      </c>
      <c r="F865" s="48">
        <v>3467380000</v>
      </c>
      <c r="G865" s="20">
        <f t="shared" si="32"/>
        <v>4.9143498371688119E-3</v>
      </c>
      <c r="H865" s="22">
        <v>1</v>
      </c>
      <c r="I865" s="16"/>
    </row>
    <row r="866" spans="1:9">
      <c r="A866" s="19">
        <v>43315</v>
      </c>
      <c r="B866" s="20">
        <v>105.31379699999999</v>
      </c>
      <c r="C866" s="21">
        <v>18659600</v>
      </c>
      <c r="D866" s="23">
        <f t="shared" si="31"/>
        <v>4.3597747233712235E-3</v>
      </c>
      <c r="E866" s="47">
        <v>2840.3500979999999</v>
      </c>
      <c r="F866" s="48">
        <v>3030390000</v>
      </c>
      <c r="G866" s="20">
        <f t="shared" si="32"/>
        <v>4.6334320813658366E-3</v>
      </c>
      <c r="H866" s="22">
        <v>1</v>
      </c>
      <c r="I866" s="16"/>
    </row>
    <row r="867" spans="1:9">
      <c r="A867" s="19">
        <v>43318</v>
      </c>
      <c r="B867" s="20">
        <v>105.40152</v>
      </c>
      <c r="C867" s="21">
        <v>20265900</v>
      </c>
      <c r="D867" s="23">
        <f t="shared" si="31"/>
        <v>8.3262105780279908E-4</v>
      </c>
      <c r="E867" s="47">
        <v>2850.3999020000001</v>
      </c>
      <c r="F867" s="48">
        <v>2874540000</v>
      </c>
      <c r="G867" s="20">
        <f t="shared" si="32"/>
        <v>3.5319824091807187E-3</v>
      </c>
      <c r="H867" s="22">
        <v>1</v>
      </c>
      <c r="I867" s="16"/>
    </row>
    <row r="868" spans="1:9">
      <c r="A868" s="19">
        <v>43319</v>
      </c>
      <c r="B868" s="20">
        <v>106.132599</v>
      </c>
      <c r="C868" s="21">
        <v>16080200</v>
      </c>
      <c r="D868" s="23">
        <f t="shared" si="31"/>
        <v>6.912189052684258E-3</v>
      </c>
      <c r="E868" s="47">
        <v>2858.4499510000001</v>
      </c>
      <c r="F868" s="48">
        <v>3162770000</v>
      </c>
      <c r="G868" s="20">
        <f t="shared" si="32"/>
        <v>2.8202018069540436E-3</v>
      </c>
      <c r="H868" s="22">
        <v>1</v>
      </c>
      <c r="I868" s="16"/>
    </row>
    <row r="869" spans="1:9">
      <c r="A869" s="19">
        <v>43320</v>
      </c>
      <c r="B869" s="20">
        <v>106.727203</v>
      </c>
      <c r="C869" s="21">
        <v>15487500</v>
      </c>
      <c r="D869" s="23">
        <f t="shared" si="31"/>
        <v>5.5868279591489104E-3</v>
      </c>
      <c r="E869" s="47">
        <v>2857.6999510000001</v>
      </c>
      <c r="F869" s="48">
        <v>2972200000</v>
      </c>
      <c r="G869" s="20">
        <f t="shared" si="32"/>
        <v>-2.6241439331087723E-4</v>
      </c>
      <c r="H869" s="22">
        <v>1</v>
      </c>
      <c r="I869" s="16"/>
    </row>
    <row r="870" spans="1:9">
      <c r="A870" s="19">
        <v>43321</v>
      </c>
      <c r="B870" s="20">
        <v>106.902657</v>
      </c>
      <c r="C870" s="21">
        <v>13677200</v>
      </c>
      <c r="D870" s="23">
        <f t="shared" si="31"/>
        <v>1.6425984593147688E-3</v>
      </c>
      <c r="E870" s="47">
        <v>2853.580078</v>
      </c>
      <c r="F870" s="48">
        <v>3047050000</v>
      </c>
      <c r="G870" s="20">
        <f t="shared" si="32"/>
        <v>-1.4427146607000002E-3</v>
      </c>
      <c r="H870" s="22">
        <v>1</v>
      </c>
      <c r="I870" s="16"/>
    </row>
    <row r="871" spans="1:9">
      <c r="A871" s="19">
        <v>43322</v>
      </c>
      <c r="B871" s="20">
        <v>106.249573</v>
      </c>
      <c r="C871" s="21">
        <v>18183700</v>
      </c>
      <c r="D871" s="23">
        <f t="shared" si="31"/>
        <v>-6.1278837538750021E-3</v>
      </c>
      <c r="E871" s="47">
        <v>2833.280029</v>
      </c>
      <c r="F871" s="48">
        <v>3256040000</v>
      </c>
      <c r="G871" s="20">
        <f t="shared" si="32"/>
        <v>-7.1393123242211578E-3</v>
      </c>
      <c r="H871" s="22">
        <v>1</v>
      </c>
      <c r="I871" s="16"/>
    </row>
    <row r="872" spans="1:9">
      <c r="A872" s="19">
        <v>43325</v>
      </c>
      <c r="B872" s="20">
        <v>105.4795</v>
      </c>
      <c r="C872" s="21">
        <v>18472500</v>
      </c>
      <c r="D872" s="23">
        <f t="shared" si="31"/>
        <v>-7.2741677341858985E-3</v>
      </c>
      <c r="E872" s="47">
        <v>2821.929932</v>
      </c>
      <c r="F872" s="48">
        <v>3158450000</v>
      </c>
      <c r="G872" s="20">
        <f t="shared" si="32"/>
        <v>-4.0140374338481786E-3</v>
      </c>
      <c r="H872" s="22">
        <v>1</v>
      </c>
      <c r="I872" s="16"/>
    </row>
    <row r="873" spans="1:9">
      <c r="A873" s="19">
        <v>43326</v>
      </c>
      <c r="B873" s="20">
        <v>106.795441</v>
      </c>
      <c r="C873" s="21">
        <v>16788300</v>
      </c>
      <c r="D873" s="23">
        <f t="shared" si="31"/>
        <v>1.2398617110314208E-2</v>
      </c>
      <c r="E873" s="47">
        <v>2839.959961</v>
      </c>
      <c r="F873" s="48">
        <v>2976970000</v>
      </c>
      <c r="G873" s="20">
        <f t="shared" si="32"/>
        <v>6.3689299110739591E-3</v>
      </c>
      <c r="H873" s="22">
        <v>1</v>
      </c>
      <c r="I873" s="16"/>
    </row>
    <row r="874" spans="1:9">
      <c r="A874" s="19">
        <v>43327</v>
      </c>
      <c r="B874" s="20">
        <v>105.34723700000001</v>
      </c>
      <c r="C874" s="21">
        <v>29982800</v>
      </c>
      <c r="D874" s="23">
        <f t="shared" si="31"/>
        <v>-1.365332530561985E-2</v>
      </c>
      <c r="E874" s="47">
        <v>2818.3701169999999</v>
      </c>
      <c r="F874" s="48">
        <v>3645070000</v>
      </c>
      <c r="G874" s="20">
        <f t="shared" si="32"/>
        <v>-7.6312086699139242E-3</v>
      </c>
      <c r="H874" s="22">
        <v>1</v>
      </c>
      <c r="I874" s="16"/>
    </row>
    <row r="875" spans="1:9">
      <c r="A875" s="19">
        <v>43328</v>
      </c>
      <c r="B875" s="20">
        <v>105.32765999999999</v>
      </c>
      <c r="C875" s="21">
        <v>21384300</v>
      </c>
      <c r="D875" s="23">
        <f t="shared" si="31"/>
        <v>-1.8585033466391143E-4</v>
      </c>
      <c r="E875" s="47">
        <v>2840.6899410000001</v>
      </c>
      <c r="F875" s="48">
        <v>3219880000</v>
      </c>
      <c r="G875" s="20">
        <f t="shared" si="32"/>
        <v>7.8882144761550296E-3</v>
      </c>
      <c r="H875" s="22">
        <v>1</v>
      </c>
      <c r="I875" s="16"/>
    </row>
    <row r="876" spans="1:9">
      <c r="A876" s="19">
        <v>43329</v>
      </c>
      <c r="B876" s="20">
        <v>105.268959</v>
      </c>
      <c r="C876" s="21">
        <v>18061500</v>
      </c>
      <c r="D876" s="23">
        <f t="shared" si="31"/>
        <v>-5.5747335165187684E-4</v>
      </c>
      <c r="E876" s="47">
        <v>2850.1298830000001</v>
      </c>
      <c r="F876" s="48">
        <v>3024100000</v>
      </c>
      <c r="G876" s="20">
        <f t="shared" si="32"/>
        <v>3.3176065840605441E-3</v>
      </c>
      <c r="H876" s="22">
        <v>1</v>
      </c>
      <c r="I876" s="16"/>
    </row>
    <row r="877" spans="1:9">
      <c r="A877" s="19">
        <v>43332</v>
      </c>
      <c r="B877" s="20">
        <v>104.574219</v>
      </c>
      <c r="C877" s="21">
        <v>17914200</v>
      </c>
      <c r="D877" s="23">
        <f t="shared" si="31"/>
        <v>-6.6215403809092395E-3</v>
      </c>
      <c r="E877" s="47">
        <v>2857.0500489999999</v>
      </c>
      <c r="F877" s="48">
        <v>2748020000</v>
      </c>
      <c r="G877" s="20">
        <f t="shared" si="32"/>
        <v>2.4250748965000154E-3</v>
      </c>
      <c r="H877" s="22">
        <v>1</v>
      </c>
      <c r="I877" s="16"/>
    </row>
    <row r="878" spans="1:9">
      <c r="A878" s="19">
        <v>43333</v>
      </c>
      <c r="B878" s="20">
        <v>103.70333100000001</v>
      </c>
      <c r="C878" s="21">
        <v>22881900</v>
      </c>
      <c r="D878" s="23">
        <f t="shared" si="31"/>
        <v>-8.3628127522681495E-3</v>
      </c>
      <c r="E878" s="47">
        <v>2862.959961</v>
      </c>
      <c r="F878" s="48">
        <v>3147140000</v>
      </c>
      <c r="G878" s="20">
        <f t="shared" si="32"/>
        <v>2.0663999162995063E-3</v>
      </c>
      <c r="H878" s="22">
        <v>1</v>
      </c>
      <c r="I878" s="16"/>
    </row>
    <row r="879" spans="1:9">
      <c r="A879" s="19">
        <v>43334</v>
      </c>
      <c r="B879" s="20">
        <v>104.76011699999999</v>
      </c>
      <c r="C879" s="21">
        <v>18000600</v>
      </c>
      <c r="D879" s="23">
        <f t="shared" si="31"/>
        <v>1.0138900253438771E-2</v>
      </c>
      <c r="E879" s="47">
        <v>2861.820068</v>
      </c>
      <c r="F879" s="48">
        <v>2689560000</v>
      </c>
      <c r="G879" s="20">
        <f t="shared" si="32"/>
        <v>-3.9823120164966298E-4</v>
      </c>
      <c r="H879" s="22">
        <v>1</v>
      </c>
      <c r="I879" s="16"/>
    </row>
    <row r="880" spans="1:9">
      <c r="A880" s="19">
        <v>43335</v>
      </c>
      <c r="B880" s="20">
        <v>105.249374</v>
      </c>
      <c r="C880" s="21">
        <v>18167700</v>
      </c>
      <c r="D880" s="23">
        <f t="shared" si="31"/>
        <v>4.6593883239595766E-3</v>
      </c>
      <c r="E880" s="47">
        <v>2856.9799800000001</v>
      </c>
      <c r="F880" s="48">
        <v>2713910000</v>
      </c>
      <c r="G880" s="20">
        <f t="shared" si="32"/>
        <v>-1.6926939620312493E-3</v>
      </c>
      <c r="H880" s="22">
        <v>1</v>
      </c>
      <c r="I880" s="16"/>
    </row>
    <row r="881" spans="1:9">
      <c r="A881" s="19">
        <v>43336</v>
      </c>
      <c r="B881" s="20">
        <v>106.071335</v>
      </c>
      <c r="C881" s="21">
        <v>17234000</v>
      </c>
      <c r="D881" s="23">
        <f t="shared" si="31"/>
        <v>7.7793146649352092E-3</v>
      </c>
      <c r="E881" s="47">
        <v>2874.6899410000001</v>
      </c>
      <c r="F881" s="48">
        <v>2596190000</v>
      </c>
      <c r="G881" s="20">
        <f t="shared" si="32"/>
        <v>6.1797059510375384E-3</v>
      </c>
      <c r="H881" s="22">
        <v>1</v>
      </c>
      <c r="I881" s="16"/>
    </row>
    <row r="882" spans="1:9">
      <c r="A882" s="19">
        <v>43339</v>
      </c>
      <c r="B882" s="20">
        <v>107.245552</v>
      </c>
      <c r="C882" s="21">
        <v>19662300</v>
      </c>
      <c r="D882" s="23">
        <f t="shared" si="31"/>
        <v>1.1009244288346369E-2</v>
      </c>
      <c r="E882" s="47">
        <v>2896.73999</v>
      </c>
      <c r="F882" s="48">
        <v>2854080000</v>
      </c>
      <c r="G882" s="20">
        <f t="shared" si="32"/>
        <v>7.6411414675201612E-3</v>
      </c>
      <c r="H882" s="22">
        <v>1</v>
      </c>
      <c r="I882" s="16"/>
    </row>
    <row r="883" spans="1:9">
      <c r="A883" s="19">
        <v>43340</v>
      </c>
      <c r="B883" s="20">
        <v>107.89138800000001</v>
      </c>
      <c r="C883" s="21">
        <v>19151500</v>
      </c>
      <c r="D883" s="23">
        <f t="shared" si="31"/>
        <v>6.003970680926278E-3</v>
      </c>
      <c r="E883" s="47">
        <v>2897.5200199999999</v>
      </c>
      <c r="F883" s="48">
        <v>2683190000</v>
      </c>
      <c r="G883" s="20">
        <f t="shared" si="32"/>
        <v>2.6924232028460157E-4</v>
      </c>
      <c r="H883" s="22">
        <v>1</v>
      </c>
      <c r="I883" s="16"/>
    </row>
    <row r="884" spans="1:9">
      <c r="A884" s="19">
        <v>43341</v>
      </c>
      <c r="B884" s="20">
        <v>109.61357099999999</v>
      </c>
      <c r="C884" s="21">
        <v>20818000</v>
      </c>
      <c r="D884" s="23">
        <f t="shared" si="31"/>
        <v>1.5836135405639055E-2</v>
      </c>
      <c r="E884" s="47">
        <v>2914.040039</v>
      </c>
      <c r="F884" s="48">
        <v>2791860000</v>
      </c>
      <c r="G884" s="20">
        <f t="shared" si="32"/>
        <v>5.6852422856874876E-3</v>
      </c>
      <c r="H884" s="22">
        <v>1</v>
      </c>
      <c r="I884" s="16"/>
    </row>
    <row r="885" spans="1:9">
      <c r="A885" s="19">
        <v>43342</v>
      </c>
      <c r="B885" s="20">
        <v>109.545074</v>
      </c>
      <c r="C885" s="21">
        <v>22798700</v>
      </c>
      <c r="D885" s="23">
        <f t="shared" si="31"/>
        <v>-6.2509057975203091E-4</v>
      </c>
      <c r="E885" s="47">
        <v>2901.1298830000001</v>
      </c>
      <c r="F885" s="48">
        <v>2802180000</v>
      </c>
      <c r="G885" s="20">
        <f t="shared" si="32"/>
        <v>-4.4401719583801614E-3</v>
      </c>
      <c r="H885" s="22">
        <v>1</v>
      </c>
      <c r="I885" s="16"/>
    </row>
    <row r="886" spans="1:9">
      <c r="A886" s="19">
        <v>43343</v>
      </c>
      <c r="B886" s="20">
        <v>109.916916</v>
      </c>
      <c r="C886" s="21">
        <v>23222700</v>
      </c>
      <c r="D886" s="23">
        <f t="shared" si="31"/>
        <v>3.3886720504518854E-3</v>
      </c>
      <c r="E886" s="47">
        <v>2901.5200199999999</v>
      </c>
      <c r="F886" s="48">
        <v>2880260000</v>
      </c>
      <c r="G886" s="20">
        <f t="shared" si="32"/>
        <v>1.3446856422812315E-4</v>
      </c>
      <c r="H886" s="22">
        <v>1</v>
      </c>
      <c r="I886" s="16"/>
    </row>
    <row r="887" spans="1:9">
      <c r="A887" s="19">
        <v>43347</v>
      </c>
      <c r="B887" s="20">
        <v>109.31023399999999</v>
      </c>
      <c r="C887" s="21">
        <v>22634600</v>
      </c>
      <c r="D887" s="23">
        <f t="shared" si="31"/>
        <v>-5.5347483076697316E-3</v>
      </c>
      <c r="E887" s="47">
        <v>2896.719971</v>
      </c>
      <c r="F887" s="48">
        <v>3077060000</v>
      </c>
      <c r="G887" s="20">
        <f t="shared" si="32"/>
        <v>-1.6556921079459639E-3</v>
      </c>
      <c r="H887" s="22">
        <v>1</v>
      </c>
      <c r="I887" s="16"/>
    </row>
    <row r="888" spans="1:9">
      <c r="A888" s="19">
        <v>43348</v>
      </c>
      <c r="B888" s="20">
        <v>106.159401</v>
      </c>
      <c r="C888" s="21">
        <v>32872400</v>
      </c>
      <c r="D888" s="23">
        <f t="shared" si="31"/>
        <v>-2.9248275422704469E-2</v>
      </c>
      <c r="E888" s="47">
        <v>2888.6000979999999</v>
      </c>
      <c r="F888" s="48">
        <v>3241250000</v>
      </c>
      <c r="G888" s="20">
        <f t="shared" si="32"/>
        <v>-2.8070627847504065E-3</v>
      </c>
      <c r="H888" s="22">
        <v>1</v>
      </c>
      <c r="I888" s="16"/>
    </row>
    <row r="889" spans="1:9">
      <c r="A889" s="19">
        <v>43349</v>
      </c>
      <c r="B889" s="20">
        <v>106.40403000000001</v>
      </c>
      <c r="C889" s="21">
        <v>23477600</v>
      </c>
      <c r="D889" s="23">
        <f t="shared" si="31"/>
        <v>2.3017045486107544E-3</v>
      </c>
      <c r="E889" s="47">
        <v>2878.0500489999999</v>
      </c>
      <c r="F889" s="48">
        <v>3139590000</v>
      </c>
      <c r="G889" s="20">
        <f t="shared" si="32"/>
        <v>-3.658991095901207E-3</v>
      </c>
      <c r="H889" s="22">
        <v>1</v>
      </c>
      <c r="I889" s="16"/>
    </row>
    <row r="890" spans="1:9">
      <c r="A890" s="19">
        <v>43350</v>
      </c>
      <c r="B890" s="20">
        <v>105.88542200000001</v>
      </c>
      <c r="C890" s="21">
        <v>22498600</v>
      </c>
      <c r="D890" s="23">
        <f t="shared" si="31"/>
        <v>-4.8858671665959266E-3</v>
      </c>
      <c r="E890" s="47">
        <v>2871.679932</v>
      </c>
      <c r="F890" s="48">
        <v>2946270000</v>
      </c>
      <c r="G890" s="20">
        <f t="shared" si="32"/>
        <v>-2.2157978295892274E-3</v>
      </c>
      <c r="H890" s="22">
        <v>1</v>
      </c>
      <c r="I890" s="16"/>
    </row>
    <row r="891" spans="1:9">
      <c r="A891" s="19">
        <v>43353</v>
      </c>
      <c r="B891" s="20">
        <v>107.030289</v>
      </c>
      <c r="C891" s="21">
        <v>20727900</v>
      </c>
      <c r="D891" s="23">
        <f t="shared" si="31"/>
        <v>1.0754284206636652E-2</v>
      </c>
      <c r="E891" s="47">
        <v>2877.1298830000001</v>
      </c>
      <c r="F891" s="48">
        <v>2731400000</v>
      </c>
      <c r="G891" s="20">
        <f t="shared" si="32"/>
        <v>1.8960281547179359E-3</v>
      </c>
      <c r="H891" s="22">
        <v>1</v>
      </c>
      <c r="I891" s="16"/>
    </row>
    <row r="892" spans="1:9">
      <c r="A892" s="19">
        <v>43354</v>
      </c>
      <c r="B892" s="20">
        <v>108.850319</v>
      </c>
      <c r="C892" s="21">
        <v>24301800</v>
      </c>
      <c r="D892" s="23">
        <f t="shared" si="31"/>
        <v>1.6861849144596479E-2</v>
      </c>
      <c r="E892" s="47">
        <v>2887.889893</v>
      </c>
      <c r="F892" s="48">
        <v>2899660000</v>
      </c>
      <c r="G892" s="20">
        <f t="shared" si="32"/>
        <v>3.7328657706305157E-3</v>
      </c>
      <c r="H892" s="22">
        <v>1</v>
      </c>
      <c r="I892" s="16"/>
    </row>
    <row r="893" spans="1:9">
      <c r="A893" s="19">
        <v>43355</v>
      </c>
      <c r="B893" s="20">
        <v>109.31023399999999</v>
      </c>
      <c r="C893" s="21">
        <v>18891100</v>
      </c>
      <c r="D893" s="23">
        <f t="shared" si="31"/>
        <v>4.2163046894565549E-3</v>
      </c>
      <c r="E893" s="47">
        <v>2888.919922</v>
      </c>
      <c r="F893" s="48">
        <v>3264930000</v>
      </c>
      <c r="G893" s="20">
        <f t="shared" si="32"/>
        <v>3.5660824707827452E-4</v>
      </c>
      <c r="H893" s="22">
        <v>1</v>
      </c>
      <c r="I893" s="16"/>
    </row>
    <row r="894" spans="1:9">
      <c r="A894" s="19">
        <v>43356</v>
      </c>
      <c r="B894" s="20">
        <v>110.48445100000001</v>
      </c>
      <c r="C894" s="21">
        <v>26055600</v>
      </c>
      <c r="D894" s="23">
        <f t="shared" si="31"/>
        <v>1.0684773120193945E-2</v>
      </c>
      <c r="E894" s="47">
        <v>2904.179932</v>
      </c>
      <c r="F894" s="48">
        <v>3254930000</v>
      </c>
      <c r="G894" s="20">
        <f t="shared" si="32"/>
        <v>5.2683522398666409E-3</v>
      </c>
      <c r="H894" s="22">
        <v>1</v>
      </c>
      <c r="I894" s="16"/>
    </row>
    <row r="895" spans="1:9">
      <c r="A895" s="19">
        <v>43357</v>
      </c>
      <c r="B895" s="20">
        <v>110.93456999999999</v>
      </c>
      <c r="C895" s="21">
        <v>19122300</v>
      </c>
      <c r="D895" s="23">
        <f t="shared" si="31"/>
        <v>4.065771928939717E-3</v>
      </c>
      <c r="E895" s="47">
        <v>2904.9799800000001</v>
      </c>
      <c r="F895" s="48">
        <v>3149800000</v>
      </c>
      <c r="G895" s="20">
        <f t="shared" si="32"/>
        <v>2.754436156614643E-4</v>
      </c>
      <c r="H895" s="22">
        <v>1</v>
      </c>
      <c r="I895" s="16"/>
    </row>
    <row r="896" spans="1:9">
      <c r="A896" s="19">
        <v>43360</v>
      </c>
      <c r="B896" s="20">
        <v>109.73099499999999</v>
      </c>
      <c r="C896" s="21">
        <v>20736500</v>
      </c>
      <c r="D896" s="23">
        <f t="shared" si="31"/>
        <v>-1.0908697380093419E-2</v>
      </c>
      <c r="E896" s="47">
        <v>2888.8000489999999</v>
      </c>
      <c r="F896" s="48">
        <v>2947760000</v>
      </c>
      <c r="G896" s="20">
        <f t="shared" si="32"/>
        <v>-5.5852907706914409E-3</v>
      </c>
      <c r="H896" s="22">
        <v>1</v>
      </c>
      <c r="I896" s="16"/>
    </row>
    <row r="897" spans="1:9">
      <c r="A897" s="19">
        <v>43361</v>
      </c>
      <c r="B897" s="20">
        <v>110.778008</v>
      </c>
      <c r="C897" s="21">
        <v>22170900</v>
      </c>
      <c r="D897" s="23">
        <f t="shared" si="31"/>
        <v>9.4964001849114198E-3</v>
      </c>
      <c r="E897" s="47">
        <v>2904.3100589999999</v>
      </c>
      <c r="F897" s="48">
        <v>3074610000</v>
      </c>
      <c r="G897" s="20">
        <f t="shared" si="32"/>
        <v>5.3546529480065826E-3</v>
      </c>
      <c r="H897" s="22">
        <v>1</v>
      </c>
      <c r="I897" s="16"/>
    </row>
    <row r="898" spans="1:9">
      <c r="A898" s="19">
        <v>43362</v>
      </c>
      <c r="B898" s="20">
        <v>109.300438</v>
      </c>
      <c r="C898" s="21">
        <v>21728400</v>
      </c>
      <c r="D898" s="23">
        <f t="shared" si="31"/>
        <v>-1.3427868364395301E-2</v>
      </c>
      <c r="E898" s="47">
        <v>2907.9499510000001</v>
      </c>
      <c r="F898" s="48">
        <v>3280020000</v>
      </c>
      <c r="G898" s="20">
        <f t="shared" si="32"/>
        <v>1.252487834188515E-3</v>
      </c>
      <c r="H898" s="22">
        <v>1</v>
      </c>
      <c r="I898" s="16"/>
    </row>
    <row r="899" spans="1:9">
      <c r="A899" s="19">
        <v>43363</v>
      </c>
      <c r="B899" s="20">
        <v>111.13028</v>
      </c>
      <c r="C899" s="21">
        <v>23714500</v>
      </c>
      <c r="D899" s="23">
        <f t="shared" ref="D899:D962" si="33">LN(B899/B898)</f>
        <v>1.6602804272285554E-2</v>
      </c>
      <c r="E899" s="47">
        <v>2930.75</v>
      </c>
      <c r="F899" s="48">
        <v>3337730000</v>
      </c>
      <c r="G899" s="20">
        <f t="shared" ref="G899:G962" si="34">LN(E899/E898)</f>
        <v>7.8100142444342121E-3</v>
      </c>
      <c r="H899" s="22">
        <v>1</v>
      </c>
      <c r="I899" s="16"/>
    </row>
    <row r="900" spans="1:9">
      <c r="A900" s="19">
        <v>43364</v>
      </c>
      <c r="B900" s="20">
        <v>111.805466</v>
      </c>
      <c r="C900" s="21">
        <v>71229700</v>
      </c>
      <c r="D900" s="23">
        <f t="shared" si="33"/>
        <v>6.0572436363902438E-3</v>
      </c>
      <c r="E900" s="47">
        <v>2929.669922</v>
      </c>
      <c r="F900" s="48">
        <v>5607610000</v>
      </c>
      <c r="G900" s="20">
        <f t="shared" si="34"/>
        <v>-3.6860089434010866E-4</v>
      </c>
      <c r="H900" s="22">
        <v>1</v>
      </c>
      <c r="I900" s="16"/>
    </row>
    <row r="901" spans="1:9">
      <c r="A901" s="19">
        <v>43367</v>
      </c>
      <c r="B901" s="20">
        <v>112.206642</v>
      </c>
      <c r="C901" s="21">
        <v>27334500</v>
      </c>
      <c r="D901" s="23">
        <f t="shared" si="33"/>
        <v>3.581738794990135E-3</v>
      </c>
      <c r="E901" s="47">
        <v>2919.3701169999999</v>
      </c>
      <c r="F901" s="48">
        <v>3372210000</v>
      </c>
      <c r="G901" s="20">
        <f t="shared" si="34"/>
        <v>-3.5218824209070024E-3</v>
      </c>
      <c r="H901" s="22">
        <v>1</v>
      </c>
      <c r="I901" s="16"/>
    </row>
    <row r="902" spans="1:9">
      <c r="A902" s="19">
        <v>43368</v>
      </c>
      <c r="B902" s="20">
        <v>111.991356</v>
      </c>
      <c r="C902" s="21">
        <v>22668000</v>
      </c>
      <c r="D902" s="23">
        <f t="shared" si="33"/>
        <v>-1.9204994521875415E-3</v>
      </c>
      <c r="E902" s="47">
        <v>2915.5600589999999</v>
      </c>
      <c r="F902" s="48">
        <v>3285480000</v>
      </c>
      <c r="G902" s="20">
        <f t="shared" si="34"/>
        <v>-1.3059482895532303E-3</v>
      </c>
      <c r="H902" s="22">
        <v>1</v>
      </c>
      <c r="I902" s="16"/>
    </row>
    <row r="903" spans="1:9">
      <c r="A903" s="19">
        <v>43369</v>
      </c>
      <c r="B903" s="20">
        <v>111.531479</v>
      </c>
      <c r="C903" s="21">
        <v>19352000</v>
      </c>
      <c r="D903" s="23">
        <f t="shared" si="33"/>
        <v>-4.1148158207202218E-3</v>
      </c>
      <c r="E903" s="47">
        <v>2905.969971</v>
      </c>
      <c r="F903" s="48">
        <v>3388620000</v>
      </c>
      <c r="G903" s="20">
        <f t="shared" si="34"/>
        <v>-3.2946997183381445E-3</v>
      </c>
      <c r="H903" s="22">
        <v>1</v>
      </c>
      <c r="I903" s="16"/>
    </row>
    <row r="904" spans="1:9">
      <c r="A904" s="19">
        <v>43370</v>
      </c>
      <c r="B904" s="20">
        <v>111.952232</v>
      </c>
      <c r="C904" s="21">
        <v>19091300</v>
      </c>
      <c r="D904" s="23">
        <f t="shared" si="33"/>
        <v>3.7654063935742112E-3</v>
      </c>
      <c r="E904" s="47">
        <v>2914</v>
      </c>
      <c r="F904" s="48">
        <v>3060850000</v>
      </c>
      <c r="G904" s="20">
        <f t="shared" si="34"/>
        <v>2.7594761263509742E-3</v>
      </c>
      <c r="H904" s="22">
        <v>1</v>
      </c>
      <c r="I904" s="16"/>
    </row>
    <row r="905" spans="1:9">
      <c r="A905" s="19">
        <v>43371</v>
      </c>
      <c r="B905" s="20">
        <v>111.91308600000001</v>
      </c>
      <c r="C905" s="21">
        <v>21647800</v>
      </c>
      <c r="D905" s="23">
        <f t="shared" si="33"/>
        <v>-3.4972813787071034E-4</v>
      </c>
      <c r="E905" s="47">
        <v>2913.9799800000001</v>
      </c>
      <c r="F905" s="48">
        <v>3432300000</v>
      </c>
      <c r="G905" s="20">
        <f t="shared" si="34"/>
        <v>-6.8703050006089367E-6</v>
      </c>
      <c r="H905" s="22">
        <v>1</v>
      </c>
      <c r="I905" s="16"/>
    </row>
    <row r="906" spans="1:9">
      <c r="A906" s="19">
        <v>43374</v>
      </c>
      <c r="B906" s="20">
        <v>113.126457</v>
      </c>
      <c r="C906" s="21">
        <v>18883100</v>
      </c>
      <c r="D906" s="23">
        <f t="shared" si="33"/>
        <v>1.0783729314930279E-2</v>
      </c>
      <c r="E906" s="47">
        <v>2924.5900879999999</v>
      </c>
      <c r="F906" s="48">
        <v>3364190000</v>
      </c>
      <c r="G906" s="20">
        <f t="shared" si="34"/>
        <v>3.6344925404594428E-3</v>
      </c>
      <c r="H906" s="22">
        <v>1</v>
      </c>
      <c r="I906" s="16"/>
    </row>
    <row r="907" spans="1:9">
      <c r="A907" s="19">
        <v>43375</v>
      </c>
      <c r="B907" s="20">
        <v>112.676338</v>
      </c>
      <c r="C907" s="21">
        <v>20787200</v>
      </c>
      <c r="D907" s="23">
        <f t="shared" si="33"/>
        <v>-3.9868381276272121E-3</v>
      </c>
      <c r="E907" s="47">
        <v>2923.429932</v>
      </c>
      <c r="F907" s="48">
        <v>3401880000</v>
      </c>
      <c r="G907" s="20">
        <f t="shared" si="34"/>
        <v>-3.9676882474820732E-4</v>
      </c>
      <c r="H907" s="22">
        <v>1</v>
      </c>
      <c r="I907" s="16"/>
    </row>
    <row r="908" spans="1:9">
      <c r="A908" s="19">
        <v>43376</v>
      </c>
      <c r="B908" s="20">
        <v>112.69589999999999</v>
      </c>
      <c r="C908" s="21">
        <v>16648000</v>
      </c>
      <c r="D908" s="23">
        <f t="shared" si="33"/>
        <v>1.7359724713847301E-4</v>
      </c>
      <c r="E908" s="47">
        <v>2925.51001</v>
      </c>
      <c r="F908" s="48">
        <v>3598710000</v>
      </c>
      <c r="G908" s="20">
        <f t="shared" si="34"/>
        <v>7.1126669390333031E-4</v>
      </c>
      <c r="H908" s="22">
        <v>1</v>
      </c>
      <c r="I908" s="16"/>
    </row>
    <row r="909" spans="1:9">
      <c r="A909" s="19">
        <v>43377</v>
      </c>
      <c r="B909" s="20">
        <v>110.36702699999999</v>
      </c>
      <c r="C909" s="21">
        <v>34821700</v>
      </c>
      <c r="D909" s="23">
        <f t="shared" si="33"/>
        <v>-2.0881619860250271E-2</v>
      </c>
      <c r="E909" s="47">
        <v>2901.610107</v>
      </c>
      <c r="F909" s="48">
        <v>3496860000</v>
      </c>
      <c r="G909" s="20">
        <f t="shared" si="34"/>
        <v>-8.2030356465175158E-3</v>
      </c>
      <c r="H909" s="22">
        <v>1</v>
      </c>
      <c r="I909" s="16"/>
    </row>
    <row r="910" spans="1:9">
      <c r="A910" s="19">
        <v>43378</v>
      </c>
      <c r="B910" s="20">
        <v>109.72120700000001</v>
      </c>
      <c r="C910" s="21">
        <v>29068900</v>
      </c>
      <c r="D910" s="23">
        <f t="shared" si="33"/>
        <v>-5.8687540163977151E-3</v>
      </c>
      <c r="E910" s="47">
        <v>2885.570068</v>
      </c>
      <c r="F910" s="48">
        <v>3328980000</v>
      </c>
      <c r="G910" s="20">
        <f t="shared" si="34"/>
        <v>-5.5433145637709116E-3</v>
      </c>
      <c r="H910" s="22">
        <v>1</v>
      </c>
      <c r="I910" s="16"/>
    </row>
    <row r="911" spans="1:9">
      <c r="A911" s="19">
        <v>43381</v>
      </c>
      <c r="B911" s="20">
        <v>108.468704</v>
      </c>
      <c r="C911" s="21">
        <v>29640600</v>
      </c>
      <c r="D911" s="23">
        <f t="shared" si="33"/>
        <v>-1.148097776133182E-2</v>
      </c>
      <c r="E911" s="47">
        <v>2884.429932</v>
      </c>
      <c r="F911" s="48">
        <v>3330320000</v>
      </c>
      <c r="G911" s="20">
        <f t="shared" si="34"/>
        <v>-3.9519445921624638E-4</v>
      </c>
      <c r="H911" s="22">
        <v>1</v>
      </c>
      <c r="I911" s="16"/>
    </row>
    <row r="912" spans="1:9">
      <c r="A912" s="19">
        <v>43382</v>
      </c>
      <c r="B912" s="20">
        <v>109.84841900000001</v>
      </c>
      <c r="C912" s="21">
        <v>26198600</v>
      </c>
      <c r="D912" s="23">
        <f t="shared" si="33"/>
        <v>1.2639717397147721E-2</v>
      </c>
      <c r="E912" s="47">
        <v>2880.3400879999999</v>
      </c>
      <c r="F912" s="48">
        <v>3520500000</v>
      </c>
      <c r="G912" s="20">
        <f t="shared" si="34"/>
        <v>-1.4189099207727028E-3</v>
      </c>
      <c r="H912" s="22">
        <v>1</v>
      </c>
      <c r="I912" s="16"/>
    </row>
    <row r="913" spans="1:9">
      <c r="A913" s="19">
        <v>43383</v>
      </c>
      <c r="B913" s="20">
        <v>103.879463</v>
      </c>
      <c r="C913" s="21">
        <v>61376300</v>
      </c>
      <c r="D913" s="23">
        <f t="shared" si="33"/>
        <v>-5.5870189018914301E-2</v>
      </c>
      <c r="E913" s="47">
        <v>2785.679932</v>
      </c>
      <c r="F913" s="48">
        <v>4501250000</v>
      </c>
      <c r="G913" s="20">
        <f t="shared" si="34"/>
        <v>-3.3416388951566928E-2</v>
      </c>
      <c r="H913" s="22">
        <v>1</v>
      </c>
      <c r="I913" s="16"/>
    </row>
    <row r="914" spans="1:9">
      <c r="A914" s="19">
        <v>43384</v>
      </c>
      <c r="B914" s="20">
        <v>103.634827</v>
      </c>
      <c r="C914" s="21">
        <v>63904300</v>
      </c>
      <c r="D914" s="23">
        <f t="shared" si="33"/>
        <v>-2.3577760676608459E-3</v>
      </c>
      <c r="E914" s="47">
        <v>2728.3701169999999</v>
      </c>
      <c r="F914" s="48">
        <v>4890630000</v>
      </c>
      <c r="G914" s="20">
        <f t="shared" si="34"/>
        <v>-2.0787580170271859E-2</v>
      </c>
      <c r="H914" s="22">
        <v>1</v>
      </c>
      <c r="I914" s="16"/>
    </row>
    <row r="915" spans="1:9">
      <c r="A915" s="19">
        <v>43385</v>
      </c>
      <c r="B915" s="20">
        <v>107.216202</v>
      </c>
      <c r="C915" s="21">
        <v>47742100</v>
      </c>
      <c r="D915" s="23">
        <f t="shared" si="33"/>
        <v>3.397393398893301E-2</v>
      </c>
      <c r="E915" s="47">
        <v>2767.1298830000001</v>
      </c>
      <c r="F915" s="48">
        <v>3966040000</v>
      </c>
      <c r="G915" s="20">
        <f t="shared" si="34"/>
        <v>1.4106235544858447E-2</v>
      </c>
      <c r="H915" s="22">
        <v>1</v>
      </c>
      <c r="I915" s="16"/>
    </row>
    <row r="916" spans="1:9">
      <c r="A916" s="19">
        <v>43388</v>
      </c>
      <c r="B916" s="20">
        <v>105.28851299999999</v>
      </c>
      <c r="C916" s="21">
        <v>32068100</v>
      </c>
      <c r="D916" s="23">
        <f t="shared" si="33"/>
        <v>-1.8143050405919143E-2</v>
      </c>
      <c r="E916" s="47">
        <v>2750.790039</v>
      </c>
      <c r="F916" s="48">
        <v>3300140000</v>
      </c>
      <c r="G916" s="20">
        <f t="shared" si="34"/>
        <v>-5.922482381780606E-3</v>
      </c>
      <c r="H916" s="22">
        <v>1</v>
      </c>
      <c r="I916" s="16"/>
    </row>
    <row r="917" spans="1:9">
      <c r="A917" s="19">
        <v>43389</v>
      </c>
      <c r="B917" s="20">
        <v>108.615486</v>
      </c>
      <c r="C917" s="21">
        <v>31610200</v>
      </c>
      <c r="D917" s="23">
        <f t="shared" si="33"/>
        <v>3.1109669148699119E-2</v>
      </c>
      <c r="E917" s="47">
        <v>2809.919922</v>
      </c>
      <c r="F917" s="48">
        <v>3428340000</v>
      </c>
      <c r="G917" s="20">
        <f t="shared" si="34"/>
        <v>2.1267828102107277E-2</v>
      </c>
      <c r="H917" s="22">
        <v>1</v>
      </c>
      <c r="I917" s="16"/>
    </row>
    <row r="918" spans="1:9">
      <c r="A918" s="19">
        <v>43390</v>
      </c>
      <c r="B918" s="20">
        <v>108.331711</v>
      </c>
      <c r="C918" s="21">
        <v>26548200</v>
      </c>
      <c r="D918" s="23">
        <f t="shared" si="33"/>
        <v>-2.6160758540968556E-3</v>
      </c>
      <c r="E918" s="47">
        <v>2809.209961</v>
      </c>
      <c r="F918" s="48">
        <v>3321710000</v>
      </c>
      <c r="G918" s="20">
        <f t="shared" si="34"/>
        <v>-2.5269428490193947E-4</v>
      </c>
      <c r="H918" s="22">
        <v>1</v>
      </c>
      <c r="I918" s="16"/>
    </row>
    <row r="919" spans="1:9">
      <c r="A919" s="19">
        <v>43391</v>
      </c>
      <c r="B919" s="20">
        <v>106.169189</v>
      </c>
      <c r="C919" s="21">
        <v>32506200</v>
      </c>
      <c r="D919" s="23">
        <f t="shared" si="33"/>
        <v>-2.0163973861236126E-2</v>
      </c>
      <c r="E919" s="47">
        <v>2768.780029</v>
      </c>
      <c r="F919" s="48">
        <v>3616440000</v>
      </c>
      <c r="G919" s="20">
        <f t="shared" si="34"/>
        <v>-1.4496490704811661E-2</v>
      </c>
      <c r="H919" s="22">
        <v>1</v>
      </c>
      <c r="I919" s="16"/>
    </row>
    <row r="920" spans="1:9">
      <c r="A920" s="19">
        <v>43392</v>
      </c>
      <c r="B920" s="20">
        <v>106.32576</v>
      </c>
      <c r="C920" s="21">
        <v>32785500</v>
      </c>
      <c r="D920" s="23">
        <f t="shared" si="33"/>
        <v>1.4736447061101646E-3</v>
      </c>
      <c r="E920" s="47">
        <v>2767.780029</v>
      </c>
      <c r="F920" s="48">
        <v>3566490000</v>
      </c>
      <c r="G920" s="20">
        <f t="shared" si="34"/>
        <v>-3.6123513531813989E-4</v>
      </c>
      <c r="H920" s="22">
        <v>1</v>
      </c>
      <c r="I920" s="16"/>
    </row>
    <row r="921" spans="1:9">
      <c r="A921" s="19">
        <v>43395</v>
      </c>
      <c r="B921" s="20">
        <v>107.274902</v>
      </c>
      <c r="C921" s="21">
        <v>26545600</v>
      </c>
      <c r="D921" s="23">
        <f t="shared" si="33"/>
        <v>8.8871283274494402E-3</v>
      </c>
      <c r="E921" s="47">
        <v>2755.8798830000001</v>
      </c>
      <c r="F921" s="48">
        <v>3307140000</v>
      </c>
      <c r="G921" s="20">
        <f t="shared" si="34"/>
        <v>-4.3087969211804593E-3</v>
      </c>
      <c r="H921" s="22">
        <v>1</v>
      </c>
      <c r="I921" s="16"/>
    </row>
    <row r="922" spans="1:9">
      <c r="A922" s="19">
        <v>43396</v>
      </c>
      <c r="B922" s="20">
        <v>105.777779</v>
      </c>
      <c r="C922" s="21">
        <v>43770400</v>
      </c>
      <c r="D922" s="23">
        <f t="shared" si="33"/>
        <v>-1.4054248327436097E-2</v>
      </c>
      <c r="E922" s="47">
        <v>2740.6899410000001</v>
      </c>
      <c r="F922" s="48">
        <v>4348580000</v>
      </c>
      <c r="G922" s="20">
        <f t="shared" si="34"/>
        <v>-5.5270763969595856E-3</v>
      </c>
      <c r="H922" s="22">
        <v>1</v>
      </c>
      <c r="I922" s="16"/>
    </row>
    <row r="923" spans="1:9">
      <c r="A923" s="19">
        <v>43397</v>
      </c>
      <c r="B923" s="20">
        <v>100.121948</v>
      </c>
      <c r="C923" s="21">
        <v>63897800</v>
      </c>
      <c r="D923" s="23">
        <f t="shared" si="33"/>
        <v>-5.4951545983454766E-2</v>
      </c>
      <c r="E923" s="47">
        <v>2656.1000979999999</v>
      </c>
      <c r="F923" s="48">
        <v>4709310000</v>
      </c>
      <c r="G923" s="20">
        <f t="shared" si="34"/>
        <v>-3.1350773583492739E-2</v>
      </c>
      <c r="H923" s="22">
        <v>1</v>
      </c>
      <c r="I923" s="16"/>
    </row>
    <row r="924" spans="1:9">
      <c r="A924" s="19">
        <v>43398</v>
      </c>
      <c r="B924" s="20">
        <v>105.973495</v>
      </c>
      <c r="C924" s="21">
        <v>61646800</v>
      </c>
      <c r="D924" s="23">
        <f t="shared" si="33"/>
        <v>5.6800092648937026E-2</v>
      </c>
      <c r="E924" s="47">
        <v>2705.570068</v>
      </c>
      <c r="F924" s="48">
        <v>4634770000</v>
      </c>
      <c r="G924" s="20">
        <f t="shared" si="34"/>
        <v>1.8453717716467321E-2</v>
      </c>
      <c r="H924" s="22">
        <v>1</v>
      </c>
      <c r="I924" s="16"/>
    </row>
    <row r="925" spans="1:9">
      <c r="A925" s="19">
        <v>43399</v>
      </c>
      <c r="B925" s="20">
        <v>104.662277</v>
      </c>
      <c r="C925" s="21">
        <v>55523100</v>
      </c>
      <c r="D925" s="23">
        <f t="shared" si="33"/>
        <v>-1.2450258805037169E-2</v>
      </c>
      <c r="E925" s="47">
        <v>2658.6899410000001</v>
      </c>
      <c r="F925" s="48">
        <v>4803150000</v>
      </c>
      <c r="G925" s="20">
        <f t="shared" si="34"/>
        <v>-1.7479138029976107E-2</v>
      </c>
      <c r="H925" s="22">
        <v>1</v>
      </c>
      <c r="I925" s="16"/>
    </row>
    <row r="926" spans="1:9">
      <c r="A926" s="19">
        <v>43402</v>
      </c>
      <c r="B926" s="20">
        <v>101.619072</v>
      </c>
      <c r="C926" s="21">
        <v>55162000</v>
      </c>
      <c r="D926" s="23">
        <f t="shared" si="33"/>
        <v>-2.9507522806942476E-2</v>
      </c>
      <c r="E926" s="47">
        <v>2641.25</v>
      </c>
      <c r="F926" s="48">
        <v>4673700000</v>
      </c>
      <c r="G926" s="20">
        <f t="shared" si="34"/>
        <v>-6.5812081423931952E-3</v>
      </c>
      <c r="H926" s="22">
        <v>1</v>
      </c>
      <c r="I926" s="16"/>
    </row>
    <row r="927" spans="1:9">
      <c r="A927" s="19">
        <v>43403</v>
      </c>
      <c r="B927" s="20">
        <v>101.501656</v>
      </c>
      <c r="C927" s="21">
        <v>65350900</v>
      </c>
      <c r="D927" s="23">
        <f t="shared" si="33"/>
        <v>-1.1561204435849954E-3</v>
      </c>
      <c r="E927" s="47">
        <v>2682.6298830000001</v>
      </c>
      <c r="F927" s="48">
        <v>5106380000</v>
      </c>
      <c r="G927" s="20">
        <f t="shared" si="34"/>
        <v>1.554532304177168E-2</v>
      </c>
      <c r="H927" s="22">
        <v>1</v>
      </c>
      <c r="I927" s="16"/>
    </row>
    <row r="928" spans="1:9">
      <c r="A928" s="19">
        <v>43404</v>
      </c>
      <c r="B928" s="20">
        <v>104.515488</v>
      </c>
      <c r="C928" s="21">
        <v>51062400</v>
      </c>
      <c r="D928" s="23">
        <f t="shared" si="33"/>
        <v>2.9260157329401192E-2</v>
      </c>
      <c r="E928" s="47">
        <v>2711.73999</v>
      </c>
      <c r="F928" s="48">
        <v>5112420000</v>
      </c>
      <c r="G928" s="20">
        <f t="shared" si="34"/>
        <v>1.0792878598247372E-2</v>
      </c>
      <c r="H928" s="22">
        <v>1</v>
      </c>
      <c r="I928" s="16"/>
    </row>
    <row r="929" spans="1:9">
      <c r="A929" s="19">
        <v>43405</v>
      </c>
      <c r="B929" s="20">
        <v>103.64460800000001</v>
      </c>
      <c r="C929" s="21">
        <v>33384200</v>
      </c>
      <c r="D929" s="23">
        <f t="shared" si="33"/>
        <v>-8.3674546457261356E-3</v>
      </c>
      <c r="E929" s="47">
        <v>2740.3701169999999</v>
      </c>
      <c r="F929" s="48">
        <v>4708420000</v>
      </c>
      <c r="G929" s="20">
        <f t="shared" si="34"/>
        <v>1.0502498886537631E-2</v>
      </c>
      <c r="H929" s="22">
        <v>1</v>
      </c>
      <c r="I929" s="16"/>
    </row>
    <row r="930" spans="1:9">
      <c r="A930" s="19">
        <v>43406</v>
      </c>
      <c r="B930" s="20">
        <v>103.879463</v>
      </c>
      <c r="C930" s="21">
        <v>37680200</v>
      </c>
      <c r="D930" s="23">
        <f t="shared" si="33"/>
        <v>2.2634010515646475E-3</v>
      </c>
      <c r="E930" s="47">
        <v>2723.0600589999999</v>
      </c>
      <c r="F930" s="48">
        <v>4237930000</v>
      </c>
      <c r="G930" s="20">
        <f t="shared" si="34"/>
        <v>-6.3367208382695854E-3</v>
      </c>
      <c r="H930" s="22">
        <v>1</v>
      </c>
      <c r="I930" s="16"/>
    </row>
    <row r="931" spans="1:9">
      <c r="A931" s="19">
        <v>43409</v>
      </c>
      <c r="B931" s="20">
        <v>105.200462</v>
      </c>
      <c r="C931" s="21">
        <v>27922100</v>
      </c>
      <c r="D931" s="23">
        <f t="shared" si="33"/>
        <v>1.2636474574022092E-2</v>
      </c>
      <c r="E931" s="47">
        <v>2738.3100589999999</v>
      </c>
      <c r="F931" s="48">
        <v>3623320000</v>
      </c>
      <c r="G931" s="20">
        <f t="shared" si="34"/>
        <v>5.584693696363217E-3</v>
      </c>
      <c r="H931" s="22">
        <v>1</v>
      </c>
      <c r="I931" s="16"/>
    </row>
    <row r="932" spans="1:9">
      <c r="A932" s="19">
        <v>43410</v>
      </c>
      <c r="B932" s="20">
        <v>105.405945</v>
      </c>
      <c r="C932" s="21">
        <v>24340200</v>
      </c>
      <c r="D932" s="23">
        <f t="shared" si="33"/>
        <v>1.9513467622321314E-3</v>
      </c>
      <c r="E932" s="47">
        <v>2755.4499510000001</v>
      </c>
      <c r="F932" s="48">
        <v>3510860000</v>
      </c>
      <c r="G932" s="20">
        <f t="shared" si="34"/>
        <v>6.239787533674419E-3</v>
      </c>
      <c r="H932" s="22">
        <v>1</v>
      </c>
      <c r="I932" s="16"/>
    </row>
    <row r="933" spans="1:9">
      <c r="A933" s="19">
        <v>43411</v>
      </c>
      <c r="B933" s="20">
        <v>109.554855</v>
      </c>
      <c r="C933" s="21">
        <v>37901700</v>
      </c>
      <c r="D933" s="23">
        <f t="shared" si="33"/>
        <v>3.860634403146497E-2</v>
      </c>
      <c r="E933" s="47">
        <v>2813.889893</v>
      </c>
      <c r="F933" s="48">
        <v>3914750000</v>
      </c>
      <c r="G933" s="20">
        <f t="shared" si="34"/>
        <v>2.0987078773076134E-2</v>
      </c>
      <c r="H933" s="22">
        <v>1</v>
      </c>
      <c r="I933" s="16"/>
    </row>
    <row r="934" spans="1:9">
      <c r="A934" s="19">
        <v>43412</v>
      </c>
      <c r="B934" s="20">
        <v>109.349373</v>
      </c>
      <c r="C934" s="21">
        <v>25644100</v>
      </c>
      <c r="D934" s="23">
        <f t="shared" si="33"/>
        <v>-1.8773694983364915E-3</v>
      </c>
      <c r="E934" s="47">
        <v>2806.830078</v>
      </c>
      <c r="F934" s="48">
        <v>3630490000</v>
      </c>
      <c r="G934" s="20">
        <f t="shared" si="34"/>
        <v>-2.5120691829516244E-3</v>
      </c>
      <c r="H934" s="22">
        <v>1</v>
      </c>
      <c r="I934" s="16"/>
    </row>
    <row r="935" spans="1:9">
      <c r="A935" s="19">
        <v>43413</v>
      </c>
      <c r="B935" s="20">
        <v>107.216202</v>
      </c>
      <c r="C935" s="21">
        <v>32039200</v>
      </c>
      <c r="D935" s="23">
        <f t="shared" si="33"/>
        <v>-1.9700637948110757E-2</v>
      </c>
      <c r="E935" s="47">
        <v>2781.01001</v>
      </c>
      <c r="F935" s="48">
        <v>4019090000</v>
      </c>
      <c r="G935" s="20">
        <f t="shared" si="34"/>
        <v>-9.241585786561252E-3</v>
      </c>
      <c r="H935" s="22">
        <v>1</v>
      </c>
      <c r="I935" s="16"/>
    </row>
    <row r="936" spans="1:9">
      <c r="A936" s="19">
        <v>43416</v>
      </c>
      <c r="B936" s="20">
        <v>104.574219</v>
      </c>
      <c r="C936" s="21">
        <v>33621800</v>
      </c>
      <c r="D936" s="23">
        <f t="shared" si="33"/>
        <v>-2.4950326299992418E-2</v>
      </c>
      <c r="E936" s="47">
        <v>2726.219971</v>
      </c>
      <c r="F936" s="48">
        <v>3670930000</v>
      </c>
      <c r="G936" s="20">
        <f t="shared" si="34"/>
        <v>-1.9898150960848206E-2</v>
      </c>
      <c r="H936" s="22">
        <v>1</v>
      </c>
      <c r="I936" s="16"/>
    </row>
    <row r="937" spans="1:9">
      <c r="A937" s="19">
        <v>43417</v>
      </c>
      <c r="B937" s="20">
        <v>104.64269299999999</v>
      </c>
      <c r="C937" s="21">
        <v>35374600</v>
      </c>
      <c r="D937" s="23">
        <f t="shared" si="33"/>
        <v>6.5457425779129504E-4</v>
      </c>
      <c r="E937" s="47">
        <v>2722.179932</v>
      </c>
      <c r="F937" s="48">
        <v>4091440000</v>
      </c>
      <c r="G937" s="20">
        <f t="shared" si="34"/>
        <v>-1.4830187990527641E-3</v>
      </c>
      <c r="H937" s="22">
        <v>1</v>
      </c>
      <c r="I937" s="16"/>
    </row>
    <row r="938" spans="1:9">
      <c r="A938" s="19">
        <v>43418</v>
      </c>
      <c r="B938" s="20">
        <v>103.15875200000001</v>
      </c>
      <c r="C938" s="21">
        <v>39495100</v>
      </c>
      <c r="D938" s="23">
        <f t="shared" si="33"/>
        <v>-1.4282540006321565E-2</v>
      </c>
      <c r="E938" s="47">
        <v>2701.580078</v>
      </c>
      <c r="F938" s="48">
        <v>4402370000</v>
      </c>
      <c r="G938" s="20">
        <f t="shared" si="34"/>
        <v>-7.5961889967371783E-3</v>
      </c>
      <c r="H938" s="22">
        <v>1</v>
      </c>
      <c r="I938" s="16"/>
    </row>
    <row r="939" spans="1:9">
      <c r="A939" s="19">
        <v>43419</v>
      </c>
      <c r="B939" s="20">
        <v>105.428894</v>
      </c>
      <c r="C939" s="21">
        <v>38505200</v>
      </c>
      <c r="D939" s="23">
        <f t="shared" si="33"/>
        <v>2.1767651933400065E-2</v>
      </c>
      <c r="E939" s="47">
        <v>2730.1999510000001</v>
      </c>
      <c r="F939" s="48">
        <v>4179140000</v>
      </c>
      <c r="G939" s="20">
        <f t="shared" si="34"/>
        <v>1.0538032725957951E-2</v>
      </c>
      <c r="H939" s="22">
        <v>1</v>
      </c>
      <c r="I939" s="16"/>
    </row>
    <row r="940" spans="1:9">
      <c r="A940" s="19">
        <v>43420</v>
      </c>
      <c r="B940" s="20">
        <v>106.421471</v>
      </c>
      <c r="C940" s="21">
        <v>33502100</v>
      </c>
      <c r="D940" s="23">
        <f t="shared" si="33"/>
        <v>9.370616501356014E-3</v>
      </c>
      <c r="E940" s="47">
        <v>2736.2700199999999</v>
      </c>
      <c r="F940" s="48">
        <v>3975180000</v>
      </c>
      <c r="G940" s="20">
        <f t="shared" si="34"/>
        <v>2.2208377717471144E-3</v>
      </c>
      <c r="H940" s="22">
        <v>1</v>
      </c>
      <c r="I940" s="16"/>
    </row>
    <row r="941" spans="1:9">
      <c r="A941" s="19">
        <v>43423</v>
      </c>
      <c r="B941" s="20">
        <v>102.814796</v>
      </c>
      <c r="C941" s="21">
        <v>44773900</v>
      </c>
      <c r="D941" s="23">
        <f t="shared" si="33"/>
        <v>-3.4478079037199662E-2</v>
      </c>
      <c r="E941" s="47">
        <v>2690.7299800000001</v>
      </c>
      <c r="F941" s="48">
        <v>3772900000</v>
      </c>
      <c r="G941" s="20">
        <f t="shared" si="34"/>
        <v>-1.6783161581240495E-2</v>
      </c>
      <c r="H941" s="22">
        <v>1</v>
      </c>
      <c r="I941" s="16"/>
    </row>
    <row r="942" spans="1:9">
      <c r="A942" s="19">
        <v>43424</v>
      </c>
      <c r="B942" s="20">
        <v>99.955009000000004</v>
      </c>
      <c r="C942" s="21">
        <v>64052500</v>
      </c>
      <c r="D942" s="23">
        <f t="shared" si="33"/>
        <v>-2.8209097877010866E-2</v>
      </c>
      <c r="E942" s="47">
        <v>2641.889893</v>
      </c>
      <c r="F942" s="48">
        <v>4357900000</v>
      </c>
      <c r="G942" s="20">
        <f t="shared" si="34"/>
        <v>-1.8317995222689919E-2</v>
      </c>
      <c r="H942" s="22">
        <v>1</v>
      </c>
      <c r="I942" s="16"/>
    </row>
    <row r="943" spans="1:9">
      <c r="A943" s="19">
        <v>43425</v>
      </c>
      <c r="B943" s="20">
        <v>101.330849</v>
      </c>
      <c r="C943" s="21">
        <v>28130600</v>
      </c>
      <c r="D943" s="23">
        <f t="shared" si="33"/>
        <v>1.3670721241990334E-2</v>
      </c>
      <c r="E943" s="47">
        <v>2649.929932</v>
      </c>
      <c r="F943" s="48">
        <v>3233550000</v>
      </c>
      <c r="G943" s="20">
        <f t="shared" si="34"/>
        <v>3.0386692866970996E-3</v>
      </c>
      <c r="H943" s="22">
        <v>1</v>
      </c>
      <c r="I943" s="16"/>
    </row>
    <row r="944" spans="1:9">
      <c r="A944" s="19">
        <v>43427</v>
      </c>
      <c r="B944" s="20">
        <v>101.29154200000001</v>
      </c>
      <c r="C944" s="21">
        <v>13823100</v>
      </c>
      <c r="D944" s="23">
        <f t="shared" si="33"/>
        <v>-3.8798279202098909E-4</v>
      </c>
      <c r="E944" s="47">
        <v>2632.5600589999999</v>
      </c>
      <c r="F944" s="48">
        <v>1651650000</v>
      </c>
      <c r="G944" s="20">
        <f t="shared" si="34"/>
        <v>-6.5764196931550074E-3</v>
      </c>
      <c r="H944" s="22">
        <v>1</v>
      </c>
      <c r="I944" s="16"/>
    </row>
    <row r="945" spans="1:9">
      <c r="A945" s="19">
        <v>43430</v>
      </c>
      <c r="B945" s="20">
        <v>104.632881</v>
      </c>
      <c r="C945" s="21">
        <v>32336200</v>
      </c>
      <c r="D945" s="23">
        <f t="shared" si="33"/>
        <v>3.2454938939451269E-2</v>
      </c>
      <c r="E945" s="47">
        <v>2673.4499510000001</v>
      </c>
      <c r="F945" s="48">
        <v>3443950000</v>
      </c>
      <c r="G945" s="20">
        <f t="shared" si="34"/>
        <v>1.5412975626759496E-2</v>
      </c>
      <c r="H945" s="22">
        <v>1</v>
      </c>
      <c r="I945" s="16"/>
    </row>
    <row r="946" spans="1:9">
      <c r="A946" s="19">
        <v>43431</v>
      </c>
      <c r="B946" s="20">
        <v>105.291321</v>
      </c>
      <c r="C946" s="21">
        <v>29124500</v>
      </c>
      <c r="D946" s="23">
        <f t="shared" si="33"/>
        <v>6.2731419530162496E-3</v>
      </c>
      <c r="E946" s="47">
        <v>2682.169922</v>
      </c>
      <c r="F946" s="48">
        <v>3485220000</v>
      </c>
      <c r="G946" s="20">
        <f t="shared" si="34"/>
        <v>3.2563844755063892E-3</v>
      </c>
      <c r="H946" s="22">
        <v>1</v>
      </c>
      <c r="I946" s="16"/>
    </row>
    <row r="947" spans="1:9">
      <c r="A947" s="19">
        <v>43432</v>
      </c>
      <c r="B947" s="20">
        <v>109.20264400000001</v>
      </c>
      <c r="C947" s="21">
        <v>46788500</v>
      </c>
      <c r="D947" s="23">
        <f t="shared" si="33"/>
        <v>3.6474281381243256E-2</v>
      </c>
      <c r="E947" s="47">
        <v>2743.790039</v>
      </c>
      <c r="F947" s="48">
        <v>3951670000</v>
      </c>
      <c r="G947" s="20">
        <f t="shared" si="34"/>
        <v>2.2714051233730995E-2</v>
      </c>
      <c r="H947" s="22">
        <v>1</v>
      </c>
      <c r="I947" s="16"/>
    </row>
    <row r="948" spans="1:9">
      <c r="A948" s="19">
        <v>43433</v>
      </c>
      <c r="B948" s="20">
        <v>108.28868900000001</v>
      </c>
      <c r="C948" s="21">
        <v>28123200</v>
      </c>
      <c r="D948" s="23">
        <f t="shared" si="33"/>
        <v>-8.404568285909143E-3</v>
      </c>
      <c r="E948" s="47">
        <v>2737.8000489999999</v>
      </c>
      <c r="F948" s="48">
        <v>3560770000</v>
      </c>
      <c r="G948" s="20">
        <f t="shared" si="34"/>
        <v>-2.185494459836184E-3</v>
      </c>
      <c r="H948" s="22">
        <v>1</v>
      </c>
      <c r="I948" s="16"/>
    </row>
    <row r="949" spans="1:9">
      <c r="A949" s="19">
        <v>43434</v>
      </c>
      <c r="B949" s="20">
        <v>108.97661600000001</v>
      </c>
      <c r="C949" s="21">
        <v>33665600</v>
      </c>
      <c r="D949" s="23">
        <f t="shared" si="33"/>
        <v>6.3326199177558551E-3</v>
      </c>
      <c r="E949" s="47">
        <v>2760.169922</v>
      </c>
      <c r="F949" s="48">
        <v>4658580000</v>
      </c>
      <c r="G949" s="20">
        <f t="shared" si="34"/>
        <v>8.1375476991261391E-3</v>
      </c>
      <c r="H949" s="22">
        <v>1</v>
      </c>
      <c r="I949" s="16"/>
    </row>
    <row r="950" spans="1:9">
      <c r="A950" s="19">
        <v>43437</v>
      </c>
      <c r="B950" s="20">
        <v>110.155907</v>
      </c>
      <c r="C950" s="21">
        <v>34732800</v>
      </c>
      <c r="D950" s="23">
        <f t="shared" si="33"/>
        <v>1.0763371579182401E-2</v>
      </c>
      <c r="E950" s="47">
        <v>2790.3701169999999</v>
      </c>
      <c r="F950" s="48">
        <v>4186060000</v>
      </c>
      <c r="G950" s="20">
        <f t="shared" si="34"/>
        <v>1.0882001681880114E-2</v>
      </c>
      <c r="H950" s="22">
        <v>1</v>
      </c>
      <c r="I950" s="16"/>
    </row>
    <row r="951" spans="1:9">
      <c r="A951" s="19">
        <v>43438</v>
      </c>
      <c r="B951" s="20">
        <v>106.647499</v>
      </c>
      <c r="C951" s="21">
        <v>45197000</v>
      </c>
      <c r="D951" s="23">
        <f t="shared" si="33"/>
        <v>-3.2367704579684811E-2</v>
      </c>
      <c r="E951" s="47">
        <v>2700.0600589999999</v>
      </c>
      <c r="F951" s="48">
        <v>4499840000</v>
      </c>
      <c r="G951" s="20">
        <f t="shared" si="34"/>
        <v>-3.2900228620901091E-2</v>
      </c>
      <c r="H951" s="22">
        <v>1</v>
      </c>
      <c r="I951" s="16"/>
    </row>
    <row r="952" spans="1:9">
      <c r="A952" s="19">
        <v>43440</v>
      </c>
      <c r="B952" s="20">
        <v>107.30594600000001</v>
      </c>
      <c r="C952" s="21">
        <v>49107400</v>
      </c>
      <c r="D952" s="23">
        <f t="shared" si="33"/>
        <v>6.1550687231390101E-3</v>
      </c>
      <c r="E952" s="47">
        <v>2695.9499510000001</v>
      </c>
      <c r="F952" s="48">
        <v>5141470000</v>
      </c>
      <c r="G952" s="20">
        <f t="shared" si="34"/>
        <v>-1.52338812835683E-3</v>
      </c>
      <c r="H952" s="22">
        <v>1</v>
      </c>
      <c r="I952" s="16"/>
    </row>
    <row r="953" spans="1:9">
      <c r="A953" s="19">
        <v>43441</v>
      </c>
      <c r="B953" s="20">
        <v>103.01134500000001</v>
      </c>
      <c r="C953" s="21">
        <v>45044900</v>
      </c>
      <c r="D953" s="23">
        <f t="shared" si="33"/>
        <v>-4.0844935031264365E-2</v>
      </c>
      <c r="E953" s="47">
        <v>2633.080078</v>
      </c>
      <c r="F953" s="48">
        <v>4216690000</v>
      </c>
      <c r="G953" s="20">
        <f t="shared" si="34"/>
        <v>-2.3596335440042082E-2</v>
      </c>
      <c r="H953" s="22">
        <v>1</v>
      </c>
      <c r="I953" s="16"/>
    </row>
    <row r="954" spans="1:9">
      <c r="A954" s="19">
        <v>43444</v>
      </c>
      <c r="B954" s="20">
        <v>105.733536</v>
      </c>
      <c r="C954" s="21">
        <v>40801500</v>
      </c>
      <c r="D954" s="23">
        <f t="shared" si="33"/>
        <v>2.6082990067379987E-2</v>
      </c>
      <c r="E954" s="47">
        <v>2637.719971</v>
      </c>
      <c r="F954" s="48">
        <v>4151030000</v>
      </c>
      <c r="G954" s="20">
        <f t="shared" si="34"/>
        <v>1.7606033829389957E-3</v>
      </c>
      <c r="H954" s="22">
        <v>1</v>
      </c>
      <c r="I954" s="16"/>
    </row>
    <row r="955" spans="1:9">
      <c r="A955" s="19">
        <v>43445</v>
      </c>
      <c r="B955" s="20">
        <v>106.716286</v>
      </c>
      <c r="C955" s="21">
        <v>42381900</v>
      </c>
      <c r="D955" s="23">
        <f t="shared" si="33"/>
        <v>9.251662349908164E-3</v>
      </c>
      <c r="E955" s="47">
        <v>2636.780029</v>
      </c>
      <c r="F955" s="48">
        <v>3905870000</v>
      </c>
      <c r="G955" s="20">
        <f t="shared" si="34"/>
        <v>-3.564099004455318E-4</v>
      </c>
      <c r="H955" s="22">
        <v>1</v>
      </c>
      <c r="I955" s="16"/>
    </row>
    <row r="956" spans="1:9">
      <c r="A956" s="19">
        <v>43446</v>
      </c>
      <c r="B956" s="20">
        <v>107.197845</v>
      </c>
      <c r="C956" s="21">
        <v>36183000</v>
      </c>
      <c r="D956" s="23">
        <f t="shared" si="33"/>
        <v>4.5023656102938557E-3</v>
      </c>
      <c r="E956" s="47">
        <v>2651.070068</v>
      </c>
      <c r="F956" s="48">
        <v>3958890000</v>
      </c>
      <c r="G956" s="20">
        <f t="shared" si="34"/>
        <v>5.4048709873826383E-3</v>
      </c>
      <c r="H956" s="22">
        <v>1</v>
      </c>
      <c r="I956" s="16"/>
    </row>
    <row r="957" spans="1:9">
      <c r="A957" s="19">
        <v>43447</v>
      </c>
      <c r="B957" s="20">
        <v>107.561447</v>
      </c>
      <c r="C957" s="21">
        <v>31333400</v>
      </c>
      <c r="D957" s="23">
        <f t="shared" si="33"/>
        <v>3.3861384439619431E-3</v>
      </c>
      <c r="E957" s="47">
        <v>2650.540039</v>
      </c>
      <c r="F957" s="48">
        <v>3927720000</v>
      </c>
      <c r="G957" s="20">
        <f t="shared" si="34"/>
        <v>-1.9995020043665106E-4</v>
      </c>
      <c r="H957" s="22">
        <v>1</v>
      </c>
      <c r="I957" s="16"/>
    </row>
    <row r="958" spans="1:9">
      <c r="A958" s="19">
        <v>43448</v>
      </c>
      <c r="B958" s="20">
        <v>104.20047</v>
      </c>
      <c r="C958" s="21">
        <v>47043100</v>
      </c>
      <c r="D958" s="23">
        <f t="shared" si="33"/>
        <v>-3.1745644400947216E-2</v>
      </c>
      <c r="E958" s="47">
        <v>2599.9499510000001</v>
      </c>
      <c r="F958" s="48">
        <v>4035020000</v>
      </c>
      <c r="G958" s="20">
        <f t="shared" si="34"/>
        <v>-1.9271212311226697E-2</v>
      </c>
      <c r="H958" s="22">
        <v>1</v>
      </c>
      <c r="I958" s="16"/>
    </row>
    <row r="959" spans="1:9">
      <c r="A959" s="19">
        <v>43451</v>
      </c>
      <c r="B959" s="20">
        <v>101.11464700000001</v>
      </c>
      <c r="C959" s="21">
        <v>56957300</v>
      </c>
      <c r="D959" s="23">
        <f t="shared" si="33"/>
        <v>-3.0061647972816852E-2</v>
      </c>
      <c r="E959" s="47">
        <v>2545.9399410000001</v>
      </c>
      <c r="F959" s="48">
        <v>4616350000</v>
      </c>
      <c r="G959" s="20">
        <f t="shared" si="34"/>
        <v>-2.0992284922037387E-2</v>
      </c>
      <c r="H959" s="22">
        <v>1</v>
      </c>
      <c r="I959" s="16"/>
    </row>
    <row r="960" spans="1:9">
      <c r="A960" s="19">
        <v>43452</v>
      </c>
      <c r="B960" s="20">
        <v>102.17601000000001</v>
      </c>
      <c r="C960" s="21">
        <v>49319200</v>
      </c>
      <c r="D960" s="23">
        <f t="shared" si="33"/>
        <v>1.0441922509809165E-2</v>
      </c>
      <c r="E960" s="47">
        <v>2546.1599120000001</v>
      </c>
      <c r="F960" s="48">
        <v>4470880000</v>
      </c>
      <c r="G960" s="20">
        <f t="shared" si="34"/>
        <v>8.6396970399963853E-5</v>
      </c>
      <c r="H960" s="22">
        <v>1</v>
      </c>
      <c r="I960" s="16"/>
    </row>
    <row r="961" spans="1:9">
      <c r="A961" s="19">
        <v>43453</v>
      </c>
      <c r="B961" s="20">
        <v>101.900848</v>
      </c>
      <c r="C961" s="21">
        <v>68198200</v>
      </c>
      <c r="D961" s="23">
        <f t="shared" si="33"/>
        <v>-2.6966523244555704E-3</v>
      </c>
      <c r="E961" s="47">
        <v>2506.959961</v>
      </c>
      <c r="F961" s="48">
        <v>5127940000</v>
      </c>
      <c r="G961" s="20">
        <f t="shared" si="34"/>
        <v>-1.5515459108049429E-2</v>
      </c>
      <c r="H961" s="22">
        <v>1</v>
      </c>
      <c r="I961" s="16"/>
    </row>
    <row r="962" spans="1:9">
      <c r="A962" s="19">
        <v>43454</v>
      </c>
      <c r="B962" s="20">
        <v>99.758460999999997</v>
      </c>
      <c r="C962" s="21">
        <v>70334200</v>
      </c>
      <c r="D962" s="23">
        <f t="shared" si="33"/>
        <v>-2.124838785032904E-2</v>
      </c>
      <c r="E962" s="47">
        <v>2467.419922</v>
      </c>
      <c r="F962" s="48">
        <v>5585780000</v>
      </c>
      <c r="G962" s="20">
        <f t="shared" si="34"/>
        <v>-1.5897809458374292E-2</v>
      </c>
      <c r="H962" s="22">
        <v>1</v>
      </c>
      <c r="I962" s="16"/>
    </row>
    <row r="963" spans="1:9">
      <c r="A963" s="19">
        <v>43455</v>
      </c>
      <c r="B963" s="20">
        <v>96.535049000000001</v>
      </c>
      <c r="C963" s="21">
        <v>111242100</v>
      </c>
      <c r="D963" s="23">
        <f t="shared" ref="D963:D1026" si="35">LN(B963/B962)</f>
        <v>-3.2845729752350873E-2</v>
      </c>
      <c r="E963" s="47">
        <v>2416.6201169999999</v>
      </c>
      <c r="F963" s="48">
        <v>7609010000</v>
      </c>
      <c r="G963" s="20">
        <f t="shared" ref="G963:G1026" si="36">LN(E963/E962)</f>
        <v>-2.0803120626788667E-2</v>
      </c>
      <c r="H963" s="22">
        <v>1</v>
      </c>
      <c r="I963" s="16"/>
    </row>
    <row r="964" spans="1:9">
      <c r="A964" s="19">
        <v>43458</v>
      </c>
      <c r="B964" s="20">
        <v>92.505797999999999</v>
      </c>
      <c r="C964" s="21">
        <v>43935200</v>
      </c>
      <c r="D964" s="23">
        <f t="shared" si="35"/>
        <v>-4.2634820840488967E-2</v>
      </c>
      <c r="E964" s="47">
        <v>2351.1000979999999</v>
      </c>
      <c r="F964" s="48">
        <v>2613930000</v>
      </c>
      <c r="G964" s="20">
        <f t="shared" si="36"/>
        <v>-2.748657265451852E-2</v>
      </c>
      <c r="H964" s="22">
        <v>1</v>
      </c>
      <c r="I964" s="16"/>
    </row>
    <row r="965" spans="1:9">
      <c r="A965" s="19">
        <v>43460</v>
      </c>
      <c r="B965" s="20">
        <v>98.824852000000007</v>
      </c>
      <c r="C965" s="21">
        <v>51634800</v>
      </c>
      <c r="D965" s="23">
        <f t="shared" si="35"/>
        <v>6.6077787949782293E-2</v>
      </c>
      <c r="E965" s="47">
        <v>2467.6999510000001</v>
      </c>
      <c r="F965" s="48">
        <v>4233990000</v>
      </c>
      <c r="G965" s="20">
        <f t="shared" si="36"/>
        <v>4.8403177454947023E-2</v>
      </c>
      <c r="H965" s="22">
        <v>1</v>
      </c>
      <c r="I965" s="16"/>
    </row>
    <row r="966" spans="1:9">
      <c r="A966" s="19">
        <v>43461</v>
      </c>
      <c r="B966" s="20">
        <v>99.434166000000005</v>
      </c>
      <c r="C966" s="21">
        <v>49498500</v>
      </c>
      <c r="D966" s="23">
        <f t="shared" si="35"/>
        <v>6.1466653526778391E-3</v>
      </c>
      <c r="E966" s="47">
        <v>2488.830078</v>
      </c>
      <c r="F966" s="48">
        <v>4096610000</v>
      </c>
      <c r="G966" s="20">
        <f t="shared" si="36"/>
        <v>8.5262289882423199E-3</v>
      </c>
      <c r="H966" s="22">
        <v>1</v>
      </c>
      <c r="I966" s="16"/>
    </row>
    <row r="967" spans="1:9">
      <c r="A967" s="19">
        <v>43462</v>
      </c>
      <c r="B967" s="20">
        <v>98.657784000000007</v>
      </c>
      <c r="C967" s="21">
        <v>38196300</v>
      </c>
      <c r="D967" s="23">
        <f t="shared" si="35"/>
        <v>-7.83864236129613E-3</v>
      </c>
      <c r="E967" s="47">
        <v>2485.73999</v>
      </c>
      <c r="F967" s="48">
        <v>3702620000</v>
      </c>
      <c r="G967" s="20">
        <f t="shared" si="36"/>
        <v>-1.2423539542946662E-3</v>
      </c>
      <c r="H967" s="22">
        <v>1</v>
      </c>
      <c r="I967" s="16"/>
    </row>
    <row r="968" spans="1:9">
      <c r="A968" s="19">
        <v>43465</v>
      </c>
      <c r="B968" s="20">
        <v>99.817420999999996</v>
      </c>
      <c r="C968" s="21">
        <v>33173800</v>
      </c>
      <c r="D968" s="23">
        <f t="shared" si="35"/>
        <v>1.1685592625736952E-2</v>
      </c>
      <c r="E968" s="47">
        <v>2506.8500979999999</v>
      </c>
      <c r="F968" s="48">
        <v>3442870000</v>
      </c>
      <c r="G968" s="20">
        <f t="shared" si="36"/>
        <v>8.4566260936189287E-3</v>
      </c>
      <c r="H968" s="22">
        <v>1</v>
      </c>
      <c r="I968" s="16"/>
    </row>
    <row r="969" spans="1:9">
      <c r="A969" s="19">
        <v>43467</v>
      </c>
      <c r="B969" s="20">
        <v>99.375191000000001</v>
      </c>
      <c r="C969" s="21">
        <v>35329300</v>
      </c>
      <c r="D969" s="23">
        <f t="shared" si="35"/>
        <v>-4.4402322167570183E-3</v>
      </c>
      <c r="E969" s="47">
        <v>2510.030029</v>
      </c>
      <c r="F969" s="48">
        <v>3733160000</v>
      </c>
      <c r="G969" s="20">
        <f t="shared" si="36"/>
        <v>1.2676928072264735E-3</v>
      </c>
      <c r="H969" s="22">
        <v>1</v>
      </c>
      <c r="I969" s="16"/>
    </row>
    <row r="970" spans="1:9">
      <c r="A970" s="19">
        <v>43468</v>
      </c>
      <c r="B970" s="20">
        <v>95.719375999999997</v>
      </c>
      <c r="C970" s="21">
        <v>42579100</v>
      </c>
      <c r="D970" s="23">
        <f t="shared" si="35"/>
        <v>-3.7481750980094063E-2</v>
      </c>
      <c r="E970" s="47">
        <v>2447.889893</v>
      </c>
      <c r="F970" s="48">
        <v>3822860000</v>
      </c>
      <c r="G970" s="20">
        <f t="shared" si="36"/>
        <v>-2.5068331528297301E-2</v>
      </c>
      <c r="H970" s="22">
        <v>1</v>
      </c>
      <c r="I970" s="16"/>
    </row>
    <row r="971" spans="1:9">
      <c r="A971" s="19">
        <v>43469</v>
      </c>
      <c r="B971" s="20">
        <v>100.171211</v>
      </c>
      <c r="C971" s="21">
        <v>44060600</v>
      </c>
      <c r="D971" s="23">
        <f t="shared" si="35"/>
        <v>4.5460087993401177E-2</v>
      </c>
      <c r="E971" s="47">
        <v>2531.9399410000001</v>
      </c>
      <c r="F971" s="48">
        <v>4213410000</v>
      </c>
      <c r="G971" s="20">
        <f t="shared" si="36"/>
        <v>3.3759398727554041E-2</v>
      </c>
      <c r="H971" s="22">
        <v>1</v>
      </c>
      <c r="I971" s="16"/>
    </row>
    <row r="972" spans="1:9">
      <c r="A972" s="19">
        <v>43472</v>
      </c>
      <c r="B972" s="20">
        <v>100.298965</v>
      </c>
      <c r="C972" s="21">
        <v>35656100</v>
      </c>
      <c r="D972" s="23">
        <f t="shared" si="35"/>
        <v>1.274543873242099E-3</v>
      </c>
      <c r="E972" s="47">
        <v>2549.6899410000001</v>
      </c>
      <c r="F972" s="48">
        <v>4104710000</v>
      </c>
      <c r="G972" s="20">
        <f t="shared" si="36"/>
        <v>6.9859759963468073E-3</v>
      </c>
      <c r="H972" s="22">
        <v>1</v>
      </c>
      <c r="I972" s="16"/>
    </row>
    <row r="973" spans="1:9">
      <c r="A973" s="19">
        <v>43473</v>
      </c>
      <c r="B973" s="20">
        <v>101.02619900000001</v>
      </c>
      <c r="C973" s="21">
        <v>31514400</v>
      </c>
      <c r="D973" s="23">
        <f t="shared" si="35"/>
        <v>7.2245033717509002E-3</v>
      </c>
      <c r="E973" s="47">
        <v>2574.4099120000001</v>
      </c>
      <c r="F973" s="48">
        <v>4083030000</v>
      </c>
      <c r="G973" s="20">
        <f t="shared" si="36"/>
        <v>9.648587453345037E-3</v>
      </c>
      <c r="H973" s="22">
        <v>1</v>
      </c>
      <c r="I973" s="16"/>
    </row>
    <row r="974" spans="1:9">
      <c r="A974" s="19">
        <v>43474</v>
      </c>
      <c r="B974" s="20">
        <v>102.470825</v>
      </c>
      <c r="C974" s="21">
        <v>32280800</v>
      </c>
      <c r="D974" s="23">
        <f t="shared" si="35"/>
        <v>1.4198244672606806E-2</v>
      </c>
      <c r="E974" s="47">
        <v>2584.959961</v>
      </c>
      <c r="F974" s="48">
        <v>4052480000</v>
      </c>
      <c r="G974" s="20">
        <f t="shared" si="36"/>
        <v>4.0896713994860914E-3</v>
      </c>
      <c r="H974" s="22">
        <v>1</v>
      </c>
      <c r="I974" s="16"/>
    </row>
    <row r="975" spans="1:9">
      <c r="A975" s="19">
        <v>43475</v>
      </c>
      <c r="B975" s="20">
        <v>101.81240099999999</v>
      </c>
      <c r="C975" s="21">
        <v>30067600</v>
      </c>
      <c r="D975" s="23">
        <f t="shared" si="35"/>
        <v>-6.4462099300339618E-3</v>
      </c>
      <c r="E975" s="47">
        <v>2596.639893</v>
      </c>
      <c r="F975" s="48">
        <v>3704500000</v>
      </c>
      <c r="G975" s="20">
        <f t="shared" si="36"/>
        <v>4.508241512753362E-3</v>
      </c>
      <c r="H975" s="22">
        <v>1</v>
      </c>
      <c r="I975" s="16"/>
    </row>
    <row r="976" spans="1:9">
      <c r="A976" s="19">
        <v>43476</v>
      </c>
      <c r="B976" s="20">
        <v>101.02619900000001</v>
      </c>
      <c r="C976" s="21">
        <v>28314200</v>
      </c>
      <c r="D976" s="23">
        <f t="shared" si="35"/>
        <v>-7.7520347425728865E-3</v>
      </c>
      <c r="E976" s="47">
        <v>2596.26001</v>
      </c>
      <c r="F976" s="48">
        <v>3434490000</v>
      </c>
      <c r="G976" s="20">
        <f t="shared" si="36"/>
        <v>-1.4630861667806389E-4</v>
      </c>
      <c r="H976" s="22">
        <v>1</v>
      </c>
      <c r="I976" s="16"/>
    </row>
    <row r="977" spans="1:9">
      <c r="A977" s="19">
        <v>43479</v>
      </c>
      <c r="B977" s="20">
        <v>100.289146</v>
      </c>
      <c r="C977" s="21">
        <v>28437100</v>
      </c>
      <c r="D977" s="23">
        <f t="shared" si="35"/>
        <v>-7.3224054852797649E-3</v>
      </c>
      <c r="E977" s="47">
        <v>2582.610107</v>
      </c>
      <c r="F977" s="48">
        <v>3664450000</v>
      </c>
      <c r="G977" s="20">
        <f t="shared" si="36"/>
        <v>-5.2713948408757896E-3</v>
      </c>
      <c r="H977" s="22">
        <v>1</v>
      </c>
      <c r="I977" s="16"/>
    </row>
    <row r="978" spans="1:9">
      <c r="A978" s="19">
        <v>43480</v>
      </c>
      <c r="B978" s="20">
        <v>103.19806699999999</v>
      </c>
      <c r="C978" s="21">
        <v>31587600</v>
      </c>
      <c r="D978" s="23">
        <f t="shared" si="35"/>
        <v>2.8592648493639232E-2</v>
      </c>
      <c r="E978" s="47">
        <v>2610.3000489999999</v>
      </c>
      <c r="F978" s="48">
        <v>3572330000</v>
      </c>
      <c r="G978" s="20">
        <f t="shared" si="36"/>
        <v>1.0664619108958094E-2</v>
      </c>
      <c r="H978" s="22">
        <v>1</v>
      </c>
      <c r="I978" s="16"/>
    </row>
    <row r="979" spans="1:9">
      <c r="A979" s="19">
        <v>43481</v>
      </c>
      <c r="B979" s="20">
        <v>103.561684</v>
      </c>
      <c r="C979" s="21">
        <v>29853900</v>
      </c>
      <c r="D979" s="23">
        <f t="shared" si="35"/>
        <v>3.5172936039132427E-3</v>
      </c>
      <c r="E979" s="47">
        <v>2616.1000979999999</v>
      </c>
      <c r="F979" s="48">
        <v>3863770000</v>
      </c>
      <c r="G979" s="20">
        <f t="shared" si="36"/>
        <v>2.2195205946412646E-3</v>
      </c>
      <c r="H979" s="22">
        <v>1</v>
      </c>
      <c r="I979" s="16"/>
    </row>
    <row r="980" spans="1:9">
      <c r="A980" s="19">
        <v>43482</v>
      </c>
      <c r="B980" s="20">
        <v>104.288918</v>
      </c>
      <c r="C980" s="21">
        <v>28393000</v>
      </c>
      <c r="D980" s="23">
        <f t="shared" si="35"/>
        <v>6.9976893074021815E-3</v>
      </c>
      <c r="E980" s="47">
        <v>2635.959961</v>
      </c>
      <c r="F980" s="48">
        <v>3772270000</v>
      </c>
      <c r="G980" s="20">
        <f t="shared" si="36"/>
        <v>7.5627305985484852E-3</v>
      </c>
      <c r="H980" s="22">
        <v>1</v>
      </c>
      <c r="I980" s="16"/>
    </row>
    <row r="981" spans="1:9">
      <c r="A981" s="19">
        <v>43483</v>
      </c>
      <c r="B981" s="20">
        <v>105.851479</v>
      </c>
      <c r="C981" s="21">
        <v>37427600</v>
      </c>
      <c r="D981" s="23">
        <f t="shared" si="35"/>
        <v>1.4871864922795644E-2</v>
      </c>
      <c r="E981" s="47">
        <v>2670.709961</v>
      </c>
      <c r="F981" s="48">
        <v>3986730000</v>
      </c>
      <c r="G981" s="20">
        <f t="shared" si="36"/>
        <v>1.3096912839547208E-2</v>
      </c>
      <c r="H981" s="22">
        <v>1</v>
      </c>
      <c r="I981" s="16"/>
    </row>
    <row r="982" spans="1:9">
      <c r="A982" s="19">
        <v>43487</v>
      </c>
      <c r="B982" s="20">
        <v>103.856506</v>
      </c>
      <c r="C982" s="21">
        <v>32371300</v>
      </c>
      <c r="D982" s="23">
        <f t="shared" si="35"/>
        <v>-1.9026773676111629E-2</v>
      </c>
      <c r="E982" s="47">
        <v>2632.8999020000001</v>
      </c>
      <c r="F982" s="48">
        <v>3908030000</v>
      </c>
      <c r="G982" s="20">
        <f t="shared" si="36"/>
        <v>-1.4258476981933848E-2</v>
      </c>
      <c r="H982" s="22">
        <v>1</v>
      </c>
      <c r="I982" s="16"/>
    </row>
    <row r="983" spans="1:9">
      <c r="A983" s="19">
        <v>43488</v>
      </c>
      <c r="B983" s="20">
        <v>104.868729</v>
      </c>
      <c r="C983" s="21">
        <v>25874300</v>
      </c>
      <c r="D983" s="23">
        <f t="shared" si="35"/>
        <v>9.6991715956513992E-3</v>
      </c>
      <c r="E983" s="47">
        <v>2638.6999510000001</v>
      </c>
      <c r="F983" s="48">
        <v>3335610000</v>
      </c>
      <c r="G983" s="20">
        <f t="shared" si="36"/>
        <v>2.2004899848740785E-3</v>
      </c>
      <c r="H983" s="22">
        <v>1</v>
      </c>
      <c r="I983" s="16"/>
    </row>
    <row r="984" spans="1:9">
      <c r="A984" s="19">
        <v>43489</v>
      </c>
      <c r="B984" s="20">
        <v>104.367531</v>
      </c>
      <c r="C984" s="21">
        <v>23164800</v>
      </c>
      <c r="D984" s="23">
        <f t="shared" si="35"/>
        <v>-4.7907466764429401E-3</v>
      </c>
      <c r="E984" s="47">
        <v>2642.330078</v>
      </c>
      <c r="F984" s="48">
        <v>3433250000</v>
      </c>
      <c r="G984" s="20">
        <f t="shared" si="36"/>
        <v>1.3747801288069672E-3</v>
      </c>
      <c r="H984" s="22">
        <v>1</v>
      </c>
      <c r="I984" s="16"/>
    </row>
    <row r="985" spans="1:9">
      <c r="A985" s="19">
        <v>43490</v>
      </c>
      <c r="B985" s="20">
        <v>105.32079299999999</v>
      </c>
      <c r="C985" s="21">
        <v>31225600</v>
      </c>
      <c r="D985" s="23">
        <f t="shared" si="35"/>
        <v>9.0922427047733356E-3</v>
      </c>
      <c r="E985" s="47">
        <v>2664.76001</v>
      </c>
      <c r="F985" s="48">
        <v>3814080000</v>
      </c>
      <c r="G985" s="20">
        <f t="shared" si="36"/>
        <v>8.4528678357782758E-3</v>
      </c>
      <c r="H985" s="22">
        <v>1</v>
      </c>
      <c r="I985" s="16"/>
    </row>
    <row r="986" spans="1:9">
      <c r="A986" s="19">
        <v>43493</v>
      </c>
      <c r="B986" s="20">
        <v>103.26686100000001</v>
      </c>
      <c r="C986" s="21">
        <v>29476700</v>
      </c>
      <c r="D986" s="23">
        <f t="shared" si="35"/>
        <v>-1.9694342861716216E-2</v>
      </c>
      <c r="E986" s="47">
        <v>2643.8500979999999</v>
      </c>
      <c r="F986" s="48">
        <v>3612810000</v>
      </c>
      <c r="G986" s="20">
        <f t="shared" si="36"/>
        <v>-7.8777758066437605E-3</v>
      </c>
      <c r="H986" s="22">
        <v>1</v>
      </c>
      <c r="I986" s="16"/>
    </row>
    <row r="987" spans="1:9">
      <c r="A987" s="19">
        <v>43494</v>
      </c>
      <c r="B987" s="20">
        <v>101.163788</v>
      </c>
      <c r="C987" s="21">
        <v>31490500</v>
      </c>
      <c r="D987" s="23">
        <f t="shared" si="35"/>
        <v>-2.0575654440773642E-2</v>
      </c>
      <c r="E987" s="47">
        <v>2640</v>
      </c>
      <c r="F987" s="48">
        <v>3504200000</v>
      </c>
      <c r="G987" s="20">
        <f t="shared" si="36"/>
        <v>-1.457308065133547E-3</v>
      </c>
      <c r="H987" s="22">
        <v>1</v>
      </c>
      <c r="I987" s="16"/>
    </row>
    <row r="988" spans="1:9">
      <c r="A988" s="19">
        <v>43495</v>
      </c>
      <c r="B988" s="20">
        <v>104.544426</v>
      </c>
      <c r="C988" s="21">
        <v>49471900</v>
      </c>
      <c r="D988" s="23">
        <f t="shared" si="35"/>
        <v>3.2871243518281357E-2</v>
      </c>
      <c r="E988" s="47">
        <v>2681.0500489999999</v>
      </c>
      <c r="F988" s="48">
        <v>3867810000</v>
      </c>
      <c r="G988" s="20">
        <f t="shared" si="36"/>
        <v>1.5429609955667367E-2</v>
      </c>
      <c r="H988" s="22">
        <v>1</v>
      </c>
      <c r="I988" s="16"/>
    </row>
    <row r="989" spans="1:9">
      <c r="A989" s="19">
        <v>43496</v>
      </c>
      <c r="B989" s="20">
        <v>102.628075</v>
      </c>
      <c r="C989" s="21">
        <v>55636400</v>
      </c>
      <c r="D989" s="23">
        <f t="shared" si="35"/>
        <v>-1.8500579466766764E-2</v>
      </c>
      <c r="E989" s="47">
        <v>2704.1000979999999</v>
      </c>
      <c r="F989" s="48">
        <v>4917650000</v>
      </c>
      <c r="G989" s="20">
        <f t="shared" si="36"/>
        <v>8.5606488727822672E-3</v>
      </c>
      <c r="H989" s="22">
        <v>1</v>
      </c>
      <c r="I989" s="16"/>
    </row>
    <row r="990" spans="1:9">
      <c r="A990" s="19">
        <v>43497</v>
      </c>
      <c r="B990" s="20">
        <v>101.006546</v>
      </c>
      <c r="C990" s="21">
        <v>35535700</v>
      </c>
      <c r="D990" s="23">
        <f t="shared" si="35"/>
        <v>-1.5926204160644563E-2</v>
      </c>
      <c r="E990" s="47">
        <v>2706.530029</v>
      </c>
      <c r="F990" s="48">
        <v>3759270000</v>
      </c>
      <c r="G990" s="20">
        <f t="shared" si="36"/>
        <v>8.9820634799684632E-4</v>
      </c>
      <c r="H990" s="22">
        <v>1</v>
      </c>
      <c r="I990" s="16"/>
    </row>
    <row r="991" spans="1:9">
      <c r="A991" s="19">
        <v>43500</v>
      </c>
      <c r="B991" s="20">
        <v>103.915466</v>
      </c>
      <c r="C991" s="21">
        <v>31315100</v>
      </c>
      <c r="D991" s="23">
        <f t="shared" si="35"/>
        <v>2.8392415073126512E-2</v>
      </c>
      <c r="E991" s="47">
        <v>2724.8701169999999</v>
      </c>
      <c r="F991" s="48">
        <v>3359840000</v>
      </c>
      <c r="G991" s="20">
        <f t="shared" si="36"/>
        <v>6.7533811583575356E-3</v>
      </c>
      <c r="H991" s="22">
        <v>1</v>
      </c>
      <c r="I991" s="16"/>
    </row>
    <row r="992" spans="1:9">
      <c r="A992" s="19">
        <v>43501</v>
      </c>
      <c r="B992" s="20">
        <v>105.369934</v>
      </c>
      <c r="C992" s="21">
        <v>27325400</v>
      </c>
      <c r="D992" s="23">
        <f t="shared" si="35"/>
        <v>1.3899597551624867E-2</v>
      </c>
      <c r="E992" s="47">
        <v>2737.6999510000001</v>
      </c>
      <c r="F992" s="48">
        <v>3560430000</v>
      </c>
      <c r="G992" s="20">
        <f t="shared" si="36"/>
        <v>4.6973704433800733E-3</v>
      </c>
      <c r="H992" s="22">
        <v>1</v>
      </c>
      <c r="I992" s="16"/>
    </row>
    <row r="993" spans="1:9">
      <c r="A993" s="19">
        <v>43502</v>
      </c>
      <c r="B993" s="20">
        <v>104.20047</v>
      </c>
      <c r="C993" s="21">
        <v>20609800</v>
      </c>
      <c r="D993" s="23">
        <f t="shared" si="35"/>
        <v>-1.1160699381283926E-2</v>
      </c>
      <c r="E993" s="47">
        <v>2731.610107</v>
      </c>
      <c r="F993" s="48">
        <v>3472690000</v>
      </c>
      <c r="G993" s="20">
        <f t="shared" si="36"/>
        <v>-2.2269158091698551E-3</v>
      </c>
      <c r="H993" s="22">
        <v>1</v>
      </c>
      <c r="I993" s="16"/>
    </row>
    <row r="994" spans="1:9">
      <c r="A994" s="19">
        <v>43503</v>
      </c>
      <c r="B994" s="20">
        <v>103.453575</v>
      </c>
      <c r="C994" s="21">
        <v>29760700</v>
      </c>
      <c r="D994" s="23">
        <f t="shared" si="35"/>
        <v>-7.1936785138986417E-3</v>
      </c>
      <c r="E994" s="47">
        <v>2706.0500489999999</v>
      </c>
      <c r="F994" s="48">
        <v>4099490000</v>
      </c>
      <c r="G994" s="20">
        <f t="shared" si="36"/>
        <v>-9.4011929842732732E-3</v>
      </c>
      <c r="H994" s="22">
        <v>1</v>
      </c>
      <c r="I994" s="16"/>
    </row>
    <row r="995" spans="1:9">
      <c r="A995" s="19">
        <v>43504</v>
      </c>
      <c r="B995" s="20">
        <v>103.84668000000001</v>
      </c>
      <c r="C995" s="21">
        <v>21461100</v>
      </c>
      <c r="D995" s="23">
        <f t="shared" si="35"/>
        <v>3.7926192729524424E-3</v>
      </c>
      <c r="E995" s="47">
        <v>2707.8798830000001</v>
      </c>
      <c r="F995" s="48">
        <v>3622330000</v>
      </c>
      <c r="G995" s="20">
        <f t="shared" si="36"/>
        <v>6.7597257174002051E-4</v>
      </c>
      <c r="H995" s="22">
        <v>1</v>
      </c>
      <c r="I995" s="16"/>
    </row>
    <row r="996" spans="1:9">
      <c r="A996" s="19">
        <v>43507</v>
      </c>
      <c r="B996" s="20">
        <v>103.433922</v>
      </c>
      <c r="C996" s="21">
        <v>18914100</v>
      </c>
      <c r="D996" s="23">
        <f t="shared" si="35"/>
        <v>-3.9826065882237801E-3</v>
      </c>
      <c r="E996" s="47">
        <v>2709.8000489999999</v>
      </c>
      <c r="F996" s="48">
        <v>3361970000</v>
      </c>
      <c r="G996" s="20">
        <f t="shared" si="36"/>
        <v>7.0885179800317334E-4</v>
      </c>
      <c r="H996" s="22">
        <v>1</v>
      </c>
      <c r="I996" s="16"/>
    </row>
    <row r="997" spans="1:9">
      <c r="A997" s="19">
        <v>43508</v>
      </c>
      <c r="B997" s="20">
        <v>105.045631</v>
      </c>
      <c r="C997" s="21">
        <v>25056600</v>
      </c>
      <c r="D997" s="23">
        <f t="shared" si="35"/>
        <v>1.5461862670405948E-2</v>
      </c>
      <c r="E997" s="47">
        <v>2744.7299800000001</v>
      </c>
      <c r="F997" s="48">
        <v>3827770000</v>
      </c>
      <c r="G997" s="20">
        <f t="shared" si="36"/>
        <v>1.2807852668629596E-2</v>
      </c>
      <c r="H997" s="22">
        <v>1</v>
      </c>
      <c r="I997" s="16"/>
    </row>
    <row r="998" spans="1:9">
      <c r="A998" s="19">
        <v>43509</v>
      </c>
      <c r="B998" s="20">
        <v>104.96700300000001</v>
      </c>
      <c r="C998" s="21">
        <v>18394900</v>
      </c>
      <c r="D998" s="23">
        <f t="shared" si="35"/>
        <v>-7.4879308140887257E-4</v>
      </c>
      <c r="E998" s="47">
        <v>2753.030029</v>
      </c>
      <c r="F998" s="48">
        <v>3670770000</v>
      </c>
      <c r="G998" s="20">
        <f t="shared" si="36"/>
        <v>3.0194316566570117E-3</v>
      </c>
      <c r="H998" s="22">
        <v>1</v>
      </c>
      <c r="I998" s="16"/>
    </row>
    <row r="999" spans="1:9">
      <c r="A999" s="19">
        <v>43510</v>
      </c>
      <c r="B999" s="20">
        <v>105.05544999999999</v>
      </c>
      <c r="C999" s="21">
        <v>21784700</v>
      </c>
      <c r="D999" s="23">
        <f t="shared" si="35"/>
        <v>8.4226237685855378E-4</v>
      </c>
      <c r="E999" s="47">
        <v>2745.7299800000001</v>
      </c>
      <c r="F999" s="48">
        <v>3836700000</v>
      </c>
      <c r="G999" s="20">
        <f t="shared" si="36"/>
        <v>-2.6551634465824207E-3</v>
      </c>
      <c r="H999" s="22">
        <v>1</v>
      </c>
      <c r="I999" s="16"/>
    </row>
    <row r="1000" spans="1:9">
      <c r="A1000" s="19">
        <v>43511</v>
      </c>
      <c r="B1000" s="20">
        <v>106.352676</v>
      </c>
      <c r="C1000" s="21">
        <v>26606900</v>
      </c>
      <c r="D1000" s="23">
        <f t="shared" si="35"/>
        <v>1.2272397527564004E-2</v>
      </c>
      <c r="E1000" s="47">
        <v>2775.6000979999999</v>
      </c>
      <c r="F1000" s="48">
        <v>3641370000</v>
      </c>
      <c r="G1000" s="20">
        <f t="shared" si="36"/>
        <v>1.0820004959524163E-2</v>
      </c>
      <c r="H1000" s="22">
        <v>1</v>
      </c>
      <c r="I1000" s="16"/>
    </row>
    <row r="1001" spans="1:9">
      <c r="A1001" s="19">
        <v>43515</v>
      </c>
      <c r="B1001" s="20">
        <v>106.303543</v>
      </c>
      <c r="C1001" s="21">
        <v>18038500</v>
      </c>
      <c r="D1001" s="23">
        <f t="shared" si="35"/>
        <v>-4.6208853994775045E-4</v>
      </c>
      <c r="E1001" s="47">
        <v>2779.76001</v>
      </c>
      <c r="F1001" s="48">
        <v>3533710000</v>
      </c>
      <c r="G1001" s="20">
        <f t="shared" si="36"/>
        <v>1.4976212870598132E-3</v>
      </c>
      <c r="H1001" s="22">
        <v>1</v>
      </c>
      <c r="I1001" s="16"/>
    </row>
    <row r="1002" spans="1:9">
      <c r="A1002" s="19">
        <v>43516</v>
      </c>
      <c r="B1002" s="20">
        <v>105.750854</v>
      </c>
      <c r="C1002" s="21">
        <v>21607700</v>
      </c>
      <c r="D1002" s="23">
        <f t="shared" si="35"/>
        <v>-5.2127214461200038E-3</v>
      </c>
      <c r="E1002" s="47">
        <v>2784.6999510000001</v>
      </c>
      <c r="F1002" s="48">
        <v>3835450000</v>
      </c>
      <c r="G1002" s="20">
        <f t="shared" si="36"/>
        <v>1.7755334147048199E-3</v>
      </c>
      <c r="H1002" s="22">
        <v>1</v>
      </c>
      <c r="I1002" s="16"/>
    </row>
    <row r="1003" spans="1:9">
      <c r="A1003" s="19">
        <v>43517</v>
      </c>
      <c r="B1003" s="20">
        <v>107.981354</v>
      </c>
      <c r="C1003" s="21">
        <v>29063200</v>
      </c>
      <c r="D1003" s="23">
        <f t="shared" si="35"/>
        <v>2.0872670526766661E-2</v>
      </c>
      <c r="E1003" s="47">
        <v>2774.8798830000001</v>
      </c>
      <c r="F1003" s="48">
        <v>3559710000</v>
      </c>
      <c r="G1003" s="20">
        <f t="shared" si="36"/>
        <v>-3.5326691965497301E-3</v>
      </c>
      <c r="H1003" s="22">
        <v>1</v>
      </c>
      <c r="I1003" s="16"/>
    </row>
    <row r="1004" spans="1:9">
      <c r="A1004" s="19">
        <v>43518</v>
      </c>
      <c r="B1004" s="20">
        <v>109.520973</v>
      </c>
      <c r="C1004" s="21">
        <v>27763200</v>
      </c>
      <c r="D1004" s="23">
        <f t="shared" si="35"/>
        <v>1.4157501092124533E-2</v>
      </c>
      <c r="E1004" s="47">
        <v>2792.669922</v>
      </c>
      <c r="F1004" s="48">
        <v>3427810000</v>
      </c>
      <c r="G1004" s="20">
        <f t="shared" si="36"/>
        <v>6.3906386718998974E-3</v>
      </c>
      <c r="H1004" s="22">
        <v>1</v>
      </c>
      <c r="I1004" s="16"/>
    </row>
    <row r="1005" spans="1:9">
      <c r="A1005" s="19">
        <v>43521</v>
      </c>
      <c r="B1005" s="20">
        <v>110.132874</v>
      </c>
      <c r="C1005" s="21">
        <v>23750600</v>
      </c>
      <c r="D1005" s="23">
        <f t="shared" si="35"/>
        <v>5.5715171050478617E-3</v>
      </c>
      <c r="E1005" s="47">
        <v>2796.110107</v>
      </c>
      <c r="F1005" s="48">
        <v>3804380000</v>
      </c>
      <c r="G1005" s="20">
        <f t="shared" si="36"/>
        <v>1.2311042541125103E-3</v>
      </c>
      <c r="H1005" s="22">
        <v>1</v>
      </c>
      <c r="I1005" s="16"/>
    </row>
    <row r="1006" spans="1:9">
      <c r="A1006" s="19">
        <v>43522</v>
      </c>
      <c r="B1006" s="20">
        <v>110.892822</v>
      </c>
      <c r="C1006" s="21">
        <v>21536700</v>
      </c>
      <c r="D1006" s="23">
        <f t="shared" si="35"/>
        <v>6.8765850162755653E-3</v>
      </c>
      <c r="E1006" s="47">
        <v>2793.8999020000001</v>
      </c>
      <c r="F1006" s="48">
        <v>3645680000</v>
      </c>
      <c r="G1006" s="20">
        <f t="shared" si="36"/>
        <v>-7.9076964499687761E-4</v>
      </c>
      <c r="H1006" s="22">
        <v>1</v>
      </c>
      <c r="I1006" s="16"/>
    </row>
    <row r="1007" spans="1:9">
      <c r="A1007" s="19">
        <v>43523</v>
      </c>
      <c r="B1007" s="20">
        <v>110.705299</v>
      </c>
      <c r="C1007" s="21">
        <v>21487100</v>
      </c>
      <c r="D1007" s="23">
        <f t="shared" si="35"/>
        <v>-1.6924606031482603E-3</v>
      </c>
      <c r="E1007" s="47">
        <v>2792.3798830000001</v>
      </c>
      <c r="F1007" s="48">
        <v>3767130000</v>
      </c>
      <c r="G1007" s="20">
        <f t="shared" si="36"/>
        <v>-5.4419724611520835E-4</v>
      </c>
      <c r="H1007" s="22">
        <v>1</v>
      </c>
      <c r="I1007" s="16"/>
    </row>
    <row r="1008" spans="1:9">
      <c r="A1008" s="19">
        <v>43524</v>
      </c>
      <c r="B1008" s="20">
        <v>110.567131</v>
      </c>
      <c r="C1008" s="21">
        <v>29083900</v>
      </c>
      <c r="D1008" s="23">
        <f t="shared" si="35"/>
        <v>-1.248849826953407E-3</v>
      </c>
      <c r="E1008" s="47">
        <v>2784.48999</v>
      </c>
      <c r="F1008" s="48">
        <v>4396930000</v>
      </c>
      <c r="G1008" s="20">
        <f t="shared" si="36"/>
        <v>-2.8295077502691829E-3</v>
      </c>
      <c r="H1008" s="22">
        <v>1</v>
      </c>
      <c r="I1008" s="16"/>
    </row>
    <row r="1009" spans="1:9">
      <c r="A1009" s="19">
        <v>43525</v>
      </c>
      <c r="B1009" s="20">
        <v>111.060608</v>
      </c>
      <c r="C1009" s="21">
        <v>23501200</v>
      </c>
      <c r="D1009" s="23">
        <f t="shared" si="35"/>
        <v>4.4532134627436543E-3</v>
      </c>
      <c r="E1009" s="47">
        <v>2803.6899410000001</v>
      </c>
      <c r="F1009" s="48">
        <v>3972280000</v>
      </c>
      <c r="G1009" s="20">
        <f t="shared" si="36"/>
        <v>6.8716565279864465E-3</v>
      </c>
      <c r="H1009" s="22">
        <v>1</v>
      </c>
      <c r="I1009" s="16"/>
    </row>
    <row r="1010" spans="1:9">
      <c r="A1010" s="19">
        <v>43528</v>
      </c>
      <c r="B1010" s="20">
        <v>110.794128</v>
      </c>
      <c r="C1010" s="21">
        <v>26608000</v>
      </c>
      <c r="D1010" s="23">
        <f t="shared" si="35"/>
        <v>-2.40229379782103E-3</v>
      </c>
      <c r="E1010" s="47">
        <v>2792.8100589999999</v>
      </c>
      <c r="F1010" s="48">
        <v>3919810000</v>
      </c>
      <c r="G1010" s="20">
        <f t="shared" si="36"/>
        <v>-3.8881071048939902E-3</v>
      </c>
      <c r="H1010" s="22">
        <v>1</v>
      </c>
      <c r="I1010" s="16"/>
    </row>
    <row r="1011" spans="1:9">
      <c r="A1011" s="19">
        <v>43529</v>
      </c>
      <c r="B1011" s="20">
        <v>110.241432</v>
      </c>
      <c r="C1011" s="21">
        <v>19538300</v>
      </c>
      <c r="D1011" s="23">
        <f t="shared" si="35"/>
        <v>-5.0009794976038704E-3</v>
      </c>
      <c r="E1011" s="47">
        <v>2789.6499020000001</v>
      </c>
      <c r="F1011" s="48">
        <v>3585690000</v>
      </c>
      <c r="G1011" s="20">
        <f t="shared" si="36"/>
        <v>-1.1321737583929806E-3</v>
      </c>
      <c r="H1011" s="22">
        <v>1</v>
      </c>
      <c r="I1011" s="16"/>
    </row>
    <row r="1012" spans="1:9">
      <c r="A1012" s="19">
        <v>43530</v>
      </c>
      <c r="B1012" s="20">
        <v>110.29078699999999</v>
      </c>
      <c r="C1012" s="21">
        <v>17687000</v>
      </c>
      <c r="D1012" s="23">
        <f t="shared" si="35"/>
        <v>4.4759900433401554E-4</v>
      </c>
      <c r="E1012" s="47">
        <v>2771.4499510000001</v>
      </c>
      <c r="F1012" s="48">
        <v>3786600000</v>
      </c>
      <c r="G1012" s="20">
        <f t="shared" si="36"/>
        <v>-6.5454735429180165E-3</v>
      </c>
      <c r="H1012" s="22">
        <v>1</v>
      </c>
      <c r="I1012" s="16"/>
    </row>
    <row r="1013" spans="1:9">
      <c r="A1013" s="19">
        <v>43531</v>
      </c>
      <c r="B1013" s="20">
        <v>108.94853999999999</v>
      </c>
      <c r="C1013" s="21">
        <v>25339000</v>
      </c>
      <c r="D1013" s="23">
        <f t="shared" si="35"/>
        <v>-1.22447353673208E-2</v>
      </c>
      <c r="E1013" s="47">
        <v>2748.929932</v>
      </c>
      <c r="F1013" s="48">
        <v>3904860000</v>
      </c>
      <c r="G1013" s="20">
        <f t="shared" si="36"/>
        <v>-8.1589109455821977E-3</v>
      </c>
      <c r="H1013" s="22">
        <v>1</v>
      </c>
      <c r="I1013" s="16"/>
    </row>
    <row r="1014" spans="1:9">
      <c r="A1014" s="19">
        <v>43532</v>
      </c>
      <c r="B1014" s="20">
        <v>109.06697800000001</v>
      </c>
      <c r="C1014" s="21">
        <v>22818400</v>
      </c>
      <c r="D1014" s="23">
        <f t="shared" si="35"/>
        <v>1.0865099212928439E-3</v>
      </c>
      <c r="E1014" s="47">
        <v>2743.070068</v>
      </c>
      <c r="F1014" s="48">
        <v>3423130000</v>
      </c>
      <c r="G1014" s="20">
        <f t="shared" si="36"/>
        <v>-2.1339643931983471E-3</v>
      </c>
      <c r="H1014" s="22">
        <v>1</v>
      </c>
      <c r="I1014" s="16"/>
    </row>
    <row r="1015" spans="1:9">
      <c r="A1015" s="19">
        <v>43535</v>
      </c>
      <c r="B1015" s="20">
        <v>111.356689</v>
      </c>
      <c r="C1015" s="21">
        <v>26491600</v>
      </c>
      <c r="D1015" s="23">
        <f t="shared" si="35"/>
        <v>2.0776293165032076E-2</v>
      </c>
      <c r="E1015" s="47">
        <v>2783.3000489999999</v>
      </c>
      <c r="F1015" s="48">
        <v>3749030000</v>
      </c>
      <c r="G1015" s="20">
        <f t="shared" si="36"/>
        <v>1.4559535756253676E-2</v>
      </c>
      <c r="H1015" s="22">
        <v>1</v>
      </c>
      <c r="I1015" s="16"/>
    </row>
    <row r="1016" spans="1:9">
      <c r="A1016" s="19">
        <v>43536</v>
      </c>
      <c r="B1016" s="20">
        <v>112.136368</v>
      </c>
      <c r="C1016" s="21">
        <v>26132700</v>
      </c>
      <c r="D1016" s="23">
        <f t="shared" si="35"/>
        <v>6.9772383400327183E-3</v>
      </c>
      <c r="E1016" s="47">
        <v>2791.5200199999999</v>
      </c>
      <c r="F1016" s="48">
        <v>3414230000</v>
      </c>
      <c r="G1016" s="20">
        <f t="shared" si="36"/>
        <v>2.9489658339722198E-3</v>
      </c>
      <c r="H1016" s="22">
        <v>1</v>
      </c>
      <c r="I1016" s="16"/>
    </row>
    <row r="1017" spans="1:9">
      <c r="A1017" s="19">
        <v>43537</v>
      </c>
      <c r="B1017" s="20">
        <v>113.004875</v>
      </c>
      <c r="C1017" s="21">
        <v>35513800</v>
      </c>
      <c r="D1017" s="23">
        <f t="shared" si="35"/>
        <v>7.7152572899886187E-3</v>
      </c>
      <c r="E1017" s="47">
        <v>2810.919922</v>
      </c>
      <c r="F1017" s="48">
        <v>3766150000</v>
      </c>
      <c r="G1017" s="20">
        <f t="shared" si="36"/>
        <v>6.9255466335695331E-3</v>
      </c>
      <c r="H1017" s="22">
        <v>1</v>
      </c>
      <c r="I1017" s="16"/>
    </row>
    <row r="1018" spans="1:9">
      <c r="A1018" s="19">
        <v>43538</v>
      </c>
      <c r="B1018" s="20">
        <v>113.09369700000001</v>
      </c>
      <c r="C1018" s="21">
        <v>30763400</v>
      </c>
      <c r="D1018" s="23">
        <f t="shared" si="35"/>
        <v>7.8569275147172355E-4</v>
      </c>
      <c r="E1018" s="47">
        <v>2808.4799800000001</v>
      </c>
      <c r="F1018" s="48">
        <v>3469730000</v>
      </c>
      <c r="G1018" s="20">
        <f t="shared" si="36"/>
        <v>-8.6839954297083632E-4</v>
      </c>
      <c r="H1018" s="22">
        <v>1</v>
      </c>
      <c r="I1018" s="16"/>
    </row>
    <row r="1019" spans="1:9">
      <c r="A1019" s="19">
        <v>43539</v>
      </c>
      <c r="B1019" s="20">
        <v>114.396469</v>
      </c>
      <c r="C1019" s="21">
        <v>54681100</v>
      </c>
      <c r="D1019" s="23">
        <f t="shared" si="35"/>
        <v>1.145356095857537E-2</v>
      </c>
      <c r="E1019" s="47">
        <v>2822.4799800000001</v>
      </c>
      <c r="F1019" s="48">
        <v>5962730000</v>
      </c>
      <c r="G1019" s="20">
        <f t="shared" si="36"/>
        <v>4.9725194092585948E-3</v>
      </c>
      <c r="H1019" s="22">
        <v>1</v>
      </c>
      <c r="I1019" s="16"/>
    </row>
    <row r="1020" spans="1:9">
      <c r="A1020" s="19">
        <v>43542</v>
      </c>
      <c r="B1020" s="20">
        <v>116.03478200000001</v>
      </c>
      <c r="C1020" s="21">
        <v>31207600</v>
      </c>
      <c r="D1020" s="23">
        <f t="shared" si="35"/>
        <v>1.4219777904738324E-2</v>
      </c>
      <c r="E1020" s="47">
        <v>2832.9399410000001</v>
      </c>
      <c r="F1020" s="48">
        <v>3552190000</v>
      </c>
      <c r="G1020" s="20">
        <f t="shared" si="36"/>
        <v>3.6990968215831286E-3</v>
      </c>
      <c r="H1020" s="22">
        <v>1</v>
      </c>
      <c r="I1020" s="16"/>
    </row>
    <row r="1021" spans="1:9">
      <c r="A1021" s="19">
        <v>43543</v>
      </c>
      <c r="B1021" s="20">
        <v>116.113747</v>
      </c>
      <c r="C1021" s="21">
        <v>37588700</v>
      </c>
      <c r="D1021" s="23">
        <f t="shared" si="35"/>
        <v>6.8029725095035778E-4</v>
      </c>
      <c r="E1021" s="47">
        <v>2832.570068</v>
      </c>
      <c r="F1021" s="48">
        <v>3620220000</v>
      </c>
      <c r="G1021" s="20">
        <f t="shared" si="36"/>
        <v>-1.3057006339693318E-4</v>
      </c>
      <c r="H1021" s="22">
        <v>1</v>
      </c>
      <c r="I1021" s="16"/>
    </row>
    <row r="1022" spans="1:9">
      <c r="A1022" s="19">
        <v>43544</v>
      </c>
      <c r="B1022" s="20">
        <v>115.985443</v>
      </c>
      <c r="C1022" s="21">
        <v>28113300</v>
      </c>
      <c r="D1022" s="23">
        <f t="shared" si="35"/>
        <v>-1.1055963880726226E-3</v>
      </c>
      <c r="E1022" s="47">
        <v>2824.2299800000001</v>
      </c>
      <c r="F1022" s="48">
        <v>3771200000</v>
      </c>
      <c r="G1022" s="20">
        <f t="shared" si="36"/>
        <v>-2.9486967798716163E-3</v>
      </c>
      <c r="H1022" s="22">
        <v>1</v>
      </c>
      <c r="I1022" s="16"/>
    </row>
    <row r="1023" spans="1:9">
      <c r="A1023" s="19">
        <v>43545</v>
      </c>
      <c r="B1023" s="20">
        <v>118.650192</v>
      </c>
      <c r="C1023" s="21">
        <v>29854400</v>
      </c>
      <c r="D1023" s="23">
        <f t="shared" si="35"/>
        <v>2.2714909232914884E-2</v>
      </c>
      <c r="E1023" s="47">
        <v>2854.8798830000001</v>
      </c>
      <c r="F1023" s="48">
        <v>3546800000</v>
      </c>
      <c r="G1023" s="20">
        <f t="shared" si="36"/>
        <v>1.0794015726340716E-2</v>
      </c>
      <c r="H1023" s="22">
        <v>1</v>
      </c>
      <c r="I1023" s="16"/>
    </row>
    <row r="1024" spans="1:9">
      <c r="A1024" s="19">
        <v>43546</v>
      </c>
      <c r="B1024" s="20">
        <v>115.521576</v>
      </c>
      <c r="C1024" s="21">
        <v>33624500</v>
      </c>
      <c r="D1024" s="23">
        <f t="shared" si="35"/>
        <v>-2.6722283374531801E-2</v>
      </c>
      <c r="E1024" s="47">
        <v>2800.709961</v>
      </c>
      <c r="F1024" s="48">
        <v>4237200000</v>
      </c>
      <c r="G1024" s="20">
        <f t="shared" si="36"/>
        <v>-1.9156827177634429E-2</v>
      </c>
      <c r="H1024" s="22">
        <v>1</v>
      </c>
      <c r="I1024" s="16"/>
    </row>
    <row r="1025" spans="1:9">
      <c r="A1025" s="19">
        <v>43549</v>
      </c>
      <c r="B1025" s="20">
        <v>116.123627</v>
      </c>
      <c r="C1025" s="21">
        <v>27067100</v>
      </c>
      <c r="D1025" s="23">
        <f t="shared" si="35"/>
        <v>5.1980558872766263E-3</v>
      </c>
      <c r="E1025" s="47">
        <v>2798.360107</v>
      </c>
      <c r="F1025" s="48">
        <v>3376580000</v>
      </c>
      <c r="G1025" s="20">
        <f t="shared" si="36"/>
        <v>-8.3937300638372073E-4</v>
      </c>
      <c r="H1025" s="22">
        <v>1</v>
      </c>
      <c r="I1025" s="16"/>
    </row>
    <row r="1026" spans="1:9">
      <c r="A1026" s="19">
        <v>43550</v>
      </c>
      <c r="B1026" s="20">
        <v>116.370346</v>
      </c>
      <c r="C1026" s="21">
        <v>26097700</v>
      </c>
      <c r="D1026" s="23">
        <f t="shared" si="35"/>
        <v>2.1223697924520526E-3</v>
      </c>
      <c r="E1026" s="47">
        <v>2818.459961</v>
      </c>
      <c r="F1026" s="48">
        <v>3266050000</v>
      </c>
      <c r="G1026" s="20">
        <f t="shared" si="36"/>
        <v>7.157053120867043E-3</v>
      </c>
      <c r="H1026" s="22">
        <v>1</v>
      </c>
      <c r="I1026" s="16"/>
    </row>
    <row r="1027" spans="1:9">
      <c r="A1027" s="19">
        <v>43551</v>
      </c>
      <c r="B1027" s="20">
        <v>115.24522399999999</v>
      </c>
      <c r="C1027" s="21">
        <v>22733400</v>
      </c>
      <c r="D1027" s="23">
        <f t="shared" ref="D1027:D1090" si="37">LN(B1027/B1026)</f>
        <v>-9.7155027194529512E-3</v>
      </c>
      <c r="E1027" s="47">
        <v>2805.3701169999999</v>
      </c>
      <c r="F1027" s="48">
        <v>3372930000</v>
      </c>
      <c r="G1027" s="20">
        <f t="shared" ref="G1027:G1090" si="38">LN(E1027/E1026)</f>
        <v>-4.6551433656102856E-3</v>
      </c>
      <c r="H1027" s="22">
        <v>1</v>
      </c>
      <c r="I1027" s="16"/>
    </row>
    <row r="1028" spans="1:9">
      <c r="A1028" s="19">
        <v>43552</v>
      </c>
      <c r="B1028" s="20">
        <v>115.40314499999999</v>
      </c>
      <c r="C1028" s="21">
        <v>18334800</v>
      </c>
      <c r="D1028" s="23">
        <f t="shared" si="37"/>
        <v>1.3693660645596433E-3</v>
      </c>
      <c r="E1028" s="47">
        <v>2815.4399410000001</v>
      </c>
      <c r="F1028" s="48">
        <v>3158170000</v>
      </c>
      <c r="G1028" s="20">
        <f t="shared" si="38"/>
        <v>3.5830546378041632E-3</v>
      </c>
      <c r="H1028" s="22">
        <v>1</v>
      </c>
      <c r="I1028" s="16"/>
    </row>
    <row r="1029" spans="1:9">
      <c r="A1029" s="19">
        <v>43553</v>
      </c>
      <c r="B1029" s="20">
        <v>116.399963</v>
      </c>
      <c r="C1029" s="21">
        <v>25399800</v>
      </c>
      <c r="D1029" s="23">
        <f t="shared" si="37"/>
        <v>8.6006106923002344E-3</v>
      </c>
      <c r="E1029" s="47">
        <v>2834.3999020000001</v>
      </c>
      <c r="F1029" s="48">
        <v>3740700000</v>
      </c>
      <c r="G1029" s="20">
        <f t="shared" si="38"/>
        <v>6.7117060663404718E-3</v>
      </c>
      <c r="H1029" s="22">
        <v>1</v>
      </c>
      <c r="I1029" s="16"/>
    </row>
    <row r="1030" spans="1:9">
      <c r="A1030" s="19">
        <v>43556</v>
      </c>
      <c r="B1030" s="20">
        <v>117.465858</v>
      </c>
      <c r="C1030" s="21">
        <v>22789100</v>
      </c>
      <c r="D1030" s="23">
        <f t="shared" si="37"/>
        <v>9.1155037198726897E-3</v>
      </c>
      <c r="E1030" s="47">
        <v>2867.1899410000001</v>
      </c>
      <c r="F1030" s="48">
        <v>3500760000</v>
      </c>
      <c r="G1030" s="20">
        <f t="shared" si="38"/>
        <v>1.1502195497633143E-2</v>
      </c>
      <c r="H1030" s="22">
        <v>1</v>
      </c>
      <c r="I1030" s="16"/>
    </row>
    <row r="1031" spans="1:9">
      <c r="A1031" s="19">
        <v>43557</v>
      </c>
      <c r="B1031" s="20">
        <v>117.633636</v>
      </c>
      <c r="C1031" s="21">
        <v>18142300</v>
      </c>
      <c r="D1031" s="23">
        <f t="shared" si="37"/>
        <v>1.4272938289068599E-3</v>
      </c>
      <c r="E1031" s="47">
        <v>2867.23999</v>
      </c>
      <c r="F1031" s="48">
        <v>3246900000</v>
      </c>
      <c r="G1031" s="20">
        <f t="shared" si="38"/>
        <v>1.7455614805152729E-5</v>
      </c>
      <c r="H1031" s="22">
        <v>1</v>
      </c>
      <c r="I1031" s="16"/>
    </row>
    <row r="1032" spans="1:9">
      <c r="A1032" s="19">
        <v>43558</v>
      </c>
      <c r="B1032" s="20">
        <v>118.403458</v>
      </c>
      <c r="C1032" s="21">
        <v>22860700</v>
      </c>
      <c r="D1032" s="23">
        <f t="shared" si="37"/>
        <v>6.5229131278463992E-3</v>
      </c>
      <c r="E1032" s="47">
        <v>2873.3999020000001</v>
      </c>
      <c r="F1032" s="48">
        <v>3550240000</v>
      </c>
      <c r="G1032" s="20">
        <f t="shared" si="38"/>
        <v>2.1460723821998496E-3</v>
      </c>
      <c r="H1032" s="22">
        <v>1</v>
      </c>
      <c r="I1032" s="16"/>
    </row>
    <row r="1033" spans="1:9">
      <c r="A1033" s="19">
        <v>43559</v>
      </c>
      <c r="B1033" s="20">
        <v>117.801422</v>
      </c>
      <c r="C1033" s="21">
        <v>20112800</v>
      </c>
      <c r="D1033" s="23">
        <f t="shared" si="37"/>
        <v>-5.097585652567912E-3</v>
      </c>
      <c r="E1033" s="47">
        <v>2879.389893</v>
      </c>
      <c r="F1033" s="48">
        <v>3015180000</v>
      </c>
      <c r="G1033" s="20">
        <f t="shared" si="38"/>
        <v>2.0824655091414477E-3</v>
      </c>
      <c r="H1033" s="22">
        <v>1</v>
      </c>
      <c r="I1033" s="16"/>
    </row>
    <row r="1034" spans="1:9">
      <c r="A1034" s="19">
        <v>43560</v>
      </c>
      <c r="B1034" s="20">
        <v>118.324493</v>
      </c>
      <c r="C1034" s="21">
        <v>15826200</v>
      </c>
      <c r="D1034" s="23">
        <f t="shared" si="37"/>
        <v>4.4304485224133374E-3</v>
      </c>
      <c r="E1034" s="47">
        <v>2892.73999</v>
      </c>
      <c r="F1034" s="48">
        <v>3146820000</v>
      </c>
      <c r="G1034" s="20">
        <f t="shared" si="38"/>
        <v>4.6257173955618269E-3</v>
      </c>
      <c r="H1034" s="22">
        <v>1</v>
      </c>
      <c r="I1034" s="16"/>
    </row>
    <row r="1035" spans="1:9">
      <c r="A1035" s="19">
        <v>43563</v>
      </c>
      <c r="B1035" s="20">
        <v>118.363968</v>
      </c>
      <c r="C1035" s="21">
        <v>15116200</v>
      </c>
      <c r="D1035" s="23">
        <f t="shared" si="37"/>
        <v>3.3356083519422633E-4</v>
      </c>
      <c r="E1035" s="47">
        <v>2895.7700199999999</v>
      </c>
      <c r="F1035" s="48">
        <v>3054030000</v>
      </c>
      <c r="G1035" s="20">
        <f t="shared" si="38"/>
        <v>1.0469119934194092E-3</v>
      </c>
      <c r="H1035" s="22">
        <v>1</v>
      </c>
      <c r="I1035" s="16"/>
    </row>
    <row r="1036" spans="1:9">
      <c r="A1036" s="19">
        <v>43564</v>
      </c>
      <c r="B1036" s="20">
        <v>117.72244999999999</v>
      </c>
      <c r="C1036" s="21">
        <v>17612000</v>
      </c>
      <c r="D1036" s="23">
        <f t="shared" si="37"/>
        <v>-5.4346165643333619E-3</v>
      </c>
      <c r="E1036" s="47">
        <v>2878.1999510000001</v>
      </c>
      <c r="F1036" s="48">
        <v>3007980000</v>
      </c>
      <c r="G1036" s="20">
        <f t="shared" si="38"/>
        <v>-6.0859766572597465E-3</v>
      </c>
      <c r="H1036" s="22">
        <v>1</v>
      </c>
      <c r="I1036" s="16"/>
    </row>
    <row r="1037" spans="1:9">
      <c r="A1037" s="19">
        <v>43565</v>
      </c>
      <c r="B1037" s="20">
        <v>118.620583</v>
      </c>
      <c r="C1037" s="21">
        <v>16477200</v>
      </c>
      <c r="D1037" s="23">
        <f t="shared" si="37"/>
        <v>7.6002860074552434E-3</v>
      </c>
      <c r="E1037" s="47">
        <v>2888.209961</v>
      </c>
      <c r="F1037" s="48">
        <v>3062380000</v>
      </c>
      <c r="G1037" s="20">
        <f t="shared" si="38"/>
        <v>3.4718378358556752E-3</v>
      </c>
      <c r="H1037" s="22">
        <v>1</v>
      </c>
      <c r="I1037" s="16"/>
    </row>
    <row r="1038" spans="1:9">
      <c r="A1038" s="19">
        <v>43566</v>
      </c>
      <c r="B1038" s="20">
        <v>118.758751</v>
      </c>
      <c r="C1038" s="21">
        <v>14209100</v>
      </c>
      <c r="D1038" s="23">
        <f t="shared" si="37"/>
        <v>1.1641115785022439E-3</v>
      </c>
      <c r="E1038" s="47">
        <v>2888.320068</v>
      </c>
      <c r="F1038" s="48">
        <v>2938540000</v>
      </c>
      <c r="G1038" s="20">
        <f t="shared" si="38"/>
        <v>3.8122194279549383E-5</v>
      </c>
      <c r="H1038" s="22">
        <v>1</v>
      </c>
      <c r="I1038" s="16"/>
    </row>
    <row r="1039" spans="1:9">
      <c r="A1039" s="19">
        <v>43567</v>
      </c>
      <c r="B1039" s="20">
        <v>119.370651</v>
      </c>
      <c r="C1039" s="21">
        <v>19745100</v>
      </c>
      <c r="D1039" s="23">
        <f t="shared" si="37"/>
        <v>5.139233892480599E-3</v>
      </c>
      <c r="E1039" s="47">
        <v>2907.4099120000001</v>
      </c>
      <c r="F1039" s="48">
        <v>3688490000</v>
      </c>
      <c r="G1039" s="20">
        <f t="shared" si="38"/>
        <v>6.5875784763498937E-3</v>
      </c>
      <c r="H1039" s="22">
        <v>1</v>
      </c>
      <c r="I1039" s="16"/>
    </row>
    <row r="1040" spans="1:9">
      <c r="A1040" s="19">
        <v>43570</v>
      </c>
      <c r="B1040" s="20">
        <v>119.469353</v>
      </c>
      <c r="C1040" s="21">
        <v>15792600</v>
      </c>
      <c r="D1040" s="23">
        <f t="shared" si="37"/>
        <v>8.2651150532387166E-4</v>
      </c>
      <c r="E1040" s="47">
        <v>2905.580078</v>
      </c>
      <c r="F1040" s="48">
        <v>3088330000</v>
      </c>
      <c r="G1040" s="20">
        <f t="shared" si="38"/>
        <v>-6.2956724975841256E-4</v>
      </c>
      <c r="H1040" s="22">
        <v>1</v>
      </c>
      <c r="I1040" s="16"/>
    </row>
    <row r="1041" spans="1:9">
      <c r="A1041" s="19">
        <v>43571</v>
      </c>
      <c r="B1041" s="20">
        <v>119.193001</v>
      </c>
      <c r="C1041" s="21">
        <v>14071800</v>
      </c>
      <c r="D1041" s="23">
        <f t="shared" si="37"/>
        <v>-2.3158417645469166E-3</v>
      </c>
      <c r="E1041" s="47">
        <v>2907.0600589999999</v>
      </c>
      <c r="F1041" s="48">
        <v>3402210000</v>
      </c>
      <c r="G1041" s="20">
        <f t="shared" si="38"/>
        <v>5.0922850790659593E-4</v>
      </c>
      <c r="H1041" s="22">
        <v>1</v>
      </c>
      <c r="I1041" s="16"/>
    </row>
    <row r="1042" spans="1:9">
      <c r="A1042" s="19">
        <v>43572</v>
      </c>
      <c r="B1042" s="20">
        <v>120.179947</v>
      </c>
      <c r="C1042" s="21">
        <v>19300900</v>
      </c>
      <c r="D1042" s="23">
        <f t="shared" si="37"/>
        <v>8.2461414361071957E-3</v>
      </c>
      <c r="E1042" s="47">
        <v>2900.4499510000001</v>
      </c>
      <c r="F1042" s="48">
        <v>3602300000</v>
      </c>
      <c r="G1042" s="20">
        <f t="shared" si="38"/>
        <v>-2.2764010197428661E-3</v>
      </c>
      <c r="H1042" s="22">
        <v>1</v>
      </c>
      <c r="I1042" s="16"/>
    </row>
    <row r="1043" spans="1:9">
      <c r="A1043" s="19">
        <v>43573</v>
      </c>
      <c r="B1043" s="20">
        <v>121.759056</v>
      </c>
      <c r="C1043" s="21">
        <v>27991000</v>
      </c>
      <c r="D1043" s="23">
        <f t="shared" si="37"/>
        <v>1.3053963226159674E-2</v>
      </c>
      <c r="E1043" s="47">
        <v>2905.030029</v>
      </c>
      <c r="F1043" s="48">
        <v>3506850000</v>
      </c>
      <c r="G1043" s="20">
        <f t="shared" si="38"/>
        <v>1.5778467813143168E-3</v>
      </c>
      <c r="H1043" s="22">
        <v>1</v>
      </c>
      <c r="I1043" s="16"/>
    </row>
    <row r="1044" spans="1:9">
      <c r="A1044" s="19">
        <v>43577</v>
      </c>
      <c r="B1044" s="20">
        <v>122.143959</v>
      </c>
      <c r="C1044" s="21">
        <v>15648700</v>
      </c>
      <c r="D1044" s="23">
        <f t="shared" si="37"/>
        <v>3.1561997667035576E-3</v>
      </c>
      <c r="E1044" s="47">
        <v>2907.969971</v>
      </c>
      <c r="F1044" s="48">
        <v>2997950000</v>
      </c>
      <c r="G1044" s="20">
        <f t="shared" si="38"/>
        <v>1.0115060212163732E-3</v>
      </c>
      <c r="H1044" s="22">
        <v>1</v>
      </c>
      <c r="I1044" s="16"/>
    </row>
    <row r="1045" spans="1:9">
      <c r="A1045" s="19">
        <v>43578</v>
      </c>
      <c r="B1045" s="20">
        <v>123.802032</v>
      </c>
      <c r="C1045" s="21">
        <v>24025500</v>
      </c>
      <c r="D1045" s="23">
        <f t="shared" si="37"/>
        <v>1.3483432792680057E-2</v>
      </c>
      <c r="E1045" s="47">
        <v>2933.679932</v>
      </c>
      <c r="F1045" s="48">
        <v>3635030000</v>
      </c>
      <c r="G1045" s="20">
        <f t="shared" si="38"/>
        <v>8.8023511954049213E-3</v>
      </c>
      <c r="H1045" s="22">
        <v>1</v>
      </c>
      <c r="I1045" s="16"/>
    </row>
    <row r="1046" spans="1:9">
      <c r="A1046" s="19">
        <v>43579</v>
      </c>
      <c r="B1046" s="20">
        <v>123.377647</v>
      </c>
      <c r="C1046" s="21">
        <v>31257000</v>
      </c>
      <c r="D1046" s="23">
        <f t="shared" si="37"/>
        <v>-3.4338212486964871E-3</v>
      </c>
      <c r="E1046" s="47">
        <v>2927.25</v>
      </c>
      <c r="F1046" s="48">
        <v>3448960000</v>
      </c>
      <c r="G1046" s="20">
        <f t="shared" si="38"/>
        <v>-2.1941687255359523E-3</v>
      </c>
      <c r="H1046" s="22">
        <v>1</v>
      </c>
      <c r="I1046" s="16"/>
    </row>
    <row r="1047" spans="1:9">
      <c r="A1047" s="19">
        <v>43580</v>
      </c>
      <c r="B1047" s="20">
        <v>127.463577</v>
      </c>
      <c r="C1047" s="21">
        <v>38033900</v>
      </c>
      <c r="D1047" s="23">
        <f t="shared" si="37"/>
        <v>3.2580700761257748E-2</v>
      </c>
      <c r="E1047" s="47">
        <v>2926.169922</v>
      </c>
      <c r="F1047" s="48">
        <v>3425280000</v>
      </c>
      <c r="G1047" s="20">
        <f t="shared" si="38"/>
        <v>-3.6904169755480962E-4</v>
      </c>
      <c r="H1047" s="22">
        <v>1</v>
      </c>
      <c r="I1047" s="16"/>
    </row>
    <row r="1048" spans="1:9">
      <c r="A1048" s="19">
        <v>43581</v>
      </c>
      <c r="B1048" s="20">
        <v>128.19390899999999</v>
      </c>
      <c r="C1048" s="21">
        <v>23654900</v>
      </c>
      <c r="D1048" s="23">
        <f t="shared" si="37"/>
        <v>5.7133784587545793E-3</v>
      </c>
      <c r="E1048" s="47">
        <v>2939.8798830000001</v>
      </c>
      <c r="F1048" s="48">
        <v>3248500000</v>
      </c>
      <c r="G1048" s="20">
        <f t="shared" si="38"/>
        <v>4.6743503443650017E-3</v>
      </c>
      <c r="H1048" s="22">
        <v>1</v>
      </c>
      <c r="I1048" s="16"/>
    </row>
    <row r="1049" spans="1:9">
      <c r="A1049" s="19">
        <v>43584</v>
      </c>
      <c r="B1049" s="20">
        <v>128.07548499999999</v>
      </c>
      <c r="C1049" s="21">
        <v>16324200</v>
      </c>
      <c r="D1049" s="23">
        <f t="shared" si="37"/>
        <v>-9.2421499564292165E-4</v>
      </c>
      <c r="E1049" s="47">
        <v>2943.030029</v>
      </c>
      <c r="F1049" s="48">
        <v>3118780000</v>
      </c>
      <c r="G1049" s="20">
        <f t="shared" si="38"/>
        <v>1.0709483395819413E-3</v>
      </c>
      <c r="H1049" s="22">
        <v>1</v>
      </c>
      <c r="I1049" s="16"/>
    </row>
    <row r="1050" spans="1:9">
      <c r="A1050" s="19">
        <v>43585</v>
      </c>
      <c r="B1050" s="20">
        <v>128.89465300000001</v>
      </c>
      <c r="C1050" s="21">
        <v>24166500</v>
      </c>
      <c r="D1050" s="23">
        <f t="shared" si="37"/>
        <v>6.3756106541942789E-3</v>
      </c>
      <c r="E1050" s="47">
        <v>2945.830078</v>
      </c>
      <c r="F1050" s="48">
        <v>3919330000</v>
      </c>
      <c r="G1050" s="20">
        <f t="shared" si="38"/>
        <v>9.5096475723260637E-4</v>
      </c>
      <c r="H1050" s="22">
        <v>1</v>
      </c>
      <c r="I1050" s="16"/>
    </row>
    <row r="1051" spans="1:9">
      <c r="A1051" s="19">
        <v>43586</v>
      </c>
      <c r="B1051" s="20">
        <v>126.210159</v>
      </c>
      <c r="C1051" s="21">
        <v>26821700</v>
      </c>
      <c r="D1051" s="23">
        <f t="shared" si="37"/>
        <v>-2.1046981241103924E-2</v>
      </c>
      <c r="E1051" s="47">
        <v>2923.7299800000001</v>
      </c>
      <c r="F1051" s="48">
        <v>3645850000</v>
      </c>
      <c r="G1051" s="20">
        <f t="shared" si="38"/>
        <v>-7.5304459681844182E-3</v>
      </c>
      <c r="H1051" s="22">
        <v>1</v>
      </c>
      <c r="I1051" s="16"/>
    </row>
    <row r="1052" spans="1:9">
      <c r="A1052" s="19">
        <v>43587</v>
      </c>
      <c r="B1052" s="20">
        <v>124.561966</v>
      </c>
      <c r="C1052" s="21">
        <v>27350200</v>
      </c>
      <c r="D1052" s="23">
        <f t="shared" si="37"/>
        <v>-1.3145135115523997E-2</v>
      </c>
      <c r="E1052" s="47">
        <v>2917.5200199999999</v>
      </c>
      <c r="F1052" s="48">
        <v>3778890000</v>
      </c>
      <c r="G1052" s="20">
        <f t="shared" si="38"/>
        <v>-2.1262443276895597E-3</v>
      </c>
      <c r="H1052" s="22">
        <v>1</v>
      </c>
      <c r="I1052" s="16"/>
    </row>
    <row r="1053" spans="1:9">
      <c r="A1053" s="19">
        <v>43588</v>
      </c>
      <c r="B1053" s="20">
        <v>127.216843</v>
      </c>
      <c r="C1053" s="21">
        <v>24911100</v>
      </c>
      <c r="D1053" s="23">
        <f t="shared" si="37"/>
        <v>2.1089744702829198E-2</v>
      </c>
      <c r="E1053" s="47">
        <v>2945.639893</v>
      </c>
      <c r="F1053" s="48">
        <v>3338120000</v>
      </c>
      <c r="G1053" s="20">
        <f t="shared" si="38"/>
        <v>9.5921274614703886E-3</v>
      </c>
      <c r="H1053" s="22">
        <v>1</v>
      </c>
      <c r="I1053" s="16"/>
    </row>
    <row r="1054" spans="1:9">
      <c r="A1054" s="19">
        <v>43591</v>
      </c>
      <c r="B1054" s="20">
        <v>126.476624</v>
      </c>
      <c r="C1054" s="21">
        <v>24239800</v>
      </c>
      <c r="D1054" s="23">
        <f t="shared" si="37"/>
        <v>-5.8355550842674594E-3</v>
      </c>
      <c r="E1054" s="47">
        <v>2932.469971</v>
      </c>
      <c r="F1054" s="48">
        <v>3181520000</v>
      </c>
      <c r="G1054" s="20">
        <f t="shared" si="38"/>
        <v>-4.4810132310555738E-3</v>
      </c>
      <c r="H1054" s="22">
        <v>1</v>
      </c>
      <c r="I1054" s="16"/>
    </row>
    <row r="1055" spans="1:9">
      <c r="A1055" s="19">
        <v>43592</v>
      </c>
      <c r="B1055" s="20">
        <v>123.880966</v>
      </c>
      <c r="C1055" s="21">
        <v>36017700</v>
      </c>
      <c r="D1055" s="23">
        <f t="shared" si="37"/>
        <v>-2.0736347634366017E-2</v>
      </c>
      <c r="E1055" s="47">
        <v>2884.0500489999999</v>
      </c>
      <c r="F1055" s="48">
        <v>3767100000</v>
      </c>
      <c r="G1055" s="20">
        <f t="shared" si="38"/>
        <v>-1.6649488130547674E-2</v>
      </c>
      <c r="H1055" s="22">
        <v>1</v>
      </c>
      <c r="I1055" s="16"/>
    </row>
    <row r="1056" spans="1:9">
      <c r="A1056" s="19">
        <v>43593</v>
      </c>
      <c r="B1056" s="20">
        <v>123.871117</v>
      </c>
      <c r="C1056" s="21">
        <v>28419000</v>
      </c>
      <c r="D1056" s="23">
        <f t="shared" si="37"/>
        <v>-7.9506899687271685E-5</v>
      </c>
      <c r="E1056" s="47">
        <v>2879.419922</v>
      </c>
      <c r="F1056" s="48">
        <v>3485790000</v>
      </c>
      <c r="G1056" s="20">
        <f t="shared" si="38"/>
        <v>-1.6067154056034693E-3</v>
      </c>
      <c r="H1056" s="22">
        <v>1</v>
      </c>
      <c r="I1056" s="16"/>
    </row>
    <row r="1057" spans="1:9">
      <c r="A1057" s="19">
        <v>43594</v>
      </c>
      <c r="B1057" s="20">
        <v>123.861244</v>
      </c>
      <c r="C1057" s="21">
        <v>27235800</v>
      </c>
      <c r="D1057" s="23">
        <f t="shared" si="37"/>
        <v>-7.9706986728520667E-5</v>
      </c>
      <c r="E1057" s="47">
        <v>2870.719971</v>
      </c>
      <c r="F1057" s="48">
        <v>3638820000</v>
      </c>
      <c r="G1057" s="20">
        <f t="shared" si="38"/>
        <v>-3.025998601924958E-3</v>
      </c>
      <c r="H1057" s="22">
        <v>1</v>
      </c>
      <c r="I1057" s="16"/>
    </row>
    <row r="1058" spans="1:9">
      <c r="A1058" s="19">
        <v>43595</v>
      </c>
      <c r="B1058" s="20">
        <v>125.469955</v>
      </c>
      <c r="C1058" s="21">
        <v>30915100</v>
      </c>
      <c r="D1058" s="23">
        <f t="shared" si="37"/>
        <v>1.2904388462985064E-2</v>
      </c>
      <c r="E1058" s="47">
        <v>2881.3999020000001</v>
      </c>
      <c r="F1058" s="48">
        <v>3529600000</v>
      </c>
      <c r="G1058" s="20">
        <f t="shared" si="38"/>
        <v>3.7133938472042397E-3</v>
      </c>
      <c r="H1058" s="22">
        <v>1</v>
      </c>
      <c r="I1058" s="16"/>
    </row>
    <row r="1059" spans="1:9">
      <c r="A1059" s="19">
        <v>43598</v>
      </c>
      <c r="B1059" s="20">
        <v>121.739311</v>
      </c>
      <c r="C1059" s="21">
        <v>33944900</v>
      </c>
      <c r="D1059" s="23">
        <f t="shared" si="37"/>
        <v>-3.0184364072742182E-2</v>
      </c>
      <c r="E1059" s="47">
        <v>2811.8701169999999</v>
      </c>
      <c r="F1059" s="48">
        <v>3894030000</v>
      </c>
      <c r="G1059" s="20">
        <f t="shared" si="38"/>
        <v>-2.4426469085879428E-2</v>
      </c>
      <c r="H1059" s="22">
        <v>1</v>
      </c>
      <c r="I1059" s="16"/>
    </row>
    <row r="1060" spans="1:9">
      <c r="A1060" s="19">
        <v>43599</v>
      </c>
      <c r="B1060" s="20">
        <v>123.101303</v>
      </c>
      <c r="C1060" s="21">
        <v>25266300</v>
      </c>
      <c r="D1060" s="23">
        <f t="shared" si="37"/>
        <v>1.1125654577390022E-2</v>
      </c>
      <c r="E1060" s="47">
        <v>2834.4099120000001</v>
      </c>
      <c r="F1060" s="48">
        <v>3322720000</v>
      </c>
      <c r="G1060" s="20">
        <f t="shared" si="38"/>
        <v>7.983987551309359E-3</v>
      </c>
      <c r="H1060" s="22">
        <v>1</v>
      </c>
      <c r="I1060" s="16"/>
    </row>
    <row r="1061" spans="1:9">
      <c r="A1061" s="19">
        <v>43600</v>
      </c>
      <c r="B1061" s="20">
        <v>124.834839</v>
      </c>
      <c r="C1061" s="21">
        <v>24722700</v>
      </c>
      <c r="D1061" s="23">
        <f t="shared" si="37"/>
        <v>1.3983957606925085E-2</v>
      </c>
      <c r="E1061" s="47">
        <v>2850.959961</v>
      </c>
      <c r="F1061" s="48">
        <v>3125950000</v>
      </c>
      <c r="G1061" s="20">
        <f t="shared" si="38"/>
        <v>5.8219943882337147E-3</v>
      </c>
      <c r="H1061" s="22">
        <v>1</v>
      </c>
      <c r="I1061" s="16"/>
    </row>
    <row r="1062" spans="1:9">
      <c r="A1062" s="19">
        <v>43601</v>
      </c>
      <c r="B1062" s="20">
        <v>127.717468</v>
      </c>
      <c r="C1062" s="21">
        <v>30112200</v>
      </c>
      <c r="D1062" s="23">
        <f t="shared" si="37"/>
        <v>2.2828967402076236E-2</v>
      </c>
      <c r="E1062" s="47">
        <v>2876.320068</v>
      </c>
      <c r="F1062" s="48">
        <v>3338060000</v>
      </c>
      <c r="G1062" s="20">
        <f t="shared" si="38"/>
        <v>8.8559569696340171E-3</v>
      </c>
      <c r="H1062" s="22">
        <v>1</v>
      </c>
      <c r="I1062" s="16"/>
    </row>
    <row r="1063" spans="1:9">
      <c r="A1063" s="19">
        <v>43602</v>
      </c>
      <c r="B1063" s="20">
        <v>126.86557000000001</v>
      </c>
      <c r="C1063" s="21">
        <v>25770500</v>
      </c>
      <c r="D1063" s="23">
        <f t="shared" si="37"/>
        <v>-6.6925211230724167E-3</v>
      </c>
      <c r="E1063" s="47">
        <v>2859.530029</v>
      </c>
      <c r="F1063" s="48">
        <v>3257950000</v>
      </c>
      <c r="G1063" s="20">
        <f t="shared" si="38"/>
        <v>-5.8544371529206324E-3</v>
      </c>
      <c r="H1063" s="22">
        <v>1</v>
      </c>
      <c r="I1063" s="16"/>
    </row>
    <row r="1064" spans="1:9">
      <c r="A1064" s="19">
        <v>43605</v>
      </c>
      <c r="B1064" s="20">
        <v>125.032967</v>
      </c>
      <c r="C1064" s="21">
        <v>23706900</v>
      </c>
      <c r="D1064" s="23">
        <f t="shared" si="37"/>
        <v>-1.4550583380574343E-2</v>
      </c>
      <c r="E1064" s="47">
        <v>2840.2299800000001</v>
      </c>
      <c r="F1064" s="48">
        <v>3288870000</v>
      </c>
      <c r="G1064" s="20">
        <f t="shared" si="38"/>
        <v>-6.7722580366252581E-3</v>
      </c>
      <c r="H1064" s="22">
        <v>1</v>
      </c>
      <c r="I1064" s="16"/>
    </row>
    <row r="1065" spans="1:9">
      <c r="A1065" s="19">
        <v>43606</v>
      </c>
      <c r="B1065" s="20">
        <v>125.70657300000001</v>
      </c>
      <c r="C1065" s="21">
        <v>15293300</v>
      </c>
      <c r="D1065" s="23">
        <f t="shared" si="37"/>
        <v>5.3729668684414532E-3</v>
      </c>
      <c r="E1065" s="47">
        <v>2864.360107</v>
      </c>
      <c r="F1065" s="48">
        <v>3218700000</v>
      </c>
      <c r="G1065" s="20">
        <f t="shared" si="38"/>
        <v>8.4599491109458805E-3</v>
      </c>
      <c r="H1065" s="22">
        <v>1</v>
      </c>
      <c r="I1065" s="16"/>
    </row>
    <row r="1066" spans="1:9">
      <c r="A1066" s="19">
        <v>43607</v>
      </c>
      <c r="B1066" s="20">
        <v>126.46932200000001</v>
      </c>
      <c r="C1066" s="21">
        <v>15396500</v>
      </c>
      <c r="D1066" s="23">
        <f t="shared" si="37"/>
        <v>6.0493595238305456E-3</v>
      </c>
      <c r="E1066" s="47">
        <v>2856.2700199999999</v>
      </c>
      <c r="F1066" s="48">
        <v>3192510000</v>
      </c>
      <c r="G1066" s="20">
        <f t="shared" si="38"/>
        <v>-2.8283920525026501E-3</v>
      </c>
      <c r="H1066" s="22">
        <v>1</v>
      </c>
      <c r="I1066" s="16"/>
    </row>
    <row r="1067" spans="1:9">
      <c r="A1067" s="19">
        <v>43608</v>
      </c>
      <c r="B1067" s="20">
        <v>124.99334</v>
      </c>
      <c r="C1067" s="21">
        <v>23603800</v>
      </c>
      <c r="D1067" s="23">
        <f t="shared" si="37"/>
        <v>-1.1739309039476349E-2</v>
      </c>
      <c r="E1067" s="47">
        <v>2822.23999</v>
      </c>
      <c r="F1067" s="48">
        <v>3891980000</v>
      </c>
      <c r="G1067" s="20">
        <f t="shared" si="38"/>
        <v>-1.1985692488440291E-2</v>
      </c>
      <c r="H1067" s="22">
        <v>1</v>
      </c>
      <c r="I1067" s="16"/>
    </row>
    <row r="1068" spans="1:9">
      <c r="A1068" s="19">
        <v>43609</v>
      </c>
      <c r="B1068" s="20">
        <v>125.05276499999999</v>
      </c>
      <c r="C1068" s="21">
        <v>14123400</v>
      </c>
      <c r="D1068" s="23">
        <f t="shared" si="37"/>
        <v>4.7531235184630771E-4</v>
      </c>
      <c r="E1068" s="47">
        <v>2826.0600589999999</v>
      </c>
      <c r="F1068" s="48">
        <v>2887390000</v>
      </c>
      <c r="G1068" s="20">
        <f t="shared" si="38"/>
        <v>1.3526439988342258E-3</v>
      </c>
      <c r="H1068" s="22">
        <v>1</v>
      </c>
      <c r="I1068" s="16"/>
    </row>
    <row r="1069" spans="1:9">
      <c r="A1069" s="19">
        <v>43613</v>
      </c>
      <c r="B1069" s="20">
        <v>124.973534</v>
      </c>
      <c r="C1069" s="21">
        <v>23128400</v>
      </c>
      <c r="D1069" s="23">
        <f t="shared" si="37"/>
        <v>-6.3378134995398358E-4</v>
      </c>
      <c r="E1069" s="47">
        <v>2802.389893</v>
      </c>
      <c r="F1069" s="48">
        <v>4121410000</v>
      </c>
      <c r="G1069" s="20">
        <f t="shared" si="38"/>
        <v>-8.4109499934704266E-3</v>
      </c>
      <c r="H1069" s="22">
        <v>1</v>
      </c>
      <c r="I1069" s="16"/>
    </row>
    <row r="1070" spans="1:9">
      <c r="A1070" s="19">
        <v>43614</v>
      </c>
      <c r="B1070" s="20">
        <v>123.764999</v>
      </c>
      <c r="C1070" s="21">
        <v>22763100</v>
      </c>
      <c r="D1070" s="23">
        <f t="shared" si="37"/>
        <v>-9.7173887401762887E-3</v>
      </c>
      <c r="E1070" s="47">
        <v>2783.0200199999999</v>
      </c>
      <c r="F1070" s="48">
        <v>3700050000</v>
      </c>
      <c r="G1070" s="20">
        <f t="shared" si="38"/>
        <v>-6.9359101493404783E-3</v>
      </c>
      <c r="H1070" s="22">
        <v>1</v>
      </c>
      <c r="I1070" s="16"/>
    </row>
    <row r="1071" spans="1:9">
      <c r="A1071" s="19">
        <v>43615</v>
      </c>
      <c r="B1071" s="20">
        <v>124.547562</v>
      </c>
      <c r="C1071" s="21">
        <v>16829600</v>
      </c>
      <c r="D1071" s="23">
        <f t="shared" si="37"/>
        <v>6.3030689039343148E-3</v>
      </c>
      <c r="E1071" s="47">
        <v>2788.860107</v>
      </c>
      <c r="F1071" s="48">
        <v>3273790000</v>
      </c>
      <c r="G1071" s="20">
        <f t="shared" si="38"/>
        <v>2.0962723552933105E-3</v>
      </c>
      <c r="H1071" s="22">
        <v>1</v>
      </c>
      <c r="I1071" s="16"/>
    </row>
    <row r="1072" spans="1:9">
      <c r="A1072" s="19">
        <v>43616</v>
      </c>
      <c r="B1072" s="20">
        <v>122.516846</v>
      </c>
      <c r="C1072" s="21">
        <v>26646800</v>
      </c>
      <c r="D1072" s="23">
        <f t="shared" si="37"/>
        <v>-1.6439128151177158E-2</v>
      </c>
      <c r="E1072" s="47">
        <v>2752.0600589999999</v>
      </c>
      <c r="F1072" s="48">
        <v>3981020000</v>
      </c>
      <c r="G1072" s="20">
        <f t="shared" si="38"/>
        <v>-1.3283204951564839E-2</v>
      </c>
      <c r="H1072" s="22">
        <v>1</v>
      </c>
      <c r="I1072" s="16"/>
    </row>
    <row r="1073" spans="1:9">
      <c r="A1073" s="19">
        <v>43619</v>
      </c>
      <c r="B1073" s="20">
        <v>118.712952</v>
      </c>
      <c r="C1073" s="21">
        <v>37983600</v>
      </c>
      <c r="D1073" s="23">
        <f t="shared" si="37"/>
        <v>-3.1540127817358807E-2</v>
      </c>
      <c r="E1073" s="47">
        <v>2744.4499510000001</v>
      </c>
      <c r="F1073" s="48">
        <v>3943810000</v>
      </c>
      <c r="G1073" s="20">
        <f t="shared" si="38"/>
        <v>-2.7690708645509332E-3</v>
      </c>
      <c r="H1073" s="22">
        <v>1</v>
      </c>
      <c r="I1073" s="16"/>
    </row>
    <row r="1074" spans="1:9">
      <c r="A1074" s="19">
        <v>43620</v>
      </c>
      <c r="B1074" s="20">
        <v>122.00174</v>
      </c>
      <c r="C1074" s="21">
        <v>29382600</v>
      </c>
      <c r="D1074" s="23">
        <f t="shared" si="37"/>
        <v>2.7326895846647003E-2</v>
      </c>
      <c r="E1074" s="47">
        <v>2803.2700199999999</v>
      </c>
      <c r="F1074" s="48">
        <v>3810430000</v>
      </c>
      <c r="G1074" s="20">
        <f t="shared" si="38"/>
        <v>2.1205927310919484E-2</v>
      </c>
      <c r="H1074" s="22">
        <v>1</v>
      </c>
      <c r="I1074" s="16"/>
    </row>
    <row r="1075" spans="1:9">
      <c r="A1075" s="19">
        <v>43621</v>
      </c>
      <c r="B1075" s="20">
        <v>124.646629</v>
      </c>
      <c r="C1075" s="21">
        <v>24926100</v>
      </c>
      <c r="D1075" s="23">
        <f t="shared" si="37"/>
        <v>2.144745895482322E-2</v>
      </c>
      <c r="E1075" s="47">
        <v>2826.1499020000001</v>
      </c>
      <c r="F1075" s="48">
        <v>3548830000</v>
      </c>
      <c r="G1075" s="20">
        <f t="shared" si="38"/>
        <v>8.1287266899663837E-3</v>
      </c>
      <c r="H1075" s="22">
        <v>1</v>
      </c>
      <c r="I1075" s="16"/>
    </row>
    <row r="1076" spans="1:9">
      <c r="A1076" s="19">
        <v>43622</v>
      </c>
      <c r="B1076" s="20">
        <v>126.617912</v>
      </c>
      <c r="C1076" s="21">
        <v>21459000</v>
      </c>
      <c r="D1076" s="23">
        <f t="shared" si="37"/>
        <v>1.5691218812663298E-2</v>
      </c>
      <c r="E1076" s="47">
        <v>2843.48999</v>
      </c>
      <c r="F1076" s="48">
        <v>3396410000</v>
      </c>
      <c r="G1076" s="20">
        <f t="shared" si="38"/>
        <v>6.1168407152111942E-3</v>
      </c>
      <c r="H1076" s="22">
        <v>1</v>
      </c>
      <c r="I1076" s="16"/>
    </row>
    <row r="1077" spans="1:9">
      <c r="A1077" s="19">
        <v>43623</v>
      </c>
      <c r="B1077" s="20">
        <v>130.16423</v>
      </c>
      <c r="C1077" s="21">
        <v>33885600</v>
      </c>
      <c r="D1077" s="23">
        <f t="shared" si="37"/>
        <v>2.7622976152028994E-2</v>
      </c>
      <c r="E1077" s="47">
        <v>2873.3400879999999</v>
      </c>
      <c r="F1077" s="48">
        <v>3220250000</v>
      </c>
      <c r="G1077" s="20">
        <f t="shared" si="38"/>
        <v>1.0442979367750647E-2</v>
      </c>
      <c r="H1077" s="22">
        <v>1</v>
      </c>
      <c r="I1077" s="16"/>
    </row>
    <row r="1078" spans="1:9">
      <c r="A1078" s="19">
        <v>43626</v>
      </c>
      <c r="B1078" s="20">
        <v>131.35296600000001</v>
      </c>
      <c r="C1078" s="21">
        <v>26477100</v>
      </c>
      <c r="D1078" s="23">
        <f t="shared" si="37"/>
        <v>9.0911359212059711E-3</v>
      </c>
      <c r="E1078" s="47">
        <v>2886.7299800000001</v>
      </c>
      <c r="F1078" s="48">
        <v>3209210000</v>
      </c>
      <c r="G1078" s="20">
        <f t="shared" si="38"/>
        <v>4.6492198743191201E-3</v>
      </c>
      <c r="H1078" s="22">
        <v>1</v>
      </c>
      <c r="I1078" s="16"/>
    </row>
    <row r="1079" spans="1:9">
      <c r="A1079" s="19">
        <v>43627</v>
      </c>
      <c r="B1079" s="20">
        <v>130.85766599999999</v>
      </c>
      <c r="C1079" s="21">
        <v>23913700</v>
      </c>
      <c r="D1079" s="23">
        <f t="shared" si="37"/>
        <v>-3.7778833399348564E-3</v>
      </c>
      <c r="E1079" s="47">
        <v>2885.719971</v>
      </c>
      <c r="F1079" s="48">
        <v>3548420000</v>
      </c>
      <c r="G1079" s="20">
        <f t="shared" si="38"/>
        <v>-3.4994119269314317E-4</v>
      </c>
      <c r="H1079" s="22">
        <v>1</v>
      </c>
      <c r="I1079" s="16"/>
    </row>
    <row r="1080" spans="1:9">
      <c r="A1080" s="19">
        <v>43628</v>
      </c>
      <c r="B1080" s="20">
        <v>130.25340299999999</v>
      </c>
      <c r="C1080" s="21">
        <v>17084700</v>
      </c>
      <c r="D1080" s="23">
        <f t="shared" si="37"/>
        <v>-4.6284064557764451E-3</v>
      </c>
      <c r="E1080" s="47">
        <v>2879.8400879999999</v>
      </c>
      <c r="F1080" s="48">
        <v>3034130000</v>
      </c>
      <c r="G1080" s="20">
        <f t="shared" si="38"/>
        <v>-2.0396578921351837E-3</v>
      </c>
      <c r="H1080" s="22">
        <v>1</v>
      </c>
      <c r="I1080" s="16"/>
    </row>
    <row r="1081" spans="1:9">
      <c r="A1081" s="19">
        <v>43629</v>
      </c>
      <c r="B1081" s="20">
        <v>131.075592</v>
      </c>
      <c r="C1081" s="21">
        <v>17200800</v>
      </c>
      <c r="D1081" s="23">
        <f t="shared" si="37"/>
        <v>6.2923879749420689E-3</v>
      </c>
      <c r="E1081" s="47">
        <v>2891.639893</v>
      </c>
      <c r="F1081" s="48">
        <v>3069810000</v>
      </c>
      <c r="G1081" s="20">
        <f t="shared" si="38"/>
        <v>4.0890106107655654E-3</v>
      </c>
      <c r="H1081" s="22">
        <v>1</v>
      </c>
      <c r="I1081" s="16"/>
    </row>
    <row r="1082" spans="1:9">
      <c r="A1082" s="19">
        <v>43630</v>
      </c>
      <c r="B1082" s="20">
        <v>131.204376</v>
      </c>
      <c r="C1082" s="21">
        <v>17821700</v>
      </c>
      <c r="D1082" s="23">
        <f t="shared" si="37"/>
        <v>9.8203466571918432E-4</v>
      </c>
      <c r="E1082" s="47">
        <v>2886.9799800000001</v>
      </c>
      <c r="F1082" s="48">
        <v>2922330000</v>
      </c>
      <c r="G1082" s="20">
        <f t="shared" si="38"/>
        <v>-1.6128120944145414E-3</v>
      </c>
      <c r="H1082" s="22">
        <v>1</v>
      </c>
      <c r="I1082" s="16"/>
    </row>
    <row r="1083" spans="1:9">
      <c r="A1083" s="19">
        <v>43633</v>
      </c>
      <c r="B1083" s="20">
        <v>131.600616</v>
      </c>
      <c r="C1083" s="21">
        <v>14517800</v>
      </c>
      <c r="D1083" s="23">
        <f t="shared" si="37"/>
        <v>3.0154701190211919E-3</v>
      </c>
      <c r="E1083" s="47">
        <v>2889.669922</v>
      </c>
      <c r="F1083" s="48">
        <v>2810140000</v>
      </c>
      <c r="G1083" s="20">
        <f t="shared" si="38"/>
        <v>9.3131563797728433E-4</v>
      </c>
      <c r="H1083" s="22">
        <v>1</v>
      </c>
      <c r="I1083" s="16"/>
    </row>
    <row r="1084" spans="1:9">
      <c r="A1084" s="19">
        <v>43634</v>
      </c>
      <c r="B1084" s="20">
        <v>133.88888499999999</v>
      </c>
      <c r="C1084" s="21">
        <v>25934500</v>
      </c>
      <c r="D1084" s="23">
        <f t="shared" si="37"/>
        <v>1.7238539811566735E-2</v>
      </c>
      <c r="E1084" s="47">
        <v>2917.75</v>
      </c>
      <c r="F1084" s="48">
        <v>3437620000</v>
      </c>
      <c r="G1084" s="20">
        <f t="shared" si="38"/>
        <v>9.6704895497130884E-3</v>
      </c>
      <c r="H1084" s="22">
        <v>1</v>
      </c>
      <c r="I1084" s="16"/>
    </row>
    <row r="1085" spans="1:9">
      <c r="A1085" s="19">
        <v>43635</v>
      </c>
      <c r="B1085" s="20">
        <v>134.41390999999999</v>
      </c>
      <c r="C1085" s="21">
        <v>23744400</v>
      </c>
      <c r="D1085" s="23">
        <f t="shared" si="37"/>
        <v>3.9136802145187527E-3</v>
      </c>
      <c r="E1085" s="47">
        <v>2926.459961</v>
      </c>
      <c r="F1085" s="48">
        <v>3287890000</v>
      </c>
      <c r="G1085" s="20">
        <f t="shared" si="38"/>
        <v>2.9807168143807321E-3</v>
      </c>
      <c r="H1085" s="22">
        <v>1</v>
      </c>
      <c r="I1085" s="16"/>
    </row>
    <row r="1086" spans="1:9">
      <c r="A1086" s="19">
        <v>43636</v>
      </c>
      <c r="B1086" s="20">
        <v>135.66203300000001</v>
      </c>
      <c r="C1086" s="21">
        <v>33042600</v>
      </c>
      <c r="D1086" s="23">
        <f t="shared" si="37"/>
        <v>9.2428216426312989E-3</v>
      </c>
      <c r="E1086" s="47">
        <v>2954.179932</v>
      </c>
      <c r="F1086" s="48">
        <v>3905940000</v>
      </c>
      <c r="G1086" s="20">
        <f t="shared" si="38"/>
        <v>9.4276054361659405E-3</v>
      </c>
      <c r="H1086" s="22">
        <v>1</v>
      </c>
      <c r="I1086" s="16"/>
    </row>
    <row r="1087" spans="1:9">
      <c r="A1087" s="19">
        <v>43637</v>
      </c>
      <c r="B1087" s="20">
        <v>135.68187</v>
      </c>
      <c r="C1087" s="21">
        <v>36727900</v>
      </c>
      <c r="D1087" s="23">
        <f t="shared" si="37"/>
        <v>1.4621297781900058E-4</v>
      </c>
      <c r="E1087" s="47">
        <v>2950.459961</v>
      </c>
      <c r="F1087" s="48">
        <v>5000120000</v>
      </c>
      <c r="G1087" s="20">
        <f t="shared" si="38"/>
        <v>-1.2600163801944658E-3</v>
      </c>
      <c r="H1087" s="22">
        <v>1</v>
      </c>
      <c r="I1087" s="16"/>
    </row>
    <row r="1088" spans="1:9">
      <c r="A1088" s="19">
        <v>43640</v>
      </c>
      <c r="B1088" s="20">
        <v>136.484238</v>
      </c>
      <c r="C1088" s="21">
        <v>20628800</v>
      </c>
      <c r="D1088" s="23">
        <f t="shared" si="37"/>
        <v>5.8961810522148812E-3</v>
      </c>
      <c r="E1088" s="47">
        <v>2945.3500979999999</v>
      </c>
      <c r="F1088" s="48">
        <v>3136250000</v>
      </c>
      <c r="G1088" s="20">
        <f t="shared" si="38"/>
        <v>-1.7333883650608661E-3</v>
      </c>
      <c r="H1088" s="22">
        <v>1</v>
      </c>
      <c r="I1088" s="16"/>
    </row>
    <row r="1089" spans="1:9">
      <c r="A1089" s="19">
        <v>43641</v>
      </c>
      <c r="B1089" s="20">
        <v>132.17514</v>
      </c>
      <c r="C1089" s="21">
        <v>33327400</v>
      </c>
      <c r="D1089" s="23">
        <f t="shared" si="37"/>
        <v>-3.2081274107307677E-2</v>
      </c>
      <c r="E1089" s="47">
        <v>2917.3798830000001</v>
      </c>
      <c r="F1089" s="48">
        <v>3578050000</v>
      </c>
      <c r="G1089" s="20">
        <f t="shared" si="38"/>
        <v>-9.5417756928268798E-3</v>
      </c>
      <c r="H1089" s="22">
        <v>1</v>
      </c>
      <c r="I1089" s="16"/>
    </row>
    <row r="1090" spans="1:9">
      <c r="A1090" s="19">
        <v>43642</v>
      </c>
      <c r="B1090" s="20">
        <v>132.67044100000001</v>
      </c>
      <c r="C1090" s="21">
        <v>23657700</v>
      </c>
      <c r="D1090" s="23">
        <f t="shared" si="37"/>
        <v>3.7403046376165709E-3</v>
      </c>
      <c r="E1090" s="47">
        <v>2913.780029</v>
      </c>
      <c r="F1090" s="48">
        <v>3478130000</v>
      </c>
      <c r="G1090" s="20">
        <f t="shared" si="38"/>
        <v>-1.2346958449606107E-3</v>
      </c>
      <c r="H1090" s="22">
        <v>1</v>
      </c>
      <c r="I1090" s="16"/>
    </row>
    <row r="1091" spans="1:9">
      <c r="A1091" s="19">
        <v>43643</v>
      </c>
      <c r="B1091" s="20">
        <v>132.88836699999999</v>
      </c>
      <c r="C1091" s="21">
        <v>16557500</v>
      </c>
      <c r="D1091" s="23">
        <f t="shared" ref="D1091:D1154" si="39">LN(B1091/B1090)</f>
        <v>1.6412639487353505E-3</v>
      </c>
      <c r="E1091" s="47">
        <v>2924.919922</v>
      </c>
      <c r="F1091" s="48">
        <v>3122920000</v>
      </c>
      <c r="G1091" s="20">
        <f t="shared" ref="G1091:G1154" si="40">LN(E1091/E1090)</f>
        <v>3.8158859372135782E-3</v>
      </c>
      <c r="H1091" s="22">
        <v>1</v>
      </c>
      <c r="I1091" s="16"/>
    </row>
    <row r="1092" spans="1:9">
      <c r="A1092" s="19">
        <v>43644</v>
      </c>
      <c r="B1092" s="20">
        <v>132.70017999999999</v>
      </c>
      <c r="C1092" s="21">
        <v>30043000</v>
      </c>
      <c r="D1092" s="23">
        <f t="shared" si="39"/>
        <v>-1.4171321287742933E-3</v>
      </c>
      <c r="E1092" s="47">
        <v>2941.76001</v>
      </c>
      <c r="F1092" s="48">
        <v>5420700000</v>
      </c>
      <c r="G1092" s="20">
        <f t="shared" si="40"/>
        <v>5.7409418775350336E-3</v>
      </c>
      <c r="H1092" s="22">
        <v>1</v>
      </c>
      <c r="I1092" s="16"/>
    </row>
    <row r="1093" spans="1:9">
      <c r="A1093" s="19">
        <v>43647</v>
      </c>
      <c r="B1093" s="20">
        <v>134.40399199999999</v>
      </c>
      <c r="C1093" s="21">
        <v>22654200</v>
      </c>
      <c r="D1093" s="23">
        <f t="shared" si="39"/>
        <v>1.2757832248548064E-2</v>
      </c>
      <c r="E1093" s="47">
        <v>2964.330078</v>
      </c>
      <c r="F1093" s="48">
        <v>3513270000</v>
      </c>
      <c r="G1093" s="20">
        <f t="shared" si="40"/>
        <v>7.6430184891142601E-3</v>
      </c>
      <c r="H1093" s="22">
        <v>1</v>
      </c>
      <c r="I1093" s="16"/>
    </row>
    <row r="1094" spans="1:9">
      <c r="A1094" s="19">
        <v>43648</v>
      </c>
      <c r="B1094" s="20">
        <v>135.29551699999999</v>
      </c>
      <c r="C1094" s="21">
        <v>15237800</v>
      </c>
      <c r="D1094" s="23">
        <f t="shared" si="39"/>
        <v>6.6112708221197705E-3</v>
      </c>
      <c r="E1094" s="47">
        <v>2973.01001</v>
      </c>
      <c r="F1094" s="48">
        <v>3206840000</v>
      </c>
      <c r="G1094" s="20">
        <f t="shared" si="40"/>
        <v>2.9238473979908671E-3</v>
      </c>
      <c r="H1094" s="22">
        <v>1</v>
      </c>
      <c r="I1094" s="16"/>
    </row>
    <row r="1095" spans="1:9">
      <c r="A1095" s="19">
        <v>43649</v>
      </c>
      <c r="B1095" s="20">
        <v>136.16725199999999</v>
      </c>
      <c r="C1095" s="21">
        <v>13629300</v>
      </c>
      <c r="D1095" s="23">
        <f t="shared" si="39"/>
        <v>6.4225234253051941E-3</v>
      </c>
      <c r="E1095" s="47">
        <v>2995.820068</v>
      </c>
      <c r="F1095" s="48">
        <v>1963720000</v>
      </c>
      <c r="G1095" s="20">
        <f t="shared" si="40"/>
        <v>7.643095461891165E-3</v>
      </c>
      <c r="H1095" s="22">
        <v>1</v>
      </c>
      <c r="I1095" s="16"/>
    </row>
    <row r="1096" spans="1:9">
      <c r="A1096" s="19">
        <v>43651</v>
      </c>
      <c r="B1096" s="20">
        <v>135.77101099999999</v>
      </c>
      <c r="C1096" s="21">
        <v>18141100</v>
      </c>
      <c r="D1096" s="23">
        <f t="shared" si="39"/>
        <v>-2.9142002751199204E-3</v>
      </c>
      <c r="E1096" s="47">
        <v>2990.4099120000001</v>
      </c>
      <c r="F1096" s="48">
        <v>2434210000</v>
      </c>
      <c r="G1096" s="20">
        <f t="shared" si="40"/>
        <v>-1.8075341211651061E-3</v>
      </c>
      <c r="H1096" s="22">
        <v>1</v>
      </c>
      <c r="I1096" s="16"/>
    </row>
    <row r="1097" spans="1:9">
      <c r="A1097" s="19">
        <v>43654</v>
      </c>
      <c r="B1097" s="20">
        <v>135.67195100000001</v>
      </c>
      <c r="C1097" s="21">
        <v>16779700</v>
      </c>
      <c r="D1097" s="23">
        <f t="shared" si="39"/>
        <v>-7.2987712532836333E-4</v>
      </c>
      <c r="E1097" s="47">
        <v>2975.9499510000001</v>
      </c>
      <c r="F1097" s="48">
        <v>2904550000</v>
      </c>
      <c r="G1097" s="20">
        <f t="shared" si="40"/>
        <v>-4.8471730313032349E-3</v>
      </c>
      <c r="H1097" s="22">
        <v>1</v>
      </c>
      <c r="I1097" s="16"/>
    </row>
    <row r="1098" spans="1:9">
      <c r="A1098" s="19">
        <v>43655</v>
      </c>
      <c r="B1098" s="20">
        <v>135.17666600000001</v>
      </c>
      <c r="C1098" s="21">
        <v>19953100</v>
      </c>
      <c r="D1098" s="23">
        <f t="shared" si="39"/>
        <v>-3.6572869195572772E-3</v>
      </c>
      <c r="E1098" s="47">
        <v>2979.6298830000001</v>
      </c>
      <c r="F1098" s="48">
        <v>3028210000</v>
      </c>
      <c r="G1098" s="20">
        <f t="shared" si="40"/>
        <v>1.2357931791357835E-3</v>
      </c>
      <c r="H1098" s="22">
        <v>1</v>
      </c>
      <c r="I1098" s="16"/>
    </row>
    <row r="1099" spans="1:9">
      <c r="A1099" s="19">
        <v>43656</v>
      </c>
      <c r="B1099" s="20">
        <v>136.55360400000001</v>
      </c>
      <c r="C1099" s="21">
        <v>24204400</v>
      </c>
      <c r="D1099" s="23">
        <f t="shared" si="39"/>
        <v>1.0134680877645375E-2</v>
      </c>
      <c r="E1099" s="47">
        <v>2993.070068</v>
      </c>
      <c r="F1099" s="48">
        <v>3154240000</v>
      </c>
      <c r="G1099" s="20">
        <f t="shared" si="40"/>
        <v>4.5005467530864277E-3</v>
      </c>
      <c r="H1099" s="22">
        <v>1</v>
      </c>
      <c r="I1099" s="16"/>
    </row>
    <row r="1100" spans="1:9">
      <c r="A1100" s="19">
        <v>43657</v>
      </c>
      <c r="B1100" s="20">
        <v>137.09840399999999</v>
      </c>
      <c r="C1100" s="21">
        <v>22327900</v>
      </c>
      <c r="D1100" s="23">
        <f t="shared" si="39"/>
        <v>3.9817045286952507E-3</v>
      </c>
      <c r="E1100" s="47">
        <v>2999.9099120000001</v>
      </c>
      <c r="F1100" s="48">
        <v>3154620000</v>
      </c>
      <c r="G1100" s="20">
        <f t="shared" si="40"/>
        <v>2.2826196625582262E-3</v>
      </c>
      <c r="H1100" s="22">
        <v>1</v>
      </c>
      <c r="I1100" s="16"/>
    </row>
    <row r="1101" spans="1:9">
      <c r="A1101" s="19">
        <v>43658</v>
      </c>
      <c r="B1101" s="20">
        <v>137.593704</v>
      </c>
      <c r="C1101" s="21">
        <v>18936800</v>
      </c>
      <c r="D1101" s="23">
        <f t="shared" si="39"/>
        <v>3.606223275806248E-3</v>
      </c>
      <c r="E1101" s="47">
        <v>3013.7700199999999</v>
      </c>
      <c r="F1101" s="48">
        <v>2974960000</v>
      </c>
      <c r="G1101" s="20">
        <f t="shared" si="40"/>
        <v>4.6095344940618628E-3</v>
      </c>
      <c r="H1101" s="22">
        <v>1</v>
      </c>
      <c r="I1101" s="16"/>
    </row>
    <row r="1102" spans="1:9">
      <c r="A1102" s="19">
        <v>43661</v>
      </c>
      <c r="B1102" s="20">
        <v>137.593704</v>
      </c>
      <c r="C1102" s="21">
        <v>16651500</v>
      </c>
      <c r="D1102" s="23">
        <f t="shared" si="39"/>
        <v>0</v>
      </c>
      <c r="E1102" s="47">
        <v>3014.3000489999999</v>
      </c>
      <c r="F1102" s="48">
        <v>2874970000</v>
      </c>
      <c r="G1102" s="20">
        <f t="shared" si="40"/>
        <v>1.7585362986783311E-4</v>
      </c>
      <c r="H1102" s="22">
        <v>1</v>
      </c>
      <c r="I1102" s="16"/>
    </row>
    <row r="1103" spans="1:9">
      <c r="A1103" s="19">
        <v>43662</v>
      </c>
      <c r="B1103" s="20">
        <v>135.790817</v>
      </c>
      <c r="C1103" s="21">
        <v>22726100</v>
      </c>
      <c r="D1103" s="23">
        <f t="shared" si="39"/>
        <v>-1.3189577302510797E-2</v>
      </c>
      <c r="E1103" s="47">
        <v>3004.040039</v>
      </c>
      <c r="F1103" s="48">
        <v>3290650000</v>
      </c>
      <c r="G1103" s="20">
        <f t="shared" si="40"/>
        <v>-3.4095846328355182E-3</v>
      </c>
      <c r="H1103" s="22">
        <v>1</v>
      </c>
      <c r="I1103" s="16"/>
    </row>
    <row r="1104" spans="1:9">
      <c r="A1104" s="19">
        <v>43663</v>
      </c>
      <c r="B1104" s="20">
        <v>134.988449</v>
      </c>
      <c r="C1104" s="21">
        <v>20211000</v>
      </c>
      <c r="D1104" s="23">
        <f t="shared" si="39"/>
        <v>-5.9263795212024751E-3</v>
      </c>
      <c r="E1104" s="47">
        <v>2984.419922</v>
      </c>
      <c r="F1104" s="48">
        <v>3181600000</v>
      </c>
      <c r="G1104" s="20">
        <f t="shared" si="40"/>
        <v>-6.5526654034036725E-3</v>
      </c>
      <c r="H1104" s="22">
        <v>1</v>
      </c>
      <c r="I1104" s="16"/>
    </row>
    <row r="1105" spans="1:9">
      <c r="A1105" s="19">
        <v>43664</v>
      </c>
      <c r="B1105" s="20">
        <v>135.13703899999999</v>
      </c>
      <c r="C1105" s="21">
        <v>30808700</v>
      </c>
      <c r="D1105" s="23">
        <f t="shared" si="39"/>
        <v>1.1001554580221467E-3</v>
      </c>
      <c r="E1105" s="47">
        <v>2995.110107</v>
      </c>
      <c r="F1105" s="48">
        <v>3296580000</v>
      </c>
      <c r="G1105" s="20">
        <f t="shared" si="40"/>
        <v>3.5755975260803518E-3</v>
      </c>
      <c r="H1105" s="22">
        <v>1</v>
      </c>
      <c r="I1105" s="16"/>
    </row>
    <row r="1106" spans="1:9">
      <c r="A1106" s="19">
        <v>43665</v>
      </c>
      <c r="B1106" s="20">
        <v>135.33514400000001</v>
      </c>
      <c r="C1106" s="21">
        <v>48992400</v>
      </c>
      <c r="D1106" s="23">
        <f t="shared" si="39"/>
        <v>1.4648828816962373E-3</v>
      </c>
      <c r="E1106" s="47">
        <v>2976.610107</v>
      </c>
      <c r="F1106" s="48">
        <v>3260360000</v>
      </c>
      <c r="G1106" s="20">
        <f t="shared" si="40"/>
        <v>-6.1958894657200697E-3</v>
      </c>
      <c r="H1106" s="22">
        <v>1</v>
      </c>
      <c r="I1106" s="16"/>
    </row>
    <row r="1107" spans="1:9">
      <c r="A1107" s="19">
        <v>43668</v>
      </c>
      <c r="B1107" s="20">
        <v>137.12811300000001</v>
      </c>
      <c r="C1107" s="21">
        <v>25074900</v>
      </c>
      <c r="D1107" s="23">
        <f t="shared" si="39"/>
        <v>1.3161370097555955E-2</v>
      </c>
      <c r="E1107" s="47">
        <v>2985.030029</v>
      </c>
      <c r="F1107" s="48">
        <v>3003720000</v>
      </c>
      <c r="G1107" s="20">
        <f t="shared" si="40"/>
        <v>2.8247017285257178E-3</v>
      </c>
      <c r="H1107" s="22">
        <v>1</v>
      </c>
      <c r="I1107" s="16"/>
    </row>
    <row r="1108" spans="1:9">
      <c r="A1108" s="19">
        <v>43669</v>
      </c>
      <c r="B1108" s="20">
        <v>137.980042</v>
      </c>
      <c r="C1108" s="21">
        <v>18034600</v>
      </c>
      <c r="D1108" s="23">
        <f t="shared" si="39"/>
        <v>6.1934312578354874E-3</v>
      </c>
      <c r="E1108" s="47">
        <v>3005.469971</v>
      </c>
      <c r="F1108" s="48">
        <v>3313660000</v>
      </c>
      <c r="G1108" s="20">
        <f t="shared" si="40"/>
        <v>6.8241453375091467E-3</v>
      </c>
      <c r="H1108" s="22">
        <v>1</v>
      </c>
      <c r="I1108" s="16"/>
    </row>
    <row r="1109" spans="1:9">
      <c r="A1109" s="19">
        <v>43670</v>
      </c>
      <c r="B1109" s="20">
        <v>139.396591</v>
      </c>
      <c r="C1109" s="21">
        <v>20738300</v>
      </c>
      <c r="D1109" s="23">
        <f t="shared" si="39"/>
        <v>1.0213991711230035E-2</v>
      </c>
      <c r="E1109" s="47">
        <v>3019.5600589999999</v>
      </c>
      <c r="F1109" s="48">
        <v>3428980000</v>
      </c>
      <c r="G1109" s="20">
        <f t="shared" si="40"/>
        <v>4.6771928492370975E-3</v>
      </c>
      <c r="H1109" s="22">
        <v>1</v>
      </c>
      <c r="I1109" s="16"/>
    </row>
    <row r="1110" spans="1:9">
      <c r="A1110" s="19">
        <v>43671</v>
      </c>
      <c r="B1110" s="20">
        <v>138.87158199999999</v>
      </c>
      <c r="C1110" s="21">
        <v>18356900</v>
      </c>
      <c r="D1110" s="23">
        <f t="shared" si="39"/>
        <v>-3.7734076253810246E-3</v>
      </c>
      <c r="E1110" s="47">
        <v>3003.669922</v>
      </c>
      <c r="F1110" s="48">
        <v>3645270000</v>
      </c>
      <c r="G1110" s="20">
        <f t="shared" si="40"/>
        <v>-5.2762965765231536E-3</v>
      </c>
      <c r="H1110" s="22">
        <v>1</v>
      </c>
      <c r="I1110" s="16"/>
    </row>
    <row r="1111" spans="1:9">
      <c r="A1111" s="19">
        <v>43672</v>
      </c>
      <c r="B1111" s="20">
        <v>140.01075700000001</v>
      </c>
      <c r="C1111" s="21">
        <v>19037600</v>
      </c>
      <c r="D1111" s="23">
        <f t="shared" si="39"/>
        <v>8.169619776171597E-3</v>
      </c>
      <c r="E1111" s="47">
        <v>3025.860107</v>
      </c>
      <c r="F1111" s="48">
        <v>3257590000</v>
      </c>
      <c r="G1111" s="20">
        <f t="shared" si="40"/>
        <v>7.3605355897441655E-3</v>
      </c>
      <c r="H1111" s="22">
        <v>1</v>
      </c>
      <c r="I1111" s="16"/>
    </row>
    <row r="1112" spans="1:9">
      <c r="A1112" s="19">
        <v>43675</v>
      </c>
      <c r="B1112" s="20">
        <v>139.70367400000001</v>
      </c>
      <c r="C1112" s="21">
        <v>16605900</v>
      </c>
      <c r="D1112" s="23">
        <f t="shared" si="39"/>
        <v>-2.195690242181427E-3</v>
      </c>
      <c r="E1112" s="47">
        <v>3020.969971</v>
      </c>
      <c r="F1112" s="48">
        <v>3203710000</v>
      </c>
      <c r="G1112" s="20">
        <f t="shared" si="40"/>
        <v>-1.6174216913627901E-3</v>
      </c>
      <c r="H1112" s="22">
        <v>1</v>
      </c>
      <c r="I1112" s="16"/>
    </row>
    <row r="1113" spans="1:9">
      <c r="A1113" s="19">
        <v>43676</v>
      </c>
      <c r="B1113" s="20">
        <v>139.03007500000001</v>
      </c>
      <c r="C1113" s="21">
        <v>16846500</v>
      </c>
      <c r="D1113" s="23">
        <f t="shared" si="39"/>
        <v>-4.8332884964730214E-3</v>
      </c>
      <c r="E1113" s="47">
        <v>3013.179932</v>
      </c>
      <c r="F1113" s="48">
        <v>3634330000</v>
      </c>
      <c r="G1113" s="20">
        <f t="shared" si="40"/>
        <v>-2.5819853510480918E-3</v>
      </c>
      <c r="H1113" s="22">
        <v>1</v>
      </c>
      <c r="I1113" s="16"/>
    </row>
    <row r="1114" spans="1:9">
      <c r="A1114" s="19">
        <v>43677</v>
      </c>
      <c r="B1114" s="20">
        <v>134.988449</v>
      </c>
      <c r="C1114" s="21">
        <v>38598800</v>
      </c>
      <c r="D1114" s="23">
        <f t="shared" si="39"/>
        <v>-2.9501064818475982E-2</v>
      </c>
      <c r="E1114" s="47">
        <v>2980.3798830000001</v>
      </c>
      <c r="F1114" s="48">
        <v>4623430000</v>
      </c>
      <c r="G1114" s="20">
        <f t="shared" si="40"/>
        <v>-1.0945207008496171E-2</v>
      </c>
      <c r="H1114" s="22">
        <v>1</v>
      </c>
      <c r="I1114" s="16"/>
    </row>
    <row r="1115" spans="1:9">
      <c r="A1115" s="19">
        <v>43678</v>
      </c>
      <c r="B1115" s="20">
        <v>136.76159699999999</v>
      </c>
      <c r="C1115" s="21">
        <v>40557500</v>
      </c>
      <c r="D1115" s="23">
        <f t="shared" si="39"/>
        <v>1.3050030279222963E-2</v>
      </c>
      <c r="E1115" s="47">
        <v>2953.5600589999999</v>
      </c>
      <c r="F1115" s="48">
        <v>4762300000</v>
      </c>
      <c r="G1115" s="20">
        <f t="shared" si="40"/>
        <v>-9.0395274941716727E-3</v>
      </c>
      <c r="H1115" s="22">
        <v>1</v>
      </c>
      <c r="I1115" s="16"/>
    </row>
    <row r="1116" spans="1:9">
      <c r="A1116" s="19">
        <v>43679</v>
      </c>
      <c r="B1116" s="20">
        <v>135.612503</v>
      </c>
      <c r="C1116" s="21">
        <v>30791600</v>
      </c>
      <c r="D1116" s="23">
        <f t="shared" si="39"/>
        <v>-8.4376658235469134E-3</v>
      </c>
      <c r="E1116" s="47">
        <v>2932.0500489999999</v>
      </c>
      <c r="F1116" s="48">
        <v>3874660000</v>
      </c>
      <c r="G1116" s="20">
        <f t="shared" si="40"/>
        <v>-7.3093886184915644E-3</v>
      </c>
      <c r="H1116" s="22">
        <v>1</v>
      </c>
      <c r="I1116" s="16"/>
    </row>
    <row r="1117" spans="1:9">
      <c r="A1117" s="19">
        <v>43682</v>
      </c>
      <c r="B1117" s="20">
        <v>130.96662900000001</v>
      </c>
      <c r="C1117" s="21">
        <v>42749600</v>
      </c>
      <c r="D1117" s="23">
        <f t="shared" si="39"/>
        <v>-3.4859025979148826E-2</v>
      </c>
      <c r="E1117" s="47">
        <v>2844.73999</v>
      </c>
      <c r="F1117" s="48">
        <v>4513730000</v>
      </c>
      <c r="G1117" s="20">
        <f t="shared" si="40"/>
        <v>-3.0230182310703037E-2</v>
      </c>
      <c r="H1117" s="22">
        <v>1</v>
      </c>
      <c r="I1117" s="16"/>
    </row>
    <row r="1118" spans="1:9">
      <c r="A1118" s="19">
        <v>43683</v>
      </c>
      <c r="B1118" s="20">
        <v>133.42330899999999</v>
      </c>
      <c r="C1118" s="21">
        <v>32696700</v>
      </c>
      <c r="D1118" s="23">
        <f t="shared" si="39"/>
        <v>1.8584298061649206E-2</v>
      </c>
      <c r="E1118" s="47">
        <v>2881.7700199999999</v>
      </c>
      <c r="F1118" s="48">
        <v>4154240000</v>
      </c>
      <c r="G1118" s="20">
        <f t="shared" si="40"/>
        <v>1.2933024156216008E-2</v>
      </c>
      <c r="H1118" s="22">
        <v>1</v>
      </c>
      <c r="I1118" s="16"/>
    </row>
    <row r="1119" spans="1:9">
      <c r="A1119" s="19">
        <v>43684</v>
      </c>
      <c r="B1119" s="20">
        <v>134.00773599999999</v>
      </c>
      <c r="C1119" s="21">
        <v>33414500</v>
      </c>
      <c r="D1119" s="23">
        <f t="shared" si="39"/>
        <v>4.3706812748813889E-3</v>
      </c>
      <c r="E1119" s="47">
        <v>2883.9799800000001</v>
      </c>
      <c r="F1119" s="48">
        <v>4491750000</v>
      </c>
      <c r="G1119" s="20">
        <f t="shared" si="40"/>
        <v>7.665820086625915E-4</v>
      </c>
      <c r="H1119" s="22">
        <v>1</v>
      </c>
      <c r="I1119" s="16"/>
    </row>
    <row r="1120" spans="1:9">
      <c r="A1120" s="19">
        <v>43685</v>
      </c>
      <c r="B1120" s="20">
        <v>137.58380099999999</v>
      </c>
      <c r="C1120" s="21">
        <v>27496500</v>
      </c>
      <c r="D1120" s="23">
        <f t="shared" si="39"/>
        <v>2.6335663650574683E-2</v>
      </c>
      <c r="E1120" s="47">
        <v>2938.0900879999999</v>
      </c>
      <c r="F1120" s="48">
        <v>4106370000</v>
      </c>
      <c r="G1120" s="20">
        <f t="shared" si="40"/>
        <v>1.8588462666627403E-2</v>
      </c>
      <c r="H1120" s="22">
        <v>1</v>
      </c>
      <c r="I1120" s="16"/>
    </row>
    <row r="1121" spans="1:9">
      <c r="A1121" s="19">
        <v>43686</v>
      </c>
      <c r="B1121" s="20">
        <v>136.414917</v>
      </c>
      <c r="C1121" s="21">
        <v>23466700</v>
      </c>
      <c r="D1121" s="23">
        <f t="shared" si="39"/>
        <v>-8.5320916785360801E-3</v>
      </c>
      <c r="E1121" s="47">
        <v>2918.6499020000001</v>
      </c>
      <c r="F1121" s="48">
        <v>3350640000</v>
      </c>
      <c r="G1121" s="20">
        <f t="shared" si="40"/>
        <v>-6.6385932886606509E-3</v>
      </c>
      <c r="H1121" s="22">
        <v>1</v>
      </c>
      <c r="I1121" s="16"/>
    </row>
    <row r="1122" spans="1:9">
      <c r="A1122" s="19">
        <v>43689</v>
      </c>
      <c r="B1122" s="20">
        <v>134.51293899999999</v>
      </c>
      <c r="C1122" s="21">
        <v>20476600</v>
      </c>
      <c r="D1122" s="23">
        <f t="shared" si="39"/>
        <v>-1.4040706441450161E-2</v>
      </c>
      <c r="E1122" s="47">
        <v>2882.6999510000001</v>
      </c>
      <c r="F1122" s="48">
        <v>2851630000</v>
      </c>
      <c r="G1122" s="20">
        <f t="shared" si="40"/>
        <v>-1.2393809057761218E-2</v>
      </c>
      <c r="H1122" s="22">
        <v>1</v>
      </c>
      <c r="I1122" s="16"/>
    </row>
    <row r="1123" spans="1:9">
      <c r="A1123" s="19">
        <v>43690</v>
      </c>
      <c r="B1123" s="20">
        <v>137.296539</v>
      </c>
      <c r="C1123" s="21">
        <v>25154600</v>
      </c>
      <c r="D1123" s="23">
        <f t="shared" si="39"/>
        <v>2.0482709723161616E-2</v>
      </c>
      <c r="E1123" s="47">
        <v>2926.320068</v>
      </c>
      <c r="F1123" s="48">
        <v>3853600000</v>
      </c>
      <c r="G1123" s="20">
        <f t="shared" si="40"/>
        <v>1.5018346204117041E-2</v>
      </c>
      <c r="H1123" s="22">
        <v>1</v>
      </c>
      <c r="I1123" s="16"/>
    </row>
    <row r="1124" spans="1:9">
      <c r="A1124" s="19">
        <v>43691</v>
      </c>
      <c r="B1124" s="20">
        <v>133.16192599999999</v>
      </c>
      <c r="C1124" s="21">
        <v>32527300</v>
      </c>
      <c r="D1124" s="23">
        <f t="shared" si="39"/>
        <v>-3.0577228476386817E-2</v>
      </c>
      <c r="E1124" s="47">
        <v>2840.6000979999999</v>
      </c>
      <c r="F1124" s="48">
        <v>4312530000</v>
      </c>
      <c r="G1124" s="20">
        <f t="shared" si="40"/>
        <v>-2.9730352210714808E-2</v>
      </c>
      <c r="H1124" s="22">
        <v>1</v>
      </c>
      <c r="I1124" s="16"/>
    </row>
    <row r="1125" spans="1:9">
      <c r="A1125" s="19">
        <v>43692</v>
      </c>
      <c r="B1125" s="20">
        <v>132.863754</v>
      </c>
      <c r="C1125" s="21">
        <v>28074400</v>
      </c>
      <c r="D1125" s="23">
        <f t="shared" si="39"/>
        <v>-2.2416792609092394E-3</v>
      </c>
      <c r="E1125" s="47">
        <v>2847.6000979999999</v>
      </c>
      <c r="F1125" s="48">
        <v>4038000000</v>
      </c>
      <c r="G1125" s="20">
        <f t="shared" si="40"/>
        <v>2.4612366978827697E-3</v>
      </c>
      <c r="H1125" s="22">
        <v>1</v>
      </c>
      <c r="I1125" s="16"/>
    </row>
    <row r="1126" spans="1:9">
      <c r="A1126" s="19">
        <v>43693</v>
      </c>
      <c r="B1126" s="20">
        <v>135.298813</v>
      </c>
      <c r="C1126" s="21">
        <v>24449100</v>
      </c>
      <c r="D1126" s="23">
        <f t="shared" si="39"/>
        <v>1.8161564897177736E-2</v>
      </c>
      <c r="E1126" s="47">
        <v>2888.679932</v>
      </c>
      <c r="F1126" s="48">
        <v>3498150000</v>
      </c>
      <c r="G1126" s="20">
        <f t="shared" si="40"/>
        <v>1.4323058175937407E-2</v>
      </c>
      <c r="H1126" s="22">
        <v>1</v>
      </c>
      <c r="I1126" s="16"/>
    </row>
    <row r="1127" spans="1:9">
      <c r="A1127" s="19">
        <v>43696</v>
      </c>
      <c r="B1127" s="20">
        <v>137.564896</v>
      </c>
      <c r="C1127" s="21">
        <v>24355700</v>
      </c>
      <c r="D1127" s="23">
        <f t="shared" si="39"/>
        <v>1.6610014631043231E-2</v>
      </c>
      <c r="E1127" s="47">
        <v>2923.6499020000001</v>
      </c>
      <c r="F1127" s="48">
        <v>3212880000</v>
      </c>
      <c r="G1127" s="20">
        <f t="shared" si="40"/>
        <v>1.2033175322413726E-2</v>
      </c>
      <c r="H1127" s="22">
        <v>1</v>
      </c>
      <c r="I1127" s="16"/>
    </row>
    <row r="1128" spans="1:9">
      <c r="A1128" s="19">
        <v>43697</v>
      </c>
      <c r="B1128" s="20">
        <v>136.42190600000001</v>
      </c>
      <c r="C1128" s="21">
        <v>21170800</v>
      </c>
      <c r="D1128" s="23">
        <f t="shared" si="39"/>
        <v>-8.3434429850853149E-3</v>
      </c>
      <c r="E1128" s="47">
        <v>2900.51001</v>
      </c>
      <c r="F1128" s="48">
        <v>3066300000</v>
      </c>
      <c r="G1128" s="20">
        <f t="shared" si="40"/>
        <v>-7.9462151137351059E-3</v>
      </c>
      <c r="H1128" s="22">
        <v>1</v>
      </c>
      <c r="I1128" s="16"/>
    </row>
    <row r="1129" spans="1:9">
      <c r="A1129" s="19">
        <v>43698</v>
      </c>
      <c r="B1129" s="20">
        <v>137.94255100000001</v>
      </c>
      <c r="C1129" s="21">
        <v>14970300</v>
      </c>
      <c r="D1129" s="23">
        <f t="shared" si="39"/>
        <v>1.1084967692666628E-2</v>
      </c>
      <c r="E1129" s="47">
        <v>2924.429932</v>
      </c>
      <c r="F1129" s="48">
        <v>3011190000</v>
      </c>
      <c r="G1129" s="20">
        <f t="shared" si="40"/>
        <v>8.2129795994355052E-3</v>
      </c>
      <c r="H1129" s="22">
        <v>1</v>
      </c>
      <c r="I1129" s="16"/>
    </row>
    <row r="1130" spans="1:9">
      <c r="A1130" s="19">
        <v>43699</v>
      </c>
      <c r="B1130" s="20">
        <v>136.93872099999999</v>
      </c>
      <c r="C1130" s="21">
        <v>18697000</v>
      </c>
      <c r="D1130" s="23">
        <f t="shared" si="39"/>
        <v>-7.3037675876326301E-3</v>
      </c>
      <c r="E1130" s="47">
        <v>2922.9499510000001</v>
      </c>
      <c r="F1130" s="48">
        <v>2890880000</v>
      </c>
      <c r="G1130" s="20">
        <f t="shared" si="40"/>
        <v>-5.0620314096755901E-4</v>
      </c>
      <c r="H1130" s="22">
        <v>1</v>
      </c>
      <c r="I1130" s="16"/>
    </row>
    <row r="1131" spans="1:9">
      <c r="A1131" s="19">
        <v>43700</v>
      </c>
      <c r="B1131" s="20">
        <v>132.57553100000001</v>
      </c>
      <c r="C1131" s="21">
        <v>38508600</v>
      </c>
      <c r="D1131" s="23">
        <f t="shared" si="39"/>
        <v>-3.2381005497225591E-2</v>
      </c>
      <c r="E1131" s="47">
        <v>2847.110107</v>
      </c>
      <c r="F1131" s="48">
        <v>3937300000</v>
      </c>
      <c r="G1131" s="20">
        <f t="shared" si="40"/>
        <v>-2.6288881212212494E-2</v>
      </c>
      <c r="H1131" s="22">
        <v>1</v>
      </c>
      <c r="I1131" s="16"/>
    </row>
    <row r="1132" spans="1:9">
      <c r="A1132" s="19">
        <v>43703</v>
      </c>
      <c r="B1132" s="20">
        <v>134.62295499999999</v>
      </c>
      <c r="C1132" s="21">
        <v>20312600</v>
      </c>
      <c r="D1132" s="23">
        <f t="shared" si="39"/>
        <v>1.5325416722428349E-2</v>
      </c>
      <c r="E1132" s="47">
        <v>2878.3798830000001</v>
      </c>
      <c r="F1132" s="48">
        <v>2857600000</v>
      </c>
      <c r="G1132" s="20">
        <f t="shared" si="40"/>
        <v>1.0923112944115404E-2</v>
      </c>
      <c r="H1132" s="22">
        <v>1</v>
      </c>
      <c r="I1132" s="16"/>
    </row>
    <row r="1133" spans="1:9">
      <c r="A1133" s="19">
        <v>43704</v>
      </c>
      <c r="B1133" s="20">
        <v>134.911179</v>
      </c>
      <c r="C1133" s="21">
        <v>23102100</v>
      </c>
      <c r="D1133" s="23">
        <f t="shared" si="39"/>
        <v>2.1386835543478629E-3</v>
      </c>
      <c r="E1133" s="47">
        <v>2869.1599120000001</v>
      </c>
      <c r="F1133" s="48">
        <v>3533630000</v>
      </c>
      <c r="G1133" s="20">
        <f t="shared" si="40"/>
        <v>-3.20832190381789E-3</v>
      </c>
      <c r="H1133" s="22">
        <v>1</v>
      </c>
      <c r="I1133" s="16"/>
    </row>
    <row r="1134" spans="1:9">
      <c r="A1134" s="19">
        <v>43705</v>
      </c>
      <c r="B1134" s="20">
        <v>134.732269</v>
      </c>
      <c r="C1134" s="21">
        <v>17393300</v>
      </c>
      <c r="D1134" s="23">
        <f t="shared" si="39"/>
        <v>-1.3270118564456959E-3</v>
      </c>
      <c r="E1134" s="47">
        <v>2887.9399410000001</v>
      </c>
      <c r="F1134" s="48">
        <v>3097420000</v>
      </c>
      <c r="G1134" s="20">
        <f t="shared" si="40"/>
        <v>6.5241514280121003E-3</v>
      </c>
      <c r="H1134" s="22">
        <v>1</v>
      </c>
      <c r="I1134" s="16"/>
    </row>
    <row r="1135" spans="1:9">
      <c r="A1135" s="19">
        <v>43706</v>
      </c>
      <c r="B1135" s="20">
        <v>137.27664200000001</v>
      </c>
      <c r="C1135" s="21">
        <v>20168700</v>
      </c>
      <c r="D1135" s="23">
        <f t="shared" si="39"/>
        <v>1.870855776923383E-2</v>
      </c>
      <c r="E1135" s="47">
        <v>2924.580078</v>
      </c>
      <c r="F1135" s="48">
        <v>3176190000</v>
      </c>
      <c r="G1135" s="20">
        <f t="shared" si="40"/>
        <v>1.260748253902438E-2</v>
      </c>
      <c r="H1135" s="22">
        <v>1</v>
      </c>
      <c r="I1135" s="16"/>
    </row>
    <row r="1136" spans="1:9">
      <c r="A1136" s="19">
        <v>43707</v>
      </c>
      <c r="B1136" s="20">
        <v>137.01824999999999</v>
      </c>
      <c r="C1136" s="21">
        <v>23940100</v>
      </c>
      <c r="D1136" s="23">
        <f t="shared" si="39"/>
        <v>-1.8840458496979643E-3</v>
      </c>
      <c r="E1136" s="47">
        <v>2926.459961</v>
      </c>
      <c r="F1136" s="48">
        <v>3008450000</v>
      </c>
      <c r="G1136" s="20">
        <f t="shared" si="40"/>
        <v>6.4258082397493387E-4</v>
      </c>
      <c r="H1136" s="22">
        <v>1</v>
      </c>
      <c r="I1136" s="16"/>
    </row>
    <row r="1137" spans="1:9">
      <c r="A1137" s="19">
        <v>43711</v>
      </c>
      <c r="B1137" s="20">
        <v>135.209351</v>
      </c>
      <c r="C1137" s="21">
        <v>18869300</v>
      </c>
      <c r="D1137" s="23">
        <f t="shared" si="39"/>
        <v>-1.3289803216755127E-2</v>
      </c>
      <c r="E1137" s="47">
        <v>2906.2700199999999</v>
      </c>
      <c r="F1137" s="48">
        <v>3426790000</v>
      </c>
      <c r="G1137" s="20">
        <f t="shared" si="40"/>
        <v>-6.92300919275306E-3</v>
      </c>
      <c r="H1137" s="22">
        <v>1</v>
      </c>
      <c r="I1137" s="16"/>
    </row>
    <row r="1138" spans="1:9">
      <c r="A1138" s="19">
        <v>43712</v>
      </c>
      <c r="B1138" s="20">
        <v>136.789658</v>
      </c>
      <c r="C1138" s="21">
        <v>17995900</v>
      </c>
      <c r="D1138" s="23">
        <f t="shared" si="39"/>
        <v>1.1620077497151595E-2</v>
      </c>
      <c r="E1138" s="47">
        <v>2937.780029</v>
      </c>
      <c r="F1138" s="48">
        <v>3163260000</v>
      </c>
      <c r="G1138" s="20">
        <f t="shared" si="40"/>
        <v>1.0783725016077904E-2</v>
      </c>
      <c r="H1138" s="22">
        <v>1</v>
      </c>
      <c r="I1138" s="16"/>
    </row>
    <row r="1139" spans="1:9">
      <c r="A1139" s="19">
        <v>43713</v>
      </c>
      <c r="B1139" s="20">
        <v>139.19487000000001</v>
      </c>
      <c r="C1139" s="21">
        <v>26101800</v>
      </c>
      <c r="D1139" s="23">
        <f t="shared" si="39"/>
        <v>1.7430490857472798E-2</v>
      </c>
      <c r="E1139" s="47">
        <v>2976</v>
      </c>
      <c r="F1139" s="48">
        <v>3890700000</v>
      </c>
      <c r="G1139" s="20">
        <f t="shared" si="40"/>
        <v>1.2925913022813845E-2</v>
      </c>
      <c r="H1139" s="22">
        <v>1</v>
      </c>
      <c r="I1139" s="16"/>
    </row>
    <row r="1140" spans="1:9">
      <c r="A1140" s="19">
        <v>43714</v>
      </c>
      <c r="B1140" s="20">
        <v>138.25067100000001</v>
      </c>
      <c r="C1140" s="21">
        <v>20824500</v>
      </c>
      <c r="D1140" s="23">
        <f t="shared" si="39"/>
        <v>-6.8063998560519388E-3</v>
      </c>
      <c r="E1140" s="47">
        <v>2978.709961</v>
      </c>
      <c r="F1140" s="48">
        <v>3208280000</v>
      </c>
      <c r="G1140" s="20">
        <f t="shared" si="40"/>
        <v>9.101908253591022E-4</v>
      </c>
      <c r="H1140" s="22">
        <v>1</v>
      </c>
      <c r="I1140" s="16"/>
    </row>
    <row r="1141" spans="1:9">
      <c r="A1141" s="19">
        <v>43717</v>
      </c>
      <c r="B1141" s="20">
        <v>136.680328</v>
      </c>
      <c r="C1141" s="21">
        <v>25773900</v>
      </c>
      <c r="D1141" s="23">
        <f t="shared" si="39"/>
        <v>-1.1423666906798429E-2</v>
      </c>
      <c r="E1141" s="47">
        <v>2978.429932</v>
      </c>
      <c r="F1141" s="48">
        <v>4002890000</v>
      </c>
      <c r="G1141" s="20">
        <f t="shared" si="40"/>
        <v>-9.4014579222948533E-5</v>
      </c>
      <c r="H1141" s="22">
        <v>1</v>
      </c>
      <c r="I1141" s="16"/>
    </row>
    <row r="1142" spans="1:9">
      <c r="A1142" s="19">
        <v>43718</v>
      </c>
      <c r="B1142" s="20">
        <v>135.24911499999999</v>
      </c>
      <c r="C1142" s="21">
        <v>28903400</v>
      </c>
      <c r="D1142" s="23">
        <f t="shared" si="39"/>
        <v>-1.0526452742983378E-2</v>
      </c>
      <c r="E1142" s="47">
        <v>2979.389893</v>
      </c>
      <c r="F1142" s="48">
        <v>4390770000</v>
      </c>
      <c r="G1142" s="20">
        <f t="shared" si="40"/>
        <v>3.2225244686973423E-4</v>
      </c>
      <c r="H1142" s="22">
        <v>1</v>
      </c>
      <c r="I1142" s="16"/>
    </row>
    <row r="1143" spans="1:9">
      <c r="A1143" s="19">
        <v>43719</v>
      </c>
      <c r="B1143" s="20">
        <v>135.288849</v>
      </c>
      <c r="C1143" s="21">
        <v>24726100</v>
      </c>
      <c r="D1143" s="23">
        <f t="shared" si="39"/>
        <v>2.9374066174103313E-4</v>
      </c>
      <c r="E1143" s="47">
        <v>3000.929932</v>
      </c>
      <c r="F1143" s="48">
        <v>3927550000</v>
      </c>
      <c r="G1143" s="20">
        <f t="shared" si="40"/>
        <v>7.2036723045440518E-3</v>
      </c>
      <c r="H1143" s="22">
        <v>1</v>
      </c>
      <c r="I1143" s="16"/>
    </row>
    <row r="1144" spans="1:9">
      <c r="A1144" s="19">
        <v>43720</v>
      </c>
      <c r="B1144" s="20">
        <v>136.680328</v>
      </c>
      <c r="C1144" s="21">
        <v>27010000</v>
      </c>
      <c r="D1144" s="23">
        <f t="shared" si="39"/>
        <v>1.023271208124244E-2</v>
      </c>
      <c r="E1144" s="47">
        <v>3009.570068</v>
      </c>
      <c r="F1144" s="48">
        <v>3791860000</v>
      </c>
      <c r="G1144" s="20">
        <f t="shared" si="40"/>
        <v>2.8750160390679956E-3</v>
      </c>
      <c r="H1144" s="22">
        <v>1</v>
      </c>
      <c r="I1144" s="16"/>
    </row>
    <row r="1145" spans="1:9">
      <c r="A1145" s="19">
        <v>43721</v>
      </c>
      <c r="B1145" s="20">
        <v>136.481537</v>
      </c>
      <c r="C1145" s="21">
        <v>23363100</v>
      </c>
      <c r="D1145" s="23">
        <f t="shared" si="39"/>
        <v>-1.4554816068024299E-3</v>
      </c>
      <c r="E1145" s="47">
        <v>3007.389893</v>
      </c>
      <c r="F1145" s="48">
        <v>3520060000</v>
      </c>
      <c r="G1145" s="20">
        <f t="shared" si="40"/>
        <v>-7.2467661727595176E-4</v>
      </c>
      <c r="H1145" s="22">
        <v>1</v>
      </c>
      <c r="I1145" s="16"/>
    </row>
    <row r="1146" spans="1:9">
      <c r="A1146" s="19">
        <v>43724</v>
      </c>
      <c r="B1146" s="20">
        <v>135.497589</v>
      </c>
      <c r="C1146" s="21">
        <v>16731400</v>
      </c>
      <c r="D1146" s="23">
        <f t="shared" si="39"/>
        <v>-7.2354985997673685E-3</v>
      </c>
      <c r="E1146" s="47">
        <v>2997.959961</v>
      </c>
      <c r="F1146" s="48">
        <v>4274640000</v>
      </c>
      <c r="G1146" s="20">
        <f t="shared" si="40"/>
        <v>-3.1405130357880207E-3</v>
      </c>
      <c r="H1146" s="22">
        <v>1</v>
      </c>
      <c r="I1146" s="16"/>
    </row>
    <row r="1147" spans="1:9">
      <c r="A1147" s="19">
        <v>43725</v>
      </c>
      <c r="B1147" s="20">
        <v>136.551117</v>
      </c>
      <c r="C1147" s="21">
        <v>17814200</v>
      </c>
      <c r="D1147" s="23">
        <f t="shared" si="39"/>
        <v>7.745181236528227E-3</v>
      </c>
      <c r="E1147" s="47">
        <v>3005.6999510000001</v>
      </c>
      <c r="F1147" s="48">
        <v>3671840000</v>
      </c>
      <c r="G1147" s="20">
        <f t="shared" si="40"/>
        <v>2.5784252944315751E-3</v>
      </c>
      <c r="H1147" s="22">
        <v>1</v>
      </c>
      <c r="I1147" s="16"/>
    </row>
    <row r="1148" spans="1:9">
      <c r="A1148" s="19">
        <v>43726</v>
      </c>
      <c r="B1148" s="20">
        <v>137.67420999999999</v>
      </c>
      <c r="C1148" s="21">
        <v>23982100</v>
      </c>
      <c r="D1148" s="23">
        <f t="shared" si="39"/>
        <v>8.1910689405916021E-3</v>
      </c>
      <c r="E1148" s="47">
        <v>3006.7299800000001</v>
      </c>
      <c r="F1148" s="48">
        <v>3435540000</v>
      </c>
      <c r="G1148" s="20">
        <f t="shared" si="40"/>
        <v>3.4263318554979109E-4</v>
      </c>
      <c r="H1148" s="22">
        <v>1</v>
      </c>
      <c r="I1148" s="16"/>
    </row>
    <row r="1149" spans="1:9">
      <c r="A1149" s="19">
        <v>43727</v>
      </c>
      <c r="B1149" s="20">
        <v>140.20864900000001</v>
      </c>
      <c r="C1149" s="21">
        <v>35772100</v>
      </c>
      <c r="D1149" s="23">
        <f t="shared" si="39"/>
        <v>1.824156615929997E-2</v>
      </c>
      <c r="E1149" s="47">
        <v>3006.790039</v>
      </c>
      <c r="F1149" s="48">
        <v>3251290000</v>
      </c>
      <c r="G1149" s="20">
        <f t="shared" si="40"/>
        <v>1.997465704358366E-5</v>
      </c>
      <c r="H1149" s="22">
        <v>1</v>
      </c>
      <c r="I1149" s="16"/>
    </row>
    <row r="1150" spans="1:9">
      <c r="A1150" s="19">
        <v>43728</v>
      </c>
      <c r="B1150" s="20">
        <v>138.588593</v>
      </c>
      <c r="C1150" s="21">
        <v>39167300</v>
      </c>
      <c r="D1150" s="23">
        <f t="shared" si="39"/>
        <v>-1.1621881358398253E-2</v>
      </c>
      <c r="E1150" s="47">
        <v>2992.070068</v>
      </c>
      <c r="F1150" s="48">
        <v>6094740000</v>
      </c>
      <c r="G1150" s="20">
        <f t="shared" si="40"/>
        <v>-4.9075992042032345E-3</v>
      </c>
      <c r="H1150" s="22">
        <v>1</v>
      </c>
      <c r="I1150" s="16"/>
    </row>
    <row r="1151" spans="1:9">
      <c r="A1151" s="19">
        <v>43731</v>
      </c>
      <c r="B1151" s="20">
        <v>138.29042100000001</v>
      </c>
      <c r="C1151" s="21">
        <v>17139300</v>
      </c>
      <c r="D1151" s="23">
        <f t="shared" si="39"/>
        <v>-2.1538079824681118E-3</v>
      </c>
      <c r="E1151" s="47">
        <v>2991.780029</v>
      </c>
      <c r="F1151" s="48">
        <v>3186590000</v>
      </c>
      <c r="G1151" s="20">
        <f t="shared" si="40"/>
        <v>-9.6940596948634042E-5</v>
      </c>
      <c r="H1151" s="22">
        <v>1</v>
      </c>
      <c r="I1151" s="16"/>
    </row>
    <row r="1152" spans="1:9">
      <c r="A1152" s="19">
        <v>43732</v>
      </c>
      <c r="B1152" s="20">
        <v>136.54118299999999</v>
      </c>
      <c r="C1152" s="21">
        <v>29773200</v>
      </c>
      <c r="D1152" s="23">
        <f t="shared" si="39"/>
        <v>-1.2729697718742765E-2</v>
      </c>
      <c r="E1152" s="47">
        <v>2966.6000979999999</v>
      </c>
      <c r="F1152" s="48">
        <v>3868160000</v>
      </c>
      <c r="G1152" s="20">
        <f t="shared" si="40"/>
        <v>-8.4519887484478164E-3</v>
      </c>
      <c r="H1152" s="22">
        <v>1</v>
      </c>
      <c r="I1152" s="16"/>
    </row>
    <row r="1153" spans="1:9">
      <c r="A1153" s="19">
        <v>43733</v>
      </c>
      <c r="B1153" s="20">
        <v>138.50907900000001</v>
      </c>
      <c r="C1153" s="21">
        <v>21382000</v>
      </c>
      <c r="D1153" s="23">
        <f t="shared" si="39"/>
        <v>1.4309599745173587E-2</v>
      </c>
      <c r="E1153" s="47">
        <v>2984.8701169999999</v>
      </c>
      <c r="F1153" s="48">
        <v>3318870000</v>
      </c>
      <c r="G1153" s="20">
        <f t="shared" si="40"/>
        <v>6.139685063273532E-3</v>
      </c>
      <c r="H1153" s="22">
        <v>1</v>
      </c>
      <c r="I1153" s="16"/>
    </row>
    <row r="1154" spans="1:9">
      <c r="A1154" s="19">
        <v>43734</v>
      </c>
      <c r="B1154" s="20">
        <v>138.687973</v>
      </c>
      <c r="C1154" s="21">
        <v>17456600</v>
      </c>
      <c r="D1154" s="23">
        <f t="shared" si="39"/>
        <v>1.2907354067850506E-3</v>
      </c>
      <c r="E1154" s="47">
        <v>2977.6201169999999</v>
      </c>
      <c r="F1154" s="48">
        <v>3077240000</v>
      </c>
      <c r="G1154" s="20">
        <f t="shared" si="40"/>
        <v>-2.4318710097662182E-3</v>
      </c>
      <c r="H1154" s="22">
        <v>1</v>
      </c>
      <c r="I1154" s="16"/>
    </row>
    <row r="1155" spans="1:9">
      <c r="A1155" s="19">
        <v>43735</v>
      </c>
      <c r="B1155" s="20">
        <v>136.88902300000001</v>
      </c>
      <c r="C1155" s="21">
        <v>22477700</v>
      </c>
      <c r="D1155" s="23">
        <f t="shared" ref="D1155:D1218" si="41">LN(B1155/B1154)</f>
        <v>-1.3056064767729428E-2</v>
      </c>
      <c r="E1155" s="47">
        <v>2961.790039</v>
      </c>
      <c r="F1155" s="48">
        <v>3243650000</v>
      </c>
      <c r="G1155" s="20">
        <f t="shared" ref="G1155:G1218" si="42">LN(E1155/E1154)</f>
        <v>-5.3305345372608622E-3</v>
      </c>
      <c r="H1155" s="22">
        <v>1</v>
      </c>
      <c r="I1155" s="16"/>
    </row>
    <row r="1156" spans="1:9">
      <c r="A1156" s="19">
        <v>43738</v>
      </c>
      <c r="B1156" s="20">
        <v>138.18109100000001</v>
      </c>
      <c r="C1156" s="21">
        <v>17280900</v>
      </c>
      <c r="D1156" s="23">
        <f t="shared" si="41"/>
        <v>9.3945320635464534E-3</v>
      </c>
      <c r="E1156" s="47">
        <v>2976.73999</v>
      </c>
      <c r="F1156" s="48">
        <v>3247610000</v>
      </c>
      <c r="G1156" s="20">
        <f t="shared" si="42"/>
        <v>5.0349101576151927E-3</v>
      </c>
      <c r="H1156" s="22">
        <v>1</v>
      </c>
      <c r="I1156" s="16"/>
    </row>
    <row r="1157" spans="1:9">
      <c r="A1157" s="19">
        <v>43739</v>
      </c>
      <c r="B1157" s="20">
        <v>136.23307800000001</v>
      </c>
      <c r="C1157" s="21">
        <v>21466600</v>
      </c>
      <c r="D1157" s="23">
        <f t="shared" si="41"/>
        <v>-1.4197850863119466E-2</v>
      </c>
      <c r="E1157" s="47">
        <v>2940.25</v>
      </c>
      <c r="F1157" s="48">
        <v>3558040000</v>
      </c>
      <c r="G1157" s="20">
        <f t="shared" si="42"/>
        <v>-1.2334126866677331E-2</v>
      </c>
      <c r="H1157" s="22">
        <v>1</v>
      </c>
      <c r="I1157" s="16"/>
    </row>
    <row r="1158" spans="1:9">
      <c r="A1158" s="19">
        <v>43740</v>
      </c>
      <c r="B1158" s="20">
        <v>133.82783499999999</v>
      </c>
      <c r="C1158" s="21">
        <v>30521700</v>
      </c>
      <c r="D1158" s="23">
        <f t="shared" si="41"/>
        <v>-1.7813067227336814E-2</v>
      </c>
      <c r="E1158" s="47">
        <v>2887.610107</v>
      </c>
      <c r="F1158" s="48">
        <v>3912520000</v>
      </c>
      <c r="G1158" s="20">
        <f t="shared" si="42"/>
        <v>-1.8065404333742128E-2</v>
      </c>
      <c r="H1158" s="22">
        <v>1</v>
      </c>
      <c r="I1158" s="16"/>
    </row>
    <row r="1159" spans="1:9">
      <c r="A1159" s="19">
        <v>43741</v>
      </c>
      <c r="B1159" s="20">
        <v>135.447891</v>
      </c>
      <c r="C1159" s="21">
        <v>24132900</v>
      </c>
      <c r="D1159" s="23">
        <f t="shared" si="41"/>
        <v>1.2032837651085471E-2</v>
      </c>
      <c r="E1159" s="47">
        <v>2910.6298830000001</v>
      </c>
      <c r="F1159" s="48">
        <v>3503640000</v>
      </c>
      <c r="G1159" s="20">
        <f t="shared" si="42"/>
        <v>7.9403049843841545E-3</v>
      </c>
      <c r="H1159" s="22">
        <v>1</v>
      </c>
      <c r="I1159" s="16"/>
    </row>
    <row r="1160" spans="1:9">
      <c r="A1160" s="19">
        <v>43742</v>
      </c>
      <c r="B1160" s="20">
        <v>137.27664200000001</v>
      </c>
      <c r="C1160" s="21">
        <v>22897700</v>
      </c>
      <c r="D1160" s="23">
        <f t="shared" si="41"/>
        <v>1.3411176396033458E-2</v>
      </c>
      <c r="E1160" s="47">
        <v>2952.01001</v>
      </c>
      <c r="F1160" s="48">
        <v>2990830000</v>
      </c>
      <c r="G1160" s="20">
        <f t="shared" si="42"/>
        <v>1.4116785254235103E-2</v>
      </c>
      <c r="H1160" s="22">
        <v>1</v>
      </c>
      <c r="I1160" s="16"/>
    </row>
    <row r="1161" spans="1:9">
      <c r="A1161" s="19">
        <v>43745</v>
      </c>
      <c r="B1161" s="20">
        <v>136.28276099999999</v>
      </c>
      <c r="C1161" s="21">
        <v>15303700</v>
      </c>
      <c r="D1161" s="23">
        <f t="shared" si="41"/>
        <v>-7.2663221379085357E-3</v>
      </c>
      <c r="E1161" s="47">
        <v>2938.790039</v>
      </c>
      <c r="F1161" s="48">
        <v>2940140000</v>
      </c>
      <c r="G1161" s="20">
        <f t="shared" si="42"/>
        <v>-4.4883523743439327E-3</v>
      </c>
      <c r="H1161" s="22">
        <v>1</v>
      </c>
      <c r="I1161" s="16"/>
    </row>
    <row r="1162" spans="1:9">
      <c r="A1162" s="19">
        <v>43746</v>
      </c>
      <c r="B1162" s="20">
        <v>134.84161399999999</v>
      </c>
      <c r="C1162" s="21">
        <v>25550500</v>
      </c>
      <c r="D1162" s="23">
        <f t="shared" si="41"/>
        <v>-1.0630992310719137E-2</v>
      </c>
      <c r="E1162" s="47">
        <v>2893.0600589999999</v>
      </c>
      <c r="F1162" s="48">
        <v>3356450000</v>
      </c>
      <c r="G1162" s="20">
        <f t="shared" si="42"/>
        <v>-1.5683159390420455E-2</v>
      </c>
      <c r="H1162" s="22">
        <v>1</v>
      </c>
      <c r="I1162" s="16"/>
    </row>
    <row r="1163" spans="1:9">
      <c r="A1163" s="19">
        <v>43747</v>
      </c>
      <c r="B1163" s="20">
        <v>137.39591999999999</v>
      </c>
      <c r="C1163" s="21">
        <v>19749900</v>
      </c>
      <c r="D1163" s="23">
        <f t="shared" si="41"/>
        <v>1.8765824988080101E-2</v>
      </c>
      <c r="E1163" s="47">
        <v>2919.3999020000001</v>
      </c>
      <c r="F1163" s="48">
        <v>2726820000</v>
      </c>
      <c r="G1163" s="20">
        <f t="shared" si="42"/>
        <v>9.0632962566768154E-3</v>
      </c>
      <c r="H1163" s="22">
        <v>1</v>
      </c>
      <c r="I1163" s="16"/>
    </row>
    <row r="1164" spans="1:9">
      <c r="A1164" s="19">
        <v>43748</v>
      </c>
      <c r="B1164" s="20">
        <v>138.25067100000001</v>
      </c>
      <c r="C1164" s="21">
        <v>17654600</v>
      </c>
      <c r="D1164" s="23">
        <f t="shared" si="41"/>
        <v>6.2018088926669339E-3</v>
      </c>
      <c r="E1164" s="47">
        <v>2938.1298830000001</v>
      </c>
      <c r="F1164" s="48">
        <v>3217250000</v>
      </c>
      <c r="G1164" s="20">
        <f t="shared" si="42"/>
        <v>6.3952025933453642E-3</v>
      </c>
      <c r="H1164" s="22">
        <v>1</v>
      </c>
      <c r="I1164" s="16"/>
    </row>
    <row r="1165" spans="1:9">
      <c r="A1165" s="19">
        <v>43749</v>
      </c>
      <c r="B1165" s="20">
        <v>138.82711800000001</v>
      </c>
      <c r="C1165" s="21">
        <v>25446000</v>
      </c>
      <c r="D1165" s="23">
        <f t="shared" si="41"/>
        <v>4.160909712447698E-3</v>
      </c>
      <c r="E1165" s="47">
        <v>2970.2700199999999</v>
      </c>
      <c r="F1165" s="48">
        <v>3580460000</v>
      </c>
      <c r="G1165" s="20">
        <f t="shared" si="42"/>
        <v>1.0879579767786803E-2</v>
      </c>
      <c r="H1165" s="22">
        <v>1</v>
      </c>
      <c r="I1165" s="16"/>
    </row>
    <row r="1166" spans="1:9">
      <c r="A1166" s="19">
        <v>43752</v>
      </c>
      <c r="B1166" s="20">
        <v>138.69792200000001</v>
      </c>
      <c r="C1166" s="21">
        <v>13304300</v>
      </c>
      <c r="D1166" s="23">
        <f t="shared" si="41"/>
        <v>-9.3105839626591734E-4</v>
      </c>
      <c r="E1166" s="47">
        <v>2966.1499020000001</v>
      </c>
      <c r="F1166" s="48">
        <v>2557020000</v>
      </c>
      <c r="G1166" s="20">
        <f t="shared" si="42"/>
        <v>-1.3880819469238928E-3</v>
      </c>
      <c r="H1166" s="22">
        <v>1</v>
      </c>
      <c r="I1166" s="16"/>
    </row>
    <row r="1167" spans="1:9">
      <c r="A1167" s="19">
        <v>43753</v>
      </c>
      <c r="B1167" s="20">
        <v>140.70559700000001</v>
      </c>
      <c r="C1167" s="21">
        <v>19695700</v>
      </c>
      <c r="D1167" s="23">
        <f t="shared" si="41"/>
        <v>1.4371397769148182E-2</v>
      </c>
      <c r="E1167" s="47">
        <v>2995.679932</v>
      </c>
      <c r="F1167" s="48">
        <v>3340740000</v>
      </c>
      <c r="G1167" s="20">
        <f t="shared" si="42"/>
        <v>9.9064456123445291E-3</v>
      </c>
      <c r="H1167" s="22">
        <v>1</v>
      </c>
      <c r="I1167" s="16"/>
    </row>
    <row r="1168" spans="1:9">
      <c r="A1168" s="19">
        <v>43754</v>
      </c>
      <c r="B1168" s="20">
        <v>139.552673</v>
      </c>
      <c r="C1168" s="21">
        <v>20751600</v>
      </c>
      <c r="D1168" s="23">
        <f t="shared" si="41"/>
        <v>-8.2276287783917112E-3</v>
      </c>
      <c r="E1168" s="47">
        <v>2989.6899410000001</v>
      </c>
      <c r="F1168" s="48">
        <v>3222570000</v>
      </c>
      <c r="G1168" s="20">
        <f t="shared" si="42"/>
        <v>-2.0015448090417308E-3</v>
      </c>
      <c r="H1168" s="22">
        <v>1</v>
      </c>
      <c r="I1168" s="16"/>
    </row>
    <row r="1169" spans="1:9">
      <c r="A1169" s="19">
        <v>43755</v>
      </c>
      <c r="B1169" s="20">
        <v>138.83706699999999</v>
      </c>
      <c r="C1169" s="21">
        <v>21460600</v>
      </c>
      <c r="D1169" s="23">
        <f t="shared" si="41"/>
        <v>-5.1410484893887323E-3</v>
      </c>
      <c r="E1169" s="47">
        <v>2997.9499510000001</v>
      </c>
      <c r="F1169" s="48">
        <v>3115960000</v>
      </c>
      <c r="G1169" s="20">
        <f t="shared" si="42"/>
        <v>2.7590220483281382E-3</v>
      </c>
      <c r="H1169" s="22">
        <v>1</v>
      </c>
      <c r="I1169" s="16"/>
    </row>
    <row r="1170" spans="1:9">
      <c r="A1170" s="19">
        <v>43756</v>
      </c>
      <c r="B1170" s="20">
        <v>136.57098400000001</v>
      </c>
      <c r="C1170" s="21">
        <v>32273500</v>
      </c>
      <c r="D1170" s="23">
        <f t="shared" si="41"/>
        <v>-1.645655697377179E-2</v>
      </c>
      <c r="E1170" s="47">
        <v>2986.1999510000001</v>
      </c>
      <c r="F1170" s="48">
        <v>3264290000</v>
      </c>
      <c r="G1170" s="20">
        <f t="shared" si="42"/>
        <v>-3.927045710025329E-3</v>
      </c>
      <c r="H1170" s="22">
        <v>1</v>
      </c>
      <c r="I1170" s="16"/>
    </row>
    <row r="1171" spans="1:9">
      <c r="A1171" s="19">
        <v>43759</v>
      </c>
      <c r="B1171" s="20">
        <v>137.58474699999999</v>
      </c>
      <c r="C1171" s="21">
        <v>20078200</v>
      </c>
      <c r="D1171" s="23">
        <f t="shared" si="41"/>
        <v>7.3955603035338159E-3</v>
      </c>
      <c r="E1171" s="47">
        <v>3006.719971</v>
      </c>
      <c r="F1171" s="48">
        <v>3271620000</v>
      </c>
      <c r="G1171" s="20">
        <f t="shared" si="42"/>
        <v>6.8481142616272101E-3</v>
      </c>
      <c r="H1171" s="22">
        <v>1</v>
      </c>
      <c r="I1171" s="16"/>
    </row>
    <row r="1172" spans="1:9">
      <c r="A1172" s="19">
        <v>43760</v>
      </c>
      <c r="B1172" s="20">
        <v>135.53733800000001</v>
      </c>
      <c r="C1172" s="21">
        <v>27431000</v>
      </c>
      <c r="D1172" s="23">
        <f t="shared" si="41"/>
        <v>-1.4992909507781323E-2</v>
      </c>
      <c r="E1172" s="47">
        <v>2995.98999</v>
      </c>
      <c r="F1172" s="48">
        <v>3523890000</v>
      </c>
      <c r="G1172" s="20">
        <f t="shared" si="42"/>
        <v>-3.5750494353435419E-3</v>
      </c>
      <c r="H1172" s="22">
        <v>1</v>
      </c>
      <c r="I1172" s="16"/>
    </row>
    <row r="1173" spans="1:9">
      <c r="A1173" s="19">
        <v>43761</v>
      </c>
      <c r="B1173" s="20">
        <v>136.402039</v>
      </c>
      <c r="C1173" s="21">
        <v>29844600</v>
      </c>
      <c r="D1173" s="23">
        <f t="shared" si="41"/>
        <v>6.3595344215664953E-3</v>
      </c>
      <c r="E1173" s="47">
        <v>3004.5200199999999</v>
      </c>
      <c r="F1173" s="48">
        <v>3392870000</v>
      </c>
      <c r="G1173" s="20">
        <f t="shared" si="42"/>
        <v>2.843103580075224E-3</v>
      </c>
      <c r="H1173" s="22">
        <v>1</v>
      </c>
      <c r="I1173" s="16"/>
    </row>
    <row r="1174" spans="1:9">
      <c r="A1174" s="19">
        <v>43762</v>
      </c>
      <c r="B1174" s="20">
        <v>139.085556</v>
      </c>
      <c r="C1174" s="21">
        <v>37029300</v>
      </c>
      <c r="D1174" s="23">
        <f t="shared" si="41"/>
        <v>1.9482560595001766E-2</v>
      </c>
      <c r="E1174" s="47">
        <v>3010.290039</v>
      </c>
      <c r="F1174" s="48">
        <v>3692600000</v>
      </c>
      <c r="G1174" s="20">
        <f t="shared" si="42"/>
        <v>1.9186044823943E-3</v>
      </c>
      <c r="H1174" s="22">
        <v>1</v>
      </c>
      <c r="I1174" s="16"/>
    </row>
    <row r="1175" spans="1:9">
      <c r="A1175" s="19">
        <v>43763</v>
      </c>
      <c r="B1175" s="20">
        <v>139.870712</v>
      </c>
      <c r="C1175" s="21">
        <v>25959700</v>
      </c>
      <c r="D1175" s="23">
        <f t="shared" si="41"/>
        <v>5.6292556463950795E-3</v>
      </c>
      <c r="E1175" s="47">
        <v>3022.5500489999999</v>
      </c>
      <c r="F1175" s="48">
        <v>3370370000</v>
      </c>
      <c r="G1175" s="20">
        <f t="shared" si="42"/>
        <v>4.0644295882822203E-3</v>
      </c>
      <c r="H1175" s="22">
        <v>1</v>
      </c>
      <c r="I1175" s="16"/>
    </row>
    <row r="1176" spans="1:9">
      <c r="A1176" s="19">
        <v>43766</v>
      </c>
      <c r="B1176" s="20">
        <v>143.30960099999999</v>
      </c>
      <c r="C1176" s="21">
        <v>35280100</v>
      </c>
      <c r="D1176" s="23">
        <f t="shared" si="41"/>
        <v>2.4288821672556096E-2</v>
      </c>
      <c r="E1176" s="47">
        <v>3039.419922</v>
      </c>
      <c r="F1176" s="48">
        <v>3521230000</v>
      </c>
      <c r="G1176" s="20">
        <f t="shared" si="42"/>
        <v>5.5658199003797548E-3</v>
      </c>
      <c r="H1176" s="22">
        <v>1</v>
      </c>
      <c r="I1176" s="16"/>
    </row>
    <row r="1177" spans="1:9">
      <c r="A1177" s="19">
        <v>43767</v>
      </c>
      <c r="B1177" s="20">
        <v>141.95790099999999</v>
      </c>
      <c r="C1177" s="21">
        <v>20589500</v>
      </c>
      <c r="D1177" s="23">
        <f t="shared" si="41"/>
        <v>-9.4767900781229687E-3</v>
      </c>
      <c r="E1177" s="47">
        <v>3036.889893</v>
      </c>
      <c r="F1177" s="48">
        <v>3589930000</v>
      </c>
      <c r="G1177" s="20">
        <f t="shared" si="42"/>
        <v>-8.3275185869019096E-4</v>
      </c>
      <c r="H1177" s="22">
        <v>1</v>
      </c>
      <c r="I1177" s="16"/>
    </row>
    <row r="1178" spans="1:9">
      <c r="A1178" s="19">
        <v>43768</v>
      </c>
      <c r="B1178" s="20">
        <v>143.727036</v>
      </c>
      <c r="C1178" s="21">
        <v>18496600</v>
      </c>
      <c r="D1178" s="23">
        <f t="shared" si="41"/>
        <v>1.2385375537108192E-2</v>
      </c>
      <c r="E1178" s="47">
        <v>3046.7700199999999</v>
      </c>
      <c r="F1178" s="48">
        <v>3776030000</v>
      </c>
      <c r="G1178" s="20">
        <f t="shared" si="42"/>
        <v>3.2480894157918484E-3</v>
      </c>
      <c r="H1178" s="22">
        <v>1</v>
      </c>
      <c r="I1178" s="16"/>
    </row>
    <row r="1179" spans="1:9">
      <c r="A1179" s="19">
        <v>43769</v>
      </c>
      <c r="B1179" s="20">
        <v>142.49458300000001</v>
      </c>
      <c r="C1179" s="21">
        <v>24605100</v>
      </c>
      <c r="D1179" s="23">
        <f t="shared" si="41"/>
        <v>-8.6119323998556981E-3</v>
      </c>
      <c r="E1179" s="47">
        <v>3037.5600589999999</v>
      </c>
      <c r="F1179" s="48">
        <v>4139280000</v>
      </c>
      <c r="G1179" s="20">
        <f t="shared" si="42"/>
        <v>-3.0274386546482847E-3</v>
      </c>
      <c r="H1179" s="22">
        <v>1</v>
      </c>
      <c r="I1179" s="16"/>
    </row>
    <row r="1180" spans="1:9">
      <c r="A1180" s="19">
        <v>43770</v>
      </c>
      <c r="B1180" s="20">
        <v>142.842468</v>
      </c>
      <c r="C1180" s="21">
        <v>33128400</v>
      </c>
      <c r="D1180" s="23">
        <f t="shared" si="41"/>
        <v>2.438415699286595E-3</v>
      </c>
      <c r="E1180" s="47">
        <v>3066.9099120000001</v>
      </c>
      <c r="F1180" s="48">
        <v>3930200000</v>
      </c>
      <c r="G1180" s="20">
        <f t="shared" si="42"/>
        <v>9.6159303902425119E-3</v>
      </c>
      <c r="H1180" s="22">
        <v>1</v>
      </c>
      <c r="I1180" s="16"/>
    </row>
    <row r="1181" spans="1:9">
      <c r="A1181" s="19">
        <v>43773</v>
      </c>
      <c r="B1181" s="20">
        <v>143.667404</v>
      </c>
      <c r="C1181" s="21">
        <v>16912000</v>
      </c>
      <c r="D1181" s="23">
        <f t="shared" si="41"/>
        <v>5.7585330226960357E-3</v>
      </c>
      <c r="E1181" s="47">
        <v>3078.2700199999999</v>
      </c>
      <c r="F1181" s="48">
        <v>4146850000</v>
      </c>
      <c r="G1181" s="20">
        <f t="shared" si="42"/>
        <v>3.6972459932524981E-3</v>
      </c>
      <c r="H1181" s="22">
        <v>1</v>
      </c>
      <c r="I1181" s="16"/>
    </row>
    <row r="1182" spans="1:9">
      <c r="A1182" s="19">
        <v>43774</v>
      </c>
      <c r="B1182" s="20">
        <v>143.577957</v>
      </c>
      <c r="C1182" s="21">
        <v>18250200</v>
      </c>
      <c r="D1182" s="23">
        <f t="shared" si="41"/>
        <v>-6.2279162719817277E-4</v>
      </c>
      <c r="E1182" s="47">
        <v>3074.6201169999999</v>
      </c>
      <c r="F1182" s="48">
        <v>4486130000</v>
      </c>
      <c r="G1182" s="20">
        <f t="shared" si="42"/>
        <v>-1.1864029250808047E-3</v>
      </c>
      <c r="H1182" s="22">
        <v>1</v>
      </c>
      <c r="I1182" s="16"/>
    </row>
    <row r="1183" spans="1:9">
      <c r="A1183" s="19">
        <v>43775</v>
      </c>
      <c r="B1183" s="20">
        <v>143.180374</v>
      </c>
      <c r="C1183" s="21">
        <v>16575800</v>
      </c>
      <c r="D1183" s="23">
        <f t="shared" si="41"/>
        <v>-2.772949984561103E-3</v>
      </c>
      <c r="E1183" s="47">
        <v>3076.780029</v>
      </c>
      <c r="F1183" s="48">
        <v>4458190000</v>
      </c>
      <c r="G1183" s="20">
        <f t="shared" si="42"/>
        <v>7.02250556783877E-4</v>
      </c>
      <c r="H1183" s="22">
        <v>1</v>
      </c>
      <c r="I1183" s="16"/>
    </row>
    <row r="1184" spans="1:9">
      <c r="A1184" s="19">
        <v>43776</v>
      </c>
      <c r="B1184" s="20">
        <v>143.37915000000001</v>
      </c>
      <c r="C1184" s="21">
        <v>17786700</v>
      </c>
      <c r="D1184" s="23">
        <f t="shared" si="41"/>
        <v>1.3873280434516886E-3</v>
      </c>
      <c r="E1184" s="47">
        <v>3085.179932</v>
      </c>
      <c r="F1184" s="48">
        <v>4144640000</v>
      </c>
      <c r="G1184" s="20">
        <f t="shared" si="42"/>
        <v>2.7263754572537358E-3</v>
      </c>
      <c r="H1184" s="22">
        <v>1</v>
      </c>
      <c r="I1184" s="16"/>
    </row>
    <row r="1185" spans="1:9">
      <c r="A1185" s="19">
        <v>43777</v>
      </c>
      <c r="B1185" s="20">
        <v>145.06878699999999</v>
      </c>
      <c r="C1185" s="21">
        <v>16732700</v>
      </c>
      <c r="D1185" s="23">
        <f t="shared" si="41"/>
        <v>1.1715502930448258E-2</v>
      </c>
      <c r="E1185" s="47">
        <v>3093.080078</v>
      </c>
      <c r="F1185" s="48">
        <v>3499150000</v>
      </c>
      <c r="G1185" s="20">
        <f t="shared" si="42"/>
        <v>2.5574029882187502E-3</v>
      </c>
      <c r="H1185" s="22">
        <v>1</v>
      </c>
      <c r="I1185" s="16"/>
    </row>
    <row r="1186" spans="1:9">
      <c r="A1186" s="19">
        <v>43780</v>
      </c>
      <c r="B1186" s="20">
        <v>145.21786499999999</v>
      </c>
      <c r="C1186" s="21">
        <v>14362600</v>
      </c>
      <c r="D1186" s="23">
        <f t="shared" si="41"/>
        <v>1.0271089771352639E-3</v>
      </c>
      <c r="E1186" s="47">
        <v>3087.01001</v>
      </c>
      <c r="F1186" s="48">
        <v>3035530000</v>
      </c>
      <c r="G1186" s="20">
        <f t="shared" si="42"/>
        <v>-1.9643952970014303E-3</v>
      </c>
      <c r="H1186" s="22">
        <v>1</v>
      </c>
      <c r="I1186" s="16"/>
    </row>
    <row r="1187" spans="1:9">
      <c r="A1187" s="19">
        <v>43781</v>
      </c>
      <c r="B1187" s="20">
        <v>146.172012</v>
      </c>
      <c r="C1187" s="21">
        <v>18641600</v>
      </c>
      <c r="D1187" s="23">
        <f t="shared" si="41"/>
        <v>6.548960588560848E-3</v>
      </c>
      <c r="E1187" s="47">
        <v>3091.8400879999999</v>
      </c>
      <c r="F1187" s="48">
        <v>3466010000</v>
      </c>
      <c r="G1187" s="20">
        <f t="shared" si="42"/>
        <v>1.5634232607154054E-3</v>
      </c>
      <c r="H1187" s="22">
        <v>1</v>
      </c>
      <c r="I1187" s="16"/>
    </row>
    <row r="1188" spans="1:9">
      <c r="A1188" s="19">
        <v>43782</v>
      </c>
      <c r="B1188" s="20">
        <v>146.410538</v>
      </c>
      <c r="C1188" s="21">
        <v>16919200</v>
      </c>
      <c r="D1188" s="23">
        <f t="shared" si="41"/>
        <v>1.630487210144381E-3</v>
      </c>
      <c r="E1188" s="47">
        <v>3094.040039</v>
      </c>
      <c r="F1188" s="48">
        <v>3509280000</v>
      </c>
      <c r="G1188" s="20">
        <f t="shared" si="42"/>
        <v>7.1128151454077123E-4</v>
      </c>
      <c r="H1188" s="22">
        <v>1</v>
      </c>
      <c r="I1188" s="16"/>
    </row>
    <row r="1189" spans="1:9">
      <c r="A1189" s="19">
        <v>43783</v>
      </c>
      <c r="B1189" s="20">
        <v>147.15595999999999</v>
      </c>
      <c r="C1189" s="21">
        <v>19729800</v>
      </c>
      <c r="D1189" s="23">
        <f t="shared" si="41"/>
        <v>5.0783969364418188E-3</v>
      </c>
      <c r="E1189" s="47">
        <v>3096.6298830000001</v>
      </c>
      <c r="F1189" s="48">
        <v>3276070000</v>
      </c>
      <c r="G1189" s="20">
        <f t="shared" si="42"/>
        <v>8.3669269520652125E-4</v>
      </c>
      <c r="H1189" s="22">
        <v>1</v>
      </c>
      <c r="I1189" s="16"/>
    </row>
    <row r="1190" spans="1:9">
      <c r="A1190" s="19">
        <v>43784</v>
      </c>
      <c r="B1190" s="20">
        <v>149.054306</v>
      </c>
      <c r="C1190" s="21">
        <v>23485700</v>
      </c>
      <c r="D1190" s="23">
        <f t="shared" si="41"/>
        <v>1.2817732593662708E-2</v>
      </c>
      <c r="E1190" s="47">
        <v>3120.459961</v>
      </c>
      <c r="F1190" s="48">
        <v>3335650000</v>
      </c>
      <c r="G1190" s="20">
        <f t="shared" si="42"/>
        <v>7.6660287374525583E-3</v>
      </c>
      <c r="H1190" s="22">
        <v>1</v>
      </c>
      <c r="I1190" s="16"/>
    </row>
    <row r="1191" spans="1:9">
      <c r="A1191" s="19">
        <v>43787</v>
      </c>
      <c r="B1191" s="20">
        <v>149.422043</v>
      </c>
      <c r="C1191" s="21">
        <v>21534000</v>
      </c>
      <c r="D1191" s="23">
        <f t="shared" si="41"/>
        <v>2.4640959814730651E-3</v>
      </c>
      <c r="E1191" s="47">
        <v>3122.030029</v>
      </c>
      <c r="F1191" s="48">
        <v>3436690000</v>
      </c>
      <c r="G1191" s="20">
        <f t="shared" si="42"/>
        <v>5.0302620769013609E-4</v>
      </c>
      <c r="H1191" s="22">
        <v>1</v>
      </c>
      <c r="I1191" s="16"/>
    </row>
    <row r="1192" spans="1:9">
      <c r="A1192" s="19">
        <v>43788</v>
      </c>
      <c r="B1192" s="20">
        <v>149.47172499999999</v>
      </c>
      <c r="C1192" s="21">
        <v>23935700</v>
      </c>
      <c r="D1192" s="23">
        <f t="shared" si="41"/>
        <v>3.3243918593543536E-4</v>
      </c>
      <c r="E1192" s="47">
        <v>3120.179932</v>
      </c>
      <c r="F1192" s="48">
        <v>3590070000</v>
      </c>
      <c r="G1192" s="20">
        <f t="shared" si="42"/>
        <v>-5.9276988942457527E-4</v>
      </c>
      <c r="H1192" s="22">
        <v>1</v>
      </c>
      <c r="I1192" s="16"/>
    </row>
    <row r="1193" spans="1:9">
      <c r="A1193" s="19">
        <v>43789</v>
      </c>
      <c r="B1193" s="20">
        <v>149.212433</v>
      </c>
      <c r="C1193" s="21">
        <v>25696800</v>
      </c>
      <c r="D1193" s="23">
        <f t="shared" si="41"/>
        <v>-1.736229111529297E-3</v>
      </c>
      <c r="E1193" s="47">
        <v>3108.459961</v>
      </c>
      <c r="F1193" s="48">
        <v>4034890000</v>
      </c>
      <c r="G1193" s="20">
        <f t="shared" si="42"/>
        <v>-3.763256516012298E-3</v>
      </c>
      <c r="H1193" s="22">
        <v>1</v>
      </c>
      <c r="I1193" s="16"/>
    </row>
    <row r="1194" spans="1:9">
      <c r="A1194" s="19">
        <v>43790</v>
      </c>
      <c r="B1194" s="20">
        <v>149.07281499999999</v>
      </c>
      <c r="C1194" s="21">
        <v>18576100</v>
      </c>
      <c r="D1194" s="23">
        <f t="shared" si="41"/>
        <v>-9.361375470787165E-4</v>
      </c>
      <c r="E1194" s="47">
        <v>3103.540039</v>
      </c>
      <c r="F1194" s="48">
        <v>3720560000</v>
      </c>
      <c r="G1194" s="20">
        <f t="shared" si="42"/>
        <v>-1.5840061264341748E-3</v>
      </c>
      <c r="H1194" s="22">
        <v>1</v>
      </c>
      <c r="I1194" s="16"/>
    </row>
    <row r="1195" spans="1:9">
      <c r="A1195" s="19">
        <v>43791</v>
      </c>
      <c r="B1195" s="20">
        <v>149.182526</v>
      </c>
      <c r="C1195" s="21">
        <v>15901800</v>
      </c>
      <c r="D1195" s="23">
        <f t="shared" si="41"/>
        <v>7.3568509841542807E-4</v>
      </c>
      <c r="E1195" s="47">
        <v>3110.290039</v>
      </c>
      <c r="F1195" s="48">
        <v>3226780000</v>
      </c>
      <c r="G1195" s="20">
        <f t="shared" si="42"/>
        <v>2.1725739424198064E-3</v>
      </c>
      <c r="H1195" s="22">
        <v>1</v>
      </c>
      <c r="I1195" s="16"/>
    </row>
    <row r="1196" spans="1:9">
      <c r="A1196" s="19">
        <v>43794</v>
      </c>
      <c r="B1196" s="20">
        <v>150.81805399999999</v>
      </c>
      <c r="C1196" s="21">
        <v>22420900</v>
      </c>
      <c r="D1196" s="23">
        <f t="shared" si="41"/>
        <v>1.0903606944871795E-2</v>
      </c>
      <c r="E1196" s="47">
        <v>3133.639893</v>
      </c>
      <c r="F1196" s="48">
        <v>3511530000</v>
      </c>
      <c r="G1196" s="20">
        <f t="shared" si="42"/>
        <v>7.479252042189413E-3</v>
      </c>
      <c r="H1196" s="22">
        <v>1</v>
      </c>
      <c r="I1196" s="16"/>
    </row>
    <row r="1197" spans="1:9">
      <c r="A1197" s="19">
        <v>43795</v>
      </c>
      <c r="B1197" s="20">
        <v>151.61587499999999</v>
      </c>
      <c r="C1197" s="21">
        <v>24620100</v>
      </c>
      <c r="D1197" s="23">
        <f t="shared" si="41"/>
        <v>5.2760141915134283E-3</v>
      </c>
      <c r="E1197" s="47">
        <v>3140.5200199999999</v>
      </c>
      <c r="F1197" s="48">
        <v>4595590000</v>
      </c>
      <c r="G1197" s="20">
        <f t="shared" si="42"/>
        <v>2.1931636595712636E-3</v>
      </c>
      <c r="H1197" s="22">
        <v>1</v>
      </c>
      <c r="I1197" s="16"/>
    </row>
    <row r="1198" spans="1:9">
      <c r="A1198" s="19">
        <v>43796</v>
      </c>
      <c r="B1198" s="20">
        <v>151.90509</v>
      </c>
      <c r="C1198" s="21">
        <v>15184400</v>
      </c>
      <c r="D1198" s="23">
        <f t="shared" si="41"/>
        <v>1.905733843007715E-3</v>
      </c>
      <c r="E1198" s="47">
        <v>3153.6298830000001</v>
      </c>
      <c r="F1198" s="48">
        <v>3033090000</v>
      </c>
      <c r="G1198" s="20">
        <f t="shared" si="42"/>
        <v>4.1657355354963125E-3</v>
      </c>
      <c r="H1198" s="22">
        <v>1</v>
      </c>
      <c r="I1198" s="16"/>
    </row>
    <row r="1199" spans="1:9">
      <c r="A1199" s="19">
        <v>43798</v>
      </c>
      <c r="B1199" s="20">
        <v>150.96765099999999</v>
      </c>
      <c r="C1199" s="21">
        <v>11977300</v>
      </c>
      <c r="D1199" s="23">
        <f t="shared" si="41"/>
        <v>-6.1903358518056034E-3</v>
      </c>
      <c r="E1199" s="47">
        <v>3140.9799800000001</v>
      </c>
      <c r="F1199" s="48">
        <v>1743020000</v>
      </c>
      <c r="G1199" s="20">
        <f t="shared" si="42"/>
        <v>-4.0192864386812297E-3</v>
      </c>
      <c r="H1199" s="22">
        <v>1</v>
      </c>
      <c r="I1199" s="16"/>
    </row>
    <row r="1200" spans="1:9">
      <c r="A1200" s="19">
        <v>43801</v>
      </c>
      <c r="B1200" s="20">
        <v>149.142639</v>
      </c>
      <c r="C1200" s="21">
        <v>27418400</v>
      </c>
      <c r="D1200" s="23">
        <f t="shared" si="41"/>
        <v>-1.2162425333414374E-2</v>
      </c>
      <c r="E1200" s="47">
        <v>3113.8701169999999</v>
      </c>
      <c r="F1200" s="48">
        <v>3268740000</v>
      </c>
      <c r="G1200" s="20">
        <f t="shared" si="42"/>
        <v>-8.6684836049412909E-3</v>
      </c>
      <c r="H1200" s="22">
        <v>1</v>
      </c>
      <c r="I1200" s="16"/>
    </row>
    <row r="1201" spans="1:9">
      <c r="A1201" s="19">
        <v>43802</v>
      </c>
      <c r="B1201" s="20">
        <v>148.90329</v>
      </c>
      <c r="C1201" s="21">
        <v>24066000</v>
      </c>
      <c r="D1201" s="23">
        <f t="shared" si="41"/>
        <v>-1.6061219306411558E-3</v>
      </c>
      <c r="E1201" s="47">
        <v>3093.1999510000001</v>
      </c>
      <c r="F1201" s="48">
        <v>3653390000</v>
      </c>
      <c r="G1201" s="20">
        <f t="shared" si="42"/>
        <v>-6.6602252533960928E-3</v>
      </c>
      <c r="H1201" s="22">
        <v>1</v>
      </c>
      <c r="I1201" s="16"/>
    </row>
    <row r="1202" spans="1:9">
      <c r="A1202" s="19">
        <v>43803</v>
      </c>
      <c r="B1202" s="20">
        <v>149.44181800000001</v>
      </c>
      <c r="C1202" s="21">
        <v>17574700</v>
      </c>
      <c r="D1202" s="23">
        <f t="shared" si="41"/>
        <v>3.6101050122116563E-3</v>
      </c>
      <c r="E1202" s="47">
        <v>3112.76001</v>
      </c>
      <c r="F1202" s="48">
        <v>3695030000</v>
      </c>
      <c r="G1202" s="20">
        <f t="shared" si="42"/>
        <v>6.3036577396302605E-3</v>
      </c>
      <c r="H1202" s="22">
        <v>1</v>
      </c>
      <c r="I1202" s="16"/>
    </row>
    <row r="1203" spans="1:9">
      <c r="A1203" s="19">
        <v>43804</v>
      </c>
      <c r="B1203" s="20">
        <v>149.521591</v>
      </c>
      <c r="C1203" s="21">
        <v>17869100</v>
      </c>
      <c r="D1203" s="23">
        <f t="shared" si="41"/>
        <v>5.3366398356303633E-4</v>
      </c>
      <c r="E1203" s="47">
        <v>3117.429932</v>
      </c>
      <c r="F1203" s="48">
        <v>3355750000</v>
      </c>
      <c r="G1203" s="20">
        <f t="shared" si="42"/>
        <v>1.4991269666144746E-3</v>
      </c>
      <c r="H1203" s="22">
        <v>1</v>
      </c>
      <c r="I1203" s="16"/>
    </row>
    <row r="1204" spans="1:9">
      <c r="A1204" s="19">
        <v>43805</v>
      </c>
      <c r="B1204" s="20">
        <v>151.33663899999999</v>
      </c>
      <c r="C1204" s="21">
        <v>16403500</v>
      </c>
      <c r="D1204" s="23">
        <f t="shared" si="41"/>
        <v>1.2065948939348536E-2</v>
      </c>
      <c r="E1204" s="47">
        <v>3145.9099120000001</v>
      </c>
      <c r="F1204" s="48">
        <v>3479480000</v>
      </c>
      <c r="G1204" s="20">
        <f t="shared" si="42"/>
        <v>9.0942458803792529E-3</v>
      </c>
      <c r="H1204" s="22">
        <v>1</v>
      </c>
      <c r="I1204" s="16"/>
    </row>
    <row r="1205" spans="1:9">
      <c r="A1205" s="19">
        <v>43808</v>
      </c>
      <c r="B1205" s="20">
        <v>150.94770800000001</v>
      </c>
      <c r="C1205" s="21">
        <v>16687400</v>
      </c>
      <c r="D1205" s="23">
        <f t="shared" si="41"/>
        <v>-2.5732805451397288E-3</v>
      </c>
      <c r="E1205" s="47">
        <v>3135.959961</v>
      </c>
      <c r="F1205" s="48">
        <v>3345990000</v>
      </c>
      <c r="G1205" s="20">
        <f t="shared" si="42"/>
        <v>-3.1678336297769859E-3</v>
      </c>
      <c r="H1205" s="22">
        <v>1</v>
      </c>
      <c r="I1205" s="16"/>
    </row>
    <row r="1206" spans="1:9">
      <c r="A1206" s="19">
        <v>43809</v>
      </c>
      <c r="B1206" s="20">
        <v>150.71833799999999</v>
      </c>
      <c r="C1206" s="21">
        <v>16476100</v>
      </c>
      <c r="D1206" s="23">
        <f t="shared" si="41"/>
        <v>-1.5206885046745193E-3</v>
      </c>
      <c r="E1206" s="47">
        <v>3132.5200199999999</v>
      </c>
      <c r="F1206" s="48">
        <v>3343790000</v>
      </c>
      <c r="G1206" s="20">
        <f t="shared" si="42"/>
        <v>-1.0975360392743783E-3</v>
      </c>
      <c r="H1206" s="22">
        <v>1</v>
      </c>
      <c r="I1206" s="16"/>
    </row>
    <row r="1207" spans="1:9">
      <c r="A1207" s="19">
        <v>43810</v>
      </c>
      <c r="B1207" s="20">
        <v>151.28677400000001</v>
      </c>
      <c r="C1207" s="21">
        <v>18856600</v>
      </c>
      <c r="D1207" s="23">
        <f t="shared" si="41"/>
        <v>3.7644175458049255E-3</v>
      </c>
      <c r="E1207" s="47">
        <v>3141.6298830000001</v>
      </c>
      <c r="F1207" s="48">
        <v>3252540000</v>
      </c>
      <c r="G1207" s="20">
        <f t="shared" si="42"/>
        <v>2.9039374393932159E-3</v>
      </c>
      <c r="H1207" s="22">
        <v>1</v>
      </c>
      <c r="I1207" s="16"/>
    </row>
    <row r="1208" spans="1:9">
      <c r="A1208" s="19">
        <v>43811</v>
      </c>
      <c r="B1208" s="20">
        <v>152.822586</v>
      </c>
      <c r="C1208" s="21">
        <v>24612100</v>
      </c>
      <c r="D1208" s="23">
        <f t="shared" si="41"/>
        <v>1.0100478702117228E-2</v>
      </c>
      <c r="E1208" s="47">
        <v>3168.570068</v>
      </c>
      <c r="F1208" s="48">
        <v>3990690000</v>
      </c>
      <c r="G1208" s="20">
        <f t="shared" si="42"/>
        <v>8.5386672024539822E-3</v>
      </c>
      <c r="H1208" s="22">
        <v>1</v>
      </c>
      <c r="I1208" s="16"/>
    </row>
    <row r="1209" spans="1:9">
      <c r="A1209" s="19">
        <v>43812</v>
      </c>
      <c r="B1209" s="20">
        <v>154.10907</v>
      </c>
      <c r="C1209" s="21">
        <v>23845400</v>
      </c>
      <c r="D1209" s="23">
        <f t="shared" si="41"/>
        <v>8.3829185333905345E-3</v>
      </c>
      <c r="E1209" s="47">
        <v>3168.8000489999999</v>
      </c>
      <c r="F1209" s="48">
        <v>3736870000</v>
      </c>
      <c r="G1209" s="20">
        <f t="shared" si="42"/>
        <v>7.2579317873283479E-5</v>
      </c>
      <c r="H1209" s="22">
        <v>1</v>
      </c>
      <c r="I1209" s="16"/>
    </row>
    <row r="1210" spans="1:9">
      <c r="A1210" s="19">
        <v>43815</v>
      </c>
      <c r="B1210" s="20">
        <v>155.10633899999999</v>
      </c>
      <c r="C1210" s="21">
        <v>24144200</v>
      </c>
      <c r="D1210" s="23">
        <f t="shared" si="41"/>
        <v>6.450341275007012E-3</v>
      </c>
      <c r="E1210" s="47">
        <v>3191.4499510000001</v>
      </c>
      <c r="F1210" s="48">
        <v>4051790000</v>
      </c>
      <c r="G1210" s="20">
        <f t="shared" si="42"/>
        <v>7.122360834448286E-3</v>
      </c>
      <c r="H1210" s="22">
        <v>1</v>
      </c>
      <c r="I1210" s="16"/>
    </row>
    <row r="1211" spans="1:9">
      <c r="A1211" s="19">
        <v>43816</v>
      </c>
      <c r="B1211" s="20">
        <v>154.268631</v>
      </c>
      <c r="C1211" s="21">
        <v>25425600</v>
      </c>
      <c r="D1211" s="23">
        <f t="shared" si="41"/>
        <v>-5.415499821023578E-3</v>
      </c>
      <c r="E1211" s="47">
        <v>3192.5200199999999</v>
      </c>
      <c r="F1211" s="48">
        <v>3837540000</v>
      </c>
      <c r="G1211" s="20">
        <f t="shared" si="42"/>
        <v>3.3523622914350006E-4</v>
      </c>
      <c r="H1211" s="22">
        <v>1</v>
      </c>
      <c r="I1211" s="16"/>
    </row>
    <row r="1212" spans="1:9">
      <c r="A1212" s="19">
        <v>43817</v>
      </c>
      <c r="B1212" s="20">
        <v>153.94950900000001</v>
      </c>
      <c r="C1212" s="21">
        <v>24129200</v>
      </c>
      <c r="D1212" s="23">
        <f t="shared" si="41"/>
        <v>-2.0707549142539067E-3</v>
      </c>
      <c r="E1212" s="47">
        <v>3191.139893</v>
      </c>
      <c r="F1212" s="48">
        <v>4014080000</v>
      </c>
      <c r="G1212" s="20">
        <f t="shared" si="42"/>
        <v>-4.3239365514825985E-4</v>
      </c>
      <c r="H1212" s="22">
        <v>1</v>
      </c>
      <c r="I1212" s="16"/>
    </row>
    <row r="1213" spans="1:9">
      <c r="A1213" s="19">
        <v>43818</v>
      </c>
      <c r="B1213" s="20">
        <v>155.28585799999999</v>
      </c>
      <c r="C1213" s="21">
        <v>24958900</v>
      </c>
      <c r="D1213" s="23">
        <f t="shared" si="41"/>
        <v>8.6429785302158009E-3</v>
      </c>
      <c r="E1213" s="47">
        <v>3205.3701169999999</v>
      </c>
      <c r="F1213" s="48">
        <v>3720450000</v>
      </c>
      <c r="G1213" s="20">
        <f t="shared" si="42"/>
        <v>4.4493786311667416E-3</v>
      </c>
      <c r="H1213" s="22">
        <v>1</v>
      </c>
      <c r="I1213" s="16"/>
    </row>
    <row r="1214" spans="1:9">
      <c r="A1214" s="19">
        <v>43819</v>
      </c>
      <c r="B1214" s="20">
        <v>156.98123200000001</v>
      </c>
      <c r="C1214" s="21">
        <v>53477500</v>
      </c>
      <c r="D1214" s="23">
        <f t="shared" si="41"/>
        <v>1.0858593252942904E-2</v>
      </c>
      <c r="E1214" s="47">
        <v>3221.219971</v>
      </c>
      <c r="F1214" s="48">
        <v>6454270000</v>
      </c>
      <c r="G1214" s="20">
        <f t="shared" si="42"/>
        <v>4.9325959549920183E-3</v>
      </c>
      <c r="H1214" s="22">
        <v>1</v>
      </c>
      <c r="I1214" s="16"/>
    </row>
    <row r="1215" spans="1:9">
      <c r="A1215" s="19">
        <v>43822</v>
      </c>
      <c r="B1215" s="20">
        <v>156.98123200000001</v>
      </c>
      <c r="C1215" s="21">
        <v>17718200</v>
      </c>
      <c r="D1215" s="23">
        <f t="shared" si="41"/>
        <v>0</v>
      </c>
      <c r="E1215" s="47">
        <v>3224.01001</v>
      </c>
      <c r="F1215" s="48">
        <v>3060610000</v>
      </c>
      <c r="G1215" s="20">
        <f t="shared" si="42"/>
        <v>8.6576869483295522E-4</v>
      </c>
      <c r="H1215" s="22">
        <v>1</v>
      </c>
      <c r="I1215" s="16"/>
    </row>
    <row r="1216" spans="1:9">
      <c r="A1216" s="19">
        <v>43823</v>
      </c>
      <c r="B1216" s="20">
        <v>156.95130900000001</v>
      </c>
      <c r="C1216" s="21">
        <v>8989200</v>
      </c>
      <c r="D1216" s="23">
        <f t="shared" si="41"/>
        <v>-1.9063331246448623E-4</v>
      </c>
      <c r="E1216" s="47">
        <v>3223.3798830000001</v>
      </c>
      <c r="F1216" s="48">
        <v>1296540000</v>
      </c>
      <c r="G1216" s="20">
        <f t="shared" si="42"/>
        <v>-1.9546731699613876E-4</v>
      </c>
      <c r="H1216" s="22">
        <v>1</v>
      </c>
      <c r="I1216" s="16"/>
    </row>
    <row r="1217" spans="1:9">
      <c r="A1217" s="19">
        <v>43825</v>
      </c>
      <c r="B1217" s="20">
        <v>158.23779300000001</v>
      </c>
      <c r="C1217" s="21">
        <v>14520600</v>
      </c>
      <c r="D1217" s="23">
        <f t="shared" si="41"/>
        <v>8.163297119355083E-3</v>
      </c>
      <c r="E1217" s="47">
        <v>3239.9099120000001</v>
      </c>
      <c r="F1217" s="48">
        <v>2160680000</v>
      </c>
      <c r="G1217" s="20">
        <f t="shared" si="42"/>
        <v>5.1150623181264333E-3</v>
      </c>
      <c r="H1217" s="22">
        <v>1</v>
      </c>
      <c r="I1217" s="16"/>
    </row>
    <row r="1218" spans="1:9">
      <c r="A1218" s="19">
        <v>43826</v>
      </c>
      <c r="B1218" s="20">
        <v>158.527008</v>
      </c>
      <c r="C1218" s="21">
        <v>18412800</v>
      </c>
      <c r="D1218" s="23">
        <f t="shared" si="41"/>
        <v>1.8260556693930486E-3</v>
      </c>
      <c r="E1218" s="47">
        <v>3240.0200199999999</v>
      </c>
      <c r="F1218" s="48">
        <v>2428670000</v>
      </c>
      <c r="G1218" s="20">
        <f t="shared" si="42"/>
        <v>3.398431809157373E-5</v>
      </c>
      <c r="H1218" s="22">
        <v>1</v>
      </c>
      <c r="I1218" s="16"/>
    </row>
    <row r="1219" spans="1:9">
      <c r="A1219" s="19">
        <v>43829</v>
      </c>
      <c r="B1219" s="20">
        <v>157.16073600000001</v>
      </c>
      <c r="C1219" s="21">
        <v>16348400</v>
      </c>
      <c r="D1219" s="23">
        <f t="shared" ref="D1219:D1270" si="43">LN(B1219/B1218)</f>
        <v>-8.6558984729044851E-3</v>
      </c>
      <c r="E1219" s="47">
        <v>3221.290039</v>
      </c>
      <c r="F1219" s="48">
        <v>3013290000</v>
      </c>
      <c r="G1219" s="20">
        <f t="shared" ref="G1219:G1270" si="44">LN(E1219/E1218)</f>
        <v>-5.797596243427139E-3</v>
      </c>
      <c r="H1219" s="22">
        <v>1</v>
      </c>
      <c r="I1219" s="16"/>
    </row>
    <row r="1220" spans="1:9">
      <c r="A1220" s="19">
        <v>43830</v>
      </c>
      <c r="B1220" s="20">
        <v>157.270432</v>
      </c>
      <c r="C1220" s="21">
        <v>18369400</v>
      </c>
      <c r="D1220" s="23">
        <f t="shared" si="43"/>
        <v>6.9774256253380318E-4</v>
      </c>
      <c r="E1220" s="47">
        <v>3230.780029</v>
      </c>
      <c r="F1220" s="48">
        <v>2893810000</v>
      </c>
      <c r="G1220" s="20">
        <f t="shared" si="44"/>
        <v>2.9416905717033117E-3</v>
      </c>
      <c r="H1220" s="22">
        <v>1</v>
      </c>
      <c r="I1220" s="16"/>
    </row>
    <row r="1221" spans="1:9">
      <c r="A1221" s="19">
        <v>43832</v>
      </c>
      <c r="B1221" s="20">
        <v>160.18248</v>
      </c>
      <c r="C1221" s="21">
        <v>22622100</v>
      </c>
      <c r="D1221" s="23">
        <f t="shared" si="43"/>
        <v>1.8346844990473156E-2</v>
      </c>
      <c r="E1221" s="47">
        <v>3257.8500979999999</v>
      </c>
      <c r="F1221" s="48">
        <v>3458250000</v>
      </c>
      <c r="G1221" s="20">
        <f t="shared" si="44"/>
        <v>8.3438955597205794E-3</v>
      </c>
      <c r="H1221" s="22">
        <v>1</v>
      </c>
      <c r="I1221" s="16"/>
    </row>
    <row r="1222" spans="1:9">
      <c r="A1222" s="19">
        <v>43833</v>
      </c>
      <c r="B1222" s="20">
        <v>158.187927</v>
      </c>
      <c r="C1222" s="21">
        <v>21116200</v>
      </c>
      <c r="D1222" s="23">
        <f t="shared" si="43"/>
        <v>-1.2529927727749029E-2</v>
      </c>
      <c r="E1222" s="47">
        <v>3234.8500979999999</v>
      </c>
      <c r="F1222" s="48">
        <v>3461290000</v>
      </c>
      <c r="G1222" s="20">
        <f t="shared" si="44"/>
        <v>-7.0849093642042964E-3</v>
      </c>
      <c r="H1222" s="22">
        <v>1</v>
      </c>
      <c r="I1222" s="16"/>
    </row>
    <row r="1223" spans="1:9">
      <c r="A1223" s="19">
        <v>43836</v>
      </c>
      <c r="B1223" s="20">
        <v>158.59681699999999</v>
      </c>
      <c r="C1223" s="21">
        <v>20813700</v>
      </c>
      <c r="D1223" s="23">
        <f t="shared" si="43"/>
        <v>2.5815020124543373E-3</v>
      </c>
      <c r="E1223" s="47">
        <v>3246.280029</v>
      </c>
      <c r="F1223" s="48">
        <v>3674070000</v>
      </c>
      <c r="G1223" s="20">
        <f t="shared" si="44"/>
        <v>3.5271449965572142E-3</v>
      </c>
      <c r="H1223" s="22">
        <v>1</v>
      </c>
      <c r="I1223" s="16"/>
    </row>
    <row r="1224" spans="1:9">
      <c r="A1224" s="19">
        <v>43837</v>
      </c>
      <c r="B1224" s="20">
        <v>157.15077199999999</v>
      </c>
      <c r="C1224" s="21">
        <v>21634100</v>
      </c>
      <c r="D1224" s="23">
        <f t="shared" si="43"/>
        <v>-9.1595639069953546E-3</v>
      </c>
      <c r="E1224" s="47">
        <v>3237.179932</v>
      </c>
      <c r="F1224" s="48">
        <v>3420380000</v>
      </c>
      <c r="G1224" s="20">
        <f t="shared" si="44"/>
        <v>-2.8071748821291158E-3</v>
      </c>
      <c r="H1224" s="22">
        <v>1</v>
      </c>
      <c r="I1224" s="16"/>
    </row>
    <row r="1225" spans="1:9">
      <c r="A1225" s="19">
        <v>43838</v>
      </c>
      <c r="B1225" s="20">
        <v>159.65391500000001</v>
      </c>
      <c r="C1225" s="21">
        <v>27746500</v>
      </c>
      <c r="D1225" s="23">
        <f t="shared" si="43"/>
        <v>1.5802765517368859E-2</v>
      </c>
      <c r="E1225" s="47">
        <v>3253.0500489999999</v>
      </c>
      <c r="F1225" s="48">
        <v>3720890000</v>
      </c>
      <c r="G1225" s="20">
        <f t="shared" si="44"/>
        <v>4.8904734274613417E-3</v>
      </c>
      <c r="H1225" s="22">
        <v>1</v>
      </c>
      <c r="I1225" s="16"/>
    </row>
    <row r="1226" spans="1:9">
      <c r="A1226" s="19">
        <v>43839</v>
      </c>
      <c r="B1226" s="20">
        <v>161.64846800000001</v>
      </c>
      <c r="C1226" s="21">
        <v>21385000</v>
      </c>
      <c r="D1226" s="23">
        <f t="shared" si="43"/>
        <v>1.2415585607978811E-2</v>
      </c>
      <c r="E1226" s="47">
        <v>3274.6999510000001</v>
      </c>
      <c r="F1226" s="48">
        <v>3638390000</v>
      </c>
      <c r="G1226" s="20">
        <f t="shared" si="44"/>
        <v>6.6332140115857923E-3</v>
      </c>
      <c r="H1226" s="22">
        <v>1</v>
      </c>
      <c r="I1226" s="16"/>
    </row>
    <row r="1227" spans="1:9">
      <c r="A1227" s="19">
        <v>43840</v>
      </c>
      <c r="B1227" s="20">
        <v>160.90051299999999</v>
      </c>
      <c r="C1227" s="21">
        <v>20725900</v>
      </c>
      <c r="D1227" s="23">
        <f t="shared" si="43"/>
        <v>-4.6377845518562029E-3</v>
      </c>
      <c r="E1227" s="47">
        <v>3265.3500979999999</v>
      </c>
      <c r="F1227" s="48">
        <v>3212970000</v>
      </c>
      <c r="G1227" s="20">
        <f t="shared" si="44"/>
        <v>-2.8592623297471966E-3</v>
      </c>
      <c r="H1227" s="22">
        <v>1</v>
      </c>
      <c r="I1227" s="16"/>
    </row>
    <row r="1228" spans="1:9">
      <c r="A1228" s="19">
        <v>43843</v>
      </c>
      <c r="B1228" s="20">
        <v>162.83523600000001</v>
      </c>
      <c r="C1228" s="21">
        <v>21626500</v>
      </c>
      <c r="D1228" s="23">
        <f t="shared" si="43"/>
        <v>1.1952625186715126E-2</v>
      </c>
      <c r="E1228" s="47">
        <v>3288.1298830000001</v>
      </c>
      <c r="F1228" s="48">
        <v>3456380000</v>
      </c>
      <c r="G1228" s="20">
        <f t="shared" si="44"/>
        <v>6.9519939976844915E-3</v>
      </c>
      <c r="H1228" s="22">
        <v>1</v>
      </c>
      <c r="I1228" s="16"/>
    </row>
    <row r="1229" spans="1:9">
      <c r="A1229" s="19">
        <v>43844</v>
      </c>
      <c r="B1229" s="20">
        <v>161.68836999999999</v>
      </c>
      <c r="C1229" s="21">
        <v>23477400</v>
      </c>
      <c r="D1229" s="23">
        <f t="shared" si="43"/>
        <v>-7.0680268140189597E-3</v>
      </c>
      <c r="E1229" s="47">
        <v>3283.1499020000001</v>
      </c>
      <c r="F1229" s="48">
        <v>3665130000</v>
      </c>
      <c r="G1229" s="20">
        <f t="shared" si="44"/>
        <v>-1.5156809986203762E-3</v>
      </c>
      <c r="H1229" s="22">
        <v>1</v>
      </c>
      <c r="I1229" s="16"/>
    </row>
    <row r="1230" spans="1:9">
      <c r="A1230" s="19">
        <v>43845</v>
      </c>
      <c r="B1230" s="20">
        <v>162.73550399999999</v>
      </c>
      <c r="C1230" s="21">
        <v>21417900</v>
      </c>
      <c r="D1230" s="23">
        <f t="shared" si="43"/>
        <v>6.4553673156894781E-3</v>
      </c>
      <c r="E1230" s="47">
        <v>3289.290039</v>
      </c>
      <c r="F1230" s="48">
        <v>3716840000</v>
      </c>
      <c r="G1230" s="20">
        <f t="shared" si="44"/>
        <v>1.8684503293881162E-3</v>
      </c>
      <c r="H1230" s="22">
        <v>1</v>
      </c>
      <c r="I1230" s="16"/>
    </row>
    <row r="1231" spans="1:9">
      <c r="A1231" s="19">
        <v>43846</v>
      </c>
      <c r="B1231" s="20">
        <v>165.71736100000001</v>
      </c>
      <c r="C1231" s="21">
        <v>23865400</v>
      </c>
      <c r="D1231" s="23">
        <f t="shared" si="43"/>
        <v>1.8157484634160032E-2</v>
      </c>
      <c r="E1231" s="47">
        <v>3316.8100589999999</v>
      </c>
      <c r="F1231" s="48">
        <v>3535080000</v>
      </c>
      <c r="G1231" s="20">
        <f t="shared" si="44"/>
        <v>8.3317475637150612E-3</v>
      </c>
      <c r="H1231" s="22">
        <v>1</v>
      </c>
      <c r="I1231" s="16"/>
    </row>
    <row r="1232" spans="1:9">
      <c r="A1232" s="19">
        <v>43847</v>
      </c>
      <c r="B1232" s="20">
        <v>166.644836</v>
      </c>
      <c r="C1232" s="21">
        <v>34371700</v>
      </c>
      <c r="D1232" s="23">
        <f t="shared" si="43"/>
        <v>5.5811245434041392E-3</v>
      </c>
      <c r="E1232" s="47">
        <v>3329.6201169999999</v>
      </c>
      <c r="F1232" s="48">
        <v>3698170000</v>
      </c>
      <c r="G1232" s="20">
        <f t="shared" si="44"/>
        <v>3.8547230686901417E-3</v>
      </c>
      <c r="H1232" s="22">
        <v>1</v>
      </c>
      <c r="I1232" s="16"/>
    </row>
    <row r="1233" spans="1:9">
      <c r="A1233" s="19">
        <v>43851</v>
      </c>
      <c r="B1233" s="20">
        <v>166.04646299999999</v>
      </c>
      <c r="C1233" s="21">
        <v>29517200</v>
      </c>
      <c r="D1233" s="23">
        <f t="shared" si="43"/>
        <v>-3.597170392046932E-3</v>
      </c>
      <c r="E1233" s="47">
        <v>3320.790039</v>
      </c>
      <c r="F1233" s="48">
        <v>4105340000</v>
      </c>
      <c r="G1233" s="20">
        <f t="shared" si="44"/>
        <v>-2.6555003320934225E-3</v>
      </c>
      <c r="H1233" s="22">
        <v>1</v>
      </c>
      <c r="I1233" s="16"/>
    </row>
    <row r="1234" spans="1:9">
      <c r="A1234" s="19">
        <v>43852</v>
      </c>
      <c r="B1234" s="20">
        <v>165.24864199999999</v>
      </c>
      <c r="C1234" s="21">
        <v>24138800</v>
      </c>
      <c r="D1234" s="23">
        <f t="shared" si="43"/>
        <v>-4.8163859365927099E-3</v>
      </c>
      <c r="E1234" s="47">
        <v>3321.75</v>
      </c>
      <c r="F1234" s="48">
        <v>3619850000</v>
      </c>
      <c r="G1234" s="20">
        <f t="shared" si="44"/>
        <v>2.8903431550190799E-4</v>
      </c>
      <c r="H1234" s="22">
        <v>1</v>
      </c>
      <c r="I1234" s="16"/>
    </row>
    <row r="1235" spans="1:9">
      <c r="A1235" s="19">
        <v>43853</v>
      </c>
      <c r="B1235" s="20">
        <v>166.26586900000001</v>
      </c>
      <c r="C1235" s="21">
        <v>19680800</v>
      </c>
      <c r="D1235" s="23">
        <f t="shared" si="43"/>
        <v>6.1368667659409144E-3</v>
      </c>
      <c r="E1235" s="47">
        <v>3325.540039</v>
      </c>
      <c r="F1235" s="48">
        <v>3764860000</v>
      </c>
      <c r="G1235" s="20">
        <f t="shared" si="44"/>
        <v>1.1403261745642909E-3</v>
      </c>
      <c r="H1235" s="22">
        <v>1</v>
      </c>
      <c r="I1235" s="16"/>
    </row>
    <row r="1236" spans="1:9">
      <c r="A1236" s="19">
        <v>43854</v>
      </c>
      <c r="B1236" s="20">
        <v>164.590439</v>
      </c>
      <c r="C1236" s="21">
        <v>24918100</v>
      </c>
      <c r="D1236" s="23">
        <f t="shared" si="43"/>
        <v>-1.0127927326078045E-2</v>
      </c>
      <c r="E1236" s="47">
        <v>3295.469971</v>
      </c>
      <c r="F1236" s="48">
        <v>3707130000</v>
      </c>
      <c r="G1236" s="20">
        <f t="shared" si="44"/>
        <v>-9.0832893173140306E-3</v>
      </c>
      <c r="H1236" s="22">
        <v>1</v>
      </c>
      <c r="I1236" s="16"/>
    </row>
    <row r="1237" spans="1:9">
      <c r="A1237" s="19">
        <v>43857</v>
      </c>
      <c r="B1237" s="20">
        <v>161.837952</v>
      </c>
      <c r="C1237" s="21">
        <v>32078100</v>
      </c>
      <c r="D1237" s="23">
        <f t="shared" si="43"/>
        <v>-1.68646619802846E-2</v>
      </c>
      <c r="E1237" s="47">
        <v>3243.6298830000001</v>
      </c>
      <c r="F1237" s="48">
        <v>3823100000</v>
      </c>
      <c r="G1237" s="20">
        <f t="shared" si="44"/>
        <v>-1.5855752389124188E-2</v>
      </c>
      <c r="H1237" s="22">
        <v>1</v>
      </c>
      <c r="I1237" s="16"/>
    </row>
    <row r="1238" spans="1:9">
      <c r="A1238" s="19">
        <v>43858</v>
      </c>
      <c r="B1238" s="20">
        <v>165.009308</v>
      </c>
      <c r="C1238" s="21">
        <v>24899900</v>
      </c>
      <c r="D1238" s="23">
        <f t="shared" si="43"/>
        <v>1.9406346124821613E-2</v>
      </c>
      <c r="E1238" s="47">
        <v>3276.23999</v>
      </c>
      <c r="F1238" s="48">
        <v>3526720000</v>
      </c>
      <c r="G1238" s="20">
        <f t="shared" si="44"/>
        <v>1.0003383371009162E-2</v>
      </c>
      <c r="H1238" s="22">
        <v>1</v>
      </c>
      <c r="I1238" s="16"/>
    </row>
    <row r="1239" spans="1:9">
      <c r="A1239" s="19">
        <v>43859</v>
      </c>
      <c r="B1239" s="20">
        <v>167.58225999999999</v>
      </c>
      <c r="C1239" s="21">
        <v>34754500</v>
      </c>
      <c r="D1239" s="23">
        <f t="shared" si="43"/>
        <v>1.5472450759707724E-2</v>
      </c>
      <c r="E1239" s="47">
        <v>3273.3999020000001</v>
      </c>
      <c r="F1239" s="48">
        <v>3584500000</v>
      </c>
      <c r="G1239" s="20">
        <f t="shared" si="44"/>
        <v>-8.6725017705989612E-4</v>
      </c>
      <c r="H1239" s="22">
        <v>1</v>
      </c>
      <c r="I1239" s="16"/>
    </row>
    <row r="1240" spans="1:9">
      <c r="A1240" s="19">
        <v>43860</v>
      </c>
      <c r="B1240" s="20">
        <v>172.30935700000001</v>
      </c>
      <c r="C1240" s="21">
        <v>51597500</v>
      </c>
      <c r="D1240" s="23">
        <f t="shared" si="43"/>
        <v>2.7817113311197877E-2</v>
      </c>
      <c r="E1240" s="47">
        <v>3283.6599120000001</v>
      </c>
      <c r="F1240" s="48">
        <v>3787250000</v>
      </c>
      <c r="G1240" s="20">
        <f t="shared" si="44"/>
        <v>3.1294570019154417E-3</v>
      </c>
      <c r="H1240" s="22">
        <v>1</v>
      </c>
      <c r="I1240" s="16"/>
    </row>
    <row r="1241" spans="1:9">
      <c r="A1241" s="19">
        <v>43861</v>
      </c>
      <c r="B1241" s="20">
        <v>169.76629600000001</v>
      </c>
      <c r="C1241" s="21">
        <v>36142700</v>
      </c>
      <c r="D1241" s="23">
        <f t="shared" si="43"/>
        <v>-1.4868686670493932E-2</v>
      </c>
      <c r="E1241" s="47">
        <v>3225.5200199999999</v>
      </c>
      <c r="F1241" s="48">
        <v>4527830000</v>
      </c>
      <c r="G1241" s="20">
        <f t="shared" si="44"/>
        <v>-1.7864443392728784E-2</v>
      </c>
      <c r="H1241" s="22">
        <v>1</v>
      </c>
      <c r="I1241" s="16"/>
    </row>
    <row r="1242" spans="1:9">
      <c r="A1242" s="19">
        <v>43864</v>
      </c>
      <c r="B1242" s="20">
        <v>173.904999</v>
      </c>
      <c r="C1242" s="21">
        <v>30149100</v>
      </c>
      <c r="D1242" s="23">
        <f t="shared" si="43"/>
        <v>2.4086405521947303E-2</v>
      </c>
      <c r="E1242" s="47">
        <v>3248.919922</v>
      </c>
      <c r="F1242" s="48">
        <v>3757910000</v>
      </c>
      <c r="G1242" s="20">
        <f t="shared" si="44"/>
        <v>7.2284256543816159E-3</v>
      </c>
      <c r="H1242" s="22">
        <v>1</v>
      </c>
      <c r="I1242" s="16"/>
    </row>
    <row r="1243" spans="1:9">
      <c r="A1243" s="19">
        <v>43865</v>
      </c>
      <c r="B1243" s="20">
        <v>179.62936400000001</v>
      </c>
      <c r="C1243" s="21">
        <v>36433300</v>
      </c>
      <c r="D1243" s="23">
        <f t="shared" si="43"/>
        <v>3.2386471810172041E-2</v>
      </c>
      <c r="E1243" s="47">
        <v>3297.5900879999999</v>
      </c>
      <c r="F1243" s="48">
        <v>3995320000</v>
      </c>
      <c r="G1243" s="20">
        <f t="shared" si="44"/>
        <v>1.486931591219986E-2</v>
      </c>
      <c r="H1243" s="22">
        <v>1</v>
      </c>
      <c r="I1243" s="16"/>
    </row>
    <row r="1244" spans="1:9">
      <c r="A1244" s="19">
        <v>43866</v>
      </c>
      <c r="B1244" s="20">
        <v>179.40995799999999</v>
      </c>
      <c r="C1244" s="21">
        <v>39186300</v>
      </c>
      <c r="D1244" s="23">
        <f t="shared" si="43"/>
        <v>-1.2221838326176451E-3</v>
      </c>
      <c r="E1244" s="47">
        <v>3334.6899410000001</v>
      </c>
      <c r="F1244" s="48">
        <v>4117730000</v>
      </c>
      <c r="G1244" s="20">
        <f t="shared" si="44"/>
        <v>1.1187778503979414E-2</v>
      </c>
      <c r="H1244" s="22">
        <v>1</v>
      </c>
      <c r="I1244" s="16"/>
    </row>
    <row r="1245" spans="1:9">
      <c r="A1245" s="19">
        <v>43867</v>
      </c>
      <c r="B1245" s="20">
        <v>183.129807</v>
      </c>
      <c r="C1245" s="21">
        <v>27751400</v>
      </c>
      <c r="D1245" s="23">
        <f t="shared" si="43"/>
        <v>2.0521773925560313E-2</v>
      </c>
      <c r="E1245" s="47">
        <v>3345.780029</v>
      </c>
      <c r="F1245" s="48">
        <v>3868370000</v>
      </c>
      <c r="G1245" s="20">
        <f t="shared" si="44"/>
        <v>3.3201550900961913E-3</v>
      </c>
      <c r="H1245" s="22">
        <v>1</v>
      </c>
      <c r="I1245" s="16"/>
    </row>
    <row r="1246" spans="1:9">
      <c r="A1246" s="19">
        <v>43868</v>
      </c>
      <c r="B1246" s="20">
        <v>183.38909899999999</v>
      </c>
      <c r="C1246" s="21">
        <v>33529100</v>
      </c>
      <c r="D1246" s="23">
        <f t="shared" si="43"/>
        <v>1.4148904136295636E-3</v>
      </c>
      <c r="E1246" s="47">
        <v>3327.709961</v>
      </c>
      <c r="F1246" s="48">
        <v>3730650000</v>
      </c>
      <c r="G1246" s="20">
        <f t="shared" si="44"/>
        <v>-5.41549090194545E-3</v>
      </c>
      <c r="H1246" s="22">
        <v>1</v>
      </c>
      <c r="I1246" s="16"/>
    </row>
    <row r="1247" spans="1:9">
      <c r="A1247" s="19">
        <v>43871</v>
      </c>
      <c r="B1247" s="20">
        <v>188.18598900000001</v>
      </c>
      <c r="C1247" s="21">
        <v>35844300</v>
      </c>
      <c r="D1247" s="23">
        <f t="shared" si="43"/>
        <v>2.5820657313755321E-2</v>
      </c>
      <c r="E1247" s="47">
        <v>3352.0900879999999</v>
      </c>
      <c r="F1247" s="48">
        <v>3450350000</v>
      </c>
      <c r="G1247" s="20">
        <f t="shared" si="44"/>
        <v>7.2996901344203769E-3</v>
      </c>
      <c r="H1247" s="22">
        <v>1</v>
      </c>
      <c r="I1247" s="16"/>
    </row>
    <row r="1248" spans="1:9">
      <c r="A1248" s="19">
        <v>43872</v>
      </c>
      <c r="B1248" s="20">
        <v>183.93760700000001</v>
      </c>
      <c r="C1248" s="21">
        <v>53159900</v>
      </c>
      <c r="D1248" s="23">
        <f t="shared" si="43"/>
        <v>-2.2834169270691044E-2</v>
      </c>
      <c r="E1248" s="47">
        <v>3357.75</v>
      </c>
      <c r="F1248" s="48">
        <v>3760550000</v>
      </c>
      <c r="G1248" s="20">
        <f t="shared" si="44"/>
        <v>1.687048653373355E-3</v>
      </c>
      <c r="H1248" s="22">
        <v>1</v>
      </c>
      <c r="I1248" s="16"/>
    </row>
    <row r="1249" spans="1:9">
      <c r="A1249" s="19">
        <v>43873</v>
      </c>
      <c r="B1249" s="20">
        <v>184.206863</v>
      </c>
      <c r="C1249" s="21">
        <v>47062900</v>
      </c>
      <c r="D1249" s="23">
        <f t="shared" si="43"/>
        <v>1.4627738290391454E-3</v>
      </c>
      <c r="E1249" s="47">
        <v>3379.4499510000001</v>
      </c>
      <c r="F1249" s="48">
        <v>3926380000</v>
      </c>
      <c r="G1249" s="20">
        <f t="shared" si="44"/>
        <v>6.4418530543442504E-3</v>
      </c>
      <c r="H1249" s="22">
        <v>1</v>
      </c>
      <c r="I1249" s="16"/>
    </row>
    <row r="1250" spans="1:9">
      <c r="A1250" s="19">
        <v>43874</v>
      </c>
      <c r="B1250" s="20">
        <v>183.20959500000001</v>
      </c>
      <c r="C1250" s="21">
        <v>35295800</v>
      </c>
      <c r="D1250" s="23">
        <f t="shared" si="43"/>
        <v>-5.4285562192109456E-3</v>
      </c>
      <c r="E1250" s="47">
        <v>3373.9399410000001</v>
      </c>
      <c r="F1250" s="48">
        <v>3498240000</v>
      </c>
      <c r="G1250" s="20">
        <f t="shared" si="44"/>
        <v>-1.631776429537957E-3</v>
      </c>
      <c r="H1250" s="22">
        <v>1</v>
      </c>
      <c r="I1250" s="16"/>
    </row>
    <row r="1251" spans="1:9">
      <c r="A1251" s="19">
        <v>43875</v>
      </c>
      <c r="B1251" s="20">
        <v>184.845123</v>
      </c>
      <c r="C1251" s="21">
        <v>23149500</v>
      </c>
      <c r="D1251" s="23">
        <f t="shared" si="43"/>
        <v>8.8874761576710985E-3</v>
      </c>
      <c r="E1251" s="47">
        <v>3380.1599120000001</v>
      </c>
      <c r="F1251" s="48">
        <v>3398040000</v>
      </c>
      <c r="G1251" s="20">
        <f t="shared" si="44"/>
        <v>1.8418361865356393E-3</v>
      </c>
      <c r="H1251" s="22">
        <v>1</v>
      </c>
      <c r="I1251" s="16"/>
    </row>
    <row r="1252" spans="1:9">
      <c r="A1252" s="19">
        <v>43879</v>
      </c>
      <c r="B1252" s="20">
        <v>186.720001</v>
      </c>
      <c r="C1252" s="21">
        <v>27792200</v>
      </c>
      <c r="D1252" s="23">
        <f t="shared" si="43"/>
        <v>1.0091872413502859E-2</v>
      </c>
      <c r="E1252" s="47">
        <v>3370.290039</v>
      </c>
      <c r="F1252" s="48">
        <v>3746720000</v>
      </c>
      <c r="G1252" s="20">
        <f t="shared" si="44"/>
        <v>-2.9242139723342853E-3</v>
      </c>
      <c r="H1252" s="22">
        <v>1</v>
      </c>
      <c r="I1252" s="16"/>
    </row>
    <row r="1253" spans="1:9">
      <c r="A1253" s="19">
        <v>43880</v>
      </c>
      <c r="B1253" s="20">
        <v>187.279999</v>
      </c>
      <c r="C1253" s="21">
        <v>29997500</v>
      </c>
      <c r="D1253" s="23">
        <f t="shared" si="43"/>
        <v>2.9946439491984286E-3</v>
      </c>
      <c r="E1253" s="47">
        <v>3386.1499020000001</v>
      </c>
      <c r="F1253" s="48">
        <v>3600150000</v>
      </c>
      <c r="G1253" s="20">
        <f t="shared" si="44"/>
        <v>4.6947482013129449E-3</v>
      </c>
      <c r="H1253" s="22">
        <v>1</v>
      </c>
      <c r="I1253" s="16"/>
    </row>
    <row r="1254" spans="1:9">
      <c r="A1254" s="19">
        <v>43881</v>
      </c>
      <c r="B1254" s="20">
        <v>184.41999799999999</v>
      </c>
      <c r="C1254" s="21">
        <v>36862400</v>
      </c>
      <c r="D1254" s="23">
        <f t="shared" si="43"/>
        <v>-1.5389063576872562E-2</v>
      </c>
      <c r="E1254" s="47">
        <v>3373.2299800000001</v>
      </c>
      <c r="F1254" s="48">
        <v>4007320000</v>
      </c>
      <c r="G1254" s="20">
        <f t="shared" si="44"/>
        <v>-3.8228174654427851E-3</v>
      </c>
      <c r="H1254" s="22">
        <v>1</v>
      </c>
      <c r="I1254" s="16"/>
    </row>
    <row r="1255" spans="1:9">
      <c r="A1255" s="19">
        <v>43882</v>
      </c>
      <c r="B1255" s="20">
        <v>178.58999600000001</v>
      </c>
      <c r="C1255" s="21">
        <v>48572600</v>
      </c>
      <c r="D1255" s="23">
        <f t="shared" si="43"/>
        <v>-3.2123100830446727E-2</v>
      </c>
      <c r="E1255" s="47">
        <v>3337.75</v>
      </c>
      <c r="F1255" s="48">
        <v>3899270000</v>
      </c>
      <c r="G1255" s="20">
        <f t="shared" si="44"/>
        <v>-1.0573809093858041E-2</v>
      </c>
      <c r="H1255" s="22">
        <v>1</v>
      </c>
      <c r="I1255" s="16"/>
    </row>
    <row r="1256" spans="1:9">
      <c r="A1256" s="19">
        <v>43885</v>
      </c>
      <c r="B1256" s="20">
        <v>170.88999899999999</v>
      </c>
      <c r="C1256" s="21">
        <v>68311100</v>
      </c>
      <c r="D1256" s="23">
        <f t="shared" si="43"/>
        <v>-4.407258462863764E-2</v>
      </c>
      <c r="E1256" s="47">
        <v>3225.889893</v>
      </c>
      <c r="F1256" s="48">
        <v>4842960000</v>
      </c>
      <c r="G1256" s="20">
        <f t="shared" si="44"/>
        <v>-3.4088079289662898E-2</v>
      </c>
      <c r="H1256" s="22">
        <v>1</v>
      </c>
      <c r="I1256" s="16"/>
    </row>
    <row r="1257" spans="1:9">
      <c r="A1257" s="19">
        <v>43886</v>
      </c>
      <c r="B1257" s="20">
        <v>168.070007</v>
      </c>
      <c r="C1257" s="21">
        <v>68073300</v>
      </c>
      <c r="D1257" s="23">
        <f t="shared" si="43"/>
        <v>-1.663946786931287E-2</v>
      </c>
      <c r="E1257" s="47">
        <v>3128.209961</v>
      </c>
      <c r="F1257" s="48">
        <v>5591510000</v>
      </c>
      <c r="G1257" s="20">
        <f t="shared" si="44"/>
        <v>-3.0747904486151584E-2</v>
      </c>
      <c r="H1257" s="22">
        <v>1</v>
      </c>
      <c r="I1257" s="16"/>
    </row>
    <row r="1258" spans="1:9">
      <c r="A1258" s="19">
        <v>43887</v>
      </c>
      <c r="B1258" s="20">
        <v>170.16999799999999</v>
      </c>
      <c r="C1258" s="21">
        <v>56206100</v>
      </c>
      <c r="D1258" s="23">
        <f t="shared" si="43"/>
        <v>1.241732469260521E-2</v>
      </c>
      <c r="E1258" s="47">
        <v>3116.389893</v>
      </c>
      <c r="F1258" s="48">
        <v>5478110000</v>
      </c>
      <c r="G1258" s="20">
        <f t="shared" si="44"/>
        <v>-3.785697208136523E-3</v>
      </c>
      <c r="H1258" s="22">
        <v>1</v>
      </c>
      <c r="I1258" s="16"/>
    </row>
    <row r="1259" spans="1:9">
      <c r="A1259" s="19">
        <v>43888</v>
      </c>
      <c r="B1259" s="20">
        <v>158.179993</v>
      </c>
      <c r="C1259" s="21">
        <v>93174900</v>
      </c>
      <c r="D1259" s="23">
        <f t="shared" si="43"/>
        <v>-7.3064344792504315E-2</v>
      </c>
      <c r="E1259" s="47">
        <v>2978.76001</v>
      </c>
      <c r="F1259" s="48">
        <v>7058840000</v>
      </c>
      <c r="G1259" s="20">
        <f t="shared" si="44"/>
        <v>-4.5168136408952134E-2</v>
      </c>
      <c r="H1259" s="22">
        <v>1</v>
      </c>
      <c r="I1259" s="16"/>
    </row>
    <row r="1260" spans="1:9">
      <c r="A1260" s="19">
        <v>43889</v>
      </c>
      <c r="B1260" s="20">
        <v>162.009995</v>
      </c>
      <c r="C1260" s="21">
        <v>97073600</v>
      </c>
      <c r="D1260" s="23">
        <f t="shared" si="43"/>
        <v>2.3924450022145893E-2</v>
      </c>
      <c r="E1260" s="47">
        <v>2954.219971</v>
      </c>
      <c r="F1260" s="48">
        <v>8563850000</v>
      </c>
      <c r="G1260" s="20">
        <f t="shared" si="44"/>
        <v>-8.2724630878432594E-3</v>
      </c>
      <c r="H1260" s="22">
        <v>1</v>
      </c>
      <c r="I1260" s="16"/>
    </row>
    <row r="1261" spans="1:9">
      <c r="A1261" s="19">
        <v>43892</v>
      </c>
      <c r="B1261" s="20">
        <v>172.78999300000001</v>
      </c>
      <c r="C1261" s="21">
        <v>71030800</v>
      </c>
      <c r="D1261" s="23">
        <f t="shared" si="43"/>
        <v>6.4418912953391971E-2</v>
      </c>
      <c r="E1261" s="47">
        <v>3090.2299800000001</v>
      </c>
      <c r="F1261" s="48">
        <v>6376400000</v>
      </c>
      <c r="G1261" s="20">
        <f t="shared" si="44"/>
        <v>4.5010868517233696E-2</v>
      </c>
      <c r="H1261" s="22">
        <v>1</v>
      </c>
      <c r="I1261" s="16"/>
    </row>
    <row r="1262" spans="1:9">
      <c r="A1262" s="19">
        <v>43893</v>
      </c>
      <c r="B1262" s="20">
        <v>164.509995</v>
      </c>
      <c r="C1262" s="21">
        <v>71677000</v>
      </c>
      <c r="D1262" s="23">
        <f t="shared" si="43"/>
        <v>-4.9105615575386584E-2</v>
      </c>
      <c r="E1262" s="47">
        <v>3003.3701169999999</v>
      </c>
      <c r="F1262" s="48">
        <v>6355940000</v>
      </c>
      <c r="G1262" s="20">
        <f t="shared" si="44"/>
        <v>-2.8510484833656792E-2</v>
      </c>
      <c r="H1262" s="22">
        <v>1</v>
      </c>
      <c r="I1262" s="16"/>
    </row>
    <row r="1263" spans="1:9">
      <c r="A1263" s="19">
        <v>43894</v>
      </c>
      <c r="B1263" s="20">
        <v>170.550003</v>
      </c>
      <c r="C1263" s="21">
        <v>49814400</v>
      </c>
      <c r="D1263" s="23">
        <f t="shared" si="43"/>
        <v>3.6057198216764667E-2</v>
      </c>
      <c r="E1263" s="47">
        <v>3130.1201169999999</v>
      </c>
      <c r="F1263" s="48">
        <v>5035480000</v>
      </c>
      <c r="G1263" s="20">
        <f t="shared" si="44"/>
        <v>4.1336349363161225E-2</v>
      </c>
      <c r="H1263" s="22">
        <v>1</v>
      </c>
      <c r="I1263" s="16"/>
    </row>
    <row r="1264" spans="1:9">
      <c r="A1264" s="19">
        <v>43895</v>
      </c>
      <c r="B1264" s="20">
        <v>166.270004</v>
      </c>
      <c r="C1264" s="21">
        <v>47817300</v>
      </c>
      <c r="D1264" s="23">
        <f t="shared" si="43"/>
        <v>-2.541552934526008E-2</v>
      </c>
      <c r="E1264" s="47">
        <v>3023.9399410000001</v>
      </c>
      <c r="F1264" s="48">
        <v>5575550000</v>
      </c>
      <c r="G1264" s="20">
        <f t="shared" si="44"/>
        <v>-3.4510782514423737E-2</v>
      </c>
      <c r="H1264" s="22">
        <v>1</v>
      </c>
      <c r="I1264" s="16"/>
    </row>
    <row r="1265" spans="1:9">
      <c r="A1265" s="19">
        <v>43896</v>
      </c>
      <c r="B1265" s="20">
        <v>161.570007</v>
      </c>
      <c r="C1265" s="21">
        <v>72821100</v>
      </c>
      <c r="D1265" s="23">
        <f t="shared" si="43"/>
        <v>-2.8674468495931204E-2</v>
      </c>
      <c r="E1265" s="47">
        <v>2972.3701169999999</v>
      </c>
      <c r="F1265" s="48">
        <v>6552140000</v>
      </c>
      <c r="G1265" s="20">
        <f t="shared" si="44"/>
        <v>-1.7200943581122549E-2</v>
      </c>
      <c r="H1265" s="22">
        <v>1</v>
      </c>
      <c r="I1265" s="16"/>
    </row>
    <row r="1266" spans="1:9">
      <c r="A1266" s="19">
        <v>43899</v>
      </c>
      <c r="B1266" s="20">
        <v>150.61999499999999</v>
      </c>
      <c r="C1266" s="21">
        <v>70419300</v>
      </c>
      <c r="D1266" s="23">
        <f t="shared" si="43"/>
        <v>-7.0178453136530497E-2</v>
      </c>
      <c r="E1266" s="47">
        <v>2746.5600589999999</v>
      </c>
      <c r="F1266" s="48">
        <v>8423050000</v>
      </c>
      <c r="G1266" s="20">
        <f t="shared" si="44"/>
        <v>-7.901041272937824E-2</v>
      </c>
      <c r="H1266" s="22">
        <v>1</v>
      </c>
      <c r="I1266" s="16"/>
    </row>
    <row r="1267" spans="1:9">
      <c r="A1267" s="19">
        <v>43900</v>
      </c>
      <c r="B1267" s="20">
        <v>160.91999799999999</v>
      </c>
      <c r="C1267" s="21">
        <v>65354400</v>
      </c>
      <c r="D1267" s="23">
        <f t="shared" si="43"/>
        <v>6.6147259175969017E-2</v>
      </c>
      <c r="E1267" s="47">
        <v>2882.2299800000001</v>
      </c>
      <c r="F1267" s="48">
        <v>7635960000</v>
      </c>
      <c r="G1267" s="20">
        <f t="shared" si="44"/>
        <v>4.8215052115312323E-2</v>
      </c>
      <c r="H1267" s="22">
        <v>1</v>
      </c>
      <c r="I1267" s="16"/>
    </row>
    <row r="1268" spans="1:9">
      <c r="A1268" s="19">
        <v>43901</v>
      </c>
      <c r="B1268" s="20">
        <v>153.63000500000001</v>
      </c>
      <c r="C1268" s="21">
        <v>56371600</v>
      </c>
      <c r="D1268" s="23">
        <f t="shared" si="43"/>
        <v>-4.636018796475655E-2</v>
      </c>
      <c r="E1268" s="47">
        <v>2741.3798830000001</v>
      </c>
      <c r="F1268" s="48">
        <v>7374110000</v>
      </c>
      <c r="G1268" s="20">
        <f t="shared" si="44"/>
        <v>-5.0102892577574741E-2</v>
      </c>
      <c r="H1268" s="22">
        <v>1</v>
      </c>
      <c r="I1268" s="16"/>
    </row>
    <row r="1269" spans="1:9">
      <c r="A1269" s="19">
        <v>43902</v>
      </c>
      <c r="B1269" s="20">
        <v>139.05999800000001</v>
      </c>
      <c r="C1269" s="21">
        <v>93226400</v>
      </c>
      <c r="D1269" s="23">
        <f t="shared" si="43"/>
        <v>-9.9641666399704232E-2</v>
      </c>
      <c r="E1269" s="47">
        <v>2480.639893</v>
      </c>
      <c r="F1269" s="48">
        <v>8829380000</v>
      </c>
      <c r="G1269" s="20">
        <f t="shared" si="44"/>
        <v>-9.9944852300802703E-2</v>
      </c>
      <c r="H1269" s="22">
        <v>1</v>
      </c>
      <c r="I1269" s="16"/>
    </row>
    <row r="1270" spans="1:9">
      <c r="A1270" s="19">
        <v>43903</v>
      </c>
      <c r="B1270" s="20">
        <v>158.83000200000001</v>
      </c>
      <c r="C1270" s="21">
        <v>92727400</v>
      </c>
      <c r="D1270" s="23">
        <f t="shared" si="43"/>
        <v>0.1329289801505526</v>
      </c>
      <c r="E1270" s="24">
        <v>2711.0200199999999</v>
      </c>
      <c r="F1270" s="20">
        <v>8258670000</v>
      </c>
      <c r="G1270" s="20">
        <f t="shared" si="44"/>
        <v>8.8808406952074301E-2</v>
      </c>
      <c r="H1270" s="22">
        <v>1</v>
      </c>
    </row>
  </sheetData>
  <mergeCells count="8">
    <mergeCell ref="V46:W46"/>
    <mergeCell ref="J2:M2"/>
    <mergeCell ref="P2:S2"/>
    <mergeCell ref="J3:K3"/>
    <mergeCell ref="L3:M3"/>
    <mergeCell ref="J31:J32"/>
    <mergeCell ref="K31:K33"/>
    <mergeCell ref="L31:L3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zoomScaleNormal="100" workbookViewId="0">
      <selection activeCell="A8" sqref="A8"/>
    </sheetView>
  </sheetViews>
  <sheetFormatPr baseColWidth="10" defaultColWidth="11.1640625" defaultRowHeight="16"/>
  <sheetData>
    <row r="1" spans="1:2">
      <c r="A1" t="s">
        <v>7</v>
      </c>
      <c r="B1">
        <v>2.9199110600880189</v>
      </c>
    </row>
    <row r="2" spans="1:2">
      <c r="A2" t="s">
        <v>6</v>
      </c>
      <c r="B2">
        <f>B1^2+1/3 * B1+1/2</f>
        <v>9.9991842855203448</v>
      </c>
    </row>
    <row r="4" spans="1:2">
      <c r="A4" t="s">
        <v>7</v>
      </c>
      <c r="B4" t="s">
        <v>6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1:J722"/>
  <sheetViews>
    <sheetView zoomScaleNormal="100" workbookViewId="0">
      <selection activeCell="B30" sqref="B30"/>
    </sheetView>
  </sheetViews>
  <sheetFormatPr baseColWidth="10" defaultColWidth="11.1640625" defaultRowHeight="16"/>
  <cols>
    <col min="1" max="1" width="39" bestFit="1" customWidth="1"/>
    <col min="2" max="2" width="15.83203125" bestFit="1" customWidth="1"/>
    <col min="3" max="3" width="39.33203125" bestFit="1" customWidth="1"/>
    <col min="4" max="4" width="6.5" bestFit="1" customWidth="1"/>
    <col min="5" max="5" width="16.5" style="3" bestFit="1" customWidth="1"/>
    <col min="6" max="6" width="10.5" style="3" bestFit="1" customWidth="1"/>
    <col min="7" max="7" width="9" style="3" bestFit="1" customWidth="1"/>
    <col min="8" max="8" width="8" style="3" bestFit="1" customWidth="1"/>
    <col min="9" max="9" width="9.5" style="3" bestFit="1" customWidth="1"/>
    <col min="10" max="10" width="13.6640625" style="3" bestFit="1" customWidth="1"/>
  </cols>
  <sheetData>
    <row r="1" spans="1:10">
      <c r="D1" t="s">
        <v>117</v>
      </c>
    </row>
    <row r="2" spans="1:10">
      <c r="A2" t="s">
        <v>21</v>
      </c>
      <c r="B2" s="3">
        <v>3254.081613716839</v>
      </c>
      <c r="D2" t="s">
        <v>106</v>
      </c>
      <c r="E2" s="3" t="s">
        <v>112</v>
      </c>
      <c r="F2" s="3" t="s">
        <v>108</v>
      </c>
      <c r="G2" s="3" t="s">
        <v>109</v>
      </c>
      <c r="H2" s="3" t="s">
        <v>110</v>
      </c>
      <c r="I2" s="3" t="s">
        <v>111</v>
      </c>
      <c r="J2" s="3" t="s">
        <v>107</v>
      </c>
    </row>
    <row r="3" spans="1:10">
      <c r="A3" t="s">
        <v>22</v>
      </c>
      <c r="B3" s="3">
        <f>0.3*B2</f>
        <v>976.22448411505161</v>
      </c>
      <c r="D3">
        <v>1</v>
      </c>
      <c r="E3" s="3">
        <v>0</v>
      </c>
      <c r="F3" s="3">
        <f>$B$2</f>
        <v>3254.081613716839</v>
      </c>
      <c r="G3" s="3">
        <f>$B$3</f>
        <v>976.22448411505161</v>
      </c>
      <c r="H3" s="3">
        <f>$B$4</f>
        <v>500</v>
      </c>
      <c r="I3" s="3">
        <f>$B$9*SUM(E3:H3)</f>
        <v>5.9128826222898638</v>
      </c>
      <c r="J3" s="3">
        <f>SUM(E3:I3)</f>
        <v>4736.2189804541804</v>
      </c>
    </row>
    <row r="4" spans="1:10">
      <c r="A4" t="s">
        <v>23</v>
      </c>
      <c r="B4" s="3">
        <v>500</v>
      </c>
      <c r="D4">
        <v>2</v>
      </c>
      <c r="E4" s="3">
        <f>J3</f>
        <v>4736.2189804541804</v>
      </c>
      <c r="F4" s="3">
        <f t="shared" ref="F4:F67" si="0">$B$2</f>
        <v>3254.081613716839</v>
      </c>
      <c r="G4" s="3">
        <f t="shared" ref="G4:G67" si="1">$B$3</f>
        <v>976.22448411505161</v>
      </c>
      <c r="H4" s="3">
        <f t="shared" ref="H4:H67" si="2">$B$4</f>
        <v>500</v>
      </c>
      <c r="I4" s="3">
        <f t="shared" ref="I4" si="3">$B$9*SUM(E4:H4)</f>
        <v>11.833156347857589</v>
      </c>
      <c r="J4" s="3">
        <f t="shared" ref="J4" si="4">SUM(E4:I4)</f>
        <v>9478.3582346339281</v>
      </c>
    </row>
    <row r="5" spans="1:10">
      <c r="A5" t="s">
        <v>29</v>
      </c>
      <c r="B5" s="3">
        <f>SUM(B2:B4)</f>
        <v>4730.3060978318908</v>
      </c>
      <c r="D5">
        <v>3</v>
      </c>
      <c r="E5" s="3">
        <f t="shared" ref="E5:E68" si="5">J4</f>
        <v>9478.3582346339281</v>
      </c>
      <c r="F5" s="3">
        <f t="shared" si="0"/>
        <v>3254.081613716839</v>
      </c>
      <c r="G5" s="3">
        <f t="shared" si="1"/>
        <v>976.22448411505161</v>
      </c>
      <c r="H5" s="3">
        <f t="shared" si="2"/>
        <v>500</v>
      </c>
      <c r="I5" s="3">
        <f t="shared" ref="I5:I68" si="6">$B$9*SUM(E5:H5)</f>
        <v>17.760830415582273</v>
      </c>
      <c r="J5" s="3">
        <f t="shared" ref="J5:J68" si="7">SUM(E5:I5)</f>
        <v>14226.4251628814</v>
      </c>
    </row>
    <row r="6" spans="1:10">
      <c r="A6" t="s">
        <v>27</v>
      </c>
      <c r="B6">
        <v>40</v>
      </c>
      <c r="D6">
        <v>4</v>
      </c>
      <c r="E6" s="3">
        <f t="shared" si="5"/>
        <v>14226.4251628814</v>
      </c>
      <c r="F6" s="3">
        <f t="shared" si="0"/>
        <v>3254.081613716839</v>
      </c>
      <c r="G6" s="3">
        <f t="shared" si="1"/>
        <v>976.22448411505161</v>
      </c>
      <c r="H6" s="3">
        <f t="shared" si="2"/>
        <v>500</v>
      </c>
      <c r="I6" s="3">
        <f t="shared" si="6"/>
        <v>23.695914075891615</v>
      </c>
      <c r="J6" s="3">
        <f t="shared" si="7"/>
        <v>18980.427174789183</v>
      </c>
    </row>
    <row r="7" spans="1:10">
      <c r="D7">
        <v>5</v>
      </c>
      <c r="E7" s="3">
        <f t="shared" si="5"/>
        <v>18980.427174789183</v>
      </c>
      <c r="F7" s="3">
        <f t="shared" si="0"/>
        <v>3254.081613716839</v>
      </c>
      <c r="G7" s="3">
        <f t="shared" si="1"/>
        <v>976.22448411505161</v>
      </c>
      <c r="H7" s="3">
        <f t="shared" si="2"/>
        <v>500</v>
      </c>
      <c r="I7" s="3">
        <f t="shared" si="6"/>
        <v>29.638416590776348</v>
      </c>
      <c r="J7" s="3">
        <f t="shared" si="7"/>
        <v>23740.371689211854</v>
      </c>
    </row>
    <row r="8" spans="1:10">
      <c r="A8" t="s">
        <v>28</v>
      </c>
      <c r="B8" s="14">
        <f>1.5%</f>
        <v>1.4999999999999999E-2</v>
      </c>
      <c r="C8" s="14"/>
      <c r="D8">
        <v>6</v>
      </c>
      <c r="E8" s="3">
        <f t="shared" si="5"/>
        <v>23740.371689211854</v>
      </c>
      <c r="F8" s="3">
        <f t="shared" si="0"/>
        <v>3254.081613716839</v>
      </c>
      <c r="G8" s="3">
        <f t="shared" si="1"/>
        <v>976.22448411505161</v>
      </c>
      <c r="H8" s="3">
        <f t="shared" si="2"/>
        <v>500</v>
      </c>
      <c r="I8" s="3">
        <f t="shared" si="6"/>
        <v>35.588347233804683</v>
      </c>
      <c r="J8" s="3">
        <f t="shared" si="7"/>
        <v>28506.266134277554</v>
      </c>
    </row>
    <row r="9" spans="1:10">
      <c r="A9" t="s">
        <v>26</v>
      </c>
      <c r="B9" s="8">
        <f>1.5%/12</f>
        <v>1.25E-3</v>
      </c>
      <c r="C9" s="8"/>
      <c r="D9">
        <v>7</v>
      </c>
      <c r="E9" s="3">
        <f t="shared" si="5"/>
        <v>28506.266134277554</v>
      </c>
      <c r="F9" s="3">
        <f t="shared" si="0"/>
        <v>3254.081613716839</v>
      </c>
      <c r="G9" s="3">
        <f t="shared" si="1"/>
        <v>976.22448411505161</v>
      </c>
      <c r="H9" s="3">
        <f t="shared" si="2"/>
        <v>500</v>
      </c>
      <c r="I9" s="3">
        <f t="shared" si="6"/>
        <v>41.545715290136812</v>
      </c>
      <c r="J9" s="3">
        <f t="shared" si="7"/>
        <v>33278.117947399587</v>
      </c>
    </row>
    <row r="10" spans="1:10">
      <c r="D10">
        <v>8</v>
      </c>
      <c r="E10" s="3">
        <f t="shared" si="5"/>
        <v>33278.117947399587</v>
      </c>
      <c r="F10" s="3">
        <f t="shared" si="0"/>
        <v>3254.081613716839</v>
      </c>
      <c r="G10" s="3">
        <f t="shared" si="1"/>
        <v>976.22448411505161</v>
      </c>
      <c r="H10" s="3">
        <f t="shared" si="2"/>
        <v>500</v>
      </c>
      <c r="I10" s="3">
        <f t="shared" si="6"/>
        <v>47.510530056539345</v>
      </c>
      <c r="J10" s="3">
        <f t="shared" si="7"/>
        <v>38055.934575288018</v>
      </c>
    </row>
    <row r="11" spans="1:10">
      <c r="A11" t="s">
        <v>24</v>
      </c>
      <c r="B11" s="3">
        <v>15000</v>
      </c>
      <c r="C11" s="3"/>
      <c r="D11">
        <v>9</v>
      </c>
      <c r="E11" s="3">
        <f t="shared" si="5"/>
        <v>38055.934575288018</v>
      </c>
      <c r="F11" s="3">
        <f t="shared" si="0"/>
        <v>3254.081613716839</v>
      </c>
      <c r="G11" s="3">
        <f t="shared" si="1"/>
        <v>976.22448411505161</v>
      </c>
      <c r="H11" s="3">
        <f t="shared" si="2"/>
        <v>500</v>
      </c>
      <c r="I11" s="3">
        <f t="shared" si="6"/>
        <v>53.482800841399886</v>
      </c>
      <c r="J11" s="3">
        <f t="shared" si="7"/>
        <v>42839.723473961305</v>
      </c>
    </row>
    <row r="12" spans="1:10">
      <c r="A12" t="s">
        <v>25</v>
      </c>
      <c r="B12">
        <v>20</v>
      </c>
      <c r="D12">
        <v>10</v>
      </c>
      <c r="E12" s="3">
        <f t="shared" si="5"/>
        <v>42839.723473961305</v>
      </c>
      <c r="F12" s="3">
        <f t="shared" si="0"/>
        <v>3254.081613716839</v>
      </c>
      <c r="G12" s="3">
        <f t="shared" si="1"/>
        <v>976.22448411505161</v>
      </c>
      <c r="H12" s="3">
        <f t="shared" si="2"/>
        <v>500</v>
      </c>
      <c r="I12" s="3">
        <f t="shared" si="6"/>
        <v>59.462536964741496</v>
      </c>
      <c r="J12" s="3">
        <f t="shared" si="7"/>
        <v>47629.492108757935</v>
      </c>
    </row>
    <row r="13" spans="1:10">
      <c r="B13" s="9"/>
      <c r="C13" s="9"/>
      <c r="D13">
        <v>11</v>
      </c>
      <c r="E13" s="3">
        <f t="shared" si="5"/>
        <v>47629.492108757935</v>
      </c>
      <c r="F13" s="3">
        <f t="shared" si="0"/>
        <v>3254.081613716839</v>
      </c>
      <c r="G13" s="3">
        <f t="shared" si="1"/>
        <v>976.22448411505161</v>
      </c>
      <c r="H13" s="3">
        <f t="shared" si="2"/>
        <v>500</v>
      </c>
      <c r="I13" s="3">
        <f t="shared" si="6"/>
        <v>65.44974775823728</v>
      </c>
      <c r="J13" s="3">
        <f t="shared" si="7"/>
        <v>52425.247954348066</v>
      </c>
    </row>
    <row r="14" spans="1:10">
      <c r="B14" s="9"/>
      <c r="C14" s="9"/>
      <c r="D14">
        <v>12</v>
      </c>
      <c r="E14" s="3">
        <f t="shared" si="5"/>
        <v>52425.247954348066</v>
      </c>
      <c r="F14" s="3">
        <f t="shared" si="0"/>
        <v>3254.081613716839</v>
      </c>
      <c r="G14" s="3">
        <f t="shared" si="1"/>
        <v>976.22448411505161</v>
      </c>
      <c r="H14" s="3">
        <f t="shared" si="2"/>
        <v>500</v>
      </c>
      <c r="I14" s="3">
        <f t="shared" si="6"/>
        <v>71.444442565224946</v>
      </c>
      <c r="J14" s="3">
        <f t="shared" si="7"/>
        <v>57226.998494745181</v>
      </c>
    </row>
    <row r="15" spans="1:10">
      <c r="C15" s="9"/>
      <c r="D15">
        <v>13</v>
      </c>
      <c r="E15" s="3">
        <f t="shared" si="5"/>
        <v>57226.998494745181</v>
      </c>
      <c r="F15" s="3">
        <f t="shared" si="0"/>
        <v>3254.081613716839</v>
      </c>
      <c r="G15" s="3">
        <f t="shared" si="1"/>
        <v>976.22448411505161</v>
      </c>
      <c r="H15" s="3">
        <f t="shared" si="2"/>
        <v>500</v>
      </c>
      <c r="I15" s="3">
        <f t="shared" si="6"/>
        <v>77.446630740721346</v>
      </c>
      <c r="J15" s="3">
        <f t="shared" si="7"/>
        <v>62034.751223317791</v>
      </c>
    </row>
    <row r="16" spans="1:10">
      <c r="A16" t="s">
        <v>118</v>
      </c>
      <c r="D16">
        <v>14</v>
      </c>
      <c r="E16" s="3">
        <f t="shared" si="5"/>
        <v>62034.751223317791</v>
      </c>
      <c r="F16" s="3">
        <f t="shared" si="0"/>
        <v>3254.081613716839</v>
      </c>
      <c r="G16" s="3">
        <f t="shared" si="1"/>
        <v>976.22448411505161</v>
      </c>
      <c r="H16" s="3">
        <f t="shared" si="2"/>
        <v>500</v>
      </c>
      <c r="I16" s="3">
        <f t="shared" si="6"/>
        <v>83.456321651437108</v>
      </c>
      <c r="J16" s="3">
        <f t="shared" si="7"/>
        <v>66848.513642801117</v>
      </c>
    </row>
    <row r="17" spans="1:10">
      <c r="D17">
        <v>15</v>
      </c>
      <c r="E17" s="3">
        <f t="shared" si="5"/>
        <v>66848.513642801117</v>
      </c>
      <c r="F17" s="3">
        <f t="shared" si="0"/>
        <v>3254.081613716839</v>
      </c>
      <c r="G17" s="3">
        <f t="shared" si="1"/>
        <v>976.22448411505161</v>
      </c>
      <c r="H17" s="3">
        <f t="shared" si="2"/>
        <v>500</v>
      </c>
      <c r="I17" s="3">
        <f t="shared" si="6"/>
        <v>89.473524675791268</v>
      </c>
      <c r="J17" s="3">
        <f t="shared" si="7"/>
        <v>71668.293265308806</v>
      </c>
    </row>
    <row r="18" spans="1:10">
      <c r="A18" t="s">
        <v>21</v>
      </c>
      <c r="B18" s="3">
        <v>3254.0816137169395</v>
      </c>
      <c r="D18">
        <v>16</v>
      </c>
      <c r="E18" s="3">
        <f t="shared" si="5"/>
        <v>71668.293265308806</v>
      </c>
      <c r="F18" s="3">
        <f t="shared" si="0"/>
        <v>3254.081613716839</v>
      </c>
      <c r="G18" s="3">
        <f t="shared" si="1"/>
        <v>976.22448411505161</v>
      </c>
      <c r="H18" s="3">
        <f t="shared" si="2"/>
        <v>500</v>
      </c>
      <c r="I18" s="3">
        <f t="shared" si="6"/>
        <v>95.49824920392588</v>
      </c>
      <c r="J18" s="3">
        <f t="shared" si="7"/>
        <v>76494.097612344631</v>
      </c>
    </row>
    <row r="19" spans="1:10">
      <c r="A19" t="s">
        <v>22</v>
      </c>
      <c r="B19" s="3">
        <f>0.3*B18</f>
        <v>976.22448411508185</v>
      </c>
      <c r="D19">
        <v>17</v>
      </c>
      <c r="E19" s="3">
        <f t="shared" si="5"/>
        <v>76494.097612344631</v>
      </c>
      <c r="F19" s="3">
        <f t="shared" si="0"/>
        <v>3254.081613716839</v>
      </c>
      <c r="G19" s="3">
        <f t="shared" si="1"/>
        <v>976.22448411505161</v>
      </c>
      <c r="H19" s="3">
        <f t="shared" si="2"/>
        <v>500</v>
      </c>
      <c r="I19" s="3">
        <f t="shared" si="6"/>
        <v>101.53050463772067</v>
      </c>
      <c r="J19" s="3">
        <f t="shared" si="7"/>
        <v>81325.934214814246</v>
      </c>
    </row>
    <row r="20" spans="1:10">
      <c r="A20" t="s">
        <v>23</v>
      </c>
      <c r="B20" s="3">
        <v>500</v>
      </c>
      <c r="D20">
        <v>18</v>
      </c>
      <c r="E20" s="3">
        <f t="shared" si="5"/>
        <v>81325.934214814246</v>
      </c>
      <c r="F20" s="3">
        <f t="shared" si="0"/>
        <v>3254.081613716839</v>
      </c>
      <c r="G20" s="3">
        <f t="shared" si="1"/>
        <v>976.22448411505161</v>
      </c>
      <c r="H20" s="3">
        <f t="shared" si="2"/>
        <v>500</v>
      </c>
      <c r="I20" s="3">
        <f t="shared" si="6"/>
        <v>107.57030039080769</v>
      </c>
      <c r="J20" s="3">
        <f t="shared" si="7"/>
        <v>86163.810613036956</v>
      </c>
    </row>
    <row r="21" spans="1:10">
      <c r="A21" t="s">
        <v>29</v>
      </c>
      <c r="B21" s="3">
        <f>SUM(B18:B20)</f>
        <v>4730.3060978320209</v>
      </c>
      <c r="D21">
        <v>19</v>
      </c>
      <c r="E21" s="3">
        <f t="shared" si="5"/>
        <v>86163.810613036956</v>
      </c>
      <c r="F21" s="3">
        <f t="shared" si="0"/>
        <v>3254.081613716839</v>
      </c>
      <c r="G21" s="3">
        <f t="shared" si="1"/>
        <v>976.22448411505161</v>
      </c>
      <c r="H21" s="3">
        <f t="shared" si="2"/>
        <v>500</v>
      </c>
      <c r="I21" s="3">
        <f t="shared" si="6"/>
        <v>113.61764588858607</v>
      </c>
      <c r="J21" s="3">
        <f t="shared" si="7"/>
        <v>91007.734356757443</v>
      </c>
    </row>
    <row r="22" spans="1:10">
      <c r="A22" t="s">
        <v>27</v>
      </c>
      <c r="B22">
        <v>40</v>
      </c>
      <c r="D22">
        <v>20</v>
      </c>
      <c r="E22" s="3">
        <f t="shared" si="5"/>
        <v>91007.734356757443</v>
      </c>
      <c r="F22" s="3">
        <f t="shared" si="0"/>
        <v>3254.081613716839</v>
      </c>
      <c r="G22" s="3">
        <f t="shared" si="1"/>
        <v>976.22448411505161</v>
      </c>
      <c r="H22" s="3">
        <f t="shared" si="2"/>
        <v>500</v>
      </c>
      <c r="I22" s="3">
        <f t="shared" si="6"/>
        <v>119.67255056823667</v>
      </c>
      <c r="J22" s="3">
        <f t="shared" si="7"/>
        <v>95857.71300515758</v>
      </c>
    </row>
    <row r="23" spans="1:10">
      <c r="D23">
        <v>21</v>
      </c>
      <c r="E23" s="3">
        <f t="shared" si="5"/>
        <v>95857.71300515758</v>
      </c>
      <c r="F23" s="3">
        <f t="shared" si="0"/>
        <v>3254.081613716839</v>
      </c>
      <c r="G23" s="3">
        <f t="shared" si="1"/>
        <v>976.22448411505161</v>
      </c>
      <c r="H23" s="3">
        <f t="shared" si="2"/>
        <v>500</v>
      </c>
      <c r="I23" s="3">
        <f t="shared" si="6"/>
        <v>125.73502387873685</v>
      </c>
      <c r="J23" s="3">
        <f t="shared" si="7"/>
        <v>100713.75412686821</v>
      </c>
    </row>
    <row r="24" spans="1:10">
      <c r="A24" t="s">
        <v>28</v>
      </c>
      <c r="B24" s="14">
        <f>1.5%</f>
        <v>1.4999999999999999E-2</v>
      </c>
      <c r="D24">
        <v>22</v>
      </c>
      <c r="E24" s="3">
        <f t="shared" si="5"/>
        <v>100713.75412686821</v>
      </c>
      <c r="F24" s="3">
        <f t="shared" si="0"/>
        <v>3254.081613716839</v>
      </c>
      <c r="G24" s="3">
        <f t="shared" si="1"/>
        <v>976.22448411505161</v>
      </c>
      <c r="H24" s="3">
        <f t="shared" si="2"/>
        <v>500</v>
      </c>
      <c r="I24" s="3">
        <f t="shared" si="6"/>
        <v>131.80507528087514</v>
      </c>
      <c r="J24" s="3">
        <f t="shared" si="7"/>
        <v>105575.86529998099</v>
      </c>
    </row>
    <row r="25" spans="1:10">
      <c r="A25" t="s">
        <v>26</v>
      </c>
      <c r="B25" s="8">
        <f>1.5%/12</f>
        <v>1.25E-3</v>
      </c>
      <c r="D25">
        <v>23</v>
      </c>
      <c r="E25" s="3">
        <f t="shared" si="5"/>
        <v>105575.86529998099</v>
      </c>
      <c r="F25" s="3">
        <f t="shared" si="0"/>
        <v>3254.081613716839</v>
      </c>
      <c r="G25" s="3">
        <f t="shared" si="1"/>
        <v>976.22448411505161</v>
      </c>
      <c r="H25" s="3">
        <f t="shared" si="2"/>
        <v>500</v>
      </c>
      <c r="I25" s="3">
        <f t="shared" si="6"/>
        <v>137.88271424726611</v>
      </c>
      <c r="J25" s="3">
        <f t="shared" si="7"/>
        <v>110444.05411206016</v>
      </c>
    </row>
    <row r="26" spans="1:10">
      <c r="D26">
        <v>24</v>
      </c>
      <c r="E26" s="3">
        <f t="shared" si="5"/>
        <v>110444.05411206016</v>
      </c>
      <c r="F26" s="3">
        <f t="shared" si="0"/>
        <v>3254.081613716839</v>
      </c>
      <c r="G26" s="3">
        <f t="shared" si="1"/>
        <v>976.22448411505161</v>
      </c>
      <c r="H26" s="3">
        <f t="shared" si="2"/>
        <v>500</v>
      </c>
      <c r="I26" s="3">
        <f t="shared" si="6"/>
        <v>143.96795026236506</v>
      </c>
      <c r="J26" s="3">
        <f t="shared" si="7"/>
        <v>115318.32816015441</v>
      </c>
    </row>
    <row r="27" spans="1:10">
      <c r="A27" t="s">
        <v>115</v>
      </c>
      <c r="B27" s="3">
        <v>15000</v>
      </c>
      <c r="D27">
        <v>25</v>
      </c>
      <c r="E27" s="3">
        <f t="shared" si="5"/>
        <v>115318.32816015441</v>
      </c>
      <c r="F27" s="3">
        <f t="shared" si="0"/>
        <v>3254.081613716839</v>
      </c>
      <c r="G27" s="3">
        <f t="shared" si="1"/>
        <v>976.22448411505161</v>
      </c>
      <c r="H27" s="3">
        <f t="shared" si="2"/>
        <v>500</v>
      </c>
      <c r="I27" s="3">
        <f t="shared" si="6"/>
        <v>150.06079282248288</v>
      </c>
      <c r="J27" s="3">
        <f t="shared" si="7"/>
        <v>120198.69505080879</v>
      </c>
    </row>
    <row r="28" spans="1:10">
      <c r="A28" t="s">
        <v>25</v>
      </c>
      <c r="B28">
        <v>20</v>
      </c>
      <c r="D28">
        <v>26</v>
      </c>
      <c r="E28" s="3">
        <f t="shared" si="5"/>
        <v>120198.69505080879</v>
      </c>
      <c r="F28" s="3">
        <f t="shared" si="0"/>
        <v>3254.081613716839</v>
      </c>
      <c r="G28" s="3">
        <f t="shared" si="1"/>
        <v>976.22448411505161</v>
      </c>
      <c r="H28" s="3">
        <f t="shared" si="2"/>
        <v>500</v>
      </c>
      <c r="I28" s="3">
        <f t="shared" si="6"/>
        <v>156.16125143580086</v>
      </c>
      <c r="J28" s="3">
        <f t="shared" si="7"/>
        <v>125085.16240007649</v>
      </c>
    </row>
    <row r="29" spans="1:10">
      <c r="A29" t="s">
        <v>105</v>
      </c>
      <c r="B29" s="9">
        <f>FV(B25,480,B21,,1)</f>
        <v>-3112401.387218277</v>
      </c>
      <c r="D29">
        <v>27</v>
      </c>
      <c r="E29" s="3">
        <f t="shared" si="5"/>
        <v>125085.16240007649</v>
      </c>
      <c r="F29" s="3">
        <f t="shared" si="0"/>
        <v>3254.081613716839</v>
      </c>
      <c r="G29" s="3">
        <f t="shared" si="1"/>
        <v>976.22448411505161</v>
      </c>
      <c r="H29" s="3">
        <f t="shared" si="2"/>
        <v>500</v>
      </c>
      <c r="I29" s="3">
        <f t="shared" si="6"/>
        <v>162.26933562238548</v>
      </c>
      <c r="J29" s="3">
        <f t="shared" si="7"/>
        <v>129977.73783353077</v>
      </c>
    </row>
    <row r="30" spans="1:10">
      <c r="A30" t="s">
        <v>116</v>
      </c>
      <c r="B30" s="9">
        <f>PMT(B25,240,B29,0,1)</f>
        <v>14999.999999999998</v>
      </c>
      <c r="C30" t="s">
        <v>119</v>
      </c>
      <c r="D30">
        <v>28</v>
      </c>
      <c r="E30" s="3">
        <f t="shared" si="5"/>
        <v>129977.73783353077</v>
      </c>
      <c r="F30" s="3">
        <f t="shared" si="0"/>
        <v>3254.081613716839</v>
      </c>
      <c r="G30" s="3">
        <f t="shared" si="1"/>
        <v>976.22448411505161</v>
      </c>
      <c r="H30" s="3">
        <f t="shared" si="2"/>
        <v>500</v>
      </c>
      <c r="I30" s="3">
        <f t="shared" si="6"/>
        <v>168.38505491420332</v>
      </c>
      <c r="J30" s="3">
        <f t="shared" si="7"/>
        <v>134876.42898627685</v>
      </c>
    </row>
    <row r="31" spans="1:10">
      <c r="D31">
        <v>29</v>
      </c>
      <c r="E31" s="3">
        <f t="shared" si="5"/>
        <v>134876.42898627685</v>
      </c>
      <c r="F31" s="3">
        <f t="shared" si="0"/>
        <v>3254.081613716839</v>
      </c>
      <c r="G31" s="3">
        <f t="shared" si="1"/>
        <v>976.22448411505161</v>
      </c>
      <c r="H31" s="3">
        <f t="shared" si="2"/>
        <v>500</v>
      </c>
      <c r="I31" s="3">
        <f t="shared" si="6"/>
        <v>174.50841885513594</v>
      </c>
      <c r="J31" s="3">
        <f t="shared" si="7"/>
        <v>139781.24350296389</v>
      </c>
    </row>
    <row r="32" spans="1:10">
      <c r="D32">
        <v>30</v>
      </c>
      <c r="E32" s="3">
        <f t="shared" si="5"/>
        <v>139781.24350296389</v>
      </c>
      <c r="F32" s="3">
        <f t="shared" si="0"/>
        <v>3254.081613716839</v>
      </c>
      <c r="G32" s="3">
        <f t="shared" si="1"/>
        <v>976.22448411505161</v>
      </c>
      <c r="H32" s="3">
        <f t="shared" si="2"/>
        <v>500</v>
      </c>
      <c r="I32" s="3">
        <f t="shared" si="6"/>
        <v>180.63943700099475</v>
      </c>
      <c r="J32" s="3">
        <f t="shared" si="7"/>
        <v>144692.18903779678</v>
      </c>
    </row>
    <row r="33" spans="4:10">
      <c r="D33">
        <v>31</v>
      </c>
      <c r="E33" s="3">
        <f t="shared" si="5"/>
        <v>144692.18903779678</v>
      </c>
      <c r="F33" s="3">
        <f t="shared" si="0"/>
        <v>3254.081613716839</v>
      </c>
      <c r="G33" s="3">
        <f t="shared" si="1"/>
        <v>976.22448411505161</v>
      </c>
      <c r="H33" s="3">
        <f t="shared" si="2"/>
        <v>500</v>
      </c>
      <c r="I33" s="3">
        <f t="shared" si="6"/>
        <v>186.77811891953584</v>
      </c>
      <c r="J33" s="3">
        <f t="shared" si="7"/>
        <v>149609.2732545482</v>
      </c>
    </row>
    <row r="34" spans="4:10">
      <c r="D34">
        <v>32</v>
      </c>
      <c r="E34" s="3">
        <f t="shared" si="5"/>
        <v>149609.2732545482</v>
      </c>
      <c r="F34" s="3">
        <f t="shared" si="0"/>
        <v>3254.081613716839</v>
      </c>
      <c r="G34" s="3">
        <f t="shared" si="1"/>
        <v>976.22448411505161</v>
      </c>
      <c r="H34" s="3">
        <f t="shared" si="2"/>
        <v>500</v>
      </c>
      <c r="I34" s="3">
        <f t="shared" si="6"/>
        <v>192.92447419047514</v>
      </c>
      <c r="J34" s="3">
        <f t="shared" si="7"/>
        <v>154532.50382657058</v>
      </c>
    </row>
    <row r="35" spans="4:10">
      <c r="D35">
        <v>33</v>
      </c>
      <c r="E35" s="3">
        <f t="shared" si="5"/>
        <v>154532.50382657058</v>
      </c>
      <c r="F35" s="3">
        <f t="shared" si="0"/>
        <v>3254.081613716839</v>
      </c>
      <c r="G35" s="3">
        <f t="shared" si="1"/>
        <v>976.22448411505161</v>
      </c>
      <c r="H35" s="3">
        <f t="shared" si="2"/>
        <v>500</v>
      </c>
      <c r="I35" s="3">
        <f t="shared" si="6"/>
        <v>199.07851240550309</v>
      </c>
      <c r="J35" s="3">
        <f t="shared" si="7"/>
        <v>159461.88843680799</v>
      </c>
    </row>
    <row r="36" spans="4:10">
      <c r="D36">
        <v>34</v>
      </c>
      <c r="E36" s="3">
        <f t="shared" si="5"/>
        <v>159461.88843680799</v>
      </c>
      <c r="F36" s="3">
        <f t="shared" si="0"/>
        <v>3254.081613716839</v>
      </c>
      <c r="G36" s="3">
        <f t="shared" si="1"/>
        <v>976.22448411505161</v>
      </c>
      <c r="H36" s="3">
        <f t="shared" si="2"/>
        <v>500</v>
      </c>
      <c r="I36" s="3">
        <f t="shared" si="6"/>
        <v>205.24024316829986</v>
      </c>
      <c r="J36" s="3">
        <f t="shared" si="7"/>
        <v>164397.43477780817</v>
      </c>
    </row>
    <row r="37" spans="4:10">
      <c r="D37">
        <v>35</v>
      </c>
      <c r="E37" s="3">
        <f t="shared" si="5"/>
        <v>164397.43477780817</v>
      </c>
      <c r="F37" s="3">
        <f t="shared" si="0"/>
        <v>3254.081613716839</v>
      </c>
      <c r="G37" s="3">
        <f t="shared" si="1"/>
        <v>976.22448411505161</v>
      </c>
      <c r="H37" s="3">
        <f t="shared" si="2"/>
        <v>500</v>
      </c>
      <c r="I37" s="3">
        <f t="shared" si="6"/>
        <v>211.40967609455009</v>
      </c>
      <c r="J37" s="3">
        <f t="shared" si="7"/>
        <v>169339.15055173461</v>
      </c>
    </row>
    <row r="38" spans="4:10">
      <c r="D38">
        <v>36</v>
      </c>
      <c r="E38" s="3">
        <f t="shared" si="5"/>
        <v>169339.15055173461</v>
      </c>
      <c r="F38" s="3">
        <f t="shared" si="0"/>
        <v>3254.081613716839</v>
      </c>
      <c r="G38" s="3">
        <f t="shared" si="1"/>
        <v>976.22448411505161</v>
      </c>
      <c r="H38" s="3">
        <f t="shared" si="2"/>
        <v>500</v>
      </c>
      <c r="I38" s="3">
        <f t="shared" si="6"/>
        <v>217.58682081195815</v>
      </c>
      <c r="J38" s="3">
        <f t="shared" si="7"/>
        <v>174287.04347037847</v>
      </c>
    </row>
    <row r="39" spans="4:10">
      <c r="D39">
        <v>37</v>
      </c>
      <c r="E39" s="3">
        <f t="shared" si="5"/>
        <v>174287.04347037847</v>
      </c>
      <c r="F39" s="3">
        <f t="shared" si="0"/>
        <v>3254.081613716839</v>
      </c>
      <c r="G39" s="3">
        <f t="shared" si="1"/>
        <v>976.22448411505161</v>
      </c>
      <c r="H39" s="3">
        <f t="shared" si="2"/>
        <v>500</v>
      </c>
      <c r="I39" s="3">
        <f t="shared" si="6"/>
        <v>223.77168696026297</v>
      </c>
      <c r="J39" s="3">
        <f t="shared" si="7"/>
        <v>179241.12125517064</v>
      </c>
    </row>
    <row r="40" spans="4:10">
      <c r="D40">
        <v>38</v>
      </c>
      <c r="E40" s="3">
        <f t="shared" si="5"/>
        <v>179241.12125517064</v>
      </c>
      <c r="F40" s="3">
        <f t="shared" si="0"/>
        <v>3254.081613716839</v>
      </c>
      <c r="G40" s="3">
        <f t="shared" si="1"/>
        <v>976.22448411505161</v>
      </c>
      <c r="H40" s="3">
        <f t="shared" si="2"/>
        <v>500</v>
      </c>
      <c r="I40" s="3">
        <f t="shared" si="6"/>
        <v>229.96428419125317</v>
      </c>
      <c r="J40" s="3">
        <f t="shared" si="7"/>
        <v>184201.3916371938</v>
      </c>
    </row>
    <row r="41" spans="4:10">
      <c r="D41">
        <v>39</v>
      </c>
      <c r="E41" s="3">
        <f t="shared" si="5"/>
        <v>184201.3916371938</v>
      </c>
      <c r="F41" s="3">
        <f t="shared" si="0"/>
        <v>3254.081613716839</v>
      </c>
      <c r="G41" s="3">
        <f t="shared" si="1"/>
        <v>976.22448411505161</v>
      </c>
      <c r="H41" s="3">
        <f t="shared" si="2"/>
        <v>500</v>
      </c>
      <c r="I41" s="3">
        <f t="shared" si="6"/>
        <v>236.16462216878213</v>
      </c>
      <c r="J41" s="3">
        <f t="shared" si="7"/>
        <v>189167.86235719448</v>
      </c>
    </row>
    <row r="42" spans="4:10">
      <c r="D42">
        <v>40</v>
      </c>
      <c r="E42" s="3">
        <f t="shared" si="5"/>
        <v>189167.86235719448</v>
      </c>
      <c r="F42" s="3">
        <f t="shared" si="0"/>
        <v>3254.081613716839</v>
      </c>
      <c r="G42" s="3">
        <f t="shared" si="1"/>
        <v>976.22448411505161</v>
      </c>
      <c r="H42" s="3">
        <f t="shared" si="2"/>
        <v>500</v>
      </c>
      <c r="I42" s="3">
        <f t="shared" si="6"/>
        <v>242.37271056878296</v>
      </c>
      <c r="J42" s="3">
        <f t="shared" si="7"/>
        <v>194140.54116559515</v>
      </c>
    </row>
    <row r="43" spans="4:10">
      <c r="D43">
        <v>41</v>
      </c>
      <c r="E43" s="3">
        <f t="shared" si="5"/>
        <v>194140.54116559515</v>
      </c>
      <c r="F43" s="3">
        <f t="shared" si="0"/>
        <v>3254.081613716839</v>
      </c>
      <c r="G43" s="3">
        <f t="shared" si="1"/>
        <v>976.22448411505161</v>
      </c>
      <c r="H43" s="3">
        <f t="shared" si="2"/>
        <v>500</v>
      </c>
      <c r="I43" s="3">
        <f t="shared" si="6"/>
        <v>248.58855907928381</v>
      </c>
      <c r="J43" s="3">
        <f t="shared" si="7"/>
        <v>199119.43582250632</v>
      </c>
    </row>
    <row r="44" spans="4:10">
      <c r="D44">
        <v>42</v>
      </c>
      <c r="E44" s="3">
        <f t="shared" si="5"/>
        <v>199119.43582250632</v>
      </c>
      <c r="F44" s="3">
        <f t="shared" si="0"/>
        <v>3254.081613716839</v>
      </c>
      <c r="G44" s="3">
        <f t="shared" si="1"/>
        <v>976.22448411505161</v>
      </c>
      <c r="H44" s="3">
        <f t="shared" si="2"/>
        <v>500</v>
      </c>
      <c r="I44" s="3">
        <f t="shared" si="6"/>
        <v>254.81217740042277</v>
      </c>
      <c r="J44" s="3">
        <f t="shared" si="7"/>
        <v>204104.55409773864</v>
      </c>
    </row>
    <row r="45" spans="4:10">
      <c r="D45">
        <v>43</v>
      </c>
      <c r="E45" s="3">
        <f t="shared" si="5"/>
        <v>204104.55409773864</v>
      </c>
      <c r="F45" s="3">
        <f t="shared" si="0"/>
        <v>3254.081613716839</v>
      </c>
      <c r="G45" s="3">
        <f t="shared" si="1"/>
        <v>976.22448411505161</v>
      </c>
      <c r="H45" s="3">
        <f t="shared" si="2"/>
        <v>500</v>
      </c>
      <c r="I45" s="3">
        <f t="shared" si="6"/>
        <v>261.04357524446317</v>
      </c>
      <c r="J45" s="3">
        <f t="shared" si="7"/>
        <v>209095.903770815</v>
      </c>
    </row>
    <row r="46" spans="4:10">
      <c r="D46">
        <v>44</v>
      </c>
      <c r="E46" s="3">
        <f t="shared" si="5"/>
        <v>209095.903770815</v>
      </c>
      <c r="F46" s="3">
        <f t="shared" si="0"/>
        <v>3254.081613716839</v>
      </c>
      <c r="G46" s="3">
        <f t="shared" si="1"/>
        <v>976.22448411505161</v>
      </c>
      <c r="H46" s="3">
        <f t="shared" si="2"/>
        <v>500</v>
      </c>
      <c r="I46" s="3">
        <f t="shared" si="6"/>
        <v>267.28276233580863</v>
      </c>
      <c r="J46" s="3">
        <f t="shared" si="7"/>
        <v>214093.49263098271</v>
      </c>
    </row>
    <row r="47" spans="4:10">
      <c r="D47">
        <v>45</v>
      </c>
      <c r="E47" s="3">
        <f t="shared" si="5"/>
        <v>214093.49263098271</v>
      </c>
      <c r="F47" s="3">
        <f t="shared" si="0"/>
        <v>3254.081613716839</v>
      </c>
      <c r="G47" s="3">
        <f t="shared" si="1"/>
        <v>976.22448411505161</v>
      </c>
      <c r="H47" s="3">
        <f t="shared" si="2"/>
        <v>500</v>
      </c>
      <c r="I47" s="3">
        <f t="shared" si="6"/>
        <v>273.52974841101826</v>
      </c>
      <c r="J47" s="3">
        <f t="shared" si="7"/>
        <v>219097.32847722562</v>
      </c>
    </row>
    <row r="48" spans="4:10">
      <c r="D48">
        <v>46</v>
      </c>
      <c r="E48" s="3">
        <f t="shared" si="5"/>
        <v>219097.32847722562</v>
      </c>
      <c r="F48" s="3">
        <f t="shared" si="0"/>
        <v>3254.081613716839</v>
      </c>
      <c r="G48" s="3">
        <f t="shared" si="1"/>
        <v>976.22448411505161</v>
      </c>
      <c r="H48" s="3">
        <f t="shared" si="2"/>
        <v>500</v>
      </c>
      <c r="I48" s="3">
        <f t="shared" si="6"/>
        <v>279.78454321882191</v>
      </c>
      <c r="J48" s="3">
        <f t="shared" si="7"/>
        <v>224107.41911827633</v>
      </c>
    </row>
    <row r="49" spans="4:10">
      <c r="D49">
        <v>47</v>
      </c>
      <c r="E49" s="3">
        <f t="shared" si="5"/>
        <v>224107.41911827633</v>
      </c>
      <c r="F49" s="3">
        <f t="shared" si="0"/>
        <v>3254.081613716839</v>
      </c>
      <c r="G49" s="3">
        <f t="shared" si="1"/>
        <v>976.22448411505161</v>
      </c>
      <c r="H49" s="3">
        <f t="shared" si="2"/>
        <v>500</v>
      </c>
      <c r="I49" s="3">
        <f t="shared" si="6"/>
        <v>286.04715652013527</v>
      </c>
      <c r="J49" s="3">
        <f t="shared" si="7"/>
        <v>229123.77237262836</v>
      </c>
    </row>
    <row r="50" spans="4:10">
      <c r="D50">
        <v>48</v>
      </c>
      <c r="E50" s="3">
        <f t="shared" si="5"/>
        <v>229123.77237262836</v>
      </c>
      <c r="F50" s="3">
        <f t="shared" si="0"/>
        <v>3254.081613716839</v>
      </c>
      <c r="G50" s="3">
        <f t="shared" si="1"/>
        <v>976.22448411505161</v>
      </c>
      <c r="H50" s="3">
        <f t="shared" si="2"/>
        <v>500</v>
      </c>
      <c r="I50" s="3">
        <f t="shared" si="6"/>
        <v>292.31759808807533</v>
      </c>
      <c r="J50" s="3">
        <f t="shared" si="7"/>
        <v>234146.39606854832</v>
      </c>
    </row>
    <row r="51" spans="4:10">
      <c r="D51">
        <v>49</v>
      </c>
      <c r="E51" s="3">
        <f t="shared" si="5"/>
        <v>234146.39606854832</v>
      </c>
      <c r="F51" s="3">
        <f t="shared" si="0"/>
        <v>3254.081613716839</v>
      </c>
      <c r="G51" s="3">
        <f t="shared" si="1"/>
        <v>976.22448411505161</v>
      </c>
      <c r="H51" s="3">
        <f t="shared" si="2"/>
        <v>500</v>
      </c>
      <c r="I51" s="3">
        <f t="shared" si="6"/>
        <v>298.59587770797526</v>
      </c>
      <c r="J51" s="3">
        <f t="shared" si="7"/>
        <v>239175.29804408818</v>
      </c>
    </row>
    <row r="52" spans="4:10">
      <c r="D52">
        <v>50</v>
      </c>
      <c r="E52" s="3">
        <f t="shared" si="5"/>
        <v>239175.29804408818</v>
      </c>
      <c r="F52" s="3">
        <f t="shared" si="0"/>
        <v>3254.081613716839</v>
      </c>
      <c r="G52" s="3">
        <f t="shared" si="1"/>
        <v>976.22448411505161</v>
      </c>
      <c r="H52" s="3">
        <f t="shared" si="2"/>
        <v>500</v>
      </c>
      <c r="I52" s="3">
        <f t="shared" si="6"/>
        <v>304.88200517740012</v>
      </c>
      <c r="J52" s="3">
        <f t="shared" si="7"/>
        <v>244210.48614709749</v>
      </c>
    </row>
    <row r="53" spans="4:10">
      <c r="D53">
        <v>51</v>
      </c>
      <c r="E53" s="3">
        <f t="shared" si="5"/>
        <v>244210.48614709749</v>
      </c>
      <c r="F53" s="3">
        <f t="shared" si="0"/>
        <v>3254.081613716839</v>
      </c>
      <c r="G53" s="3">
        <f t="shared" si="1"/>
        <v>976.22448411505161</v>
      </c>
      <c r="H53" s="3">
        <f t="shared" si="2"/>
        <v>500</v>
      </c>
      <c r="I53" s="3">
        <f t="shared" si="6"/>
        <v>311.17599030616174</v>
      </c>
      <c r="J53" s="3">
        <f t="shared" si="7"/>
        <v>249251.96823523554</v>
      </c>
    </row>
    <row r="54" spans="4:10">
      <c r="D54">
        <v>52</v>
      </c>
      <c r="E54" s="3">
        <f t="shared" si="5"/>
        <v>249251.96823523554</v>
      </c>
      <c r="F54" s="3">
        <f t="shared" si="0"/>
        <v>3254.081613716839</v>
      </c>
      <c r="G54" s="3">
        <f t="shared" si="1"/>
        <v>976.22448411505161</v>
      </c>
      <c r="H54" s="3">
        <f t="shared" si="2"/>
        <v>500</v>
      </c>
      <c r="I54" s="3">
        <f t="shared" si="6"/>
        <v>317.47784291633428</v>
      </c>
      <c r="J54" s="3">
        <f t="shared" si="7"/>
        <v>254299.75217598377</v>
      </c>
    </row>
    <row r="55" spans="4:10">
      <c r="D55">
        <v>53</v>
      </c>
      <c r="E55" s="3">
        <f t="shared" si="5"/>
        <v>254299.75217598377</v>
      </c>
      <c r="F55" s="3">
        <f t="shared" si="0"/>
        <v>3254.081613716839</v>
      </c>
      <c r="G55" s="3">
        <f t="shared" si="1"/>
        <v>976.22448411505161</v>
      </c>
      <c r="H55" s="3">
        <f t="shared" si="2"/>
        <v>500</v>
      </c>
      <c r="I55" s="3">
        <f t="shared" si="6"/>
        <v>323.78757284226958</v>
      </c>
      <c r="J55" s="3">
        <f t="shared" si="7"/>
        <v>259353.84584665793</v>
      </c>
    </row>
    <row r="56" spans="4:10">
      <c r="D56">
        <v>54</v>
      </c>
      <c r="E56" s="3">
        <f t="shared" si="5"/>
        <v>259353.84584665793</v>
      </c>
      <c r="F56" s="3">
        <f t="shared" si="0"/>
        <v>3254.081613716839</v>
      </c>
      <c r="G56" s="3">
        <f t="shared" si="1"/>
        <v>976.22448411505161</v>
      </c>
      <c r="H56" s="3">
        <f t="shared" si="2"/>
        <v>500</v>
      </c>
      <c r="I56" s="3">
        <f t="shared" si="6"/>
        <v>330.10518993061226</v>
      </c>
      <c r="J56" s="3">
        <f t="shared" si="7"/>
        <v>264414.25713442039</v>
      </c>
    </row>
    <row r="57" spans="4:10">
      <c r="D57">
        <v>55</v>
      </c>
      <c r="E57" s="3">
        <f t="shared" si="5"/>
        <v>264414.25713442039</v>
      </c>
      <c r="F57" s="3">
        <f t="shared" si="0"/>
        <v>3254.081613716839</v>
      </c>
      <c r="G57" s="3">
        <f t="shared" si="1"/>
        <v>976.22448411505161</v>
      </c>
      <c r="H57" s="3">
        <f t="shared" si="2"/>
        <v>500</v>
      </c>
      <c r="I57" s="3">
        <f t="shared" si="6"/>
        <v>336.43070404031533</v>
      </c>
      <c r="J57" s="3">
        <f t="shared" si="7"/>
        <v>269480.99393629259</v>
      </c>
    </row>
    <row r="58" spans="4:10">
      <c r="D58">
        <v>56</v>
      </c>
      <c r="E58" s="3">
        <f t="shared" si="5"/>
        <v>269480.99393629259</v>
      </c>
      <c r="F58" s="3">
        <f t="shared" si="0"/>
        <v>3254.081613716839</v>
      </c>
      <c r="G58" s="3">
        <f t="shared" si="1"/>
        <v>976.22448411505161</v>
      </c>
      <c r="H58" s="3">
        <f t="shared" si="2"/>
        <v>500</v>
      </c>
      <c r="I58" s="3">
        <f t="shared" si="6"/>
        <v>342.76412504265556</v>
      </c>
      <c r="J58" s="3">
        <f t="shared" si="7"/>
        <v>274554.06415916712</v>
      </c>
    </row>
    <row r="59" spans="4:10">
      <c r="D59">
        <v>57</v>
      </c>
      <c r="E59" s="3">
        <f t="shared" si="5"/>
        <v>274554.06415916712</v>
      </c>
      <c r="F59" s="3">
        <f t="shared" si="0"/>
        <v>3254.081613716839</v>
      </c>
      <c r="G59" s="3">
        <f t="shared" si="1"/>
        <v>976.22448411505161</v>
      </c>
      <c r="H59" s="3">
        <f t="shared" si="2"/>
        <v>500</v>
      </c>
      <c r="I59" s="3">
        <f t="shared" si="6"/>
        <v>349.10546282124875</v>
      </c>
      <c r="J59" s="3">
        <f t="shared" si="7"/>
        <v>279633.47571982024</v>
      </c>
    </row>
    <row r="60" spans="4:10">
      <c r="D60">
        <v>58</v>
      </c>
      <c r="E60" s="3">
        <f t="shared" si="5"/>
        <v>279633.47571982024</v>
      </c>
      <c r="F60" s="3">
        <f t="shared" si="0"/>
        <v>3254.081613716839</v>
      </c>
      <c r="G60" s="3">
        <f t="shared" si="1"/>
        <v>976.22448411505161</v>
      </c>
      <c r="H60" s="3">
        <f t="shared" si="2"/>
        <v>500</v>
      </c>
      <c r="I60" s="3">
        <f t="shared" si="6"/>
        <v>355.45472727206516</v>
      </c>
      <c r="J60" s="3">
        <f t="shared" si="7"/>
        <v>284719.23654492415</v>
      </c>
    </row>
    <row r="61" spans="4:10">
      <c r="D61">
        <v>59</v>
      </c>
      <c r="E61" s="3">
        <f t="shared" si="5"/>
        <v>284719.23654492415</v>
      </c>
      <c r="F61" s="3">
        <f t="shared" si="0"/>
        <v>3254.081613716839</v>
      </c>
      <c r="G61" s="3">
        <f t="shared" si="1"/>
        <v>976.22448411505161</v>
      </c>
      <c r="H61" s="3">
        <f t="shared" si="2"/>
        <v>500</v>
      </c>
      <c r="I61" s="3">
        <f t="shared" si="6"/>
        <v>361.81192830344503</v>
      </c>
      <c r="J61" s="3">
        <f t="shared" si="7"/>
        <v>289811.35457105946</v>
      </c>
    </row>
    <row r="62" spans="4:10">
      <c r="D62">
        <v>60</v>
      </c>
      <c r="E62" s="3">
        <f t="shared" si="5"/>
        <v>289811.35457105946</v>
      </c>
      <c r="F62" s="3">
        <f t="shared" si="0"/>
        <v>3254.081613716839</v>
      </c>
      <c r="G62" s="3">
        <f t="shared" si="1"/>
        <v>976.22448411505161</v>
      </c>
      <c r="H62" s="3">
        <f t="shared" si="2"/>
        <v>500</v>
      </c>
      <c r="I62" s="3">
        <f t="shared" si="6"/>
        <v>368.17707583611417</v>
      </c>
      <c r="J62" s="3">
        <f t="shared" si="7"/>
        <v>294909.83774472744</v>
      </c>
    </row>
    <row r="63" spans="4:10">
      <c r="D63">
        <v>61</v>
      </c>
      <c r="E63" s="3">
        <f t="shared" si="5"/>
        <v>294909.83774472744</v>
      </c>
      <c r="F63" s="3">
        <f t="shared" si="0"/>
        <v>3254.081613716839</v>
      </c>
      <c r="G63" s="3">
        <f t="shared" si="1"/>
        <v>976.22448411505161</v>
      </c>
      <c r="H63" s="3">
        <f t="shared" si="2"/>
        <v>500</v>
      </c>
      <c r="I63" s="3">
        <f t="shared" si="6"/>
        <v>374.55017980319911</v>
      </c>
      <c r="J63" s="3">
        <f t="shared" si="7"/>
        <v>300014.69402236253</v>
      </c>
    </row>
    <row r="64" spans="4:10">
      <c r="D64">
        <v>62</v>
      </c>
      <c r="E64" s="3">
        <f t="shared" si="5"/>
        <v>300014.69402236253</v>
      </c>
      <c r="F64" s="3">
        <f t="shared" si="0"/>
        <v>3254.081613716839</v>
      </c>
      <c r="G64" s="3">
        <f t="shared" si="1"/>
        <v>976.22448411505161</v>
      </c>
      <c r="H64" s="3">
        <f t="shared" si="2"/>
        <v>500</v>
      </c>
      <c r="I64" s="3">
        <f t="shared" si="6"/>
        <v>380.93125015024299</v>
      </c>
      <c r="J64" s="3">
        <f t="shared" si="7"/>
        <v>305125.93137034465</v>
      </c>
    </row>
    <row r="65" spans="4:10">
      <c r="D65">
        <v>63</v>
      </c>
      <c r="E65" s="3">
        <f t="shared" si="5"/>
        <v>305125.93137034465</v>
      </c>
      <c r="F65" s="3">
        <f t="shared" si="0"/>
        <v>3254.081613716839</v>
      </c>
      <c r="G65" s="3">
        <f t="shared" si="1"/>
        <v>976.22448411505161</v>
      </c>
      <c r="H65" s="3">
        <f t="shared" si="2"/>
        <v>500</v>
      </c>
      <c r="I65" s="3">
        <f t="shared" si="6"/>
        <v>387.32029683522069</v>
      </c>
      <c r="J65" s="3">
        <f t="shared" si="7"/>
        <v>310243.55776501173</v>
      </c>
    </row>
    <row r="66" spans="4:10">
      <c r="D66">
        <v>64</v>
      </c>
      <c r="E66" s="3">
        <f t="shared" si="5"/>
        <v>310243.55776501173</v>
      </c>
      <c r="F66" s="3">
        <f t="shared" si="0"/>
        <v>3254.081613716839</v>
      </c>
      <c r="G66" s="3">
        <f t="shared" si="1"/>
        <v>976.22448411505161</v>
      </c>
      <c r="H66" s="3">
        <f t="shared" si="2"/>
        <v>500</v>
      </c>
      <c r="I66" s="3">
        <f t="shared" si="6"/>
        <v>393.71732982855451</v>
      </c>
      <c r="J66" s="3">
        <f t="shared" si="7"/>
        <v>315367.58119267214</v>
      </c>
    </row>
    <row r="67" spans="4:10">
      <c r="D67">
        <v>65</v>
      </c>
      <c r="E67" s="3">
        <f t="shared" si="5"/>
        <v>315367.58119267214</v>
      </c>
      <c r="F67" s="3">
        <f t="shared" si="0"/>
        <v>3254.081613716839</v>
      </c>
      <c r="G67" s="3">
        <f t="shared" si="1"/>
        <v>976.22448411505161</v>
      </c>
      <c r="H67" s="3">
        <f t="shared" si="2"/>
        <v>500</v>
      </c>
      <c r="I67" s="3">
        <f t="shared" si="6"/>
        <v>400.12235911313002</v>
      </c>
      <c r="J67" s="3">
        <f t="shared" si="7"/>
        <v>320498.00964961713</v>
      </c>
    </row>
    <row r="68" spans="4:10">
      <c r="D68">
        <v>66</v>
      </c>
      <c r="E68" s="3">
        <f t="shared" si="5"/>
        <v>320498.00964961713</v>
      </c>
      <c r="F68" s="3">
        <f t="shared" ref="F68:F131" si="8">$B$2</f>
        <v>3254.081613716839</v>
      </c>
      <c r="G68" s="3">
        <f t="shared" ref="G68:G131" si="9">$B$3</f>
        <v>976.22448411505161</v>
      </c>
      <c r="H68" s="3">
        <f t="shared" ref="H68:H131" si="10">$B$4</f>
        <v>500</v>
      </c>
      <c r="I68" s="3">
        <f t="shared" si="6"/>
        <v>406.53539468431126</v>
      </c>
      <c r="J68" s="3">
        <f t="shared" si="7"/>
        <v>325634.8511421333</v>
      </c>
    </row>
    <row r="69" spans="4:10">
      <c r="D69">
        <v>67</v>
      </c>
      <c r="E69" s="3">
        <f t="shared" ref="E69:E132" si="11">J68</f>
        <v>325634.8511421333</v>
      </c>
      <c r="F69" s="3">
        <f t="shared" si="8"/>
        <v>3254.081613716839</v>
      </c>
      <c r="G69" s="3">
        <f t="shared" si="9"/>
        <v>976.22448411505161</v>
      </c>
      <c r="H69" s="3">
        <f t="shared" si="10"/>
        <v>500</v>
      </c>
      <c r="I69" s="3">
        <f t="shared" ref="I69:I132" si="12">$B$9*SUM(E69:H69)</f>
        <v>412.95644654995647</v>
      </c>
      <c r="J69" s="3">
        <f t="shared" ref="J69:J132" si="13">SUM(E69:I69)</f>
        <v>330778.11368651513</v>
      </c>
    </row>
    <row r="70" spans="4:10">
      <c r="D70">
        <v>68</v>
      </c>
      <c r="E70" s="3">
        <f t="shared" si="11"/>
        <v>330778.11368651513</v>
      </c>
      <c r="F70" s="3">
        <f t="shared" si="8"/>
        <v>3254.081613716839</v>
      </c>
      <c r="G70" s="3">
        <f t="shared" si="9"/>
        <v>976.22448411505161</v>
      </c>
      <c r="H70" s="3">
        <f t="shared" si="10"/>
        <v>500</v>
      </c>
      <c r="I70" s="3">
        <f t="shared" si="12"/>
        <v>419.38552473043376</v>
      </c>
      <c r="J70" s="3">
        <f t="shared" si="13"/>
        <v>335927.80530907743</v>
      </c>
    </row>
    <row r="71" spans="4:10">
      <c r="D71">
        <v>69</v>
      </c>
      <c r="E71" s="3">
        <f t="shared" si="11"/>
        <v>335927.80530907743</v>
      </c>
      <c r="F71" s="3">
        <f t="shared" si="8"/>
        <v>3254.081613716839</v>
      </c>
      <c r="G71" s="3">
        <f t="shared" si="9"/>
        <v>976.22448411505161</v>
      </c>
      <c r="H71" s="3">
        <f t="shared" si="10"/>
        <v>500</v>
      </c>
      <c r="I71" s="3">
        <f t="shared" si="12"/>
        <v>425.82263925863663</v>
      </c>
      <c r="J71" s="3">
        <f t="shared" si="13"/>
        <v>341083.93404616794</v>
      </c>
    </row>
    <row r="72" spans="4:10">
      <c r="D72">
        <v>70</v>
      </c>
      <c r="E72" s="3">
        <f t="shared" si="11"/>
        <v>341083.93404616794</v>
      </c>
      <c r="F72" s="3">
        <f t="shared" si="8"/>
        <v>3254.081613716839</v>
      </c>
      <c r="G72" s="3">
        <f t="shared" si="9"/>
        <v>976.22448411505161</v>
      </c>
      <c r="H72" s="3">
        <f t="shared" si="10"/>
        <v>500</v>
      </c>
      <c r="I72" s="3">
        <f t="shared" si="12"/>
        <v>432.26780017999977</v>
      </c>
      <c r="J72" s="3">
        <f t="shared" si="13"/>
        <v>346246.50794417982</v>
      </c>
    </row>
    <row r="73" spans="4:10">
      <c r="D73">
        <v>71</v>
      </c>
      <c r="E73" s="3">
        <f t="shared" si="11"/>
        <v>346246.50794417982</v>
      </c>
      <c r="F73" s="3">
        <f t="shared" si="8"/>
        <v>3254.081613716839</v>
      </c>
      <c r="G73" s="3">
        <f t="shared" si="9"/>
        <v>976.22448411505161</v>
      </c>
      <c r="H73" s="3">
        <f t="shared" si="10"/>
        <v>500</v>
      </c>
      <c r="I73" s="3">
        <f t="shared" si="12"/>
        <v>438.72101755251464</v>
      </c>
      <c r="J73" s="3">
        <f t="shared" si="13"/>
        <v>351415.53505956422</v>
      </c>
    </row>
    <row r="74" spans="4:10">
      <c r="D74">
        <v>72</v>
      </c>
      <c r="E74" s="3">
        <f t="shared" si="11"/>
        <v>351415.53505956422</v>
      </c>
      <c r="F74" s="3">
        <f t="shared" si="8"/>
        <v>3254.081613716839</v>
      </c>
      <c r="G74" s="3">
        <f t="shared" si="9"/>
        <v>976.22448411505161</v>
      </c>
      <c r="H74" s="3">
        <f t="shared" si="10"/>
        <v>500</v>
      </c>
      <c r="I74" s="3">
        <f t="shared" si="12"/>
        <v>445.1823014467451</v>
      </c>
      <c r="J74" s="3">
        <f t="shared" si="13"/>
        <v>356591.02345884283</v>
      </c>
    </row>
    <row r="75" spans="4:10">
      <c r="D75">
        <v>73</v>
      </c>
      <c r="E75" s="3">
        <f t="shared" si="11"/>
        <v>356591.02345884283</v>
      </c>
      <c r="F75" s="3">
        <f t="shared" si="8"/>
        <v>3254.081613716839</v>
      </c>
      <c r="G75" s="3">
        <f t="shared" si="9"/>
        <v>976.22448411505161</v>
      </c>
      <c r="H75" s="3">
        <f t="shared" si="10"/>
        <v>500</v>
      </c>
      <c r="I75" s="3">
        <f t="shared" si="12"/>
        <v>451.65166194584339</v>
      </c>
      <c r="J75" s="3">
        <f t="shared" si="13"/>
        <v>361772.98121862055</v>
      </c>
    </row>
    <row r="76" spans="4:10">
      <c r="D76">
        <v>74</v>
      </c>
      <c r="E76" s="3">
        <f t="shared" si="11"/>
        <v>361772.98121862055</v>
      </c>
      <c r="F76" s="3">
        <f t="shared" si="8"/>
        <v>3254.081613716839</v>
      </c>
      <c r="G76" s="3">
        <f t="shared" si="9"/>
        <v>976.22448411505161</v>
      </c>
      <c r="H76" s="3">
        <f t="shared" si="10"/>
        <v>500</v>
      </c>
      <c r="I76" s="3">
        <f t="shared" si="12"/>
        <v>458.12910914556551</v>
      </c>
      <c r="J76" s="3">
        <f t="shared" si="13"/>
        <v>366961.41642559797</v>
      </c>
    </row>
    <row r="77" spans="4:10">
      <c r="D77">
        <v>75</v>
      </c>
      <c r="E77" s="3">
        <f t="shared" si="11"/>
        <v>366961.41642559797</v>
      </c>
      <c r="F77" s="3">
        <f t="shared" si="8"/>
        <v>3254.081613716839</v>
      </c>
      <c r="G77" s="3">
        <f t="shared" si="9"/>
        <v>976.22448411505161</v>
      </c>
      <c r="H77" s="3">
        <f t="shared" si="10"/>
        <v>500</v>
      </c>
      <c r="I77" s="3">
        <f t="shared" si="12"/>
        <v>464.61465315428728</v>
      </c>
      <c r="J77" s="3">
        <f t="shared" si="13"/>
        <v>372156.33717658411</v>
      </c>
    </row>
    <row r="78" spans="4:10">
      <c r="D78">
        <v>76</v>
      </c>
      <c r="E78" s="3">
        <f t="shared" si="11"/>
        <v>372156.33717658411</v>
      </c>
      <c r="F78" s="3">
        <f t="shared" si="8"/>
        <v>3254.081613716839</v>
      </c>
      <c r="G78" s="3">
        <f t="shared" si="9"/>
        <v>976.22448411505161</v>
      </c>
      <c r="H78" s="3">
        <f t="shared" si="10"/>
        <v>500</v>
      </c>
      <c r="I78" s="3">
        <f t="shared" si="12"/>
        <v>471.10830409301997</v>
      </c>
      <c r="J78" s="3">
        <f t="shared" si="13"/>
        <v>377357.75157850899</v>
      </c>
    </row>
    <row r="79" spans="4:10">
      <c r="D79">
        <v>77</v>
      </c>
      <c r="E79" s="3">
        <f t="shared" si="11"/>
        <v>377357.75157850899</v>
      </c>
      <c r="F79" s="3">
        <f t="shared" si="8"/>
        <v>3254.081613716839</v>
      </c>
      <c r="G79" s="3">
        <f t="shared" si="9"/>
        <v>976.22448411505161</v>
      </c>
      <c r="H79" s="3">
        <f t="shared" si="10"/>
        <v>500</v>
      </c>
      <c r="I79" s="3">
        <f t="shared" si="12"/>
        <v>477.61007209542606</v>
      </c>
      <c r="J79" s="3">
        <f t="shared" si="13"/>
        <v>382565.66774843627</v>
      </c>
    </row>
    <row r="80" spans="4:10">
      <c r="D80">
        <v>78</v>
      </c>
      <c r="E80" s="3">
        <f t="shared" si="11"/>
        <v>382565.66774843627</v>
      </c>
      <c r="F80" s="3">
        <f t="shared" si="8"/>
        <v>3254.081613716839</v>
      </c>
      <c r="G80" s="3">
        <f t="shared" si="9"/>
        <v>976.22448411505161</v>
      </c>
      <c r="H80" s="3">
        <f t="shared" si="10"/>
        <v>500</v>
      </c>
      <c r="I80" s="3">
        <f t="shared" si="12"/>
        <v>484.11996730783517</v>
      </c>
      <c r="J80" s="3">
        <f t="shared" si="13"/>
        <v>387780.09381357598</v>
      </c>
    </row>
    <row r="81" spans="4:10">
      <c r="D81">
        <v>79</v>
      </c>
      <c r="E81" s="3">
        <f t="shared" si="11"/>
        <v>387780.09381357598</v>
      </c>
      <c r="F81" s="3">
        <f t="shared" si="8"/>
        <v>3254.081613716839</v>
      </c>
      <c r="G81" s="3">
        <f t="shared" si="9"/>
        <v>976.22448411505161</v>
      </c>
      <c r="H81" s="3">
        <f t="shared" si="10"/>
        <v>500</v>
      </c>
      <c r="I81" s="3">
        <f t="shared" si="12"/>
        <v>490.63799988925985</v>
      </c>
      <c r="J81" s="3">
        <f t="shared" si="13"/>
        <v>393001.03791129711</v>
      </c>
    </row>
    <row r="82" spans="4:10">
      <c r="D82">
        <v>80</v>
      </c>
      <c r="E82" s="3">
        <f t="shared" si="11"/>
        <v>393001.03791129711</v>
      </c>
      <c r="F82" s="3">
        <f t="shared" si="8"/>
        <v>3254.081613716839</v>
      </c>
      <c r="G82" s="3">
        <f t="shared" si="9"/>
        <v>976.22448411505161</v>
      </c>
      <c r="H82" s="3">
        <f t="shared" si="10"/>
        <v>500</v>
      </c>
      <c r="I82" s="3">
        <f t="shared" si="12"/>
        <v>497.16418001141125</v>
      </c>
      <c r="J82" s="3">
        <f t="shared" si="13"/>
        <v>398228.50818914041</v>
      </c>
    </row>
    <row r="83" spans="4:10">
      <c r="D83">
        <v>81</v>
      </c>
      <c r="E83" s="3">
        <f t="shared" si="11"/>
        <v>398228.50818914041</v>
      </c>
      <c r="F83" s="3">
        <f t="shared" si="8"/>
        <v>3254.081613716839</v>
      </c>
      <c r="G83" s="3">
        <f t="shared" si="9"/>
        <v>976.22448411505161</v>
      </c>
      <c r="H83" s="3">
        <f t="shared" si="10"/>
        <v>500</v>
      </c>
      <c r="I83" s="3">
        <f t="shared" si="12"/>
        <v>503.69851785871538</v>
      </c>
      <c r="J83" s="3">
        <f t="shared" si="13"/>
        <v>403462.51280483097</v>
      </c>
    </row>
    <row r="84" spans="4:10">
      <c r="D84">
        <v>82</v>
      </c>
      <c r="E84" s="3">
        <f t="shared" si="11"/>
        <v>403462.51280483097</v>
      </c>
      <c r="F84" s="3">
        <f t="shared" si="8"/>
        <v>3254.081613716839</v>
      </c>
      <c r="G84" s="3">
        <f t="shared" si="9"/>
        <v>976.22448411505161</v>
      </c>
      <c r="H84" s="3">
        <f t="shared" si="10"/>
        <v>500</v>
      </c>
      <c r="I84" s="3">
        <f t="shared" si="12"/>
        <v>510.24102362832855</v>
      </c>
      <c r="J84" s="3">
        <f t="shared" si="13"/>
        <v>408703.05992629117</v>
      </c>
    </row>
    <row r="85" spans="4:10">
      <c r="D85">
        <v>83</v>
      </c>
      <c r="E85" s="3">
        <f t="shared" si="11"/>
        <v>408703.05992629117</v>
      </c>
      <c r="F85" s="3">
        <f t="shared" si="8"/>
        <v>3254.081613716839</v>
      </c>
      <c r="G85" s="3">
        <f t="shared" si="9"/>
        <v>976.22448411505161</v>
      </c>
      <c r="H85" s="3">
        <f t="shared" si="10"/>
        <v>500</v>
      </c>
      <c r="I85" s="3">
        <f t="shared" si="12"/>
        <v>516.79170753015376</v>
      </c>
      <c r="J85" s="3">
        <f t="shared" si="13"/>
        <v>413950.15773165319</v>
      </c>
    </row>
    <row r="86" spans="4:10">
      <c r="D86">
        <v>84</v>
      </c>
      <c r="E86" s="3">
        <f t="shared" si="11"/>
        <v>413950.15773165319</v>
      </c>
      <c r="F86" s="3">
        <f t="shared" si="8"/>
        <v>3254.081613716839</v>
      </c>
      <c r="G86" s="3">
        <f t="shared" si="9"/>
        <v>976.22448411505161</v>
      </c>
      <c r="H86" s="3">
        <f t="shared" si="10"/>
        <v>500</v>
      </c>
      <c r="I86" s="3">
        <f t="shared" si="12"/>
        <v>523.35057978685631</v>
      </c>
      <c r="J86" s="3">
        <f t="shared" si="13"/>
        <v>419203.81440927193</v>
      </c>
    </row>
    <row r="87" spans="4:10">
      <c r="D87">
        <v>85</v>
      </c>
      <c r="E87" s="3">
        <f t="shared" si="11"/>
        <v>419203.81440927193</v>
      </c>
      <c r="F87" s="3">
        <f t="shared" si="8"/>
        <v>3254.081613716839</v>
      </c>
      <c r="G87" s="3">
        <f t="shared" si="9"/>
        <v>976.22448411505161</v>
      </c>
      <c r="H87" s="3">
        <f t="shared" si="10"/>
        <v>500</v>
      </c>
      <c r="I87" s="3">
        <f t="shared" si="12"/>
        <v>529.9176506338797</v>
      </c>
      <c r="J87" s="3">
        <f t="shared" si="13"/>
        <v>424464.0381577377</v>
      </c>
    </row>
    <row r="88" spans="4:10">
      <c r="D88">
        <v>86</v>
      </c>
      <c r="E88" s="3">
        <f t="shared" si="11"/>
        <v>424464.0381577377</v>
      </c>
      <c r="F88" s="3">
        <f t="shared" si="8"/>
        <v>3254.081613716839</v>
      </c>
      <c r="G88" s="3">
        <f t="shared" si="9"/>
        <v>976.22448411505161</v>
      </c>
      <c r="H88" s="3">
        <f t="shared" si="10"/>
        <v>500</v>
      </c>
      <c r="I88" s="3">
        <f t="shared" si="12"/>
        <v>536.49293031946195</v>
      </c>
      <c r="J88" s="3">
        <f t="shared" si="13"/>
        <v>429730.83718588902</v>
      </c>
    </row>
    <row r="89" spans="4:10">
      <c r="D89">
        <v>87</v>
      </c>
      <c r="E89" s="3">
        <f t="shared" si="11"/>
        <v>429730.83718588902</v>
      </c>
      <c r="F89" s="3">
        <f t="shared" si="8"/>
        <v>3254.081613716839</v>
      </c>
      <c r="G89" s="3">
        <f t="shared" si="9"/>
        <v>976.22448411505161</v>
      </c>
      <c r="H89" s="3">
        <f t="shared" si="10"/>
        <v>500</v>
      </c>
      <c r="I89" s="3">
        <f t="shared" si="12"/>
        <v>543.07642910465108</v>
      </c>
      <c r="J89" s="3">
        <f t="shared" si="13"/>
        <v>435004.21971282555</v>
      </c>
    </row>
    <row r="90" spans="4:10">
      <c r="D90">
        <v>88</v>
      </c>
      <c r="E90" s="3">
        <f t="shared" si="11"/>
        <v>435004.21971282555</v>
      </c>
      <c r="F90" s="3">
        <f t="shared" si="8"/>
        <v>3254.081613716839</v>
      </c>
      <c r="G90" s="3">
        <f t="shared" si="9"/>
        <v>976.22448411505161</v>
      </c>
      <c r="H90" s="3">
        <f t="shared" si="10"/>
        <v>500</v>
      </c>
      <c r="I90" s="3">
        <f t="shared" si="12"/>
        <v>549.66815726332175</v>
      </c>
      <c r="J90" s="3">
        <f t="shared" si="13"/>
        <v>440284.19396792073</v>
      </c>
    </row>
    <row r="91" spans="4:10">
      <c r="D91">
        <v>89</v>
      </c>
      <c r="E91" s="3">
        <f t="shared" si="11"/>
        <v>440284.19396792073</v>
      </c>
      <c r="F91" s="3">
        <f t="shared" si="8"/>
        <v>3254.081613716839</v>
      </c>
      <c r="G91" s="3">
        <f t="shared" si="9"/>
        <v>976.22448411505161</v>
      </c>
      <c r="H91" s="3">
        <f t="shared" si="10"/>
        <v>500</v>
      </c>
      <c r="I91" s="3">
        <f t="shared" si="12"/>
        <v>556.26812508219075</v>
      </c>
      <c r="J91" s="3">
        <f t="shared" si="13"/>
        <v>445570.76819083479</v>
      </c>
    </row>
    <row r="92" spans="4:10">
      <c r="D92">
        <v>90</v>
      </c>
      <c r="E92" s="3">
        <f t="shared" si="11"/>
        <v>445570.76819083479</v>
      </c>
      <c r="F92" s="3">
        <f t="shared" si="8"/>
        <v>3254.081613716839</v>
      </c>
      <c r="G92" s="3">
        <f t="shared" si="9"/>
        <v>976.22448411505161</v>
      </c>
      <c r="H92" s="3">
        <f t="shared" si="10"/>
        <v>500</v>
      </c>
      <c r="I92" s="3">
        <f t="shared" si="12"/>
        <v>562.87634286083335</v>
      </c>
      <c r="J92" s="3">
        <f t="shared" si="13"/>
        <v>450863.95063152746</v>
      </c>
    </row>
    <row r="93" spans="4:10">
      <c r="D93">
        <v>91</v>
      </c>
      <c r="E93" s="3">
        <f t="shared" si="11"/>
        <v>450863.95063152746</v>
      </c>
      <c r="F93" s="3">
        <f t="shared" si="8"/>
        <v>3254.081613716839</v>
      </c>
      <c r="G93" s="3">
        <f t="shared" si="9"/>
        <v>976.22448411505161</v>
      </c>
      <c r="H93" s="3">
        <f t="shared" si="10"/>
        <v>500</v>
      </c>
      <c r="I93" s="3">
        <f t="shared" si="12"/>
        <v>569.49282091169914</v>
      </c>
      <c r="J93" s="3">
        <f t="shared" si="13"/>
        <v>456163.74955027102</v>
      </c>
    </row>
    <row r="94" spans="4:10">
      <c r="D94">
        <v>92</v>
      </c>
      <c r="E94" s="3">
        <f t="shared" si="11"/>
        <v>456163.74955027102</v>
      </c>
      <c r="F94" s="3">
        <f t="shared" si="8"/>
        <v>3254.081613716839</v>
      </c>
      <c r="G94" s="3">
        <f t="shared" si="9"/>
        <v>976.22448411505161</v>
      </c>
      <c r="H94" s="3">
        <f t="shared" si="10"/>
        <v>500</v>
      </c>
      <c r="I94" s="3">
        <f t="shared" si="12"/>
        <v>576.11756956012857</v>
      </c>
      <c r="J94" s="3">
        <f t="shared" si="13"/>
        <v>461470.17321766302</v>
      </c>
    </row>
    <row r="95" spans="4:10">
      <c r="D95">
        <v>93</v>
      </c>
      <c r="E95" s="3">
        <f t="shared" si="11"/>
        <v>461470.17321766302</v>
      </c>
      <c r="F95" s="3">
        <f t="shared" si="8"/>
        <v>3254.081613716839</v>
      </c>
      <c r="G95" s="3">
        <f t="shared" si="9"/>
        <v>976.22448411505161</v>
      </c>
      <c r="H95" s="3">
        <f t="shared" si="10"/>
        <v>500</v>
      </c>
      <c r="I95" s="3">
        <f t="shared" si="12"/>
        <v>582.75059914436861</v>
      </c>
      <c r="J95" s="3">
        <f t="shared" si="13"/>
        <v>466783.22991463926</v>
      </c>
    </row>
    <row r="96" spans="4:10">
      <c r="D96">
        <v>94</v>
      </c>
      <c r="E96" s="3">
        <f t="shared" si="11"/>
        <v>466783.22991463926</v>
      </c>
      <c r="F96" s="3">
        <f t="shared" si="8"/>
        <v>3254.081613716839</v>
      </c>
      <c r="G96" s="3">
        <f t="shared" si="9"/>
        <v>976.22448411505161</v>
      </c>
      <c r="H96" s="3">
        <f t="shared" si="10"/>
        <v>500</v>
      </c>
      <c r="I96" s="3">
        <f t="shared" si="12"/>
        <v>589.39192001558888</v>
      </c>
      <c r="J96" s="3">
        <f t="shared" si="13"/>
        <v>472102.92793248669</v>
      </c>
    </row>
    <row r="97" spans="4:10">
      <c r="D97">
        <v>95</v>
      </c>
      <c r="E97" s="3">
        <f t="shared" si="11"/>
        <v>472102.92793248669</v>
      </c>
      <c r="F97" s="3">
        <f t="shared" si="8"/>
        <v>3254.081613716839</v>
      </c>
      <c r="G97" s="3">
        <f t="shared" si="9"/>
        <v>976.22448411505161</v>
      </c>
      <c r="H97" s="3">
        <f t="shared" si="10"/>
        <v>500</v>
      </c>
      <c r="I97" s="3">
        <f t="shared" si="12"/>
        <v>596.04154253789818</v>
      </c>
      <c r="J97" s="3">
        <f t="shared" si="13"/>
        <v>477429.27557285648</v>
      </c>
    </row>
    <row r="98" spans="4:10">
      <c r="D98">
        <v>96</v>
      </c>
      <c r="E98" s="3">
        <f t="shared" si="11"/>
        <v>477429.27557285648</v>
      </c>
      <c r="F98" s="3">
        <f t="shared" si="8"/>
        <v>3254.081613716839</v>
      </c>
      <c r="G98" s="3">
        <f t="shared" si="9"/>
        <v>976.22448411505161</v>
      </c>
      <c r="H98" s="3">
        <f t="shared" si="10"/>
        <v>500</v>
      </c>
      <c r="I98" s="3">
        <f t="shared" si="12"/>
        <v>602.69947708836048</v>
      </c>
      <c r="J98" s="3">
        <f t="shared" si="13"/>
        <v>482762.2811477767</v>
      </c>
    </row>
    <row r="99" spans="4:10">
      <c r="D99">
        <v>97</v>
      </c>
      <c r="E99" s="3">
        <f t="shared" si="11"/>
        <v>482762.2811477767</v>
      </c>
      <c r="F99" s="3">
        <f t="shared" si="8"/>
        <v>3254.081613716839</v>
      </c>
      <c r="G99" s="3">
        <f t="shared" si="9"/>
        <v>976.22448411505161</v>
      </c>
      <c r="H99" s="3">
        <f t="shared" si="10"/>
        <v>500</v>
      </c>
      <c r="I99" s="3">
        <f t="shared" si="12"/>
        <v>609.36573405701074</v>
      </c>
      <c r="J99" s="3">
        <f t="shared" si="13"/>
        <v>488101.9529796656</v>
      </c>
    </row>
    <row r="100" spans="4:10">
      <c r="D100">
        <v>98</v>
      </c>
      <c r="E100" s="3">
        <f t="shared" si="11"/>
        <v>488101.9529796656</v>
      </c>
      <c r="F100" s="3">
        <f t="shared" si="8"/>
        <v>3254.081613716839</v>
      </c>
      <c r="G100" s="3">
        <f t="shared" si="9"/>
        <v>976.22448411505161</v>
      </c>
      <c r="H100" s="3">
        <f t="shared" si="10"/>
        <v>500</v>
      </c>
      <c r="I100" s="3">
        <f t="shared" si="12"/>
        <v>616.04032384687184</v>
      </c>
      <c r="J100" s="3">
        <f t="shared" si="13"/>
        <v>493448.29940134432</v>
      </c>
    </row>
    <row r="101" spans="4:10">
      <c r="D101">
        <v>99</v>
      </c>
      <c r="E101" s="3">
        <f t="shared" si="11"/>
        <v>493448.29940134432</v>
      </c>
      <c r="F101" s="3">
        <f t="shared" si="8"/>
        <v>3254.081613716839</v>
      </c>
      <c r="G101" s="3">
        <f t="shared" si="9"/>
        <v>976.22448411505161</v>
      </c>
      <c r="H101" s="3">
        <f t="shared" si="10"/>
        <v>500</v>
      </c>
      <c r="I101" s="3">
        <f t="shared" si="12"/>
        <v>622.72325687397029</v>
      </c>
      <c r="J101" s="3">
        <f t="shared" si="13"/>
        <v>498801.32875605015</v>
      </c>
    </row>
    <row r="102" spans="4:10">
      <c r="D102">
        <v>100</v>
      </c>
      <c r="E102" s="3">
        <f t="shared" si="11"/>
        <v>498801.32875605015</v>
      </c>
      <c r="F102" s="3">
        <f t="shared" si="8"/>
        <v>3254.081613716839</v>
      </c>
      <c r="G102" s="3">
        <f t="shared" si="9"/>
        <v>976.22448411505161</v>
      </c>
      <c r="H102" s="3">
        <f t="shared" si="10"/>
        <v>500</v>
      </c>
      <c r="I102" s="3">
        <f t="shared" si="12"/>
        <v>629.41454356735255</v>
      </c>
      <c r="J102" s="3">
        <f t="shared" si="13"/>
        <v>504161.04939744936</v>
      </c>
    </row>
    <row r="103" spans="4:10">
      <c r="D103">
        <v>101</v>
      </c>
      <c r="E103" s="3">
        <f t="shared" si="11"/>
        <v>504161.04939744936</v>
      </c>
      <c r="F103" s="3">
        <f t="shared" si="8"/>
        <v>3254.081613716839</v>
      </c>
      <c r="G103" s="3">
        <f t="shared" si="9"/>
        <v>976.22448411505161</v>
      </c>
      <c r="H103" s="3">
        <f t="shared" si="10"/>
        <v>500</v>
      </c>
      <c r="I103" s="3">
        <f t="shared" si="12"/>
        <v>636.1141943691016</v>
      </c>
      <c r="J103" s="3">
        <f t="shared" si="13"/>
        <v>509527.46968965034</v>
      </c>
    </row>
    <row r="104" spans="4:10">
      <c r="D104">
        <v>102</v>
      </c>
      <c r="E104" s="3">
        <f t="shared" si="11"/>
        <v>509527.46968965034</v>
      </c>
      <c r="F104" s="3">
        <f t="shared" si="8"/>
        <v>3254.081613716839</v>
      </c>
      <c r="G104" s="3">
        <f t="shared" si="9"/>
        <v>976.22448411505161</v>
      </c>
      <c r="H104" s="3">
        <f t="shared" si="10"/>
        <v>500</v>
      </c>
      <c r="I104" s="3">
        <f t="shared" si="12"/>
        <v>642.82221973435276</v>
      </c>
      <c r="J104" s="3">
        <f t="shared" si="13"/>
        <v>514900.59800721658</v>
      </c>
    </row>
    <row r="105" spans="4:10">
      <c r="D105">
        <v>103</v>
      </c>
      <c r="E105" s="3">
        <f t="shared" si="11"/>
        <v>514900.59800721658</v>
      </c>
      <c r="F105" s="3">
        <f t="shared" si="8"/>
        <v>3254.081613716839</v>
      </c>
      <c r="G105" s="3">
        <f t="shared" si="9"/>
        <v>976.22448411505161</v>
      </c>
      <c r="H105" s="3">
        <f t="shared" si="10"/>
        <v>500</v>
      </c>
      <c r="I105" s="3">
        <f t="shared" si="12"/>
        <v>649.53863013131058</v>
      </c>
      <c r="J105" s="3">
        <f t="shared" si="13"/>
        <v>520280.44273517973</v>
      </c>
    </row>
    <row r="106" spans="4:10">
      <c r="D106">
        <v>104</v>
      </c>
      <c r="E106" s="3">
        <f t="shared" si="11"/>
        <v>520280.44273517973</v>
      </c>
      <c r="F106" s="3">
        <f t="shared" si="8"/>
        <v>3254.081613716839</v>
      </c>
      <c r="G106" s="3">
        <f t="shared" si="9"/>
        <v>976.22448411505161</v>
      </c>
      <c r="H106" s="3">
        <f t="shared" si="10"/>
        <v>500</v>
      </c>
      <c r="I106" s="3">
        <f t="shared" si="12"/>
        <v>656.26343604126453</v>
      </c>
      <c r="J106" s="3">
        <f t="shared" si="13"/>
        <v>525667.01226905291</v>
      </c>
    </row>
    <row r="107" spans="4:10">
      <c r="D107">
        <v>105</v>
      </c>
      <c r="E107" s="3">
        <f t="shared" si="11"/>
        <v>525667.01226905291</v>
      </c>
      <c r="F107" s="3">
        <f t="shared" si="8"/>
        <v>3254.081613716839</v>
      </c>
      <c r="G107" s="3">
        <f t="shared" si="9"/>
        <v>976.22448411505161</v>
      </c>
      <c r="H107" s="3">
        <f t="shared" si="10"/>
        <v>500</v>
      </c>
      <c r="I107" s="3">
        <f t="shared" si="12"/>
        <v>662.99664795860588</v>
      </c>
      <c r="J107" s="3">
        <f t="shared" si="13"/>
        <v>531060.31501484336</v>
      </c>
    </row>
    <row r="108" spans="4:10">
      <c r="D108">
        <v>106</v>
      </c>
      <c r="E108" s="3">
        <f t="shared" si="11"/>
        <v>531060.31501484336</v>
      </c>
      <c r="F108" s="3">
        <f t="shared" si="8"/>
        <v>3254.081613716839</v>
      </c>
      <c r="G108" s="3">
        <f t="shared" si="9"/>
        <v>976.22448411505161</v>
      </c>
      <c r="H108" s="3">
        <f t="shared" si="10"/>
        <v>500</v>
      </c>
      <c r="I108" s="3">
        <f t="shared" si="12"/>
        <v>669.73827639084402</v>
      </c>
      <c r="J108" s="3">
        <f t="shared" si="13"/>
        <v>536460.359389066</v>
      </c>
    </row>
    <row r="109" spans="4:10">
      <c r="D109">
        <v>107</v>
      </c>
      <c r="E109" s="3">
        <f t="shared" si="11"/>
        <v>536460.359389066</v>
      </c>
      <c r="F109" s="3">
        <f t="shared" si="8"/>
        <v>3254.081613716839</v>
      </c>
      <c r="G109" s="3">
        <f t="shared" si="9"/>
        <v>976.22448411505161</v>
      </c>
      <c r="H109" s="3">
        <f t="shared" si="10"/>
        <v>500</v>
      </c>
      <c r="I109" s="3">
        <f t="shared" si="12"/>
        <v>676.48833185862225</v>
      </c>
      <c r="J109" s="3">
        <f t="shared" si="13"/>
        <v>541867.15381875646</v>
      </c>
    </row>
    <row r="110" spans="4:10">
      <c r="D110">
        <v>108</v>
      </c>
      <c r="E110" s="3">
        <f t="shared" si="11"/>
        <v>541867.15381875646</v>
      </c>
      <c r="F110" s="3">
        <f t="shared" si="8"/>
        <v>3254.081613716839</v>
      </c>
      <c r="G110" s="3">
        <f t="shared" si="9"/>
        <v>976.22448411505161</v>
      </c>
      <c r="H110" s="3">
        <f t="shared" si="10"/>
        <v>500</v>
      </c>
      <c r="I110" s="3">
        <f t="shared" si="12"/>
        <v>683.24682489573536</v>
      </c>
      <c r="J110" s="3">
        <f t="shared" si="13"/>
        <v>547280.706741484</v>
      </c>
    </row>
    <row r="111" spans="4:10">
      <c r="D111">
        <v>109</v>
      </c>
      <c r="E111" s="3">
        <f t="shared" si="11"/>
        <v>547280.706741484</v>
      </c>
      <c r="F111" s="3">
        <f t="shared" si="8"/>
        <v>3254.081613716839</v>
      </c>
      <c r="G111" s="3">
        <f t="shared" si="9"/>
        <v>976.22448411505161</v>
      </c>
      <c r="H111" s="3">
        <f t="shared" si="10"/>
        <v>500</v>
      </c>
      <c r="I111" s="3">
        <f t="shared" si="12"/>
        <v>690.01376604914481</v>
      </c>
      <c r="J111" s="3">
        <f t="shared" si="13"/>
        <v>552701.02660536498</v>
      </c>
    </row>
    <row r="112" spans="4:10">
      <c r="D112">
        <v>110</v>
      </c>
      <c r="E112" s="3">
        <f t="shared" si="11"/>
        <v>552701.02660536498</v>
      </c>
      <c r="F112" s="3">
        <f t="shared" si="8"/>
        <v>3254.081613716839</v>
      </c>
      <c r="G112" s="3">
        <f t="shared" si="9"/>
        <v>976.22448411505161</v>
      </c>
      <c r="H112" s="3">
        <f t="shared" si="10"/>
        <v>500</v>
      </c>
      <c r="I112" s="3">
        <f t="shared" si="12"/>
        <v>696.78916587899596</v>
      </c>
      <c r="J112" s="3">
        <f t="shared" si="13"/>
        <v>558128.12186907581</v>
      </c>
    </row>
    <row r="113" spans="4:10">
      <c r="D113">
        <v>111</v>
      </c>
      <c r="E113" s="3">
        <f t="shared" si="11"/>
        <v>558128.12186907581</v>
      </c>
      <c r="F113" s="3">
        <f t="shared" si="8"/>
        <v>3254.081613716839</v>
      </c>
      <c r="G113" s="3">
        <f t="shared" si="9"/>
        <v>976.22448411505161</v>
      </c>
      <c r="H113" s="3">
        <f t="shared" si="10"/>
        <v>500</v>
      </c>
      <c r="I113" s="3">
        <f t="shared" si="12"/>
        <v>703.57303495863459</v>
      </c>
      <c r="J113" s="3">
        <f t="shared" si="13"/>
        <v>563562.0010018663</v>
      </c>
    </row>
    <row r="114" spans="4:10">
      <c r="D114">
        <v>112</v>
      </c>
      <c r="E114" s="3">
        <f t="shared" si="11"/>
        <v>563562.0010018663</v>
      </c>
      <c r="F114" s="3">
        <f t="shared" si="8"/>
        <v>3254.081613716839</v>
      </c>
      <c r="G114" s="3">
        <f t="shared" si="9"/>
        <v>976.22448411505161</v>
      </c>
      <c r="H114" s="3">
        <f t="shared" si="10"/>
        <v>500</v>
      </c>
      <c r="I114" s="3">
        <f t="shared" si="12"/>
        <v>710.36538387462269</v>
      </c>
      <c r="J114" s="3">
        <f t="shared" si="13"/>
        <v>569002.67248357274</v>
      </c>
    </row>
    <row r="115" spans="4:10">
      <c r="D115">
        <v>113</v>
      </c>
      <c r="E115" s="3">
        <f t="shared" si="11"/>
        <v>569002.67248357274</v>
      </c>
      <c r="F115" s="3">
        <f t="shared" si="8"/>
        <v>3254.081613716839</v>
      </c>
      <c r="G115" s="3">
        <f t="shared" si="9"/>
        <v>976.22448411505161</v>
      </c>
      <c r="H115" s="3">
        <f t="shared" si="10"/>
        <v>500</v>
      </c>
      <c r="I115" s="3">
        <f t="shared" si="12"/>
        <v>717.16622322675573</v>
      </c>
      <c r="J115" s="3">
        <f t="shared" si="13"/>
        <v>574450.14480463136</v>
      </c>
    </row>
    <row r="116" spans="4:10">
      <c r="D116">
        <v>114</v>
      </c>
      <c r="E116" s="3">
        <f t="shared" si="11"/>
        <v>574450.14480463136</v>
      </c>
      <c r="F116" s="3">
        <f t="shared" si="8"/>
        <v>3254.081613716839</v>
      </c>
      <c r="G116" s="3">
        <f t="shared" si="9"/>
        <v>976.22448411505161</v>
      </c>
      <c r="H116" s="3">
        <f t="shared" si="10"/>
        <v>500</v>
      </c>
      <c r="I116" s="3">
        <f t="shared" si="12"/>
        <v>723.97556362807893</v>
      </c>
      <c r="J116" s="3">
        <f t="shared" si="13"/>
        <v>579904.4264660913</v>
      </c>
    </row>
    <row r="117" spans="4:10">
      <c r="D117">
        <v>115</v>
      </c>
      <c r="E117" s="3">
        <f t="shared" si="11"/>
        <v>579904.4264660913</v>
      </c>
      <c r="F117" s="3">
        <f t="shared" si="8"/>
        <v>3254.081613716839</v>
      </c>
      <c r="G117" s="3">
        <f t="shared" si="9"/>
        <v>976.22448411505161</v>
      </c>
      <c r="H117" s="3">
        <f t="shared" si="10"/>
        <v>500</v>
      </c>
      <c r="I117" s="3">
        <f t="shared" si="12"/>
        <v>730.79341570490385</v>
      </c>
      <c r="J117" s="3">
        <f t="shared" si="13"/>
        <v>585365.52597962797</v>
      </c>
    </row>
    <row r="118" spans="4:10">
      <c r="D118">
        <v>116</v>
      </c>
      <c r="E118" s="3">
        <f t="shared" si="11"/>
        <v>585365.52597962797</v>
      </c>
      <c r="F118" s="3">
        <f t="shared" si="8"/>
        <v>3254.081613716839</v>
      </c>
      <c r="G118" s="3">
        <f t="shared" si="9"/>
        <v>976.22448411505161</v>
      </c>
      <c r="H118" s="3">
        <f t="shared" si="10"/>
        <v>500</v>
      </c>
      <c r="I118" s="3">
        <f t="shared" si="12"/>
        <v>737.61979009682477</v>
      </c>
      <c r="J118" s="3">
        <f t="shared" si="13"/>
        <v>590833.45186755655</v>
      </c>
    </row>
    <row r="119" spans="4:10">
      <c r="D119">
        <v>117</v>
      </c>
      <c r="E119" s="3">
        <f t="shared" si="11"/>
        <v>590833.45186755655</v>
      </c>
      <c r="F119" s="3">
        <f t="shared" si="8"/>
        <v>3254.081613716839</v>
      </c>
      <c r="G119" s="3">
        <f t="shared" si="9"/>
        <v>976.22448411505161</v>
      </c>
      <c r="H119" s="3">
        <f t="shared" si="10"/>
        <v>500</v>
      </c>
      <c r="I119" s="3">
        <f t="shared" si="12"/>
        <v>744.45469745673552</v>
      </c>
      <c r="J119" s="3">
        <f t="shared" si="13"/>
        <v>596308.21266284515</v>
      </c>
    </row>
    <row r="120" spans="4:10">
      <c r="D120">
        <v>118</v>
      </c>
      <c r="E120" s="3">
        <f t="shared" si="11"/>
        <v>596308.21266284515</v>
      </c>
      <c r="F120" s="3">
        <f t="shared" si="8"/>
        <v>3254.081613716839</v>
      </c>
      <c r="G120" s="3">
        <f t="shared" si="9"/>
        <v>976.22448411505161</v>
      </c>
      <c r="H120" s="3">
        <f t="shared" si="10"/>
        <v>500</v>
      </c>
      <c r="I120" s="3">
        <f t="shared" si="12"/>
        <v>751.29814845084627</v>
      </c>
      <c r="J120" s="3">
        <f t="shared" si="13"/>
        <v>601789.81690912775</v>
      </c>
    </row>
    <row r="121" spans="4:10">
      <c r="D121">
        <v>119</v>
      </c>
      <c r="E121" s="3">
        <f t="shared" si="11"/>
        <v>601789.81690912775</v>
      </c>
      <c r="F121" s="3">
        <f t="shared" si="8"/>
        <v>3254.081613716839</v>
      </c>
      <c r="G121" s="3">
        <f t="shared" si="9"/>
        <v>976.22448411505161</v>
      </c>
      <c r="H121" s="3">
        <f t="shared" si="10"/>
        <v>500</v>
      </c>
      <c r="I121" s="3">
        <f t="shared" si="12"/>
        <v>758.1501537586995</v>
      </c>
      <c r="J121" s="3">
        <f t="shared" si="13"/>
        <v>607278.27316071826</v>
      </c>
    </row>
    <row r="122" spans="4:10">
      <c r="D122">
        <v>120</v>
      </c>
      <c r="E122" s="3">
        <f t="shared" si="11"/>
        <v>607278.27316071826</v>
      </c>
      <c r="F122" s="3">
        <f t="shared" si="8"/>
        <v>3254.081613716839</v>
      </c>
      <c r="G122" s="3">
        <f t="shared" si="9"/>
        <v>976.22448411505161</v>
      </c>
      <c r="H122" s="3">
        <f t="shared" si="10"/>
        <v>500</v>
      </c>
      <c r="I122" s="3">
        <f t="shared" si="12"/>
        <v>765.01072407318759</v>
      </c>
      <c r="J122" s="3">
        <f t="shared" si="13"/>
        <v>612773.58998262323</v>
      </c>
    </row>
    <row r="123" spans="4:10">
      <c r="D123">
        <v>121</v>
      </c>
      <c r="E123" s="3">
        <f t="shared" si="11"/>
        <v>612773.58998262323</v>
      </c>
      <c r="F123" s="3">
        <f t="shared" si="8"/>
        <v>3254.081613716839</v>
      </c>
      <c r="G123" s="3">
        <f t="shared" si="9"/>
        <v>976.22448411505161</v>
      </c>
      <c r="H123" s="3">
        <f t="shared" si="10"/>
        <v>500</v>
      </c>
      <c r="I123" s="3">
        <f t="shared" si="12"/>
        <v>771.87987010056884</v>
      </c>
      <c r="J123" s="3">
        <f t="shared" si="13"/>
        <v>618275.77595055557</v>
      </c>
    </row>
    <row r="124" spans="4:10">
      <c r="D124">
        <v>122</v>
      </c>
      <c r="E124" s="3">
        <f t="shared" si="11"/>
        <v>618275.77595055557</v>
      </c>
      <c r="F124" s="3">
        <f t="shared" si="8"/>
        <v>3254.081613716839</v>
      </c>
      <c r="G124" s="3">
        <f t="shared" si="9"/>
        <v>976.22448411505161</v>
      </c>
      <c r="H124" s="3">
        <f t="shared" si="10"/>
        <v>500</v>
      </c>
      <c r="I124" s="3">
        <f t="shared" si="12"/>
        <v>778.7576025604842</v>
      </c>
      <c r="J124" s="3">
        <f t="shared" si="13"/>
        <v>623784.83965094783</v>
      </c>
    </row>
    <row r="125" spans="4:10">
      <c r="D125">
        <v>123</v>
      </c>
      <c r="E125" s="3">
        <f t="shared" si="11"/>
        <v>623784.83965094783</v>
      </c>
      <c r="F125" s="3">
        <f t="shared" si="8"/>
        <v>3254.081613716839</v>
      </c>
      <c r="G125" s="3">
        <f t="shared" si="9"/>
        <v>976.22448411505161</v>
      </c>
      <c r="H125" s="3">
        <f t="shared" si="10"/>
        <v>500</v>
      </c>
      <c r="I125" s="3">
        <f t="shared" si="12"/>
        <v>785.64393218597456</v>
      </c>
      <c r="J125" s="3">
        <f t="shared" si="13"/>
        <v>629300.78968096559</v>
      </c>
    </row>
    <row r="126" spans="4:10">
      <c r="D126">
        <v>124</v>
      </c>
      <c r="E126" s="3">
        <f t="shared" si="11"/>
        <v>629300.78968096559</v>
      </c>
      <c r="F126" s="3">
        <f t="shared" si="8"/>
        <v>3254.081613716839</v>
      </c>
      <c r="G126" s="3">
        <f t="shared" si="9"/>
        <v>976.22448411505161</v>
      </c>
      <c r="H126" s="3">
        <f t="shared" si="10"/>
        <v>500</v>
      </c>
      <c r="I126" s="3">
        <f t="shared" si="12"/>
        <v>792.53886972349676</v>
      </c>
      <c r="J126" s="3">
        <f t="shared" si="13"/>
        <v>634823.63464852085</v>
      </c>
    </row>
    <row r="127" spans="4:10">
      <c r="D127">
        <v>125</v>
      </c>
      <c r="E127" s="3">
        <f t="shared" si="11"/>
        <v>634823.63464852085</v>
      </c>
      <c r="F127" s="3">
        <f t="shared" si="8"/>
        <v>3254.081613716839</v>
      </c>
      <c r="G127" s="3">
        <f t="shared" si="9"/>
        <v>976.22448411505161</v>
      </c>
      <c r="H127" s="3">
        <f t="shared" si="10"/>
        <v>500</v>
      </c>
      <c r="I127" s="3">
        <f t="shared" si="12"/>
        <v>799.44242593294086</v>
      </c>
      <c r="J127" s="3">
        <f t="shared" si="13"/>
        <v>640353.38317228563</v>
      </c>
    </row>
    <row r="128" spans="4:10">
      <c r="D128">
        <v>126</v>
      </c>
      <c r="E128" s="3">
        <f t="shared" si="11"/>
        <v>640353.38317228563</v>
      </c>
      <c r="F128" s="3">
        <f t="shared" si="8"/>
        <v>3254.081613716839</v>
      </c>
      <c r="G128" s="3">
        <f t="shared" si="9"/>
        <v>976.22448411505161</v>
      </c>
      <c r="H128" s="3">
        <f t="shared" si="10"/>
        <v>500</v>
      </c>
      <c r="I128" s="3">
        <f t="shared" si="12"/>
        <v>806.35461158764679</v>
      </c>
      <c r="J128" s="3">
        <f t="shared" si="13"/>
        <v>645890.04388170503</v>
      </c>
    </row>
    <row r="129" spans="4:10">
      <c r="D129">
        <v>127</v>
      </c>
      <c r="E129" s="3">
        <f t="shared" si="11"/>
        <v>645890.04388170503</v>
      </c>
      <c r="F129" s="3">
        <f t="shared" si="8"/>
        <v>3254.081613716839</v>
      </c>
      <c r="G129" s="3">
        <f t="shared" si="9"/>
        <v>976.22448411505161</v>
      </c>
      <c r="H129" s="3">
        <f t="shared" si="10"/>
        <v>500</v>
      </c>
      <c r="I129" s="3">
        <f t="shared" si="12"/>
        <v>813.2754374744211</v>
      </c>
      <c r="J129" s="3">
        <f t="shared" si="13"/>
        <v>651433.62541701121</v>
      </c>
    </row>
    <row r="130" spans="4:10">
      <c r="D130">
        <v>128</v>
      </c>
      <c r="E130" s="3">
        <f t="shared" si="11"/>
        <v>651433.62541701121</v>
      </c>
      <c r="F130" s="3">
        <f t="shared" si="8"/>
        <v>3254.081613716839</v>
      </c>
      <c r="G130" s="3">
        <f t="shared" si="9"/>
        <v>976.22448411505161</v>
      </c>
      <c r="H130" s="3">
        <f t="shared" si="10"/>
        <v>500</v>
      </c>
      <c r="I130" s="3">
        <f t="shared" si="12"/>
        <v>820.20491439355374</v>
      </c>
      <c r="J130" s="3">
        <f t="shared" si="13"/>
        <v>656984.13642923662</v>
      </c>
    </row>
    <row r="131" spans="4:10">
      <c r="D131">
        <v>129</v>
      </c>
      <c r="E131" s="3">
        <f t="shared" si="11"/>
        <v>656984.13642923662</v>
      </c>
      <c r="F131" s="3">
        <f t="shared" si="8"/>
        <v>3254.081613716839</v>
      </c>
      <c r="G131" s="3">
        <f t="shared" si="9"/>
        <v>976.22448411505161</v>
      </c>
      <c r="H131" s="3">
        <f t="shared" si="10"/>
        <v>500</v>
      </c>
      <c r="I131" s="3">
        <f t="shared" si="12"/>
        <v>827.14305315883553</v>
      </c>
      <c r="J131" s="3">
        <f t="shared" si="13"/>
        <v>662541.58558022731</v>
      </c>
    </row>
    <row r="132" spans="4:10">
      <c r="D132">
        <v>130</v>
      </c>
      <c r="E132" s="3">
        <f t="shared" si="11"/>
        <v>662541.58558022731</v>
      </c>
      <c r="F132" s="3">
        <f t="shared" ref="F132:F195" si="14">$B$2</f>
        <v>3254.081613716839</v>
      </c>
      <c r="G132" s="3">
        <f t="shared" ref="G132:G195" si="15">$B$3</f>
        <v>976.22448411505161</v>
      </c>
      <c r="H132" s="3">
        <f t="shared" ref="H132:H195" si="16">$B$4</f>
        <v>500</v>
      </c>
      <c r="I132" s="3">
        <f t="shared" si="12"/>
        <v>834.08986459757398</v>
      </c>
      <c r="J132" s="3">
        <f t="shared" si="13"/>
        <v>668105.98154265666</v>
      </c>
    </row>
    <row r="133" spans="4:10">
      <c r="D133">
        <v>131</v>
      </c>
      <c r="E133" s="3">
        <f t="shared" ref="E133:E196" si="17">J132</f>
        <v>668105.98154265666</v>
      </c>
      <c r="F133" s="3">
        <f t="shared" si="14"/>
        <v>3254.081613716839</v>
      </c>
      <c r="G133" s="3">
        <f t="shared" si="15"/>
        <v>976.22448411505161</v>
      </c>
      <c r="H133" s="3">
        <f t="shared" si="16"/>
        <v>500</v>
      </c>
      <c r="I133" s="3">
        <f t="shared" ref="I133:I196" si="18">$B$9*SUM(E133:H133)</f>
        <v>841.04535955061056</v>
      </c>
      <c r="J133" s="3">
        <f t="shared" ref="J133:J196" si="19">SUM(E133:I133)</f>
        <v>673677.3330000391</v>
      </c>
    </row>
    <row r="134" spans="4:10">
      <c r="D134">
        <v>132</v>
      </c>
      <c r="E134" s="3">
        <f t="shared" si="17"/>
        <v>673677.3330000391</v>
      </c>
      <c r="F134" s="3">
        <f t="shared" si="14"/>
        <v>3254.081613716839</v>
      </c>
      <c r="G134" s="3">
        <f t="shared" si="15"/>
        <v>976.22448411505161</v>
      </c>
      <c r="H134" s="3">
        <f t="shared" si="16"/>
        <v>500</v>
      </c>
      <c r="I134" s="3">
        <f t="shared" si="18"/>
        <v>848.00954887233866</v>
      </c>
      <c r="J134" s="3">
        <f t="shared" si="19"/>
        <v>679255.64864674327</v>
      </c>
    </row>
    <row r="135" spans="4:10">
      <c r="D135">
        <v>133</v>
      </c>
      <c r="E135" s="3">
        <f t="shared" si="17"/>
        <v>679255.64864674327</v>
      </c>
      <c r="F135" s="3">
        <f t="shared" si="14"/>
        <v>3254.081613716839</v>
      </c>
      <c r="G135" s="3">
        <f t="shared" si="15"/>
        <v>976.22448411505161</v>
      </c>
      <c r="H135" s="3">
        <f t="shared" si="16"/>
        <v>500</v>
      </c>
      <c r="I135" s="3">
        <f t="shared" si="18"/>
        <v>854.98244343071883</v>
      </c>
      <c r="J135" s="3">
        <f t="shared" si="19"/>
        <v>684840.93718800577</v>
      </c>
    </row>
    <row r="136" spans="4:10">
      <c r="D136">
        <v>134</v>
      </c>
      <c r="E136" s="3">
        <f t="shared" si="17"/>
        <v>684840.93718800577</v>
      </c>
      <c r="F136" s="3">
        <f t="shared" si="14"/>
        <v>3254.081613716839</v>
      </c>
      <c r="G136" s="3">
        <f t="shared" si="15"/>
        <v>976.22448411505161</v>
      </c>
      <c r="H136" s="3">
        <f t="shared" si="16"/>
        <v>500</v>
      </c>
      <c r="I136" s="3">
        <f t="shared" si="18"/>
        <v>861.96405410729699</v>
      </c>
      <c r="J136" s="3">
        <f t="shared" si="19"/>
        <v>690433.2073399449</v>
      </c>
    </row>
    <row r="137" spans="4:10">
      <c r="D137">
        <v>135</v>
      </c>
      <c r="E137" s="3">
        <f t="shared" si="17"/>
        <v>690433.2073399449</v>
      </c>
      <c r="F137" s="3">
        <f t="shared" si="14"/>
        <v>3254.081613716839</v>
      </c>
      <c r="G137" s="3">
        <f t="shared" si="15"/>
        <v>976.22448411505161</v>
      </c>
      <c r="H137" s="3">
        <f t="shared" si="16"/>
        <v>500</v>
      </c>
      <c r="I137" s="3">
        <f t="shared" si="18"/>
        <v>868.95439179722086</v>
      </c>
      <c r="J137" s="3">
        <f t="shared" si="19"/>
        <v>696032.4678295739</v>
      </c>
    </row>
    <row r="138" spans="4:10">
      <c r="D138">
        <v>136</v>
      </c>
      <c r="E138" s="3">
        <f t="shared" si="17"/>
        <v>696032.4678295739</v>
      </c>
      <c r="F138" s="3">
        <f t="shared" si="14"/>
        <v>3254.081613716839</v>
      </c>
      <c r="G138" s="3">
        <f t="shared" si="15"/>
        <v>976.22448411505161</v>
      </c>
      <c r="H138" s="3">
        <f t="shared" si="16"/>
        <v>500</v>
      </c>
      <c r="I138" s="3">
        <f t="shared" si="18"/>
        <v>875.9534674092572</v>
      </c>
      <c r="J138" s="3">
        <f t="shared" si="19"/>
        <v>701638.72739481495</v>
      </c>
    </row>
    <row r="139" spans="4:10">
      <c r="D139">
        <v>137</v>
      </c>
      <c r="E139" s="3">
        <f t="shared" si="17"/>
        <v>701638.72739481495</v>
      </c>
      <c r="F139" s="3">
        <f t="shared" si="14"/>
        <v>3254.081613716839</v>
      </c>
      <c r="G139" s="3">
        <f t="shared" si="15"/>
        <v>976.22448411505161</v>
      </c>
      <c r="H139" s="3">
        <f t="shared" si="16"/>
        <v>500</v>
      </c>
      <c r="I139" s="3">
        <f t="shared" si="18"/>
        <v>882.96129186580845</v>
      </c>
      <c r="J139" s="3">
        <f t="shared" si="19"/>
        <v>707251.99478451256</v>
      </c>
    </row>
    <row r="140" spans="4:10">
      <c r="D140">
        <v>138</v>
      </c>
      <c r="E140" s="3">
        <f t="shared" si="17"/>
        <v>707251.99478451256</v>
      </c>
      <c r="F140" s="3">
        <f t="shared" si="14"/>
        <v>3254.081613716839</v>
      </c>
      <c r="G140" s="3">
        <f t="shared" si="15"/>
        <v>976.22448411505161</v>
      </c>
      <c r="H140" s="3">
        <f t="shared" si="16"/>
        <v>500</v>
      </c>
      <c r="I140" s="3">
        <f t="shared" si="18"/>
        <v>889.97787610293051</v>
      </c>
      <c r="J140" s="3">
        <f t="shared" si="19"/>
        <v>712872.27875844727</v>
      </c>
    </row>
    <row r="141" spans="4:10">
      <c r="D141">
        <v>139</v>
      </c>
      <c r="E141" s="3">
        <f t="shared" si="17"/>
        <v>712872.27875844727</v>
      </c>
      <c r="F141" s="3">
        <f t="shared" si="14"/>
        <v>3254.081613716839</v>
      </c>
      <c r="G141" s="3">
        <f t="shared" si="15"/>
        <v>976.22448411505161</v>
      </c>
      <c r="H141" s="3">
        <f t="shared" si="16"/>
        <v>500</v>
      </c>
      <c r="I141" s="3">
        <f t="shared" si="18"/>
        <v>897.00323107034887</v>
      </c>
      <c r="J141" s="3">
        <f t="shared" si="19"/>
        <v>718499.58808734943</v>
      </c>
    </row>
    <row r="142" spans="4:10">
      <c r="D142">
        <v>140</v>
      </c>
      <c r="E142" s="3">
        <f t="shared" si="17"/>
        <v>718499.58808734943</v>
      </c>
      <c r="F142" s="3">
        <f t="shared" si="14"/>
        <v>3254.081613716839</v>
      </c>
      <c r="G142" s="3">
        <f t="shared" si="15"/>
        <v>976.22448411505161</v>
      </c>
      <c r="H142" s="3">
        <f t="shared" si="16"/>
        <v>500</v>
      </c>
      <c r="I142" s="3">
        <f t="shared" si="18"/>
        <v>904.03736773147659</v>
      </c>
      <c r="J142" s="3">
        <f t="shared" si="19"/>
        <v>724133.93155291269</v>
      </c>
    </row>
    <row r="143" spans="4:10">
      <c r="D143">
        <v>141</v>
      </c>
      <c r="E143" s="3">
        <f t="shared" si="17"/>
        <v>724133.93155291269</v>
      </c>
      <c r="F143" s="3">
        <f t="shared" si="14"/>
        <v>3254.081613716839</v>
      </c>
      <c r="G143" s="3">
        <f t="shared" si="15"/>
        <v>976.22448411505161</v>
      </c>
      <c r="H143" s="3">
        <f t="shared" si="16"/>
        <v>500</v>
      </c>
      <c r="I143" s="3">
        <f t="shared" si="18"/>
        <v>911.08029706343063</v>
      </c>
      <c r="J143" s="3">
        <f t="shared" si="19"/>
        <v>729775.31794780795</v>
      </c>
    </row>
    <row r="144" spans="4:10">
      <c r="D144">
        <v>142</v>
      </c>
      <c r="E144" s="3">
        <f t="shared" si="17"/>
        <v>729775.31794780795</v>
      </c>
      <c r="F144" s="3">
        <f t="shared" si="14"/>
        <v>3254.081613716839</v>
      </c>
      <c r="G144" s="3">
        <f t="shared" si="15"/>
        <v>976.22448411505161</v>
      </c>
      <c r="H144" s="3">
        <f t="shared" si="16"/>
        <v>500</v>
      </c>
      <c r="I144" s="3">
        <f t="shared" si="18"/>
        <v>918.13203005704975</v>
      </c>
      <c r="J144" s="3">
        <f t="shared" si="19"/>
        <v>735423.75607569679</v>
      </c>
    </row>
    <row r="145" spans="4:10">
      <c r="D145">
        <v>143</v>
      </c>
      <c r="E145" s="3">
        <f t="shared" si="17"/>
        <v>735423.75607569679</v>
      </c>
      <c r="F145" s="3">
        <f t="shared" si="14"/>
        <v>3254.081613716839</v>
      </c>
      <c r="G145" s="3">
        <f t="shared" si="15"/>
        <v>976.22448411505161</v>
      </c>
      <c r="H145" s="3">
        <f t="shared" si="16"/>
        <v>500</v>
      </c>
      <c r="I145" s="3">
        <f t="shared" si="18"/>
        <v>925.19257771691082</v>
      </c>
      <c r="J145" s="3">
        <f t="shared" si="19"/>
        <v>741079.25475124549</v>
      </c>
    </row>
    <row r="146" spans="4:10">
      <c r="D146">
        <v>144</v>
      </c>
      <c r="E146" s="3">
        <f t="shared" si="17"/>
        <v>741079.25475124549</v>
      </c>
      <c r="F146" s="3">
        <f t="shared" si="14"/>
        <v>3254.081613716839</v>
      </c>
      <c r="G146" s="3">
        <f t="shared" si="15"/>
        <v>976.22448411505161</v>
      </c>
      <c r="H146" s="3">
        <f t="shared" si="16"/>
        <v>500</v>
      </c>
      <c r="I146" s="3">
        <f t="shared" si="18"/>
        <v>932.26195106134662</v>
      </c>
      <c r="J146" s="3">
        <f t="shared" si="19"/>
        <v>746741.82280013862</v>
      </c>
    </row>
    <row r="147" spans="4:10">
      <c r="D147">
        <v>145</v>
      </c>
      <c r="E147" s="3">
        <f t="shared" si="17"/>
        <v>746741.82280013862</v>
      </c>
      <c r="F147" s="3">
        <f t="shared" si="14"/>
        <v>3254.081613716839</v>
      </c>
      <c r="G147" s="3">
        <f t="shared" si="15"/>
        <v>976.22448411505161</v>
      </c>
      <c r="H147" s="3">
        <f t="shared" si="16"/>
        <v>500</v>
      </c>
      <c r="I147" s="3">
        <f t="shared" si="18"/>
        <v>939.34016112246309</v>
      </c>
      <c r="J147" s="3">
        <f t="shared" si="19"/>
        <v>752411.46905909292</v>
      </c>
    </row>
    <row r="148" spans="4:10">
      <c r="D148">
        <v>146</v>
      </c>
      <c r="E148" s="3">
        <f t="shared" si="17"/>
        <v>752411.46905909292</v>
      </c>
      <c r="F148" s="3">
        <f t="shared" si="14"/>
        <v>3254.081613716839</v>
      </c>
      <c r="G148" s="3">
        <f t="shared" si="15"/>
        <v>976.22448411505161</v>
      </c>
      <c r="H148" s="3">
        <f t="shared" si="16"/>
        <v>500</v>
      </c>
      <c r="I148" s="3">
        <f t="shared" si="18"/>
        <v>946.4272189461559</v>
      </c>
      <c r="J148" s="3">
        <f t="shared" si="19"/>
        <v>758088.2023758709</v>
      </c>
    </row>
    <row r="149" spans="4:10">
      <c r="D149">
        <v>147</v>
      </c>
      <c r="E149" s="3">
        <f t="shared" si="17"/>
        <v>758088.2023758709</v>
      </c>
      <c r="F149" s="3">
        <f t="shared" si="14"/>
        <v>3254.081613716839</v>
      </c>
      <c r="G149" s="3">
        <f t="shared" si="15"/>
        <v>976.22448411505161</v>
      </c>
      <c r="H149" s="3">
        <f t="shared" si="16"/>
        <v>500</v>
      </c>
      <c r="I149" s="3">
        <f t="shared" si="18"/>
        <v>953.52313559212837</v>
      </c>
      <c r="J149" s="3">
        <f t="shared" si="19"/>
        <v>763772.03160929482</v>
      </c>
    </row>
    <row r="150" spans="4:10">
      <c r="D150">
        <v>148</v>
      </c>
      <c r="E150" s="3">
        <f t="shared" si="17"/>
        <v>763772.03160929482</v>
      </c>
      <c r="F150" s="3">
        <f t="shared" si="14"/>
        <v>3254.081613716839</v>
      </c>
      <c r="G150" s="3">
        <f t="shared" si="15"/>
        <v>976.22448411505161</v>
      </c>
      <c r="H150" s="3">
        <f t="shared" si="16"/>
        <v>500</v>
      </c>
      <c r="I150" s="3">
        <f t="shared" si="18"/>
        <v>960.62792213390833</v>
      </c>
      <c r="J150" s="3">
        <f t="shared" si="19"/>
        <v>769462.96562926052</v>
      </c>
    </row>
    <row r="151" spans="4:10">
      <c r="D151">
        <v>149</v>
      </c>
      <c r="E151" s="3">
        <f t="shared" si="17"/>
        <v>769462.96562926052</v>
      </c>
      <c r="F151" s="3">
        <f t="shared" si="14"/>
        <v>3254.081613716839</v>
      </c>
      <c r="G151" s="3">
        <f t="shared" si="15"/>
        <v>976.22448411505161</v>
      </c>
      <c r="H151" s="3">
        <f t="shared" si="16"/>
        <v>500</v>
      </c>
      <c r="I151" s="3">
        <f t="shared" si="18"/>
        <v>967.74158965886545</v>
      </c>
      <c r="J151" s="3">
        <f t="shared" si="19"/>
        <v>775161.01331675122</v>
      </c>
    </row>
    <row r="152" spans="4:10">
      <c r="D152">
        <v>150</v>
      </c>
      <c r="E152" s="3">
        <f t="shared" si="17"/>
        <v>775161.01331675122</v>
      </c>
      <c r="F152" s="3">
        <f t="shared" si="14"/>
        <v>3254.081613716839</v>
      </c>
      <c r="G152" s="3">
        <f t="shared" si="15"/>
        <v>976.22448411505161</v>
      </c>
      <c r="H152" s="3">
        <f t="shared" si="16"/>
        <v>500</v>
      </c>
      <c r="I152" s="3">
        <f t="shared" si="18"/>
        <v>974.86414926822886</v>
      </c>
      <c r="J152" s="3">
        <f t="shared" si="19"/>
        <v>780866.18356385129</v>
      </c>
    </row>
    <row r="153" spans="4:10">
      <c r="D153">
        <v>151</v>
      </c>
      <c r="E153" s="3">
        <f t="shared" si="17"/>
        <v>780866.18356385129</v>
      </c>
      <c r="F153" s="3">
        <f t="shared" si="14"/>
        <v>3254.081613716839</v>
      </c>
      <c r="G153" s="3">
        <f t="shared" si="15"/>
        <v>976.22448411505161</v>
      </c>
      <c r="H153" s="3">
        <f t="shared" si="16"/>
        <v>500</v>
      </c>
      <c r="I153" s="3">
        <f t="shared" si="18"/>
        <v>981.99561207710394</v>
      </c>
      <c r="J153" s="3">
        <f t="shared" si="19"/>
        <v>786578.48527376016</v>
      </c>
    </row>
    <row r="154" spans="4:10">
      <c r="D154">
        <v>152</v>
      </c>
      <c r="E154" s="3">
        <f t="shared" si="17"/>
        <v>786578.48527376016</v>
      </c>
      <c r="F154" s="3">
        <f t="shared" si="14"/>
        <v>3254.081613716839</v>
      </c>
      <c r="G154" s="3">
        <f t="shared" si="15"/>
        <v>976.22448411505161</v>
      </c>
      <c r="H154" s="3">
        <f t="shared" si="16"/>
        <v>500</v>
      </c>
      <c r="I154" s="3">
        <f t="shared" si="18"/>
        <v>989.13598921449</v>
      </c>
      <c r="J154" s="3">
        <f t="shared" si="19"/>
        <v>792297.9273608065</v>
      </c>
    </row>
    <row r="155" spans="4:10">
      <c r="D155">
        <v>153</v>
      </c>
      <c r="E155" s="3">
        <f t="shared" si="17"/>
        <v>792297.9273608065</v>
      </c>
      <c r="F155" s="3">
        <f t="shared" si="14"/>
        <v>3254.081613716839</v>
      </c>
      <c r="G155" s="3">
        <f t="shared" si="15"/>
        <v>976.22448411505161</v>
      </c>
      <c r="H155" s="3">
        <f t="shared" si="16"/>
        <v>500</v>
      </c>
      <c r="I155" s="3">
        <f t="shared" si="18"/>
        <v>996.28529182329794</v>
      </c>
      <c r="J155" s="3">
        <f t="shared" si="19"/>
        <v>798024.51875046163</v>
      </c>
    </row>
    <row r="156" spans="4:10">
      <c r="D156">
        <v>154</v>
      </c>
      <c r="E156" s="3">
        <f t="shared" si="17"/>
        <v>798024.51875046163</v>
      </c>
      <c r="F156" s="3">
        <f t="shared" si="14"/>
        <v>3254.081613716839</v>
      </c>
      <c r="G156" s="3">
        <f t="shared" si="15"/>
        <v>976.22448411505161</v>
      </c>
      <c r="H156" s="3">
        <f t="shared" si="16"/>
        <v>500</v>
      </c>
      <c r="I156" s="3">
        <f t="shared" si="18"/>
        <v>1003.4435310603668</v>
      </c>
      <c r="J156" s="3">
        <f t="shared" si="19"/>
        <v>803758.2683793538</v>
      </c>
    </row>
    <row r="157" spans="4:10">
      <c r="D157">
        <v>155</v>
      </c>
      <c r="E157" s="3">
        <f t="shared" si="17"/>
        <v>803758.2683793538</v>
      </c>
      <c r="F157" s="3">
        <f t="shared" si="14"/>
        <v>3254.081613716839</v>
      </c>
      <c r="G157" s="3">
        <f t="shared" si="15"/>
        <v>976.22448411505161</v>
      </c>
      <c r="H157" s="3">
        <f t="shared" si="16"/>
        <v>500</v>
      </c>
      <c r="I157" s="3">
        <f t="shared" si="18"/>
        <v>1010.6107180964821</v>
      </c>
      <c r="J157" s="3">
        <f t="shared" si="19"/>
        <v>809499.1851952821</v>
      </c>
    </row>
    <row r="158" spans="4:10">
      <c r="D158">
        <v>156</v>
      </c>
      <c r="E158" s="3">
        <f t="shared" si="17"/>
        <v>809499.1851952821</v>
      </c>
      <c r="F158" s="3">
        <f t="shared" si="14"/>
        <v>3254.081613716839</v>
      </c>
      <c r="G158" s="3">
        <f t="shared" si="15"/>
        <v>976.22448411505161</v>
      </c>
      <c r="H158" s="3">
        <f t="shared" si="16"/>
        <v>500</v>
      </c>
      <c r="I158" s="3">
        <f t="shared" si="18"/>
        <v>1017.7868641163924</v>
      </c>
      <c r="J158" s="3">
        <f t="shared" si="19"/>
        <v>815247.27815723035</v>
      </c>
    </row>
    <row r="159" spans="4:10">
      <c r="D159">
        <v>157</v>
      </c>
      <c r="E159" s="3">
        <f t="shared" si="17"/>
        <v>815247.27815723035</v>
      </c>
      <c r="F159" s="3">
        <f t="shared" si="14"/>
        <v>3254.081613716839</v>
      </c>
      <c r="G159" s="3">
        <f t="shared" si="15"/>
        <v>976.22448411505161</v>
      </c>
      <c r="H159" s="3">
        <f t="shared" si="16"/>
        <v>500</v>
      </c>
      <c r="I159" s="3">
        <f t="shared" si="18"/>
        <v>1024.9719803188277</v>
      </c>
      <c r="J159" s="3">
        <f t="shared" si="19"/>
        <v>821002.55623538094</v>
      </c>
    </row>
    <row r="160" spans="4:10">
      <c r="D160">
        <v>158</v>
      </c>
      <c r="E160" s="3">
        <f t="shared" si="17"/>
        <v>821002.55623538094</v>
      </c>
      <c r="F160" s="3">
        <f t="shared" si="14"/>
        <v>3254.081613716839</v>
      </c>
      <c r="G160" s="3">
        <f t="shared" si="15"/>
        <v>976.22448411505161</v>
      </c>
      <c r="H160" s="3">
        <f t="shared" si="16"/>
        <v>500</v>
      </c>
      <c r="I160" s="3">
        <f t="shared" si="18"/>
        <v>1032.1660779165159</v>
      </c>
      <c r="J160" s="3">
        <f t="shared" si="19"/>
        <v>826765.02841112926</v>
      </c>
    </row>
    <row r="161" spans="4:10">
      <c r="D161">
        <v>159</v>
      </c>
      <c r="E161" s="3">
        <f t="shared" si="17"/>
        <v>826765.02841112926</v>
      </c>
      <c r="F161" s="3">
        <f t="shared" si="14"/>
        <v>3254.081613716839</v>
      </c>
      <c r="G161" s="3">
        <f t="shared" si="15"/>
        <v>976.22448411505161</v>
      </c>
      <c r="H161" s="3">
        <f t="shared" si="16"/>
        <v>500</v>
      </c>
      <c r="I161" s="3">
        <f t="shared" si="18"/>
        <v>1039.3691681362013</v>
      </c>
      <c r="J161" s="3">
        <f t="shared" si="19"/>
        <v>832534.70367709722</v>
      </c>
    </row>
    <row r="162" spans="4:10">
      <c r="D162">
        <v>160</v>
      </c>
      <c r="E162" s="3">
        <f t="shared" si="17"/>
        <v>832534.70367709722</v>
      </c>
      <c r="F162" s="3">
        <f t="shared" si="14"/>
        <v>3254.081613716839</v>
      </c>
      <c r="G162" s="3">
        <f t="shared" si="15"/>
        <v>976.22448411505161</v>
      </c>
      <c r="H162" s="3">
        <f t="shared" si="16"/>
        <v>500</v>
      </c>
      <c r="I162" s="3">
        <f t="shared" si="18"/>
        <v>1046.5812622186613</v>
      </c>
      <c r="J162" s="3">
        <f t="shared" si="19"/>
        <v>838311.59103714768</v>
      </c>
    </row>
    <row r="163" spans="4:10">
      <c r="D163">
        <v>161</v>
      </c>
      <c r="E163" s="3">
        <f t="shared" si="17"/>
        <v>838311.59103714768</v>
      </c>
      <c r="F163" s="3">
        <f t="shared" si="14"/>
        <v>3254.081613716839</v>
      </c>
      <c r="G163" s="3">
        <f t="shared" si="15"/>
        <v>976.22448411505161</v>
      </c>
      <c r="H163" s="3">
        <f t="shared" si="16"/>
        <v>500</v>
      </c>
      <c r="I163" s="3">
        <f t="shared" si="18"/>
        <v>1053.8023714187243</v>
      </c>
      <c r="J163" s="3">
        <f t="shared" si="19"/>
        <v>844095.69950639817</v>
      </c>
    </row>
    <row r="164" spans="4:10">
      <c r="D164">
        <v>162</v>
      </c>
      <c r="E164" s="3">
        <f t="shared" si="17"/>
        <v>844095.69950639817</v>
      </c>
      <c r="F164" s="3">
        <f t="shared" si="14"/>
        <v>3254.081613716839</v>
      </c>
      <c r="G164" s="3">
        <f t="shared" si="15"/>
        <v>976.22448411505161</v>
      </c>
      <c r="H164" s="3">
        <f t="shared" si="16"/>
        <v>500</v>
      </c>
      <c r="I164" s="3">
        <f t="shared" si="18"/>
        <v>1061.0325070052875</v>
      </c>
      <c r="J164" s="3">
        <f t="shared" si="19"/>
        <v>849887.03811123525</v>
      </c>
    </row>
    <row r="165" spans="4:10">
      <c r="D165">
        <v>163</v>
      </c>
      <c r="E165" s="3">
        <f t="shared" si="17"/>
        <v>849887.03811123525</v>
      </c>
      <c r="F165" s="3">
        <f t="shared" si="14"/>
        <v>3254.081613716839</v>
      </c>
      <c r="G165" s="3">
        <f t="shared" si="15"/>
        <v>976.22448411505161</v>
      </c>
      <c r="H165" s="3">
        <f t="shared" si="16"/>
        <v>500</v>
      </c>
      <c r="I165" s="3">
        <f t="shared" si="18"/>
        <v>1068.2716802613338</v>
      </c>
      <c r="J165" s="3">
        <f t="shared" si="19"/>
        <v>855685.61588932842</v>
      </c>
    </row>
    <row r="166" spans="4:10">
      <c r="D166">
        <v>164</v>
      </c>
      <c r="E166" s="3">
        <f t="shared" si="17"/>
        <v>855685.61588932842</v>
      </c>
      <c r="F166" s="3">
        <f t="shared" si="14"/>
        <v>3254.081613716839</v>
      </c>
      <c r="G166" s="3">
        <f t="shared" si="15"/>
        <v>976.22448411505161</v>
      </c>
      <c r="H166" s="3">
        <f t="shared" si="16"/>
        <v>500</v>
      </c>
      <c r="I166" s="3">
        <f t="shared" si="18"/>
        <v>1075.5199024839503</v>
      </c>
      <c r="J166" s="3">
        <f t="shared" si="19"/>
        <v>861491.44188964413</v>
      </c>
    </row>
    <row r="167" spans="4:10">
      <c r="D167">
        <v>165</v>
      </c>
      <c r="E167" s="3">
        <f t="shared" si="17"/>
        <v>861491.44188964413</v>
      </c>
      <c r="F167" s="3">
        <f t="shared" si="14"/>
        <v>3254.081613716839</v>
      </c>
      <c r="G167" s="3">
        <f t="shared" si="15"/>
        <v>976.22448411505161</v>
      </c>
      <c r="H167" s="3">
        <f t="shared" si="16"/>
        <v>500</v>
      </c>
      <c r="I167" s="3">
        <f t="shared" si="18"/>
        <v>1082.777184984345</v>
      </c>
      <c r="J167" s="3">
        <f t="shared" si="19"/>
        <v>867304.52517246024</v>
      </c>
    </row>
    <row r="168" spans="4:10">
      <c r="D168">
        <v>166</v>
      </c>
      <c r="E168" s="3">
        <f t="shared" si="17"/>
        <v>867304.52517246024</v>
      </c>
      <c r="F168" s="3">
        <f t="shared" si="14"/>
        <v>3254.081613716839</v>
      </c>
      <c r="G168" s="3">
        <f t="shared" si="15"/>
        <v>976.22448411505161</v>
      </c>
      <c r="H168" s="3">
        <f t="shared" si="16"/>
        <v>500</v>
      </c>
      <c r="I168" s="3">
        <f t="shared" si="18"/>
        <v>1090.0435390878652</v>
      </c>
      <c r="J168" s="3">
        <f t="shared" si="19"/>
        <v>873124.87480937992</v>
      </c>
    </row>
    <row r="169" spans="4:10">
      <c r="D169">
        <v>167</v>
      </c>
      <c r="E169" s="3">
        <f t="shared" si="17"/>
        <v>873124.87480937992</v>
      </c>
      <c r="F169" s="3">
        <f t="shared" si="14"/>
        <v>3254.081613716839</v>
      </c>
      <c r="G169" s="3">
        <f t="shared" si="15"/>
        <v>976.22448411505161</v>
      </c>
      <c r="H169" s="3">
        <f t="shared" si="16"/>
        <v>500</v>
      </c>
      <c r="I169" s="3">
        <f t="shared" si="18"/>
        <v>1097.3189761340147</v>
      </c>
      <c r="J169" s="3">
        <f t="shared" si="19"/>
        <v>878952.49988334579</v>
      </c>
    </row>
    <row r="170" spans="4:10">
      <c r="D170">
        <v>168</v>
      </c>
      <c r="E170" s="3">
        <f t="shared" si="17"/>
        <v>878952.49988334579</v>
      </c>
      <c r="F170" s="3">
        <f t="shared" si="14"/>
        <v>3254.081613716839</v>
      </c>
      <c r="G170" s="3">
        <f t="shared" si="15"/>
        <v>976.22448411505161</v>
      </c>
      <c r="H170" s="3">
        <f t="shared" si="16"/>
        <v>500</v>
      </c>
      <c r="I170" s="3">
        <f t="shared" si="18"/>
        <v>1104.603507476472</v>
      </c>
      <c r="J170" s="3">
        <f t="shared" si="19"/>
        <v>884787.40948865411</v>
      </c>
    </row>
    <row r="171" spans="4:10">
      <c r="D171">
        <v>169</v>
      </c>
      <c r="E171" s="3">
        <f t="shared" si="17"/>
        <v>884787.40948865411</v>
      </c>
      <c r="F171" s="3">
        <f t="shared" si="14"/>
        <v>3254.081613716839</v>
      </c>
      <c r="G171" s="3">
        <f t="shared" si="15"/>
        <v>976.22448411505161</v>
      </c>
      <c r="H171" s="3">
        <f t="shared" si="16"/>
        <v>500</v>
      </c>
      <c r="I171" s="3">
        <f t="shared" si="18"/>
        <v>1111.8971444831075</v>
      </c>
      <c r="J171" s="3">
        <f t="shared" si="19"/>
        <v>890629.61273096898</v>
      </c>
    </row>
    <row r="172" spans="4:10">
      <c r="D172">
        <v>170</v>
      </c>
      <c r="E172" s="3">
        <f t="shared" si="17"/>
        <v>890629.61273096898</v>
      </c>
      <c r="F172" s="3">
        <f t="shared" si="14"/>
        <v>3254.081613716839</v>
      </c>
      <c r="G172" s="3">
        <f t="shared" si="15"/>
        <v>976.22448411505161</v>
      </c>
      <c r="H172" s="3">
        <f t="shared" si="16"/>
        <v>500</v>
      </c>
      <c r="I172" s="3">
        <f t="shared" si="18"/>
        <v>1119.199898536001</v>
      </c>
      <c r="J172" s="3">
        <f t="shared" si="19"/>
        <v>896479.11872733675</v>
      </c>
    </row>
    <row r="173" spans="4:10">
      <c r="D173">
        <v>171</v>
      </c>
      <c r="E173" s="3">
        <f t="shared" si="17"/>
        <v>896479.11872733675</v>
      </c>
      <c r="F173" s="3">
        <f t="shared" si="14"/>
        <v>3254.081613716839</v>
      </c>
      <c r="G173" s="3">
        <f t="shared" si="15"/>
        <v>976.22448411505161</v>
      </c>
      <c r="H173" s="3">
        <f t="shared" si="16"/>
        <v>500</v>
      </c>
      <c r="I173" s="3">
        <f t="shared" si="18"/>
        <v>1126.5117810314607</v>
      </c>
      <c r="J173" s="3">
        <f t="shared" si="19"/>
        <v>902335.93660620006</v>
      </c>
    </row>
    <row r="174" spans="4:10">
      <c r="D174">
        <v>172</v>
      </c>
      <c r="E174" s="3">
        <f t="shared" si="17"/>
        <v>902335.93660620006</v>
      </c>
      <c r="F174" s="3">
        <f t="shared" si="14"/>
        <v>3254.081613716839</v>
      </c>
      <c r="G174" s="3">
        <f t="shared" si="15"/>
        <v>976.22448411505161</v>
      </c>
      <c r="H174" s="3">
        <f t="shared" si="16"/>
        <v>500</v>
      </c>
      <c r="I174" s="3">
        <f t="shared" si="18"/>
        <v>1133.8328033800399</v>
      </c>
      <c r="J174" s="3">
        <f t="shared" si="19"/>
        <v>908200.07550741197</v>
      </c>
    </row>
    <row r="175" spans="4:10">
      <c r="D175">
        <v>173</v>
      </c>
      <c r="E175" s="3">
        <f t="shared" si="17"/>
        <v>908200.07550741197</v>
      </c>
      <c r="F175" s="3">
        <f t="shared" si="14"/>
        <v>3254.081613716839</v>
      </c>
      <c r="G175" s="3">
        <f t="shared" si="15"/>
        <v>976.22448411505161</v>
      </c>
      <c r="H175" s="3">
        <f t="shared" si="16"/>
        <v>500</v>
      </c>
      <c r="I175" s="3">
        <f t="shared" si="18"/>
        <v>1141.1629770065547</v>
      </c>
      <c r="J175" s="3">
        <f t="shared" si="19"/>
        <v>914071.5445822503</v>
      </c>
    </row>
    <row r="176" spans="4:10">
      <c r="D176">
        <v>174</v>
      </c>
      <c r="E176" s="3">
        <f t="shared" si="17"/>
        <v>914071.5445822503</v>
      </c>
      <c r="F176" s="3">
        <f t="shared" si="14"/>
        <v>3254.081613716839</v>
      </c>
      <c r="G176" s="3">
        <f t="shared" si="15"/>
        <v>976.22448411505161</v>
      </c>
      <c r="H176" s="3">
        <f t="shared" si="16"/>
        <v>500</v>
      </c>
      <c r="I176" s="3">
        <f t="shared" si="18"/>
        <v>1148.5023133501027</v>
      </c>
      <c r="J176" s="3">
        <f t="shared" si="19"/>
        <v>919950.3529934322</v>
      </c>
    </row>
    <row r="177" spans="4:10">
      <c r="D177">
        <v>175</v>
      </c>
      <c r="E177" s="3">
        <f t="shared" si="17"/>
        <v>919950.3529934322</v>
      </c>
      <c r="F177" s="3">
        <f t="shared" si="14"/>
        <v>3254.081613716839</v>
      </c>
      <c r="G177" s="3">
        <f t="shared" si="15"/>
        <v>976.22448411505161</v>
      </c>
      <c r="H177" s="3">
        <f t="shared" si="16"/>
        <v>500</v>
      </c>
      <c r="I177" s="3">
        <f t="shared" si="18"/>
        <v>1155.85082386408</v>
      </c>
      <c r="J177" s="3">
        <f t="shared" si="19"/>
        <v>925836.50991512812</v>
      </c>
    </row>
    <row r="178" spans="4:10">
      <c r="D178">
        <v>176</v>
      </c>
      <c r="E178" s="3">
        <f t="shared" si="17"/>
        <v>925836.50991512812</v>
      </c>
      <c r="F178" s="3">
        <f t="shared" si="14"/>
        <v>3254.081613716839</v>
      </c>
      <c r="G178" s="3">
        <f t="shared" si="15"/>
        <v>976.22448411505161</v>
      </c>
      <c r="H178" s="3">
        <f t="shared" si="16"/>
        <v>500</v>
      </c>
      <c r="I178" s="3">
        <f t="shared" si="18"/>
        <v>1163.2085200161998</v>
      </c>
      <c r="J178" s="3">
        <f t="shared" si="19"/>
        <v>931730.02453297609</v>
      </c>
    </row>
    <row r="179" spans="4:10">
      <c r="D179">
        <v>177</v>
      </c>
      <c r="E179" s="3">
        <f t="shared" si="17"/>
        <v>931730.02453297609</v>
      </c>
      <c r="F179" s="3">
        <f t="shared" si="14"/>
        <v>3254.081613716839</v>
      </c>
      <c r="G179" s="3">
        <f t="shared" si="15"/>
        <v>976.22448411505161</v>
      </c>
      <c r="H179" s="3">
        <f t="shared" si="16"/>
        <v>500</v>
      </c>
      <c r="I179" s="3">
        <f t="shared" si="18"/>
        <v>1170.5754132885099</v>
      </c>
      <c r="J179" s="3">
        <f t="shared" si="19"/>
        <v>937630.90604409645</v>
      </c>
    </row>
    <row r="180" spans="4:10">
      <c r="D180">
        <v>178</v>
      </c>
      <c r="E180" s="3">
        <f t="shared" si="17"/>
        <v>937630.90604409645</v>
      </c>
      <c r="F180" s="3">
        <f t="shared" si="14"/>
        <v>3254.081613716839</v>
      </c>
      <c r="G180" s="3">
        <f t="shared" si="15"/>
        <v>976.22448411505161</v>
      </c>
      <c r="H180" s="3">
        <f t="shared" si="16"/>
        <v>500</v>
      </c>
      <c r="I180" s="3">
        <f t="shared" si="18"/>
        <v>1177.9515151774103</v>
      </c>
      <c r="J180" s="3">
        <f t="shared" si="19"/>
        <v>943539.16365710564</v>
      </c>
    </row>
    <row r="181" spans="4:10">
      <c r="D181">
        <v>179</v>
      </c>
      <c r="E181" s="3">
        <f t="shared" si="17"/>
        <v>943539.16365710564</v>
      </c>
      <c r="F181" s="3">
        <f t="shared" si="14"/>
        <v>3254.081613716839</v>
      </c>
      <c r="G181" s="3">
        <f t="shared" si="15"/>
        <v>976.22448411505161</v>
      </c>
      <c r="H181" s="3">
        <f t="shared" si="16"/>
        <v>500</v>
      </c>
      <c r="I181" s="3">
        <f t="shared" si="18"/>
        <v>1185.336837193672</v>
      </c>
      <c r="J181" s="3">
        <f t="shared" si="19"/>
        <v>949454.80659213115</v>
      </c>
    </row>
    <row r="182" spans="4:10">
      <c r="D182">
        <v>180</v>
      </c>
      <c r="E182" s="3">
        <f t="shared" si="17"/>
        <v>949454.80659213115</v>
      </c>
      <c r="F182" s="3">
        <f t="shared" si="14"/>
        <v>3254.081613716839</v>
      </c>
      <c r="G182" s="3">
        <f t="shared" si="15"/>
        <v>976.22448411505161</v>
      </c>
      <c r="H182" s="3">
        <f t="shared" si="16"/>
        <v>500</v>
      </c>
      <c r="I182" s="3">
        <f t="shared" si="18"/>
        <v>1192.7313908624537</v>
      </c>
      <c r="J182" s="3">
        <f t="shared" si="19"/>
        <v>955377.84408082545</v>
      </c>
    </row>
    <row r="183" spans="4:10">
      <c r="D183">
        <v>181</v>
      </c>
      <c r="E183" s="3">
        <f t="shared" si="17"/>
        <v>955377.84408082545</v>
      </c>
      <c r="F183" s="3">
        <f t="shared" si="14"/>
        <v>3254.081613716839</v>
      </c>
      <c r="G183" s="3">
        <f t="shared" si="15"/>
        <v>976.22448411505161</v>
      </c>
      <c r="H183" s="3">
        <f t="shared" si="16"/>
        <v>500</v>
      </c>
      <c r="I183" s="3">
        <f t="shared" si="18"/>
        <v>1200.1351877233217</v>
      </c>
      <c r="J183" s="3">
        <f t="shared" si="19"/>
        <v>961308.28536638059</v>
      </c>
    </row>
    <row r="184" spans="4:10">
      <c r="D184">
        <v>182</v>
      </c>
      <c r="E184" s="3">
        <f t="shared" si="17"/>
        <v>961308.28536638059</v>
      </c>
      <c r="F184" s="3">
        <f t="shared" si="14"/>
        <v>3254.081613716839</v>
      </c>
      <c r="G184" s="3">
        <f t="shared" si="15"/>
        <v>976.22448411505161</v>
      </c>
      <c r="H184" s="3">
        <f t="shared" si="16"/>
        <v>500</v>
      </c>
      <c r="I184" s="3">
        <f t="shared" si="18"/>
        <v>1207.5482393302655</v>
      </c>
      <c r="J184" s="3">
        <f t="shared" si="19"/>
        <v>967246.13970354269</v>
      </c>
    </row>
    <row r="185" spans="4:10">
      <c r="D185">
        <v>183</v>
      </c>
      <c r="E185" s="3">
        <f t="shared" si="17"/>
        <v>967246.13970354269</v>
      </c>
      <c r="F185" s="3">
        <f t="shared" si="14"/>
        <v>3254.081613716839</v>
      </c>
      <c r="G185" s="3">
        <f t="shared" si="15"/>
        <v>976.22448411505161</v>
      </c>
      <c r="H185" s="3">
        <f t="shared" si="16"/>
        <v>500</v>
      </c>
      <c r="I185" s="3">
        <f t="shared" si="18"/>
        <v>1214.9705572517182</v>
      </c>
      <c r="J185" s="3">
        <f t="shared" si="19"/>
        <v>973191.41635862621</v>
      </c>
    </row>
    <row r="186" spans="4:10">
      <c r="D186">
        <v>184</v>
      </c>
      <c r="E186" s="3">
        <f t="shared" si="17"/>
        <v>973191.41635862621</v>
      </c>
      <c r="F186" s="3">
        <f t="shared" si="14"/>
        <v>3254.081613716839</v>
      </c>
      <c r="G186" s="3">
        <f t="shared" si="15"/>
        <v>976.22448411505161</v>
      </c>
      <c r="H186" s="3">
        <f t="shared" si="16"/>
        <v>500</v>
      </c>
      <c r="I186" s="3">
        <f t="shared" si="18"/>
        <v>1222.4021530705725</v>
      </c>
      <c r="J186" s="3">
        <f t="shared" si="19"/>
        <v>979144.12460952858</v>
      </c>
    </row>
    <row r="187" spans="4:10">
      <c r="D187">
        <v>185</v>
      </c>
      <c r="E187" s="3">
        <f t="shared" si="17"/>
        <v>979144.12460952858</v>
      </c>
      <c r="F187" s="3">
        <f t="shared" si="14"/>
        <v>3254.081613716839</v>
      </c>
      <c r="G187" s="3">
        <f t="shared" si="15"/>
        <v>976.22448411505161</v>
      </c>
      <c r="H187" s="3">
        <f t="shared" si="16"/>
        <v>500</v>
      </c>
      <c r="I187" s="3">
        <f t="shared" si="18"/>
        <v>1229.8430383842006</v>
      </c>
      <c r="J187" s="3">
        <f t="shared" si="19"/>
        <v>985104.27374574461</v>
      </c>
    </row>
    <row r="188" spans="4:10">
      <c r="D188">
        <v>186</v>
      </c>
      <c r="E188" s="3">
        <f t="shared" si="17"/>
        <v>985104.27374574461</v>
      </c>
      <c r="F188" s="3">
        <f t="shared" si="14"/>
        <v>3254.081613716839</v>
      </c>
      <c r="G188" s="3">
        <f t="shared" si="15"/>
        <v>976.22448411505161</v>
      </c>
      <c r="H188" s="3">
        <f t="shared" si="16"/>
        <v>500</v>
      </c>
      <c r="I188" s="3">
        <f t="shared" si="18"/>
        <v>1237.2932248044706</v>
      </c>
      <c r="J188" s="3">
        <f t="shared" si="19"/>
        <v>991071.87306838087</v>
      </c>
    </row>
    <row r="189" spans="4:10">
      <c r="D189">
        <v>187</v>
      </c>
      <c r="E189" s="3">
        <f t="shared" si="17"/>
        <v>991071.87306838087</v>
      </c>
      <c r="F189" s="3">
        <f t="shared" si="14"/>
        <v>3254.081613716839</v>
      </c>
      <c r="G189" s="3">
        <f t="shared" si="15"/>
        <v>976.22448411505161</v>
      </c>
      <c r="H189" s="3">
        <f t="shared" si="16"/>
        <v>500</v>
      </c>
      <c r="I189" s="3">
        <f t="shared" si="18"/>
        <v>1244.752723957766</v>
      </c>
      <c r="J189" s="3">
        <f t="shared" si="19"/>
        <v>997046.93189017044</v>
      </c>
    </row>
    <row r="190" spans="4:10">
      <c r="D190">
        <v>188</v>
      </c>
      <c r="E190" s="3">
        <f t="shared" si="17"/>
        <v>997046.93189017044</v>
      </c>
      <c r="F190" s="3">
        <f t="shared" si="14"/>
        <v>3254.081613716839</v>
      </c>
      <c r="G190" s="3">
        <f t="shared" si="15"/>
        <v>976.22448411505161</v>
      </c>
      <c r="H190" s="3">
        <f t="shared" si="16"/>
        <v>500</v>
      </c>
      <c r="I190" s="3">
        <f t="shared" si="18"/>
        <v>1252.2215474850029</v>
      </c>
      <c r="J190" s="3">
        <f t="shared" si="19"/>
        <v>1003029.4595354872</v>
      </c>
    </row>
    <row r="191" spans="4:10">
      <c r="D191">
        <v>189</v>
      </c>
      <c r="E191" s="3">
        <f t="shared" si="17"/>
        <v>1003029.4595354872</v>
      </c>
      <c r="F191" s="3">
        <f t="shared" si="14"/>
        <v>3254.081613716839</v>
      </c>
      <c r="G191" s="3">
        <f t="shared" si="15"/>
        <v>976.22448411505161</v>
      </c>
      <c r="H191" s="3">
        <f t="shared" si="16"/>
        <v>500</v>
      </c>
      <c r="I191" s="3">
        <f t="shared" si="18"/>
        <v>1259.6997070416489</v>
      </c>
      <c r="J191" s="3">
        <f t="shared" si="19"/>
        <v>1009019.4653403606</v>
      </c>
    </row>
    <row r="192" spans="4:10">
      <c r="D192">
        <v>190</v>
      </c>
      <c r="E192" s="3">
        <f t="shared" si="17"/>
        <v>1009019.4653403606</v>
      </c>
      <c r="F192" s="3">
        <f t="shared" si="14"/>
        <v>3254.081613716839</v>
      </c>
      <c r="G192" s="3">
        <f t="shared" si="15"/>
        <v>976.22448411505161</v>
      </c>
      <c r="H192" s="3">
        <f t="shared" si="16"/>
        <v>500</v>
      </c>
      <c r="I192" s="3">
        <f t="shared" si="18"/>
        <v>1267.1872142977406</v>
      </c>
      <c r="J192" s="3">
        <f t="shared" si="19"/>
        <v>1015016.9586524902</v>
      </c>
    </row>
    <row r="193" spans="4:10">
      <c r="D193">
        <v>191</v>
      </c>
      <c r="E193" s="3">
        <f t="shared" si="17"/>
        <v>1015016.9586524902</v>
      </c>
      <c r="F193" s="3">
        <f t="shared" si="14"/>
        <v>3254.081613716839</v>
      </c>
      <c r="G193" s="3">
        <f t="shared" si="15"/>
        <v>976.22448411505161</v>
      </c>
      <c r="H193" s="3">
        <f t="shared" si="16"/>
        <v>500</v>
      </c>
      <c r="I193" s="3">
        <f t="shared" si="18"/>
        <v>1274.6840809379025</v>
      </c>
      <c r="J193" s="3">
        <f t="shared" si="19"/>
        <v>1021021.9488312599</v>
      </c>
    </row>
    <row r="194" spans="4:10">
      <c r="D194">
        <v>192</v>
      </c>
      <c r="E194" s="3">
        <f t="shared" si="17"/>
        <v>1021021.9488312599</v>
      </c>
      <c r="F194" s="3">
        <f t="shared" si="14"/>
        <v>3254.081613716839</v>
      </c>
      <c r="G194" s="3">
        <f t="shared" si="15"/>
        <v>976.22448411505161</v>
      </c>
      <c r="H194" s="3">
        <f t="shared" si="16"/>
        <v>500</v>
      </c>
      <c r="I194" s="3">
        <f t="shared" si="18"/>
        <v>1282.1903186613647</v>
      </c>
      <c r="J194" s="3">
        <f t="shared" si="19"/>
        <v>1027034.4452477531</v>
      </c>
    </row>
    <row r="195" spans="4:10">
      <c r="D195">
        <v>193</v>
      </c>
      <c r="E195" s="3">
        <f t="shared" si="17"/>
        <v>1027034.4452477531</v>
      </c>
      <c r="F195" s="3">
        <f t="shared" si="14"/>
        <v>3254.081613716839</v>
      </c>
      <c r="G195" s="3">
        <f t="shared" si="15"/>
        <v>976.22448411505161</v>
      </c>
      <c r="H195" s="3">
        <f t="shared" si="16"/>
        <v>500</v>
      </c>
      <c r="I195" s="3">
        <f t="shared" si="18"/>
        <v>1289.7059391819812</v>
      </c>
      <c r="J195" s="3">
        <f t="shared" si="19"/>
        <v>1033054.4572847668</v>
      </c>
    </row>
    <row r="196" spans="4:10">
      <c r="D196">
        <v>194</v>
      </c>
      <c r="E196" s="3">
        <f t="shared" si="17"/>
        <v>1033054.4572847668</v>
      </c>
      <c r="F196" s="3">
        <f t="shared" ref="F196:F259" si="20">$B$2</f>
        <v>3254.081613716839</v>
      </c>
      <c r="G196" s="3">
        <f t="shared" ref="G196:G259" si="21">$B$3</f>
        <v>976.22448411505161</v>
      </c>
      <c r="H196" s="3">
        <f t="shared" ref="H196:H259" si="22">$B$4</f>
        <v>500</v>
      </c>
      <c r="I196" s="3">
        <f t="shared" si="18"/>
        <v>1297.2309542282483</v>
      </c>
      <c r="J196" s="3">
        <f t="shared" si="19"/>
        <v>1039081.9943368268</v>
      </c>
    </row>
    <row r="197" spans="4:10">
      <c r="D197">
        <v>195</v>
      </c>
      <c r="E197" s="3">
        <f t="shared" ref="E197:E260" si="23">J196</f>
        <v>1039081.9943368268</v>
      </c>
      <c r="F197" s="3">
        <f t="shared" si="20"/>
        <v>3254.081613716839</v>
      </c>
      <c r="G197" s="3">
        <f t="shared" si="21"/>
        <v>976.22448411505161</v>
      </c>
      <c r="H197" s="3">
        <f t="shared" si="22"/>
        <v>500</v>
      </c>
      <c r="I197" s="3">
        <f t="shared" ref="I197:I260" si="24">$B$9*SUM(E197:H197)</f>
        <v>1304.7653755433234</v>
      </c>
      <c r="J197" s="3">
        <f t="shared" ref="J197:J260" si="25">SUM(E197:I197)</f>
        <v>1045117.0658102019</v>
      </c>
    </row>
    <row r="198" spans="4:10">
      <c r="D198">
        <v>196</v>
      </c>
      <c r="E198" s="3">
        <f t="shared" si="23"/>
        <v>1045117.0658102019</v>
      </c>
      <c r="F198" s="3">
        <f t="shared" si="20"/>
        <v>3254.081613716839</v>
      </c>
      <c r="G198" s="3">
        <f t="shared" si="21"/>
        <v>976.22448411505161</v>
      </c>
      <c r="H198" s="3">
        <f t="shared" si="22"/>
        <v>500</v>
      </c>
      <c r="I198" s="3">
        <f t="shared" si="24"/>
        <v>1312.3092148850421</v>
      </c>
      <c r="J198" s="3">
        <f t="shared" si="25"/>
        <v>1051159.6811229188</v>
      </c>
    </row>
    <row r="199" spans="4:10">
      <c r="D199">
        <v>197</v>
      </c>
      <c r="E199" s="3">
        <f t="shared" si="23"/>
        <v>1051159.6811229188</v>
      </c>
      <c r="F199" s="3">
        <f t="shared" si="20"/>
        <v>3254.081613716839</v>
      </c>
      <c r="G199" s="3">
        <f t="shared" si="21"/>
        <v>976.22448411505161</v>
      </c>
      <c r="H199" s="3">
        <f t="shared" si="22"/>
        <v>500</v>
      </c>
      <c r="I199" s="3">
        <f t="shared" si="24"/>
        <v>1319.8624840259386</v>
      </c>
      <c r="J199" s="3">
        <f t="shared" si="25"/>
        <v>1057209.8497047769</v>
      </c>
    </row>
    <row r="200" spans="4:10">
      <c r="D200">
        <v>198</v>
      </c>
      <c r="E200" s="3">
        <f t="shared" si="23"/>
        <v>1057209.8497047769</v>
      </c>
      <c r="F200" s="3">
        <f t="shared" si="20"/>
        <v>3254.081613716839</v>
      </c>
      <c r="G200" s="3">
        <f t="shared" si="21"/>
        <v>976.22448411505161</v>
      </c>
      <c r="H200" s="3">
        <f t="shared" si="22"/>
        <v>500</v>
      </c>
      <c r="I200" s="3">
        <f t="shared" si="24"/>
        <v>1327.4251947532612</v>
      </c>
      <c r="J200" s="3">
        <f t="shared" si="25"/>
        <v>1063267.5809973623</v>
      </c>
    </row>
    <row r="201" spans="4:10">
      <c r="D201">
        <v>199</v>
      </c>
      <c r="E201" s="3">
        <f t="shared" si="23"/>
        <v>1063267.5809973623</v>
      </c>
      <c r="F201" s="3">
        <f t="shared" si="20"/>
        <v>3254.081613716839</v>
      </c>
      <c r="G201" s="3">
        <f t="shared" si="21"/>
        <v>976.22448411505161</v>
      </c>
      <c r="H201" s="3">
        <f t="shared" si="22"/>
        <v>500</v>
      </c>
      <c r="I201" s="3">
        <f t="shared" si="24"/>
        <v>1334.9973588689929</v>
      </c>
      <c r="J201" s="3">
        <f t="shared" si="25"/>
        <v>1069332.8844540634</v>
      </c>
    </row>
    <row r="202" spans="4:10">
      <c r="D202">
        <v>200</v>
      </c>
      <c r="E202" s="3">
        <f t="shared" si="23"/>
        <v>1069332.8844540634</v>
      </c>
      <c r="F202" s="3">
        <f t="shared" si="20"/>
        <v>3254.081613716839</v>
      </c>
      <c r="G202" s="3">
        <f t="shared" si="21"/>
        <v>976.22448411505161</v>
      </c>
      <c r="H202" s="3">
        <f t="shared" si="22"/>
        <v>500</v>
      </c>
      <c r="I202" s="3">
        <f t="shared" si="24"/>
        <v>1342.5789881898693</v>
      </c>
      <c r="J202" s="3">
        <f t="shared" si="25"/>
        <v>1075405.7695400852</v>
      </c>
    </row>
    <row r="203" spans="4:10">
      <c r="D203">
        <v>201</v>
      </c>
      <c r="E203" s="3">
        <f t="shared" si="23"/>
        <v>1075405.7695400852</v>
      </c>
      <c r="F203" s="3">
        <f t="shared" si="20"/>
        <v>3254.081613716839</v>
      </c>
      <c r="G203" s="3">
        <f t="shared" si="21"/>
        <v>976.22448411505161</v>
      </c>
      <c r="H203" s="3">
        <f t="shared" si="22"/>
        <v>500</v>
      </c>
      <c r="I203" s="3">
        <f t="shared" si="24"/>
        <v>1350.1700945473965</v>
      </c>
      <c r="J203" s="3">
        <f t="shared" si="25"/>
        <v>1081486.2457324646</v>
      </c>
    </row>
    <row r="204" spans="4:10">
      <c r="D204">
        <v>202</v>
      </c>
      <c r="E204" s="3">
        <f t="shared" si="23"/>
        <v>1081486.2457324646</v>
      </c>
      <c r="F204" s="3">
        <f t="shared" si="20"/>
        <v>3254.081613716839</v>
      </c>
      <c r="G204" s="3">
        <f t="shared" si="21"/>
        <v>976.22448411505161</v>
      </c>
      <c r="H204" s="3">
        <f t="shared" si="22"/>
        <v>500</v>
      </c>
      <c r="I204" s="3">
        <f t="shared" si="24"/>
        <v>1357.7706897878709</v>
      </c>
      <c r="J204" s="3">
        <f t="shared" si="25"/>
        <v>1087574.3225200844</v>
      </c>
    </row>
    <row r="205" spans="4:10">
      <c r="D205">
        <v>203</v>
      </c>
      <c r="E205" s="3">
        <f t="shared" si="23"/>
        <v>1087574.3225200844</v>
      </c>
      <c r="F205" s="3">
        <f t="shared" si="20"/>
        <v>3254.081613716839</v>
      </c>
      <c r="G205" s="3">
        <f t="shared" si="21"/>
        <v>976.22448411505161</v>
      </c>
      <c r="H205" s="3">
        <f t="shared" si="22"/>
        <v>500</v>
      </c>
      <c r="I205" s="3">
        <f t="shared" si="24"/>
        <v>1365.3807857723957</v>
      </c>
      <c r="J205" s="3">
        <f t="shared" si="25"/>
        <v>1093670.0094036888</v>
      </c>
    </row>
    <row r="206" spans="4:10">
      <c r="D206">
        <v>204</v>
      </c>
      <c r="E206" s="3">
        <f t="shared" si="23"/>
        <v>1093670.0094036888</v>
      </c>
      <c r="F206" s="3">
        <f t="shared" si="20"/>
        <v>3254.081613716839</v>
      </c>
      <c r="G206" s="3">
        <f t="shared" si="21"/>
        <v>976.22448411505161</v>
      </c>
      <c r="H206" s="3">
        <f t="shared" si="22"/>
        <v>500</v>
      </c>
      <c r="I206" s="3">
        <f t="shared" si="24"/>
        <v>1373.0003943769011</v>
      </c>
      <c r="J206" s="3">
        <f t="shared" si="25"/>
        <v>1099773.3158958978</v>
      </c>
    </row>
    <row r="207" spans="4:10">
      <c r="D207">
        <v>205</v>
      </c>
      <c r="E207" s="3">
        <f t="shared" si="23"/>
        <v>1099773.3158958978</v>
      </c>
      <c r="F207" s="3">
        <f t="shared" si="20"/>
        <v>3254.081613716839</v>
      </c>
      <c r="G207" s="3">
        <f t="shared" si="21"/>
        <v>976.22448411505161</v>
      </c>
      <c r="H207" s="3">
        <f t="shared" si="22"/>
        <v>500</v>
      </c>
      <c r="I207" s="3">
        <f t="shared" si="24"/>
        <v>1380.6295274921624</v>
      </c>
      <c r="J207" s="3">
        <f t="shared" si="25"/>
        <v>1105884.2515212221</v>
      </c>
    </row>
    <row r="208" spans="4:10">
      <c r="D208">
        <v>206</v>
      </c>
      <c r="E208" s="3">
        <f t="shared" si="23"/>
        <v>1105884.2515212221</v>
      </c>
      <c r="F208" s="3">
        <f t="shared" si="20"/>
        <v>3254.081613716839</v>
      </c>
      <c r="G208" s="3">
        <f t="shared" si="21"/>
        <v>976.22448411505161</v>
      </c>
      <c r="H208" s="3">
        <f t="shared" si="22"/>
        <v>500</v>
      </c>
      <c r="I208" s="3">
        <f t="shared" si="24"/>
        <v>1388.2681970238177</v>
      </c>
      <c r="J208" s="3">
        <f t="shared" si="25"/>
        <v>1112002.8258160779</v>
      </c>
    </row>
    <row r="209" spans="4:10">
      <c r="D209">
        <v>207</v>
      </c>
      <c r="E209" s="3">
        <f t="shared" si="23"/>
        <v>1112002.8258160779</v>
      </c>
      <c r="F209" s="3">
        <f t="shared" si="20"/>
        <v>3254.081613716839</v>
      </c>
      <c r="G209" s="3">
        <f t="shared" si="21"/>
        <v>976.22448411505161</v>
      </c>
      <c r="H209" s="3">
        <f t="shared" si="22"/>
        <v>500</v>
      </c>
      <c r="I209" s="3">
        <f t="shared" si="24"/>
        <v>1395.9164148923874</v>
      </c>
      <c r="J209" s="3">
        <f t="shared" si="25"/>
        <v>1118129.0483288022</v>
      </c>
    </row>
    <row r="210" spans="4:10">
      <c r="D210">
        <v>208</v>
      </c>
      <c r="E210" s="3">
        <f t="shared" si="23"/>
        <v>1118129.0483288022</v>
      </c>
      <c r="F210" s="3">
        <f t="shared" si="20"/>
        <v>3254.081613716839</v>
      </c>
      <c r="G210" s="3">
        <f t="shared" si="21"/>
        <v>976.22448411505161</v>
      </c>
      <c r="H210" s="3">
        <f t="shared" si="22"/>
        <v>500</v>
      </c>
      <c r="I210" s="3">
        <f t="shared" si="24"/>
        <v>1403.5741930332929</v>
      </c>
      <c r="J210" s="3">
        <f t="shared" si="25"/>
        <v>1124262.9286196677</v>
      </c>
    </row>
    <row r="211" spans="4:10">
      <c r="D211">
        <v>209</v>
      </c>
      <c r="E211" s="3">
        <f t="shared" si="23"/>
        <v>1124262.9286196677</v>
      </c>
      <c r="F211" s="3">
        <f t="shared" si="20"/>
        <v>3254.081613716839</v>
      </c>
      <c r="G211" s="3">
        <f t="shared" si="21"/>
        <v>976.22448411505161</v>
      </c>
      <c r="H211" s="3">
        <f t="shared" si="22"/>
        <v>500</v>
      </c>
      <c r="I211" s="3">
        <f t="shared" si="24"/>
        <v>1411.2415433968747</v>
      </c>
      <c r="J211" s="3">
        <f t="shared" si="25"/>
        <v>1130404.4762608965</v>
      </c>
    </row>
    <row r="212" spans="4:10">
      <c r="D212">
        <v>210</v>
      </c>
      <c r="E212" s="3">
        <f t="shared" si="23"/>
        <v>1130404.4762608965</v>
      </c>
      <c r="F212" s="3">
        <f t="shared" si="20"/>
        <v>3254.081613716839</v>
      </c>
      <c r="G212" s="3">
        <f t="shared" si="21"/>
        <v>976.22448411505161</v>
      </c>
      <c r="H212" s="3">
        <f t="shared" si="22"/>
        <v>500</v>
      </c>
      <c r="I212" s="3">
        <f t="shared" si="24"/>
        <v>1418.9184779484108</v>
      </c>
      <c r="J212" s="3">
        <f t="shared" si="25"/>
        <v>1136553.7008366771</v>
      </c>
    </row>
    <row r="213" spans="4:10">
      <c r="D213">
        <v>211</v>
      </c>
      <c r="E213" s="3">
        <f t="shared" si="23"/>
        <v>1136553.7008366771</v>
      </c>
      <c r="F213" s="3">
        <f t="shared" si="20"/>
        <v>3254.081613716839</v>
      </c>
      <c r="G213" s="3">
        <f t="shared" si="21"/>
        <v>976.22448411505161</v>
      </c>
      <c r="H213" s="3">
        <f t="shared" si="22"/>
        <v>500</v>
      </c>
      <c r="I213" s="3">
        <f t="shared" si="24"/>
        <v>1426.6050086681364</v>
      </c>
      <c r="J213" s="3">
        <f t="shared" si="25"/>
        <v>1142710.6119431772</v>
      </c>
    </row>
    <row r="214" spans="4:10">
      <c r="D214">
        <v>212</v>
      </c>
      <c r="E214" s="3">
        <f t="shared" si="23"/>
        <v>1142710.6119431772</v>
      </c>
      <c r="F214" s="3">
        <f t="shared" si="20"/>
        <v>3254.081613716839</v>
      </c>
      <c r="G214" s="3">
        <f t="shared" si="21"/>
        <v>976.22448411505161</v>
      </c>
      <c r="H214" s="3">
        <f t="shared" si="22"/>
        <v>500</v>
      </c>
      <c r="I214" s="3">
        <f t="shared" si="24"/>
        <v>1434.3011475512615</v>
      </c>
      <c r="J214" s="3">
        <f t="shared" si="25"/>
        <v>1148875.2191885605</v>
      </c>
    </row>
    <row r="215" spans="4:10">
      <c r="D215">
        <v>213</v>
      </c>
      <c r="E215" s="3">
        <f t="shared" si="23"/>
        <v>1148875.2191885605</v>
      </c>
      <c r="F215" s="3">
        <f t="shared" si="20"/>
        <v>3254.081613716839</v>
      </c>
      <c r="G215" s="3">
        <f t="shared" si="21"/>
        <v>976.22448411505161</v>
      </c>
      <c r="H215" s="3">
        <f t="shared" si="22"/>
        <v>500</v>
      </c>
      <c r="I215" s="3">
        <f t="shared" si="24"/>
        <v>1442.0069066079907</v>
      </c>
      <c r="J215" s="3">
        <f t="shared" si="25"/>
        <v>1155047.5321930004</v>
      </c>
    </row>
    <row r="216" spans="4:10">
      <c r="D216">
        <v>214</v>
      </c>
      <c r="E216" s="3">
        <f t="shared" si="23"/>
        <v>1155047.5321930004</v>
      </c>
      <c r="F216" s="3">
        <f t="shared" si="20"/>
        <v>3254.081613716839</v>
      </c>
      <c r="G216" s="3">
        <f t="shared" si="21"/>
        <v>976.22448411505161</v>
      </c>
      <c r="H216" s="3">
        <f t="shared" si="22"/>
        <v>500</v>
      </c>
      <c r="I216" s="3">
        <f t="shared" si="24"/>
        <v>1449.7222978635407</v>
      </c>
      <c r="J216" s="3">
        <f t="shared" si="25"/>
        <v>1161227.560588696</v>
      </c>
    </row>
    <row r="217" spans="4:10">
      <c r="D217">
        <v>215</v>
      </c>
      <c r="E217" s="3">
        <f t="shared" si="23"/>
        <v>1161227.560588696</v>
      </c>
      <c r="F217" s="3">
        <f t="shared" si="20"/>
        <v>3254.081613716839</v>
      </c>
      <c r="G217" s="3">
        <f t="shared" si="21"/>
        <v>976.22448411505161</v>
      </c>
      <c r="H217" s="3">
        <f t="shared" si="22"/>
        <v>500</v>
      </c>
      <c r="I217" s="3">
        <f t="shared" si="24"/>
        <v>1457.4473333581602</v>
      </c>
      <c r="J217" s="3">
        <f t="shared" si="25"/>
        <v>1167415.3140198863</v>
      </c>
    </row>
    <row r="218" spans="4:10">
      <c r="D218">
        <v>216</v>
      </c>
      <c r="E218" s="3">
        <f t="shared" si="23"/>
        <v>1167415.3140198863</v>
      </c>
      <c r="F218" s="3">
        <f t="shared" si="20"/>
        <v>3254.081613716839</v>
      </c>
      <c r="G218" s="3">
        <f t="shared" si="21"/>
        <v>976.22448411505161</v>
      </c>
      <c r="H218" s="3">
        <f t="shared" si="22"/>
        <v>500</v>
      </c>
      <c r="I218" s="3">
        <f t="shared" si="24"/>
        <v>1465.1820251471479</v>
      </c>
      <c r="J218" s="3">
        <f t="shared" si="25"/>
        <v>1173610.8021428655</v>
      </c>
    </row>
    <row r="219" spans="4:10">
      <c r="D219">
        <v>217</v>
      </c>
      <c r="E219" s="3">
        <f t="shared" si="23"/>
        <v>1173610.8021428655</v>
      </c>
      <c r="F219" s="3">
        <f t="shared" si="20"/>
        <v>3254.081613716839</v>
      </c>
      <c r="G219" s="3">
        <f t="shared" si="21"/>
        <v>976.22448411505161</v>
      </c>
      <c r="H219" s="3">
        <f t="shared" si="22"/>
        <v>500</v>
      </c>
      <c r="I219" s="3">
        <f t="shared" si="24"/>
        <v>1472.926385300872</v>
      </c>
      <c r="J219" s="3">
        <f t="shared" si="25"/>
        <v>1179814.0346259985</v>
      </c>
    </row>
    <row r="220" spans="4:10">
      <c r="D220">
        <v>218</v>
      </c>
      <c r="E220" s="3">
        <f t="shared" si="23"/>
        <v>1179814.0346259985</v>
      </c>
      <c r="F220" s="3">
        <f t="shared" si="20"/>
        <v>3254.081613716839</v>
      </c>
      <c r="G220" s="3">
        <f t="shared" si="21"/>
        <v>976.22448411505161</v>
      </c>
      <c r="H220" s="3">
        <f t="shared" si="22"/>
        <v>500</v>
      </c>
      <c r="I220" s="3">
        <f t="shared" si="24"/>
        <v>1480.6804259047881</v>
      </c>
      <c r="J220" s="3">
        <f t="shared" si="25"/>
        <v>1186025.0211497352</v>
      </c>
    </row>
    <row r="221" spans="4:10">
      <c r="D221">
        <v>219</v>
      </c>
      <c r="E221" s="3">
        <f t="shared" si="23"/>
        <v>1186025.0211497352</v>
      </c>
      <c r="F221" s="3">
        <f t="shared" si="20"/>
        <v>3254.081613716839</v>
      </c>
      <c r="G221" s="3">
        <f t="shared" si="21"/>
        <v>976.22448411505161</v>
      </c>
      <c r="H221" s="3">
        <f t="shared" si="22"/>
        <v>500</v>
      </c>
      <c r="I221" s="3">
        <f t="shared" si="24"/>
        <v>1488.444159059459</v>
      </c>
      <c r="J221" s="3">
        <f t="shared" si="25"/>
        <v>1192243.7714066268</v>
      </c>
    </row>
    <row r="222" spans="4:10">
      <c r="D222">
        <v>220</v>
      </c>
      <c r="E222" s="3">
        <f t="shared" si="23"/>
        <v>1192243.7714066268</v>
      </c>
      <c r="F222" s="3">
        <f t="shared" si="20"/>
        <v>3254.081613716839</v>
      </c>
      <c r="G222" s="3">
        <f t="shared" si="21"/>
        <v>976.22448411505161</v>
      </c>
      <c r="H222" s="3">
        <f t="shared" si="22"/>
        <v>500</v>
      </c>
      <c r="I222" s="3">
        <f t="shared" si="24"/>
        <v>1496.2175968805736</v>
      </c>
      <c r="J222" s="3">
        <f t="shared" si="25"/>
        <v>1198470.2951013395</v>
      </c>
    </row>
    <row r="223" spans="4:10">
      <c r="D223">
        <v>221</v>
      </c>
      <c r="E223" s="3">
        <f t="shared" si="23"/>
        <v>1198470.2951013395</v>
      </c>
      <c r="F223" s="3">
        <f t="shared" si="20"/>
        <v>3254.081613716839</v>
      </c>
      <c r="G223" s="3">
        <f t="shared" si="21"/>
        <v>976.22448411505161</v>
      </c>
      <c r="H223" s="3">
        <f t="shared" si="22"/>
        <v>500</v>
      </c>
      <c r="I223" s="3">
        <f t="shared" si="24"/>
        <v>1504.0007514989645</v>
      </c>
      <c r="J223" s="3">
        <f t="shared" si="25"/>
        <v>1204704.6019506704</v>
      </c>
    </row>
    <row r="224" spans="4:10">
      <c r="D224">
        <v>222</v>
      </c>
      <c r="E224" s="3">
        <f t="shared" si="23"/>
        <v>1204704.6019506704</v>
      </c>
      <c r="F224" s="3">
        <f t="shared" si="20"/>
        <v>3254.081613716839</v>
      </c>
      <c r="G224" s="3">
        <f t="shared" si="21"/>
        <v>976.22448411505161</v>
      </c>
      <c r="H224" s="3">
        <f t="shared" si="22"/>
        <v>500</v>
      </c>
      <c r="I224" s="3">
        <f t="shared" si="24"/>
        <v>1511.793635060628</v>
      </c>
      <c r="J224" s="3">
        <f t="shared" si="25"/>
        <v>1210946.7016835629</v>
      </c>
    </row>
    <row r="225" spans="4:10">
      <c r="D225">
        <v>223</v>
      </c>
      <c r="E225" s="3">
        <f t="shared" si="23"/>
        <v>1210946.7016835629</v>
      </c>
      <c r="F225" s="3">
        <f t="shared" si="20"/>
        <v>3254.081613716839</v>
      </c>
      <c r="G225" s="3">
        <f t="shared" si="21"/>
        <v>976.22448411505161</v>
      </c>
      <c r="H225" s="3">
        <f t="shared" si="22"/>
        <v>500</v>
      </c>
      <c r="I225" s="3">
        <f t="shared" si="24"/>
        <v>1519.5962597267437</v>
      </c>
      <c r="J225" s="3">
        <f t="shared" si="25"/>
        <v>1217196.6040411217</v>
      </c>
    </row>
    <row r="226" spans="4:10">
      <c r="D226">
        <v>224</v>
      </c>
      <c r="E226" s="3">
        <f t="shared" si="23"/>
        <v>1217196.6040411217</v>
      </c>
      <c r="F226" s="3">
        <f t="shared" si="20"/>
        <v>3254.081613716839</v>
      </c>
      <c r="G226" s="3">
        <f t="shared" si="21"/>
        <v>976.22448411505161</v>
      </c>
      <c r="H226" s="3">
        <f t="shared" si="22"/>
        <v>500</v>
      </c>
      <c r="I226" s="3">
        <f t="shared" si="24"/>
        <v>1527.4086376736921</v>
      </c>
      <c r="J226" s="3">
        <f t="shared" si="25"/>
        <v>1223454.3187766273</v>
      </c>
    </row>
    <row r="227" spans="4:10">
      <c r="D227">
        <v>225</v>
      </c>
      <c r="E227" s="3">
        <f t="shared" si="23"/>
        <v>1223454.3187766273</v>
      </c>
      <c r="F227" s="3">
        <f t="shared" si="20"/>
        <v>3254.081613716839</v>
      </c>
      <c r="G227" s="3">
        <f t="shared" si="21"/>
        <v>976.22448411505161</v>
      </c>
      <c r="H227" s="3">
        <f t="shared" si="22"/>
        <v>500</v>
      </c>
      <c r="I227" s="3">
        <f t="shared" si="24"/>
        <v>1535.2307810930743</v>
      </c>
      <c r="J227" s="3">
        <f t="shared" si="25"/>
        <v>1229719.8556555524</v>
      </c>
    </row>
    <row r="228" spans="4:10">
      <c r="D228">
        <v>226</v>
      </c>
      <c r="E228" s="3">
        <f t="shared" si="23"/>
        <v>1229719.8556555524</v>
      </c>
      <c r="F228" s="3">
        <f t="shared" si="20"/>
        <v>3254.081613716839</v>
      </c>
      <c r="G228" s="3">
        <f t="shared" si="21"/>
        <v>976.22448411505161</v>
      </c>
      <c r="H228" s="3">
        <f t="shared" si="22"/>
        <v>500</v>
      </c>
      <c r="I228" s="3">
        <f t="shared" si="24"/>
        <v>1543.0627021917305</v>
      </c>
      <c r="J228" s="3">
        <f t="shared" si="25"/>
        <v>1235993.2244555762</v>
      </c>
    </row>
    <row r="229" spans="4:10">
      <c r="D229">
        <v>227</v>
      </c>
      <c r="E229" s="3">
        <f t="shared" si="23"/>
        <v>1235993.2244555762</v>
      </c>
      <c r="F229" s="3">
        <f t="shared" si="20"/>
        <v>3254.081613716839</v>
      </c>
      <c r="G229" s="3">
        <f t="shared" si="21"/>
        <v>976.22448411505161</v>
      </c>
      <c r="H229" s="3">
        <f t="shared" si="22"/>
        <v>500</v>
      </c>
      <c r="I229" s="3">
        <f t="shared" si="24"/>
        <v>1550.9044131917603</v>
      </c>
      <c r="J229" s="3">
        <f t="shared" si="25"/>
        <v>1242274.4349666</v>
      </c>
    </row>
    <row r="230" spans="4:10">
      <c r="D230">
        <v>228</v>
      </c>
      <c r="E230" s="3">
        <f t="shared" si="23"/>
        <v>1242274.4349666</v>
      </c>
      <c r="F230" s="3">
        <f t="shared" si="20"/>
        <v>3254.081613716839</v>
      </c>
      <c r="G230" s="3">
        <f t="shared" si="21"/>
        <v>976.22448411505161</v>
      </c>
      <c r="H230" s="3">
        <f t="shared" si="22"/>
        <v>500</v>
      </c>
      <c r="I230" s="3">
        <f t="shared" si="24"/>
        <v>1558.7559263305402</v>
      </c>
      <c r="J230" s="3">
        <f t="shared" si="25"/>
        <v>1248563.4969907627</v>
      </c>
    </row>
    <row r="231" spans="4:10">
      <c r="D231">
        <v>229</v>
      </c>
      <c r="E231" s="3">
        <f t="shared" si="23"/>
        <v>1248563.4969907627</v>
      </c>
      <c r="F231" s="3">
        <f t="shared" si="20"/>
        <v>3254.081613716839</v>
      </c>
      <c r="G231" s="3">
        <f t="shared" si="21"/>
        <v>976.22448411505161</v>
      </c>
      <c r="H231" s="3">
        <f t="shared" si="22"/>
        <v>500</v>
      </c>
      <c r="I231" s="3">
        <f t="shared" si="24"/>
        <v>1566.6172538607434</v>
      </c>
      <c r="J231" s="3">
        <f t="shared" si="25"/>
        <v>1254860.4203424554</v>
      </c>
    </row>
    <row r="232" spans="4:10">
      <c r="D232">
        <v>230</v>
      </c>
      <c r="E232" s="3">
        <f t="shared" si="23"/>
        <v>1254860.4203424554</v>
      </c>
      <c r="F232" s="3">
        <f t="shared" si="20"/>
        <v>3254.081613716839</v>
      </c>
      <c r="G232" s="3">
        <f t="shared" si="21"/>
        <v>976.22448411505161</v>
      </c>
      <c r="H232" s="3">
        <f t="shared" si="22"/>
        <v>500</v>
      </c>
      <c r="I232" s="3">
        <f t="shared" si="24"/>
        <v>1574.4884080503593</v>
      </c>
      <c r="J232" s="3">
        <f t="shared" si="25"/>
        <v>1261165.2148483377</v>
      </c>
    </row>
    <row r="233" spans="4:10">
      <c r="D233">
        <v>231</v>
      </c>
      <c r="E233" s="3">
        <f t="shared" si="23"/>
        <v>1261165.2148483377</v>
      </c>
      <c r="F233" s="3">
        <f t="shared" si="20"/>
        <v>3254.081613716839</v>
      </c>
      <c r="G233" s="3">
        <f t="shared" si="21"/>
        <v>976.22448411505161</v>
      </c>
      <c r="H233" s="3">
        <f t="shared" si="22"/>
        <v>500</v>
      </c>
      <c r="I233" s="3">
        <f t="shared" si="24"/>
        <v>1582.3694011827122</v>
      </c>
      <c r="J233" s="3">
        <f t="shared" si="25"/>
        <v>1267477.8903473525</v>
      </c>
    </row>
    <row r="234" spans="4:10">
      <c r="D234">
        <v>232</v>
      </c>
      <c r="E234" s="3">
        <f t="shared" si="23"/>
        <v>1267477.8903473525</v>
      </c>
      <c r="F234" s="3">
        <f t="shared" si="20"/>
        <v>3254.081613716839</v>
      </c>
      <c r="G234" s="3">
        <f t="shared" si="21"/>
        <v>976.22448411505161</v>
      </c>
      <c r="H234" s="3">
        <f t="shared" si="22"/>
        <v>500</v>
      </c>
      <c r="I234" s="3">
        <f t="shared" si="24"/>
        <v>1590.2602455564806</v>
      </c>
      <c r="J234" s="3">
        <f t="shared" si="25"/>
        <v>1273798.456690741</v>
      </c>
    </row>
    <row r="235" spans="4:10">
      <c r="D235">
        <v>233</v>
      </c>
      <c r="E235" s="3">
        <f t="shared" si="23"/>
        <v>1273798.456690741</v>
      </c>
      <c r="F235" s="3">
        <f t="shared" si="20"/>
        <v>3254.081613716839</v>
      </c>
      <c r="G235" s="3">
        <f t="shared" si="21"/>
        <v>976.22448411505161</v>
      </c>
      <c r="H235" s="3">
        <f t="shared" si="22"/>
        <v>500</v>
      </c>
      <c r="I235" s="3">
        <f t="shared" si="24"/>
        <v>1598.1609534857164</v>
      </c>
      <c r="J235" s="3">
        <f t="shared" si="25"/>
        <v>1280126.9237420587</v>
      </c>
    </row>
    <row r="236" spans="4:10">
      <c r="D236">
        <v>234</v>
      </c>
      <c r="E236" s="3">
        <f t="shared" si="23"/>
        <v>1280126.9237420587</v>
      </c>
      <c r="F236" s="3">
        <f t="shared" si="20"/>
        <v>3254.081613716839</v>
      </c>
      <c r="G236" s="3">
        <f t="shared" si="21"/>
        <v>976.22448411505161</v>
      </c>
      <c r="H236" s="3">
        <f t="shared" si="22"/>
        <v>500</v>
      </c>
      <c r="I236" s="3">
        <f t="shared" si="24"/>
        <v>1606.0715372998634</v>
      </c>
      <c r="J236" s="3">
        <f t="shared" si="25"/>
        <v>1286463.3013771905</v>
      </c>
    </row>
    <row r="237" spans="4:10">
      <c r="D237">
        <v>235</v>
      </c>
      <c r="E237" s="3">
        <f t="shared" si="23"/>
        <v>1286463.3013771905</v>
      </c>
      <c r="F237" s="3">
        <f t="shared" si="20"/>
        <v>3254.081613716839</v>
      </c>
      <c r="G237" s="3">
        <f t="shared" si="21"/>
        <v>976.22448411505161</v>
      </c>
      <c r="H237" s="3">
        <f t="shared" si="22"/>
        <v>500</v>
      </c>
      <c r="I237" s="3">
        <f t="shared" si="24"/>
        <v>1613.9920093437781</v>
      </c>
      <c r="J237" s="3">
        <f t="shared" si="25"/>
        <v>1292807.5994843664</v>
      </c>
    </row>
    <row r="238" spans="4:10">
      <c r="D238">
        <v>236</v>
      </c>
      <c r="E238" s="3">
        <f t="shared" si="23"/>
        <v>1292807.5994843664</v>
      </c>
      <c r="F238" s="3">
        <f t="shared" si="20"/>
        <v>3254.081613716839</v>
      </c>
      <c r="G238" s="3">
        <f t="shared" si="21"/>
        <v>976.22448411505161</v>
      </c>
      <c r="H238" s="3">
        <f t="shared" si="22"/>
        <v>500</v>
      </c>
      <c r="I238" s="3">
        <f t="shared" si="24"/>
        <v>1621.922381977748</v>
      </c>
      <c r="J238" s="3">
        <f t="shared" si="25"/>
        <v>1299159.8279641762</v>
      </c>
    </row>
    <row r="239" spans="4:10">
      <c r="D239">
        <v>237</v>
      </c>
      <c r="E239" s="3">
        <f t="shared" si="23"/>
        <v>1299159.8279641762</v>
      </c>
      <c r="F239" s="3">
        <f t="shared" si="20"/>
        <v>3254.081613716839</v>
      </c>
      <c r="G239" s="3">
        <f t="shared" si="21"/>
        <v>976.22448411505161</v>
      </c>
      <c r="H239" s="3">
        <f t="shared" si="22"/>
        <v>500</v>
      </c>
      <c r="I239" s="3">
        <f t="shared" si="24"/>
        <v>1629.8626675775104</v>
      </c>
      <c r="J239" s="3">
        <f t="shared" si="25"/>
        <v>1305519.9967295858</v>
      </c>
    </row>
    <row r="240" spans="4:10">
      <c r="D240">
        <v>238</v>
      </c>
      <c r="E240" s="3">
        <f t="shared" si="23"/>
        <v>1305519.9967295858</v>
      </c>
      <c r="F240" s="3">
        <f t="shared" si="20"/>
        <v>3254.081613716839</v>
      </c>
      <c r="G240" s="3">
        <f t="shared" si="21"/>
        <v>976.22448411505161</v>
      </c>
      <c r="H240" s="3">
        <f t="shared" si="22"/>
        <v>500</v>
      </c>
      <c r="I240" s="3">
        <f t="shared" si="24"/>
        <v>1637.8128785342724</v>
      </c>
      <c r="J240" s="3">
        <f t="shared" si="25"/>
        <v>1311888.115705952</v>
      </c>
    </row>
    <row r="241" spans="4:10">
      <c r="D241">
        <v>239</v>
      </c>
      <c r="E241" s="3">
        <f t="shared" si="23"/>
        <v>1311888.115705952</v>
      </c>
      <c r="F241" s="3">
        <f t="shared" si="20"/>
        <v>3254.081613716839</v>
      </c>
      <c r="G241" s="3">
        <f t="shared" si="21"/>
        <v>976.22448411505161</v>
      </c>
      <c r="H241" s="3">
        <f t="shared" si="22"/>
        <v>500</v>
      </c>
      <c r="I241" s="3">
        <f t="shared" si="24"/>
        <v>1645.7730272547301</v>
      </c>
      <c r="J241" s="3">
        <f t="shared" si="25"/>
        <v>1318264.1948310388</v>
      </c>
    </row>
    <row r="242" spans="4:10">
      <c r="D242">
        <v>240</v>
      </c>
      <c r="E242" s="3">
        <f t="shared" si="23"/>
        <v>1318264.1948310388</v>
      </c>
      <c r="F242" s="3">
        <f t="shared" si="20"/>
        <v>3254.081613716839</v>
      </c>
      <c r="G242" s="3">
        <f t="shared" si="21"/>
        <v>976.22448411505161</v>
      </c>
      <c r="H242" s="3">
        <f t="shared" si="22"/>
        <v>500</v>
      </c>
      <c r="I242" s="3">
        <f t="shared" si="24"/>
        <v>1653.7431261610886</v>
      </c>
      <c r="J242" s="3">
        <f t="shared" si="25"/>
        <v>1324648.244055032</v>
      </c>
    </row>
    <row r="243" spans="4:10">
      <c r="D243">
        <v>241</v>
      </c>
      <c r="E243" s="3">
        <f t="shared" si="23"/>
        <v>1324648.244055032</v>
      </c>
      <c r="F243" s="3">
        <f t="shared" si="20"/>
        <v>3254.081613716839</v>
      </c>
      <c r="G243" s="3">
        <f t="shared" si="21"/>
        <v>976.22448411505161</v>
      </c>
      <c r="H243" s="3">
        <f t="shared" si="22"/>
        <v>500</v>
      </c>
      <c r="I243" s="3">
        <f t="shared" si="24"/>
        <v>1661.7231876910801</v>
      </c>
      <c r="J243" s="3">
        <f t="shared" si="25"/>
        <v>1331040.2733405551</v>
      </c>
    </row>
    <row r="244" spans="4:10">
      <c r="D244">
        <v>242</v>
      </c>
      <c r="E244" s="3">
        <f t="shared" si="23"/>
        <v>1331040.2733405551</v>
      </c>
      <c r="F244" s="3">
        <f t="shared" si="20"/>
        <v>3254.081613716839</v>
      </c>
      <c r="G244" s="3">
        <f t="shared" si="21"/>
        <v>976.22448411505161</v>
      </c>
      <c r="H244" s="3">
        <f t="shared" si="22"/>
        <v>500</v>
      </c>
      <c r="I244" s="3">
        <f t="shared" si="24"/>
        <v>1669.713224297984</v>
      </c>
      <c r="J244" s="3">
        <f t="shared" si="25"/>
        <v>1337440.2926626853</v>
      </c>
    </row>
    <row r="245" spans="4:10">
      <c r="D245">
        <v>243</v>
      </c>
      <c r="E245" s="3">
        <f t="shared" si="23"/>
        <v>1337440.2926626853</v>
      </c>
      <c r="F245" s="3">
        <f t="shared" si="20"/>
        <v>3254.081613716839</v>
      </c>
      <c r="G245" s="3">
        <f t="shared" si="21"/>
        <v>976.22448411505161</v>
      </c>
      <c r="H245" s="3">
        <f t="shared" si="22"/>
        <v>500</v>
      </c>
      <c r="I245" s="3">
        <f t="shared" si="24"/>
        <v>1677.7132484506467</v>
      </c>
      <c r="J245" s="3">
        <f t="shared" si="25"/>
        <v>1343848.3120089679</v>
      </c>
    </row>
    <row r="246" spans="4:10">
      <c r="D246">
        <v>244</v>
      </c>
      <c r="E246" s="3">
        <f t="shared" si="23"/>
        <v>1343848.3120089679</v>
      </c>
      <c r="F246" s="3">
        <f t="shared" si="20"/>
        <v>3254.081613716839</v>
      </c>
      <c r="G246" s="3">
        <f t="shared" si="21"/>
        <v>976.22448411505161</v>
      </c>
      <c r="H246" s="3">
        <f t="shared" si="22"/>
        <v>500</v>
      </c>
      <c r="I246" s="3">
        <f t="shared" si="24"/>
        <v>1685.7232726334998</v>
      </c>
      <c r="J246" s="3">
        <f t="shared" si="25"/>
        <v>1350264.3413794334</v>
      </c>
    </row>
    <row r="247" spans="4:10">
      <c r="D247">
        <v>245</v>
      </c>
      <c r="E247" s="3">
        <f t="shared" si="23"/>
        <v>1350264.3413794334</v>
      </c>
      <c r="F247" s="3">
        <f t="shared" si="20"/>
        <v>3254.081613716839</v>
      </c>
      <c r="G247" s="3">
        <f t="shared" si="21"/>
        <v>976.22448411505161</v>
      </c>
      <c r="H247" s="3">
        <f t="shared" si="22"/>
        <v>500</v>
      </c>
      <c r="I247" s="3">
        <f t="shared" si="24"/>
        <v>1693.7433093465818</v>
      </c>
      <c r="J247" s="3">
        <f t="shared" si="25"/>
        <v>1356688.3907866119</v>
      </c>
    </row>
    <row r="248" spans="4:10">
      <c r="D248">
        <v>246</v>
      </c>
      <c r="E248" s="3">
        <f t="shared" si="23"/>
        <v>1356688.3907866119</v>
      </c>
      <c r="F248" s="3">
        <f t="shared" si="20"/>
        <v>3254.081613716839</v>
      </c>
      <c r="G248" s="3">
        <f t="shared" si="21"/>
        <v>976.22448411505161</v>
      </c>
      <c r="H248" s="3">
        <f t="shared" si="22"/>
        <v>500</v>
      </c>
      <c r="I248" s="3">
        <f t="shared" si="24"/>
        <v>1701.773371105555</v>
      </c>
      <c r="J248" s="3">
        <f t="shared" si="25"/>
        <v>1363120.4702555495</v>
      </c>
    </row>
    <row r="249" spans="4:10">
      <c r="D249">
        <v>247</v>
      </c>
      <c r="E249" s="3">
        <f t="shared" si="23"/>
        <v>1363120.4702555495</v>
      </c>
      <c r="F249" s="3">
        <f t="shared" si="20"/>
        <v>3254.081613716839</v>
      </c>
      <c r="G249" s="3">
        <f t="shared" si="21"/>
        <v>976.22448411505161</v>
      </c>
      <c r="H249" s="3">
        <f t="shared" si="22"/>
        <v>500</v>
      </c>
      <c r="I249" s="3">
        <f t="shared" si="24"/>
        <v>1709.8134704417271</v>
      </c>
      <c r="J249" s="3">
        <f t="shared" si="25"/>
        <v>1369560.5898238232</v>
      </c>
    </row>
    <row r="250" spans="4:10">
      <c r="D250">
        <v>248</v>
      </c>
      <c r="E250" s="3">
        <f t="shared" si="23"/>
        <v>1369560.5898238232</v>
      </c>
      <c r="F250" s="3">
        <f t="shared" si="20"/>
        <v>3254.081613716839</v>
      </c>
      <c r="G250" s="3">
        <f t="shared" si="21"/>
        <v>976.22448411505161</v>
      </c>
      <c r="H250" s="3">
        <f t="shared" si="22"/>
        <v>500</v>
      </c>
      <c r="I250" s="3">
        <f t="shared" si="24"/>
        <v>1717.8636199020691</v>
      </c>
      <c r="J250" s="3">
        <f t="shared" si="25"/>
        <v>1376008.7595415574</v>
      </c>
    </row>
    <row r="251" spans="4:10">
      <c r="D251">
        <v>249</v>
      </c>
      <c r="E251" s="3">
        <f t="shared" si="23"/>
        <v>1376008.7595415574</v>
      </c>
      <c r="F251" s="3">
        <f t="shared" si="20"/>
        <v>3254.081613716839</v>
      </c>
      <c r="G251" s="3">
        <f t="shared" si="21"/>
        <v>976.22448411505161</v>
      </c>
      <c r="H251" s="3">
        <f t="shared" si="22"/>
        <v>500</v>
      </c>
      <c r="I251" s="3">
        <f t="shared" si="24"/>
        <v>1725.9238320492368</v>
      </c>
      <c r="J251" s="3">
        <f t="shared" si="25"/>
        <v>1382464.9894714386</v>
      </c>
    </row>
    <row r="252" spans="4:10">
      <c r="D252">
        <v>250</v>
      </c>
      <c r="E252" s="3">
        <f t="shared" si="23"/>
        <v>1382464.9894714386</v>
      </c>
      <c r="F252" s="3">
        <f t="shared" si="20"/>
        <v>3254.081613716839</v>
      </c>
      <c r="G252" s="3">
        <f t="shared" si="21"/>
        <v>976.22448411505161</v>
      </c>
      <c r="H252" s="3">
        <f t="shared" si="22"/>
        <v>500</v>
      </c>
      <c r="I252" s="3">
        <f t="shared" si="24"/>
        <v>1733.9941194615883</v>
      </c>
      <c r="J252" s="3">
        <f t="shared" si="25"/>
        <v>1388929.2896887322</v>
      </c>
    </row>
    <row r="253" spans="4:10">
      <c r="D253">
        <v>251</v>
      </c>
      <c r="E253" s="3">
        <f t="shared" si="23"/>
        <v>1388929.2896887322</v>
      </c>
      <c r="F253" s="3">
        <f t="shared" si="20"/>
        <v>3254.081613716839</v>
      </c>
      <c r="G253" s="3">
        <f t="shared" si="21"/>
        <v>976.22448411505161</v>
      </c>
      <c r="H253" s="3">
        <f t="shared" si="22"/>
        <v>500</v>
      </c>
      <c r="I253" s="3">
        <f t="shared" si="24"/>
        <v>1742.0744947332055</v>
      </c>
      <c r="J253" s="3">
        <f t="shared" si="25"/>
        <v>1395401.6702812975</v>
      </c>
    </row>
    <row r="254" spans="4:10">
      <c r="D254">
        <v>252</v>
      </c>
      <c r="E254" s="3">
        <f t="shared" si="23"/>
        <v>1395401.6702812975</v>
      </c>
      <c r="F254" s="3">
        <f t="shared" si="20"/>
        <v>3254.081613716839</v>
      </c>
      <c r="G254" s="3">
        <f t="shared" si="21"/>
        <v>976.22448411505161</v>
      </c>
      <c r="H254" s="3">
        <f t="shared" si="22"/>
        <v>500</v>
      </c>
      <c r="I254" s="3">
        <f t="shared" si="24"/>
        <v>1750.164970473912</v>
      </c>
      <c r="J254" s="3">
        <f t="shared" si="25"/>
        <v>1401882.1413496034</v>
      </c>
    </row>
    <row r="255" spans="4:10">
      <c r="D255">
        <v>253</v>
      </c>
      <c r="E255" s="3">
        <f t="shared" si="23"/>
        <v>1401882.1413496034</v>
      </c>
      <c r="F255" s="3">
        <f t="shared" si="20"/>
        <v>3254.081613716839</v>
      </c>
      <c r="G255" s="3">
        <f t="shared" si="21"/>
        <v>976.22448411505161</v>
      </c>
      <c r="H255" s="3">
        <f t="shared" si="22"/>
        <v>500</v>
      </c>
      <c r="I255" s="3">
        <f t="shared" si="24"/>
        <v>1758.2655593092943</v>
      </c>
      <c r="J255" s="3">
        <f t="shared" si="25"/>
        <v>1408370.7130067449</v>
      </c>
    </row>
    <row r="256" spans="4:10">
      <c r="D256">
        <v>254</v>
      </c>
      <c r="E256" s="3">
        <f t="shared" si="23"/>
        <v>1408370.7130067449</v>
      </c>
      <c r="F256" s="3">
        <f t="shared" si="20"/>
        <v>3254.081613716839</v>
      </c>
      <c r="G256" s="3">
        <f t="shared" si="21"/>
        <v>976.22448411505161</v>
      </c>
      <c r="H256" s="3">
        <f t="shared" si="22"/>
        <v>500</v>
      </c>
      <c r="I256" s="3">
        <f t="shared" si="24"/>
        <v>1766.3762738807211</v>
      </c>
      <c r="J256" s="3">
        <f t="shared" si="25"/>
        <v>1414867.3953784576</v>
      </c>
    </row>
    <row r="257" spans="4:10">
      <c r="D257">
        <v>255</v>
      </c>
      <c r="E257" s="3">
        <f t="shared" si="23"/>
        <v>1414867.3953784576</v>
      </c>
      <c r="F257" s="3">
        <f t="shared" si="20"/>
        <v>3254.081613716839</v>
      </c>
      <c r="G257" s="3">
        <f t="shared" si="21"/>
        <v>976.22448411505161</v>
      </c>
      <c r="H257" s="3">
        <f t="shared" si="22"/>
        <v>500</v>
      </c>
      <c r="I257" s="3">
        <f t="shared" si="24"/>
        <v>1774.4971268453621</v>
      </c>
      <c r="J257" s="3">
        <f t="shared" si="25"/>
        <v>1421372.1986031351</v>
      </c>
    </row>
    <row r="258" spans="4:10">
      <c r="D258">
        <v>256</v>
      </c>
      <c r="E258" s="3">
        <f t="shared" si="23"/>
        <v>1421372.1986031351</v>
      </c>
      <c r="F258" s="3">
        <f t="shared" si="20"/>
        <v>3254.081613716839</v>
      </c>
      <c r="G258" s="3">
        <f t="shared" si="21"/>
        <v>976.22448411505161</v>
      </c>
      <c r="H258" s="3">
        <f t="shared" si="22"/>
        <v>500</v>
      </c>
      <c r="I258" s="3">
        <f t="shared" si="24"/>
        <v>1782.6281308762088</v>
      </c>
      <c r="J258" s="3">
        <f t="shared" si="25"/>
        <v>1427885.1328318433</v>
      </c>
    </row>
    <row r="259" spans="4:10">
      <c r="D259">
        <v>257</v>
      </c>
      <c r="E259" s="3">
        <f t="shared" si="23"/>
        <v>1427885.1328318433</v>
      </c>
      <c r="F259" s="3">
        <f t="shared" si="20"/>
        <v>3254.081613716839</v>
      </c>
      <c r="G259" s="3">
        <f t="shared" si="21"/>
        <v>976.22448411505161</v>
      </c>
      <c r="H259" s="3">
        <f t="shared" si="22"/>
        <v>500</v>
      </c>
      <c r="I259" s="3">
        <f t="shared" si="24"/>
        <v>1790.7692986620943</v>
      </c>
      <c r="J259" s="3">
        <f t="shared" si="25"/>
        <v>1434406.2082283376</v>
      </c>
    </row>
    <row r="260" spans="4:10">
      <c r="D260">
        <v>258</v>
      </c>
      <c r="E260" s="3">
        <f t="shared" si="23"/>
        <v>1434406.2082283376</v>
      </c>
      <c r="F260" s="3">
        <f t="shared" ref="F260:F323" si="26">$B$2</f>
        <v>3254.081613716839</v>
      </c>
      <c r="G260" s="3">
        <f t="shared" ref="G260:G323" si="27">$B$3</f>
        <v>976.22448411505161</v>
      </c>
      <c r="H260" s="3">
        <f t="shared" ref="H260:H323" si="28">$B$4</f>
        <v>500</v>
      </c>
      <c r="I260" s="3">
        <f t="shared" si="24"/>
        <v>1798.9206429077121</v>
      </c>
      <c r="J260" s="3">
        <f t="shared" si="25"/>
        <v>1440935.4349690774</v>
      </c>
    </row>
    <row r="261" spans="4:10">
      <c r="D261">
        <v>259</v>
      </c>
      <c r="E261" s="3">
        <f t="shared" ref="E261:E324" si="29">J260</f>
        <v>1440935.4349690774</v>
      </c>
      <c r="F261" s="3">
        <f t="shared" si="26"/>
        <v>3254.081613716839</v>
      </c>
      <c r="G261" s="3">
        <f t="shared" si="27"/>
        <v>976.22448411505161</v>
      </c>
      <c r="H261" s="3">
        <f t="shared" si="28"/>
        <v>500</v>
      </c>
      <c r="I261" s="3">
        <f t="shared" ref="I261:I324" si="30">$B$9*SUM(E261:H261)</f>
        <v>1807.0821763336369</v>
      </c>
      <c r="J261" s="3">
        <f t="shared" ref="J261:J324" si="31">SUM(E261:I261)</f>
        <v>1447472.8232432429</v>
      </c>
    </row>
    <row r="262" spans="4:10">
      <c r="D262">
        <v>260</v>
      </c>
      <c r="E262" s="3">
        <f t="shared" si="29"/>
        <v>1447472.8232432429</v>
      </c>
      <c r="F262" s="3">
        <f t="shared" si="26"/>
        <v>3254.081613716839</v>
      </c>
      <c r="G262" s="3">
        <f t="shared" si="27"/>
        <v>976.22448411505161</v>
      </c>
      <c r="H262" s="3">
        <f t="shared" si="28"/>
        <v>500</v>
      </c>
      <c r="I262" s="3">
        <f t="shared" si="30"/>
        <v>1815.2539116763437</v>
      </c>
      <c r="J262" s="3">
        <f t="shared" si="31"/>
        <v>1454018.3832527513</v>
      </c>
    </row>
    <row r="263" spans="4:10">
      <c r="D263">
        <v>261</v>
      </c>
      <c r="E263" s="3">
        <f t="shared" si="29"/>
        <v>1454018.3832527513</v>
      </c>
      <c r="F263" s="3">
        <f t="shared" si="26"/>
        <v>3254.081613716839</v>
      </c>
      <c r="G263" s="3">
        <f t="shared" si="27"/>
        <v>976.22448411505161</v>
      </c>
      <c r="H263" s="3">
        <f t="shared" si="28"/>
        <v>500</v>
      </c>
      <c r="I263" s="3">
        <f t="shared" si="30"/>
        <v>1823.4358616882291</v>
      </c>
      <c r="J263" s="3">
        <f t="shared" si="31"/>
        <v>1460572.1252122717</v>
      </c>
    </row>
    <row r="264" spans="4:10">
      <c r="D264">
        <v>262</v>
      </c>
      <c r="E264" s="3">
        <f t="shared" si="29"/>
        <v>1460572.1252122717</v>
      </c>
      <c r="F264" s="3">
        <f t="shared" si="26"/>
        <v>3254.081613716839</v>
      </c>
      <c r="G264" s="3">
        <f t="shared" si="27"/>
        <v>976.22448411505161</v>
      </c>
      <c r="H264" s="3">
        <f t="shared" si="28"/>
        <v>500</v>
      </c>
      <c r="I264" s="3">
        <f t="shared" si="30"/>
        <v>1831.6280391376297</v>
      </c>
      <c r="J264" s="3">
        <f t="shared" si="31"/>
        <v>1467134.0593492414</v>
      </c>
    </row>
    <row r="265" spans="4:10">
      <c r="D265">
        <v>263</v>
      </c>
      <c r="E265" s="3">
        <f t="shared" si="29"/>
        <v>1467134.0593492414</v>
      </c>
      <c r="F265" s="3">
        <f t="shared" si="26"/>
        <v>3254.081613716839</v>
      </c>
      <c r="G265" s="3">
        <f t="shared" si="27"/>
        <v>976.22448411505161</v>
      </c>
      <c r="H265" s="3">
        <f t="shared" si="28"/>
        <v>500</v>
      </c>
      <c r="I265" s="3">
        <f t="shared" si="30"/>
        <v>1839.830456808842</v>
      </c>
      <c r="J265" s="3">
        <f t="shared" si="31"/>
        <v>1473704.1959038824</v>
      </c>
    </row>
    <row r="266" spans="4:10">
      <c r="D266">
        <v>264</v>
      </c>
      <c r="E266" s="3">
        <f t="shared" si="29"/>
        <v>1473704.1959038824</v>
      </c>
      <c r="F266" s="3">
        <f t="shared" si="26"/>
        <v>3254.081613716839</v>
      </c>
      <c r="G266" s="3">
        <f t="shared" si="27"/>
        <v>976.22448411505161</v>
      </c>
      <c r="H266" s="3">
        <f t="shared" si="28"/>
        <v>500</v>
      </c>
      <c r="I266" s="3">
        <f t="shared" si="30"/>
        <v>1848.0431275021431</v>
      </c>
      <c r="J266" s="3">
        <f t="shared" si="31"/>
        <v>1480282.5451292165</v>
      </c>
    </row>
    <row r="267" spans="4:10">
      <c r="D267">
        <v>265</v>
      </c>
      <c r="E267" s="3">
        <f t="shared" si="29"/>
        <v>1480282.5451292165</v>
      </c>
      <c r="F267" s="3">
        <f t="shared" si="26"/>
        <v>3254.081613716839</v>
      </c>
      <c r="G267" s="3">
        <f t="shared" si="27"/>
        <v>976.22448411505161</v>
      </c>
      <c r="H267" s="3">
        <f t="shared" si="28"/>
        <v>500</v>
      </c>
      <c r="I267" s="3">
        <f t="shared" si="30"/>
        <v>1856.2660640338108</v>
      </c>
      <c r="J267" s="3">
        <f t="shared" si="31"/>
        <v>1486869.1172910824</v>
      </c>
    </row>
    <row r="268" spans="4:10">
      <c r="D268">
        <v>266</v>
      </c>
      <c r="E268" s="3">
        <f t="shared" si="29"/>
        <v>1486869.1172910824</v>
      </c>
      <c r="F268" s="3">
        <f t="shared" si="26"/>
        <v>3254.081613716839</v>
      </c>
      <c r="G268" s="3">
        <f t="shared" si="27"/>
        <v>976.22448411505161</v>
      </c>
      <c r="H268" s="3">
        <f t="shared" si="28"/>
        <v>500</v>
      </c>
      <c r="I268" s="3">
        <f t="shared" si="30"/>
        <v>1864.4992792361431</v>
      </c>
      <c r="J268" s="3">
        <f t="shared" si="31"/>
        <v>1493463.9226681506</v>
      </c>
    </row>
    <row r="269" spans="4:10">
      <c r="D269">
        <v>267</v>
      </c>
      <c r="E269" s="3">
        <f t="shared" si="29"/>
        <v>1493463.9226681506</v>
      </c>
      <c r="F269" s="3">
        <f t="shared" si="26"/>
        <v>3254.081613716839</v>
      </c>
      <c r="G269" s="3">
        <f t="shared" si="27"/>
        <v>976.22448411505161</v>
      </c>
      <c r="H269" s="3">
        <f t="shared" si="28"/>
        <v>500</v>
      </c>
      <c r="I269" s="3">
        <f t="shared" si="30"/>
        <v>1872.7427859574784</v>
      </c>
      <c r="J269" s="3">
        <f t="shared" si="31"/>
        <v>1500066.9715519401</v>
      </c>
    </row>
    <row r="270" spans="4:10">
      <c r="D270">
        <v>268</v>
      </c>
      <c r="E270" s="3">
        <f t="shared" si="29"/>
        <v>1500066.9715519401</v>
      </c>
      <c r="F270" s="3">
        <f t="shared" si="26"/>
        <v>3254.081613716839</v>
      </c>
      <c r="G270" s="3">
        <f t="shared" si="27"/>
        <v>976.22448411505161</v>
      </c>
      <c r="H270" s="3">
        <f t="shared" si="28"/>
        <v>500</v>
      </c>
      <c r="I270" s="3">
        <f t="shared" si="30"/>
        <v>1880.9965970622152</v>
      </c>
      <c r="J270" s="3">
        <f t="shared" si="31"/>
        <v>1506678.2742468345</v>
      </c>
    </row>
    <row r="271" spans="4:10">
      <c r="D271">
        <v>269</v>
      </c>
      <c r="E271" s="3">
        <f t="shared" si="29"/>
        <v>1506678.2742468345</v>
      </c>
      <c r="F271" s="3">
        <f t="shared" si="26"/>
        <v>3254.081613716839</v>
      </c>
      <c r="G271" s="3">
        <f t="shared" si="27"/>
        <v>976.22448411505161</v>
      </c>
      <c r="H271" s="3">
        <f t="shared" si="28"/>
        <v>500</v>
      </c>
      <c r="I271" s="3">
        <f t="shared" si="30"/>
        <v>1889.2607254308332</v>
      </c>
      <c r="J271" s="3">
        <f t="shared" si="31"/>
        <v>1513297.8410700974</v>
      </c>
    </row>
    <row r="272" spans="4:10">
      <c r="D272">
        <v>270</v>
      </c>
      <c r="E272" s="3">
        <f t="shared" si="29"/>
        <v>1513297.8410700974</v>
      </c>
      <c r="F272" s="3">
        <f t="shared" si="26"/>
        <v>3254.081613716839</v>
      </c>
      <c r="G272" s="3">
        <f t="shared" si="27"/>
        <v>976.22448411505161</v>
      </c>
      <c r="H272" s="3">
        <f t="shared" si="28"/>
        <v>500</v>
      </c>
      <c r="I272" s="3">
        <f t="shared" si="30"/>
        <v>1897.5351839599118</v>
      </c>
      <c r="J272" s="3">
        <f t="shared" si="31"/>
        <v>1519925.6823518893</v>
      </c>
    </row>
    <row r="273" spans="4:10">
      <c r="D273">
        <v>271</v>
      </c>
      <c r="E273" s="3">
        <f t="shared" si="29"/>
        <v>1519925.6823518893</v>
      </c>
      <c r="F273" s="3">
        <f t="shared" si="26"/>
        <v>3254.081613716839</v>
      </c>
      <c r="G273" s="3">
        <f t="shared" si="27"/>
        <v>976.22448411505161</v>
      </c>
      <c r="H273" s="3">
        <f t="shared" si="28"/>
        <v>500</v>
      </c>
      <c r="I273" s="3">
        <f t="shared" si="30"/>
        <v>1905.8199855621517</v>
      </c>
      <c r="J273" s="3">
        <f t="shared" si="31"/>
        <v>1526561.8084352836</v>
      </c>
    </row>
    <row r="274" spans="4:10">
      <c r="D274">
        <v>272</v>
      </c>
      <c r="E274" s="3">
        <f t="shared" si="29"/>
        <v>1526561.8084352836</v>
      </c>
      <c r="F274" s="3">
        <f t="shared" si="26"/>
        <v>3254.081613716839</v>
      </c>
      <c r="G274" s="3">
        <f t="shared" si="27"/>
        <v>976.22448411505161</v>
      </c>
      <c r="H274" s="3">
        <f t="shared" si="28"/>
        <v>500</v>
      </c>
      <c r="I274" s="3">
        <f t="shared" si="30"/>
        <v>1914.1151431663945</v>
      </c>
      <c r="J274" s="3">
        <f t="shared" si="31"/>
        <v>1533206.229676282</v>
      </c>
    </row>
    <row r="275" spans="4:10">
      <c r="D275">
        <v>273</v>
      </c>
      <c r="E275" s="3">
        <f t="shared" si="29"/>
        <v>1533206.229676282</v>
      </c>
      <c r="F275" s="3">
        <f t="shared" si="26"/>
        <v>3254.081613716839</v>
      </c>
      <c r="G275" s="3">
        <f t="shared" si="27"/>
        <v>976.22448411505161</v>
      </c>
      <c r="H275" s="3">
        <f t="shared" si="28"/>
        <v>500</v>
      </c>
      <c r="I275" s="3">
        <f t="shared" si="30"/>
        <v>1922.4206697176426</v>
      </c>
      <c r="J275" s="3">
        <f t="shared" si="31"/>
        <v>1539858.9564438318</v>
      </c>
    </row>
    <row r="276" spans="4:10">
      <c r="D276">
        <v>274</v>
      </c>
      <c r="E276" s="3">
        <f t="shared" si="29"/>
        <v>1539858.9564438318</v>
      </c>
      <c r="F276" s="3">
        <f t="shared" si="26"/>
        <v>3254.081613716839</v>
      </c>
      <c r="G276" s="3">
        <f t="shared" si="27"/>
        <v>976.22448411505161</v>
      </c>
      <c r="H276" s="3">
        <f t="shared" si="28"/>
        <v>500</v>
      </c>
      <c r="I276" s="3">
        <f t="shared" si="30"/>
        <v>1930.7365781770798</v>
      </c>
      <c r="J276" s="3">
        <f t="shared" si="31"/>
        <v>1546519.999119841</v>
      </c>
    </row>
    <row r="277" spans="4:10">
      <c r="D277">
        <v>275</v>
      </c>
      <c r="E277" s="3">
        <f t="shared" si="29"/>
        <v>1546519.999119841</v>
      </c>
      <c r="F277" s="3">
        <f t="shared" si="26"/>
        <v>3254.081613716839</v>
      </c>
      <c r="G277" s="3">
        <f t="shared" si="27"/>
        <v>976.22448411505161</v>
      </c>
      <c r="H277" s="3">
        <f t="shared" si="28"/>
        <v>500</v>
      </c>
      <c r="I277" s="3">
        <f t="shared" si="30"/>
        <v>1939.0628815220914</v>
      </c>
      <c r="J277" s="3">
        <f t="shared" si="31"/>
        <v>1553189.3680991952</v>
      </c>
    </row>
    <row r="278" spans="4:10">
      <c r="D278">
        <v>276</v>
      </c>
      <c r="E278" s="3">
        <f t="shared" si="29"/>
        <v>1553189.3680991952</v>
      </c>
      <c r="F278" s="3">
        <f t="shared" si="26"/>
        <v>3254.081613716839</v>
      </c>
      <c r="G278" s="3">
        <f t="shared" si="27"/>
        <v>976.22448411505161</v>
      </c>
      <c r="H278" s="3">
        <f t="shared" si="28"/>
        <v>500</v>
      </c>
      <c r="I278" s="3">
        <f t="shared" si="30"/>
        <v>1947.399592746284</v>
      </c>
      <c r="J278" s="3">
        <f t="shared" si="31"/>
        <v>1559867.0737897735</v>
      </c>
    </row>
    <row r="279" spans="4:10">
      <c r="D279">
        <v>277</v>
      </c>
      <c r="E279" s="3">
        <f t="shared" si="29"/>
        <v>1559867.0737897735</v>
      </c>
      <c r="F279" s="3">
        <f t="shared" si="26"/>
        <v>3254.081613716839</v>
      </c>
      <c r="G279" s="3">
        <f t="shared" si="27"/>
        <v>976.22448411505161</v>
      </c>
      <c r="H279" s="3">
        <f t="shared" si="28"/>
        <v>500</v>
      </c>
      <c r="I279" s="3">
        <f t="shared" si="30"/>
        <v>1955.7467248595069</v>
      </c>
      <c r="J279" s="3">
        <f t="shared" si="31"/>
        <v>1566553.1266124651</v>
      </c>
    </row>
    <row r="280" spans="4:10">
      <c r="D280">
        <v>278</v>
      </c>
      <c r="E280" s="3">
        <f t="shared" si="29"/>
        <v>1566553.1266124651</v>
      </c>
      <c r="F280" s="3">
        <f t="shared" si="26"/>
        <v>3254.081613716839</v>
      </c>
      <c r="G280" s="3">
        <f t="shared" si="27"/>
        <v>976.22448411505161</v>
      </c>
      <c r="H280" s="3">
        <f t="shared" si="28"/>
        <v>500</v>
      </c>
      <c r="I280" s="3">
        <f t="shared" si="30"/>
        <v>1964.1042908878715</v>
      </c>
      <c r="J280" s="3">
        <f t="shared" si="31"/>
        <v>1573247.5370011851</v>
      </c>
    </row>
    <row r="281" spans="4:10">
      <c r="D281">
        <v>279</v>
      </c>
      <c r="E281" s="3">
        <f t="shared" si="29"/>
        <v>1573247.5370011851</v>
      </c>
      <c r="F281" s="3">
        <f t="shared" si="26"/>
        <v>3254.081613716839</v>
      </c>
      <c r="G281" s="3">
        <f t="shared" si="27"/>
        <v>976.22448411505161</v>
      </c>
      <c r="H281" s="3">
        <f t="shared" si="28"/>
        <v>500</v>
      </c>
      <c r="I281" s="3">
        <f t="shared" si="30"/>
        <v>1972.4723038737716</v>
      </c>
      <c r="J281" s="3">
        <f t="shared" si="31"/>
        <v>1579950.315402891</v>
      </c>
    </row>
    <row r="282" spans="4:10">
      <c r="D282">
        <v>280</v>
      </c>
      <c r="E282" s="3">
        <f t="shared" si="29"/>
        <v>1579950.315402891</v>
      </c>
      <c r="F282" s="3">
        <f t="shared" si="26"/>
        <v>3254.081613716839</v>
      </c>
      <c r="G282" s="3">
        <f t="shared" si="27"/>
        <v>976.22448411505161</v>
      </c>
      <c r="H282" s="3">
        <f t="shared" si="28"/>
        <v>500</v>
      </c>
      <c r="I282" s="3">
        <f t="shared" si="30"/>
        <v>1980.8507768759039</v>
      </c>
      <c r="J282" s="3">
        <f t="shared" si="31"/>
        <v>1586661.4722775989</v>
      </c>
    </row>
    <row r="283" spans="4:10">
      <c r="D283">
        <v>281</v>
      </c>
      <c r="E283" s="3">
        <f t="shared" si="29"/>
        <v>1586661.4722775989</v>
      </c>
      <c r="F283" s="3">
        <f t="shared" si="26"/>
        <v>3254.081613716839</v>
      </c>
      <c r="G283" s="3">
        <f t="shared" si="27"/>
        <v>976.22448411505161</v>
      </c>
      <c r="H283" s="3">
        <f t="shared" si="28"/>
        <v>500</v>
      </c>
      <c r="I283" s="3">
        <f t="shared" si="30"/>
        <v>1989.2397229692888</v>
      </c>
      <c r="J283" s="3">
        <f t="shared" si="31"/>
        <v>1593381.0180984002</v>
      </c>
    </row>
    <row r="284" spans="4:10">
      <c r="D284">
        <v>282</v>
      </c>
      <c r="E284" s="3">
        <f t="shared" si="29"/>
        <v>1593381.0180984002</v>
      </c>
      <c r="F284" s="3">
        <f t="shared" si="26"/>
        <v>3254.081613716839</v>
      </c>
      <c r="G284" s="3">
        <f t="shared" si="27"/>
        <v>976.22448411505161</v>
      </c>
      <c r="H284" s="3">
        <f t="shared" si="28"/>
        <v>500</v>
      </c>
      <c r="I284" s="3">
        <f t="shared" si="30"/>
        <v>1997.6391552452903</v>
      </c>
      <c r="J284" s="3">
        <f t="shared" si="31"/>
        <v>1600108.9633514776</v>
      </c>
    </row>
    <row r="285" spans="4:10">
      <c r="D285">
        <v>283</v>
      </c>
      <c r="E285" s="3">
        <f t="shared" si="29"/>
        <v>1600108.9633514776</v>
      </c>
      <c r="F285" s="3">
        <f t="shared" si="26"/>
        <v>3254.081613716839</v>
      </c>
      <c r="G285" s="3">
        <f t="shared" si="27"/>
        <v>976.22448411505161</v>
      </c>
      <c r="H285" s="3">
        <f t="shared" si="28"/>
        <v>500</v>
      </c>
      <c r="I285" s="3">
        <f t="shared" si="30"/>
        <v>2006.0490868116372</v>
      </c>
      <c r="J285" s="3">
        <f t="shared" si="31"/>
        <v>1606845.3185361214</v>
      </c>
    </row>
    <row r="286" spans="4:10">
      <c r="D286">
        <v>284</v>
      </c>
      <c r="E286" s="3">
        <f t="shared" si="29"/>
        <v>1606845.3185361214</v>
      </c>
      <c r="F286" s="3">
        <f t="shared" si="26"/>
        <v>3254.081613716839</v>
      </c>
      <c r="G286" s="3">
        <f t="shared" si="27"/>
        <v>976.22448411505161</v>
      </c>
      <c r="H286" s="3">
        <f t="shared" si="28"/>
        <v>500</v>
      </c>
      <c r="I286" s="3">
        <f t="shared" si="30"/>
        <v>2014.4695307924419</v>
      </c>
      <c r="J286" s="3">
        <f t="shared" si="31"/>
        <v>1613590.0941647459</v>
      </c>
    </row>
    <row r="287" spans="4:10">
      <c r="D287">
        <v>285</v>
      </c>
      <c r="E287" s="3">
        <f t="shared" si="29"/>
        <v>1613590.0941647459</v>
      </c>
      <c r="F287" s="3">
        <f t="shared" si="26"/>
        <v>3254.081613716839</v>
      </c>
      <c r="G287" s="3">
        <f t="shared" si="27"/>
        <v>976.22448411505161</v>
      </c>
      <c r="H287" s="3">
        <f t="shared" si="28"/>
        <v>500</v>
      </c>
      <c r="I287" s="3">
        <f t="shared" si="30"/>
        <v>2022.9005003282225</v>
      </c>
      <c r="J287" s="3">
        <f t="shared" si="31"/>
        <v>1620343.3007629062</v>
      </c>
    </row>
    <row r="288" spans="4:10">
      <c r="D288">
        <v>286</v>
      </c>
      <c r="E288" s="3">
        <f t="shared" si="29"/>
        <v>1620343.3007629062</v>
      </c>
      <c r="F288" s="3">
        <f t="shared" si="26"/>
        <v>3254.081613716839</v>
      </c>
      <c r="G288" s="3">
        <f t="shared" si="27"/>
        <v>976.22448411505161</v>
      </c>
      <c r="H288" s="3">
        <f t="shared" si="28"/>
        <v>500</v>
      </c>
      <c r="I288" s="3">
        <f t="shared" si="30"/>
        <v>2031.3420085759228</v>
      </c>
      <c r="J288" s="3">
        <f t="shared" si="31"/>
        <v>1627104.9488693143</v>
      </c>
    </row>
    <row r="289" spans="4:10">
      <c r="D289">
        <v>287</v>
      </c>
      <c r="E289" s="3">
        <f t="shared" si="29"/>
        <v>1627104.9488693143</v>
      </c>
      <c r="F289" s="3">
        <f t="shared" si="26"/>
        <v>3254.081613716839</v>
      </c>
      <c r="G289" s="3">
        <f t="shared" si="27"/>
        <v>976.22448411505161</v>
      </c>
      <c r="H289" s="3">
        <f t="shared" si="28"/>
        <v>500</v>
      </c>
      <c r="I289" s="3">
        <f t="shared" si="30"/>
        <v>2039.7940687089329</v>
      </c>
      <c r="J289" s="3">
        <f t="shared" si="31"/>
        <v>1633875.0490358553</v>
      </c>
    </row>
    <row r="290" spans="4:10">
      <c r="D290">
        <v>288</v>
      </c>
      <c r="E290" s="3">
        <f t="shared" si="29"/>
        <v>1633875.0490358553</v>
      </c>
      <c r="F290" s="3">
        <f t="shared" si="26"/>
        <v>3254.081613716839</v>
      </c>
      <c r="G290" s="3">
        <f t="shared" si="27"/>
        <v>976.22448411505161</v>
      </c>
      <c r="H290" s="3">
        <f t="shared" si="28"/>
        <v>500</v>
      </c>
      <c r="I290" s="3">
        <f t="shared" si="30"/>
        <v>2048.2566939171093</v>
      </c>
      <c r="J290" s="3">
        <f t="shared" si="31"/>
        <v>1640653.6118276045</v>
      </c>
    </row>
    <row r="291" spans="4:10">
      <c r="D291">
        <v>289</v>
      </c>
      <c r="E291" s="3">
        <f t="shared" si="29"/>
        <v>1640653.6118276045</v>
      </c>
      <c r="F291" s="3">
        <f t="shared" si="26"/>
        <v>3254.081613716839</v>
      </c>
      <c r="G291" s="3">
        <f t="shared" si="27"/>
        <v>976.22448411505161</v>
      </c>
      <c r="H291" s="3">
        <f t="shared" si="28"/>
        <v>500</v>
      </c>
      <c r="I291" s="3">
        <f t="shared" si="30"/>
        <v>2056.7298974067958</v>
      </c>
      <c r="J291" s="3">
        <f t="shared" si="31"/>
        <v>1647440.6478228434</v>
      </c>
    </row>
    <row r="292" spans="4:10">
      <c r="D292">
        <v>290</v>
      </c>
      <c r="E292" s="3">
        <f t="shared" si="29"/>
        <v>1647440.6478228434</v>
      </c>
      <c r="F292" s="3">
        <f t="shared" si="26"/>
        <v>3254.081613716839</v>
      </c>
      <c r="G292" s="3">
        <f t="shared" si="27"/>
        <v>976.22448411505161</v>
      </c>
      <c r="H292" s="3">
        <f t="shared" si="28"/>
        <v>500</v>
      </c>
      <c r="I292" s="3">
        <f t="shared" si="30"/>
        <v>2065.2136924008441</v>
      </c>
      <c r="J292" s="3">
        <f t="shared" si="31"/>
        <v>1654236.1676130763</v>
      </c>
    </row>
    <row r="293" spans="4:10">
      <c r="D293">
        <v>291</v>
      </c>
      <c r="E293" s="3">
        <f t="shared" si="29"/>
        <v>1654236.1676130763</v>
      </c>
      <c r="F293" s="3">
        <f t="shared" si="26"/>
        <v>3254.081613716839</v>
      </c>
      <c r="G293" s="3">
        <f t="shared" si="27"/>
        <v>976.22448411505161</v>
      </c>
      <c r="H293" s="3">
        <f t="shared" si="28"/>
        <v>500</v>
      </c>
      <c r="I293" s="3">
        <f t="shared" si="30"/>
        <v>2073.7080921386355</v>
      </c>
      <c r="J293" s="3">
        <f t="shared" si="31"/>
        <v>1661040.181803047</v>
      </c>
    </row>
    <row r="294" spans="4:10">
      <c r="D294">
        <v>292</v>
      </c>
      <c r="E294" s="3">
        <f t="shared" si="29"/>
        <v>1661040.181803047</v>
      </c>
      <c r="F294" s="3">
        <f t="shared" si="26"/>
        <v>3254.081613716839</v>
      </c>
      <c r="G294" s="3">
        <f t="shared" si="27"/>
        <v>976.22448411505161</v>
      </c>
      <c r="H294" s="3">
        <f t="shared" si="28"/>
        <v>500</v>
      </c>
      <c r="I294" s="3">
        <f t="shared" si="30"/>
        <v>2082.2131098760988</v>
      </c>
      <c r="J294" s="3">
        <f t="shared" si="31"/>
        <v>1667852.701010755</v>
      </c>
    </row>
    <row r="295" spans="4:10">
      <c r="D295">
        <v>293</v>
      </c>
      <c r="E295" s="3">
        <f t="shared" si="29"/>
        <v>1667852.701010755</v>
      </c>
      <c r="F295" s="3">
        <f t="shared" si="26"/>
        <v>3254.081613716839</v>
      </c>
      <c r="G295" s="3">
        <f t="shared" si="27"/>
        <v>976.22448411505161</v>
      </c>
      <c r="H295" s="3">
        <f t="shared" si="28"/>
        <v>500</v>
      </c>
      <c r="I295" s="3">
        <f t="shared" si="30"/>
        <v>2090.7287588857339</v>
      </c>
      <c r="J295" s="3">
        <f t="shared" si="31"/>
        <v>1674673.7358674728</v>
      </c>
    </row>
    <row r="296" spans="4:10">
      <c r="D296">
        <v>294</v>
      </c>
      <c r="E296" s="3">
        <f t="shared" si="29"/>
        <v>1674673.7358674728</v>
      </c>
      <c r="F296" s="3">
        <f t="shared" si="26"/>
        <v>3254.081613716839</v>
      </c>
      <c r="G296" s="3">
        <f t="shared" si="27"/>
        <v>976.22448411505161</v>
      </c>
      <c r="H296" s="3">
        <f t="shared" si="28"/>
        <v>500</v>
      </c>
      <c r="I296" s="3">
        <f t="shared" si="30"/>
        <v>2099.2550524566313</v>
      </c>
      <c r="J296" s="3">
        <f t="shared" si="31"/>
        <v>1681503.2970177615</v>
      </c>
    </row>
    <row r="297" spans="4:10">
      <c r="D297">
        <v>295</v>
      </c>
      <c r="E297" s="3">
        <f t="shared" si="29"/>
        <v>1681503.2970177615</v>
      </c>
      <c r="F297" s="3">
        <f t="shared" si="26"/>
        <v>3254.081613716839</v>
      </c>
      <c r="G297" s="3">
        <f t="shared" si="27"/>
        <v>976.22448411505161</v>
      </c>
      <c r="H297" s="3">
        <f t="shared" si="28"/>
        <v>500</v>
      </c>
      <c r="I297" s="3">
        <f t="shared" si="30"/>
        <v>2107.7920038944922</v>
      </c>
      <c r="J297" s="3">
        <f t="shared" si="31"/>
        <v>1688341.395119488</v>
      </c>
    </row>
    <row r="298" spans="4:10">
      <c r="D298">
        <v>296</v>
      </c>
      <c r="E298" s="3">
        <f t="shared" si="29"/>
        <v>1688341.395119488</v>
      </c>
      <c r="F298" s="3">
        <f t="shared" si="26"/>
        <v>3254.081613716839</v>
      </c>
      <c r="G298" s="3">
        <f t="shared" si="27"/>
        <v>976.22448411505161</v>
      </c>
      <c r="H298" s="3">
        <f t="shared" si="28"/>
        <v>500</v>
      </c>
      <c r="I298" s="3">
        <f t="shared" si="30"/>
        <v>2116.3396265216502</v>
      </c>
      <c r="J298" s="3">
        <f t="shared" si="31"/>
        <v>1695188.0408438416</v>
      </c>
    </row>
    <row r="299" spans="4:10">
      <c r="D299">
        <v>297</v>
      </c>
      <c r="E299" s="3">
        <f t="shared" si="29"/>
        <v>1695188.0408438416</v>
      </c>
      <c r="F299" s="3">
        <f t="shared" si="26"/>
        <v>3254.081613716839</v>
      </c>
      <c r="G299" s="3">
        <f t="shared" si="27"/>
        <v>976.22448411505161</v>
      </c>
      <c r="H299" s="3">
        <f t="shared" si="28"/>
        <v>500</v>
      </c>
      <c r="I299" s="3">
        <f t="shared" si="30"/>
        <v>2124.8979336770922</v>
      </c>
      <c r="J299" s="3">
        <f t="shared" si="31"/>
        <v>1702043.2448753507</v>
      </c>
    </row>
    <row r="300" spans="4:10">
      <c r="D300">
        <v>298</v>
      </c>
      <c r="E300" s="3">
        <f t="shared" si="29"/>
        <v>1702043.2448753507</v>
      </c>
      <c r="F300" s="3">
        <f t="shared" si="26"/>
        <v>3254.081613716839</v>
      </c>
      <c r="G300" s="3">
        <f t="shared" si="27"/>
        <v>976.22448411505161</v>
      </c>
      <c r="H300" s="3">
        <f t="shared" si="28"/>
        <v>500</v>
      </c>
      <c r="I300" s="3">
        <f t="shared" si="30"/>
        <v>2133.4669387164786</v>
      </c>
      <c r="J300" s="3">
        <f t="shared" si="31"/>
        <v>1708907.0179118994</v>
      </c>
    </row>
    <row r="301" spans="4:10">
      <c r="D301">
        <v>299</v>
      </c>
      <c r="E301" s="3">
        <f t="shared" si="29"/>
        <v>1708907.0179118994</v>
      </c>
      <c r="F301" s="3">
        <f t="shared" si="26"/>
        <v>3254.081613716839</v>
      </c>
      <c r="G301" s="3">
        <f t="shared" si="27"/>
        <v>976.22448411505161</v>
      </c>
      <c r="H301" s="3">
        <f t="shared" si="28"/>
        <v>500</v>
      </c>
      <c r="I301" s="3">
        <f t="shared" si="30"/>
        <v>2142.0466550121641</v>
      </c>
      <c r="J301" s="3">
        <f t="shared" si="31"/>
        <v>1715779.3706647435</v>
      </c>
    </row>
    <row r="302" spans="4:10">
      <c r="D302">
        <v>300</v>
      </c>
      <c r="E302" s="3">
        <f t="shared" si="29"/>
        <v>1715779.3706647435</v>
      </c>
      <c r="F302" s="3">
        <f t="shared" si="26"/>
        <v>3254.081613716839</v>
      </c>
      <c r="G302" s="3">
        <f t="shared" si="27"/>
        <v>976.22448411505161</v>
      </c>
      <c r="H302" s="3">
        <f t="shared" si="28"/>
        <v>500</v>
      </c>
      <c r="I302" s="3">
        <f t="shared" si="30"/>
        <v>2150.6370959532196</v>
      </c>
      <c r="J302" s="3">
        <f t="shared" si="31"/>
        <v>1722660.3138585286</v>
      </c>
    </row>
    <row r="303" spans="4:10">
      <c r="D303">
        <v>301</v>
      </c>
      <c r="E303" s="3">
        <f t="shared" si="29"/>
        <v>1722660.3138585286</v>
      </c>
      <c r="F303" s="3">
        <f t="shared" si="26"/>
        <v>3254.081613716839</v>
      </c>
      <c r="G303" s="3">
        <f t="shared" si="27"/>
        <v>976.22448411505161</v>
      </c>
      <c r="H303" s="3">
        <f t="shared" si="28"/>
        <v>500</v>
      </c>
      <c r="I303" s="3">
        <f t="shared" si="30"/>
        <v>2159.2382749454509</v>
      </c>
      <c r="J303" s="3">
        <f t="shared" si="31"/>
        <v>1729549.8582313061</v>
      </c>
    </row>
    <row r="304" spans="4:10">
      <c r="D304">
        <v>302</v>
      </c>
      <c r="E304" s="3">
        <f t="shared" si="29"/>
        <v>1729549.8582313061</v>
      </c>
      <c r="F304" s="3">
        <f t="shared" si="26"/>
        <v>3254.081613716839</v>
      </c>
      <c r="G304" s="3">
        <f t="shared" si="27"/>
        <v>976.22448411505161</v>
      </c>
      <c r="H304" s="3">
        <f t="shared" si="28"/>
        <v>500</v>
      </c>
      <c r="I304" s="3">
        <f t="shared" si="30"/>
        <v>2167.8502054114228</v>
      </c>
      <c r="J304" s="3">
        <f t="shared" si="31"/>
        <v>1736448.0145345496</v>
      </c>
    </row>
    <row r="305" spans="4:10">
      <c r="D305">
        <v>303</v>
      </c>
      <c r="E305" s="3">
        <f t="shared" si="29"/>
        <v>1736448.0145345496</v>
      </c>
      <c r="F305" s="3">
        <f t="shared" si="26"/>
        <v>3254.081613716839</v>
      </c>
      <c r="G305" s="3">
        <f t="shared" si="27"/>
        <v>976.22448411505161</v>
      </c>
      <c r="H305" s="3">
        <f t="shared" si="28"/>
        <v>500</v>
      </c>
      <c r="I305" s="3">
        <f t="shared" si="30"/>
        <v>2176.4729007904771</v>
      </c>
      <c r="J305" s="3">
        <f t="shared" si="31"/>
        <v>1743354.793533172</v>
      </c>
    </row>
    <row r="306" spans="4:10">
      <c r="D306">
        <v>304</v>
      </c>
      <c r="E306" s="3">
        <f t="shared" si="29"/>
        <v>1743354.793533172</v>
      </c>
      <c r="F306" s="3">
        <f t="shared" si="26"/>
        <v>3254.081613716839</v>
      </c>
      <c r="G306" s="3">
        <f t="shared" si="27"/>
        <v>976.22448411505161</v>
      </c>
      <c r="H306" s="3">
        <f t="shared" si="28"/>
        <v>500</v>
      </c>
      <c r="I306" s="3">
        <f t="shared" si="30"/>
        <v>2185.1063745387551</v>
      </c>
      <c r="J306" s="3">
        <f t="shared" si="31"/>
        <v>1750270.2060055428</v>
      </c>
    </row>
    <row r="307" spans="4:10">
      <c r="D307">
        <v>305</v>
      </c>
      <c r="E307" s="3">
        <f t="shared" si="29"/>
        <v>1750270.2060055428</v>
      </c>
      <c r="F307" s="3">
        <f t="shared" si="26"/>
        <v>3254.081613716839</v>
      </c>
      <c r="G307" s="3">
        <f t="shared" si="27"/>
        <v>976.22448411505161</v>
      </c>
      <c r="H307" s="3">
        <f t="shared" si="28"/>
        <v>500</v>
      </c>
      <c r="I307" s="3">
        <f t="shared" si="30"/>
        <v>2193.7506401292185</v>
      </c>
      <c r="J307" s="3">
        <f t="shared" si="31"/>
        <v>1757194.262743504</v>
      </c>
    </row>
    <row r="308" spans="4:10">
      <c r="D308">
        <v>306</v>
      </c>
      <c r="E308" s="3">
        <f t="shared" si="29"/>
        <v>1757194.262743504</v>
      </c>
      <c r="F308" s="3">
        <f t="shared" si="26"/>
        <v>3254.081613716839</v>
      </c>
      <c r="G308" s="3">
        <f t="shared" si="27"/>
        <v>976.22448411505161</v>
      </c>
      <c r="H308" s="3">
        <f t="shared" si="28"/>
        <v>500</v>
      </c>
      <c r="I308" s="3">
        <f t="shared" si="30"/>
        <v>2202.4057110516701</v>
      </c>
      <c r="J308" s="3">
        <f t="shared" si="31"/>
        <v>1764126.9745523878</v>
      </c>
    </row>
    <row r="309" spans="4:10">
      <c r="D309">
        <v>307</v>
      </c>
      <c r="E309" s="3">
        <f t="shared" si="29"/>
        <v>1764126.9745523878</v>
      </c>
      <c r="F309" s="3">
        <f t="shared" si="26"/>
        <v>3254.081613716839</v>
      </c>
      <c r="G309" s="3">
        <f t="shared" si="27"/>
        <v>976.22448411505161</v>
      </c>
      <c r="H309" s="3">
        <f t="shared" si="28"/>
        <v>500</v>
      </c>
      <c r="I309" s="3">
        <f t="shared" si="30"/>
        <v>2211.0716008127747</v>
      </c>
      <c r="J309" s="3">
        <f t="shared" si="31"/>
        <v>1771068.3522510326</v>
      </c>
    </row>
    <row r="310" spans="4:10">
      <c r="D310">
        <v>308</v>
      </c>
      <c r="E310" s="3">
        <f t="shared" si="29"/>
        <v>1771068.3522510326</v>
      </c>
      <c r="F310" s="3">
        <f t="shared" si="26"/>
        <v>3254.081613716839</v>
      </c>
      <c r="G310" s="3">
        <f t="shared" si="27"/>
        <v>976.22448411505161</v>
      </c>
      <c r="H310" s="3">
        <f t="shared" si="28"/>
        <v>500</v>
      </c>
      <c r="I310" s="3">
        <f t="shared" si="30"/>
        <v>2219.748322936081</v>
      </c>
      <c r="J310" s="3">
        <f t="shared" si="31"/>
        <v>1778018.4066718007</v>
      </c>
    </row>
    <row r="311" spans="4:10">
      <c r="D311">
        <v>309</v>
      </c>
      <c r="E311" s="3">
        <f t="shared" si="29"/>
        <v>1778018.4066718007</v>
      </c>
      <c r="F311" s="3">
        <f t="shared" si="26"/>
        <v>3254.081613716839</v>
      </c>
      <c r="G311" s="3">
        <f t="shared" si="27"/>
        <v>976.22448411505161</v>
      </c>
      <c r="H311" s="3">
        <f t="shared" si="28"/>
        <v>500</v>
      </c>
      <c r="I311" s="3">
        <f t="shared" si="30"/>
        <v>2228.435890962041</v>
      </c>
      <c r="J311" s="3">
        <f t="shared" si="31"/>
        <v>1784977.1486605948</v>
      </c>
    </row>
    <row r="312" spans="4:10">
      <c r="D312">
        <v>310</v>
      </c>
      <c r="E312" s="3">
        <f t="shared" si="29"/>
        <v>1784977.1486605948</v>
      </c>
      <c r="F312" s="3">
        <f t="shared" si="26"/>
        <v>3254.081613716839</v>
      </c>
      <c r="G312" s="3">
        <f t="shared" si="27"/>
        <v>976.22448411505161</v>
      </c>
      <c r="H312" s="3">
        <f t="shared" si="28"/>
        <v>500</v>
      </c>
      <c r="I312" s="3">
        <f t="shared" si="30"/>
        <v>2237.1343184480338</v>
      </c>
      <c r="J312" s="3">
        <f t="shared" si="31"/>
        <v>1791944.589076875</v>
      </c>
    </row>
    <row r="313" spans="4:10">
      <c r="D313">
        <v>311</v>
      </c>
      <c r="E313" s="3">
        <f t="shared" si="29"/>
        <v>1791944.589076875</v>
      </c>
      <c r="F313" s="3">
        <f t="shared" si="26"/>
        <v>3254.081613716839</v>
      </c>
      <c r="G313" s="3">
        <f t="shared" si="27"/>
        <v>976.22448411505161</v>
      </c>
      <c r="H313" s="3">
        <f t="shared" si="28"/>
        <v>500</v>
      </c>
      <c r="I313" s="3">
        <f t="shared" si="30"/>
        <v>2245.8436189683839</v>
      </c>
      <c r="J313" s="3">
        <f t="shared" si="31"/>
        <v>1798920.7387936753</v>
      </c>
    </row>
    <row r="314" spans="4:10">
      <c r="D314">
        <v>312</v>
      </c>
      <c r="E314" s="3">
        <f t="shared" si="29"/>
        <v>1798920.7387936753</v>
      </c>
      <c r="F314" s="3">
        <f t="shared" si="26"/>
        <v>3254.081613716839</v>
      </c>
      <c r="G314" s="3">
        <f t="shared" si="27"/>
        <v>976.22448411505161</v>
      </c>
      <c r="H314" s="3">
        <f t="shared" si="28"/>
        <v>500</v>
      </c>
      <c r="I314" s="3">
        <f t="shared" si="30"/>
        <v>2254.5638061143841</v>
      </c>
      <c r="J314" s="3">
        <f t="shared" si="31"/>
        <v>1805905.6086976219</v>
      </c>
    </row>
    <row r="315" spans="4:10">
      <c r="D315">
        <v>313</v>
      </c>
      <c r="E315" s="3">
        <f t="shared" si="29"/>
        <v>1805905.6086976219</v>
      </c>
      <c r="F315" s="3">
        <f t="shared" si="26"/>
        <v>3254.081613716839</v>
      </c>
      <c r="G315" s="3">
        <f t="shared" si="27"/>
        <v>976.22448411505161</v>
      </c>
      <c r="H315" s="3">
        <f t="shared" si="28"/>
        <v>500</v>
      </c>
      <c r="I315" s="3">
        <f t="shared" si="30"/>
        <v>2263.2948934943174</v>
      </c>
      <c r="J315" s="3">
        <f t="shared" si="31"/>
        <v>1812899.2096889482</v>
      </c>
    </row>
    <row r="316" spans="4:10">
      <c r="D316">
        <v>314</v>
      </c>
      <c r="E316" s="3">
        <f t="shared" si="29"/>
        <v>1812899.2096889482</v>
      </c>
      <c r="F316" s="3">
        <f t="shared" si="26"/>
        <v>3254.081613716839</v>
      </c>
      <c r="G316" s="3">
        <f t="shared" si="27"/>
        <v>976.22448411505161</v>
      </c>
      <c r="H316" s="3">
        <f t="shared" si="28"/>
        <v>500</v>
      </c>
      <c r="I316" s="3">
        <f t="shared" si="30"/>
        <v>2272.0368947334755</v>
      </c>
      <c r="J316" s="3">
        <f t="shared" si="31"/>
        <v>1819901.5526815138</v>
      </c>
    </row>
    <row r="317" spans="4:10">
      <c r="D317">
        <v>315</v>
      </c>
      <c r="E317" s="3">
        <f t="shared" si="29"/>
        <v>1819901.5526815138</v>
      </c>
      <c r="F317" s="3">
        <f t="shared" si="26"/>
        <v>3254.081613716839</v>
      </c>
      <c r="G317" s="3">
        <f t="shared" si="27"/>
        <v>976.22448411505161</v>
      </c>
      <c r="H317" s="3">
        <f t="shared" si="28"/>
        <v>500</v>
      </c>
      <c r="I317" s="3">
        <f t="shared" si="30"/>
        <v>2280.7898234741824</v>
      </c>
      <c r="J317" s="3">
        <f t="shared" si="31"/>
        <v>1826912.64860282</v>
      </c>
    </row>
    <row r="318" spans="4:10">
      <c r="D318">
        <v>316</v>
      </c>
      <c r="E318" s="3">
        <f t="shared" si="29"/>
        <v>1826912.64860282</v>
      </c>
      <c r="F318" s="3">
        <f t="shared" si="26"/>
        <v>3254.081613716839</v>
      </c>
      <c r="G318" s="3">
        <f t="shared" si="27"/>
        <v>976.22448411505161</v>
      </c>
      <c r="H318" s="3">
        <f t="shared" si="28"/>
        <v>500</v>
      </c>
      <c r="I318" s="3">
        <f t="shared" si="30"/>
        <v>2289.5536933758153</v>
      </c>
      <c r="J318" s="3">
        <f t="shared" si="31"/>
        <v>1833932.5083940278</v>
      </c>
    </row>
    <row r="319" spans="4:10">
      <c r="D319">
        <v>317</v>
      </c>
      <c r="E319" s="3">
        <f t="shared" si="29"/>
        <v>1833932.5083940278</v>
      </c>
      <c r="F319" s="3">
        <f t="shared" si="26"/>
        <v>3254.081613716839</v>
      </c>
      <c r="G319" s="3">
        <f t="shared" si="27"/>
        <v>976.22448411505161</v>
      </c>
      <c r="H319" s="3">
        <f t="shared" si="28"/>
        <v>500</v>
      </c>
      <c r="I319" s="3">
        <f t="shared" si="30"/>
        <v>2298.3285181148249</v>
      </c>
      <c r="J319" s="3">
        <f t="shared" si="31"/>
        <v>1840961.1430099746</v>
      </c>
    </row>
    <row r="320" spans="4:10">
      <c r="D320">
        <v>318</v>
      </c>
      <c r="E320" s="3">
        <f t="shared" si="29"/>
        <v>1840961.1430099746</v>
      </c>
      <c r="F320" s="3">
        <f t="shared" si="26"/>
        <v>3254.081613716839</v>
      </c>
      <c r="G320" s="3">
        <f t="shared" si="27"/>
        <v>976.22448411505161</v>
      </c>
      <c r="H320" s="3">
        <f t="shared" si="28"/>
        <v>500</v>
      </c>
      <c r="I320" s="3">
        <f t="shared" si="30"/>
        <v>2307.1143113847584</v>
      </c>
      <c r="J320" s="3">
        <f t="shared" si="31"/>
        <v>1847998.5634191914</v>
      </c>
    </row>
    <row r="321" spans="4:10">
      <c r="D321">
        <v>319</v>
      </c>
      <c r="E321" s="3">
        <f t="shared" si="29"/>
        <v>1847998.5634191914</v>
      </c>
      <c r="F321" s="3">
        <f t="shared" si="26"/>
        <v>3254.081613716839</v>
      </c>
      <c r="G321" s="3">
        <f t="shared" si="27"/>
        <v>976.22448411505161</v>
      </c>
      <c r="H321" s="3">
        <f t="shared" si="28"/>
        <v>500</v>
      </c>
      <c r="I321" s="3">
        <f t="shared" si="30"/>
        <v>2315.9110868962794</v>
      </c>
      <c r="J321" s="3">
        <f t="shared" si="31"/>
        <v>1855044.7806039196</v>
      </c>
    </row>
    <row r="322" spans="4:10">
      <c r="D322">
        <v>320</v>
      </c>
      <c r="E322" s="3">
        <f t="shared" si="29"/>
        <v>1855044.7806039196</v>
      </c>
      <c r="F322" s="3">
        <f t="shared" si="26"/>
        <v>3254.081613716839</v>
      </c>
      <c r="G322" s="3">
        <f t="shared" si="27"/>
        <v>976.22448411505161</v>
      </c>
      <c r="H322" s="3">
        <f t="shared" si="28"/>
        <v>500</v>
      </c>
      <c r="I322" s="3">
        <f t="shared" si="30"/>
        <v>2324.7188583771895</v>
      </c>
      <c r="J322" s="3">
        <f t="shared" si="31"/>
        <v>1862099.8055601288</v>
      </c>
    </row>
    <row r="323" spans="4:10">
      <c r="D323">
        <v>321</v>
      </c>
      <c r="E323" s="3">
        <f t="shared" si="29"/>
        <v>1862099.8055601288</v>
      </c>
      <c r="F323" s="3">
        <f t="shared" si="26"/>
        <v>3254.081613716839</v>
      </c>
      <c r="G323" s="3">
        <f t="shared" si="27"/>
        <v>976.22448411505161</v>
      </c>
      <c r="H323" s="3">
        <f t="shared" si="28"/>
        <v>500</v>
      </c>
      <c r="I323" s="3">
        <f t="shared" si="30"/>
        <v>2333.5376395724511</v>
      </c>
      <c r="J323" s="3">
        <f t="shared" si="31"/>
        <v>1869163.6492975333</v>
      </c>
    </row>
    <row r="324" spans="4:10">
      <c r="D324">
        <v>322</v>
      </c>
      <c r="E324" s="3">
        <f t="shared" si="29"/>
        <v>1869163.6492975333</v>
      </c>
      <c r="F324" s="3">
        <f t="shared" ref="F324:F387" si="32">$B$2</f>
        <v>3254.081613716839</v>
      </c>
      <c r="G324" s="3">
        <f t="shared" ref="G324:G387" si="33">$B$3</f>
        <v>976.22448411505161</v>
      </c>
      <c r="H324" s="3">
        <f t="shared" ref="H324:H387" si="34">$B$4</f>
        <v>500</v>
      </c>
      <c r="I324" s="3">
        <f t="shared" si="30"/>
        <v>2342.3674442442066</v>
      </c>
      <c r="J324" s="3">
        <f t="shared" si="31"/>
        <v>1876236.3228396096</v>
      </c>
    </row>
    <row r="325" spans="4:10">
      <c r="D325">
        <v>323</v>
      </c>
      <c r="E325" s="3">
        <f t="shared" ref="E325:E388" si="35">J324</f>
        <v>1876236.3228396096</v>
      </c>
      <c r="F325" s="3">
        <f t="shared" si="32"/>
        <v>3254.081613716839</v>
      </c>
      <c r="G325" s="3">
        <f t="shared" si="33"/>
        <v>976.22448411505161</v>
      </c>
      <c r="H325" s="3">
        <f t="shared" si="34"/>
        <v>500</v>
      </c>
      <c r="I325" s="3">
        <f t="shared" ref="I325:I388" si="36">$B$9*SUM(E325:H325)</f>
        <v>2351.2082861718022</v>
      </c>
      <c r="J325" s="3">
        <f t="shared" ref="J325:J388" si="37">SUM(E325:I325)</f>
        <v>1883317.8372236134</v>
      </c>
    </row>
    <row r="326" spans="4:10">
      <c r="D326">
        <v>324</v>
      </c>
      <c r="E326" s="3">
        <f t="shared" si="35"/>
        <v>1883317.8372236134</v>
      </c>
      <c r="F326" s="3">
        <f t="shared" si="32"/>
        <v>3254.081613716839</v>
      </c>
      <c r="G326" s="3">
        <f t="shared" si="33"/>
        <v>976.22448411505161</v>
      </c>
      <c r="H326" s="3">
        <f t="shared" si="34"/>
        <v>500</v>
      </c>
      <c r="I326" s="3">
        <f t="shared" si="36"/>
        <v>2360.060179151807</v>
      </c>
      <c r="J326" s="3">
        <f t="shared" si="37"/>
        <v>1890408.2035005973</v>
      </c>
    </row>
    <row r="327" spans="4:10">
      <c r="D327">
        <v>325</v>
      </c>
      <c r="E327" s="3">
        <f t="shared" si="35"/>
        <v>1890408.2035005973</v>
      </c>
      <c r="F327" s="3">
        <f t="shared" si="32"/>
        <v>3254.081613716839</v>
      </c>
      <c r="G327" s="3">
        <f t="shared" si="33"/>
        <v>976.22448411505161</v>
      </c>
      <c r="H327" s="3">
        <f t="shared" si="34"/>
        <v>500</v>
      </c>
      <c r="I327" s="3">
        <f t="shared" si="36"/>
        <v>2368.9231369980366</v>
      </c>
      <c r="J327" s="3">
        <f t="shared" si="37"/>
        <v>1897507.4327354273</v>
      </c>
    </row>
    <row r="328" spans="4:10">
      <c r="D328">
        <v>326</v>
      </c>
      <c r="E328" s="3">
        <f t="shared" si="35"/>
        <v>1897507.4327354273</v>
      </c>
      <c r="F328" s="3">
        <f t="shared" si="32"/>
        <v>3254.081613716839</v>
      </c>
      <c r="G328" s="3">
        <f t="shared" si="33"/>
        <v>976.22448411505161</v>
      </c>
      <c r="H328" s="3">
        <f t="shared" si="34"/>
        <v>500</v>
      </c>
      <c r="I328" s="3">
        <f t="shared" si="36"/>
        <v>2377.797173541574</v>
      </c>
      <c r="J328" s="3">
        <f t="shared" si="37"/>
        <v>1904615.5360068008</v>
      </c>
    </row>
    <row r="329" spans="4:10">
      <c r="D329">
        <v>327</v>
      </c>
      <c r="E329" s="3">
        <f t="shared" si="35"/>
        <v>1904615.5360068008</v>
      </c>
      <c r="F329" s="3">
        <f t="shared" si="32"/>
        <v>3254.081613716839</v>
      </c>
      <c r="G329" s="3">
        <f t="shared" si="33"/>
        <v>976.22448411505161</v>
      </c>
      <c r="H329" s="3">
        <f t="shared" si="34"/>
        <v>500</v>
      </c>
      <c r="I329" s="3">
        <f t="shared" si="36"/>
        <v>2386.6823026307911</v>
      </c>
      <c r="J329" s="3">
        <f t="shared" si="37"/>
        <v>1911732.5244072636</v>
      </c>
    </row>
    <row r="330" spans="4:10">
      <c r="D330">
        <v>328</v>
      </c>
      <c r="E330" s="3">
        <f t="shared" si="35"/>
        <v>1911732.5244072636</v>
      </c>
      <c r="F330" s="3">
        <f t="shared" si="32"/>
        <v>3254.081613716839</v>
      </c>
      <c r="G330" s="3">
        <f t="shared" si="33"/>
        <v>976.22448411505161</v>
      </c>
      <c r="H330" s="3">
        <f t="shared" si="34"/>
        <v>500</v>
      </c>
      <c r="I330" s="3">
        <f t="shared" si="36"/>
        <v>2395.5785381313694</v>
      </c>
      <c r="J330" s="3">
        <f t="shared" si="37"/>
        <v>1918858.4090432271</v>
      </c>
    </row>
    <row r="331" spans="4:10">
      <c r="D331">
        <v>329</v>
      </c>
      <c r="E331" s="3">
        <f t="shared" si="35"/>
        <v>1918858.4090432271</v>
      </c>
      <c r="F331" s="3">
        <f t="shared" si="32"/>
        <v>3254.081613716839</v>
      </c>
      <c r="G331" s="3">
        <f t="shared" si="33"/>
        <v>976.22448411505161</v>
      </c>
      <c r="H331" s="3">
        <f t="shared" si="34"/>
        <v>500</v>
      </c>
      <c r="I331" s="3">
        <f t="shared" si="36"/>
        <v>2404.485893926324</v>
      </c>
      <c r="J331" s="3">
        <f t="shared" si="37"/>
        <v>1925993.2010349855</v>
      </c>
    </row>
    <row r="332" spans="4:10">
      <c r="D332">
        <v>330</v>
      </c>
      <c r="E332" s="3">
        <f t="shared" si="35"/>
        <v>1925993.2010349855</v>
      </c>
      <c r="F332" s="3">
        <f t="shared" si="32"/>
        <v>3254.081613716839</v>
      </c>
      <c r="G332" s="3">
        <f t="shared" si="33"/>
        <v>976.22448411505161</v>
      </c>
      <c r="H332" s="3">
        <f t="shared" si="34"/>
        <v>500</v>
      </c>
      <c r="I332" s="3">
        <f t="shared" si="36"/>
        <v>2413.4043839160217</v>
      </c>
      <c r="J332" s="3">
        <f t="shared" si="37"/>
        <v>1933136.9115167335</v>
      </c>
    </row>
    <row r="333" spans="4:10">
      <c r="D333">
        <v>331</v>
      </c>
      <c r="E333" s="3">
        <f t="shared" si="35"/>
        <v>1933136.9115167335</v>
      </c>
      <c r="F333" s="3">
        <f t="shared" si="32"/>
        <v>3254.081613716839</v>
      </c>
      <c r="G333" s="3">
        <f t="shared" si="33"/>
        <v>976.22448411505161</v>
      </c>
      <c r="H333" s="3">
        <f t="shared" si="34"/>
        <v>500</v>
      </c>
      <c r="I333" s="3">
        <f t="shared" si="36"/>
        <v>2422.3340220182067</v>
      </c>
      <c r="J333" s="3">
        <f t="shared" si="37"/>
        <v>1940289.5516365836</v>
      </c>
    </row>
    <row r="334" spans="4:10">
      <c r="D334">
        <v>332</v>
      </c>
      <c r="E334" s="3">
        <f t="shared" si="35"/>
        <v>1940289.5516365836</v>
      </c>
      <c r="F334" s="3">
        <f t="shared" si="32"/>
        <v>3254.081613716839</v>
      </c>
      <c r="G334" s="3">
        <f t="shared" si="33"/>
        <v>976.22448411505161</v>
      </c>
      <c r="H334" s="3">
        <f t="shared" si="34"/>
        <v>500</v>
      </c>
      <c r="I334" s="3">
        <f t="shared" si="36"/>
        <v>2431.2748221680195</v>
      </c>
      <c r="J334" s="3">
        <f t="shared" si="37"/>
        <v>1947451.1325565837</v>
      </c>
    </row>
    <row r="335" spans="4:10">
      <c r="D335">
        <v>333</v>
      </c>
      <c r="E335" s="3">
        <f t="shared" si="35"/>
        <v>1947451.1325565837</v>
      </c>
      <c r="F335" s="3">
        <f t="shared" si="32"/>
        <v>3254.081613716839</v>
      </c>
      <c r="G335" s="3">
        <f t="shared" si="33"/>
        <v>976.22448411505161</v>
      </c>
      <c r="H335" s="3">
        <f t="shared" si="34"/>
        <v>500</v>
      </c>
      <c r="I335" s="3">
        <f t="shared" si="36"/>
        <v>2440.22679831802</v>
      </c>
      <c r="J335" s="3">
        <f t="shared" si="37"/>
        <v>1954621.6654527339</v>
      </c>
    </row>
    <row r="336" spans="4:10">
      <c r="D336">
        <v>334</v>
      </c>
      <c r="E336" s="3">
        <f t="shared" si="35"/>
        <v>1954621.6654527339</v>
      </c>
      <c r="F336" s="3">
        <f t="shared" si="32"/>
        <v>3254.081613716839</v>
      </c>
      <c r="G336" s="3">
        <f t="shared" si="33"/>
        <v>976.22448411505161</v>
      </c>
      <c r="H336" s="3">
        <f t="shared" si="34"/>
        <v>500</v>
      </c>
      <c r="I336" s="3">
        <f t="shared" si="36"/>
        <v>2449.1899644382074</v>
      </c>
      <c r="J336" s="3">
        <f t="shared" si="37"/>
        <v>1961801.1615150042</v>
      </c>
    </row>
    <row r="337" spans="4:10">
      <c r="D337">
        <v>335</v>
      </c>
      <c r="E337" s="3">
        <f t="shared" si="35"/>
        <v>1961801.1615150042</v>
      </c>
      <c r="F337" s="3">
        <f t="shared" si="32"/>
        <v>3254.081613716839</v>
      </c>
      <c r="G337" s="3">
        <f t="shared" si="33"/>
        <v>976.22448411505161</v>
      </c>
      <c r="H337" s="3">
        <f t="shared" si="34"/>
        <v>500</v>
      </c>
      <c r="I337" s="3">
        <f t="shared" si="36"/>
        <v>2458.1643345160455</v>
      </c>
      <c r="J337" s="3">
        <f t="shared" si="37"/>
        <v>1968989.6319473523</v>
      </c>
    </row>
    <row r="338" spans="4:10">
      <c r="D338">
        <v>336</v>
      </c>
      <c r="E338" s="3">
        <f t="shared" si="35"/>
        <v>1968989.6319473523</v>
      </c>
      <c r="F338" s="3">
        <f t="shared" si="32"/>
        <v>3254.081613716839</v>
      </c>
      <c r="G338" s="3">
        <f t="shared" si="33"/>
        <v>976.22448411505161</v>
      </c>
      <c r="H338" s="3">
        <f t="shared" si="34"/>
        <v>500</v>
      </c>
      <c r="I338" s="3">
        <f t="shared" si="36"/>
        <v>2467.1499225564803</v>
      </c>
      <c r="J338" s="3">
        <f t="shared" si="37"/>
        <v>1976187.0879677408</v>
      </c>
    </row>
    <row r="339" spans="4:10">
      <c r="D339">
        <v>337</v>
      </c>
      <c r="E339" s="3">
        <f t="shared" si="35"/>
        <v>1976187.0879677408</v>
      </c>
      <c r="F339" s="3">
        <f t="shared" si="32"/>
        <v>3254.081613716839</v>
      </c>
      <c r="G339" s="3">
        <f t="shared" si="33"/>
        <v>976.22448411505161</v>
      </c>
      <c r="H339" s="3">
        <f t="shared" si="34"/>
        <v>500</v>
      </c>
      <c r="I339" s="3">
        <f t="shared" si="36"/>
        <v>2476.146742581966</v>
      </c>
      <c r="J339" s="3">
        <f t="shared" si="37"/>
        <v>1983393.5408081547</v>
      </c>
    </row>
    <row r="340" spans="4:10">
      <c r="D340">
        <v>338</v>
      </c>
      <c r="E340" s="3">
        <f t="shared" si="35"/>
        <v>1983393.5408081547</v>
      </c>
      <c r="F340" s="3">
        <f t="shared" si="32"/>
        <v>3254.081613716839</v>
      </c>
      <c r="G340" s="3">
        <f t="shared" si="33"/>
        <v>976.22448411505161</v>
      </c>
      <c r="H340" s="3">
        <f t="shared" si="34"/>
        <v>500</v>
      </c>
      <c r="I340" s="3">
        <f t="shared" si="36"/>
        <v>2485.1548086324833</v>
      </c>
      <c r="J340" s="3">
        <f t="shared" si="37"/>
        <v>1990609.0017146193</v>
      </c>
    </row>
    <row r="341" spans="4:10">
      <c r="D341">
        <v>339</v>
      </c>
      <c r="E341" s="3">
        <f t="shared" si="35"/>
        <v>1990609.0017146193</v>
      </c>
      <c r="F341" s="3">
        <f t="shared" si="32"/>
        <v>3254.081613716839</v>
      </c>
      <c r="G341" s="3">
        <f t="shared" si="33"/>
        <v>976.22448411505161</v>
      </c>
      <c r="H341" s="3">
        <f t="shared" si="34"/>
        <v>500</v>
      </c>
      <c r="I341" s="3">
        <f t="shared" si="36"/>
        <v>2494.1741347655643</v>
      </c>
      <c r="J341" s="3">
        <f t="shared" si="37"/>
        <v>1997833.4819472169</v>
      </c>
    </row>
    <row r="342" spans="4:10">
      <c r="D342">
        <v>340</v>
      </c>
      <c r="E342" s="3">
        <f t="shared" si="35"/>
        <v>1997833.4819472169</v>
      </c>
      <c r="F342" s="3">
        <f t="shared" si="32"/>
        <v>3254.081613716839</v>
      </c>
      <c r="G342" s="3">
        <f t="shared" si="33"/>
        <v>976.22448411505161</v>
      </c>
      <c r="H342" s="3">
        <f t="shared" si="34"/>
        <v>500</v>
      </c>
      <c r="I342" s="3">
        <f t="shared" si="36"/>
        <v>2503.2047350563112</v>
      </c>
      <c r="J342" s="3">
        <f t="shared" si="37"/>
        <v>2005066.9927801052</v>
      </c>
    </row>
    <row r="343" spans="4:10">
      <c r="D343">
        <v>341</v>
      </c>
      <c r="E343" s="3">
        <f t="shared" si="35"/>
        <v>2005066.9927801052</v>
      </c>
      <c r="F343" s="3">
        <f t="shared" si="32"/>
        <v>3254.081613716839</v>
      </c>
      <c r="G343" s="3">
        <f t="shared" si="33"/>
        <v>976.22448411505161</v>
      </c>
      <c r="H343" s="3">
        <f t="shared" si="34"/>
        <v>500</v>
      </c>
      <c r="I343" s="3">
        <f t="shared" si="36"/>
        <v>2512.2466235974216</v>
      </c>
      <c r="J343" s="3">
        <f t="shared" si="37"/>
        <v>2012309.5455015346</v>
      </c>
    </row>
    <row r="344" spans="4:10">
      <c r="D344">
        <v>342</v>
      </c>
      <c r="E344" s="3">
        <f t="shared" si="35"/>
        <v>2012309.5455015346</v>
      </c>
      <c r="F344" s="3">
        <f t="shared" si="32"/>
        <v>3254.081613716839</v>
      </c>
      <c r="G344" s="3">
        <f t="shared" si="33"/>
        <v>976.22448411505161</v>
      </c>
      <c r="H344" s="3">
        <f t="shared" si="34"/>
        <v>500</v>
      </c>
      <c r="I344" s="3">
        <f t="shared" si="36"/>
        <v>2521.2998144992084</v>
      </c>
      <c r="J344" s="3">
        <f t="shared" si="37"/>
        <v>2019561.1514138659</v>
      </c>
    </row>
    <row r="345" spans="4:10">
      <c r="D345">
        <v>343</v>
      </c>
      <c r="E345" s="3">
        <f t="shared" si="35"/>
        <v>2019561.1514138659</v>
      </c>
      <c r="F345" s="3">
        <f t="shared" si="32"/>
        <v>3254.081613716839</v>
      </c>
      <c r="G345" s="3">
        <f t="shared" si="33"/>
        <v>976.22448411505161</v>
      </c>
      <c r="H345" s="3">
        <f t="shared" si="34"/>
        <v>500</v>
      </c>
      <c r="I345" s="3">
        <f t="shared" si="36"/>
        <v>2530.3643218896223</v>
      </c>
      <c r="J345" s="3">
        <f t="shared" si="37"/>
        <v>2026821.8218335875</v>
      </c>
    </row>
    <row r="346" spans="4:10">
      <c r="D346">
        <v>344</v>
      </c>
      <c r="E346" s="3">
        <f t="shared" si="35"/>
        <v>2026821.8218335875</v>
      </c>
      <c r="F346" s="3">
        <f t="shared" si="32"/>
        <v>3254.081613716839</v>
      </c>
      <c r="G346" s="3">
        <f t="shared" si="33"/>
        <v>976.22448411505161</v>
      </c>
      <c r="H346" s="3">
        <f t="shared" si="34"/>
        <v>500</v>
      </c>
      <c r="I346" s="3">
        <f t="shared" si="36"/>
        <v>2539.4401599142743</v>
      </c>
      <c r="J346" s="3">
        <f t="shared" si="37"/>
        <v>2034091.5680913338</v>
      </c>
    </row>
    <row r="347" spans="4:10">
      <c r="D347">
        <v>345</v>
      </c>
      <c r="E347" s="3">
        <f t="shared" si="35"/>
        <v>2034091.5680913338</v>
      </c>
      <c r="F347" s="3">
        <f t="shared" si="32"/>
        <v>3254.081613716839</v>
      </c>
      <c r="G347" s="3">
        <f t="shared" si="33"/>
        <v>976.22448411505161</v>
      </c>
      <c r="H347" s="3">
        <f t="shared" si="34"/>
        <v>500</v>
      </c>
      <c r="I347" s="3">
        <f t="shared" si="36"/>
        <v>2548.5273427364573</v>
      </c>
      <c r="J347" s="3">
        <f t="shared" si="37"/>
        <v>2041370.4015319024</v>
      </c>
    </row>
    <row r="348" spans="4:10">
      <c r="D348">
        <v>346</v>
      </c>
      <c r="E348" s="3">
        <f t="shared" si="35"/>
        <v>2041370.4015319024</v>
      </c>
      <c r="F348" s="3">
        <f t="shared" si="32"/>
        <v>3254.081613716839</v>
      </c>
      <c r="G348" s="3">
        <f t="shared" si="33"/>
        <v>976.22448411505161</v>
      </c>
      <c r="H348" s="3">
        <f t="shared" si="34"/>
        <v>500</v>
      </c>
      <c r="I348" s="3">
        <f t="shared" si="36"/>
        <v>2557.6258845371681</v>
      </c>
      <c r="J348" s="3">
        <f t="shared" si="37"/>
        <v>2048658.3335142715</v>
      </c>
    </row>
    <row r="349" spans="4:10">
      <c r="D349">
        <v>347</v>
      </c>
      <c r="E349" s="3">
        <f t="shared" si="35"/>
        <v>2048658.3335142715</v>
      </c>
      <c r="F349" s="3">
        <f t="shared" si="32"/>
        <v>3254.081613716839</v>
      </c>
      <c r="G349" s="3">
        <f t="shared" si="33"/>
        <v>976.22448411505161</v>
      </c>
      <c r="H349" s="3">
        <f t="shared" si="34"/>
        <v>500</v>
      </c>
      <c r="I349" s="3">
        <f t="shared" si="36"/>
        <v>2566.7357995151297</v>
      </c>
      <c r="J349" s="3">
        <f t="shared" si="37"/>
        <v>2055955.3754116187</v>
      </c>
    </row>
    <row r="350" spans="4:10">
      <c r="D350">
        <v>348</v>
      </c>
      <c r="E350" s="3">
        <f t="shared" si="35"/>
        <v>2055955.3754116187</v>
      </c>
      <c r="F350" s="3">
        <f t="shared" si="32"/>
        <v>3254.081613716839</v>
      </c>
      <c r="G350" s="3">
        <f t="shared" si="33"/>
        <v>976.22448411505161</v>
      </c>
      <c r="H350" s="3">
        <f t="shared" si="34"/>
        <v>500</v>
      </c>
      <c r="I350" s="3">
        <f t="shared" si="36"/>
        <v>2575.8571018868133</v>
      </c>
      <c r="J350" s="3">
        <f t="shared" si="37"/>
        <v>2063261.5386113375</v>
      </c>
    </row>
    <row r="351" spans="4:10">
      <c r="D351">
        <v>349</v>
      </c>
      <c r="E351" s="3">
        <f t="shared" si="35"/>
        <v>2063261.5386113375</v>
      </c>
      <c r="F351" s="3">
        <f t="shared" si="32"/>
        <v>3254.081613716839</v>
      </c>
      <c r="G351" s="3">
        <f t="shared" si="33"/>
        <v>976.22448411505161</v>
      </c>
      <c r="H351" s="3">
        <f t="shared" si="34"/>
        <v>500</v>
      </c>
      <c r="I351" s="3">
        <f t="shared" si="36"/>
        <v>2584.9898058864619</v>
      </c>
      <c r="J351" s="3">
        <f t="shared" si="37"/>
        <v>2070576.8345150561</v>
      </c>
    </row>
    <row r="352" spans="4:10">
      <c r="D352">
        <v>350</v>
      </c>
      <c r="E352" s="3">
        <f t="shared" si="35"/>
        <v>2070576.8345150561</v>
      </c>
      <c r="F352" s="3">
        <f t="shared" si="32"/>
        <v>3254.081613716839</v>
      </c>
      <c r="G352" s="3">
        <f t="shared" si="33"/>
        <v>976.22448411505161</v>
      </c>
      <c r="H352" s="3">
        <f t="shared" si="34"/>
        <v>500</v>
      </c>
      <c r="I352" s="3">
        <f t="shared" si="36"/>
        <v>2594.1339257661102</v>
      </c>
      <c r="J352" s="3">
        <f t="shared" si="37"/>
        <v>2077901.2745386544</v>
      </c>
    </row>
    <row r="353" spans="4:10">
      <c r="D353">
        <v>351</v>
      </c>
      <c r="E353" s="3">
        <f t="shared" si="35"/>
        <v>2077901.2745386544</v>
      </c>
      <c r="F353" s="3">
        <f t="shared" si="32"/>
        <v>3254.081613716839</v>
      </c>
      <c r="G353" s="3">
        <f t="shared" si="33"/>
        <v>976.22448411505161</v>
      </c>
      <c r="H353" s="3">
        <f t="shared" si="34"/>
        <v>500</v>
      </c>
      <c r="I353" s="3">
        <f t="shared" si="36"/>
        <v>2603.2894757956083</v>
      </c>
      <c r="J353" s="3">
        <f t="shared" si="37"/>
        <v>2085234.870112282</v>
      </c>
    </row>
    <row r="354" spans="4:10">
      <c r="D354">
        <v>352</v>
      </c>
      <c r="E354" s="3">
        <f t="shared" si="35"/>
        <v>2085234.870112282</v>
      </c>
      <c r="F354" s="3">
        <f t="shared" si="32"/>
        <v>3254.081613716839</v>
      </c>
      <c r="G354" s="3">
        <f t="shared" si="33"/>
        <v>976.22448411505161</v>
      </c>
      <c r="H354" s="3">
        <f t="shared" si="34"/>
        <v>500</v>
      </c>
      <c r="I354" s="3">
        <f t="shared" si="36"/>
        <v>2612.4564702626426</v>
      </c>
      <c r="J354" s="3">
        <f t="shared" si="37"/>
        <v>2092577.6326803768</v>
      </c>
    </row>
    <row r="355" spans="4:10">
      <c r="D355">
        <v>353</v>
      </c>
      <c r="E355" s="3">
        <f t="shared" si="35"/>
        <v>2092577.6326803768</v>
      </c>
      <c r="F355" s="3">
        <f t="shared" si="32"/>
        <v>3254.081613716839</v>
      </c>
      <c r="G355" s="3">
        <f t="shared" si="33"/>
        <v>976.22448411505161</v>
      </c>
      <c r="H355" s="3">
        <f t="shared" si="34"/>
        <v>500</v>
      </c>
      <c r="I355" s="3">
        <f t="shared" si="36"/>
        <v>2621.6349234727609</v>
      </c>
      <c r="J355" s="3">
        <f t="shared" si="37"/>
        <v>2099929.5737016811</v>
      </c>
    </row>
    <row r="356" spans="4:10">
      <c r="D356">
        <v>354</v>
      </c>
      <c r="E356" s="3">
        <f t="shared" si="35"/>
        <v>2099929.5737016811</v>
      </c>
      <c r="F356" s="3">
        <f t="shared" si="32"/>
        <v>3254.081613716839</v>
      </c>
      <c r="G356" s="3">
        <f t="shared" si="33"/>
        <v>976.22448411505161</v>
      </c>
      <c r="H356" s="3">
        <f t="shared" si="34"/>
        <v>500</v>
      </c>
      <c r="I356" s="3">
        <f t="shared" si="36"/>
        <v>2630.824849749391</v>
      </c>
      <c r="J356" s="3">
        <f t="shared" si="37"/>
        <v>2107290.7046492621</v>
      </c>
    </row>
    <row r="357" spans="4:10">
      <c r="D357">
        <v>355</v>
      </c>
      <c r="E357" s="3">
        <f t="shared" si="35"/>
        <v>2107290.7046492621</v>
      </c>
      <c r="F357" s="3">
        <f t="shared" si="32"/>
        <v>3254.081613716839</v>
      </c>
      <c r="G357" s="3">
        <f t="shared" si="33"/>
        <v>976.22448411505161</v>
      </c>
      <c r="H357" s="3">
        <f t="shared" si="34"/>
        <v>500</v>
      </c>
      <c r="I357" s="3">
        <f t="shared" si="36"/>
        <v>2640.0262634338674</v>
      </c>
      <c r="J357" s="3">
        <f t="shared" si="37"/>
        <v>2114661.0370105277</v>
      </c>
    </row>
    <row r="358" spans="4:10">
      <c r="D358">
        <v>356</v>
      </c>
      <c r="E358" s="3">
        <f t="shared" si="35"/>
        <v>2114661.0370105277</v>
      </c>
      <c r="F358" s="3">
        <f t="shared" si="32"/>
        <v>3254.081613716839</v>
      </c>
      <c r="G358" s="3">
        <f t="shared" si="33"/>
        <v>976.22448411505161</v>
      </c>
      <c r="H358" s="3">
        <f t="shared" si="34"/>
        <v>500</v>
      </c>
      <c r="I358" s="3">
        <f t="shared" si="36"/>
        <v>2649.2391788854493</v>
      </c>
      <c r="J358" s="3">
        <f t="shared" si="37"/>
        <v>2122040.5822872445</v>
      </c>
    </row>
    <row r="359" spans="4:10">
      <c r="D359">
        <v>357</v>
      </c>
      <c r="E359" s="3">
        <f t="shared" si="35"/>
        <v>2122040.5822872445</v>
      </c>
      <c r="F359" s="3">
        <f t="shared" si="32"/>
        <v>3254.081613716839</v>
      </c>
      <c r="G359" s="3">
        <f t="shared" si="33"/>
        <v>976.22448411505161</v>
      </c>
      <c r="H359" s="3">
        <f t="shared" si="34"/>
        <v>500</v>
      </c>
      <c r="I359" s="3">
        <f t="shared" si="36"/>
        <v>2658.4636104813453</v>
      </c>
      <c r="J359" s="3">
        <f t="shared" si="37"/>
        <v>2129429.3519955575</v>
      </c>
    </row>
    <row r="360" spans="4:10">
      <c r="D360">
        <v>358</v>
      </c>
      <c r="E360" s="3">
        <f t="shared" si="35"/>
        <v>2129429.3519955575</v>
      </c>
      <c r="F360" s="3">
        <f t="shared" si="32"/>
        <v>3254.081613716839</v>
      </c>
      <c r="G360" s="3">
        <f t="shared" si="33"/>
        <v>976.22448411505161</v>
      </c>
      <c r="H360" s="3">
        <f t="shared" si="34"/>
        <v>500</v>
      </c>
      <c r="I360" s="3">
        <f t="shared" si="36"/>
        <v>2667.6995726167365</v>
      </c>
      <c r="J360" s="3">
        <f t="shared" si="37"/>
        <v>2136827.3576660058</v>
      </c>
    </row>
    <row r="361" spans="4:10">
      <c r="D361">
        <v>359</v>
      </c>
      <c r="E361" s="3">
        <f t="shared" si="35"/>
        <v>2136827.3576660058</v>
      </c>
      <c r="F361" s="3">
        <f t="shared" si="32"/>
        <v>3254.081613716839</v>
      </c>
      <c r="G361" s="3">
        <f t="shared" si="33"/>
        <v>976.22448411505161</v>
      </c>
      <c r="H361" s="3">
        <f t="shared" si="34"/>
        <v>500</v>
      </c>
      <c r="I361" s="3">
        <f t="shared" si="36"/>
        <v>2676.947079704797</v>
      </c>
      <c r="J361" s="3">
        <f t="shared" si="37"/>
        <v>2144234.610843542</v>
      </c>
    </row>
    <row r="362" spans="4:10">
      <c r="D362">
        <v>360</v>
      </c>
      <c r="E362" s="3">
        <f t="shared" si="35"/>
        <v>2144234.610843542</v>
      </c>
      <c r="F362" s="3">
        <f t="shared" si="32"/>
        <v>3254.081613716839</v>
      </c>
      <c r="G362" s="3">
        <f t="shared" si="33"/>
        <v>976.22448411505161</v>
      </c>
      <c r="H362" s="3">
        <f t="shared" si="34"/>
        <v>500</v>
      </c>
      <c r="I362" s="3">
        <f t="shared" si="36"/>
        <v>2686.2061461767171</v>
      </c>
      <c r="J362" s="3">
        <f t="shared" si="37"/>
        <v>2151651.1230875505</v>
      </c>
    </row>
    <row r="363" spans="4:10">
      <c r="D363">
        <v>361</v>
      </c>
      <c r="E363" s="3">
        <f t="shared" si="35"/>
        <v>2151651.1230875505</v>
      </c>
      <c r="F363" s="3">
        <f t="shared" si="32"/>
        <v>3254.081613716839</v>
      </c>
      <c r="G363" s="3">
        <f t="shared" si="33"/>
        <v>976.22448411505161</v>
      </c>
      <c r="H363" s="3">
        <f t="shared" si="34"/>
        <v>500</v>
      </c>
      <c r="I363" s="3">
        <f t="shared" si="36"/>
        <v>2695.4767864817277</v>
      </c>
      <c r="J363" s="3">
        <f t="shared" si="37"/>
        <v>2159076.9059718638</v>
      </c>
    </row>
    <row r="364" spans="4:10">
      <c r="D364">
        <v>362</v>
      </c>
      <c r="E364" s="3">
        <f t="shared" si="35"/>
        <v>2159076.9059718638</v>
      </c>
      <c r="F364" s="3">
        <f t="shared" si="32"/>
        <v>3254.081613716839</v>
      </c>
      <c r="G364" s="3">
        <f t="shared" si="33"/>
        <v>976.22448411505161</v>
      </c>
      <c r="H364" s="3">
        <f t="shared" si="34"/>
        <v>500</v>
      </c>
      <c r="I364" s="3">
        <f t="shared" si="36"/>
        <v>2704.7590150871192</v>
      </c>
      <c r="J364" s="3">
        <f t="shared" si="37"/>
        <v>2166511.9710847824</v>
      </c>
    </row>
    <row r="365" spans="4:10">
      <c r="D365">
        <v>363</v>
      </c>
      <c r="E365" s="3">
        <f t="shared" si="35"/>
        <v>2166511.9710847824</v>
      </c>
      <c r="F365" s="3">
        <f t="shared" si="32"/>
        <v>3254.081613716839</v>
      </c>
      <c r="G365" s="3">
        <f t="shared" si="33"/>
        <v>976.22448411505161</v>
      </c>
      <c r="H365" s="3">
        <f t="shared" si="34"/>
        <v>500</v>
      </c>
      <c r="I365" s="3">
        <f t="shared" si="36"/>
        <v>2714.0528464782674</v>
      </c>
      <c r="J365" s="3">
        <f t="shared" si="37"/>
        <v>2173956.3300290923</v>
      </c>
    </row>
    <row r="366" spans="4:10">
      <c r="D366">
        <v>364</v>
      </c>
      <c r="E366" s="3">
        <f t="shared" si="35"/>
        <v>2173956.3300290923</v>
      </c>
      <c r="F366" s="3">
        <f t="shared" si="32"/>
        <v>3254.081613716839</v>
      </c>
      <c r="G366" s="3">
        <f t="shared" si="33"/>
        <v>976.22448411505161</v>
      </c>
      <c r="H366" s="3">
        <f t="shared" si="34"/>
        <v>500</v>
      </c>
      <c r="I366" s="3">
        <f t="shared" si="36"/>
        <v>2723.358295158655</v>
      </c>
      <c r="J366" s="3">
        <f t="shared" si="37"/>
        <v>2181409.9944220823</v>
      </c>
    </row>
    <row r="367" spans="4:10">
      <c r="D367">
        <v>365</v>
      </c>
      <c r="E367" s="3">
        <f t="shared" si="35"/>
        <v>2181409.9944220823</v>
      </c>
      <c r="F367" s="3">
        <f t="shared" si="32"/>
        <v>3254.081613716839</v>
      </c>
      <c r="G367" s="3">
        <f t="shared" si="33"/>
        <v>976.22448411505161</v>
      </c>
      <c r="H367" s="3">
        <f t="shared" si="34"/>
        <v>500</v>
      </c>
      <c r="I367" s="3">
        <f t="shared" si="36"/>
        <v>2732.6753756498924</v>
      </c>
      <c r="J367" s="3">
        <f t="shared" si="37"/>
        <v>2188872.9758955636</v>
      </c>
    </row>
    <row r="368" spans="4:10">
      <c r="D368">
        <v>366</v>
      </c>
      <c r="E368" s="3">
        <f t="shared" si="35"/>
        <v>2188872.9758955636</v>
      </c>
      <c r="F368" s="3">
        <f t="shared" si="32"/>
        <v>3254.081613716839</v>
      </c>
      <c r="G368" s="3">
        <f t="shared" si="33"/>
        <v>976.22448411505161</v>
      </c>
      <c r="H368" s="3">
        <f t="shared" si="34"/>
        <v>500</v>
      </c>
      <c r="I368" s="3">
        <f t="shared" si="36"/>
        <v>2742.0041024917441</v>
      </c>
      <c r="J368" s="3">
        <f t="shared" si="37"/>
        <v>2196345.286095887</v>
      </c>
    </row>
    <row r="369" spans="4:10">
      <c r="D369">
        <v>367</v>
      </c>
      <c r="E369" s="3">
        <f t="shared" si="35"/>
        <v>2196345.286095887</v>
      </c>
      <c r="F369" s="3">
        <f t="shared" si="32"/>
        <v>3254.081613716839</v>
      </c>
      <c r="G369" s="3">
        <f t="shared" si="33"/>
        <v>976.22448411505161</v>
      </c>
      <c r="H369" s="3">
        <f t="shared" si="34"/>
        <v>500</v>
      </c>
      <c r="I369" s="3">
        <f t="shared" si="36"/>
        <v>2751.3444902421484</v>
      </c>
      <c r="J369" s="3">
        <f t="shared" si="37"/>
        <v>2203826.9366839607</v>
      </c>
    </row>
    <row r="370" spans="4:10">
      <c r="D370">
        <v>368</v>
      </c>
      <c r="E370" s="3">
        <f t="shared" si="35"/>
        <v>2203826.9366839607</v>
      </c>
      <c r="F370" s="3">
        <f t="shared" si="32"/>
        <v>3254.081613716839</v>
      </c>
      <c r="G370" s="3">
        <f t="shared" si="33"/>
        <v>976.22448411505161</v>
      </c>
      <c r="H370" s="3">
        <f t="shared" si="34"/>
        <v>500</v>
      </c>
      <c r="I370" s="3">
        <f t="shared" si="36"/>
        <v>2760.6965534772403</v>
      </c>
      <c r="J370" s="3">
        <f t="shared" si="37"/>
        <v>2211317.9393352694</v>
      </c>
    </row>
    <row r="371" spans="4:10">
      <c r="D371">
        <v>369</v>
      </c>
      <c r="E371" s="3">
        <f t="shared" si="35"/>
        <v>2211317.9393352694</v>
      </c>
      <c r="F371" s="3">
        <f t="shared" si="32"/>
        <v>3254.081613716839</v>
      </c>
      <c r="G371" s="3">
        <f t="shared" si="33"/>
        <v>976.22448411505161</v>
      </c>
      <c r="H371" s="3">
        <f t="shared" si="34"/>
        <v>500</v>
      </c>
      <c r="I371" s="3">
        <f t="shared" si="36"/>
        <v>2770.0603067913762</v>
      </c>
      <c r="J371" s="3">
        <f t="shared" si="37"/>
        <v>2218818.3057398922</v>
      </c>
    </row>
    <row r="372" spans="4:10">
      <c r="D372">
        <v>370</v>
      </c>
      <c r="E372" s="3">
        <f t="shared" si="35"/>
        <v>2218818.3057398922</v>
      </c>
      <c r="F372" s="3">
        <f t="shared" si="32"/>
        <v>3254.081613716839</v>
      </c>
      <c r="G372" s="3">
        <f t="shared" si="33"/>
        <v>976.22448411505161</v>
      </c>
      <c r="H372" s="3">
        <f t="shared" si="34"/>
        <v>500</v>
      </c>
      <c r="I372" s="3">
        <f t="shared" si="36"/>
        <v>2779.4357647971547</v>
      </c>
      <c r="J372" s="3">
        <f t="shared" si="37"/>
        <v>2226328.0476025208</v>
      </c>
    </row>
    <row r="373" spans="4:10">
      <c r="D373">
        <v>371</v>
      </c>
      <c r="E373" s="3">
        <f t="shared" si="35"/>
        <v>2226328.0476025208</v>
      </c>
      <c r="F373" s="3">
        <f t="shared" si="32"/>
        <v>3254.081613716839</v>
      </c>
      <c r="G373" s="3">
        <f t="shared" si="33"/>
        <v>976.22448411505161</v>
      </c>
      <c r="H373" s="3">
        <f t="shared" si="34"/>
        <v>500</v>
      </c>
      <c r="I373" s="3">
        <f t="shared" si="36"/>
        <v>2788.8229421254405</v>
      </c>
      <c r="J373" s="3">
        <f t="shared" si="37"/>
        <v>2233847.176642478</v>
      </c>
    </row>
    <row r="374" spans="4:10">
      <c r="D374">
        <v>372</v>
      </c>
      <c r="E374" s="3">
        <f t="shared" si="35"/>
        <v>2233847.176642478</v>
      </c>
      <c r="F374" s="3">
        <f t="shared" si="32"/>
        <v>3254.081613716839</v>
      </c>
      <c r="G374" s="3">
        <f t="shared" si="33"/>
        <v>976.22448411505161</v>
      </c>
      <c r="H374" s="3">
        <f t="shared" si="34"/>
        <v>500</v>
      </c>
      <c r="I374" s="3">
        <f t="shared" si="36"/>
        <v>2798.2218534253871</v>
      </c>
      <c r="J374" s="3">
        <f t="shared" si="37"/>
        <v>2241375.7045937348</v>
      </c>
    </row>
    <row r="375" spans="4:10">
      <c r="D375">
        <v>373</v>
      </c>
      <c r="E375" s="3">
        <f t="shared" si="35"/>
        <v>2241375.7045937348</v>
      </c>
      <c r="F375" s="3">
        <f t="shared" si="32"/>
        <v>3254.081613716839</v>
      </c>
      <c r="G375" s="3">
        <f t="shared" si="33"/>
        <v>976.22448411505161</v>
      </c>
      <c r="H375" s="3">
        <f t="shared" si="34"/>
        <v>500</v>
      </c>
      <c r="I375" s="3">
        <f t="shared" si="36"/>
        <v>2807.6325133644582</v>
      </c>
      <c r="J375" s="3">
        <f t="shared" si="37"/>
        <v>2248913.6432049307</v>
      </c>
    </row>
    <row r="376" spans="4:10">
      <c r="D376">
        <v>374</v>
      </c>
      <c r="E376" s="3">
        <f t="shared" si="35"/>
        <v>2248913.6432049307</v>
      </c>
      <c r="F376" s="3">
        <f t="shared" si="32"/>
        <v>3254.081613716839</v>
      </c>
      <c r="G376" s="3">
        <f t="shared" si="33"/>
        <v>976.22448411505161</v>
      </c>
      <c r="H376" s="3">
        <f t="shared" si="34"/>
        <v>500</v>
      </c>
      <c r="I376" s="3">
        <f t="shared" si="36"/>
        <v>2817.0549366284531</v>
      </c>
      <c r="J376" s="3">
        <f t="shared" si="37"/>
        <v>2256461.0042393906</v>
      </c>
    </row>
    <row r="377" spans="4:10">
      <c r="D377">
        <v>375</v>
      </c>
      <c r="E377" s="3">
        <f t="shared" si="35"/>
        <v>2256461.0042393906</v>
      </c>
      <c r="F377" s="3">
        <f t="shared" si="32"/>
        <v>3254.081613716839</v>
      </c>
      <c r="G377" s="3">
        <f t="shared" si="33"/>
        <v>976.22448411505161</v>
      </c>
      <c r="H377" s="3">
        <f t="shared" si="34"/>
        <v>500</v>
      </c>
      <c r="I377" s="3">
        <f t="shared" si="36"/>
        <v>2826.4891379215278</v>
      </c>
      <c r="J377" s="3">
        <f t="shared" si="37"/>
        <v>2264017.7994751437</v>
      </c>
    </row>
    <row r="378" spans="4:10">
      <c r="D378">
        <v>376</v>
      </c>
      <c r="E378" s="3">
        <f t="shared" si="35"/>
        <v>2264017.7994751437</v>
      </c>
      <c r="F378" s="3">
        <f t="shared" si="32"/>
        <v>3254.081613716839</v>
      </c>
      <c r="G378" s="3">
        <f t="shared" si="33"/>
        <v>976.22448411505161</v>
      </c>
      <c r="H378" s="3">
        <f t="shared" si="34"/>
        <v>500</v>
      </c>
      <c r="I378" s="3">
        <f t="shared" si="36"/>
        <v>2835.9351319662192</v>
      </c>
      <c r="J378" s="3">
        <f t="shared" si="37"/>
        <v>2271584.0407049414</v>
      </c>
    </row>
    <row r="379" spans="4:10">
      <c r="D379">
        <v>377</v>
      </c>
      <c r="E379" s="3">
        <f t="shared" si="35"/>
        <v>2271584.0407049414</v>
      </c>
      <c r="F379" s="3">
        <f t="shared" si="32"/>
        <v>3254.081613716839</v>
      </c>
      <c r="G379" s="3">
        <f t="shared" si="33"/>
        <v>976.22448411505161</v>
      </c>
      <c r="H379" s="3">
        <f t="shared" si="34"/>
        <v>500</v>
      </c>
      <c r="I379" s="3">
        <f t="shared" si="36"/>
        <v>2845.3929335034663</v>
      </c>
      <c r="J379" s="3">
        <f t="shared" si="37"/>
        <v>2279159.7397362762</v>
      </c>
    </row>
    <row r="380" spans="4:10">
      <c r="D380">
        <v>378</v>
      </c>
      <c r="E380" s="3">
        <f t="shared" si="35"/>
        <v>2279159.7397362762</v>
      </c>
      <c r="F380" s="3">
        <f t="shared" si="32"/>
        <v>3254.081613716839</v>
      </c>
      <c r="G380" s="3">
        <f t="shared" si="33"/>
        <v>976.22448411505161</v>
      </c>
      <c r="H380" s="3">
        <f t="shared" si="34"/>
        <v>500</v>
      </c>
      <c r="I380" s="3">
        <f t="shared" si="36"/>
        <v>2854.8625572926348</v>
      </c>
      <c r="J380" s="3">
        <f t="shared" si="37"/>
        <v>2286744.9083914002</v>
      </c>
    </row>
    <row r="381" spans="4:10">
      <c r="D381">
        <v>379</v>
      </c>
      <c r="E381" s="3">
        <f t="shared" si="35"/>
        <v>2286744.9083914002</v>
      </c>
      <c r="F381" s="3">
        <f t="shared" si="32"/>
        <v>3254.081613716839</v>
      </c>
      <c r="G381" s="3">
        <f t="shared" si="33"/>
        <v>976.22448411505161</v>
      </c>
      <c r="H381" s="3">
        <f t="shared" si="34"/>
        <v>500</v>
      </c>
      <c r="I381" s="3">
        <f t="shared" si="36"/>
        <v>2864.3440181115398</v>
      </c>
      <c r="J381" s="3">
        <f t="shared" si="37"/>
        <v>2294339.5585073433</v>
      </c>
    </row>
    <row r="382" spans="4:10">
      <c r="D382">
        <v>380</v>
      </c>
      <c r="E382" s="3">
        <f t="shared" si="35"/>
        <v>2294339.5585073433</v>
      </c>
      <c r="F382" s="3">
        <f t="shared" si="32"/>
        <v>3254.081613716839</v>
      </c>
      <c r="G382" s="3">
        <f t="shared" si="33"/>
        <v>976.22448411505161</v>
      </c>
      <c r="H382" s="3">
        <f t="shared" si="34"/>
        <v>500</v>
      </c>
      <c r="I382" s="3">
        <f t="shared" si="36"/>
        <v>2873.8373307564684</v>
      </c>
      <c r="J382" s="3">
        <f t="shared" si="37"/>
        <v>2301943.7019359311</v>
      </c>
    </row>
    <row r="383" spans="4:10">
      <c r="D383">
        <v>381</v>
      </c>
      <c r="E383" s="3">
        <f t="shared" si="35"/>
        <v>2301943.7019359311</v>
      </c>
      <c r="F383" s="3">
        <f t="shared" si="32"/>
        <v>3254.081613716839</v>
      </c>
      <c r="G383" s="3">
        <f t="shared" si="33"/>
        <v>976.22448411505161</v>
      </c>
      <c r="H383" s="3">
        <f t="shared" si="34"/>
        <v>500</v>
      </c>
      <c r="I383" s="3">
        <f t="shared" si="36"/>
        <v>2883.3425100422032</v>
      </c>
      <c r="J383" s="3">
        <f t="shared" si="37"/>
        <v>2309557.3505438049</v>
      </c>
    </row>
    <row r="384" spans="4:10">
      <c r="D384">
        <v>382</v>
      </c>
      <c r="E384" s="3">
        <f t="shared" si="35"/>
        <v>2309557.3505438049</v>
      </c>
      <c r="F384" s="3">
        <f t="shared" si="32"/>
        <v>3254.081613716839</v>
      </c>
      <c r="G384" s="3">
        <f t="shared" si="33"/>
        <v>976.22448411505161</v>
      </c>
      <c r="H384" s="3">
        <f t="shared" si="34"/>
        <v>500</v>
      </c>
      <c r="I384" s="3">
        <f t="shared" si="36"/>
        <v>2892.8595708020457</v>
      </c>
      <c r="J384" s="3">
        <f t="shared" si="37"/>
        <v>2317180.5162124387</v>
      </c>
    </row>
    <row r="385" spans="4:10">
      <c r="D385">
        <v>383</v>
      </c>
      <c r="E385" s="3">
        <f t="shared" si="35"/>
        <v>2317180.5162124387</v>
      </c>
      <c r="F385" s="3">
        <f t="shared" si="32"/>
        <v>3254.081613716839</v>
      </c>
      <c r="G385" s="3">
        <f t="shared" si="33"/>
        <v>976.22448411505161</v>
      </c>
      <c r="H385" s="3">
        <f t="shared" si="34"/>
        <v>500</v>
      </c>
      <c r="I385" s="3">
        <f t="shared" si="36"/>
        <v>2902.3885278878379</v>
      </c>
      <c r="J385" s="3">
        <f t="shared" si="37"/>
        <v>2324813.2108381581</v>
      </c>
    </row>
    <row r="386" spans="4:10">
      <c r="D386">
        <v>384</v>
      </c>
      <c r="E386" s="3">
        <f t="shared" si="35"/>
        <v>2324813.2108381581</v>
      </c>
      <c r="F386" s="3">
        <f t="shared" si="32"/>
        <v>3254.081613716839</v>
      </c>
      <c r="G386" s="3">
        <f t="shared" si="33"/>
        <v>976.22448411505161</v>
      </c>
      <c r="H386" s="3">
        <f t="shared" si="34"/>
        <v>500</v>
      </c>
      <c r="I386" s="3">
        <f t="shared" si="36"/>
        <v>2911.9293961699873</v>
      </c>
      <c r="J386" s="3">
        <f t="shared" si="37"/>
        <v>2332455.4463321599</v>
      </c>
    </row>
    <row r="387" spans="4:10">
      <c r="D387">
        <v>385</v>
      </c>
      <c r="E387" s="3">
        <f t="shared" si="35"/>
        <v>2332455.4463321599</v>
      </c>
      <c r="F387" s="3">
        <f t="shared" si="32"/>
        <v>3254.081613716839</v>
      </c>
      <c r="G387" s="3">
        <f t="shared" si="33"/>
        <v>976.22448411505161</v>
      </c>
      <c r="H387" s="3">
        <f t="shared" si="34"/>
        <v>500</v>
      </c>
      <c r="I387" s="3">
        <f t="shared" si="36"/>
        <v>2921.4821905374893</v>
      </c>
      <c r="J387" s="3">
        <f t="shared" si="37"/>
        <v>2340107.2346205288</v>
      </c>
    </row>
    <row r="388" spans="4:10">
      <c r="D388">
        <v>386</v>
      </c>
      <c r="E388" s="3">
        <f t="shared" si="35"/>
        <v>2340107.2346205288</v>
      </c>
      <c r="F388" s="3">
        <f t="shared" ref="F388:F451" si="38">$B$2</f>
        <v>3254.081613716839</v>
      </c>
      <c r="G388" s="3">
        <f t="shared" ref="G388:G451" si="39">$B$3</f>
        <v>976.22448411505161</v>
      </c>
      <c r="H388" s="3">
        <f t="shared" ref="H388:H451" si="40">$B$4</f>
        <v>500</v>
      </c>
      <c r="I388" s="3">
        <f t="shared" si="36"/>
        <v>2931.0469258979506</v>
      </c>
      <c r="J388" s="3">
        <f t="shared" si="37"/>
        <v>2347768.5876442585</v>
      </c>
    </row>
    <row r="389" spans="4:10">
      <c r="D389">
        <v>387</v>
      </c>
      <c r="E389" s="3">
        <f t="shared" ref="E389:E452" si="41">J388</f>
        <v>2347768.5876442585</v>
      </c>
      <c r="F389" s="3">
        <f t="shared" si="38"/>
        <v>3254.081613716839</v>
      </c>
      <c r="G389" s="3">
        <f t="shared" si="39"/>
        <v>976.22448411505161</v>
      </c>
      <c r="H389" s="3">
        <f t="shared" si="40"/>
        <v>500</v>
      </c>
      <c r="I389" s="3">
        <f t="shared" ref="I389:I452" si="42">$B$9*SUM(E389:H389)</f>
        <v>2940.6236171776127</v>
      </c>
      <c r="J389" s="3">
        <f t="shared" ref="J389:J452" si="43">SUM(E389:I389)</f>
        <v>2355439.5173592679</v>
      </c>
    </row>
    <row r="390" spans="4:10">
      <c r="D390">
        <v>388</v>
      </c>
      <c r="E390" s="3">
        <f t="shared" si="41"/>
        <v>2355439.5173592679</v>
      </c>
      <c r="F390" s="3">
        <f t="shared" si="38"/>
        <v>3254.081613716839</v>
      </c>
      <c r="G390" s="3">
        <f t="shared" si="39"/>
        <v>976.22448411505161</v>
      </c>
      <c r="H390" s="3">
        <f t="shared" si="40"/>
        <v>500</v>
      </c>
      <c r="I390" s="3">
        <f t="shared" si="42"/>
        <v>2950.2122793213744</v>
      </c>
      <c r="J390" s="3">
        <f t="shared" si="43"/>
        <v>2363120.0357364207</v>
      </c>
    </row>
    <row r="391" spans="4:10">
      <c r="D391">
        <v>389</v>
      </c>
      <c r="E391" s="3">
        <f t="shared" si="41"/>
        <v>2363120.0357364207</v>
      </c>
      <c r="F391" s="3">
        <f t="shared" si="38"/>
        <v>3254.081613716839</v>
      </c>
      <c r="G391" s="3">
        <f t="shared" si="39"/>
        <v>976.22448411505161</v>
      </c>
      <c r="H391" s="3">
        <f t="shared" si="40"/>
        <v>500</v>
      </c>
      <c r="I391" s="3">
        <f t="shared" si="42"/>
        <v>2959.8129272928154</v>
      </c>
      <c r="J391" s="3">
        <f t="shared" si="43"/>
        <v>2370810.1547615449</v>
      </c>
    </row>
    <row r="392" spans="4:10">
      <c r="D392">
        <v>390</v>
      </c>
      <c r="E392" s="3">
        <f t="shared" si="41"/>
        <v>2370810.1547615449</v>
      </c>
      <c r="F392" s="3">
        <f t="shared" si="38"/>
        <v>3254.081613716839</v>
      </c>
      <c r="G392" s="3">
        <f t="shared" si="39"/>
        <v>976.22448411505161</v>
      </c>
      <c r="H392" s="3">
        <f t="shared" si="40"/>
        <v>500</v>
      </c>
      <c r="I392" s="3">
        <f t="shared" si="42"/>
        <v>2969.4255760742208</v>
      </c>
      <c r="J392" s="3">
        <f t="shared" si="43"/>
        <v>2378509.8864354505</v>
      </c>
    </row>
    <row r="393" spans="4:10">
      <c r="D393">
        <v>391</v>
      </c>
      <c r="E393" s="3">
        <f t="shared" si="41"/>
        <v>2378509.8864354505</v>
      </c>
      <c r="F393" s="3">
        <f t="shared" si="38"/>
        <v>3254.081613716839</v>
      </c>
      <c r="G393" s="3">
        <f t="shared" si="39"/>
        <v>976.22448411505161</v>
      </c>
      <c r="H393" s="3">
        <f t="shared" si="40"/>
        <v>500</v>
      </c>
      <c r="I393" s="3">
        <f t="shared" si="42"/>
        <v>2979.0502406666028</v>
      </c>
      <c r="J393" s="3">
        <f t="shared" si="43"/>
        <v>2386219.2427739487</v>
      </c>
    </row>
    <row r="394" spans="4:10">
      <c r="D394">
        <v>392</v>
      </c>
      <c r="E394" s="3">
        <f t="shared" si="41"/>
        <v>2386219.2427739487</v>
      </c>
      <c r="F394" s="3">
        <f t="shared" si="38"/>
        <v>3254.081613716839</v>
      </c>
      <c r="G394" s="3">
        <f t="shared" si="39"/>
        <v>976.22448411505161</v>
      </c>
      <c r="H394" s="3">
        <f t="shared" si="40"/>
        <v>500</v>
      </c>
      <c r="I394" s="3">
        <f t="shared" si="42"/>
        <v>2988.6869360897254</v>
      </c>
      <c r="J394" s="3">
        <f t="shared" si="43"/>
        <v>2393938.23580787</v>
      </c>
    </row>
    <row r="395" spans="4:10">
      <c r="D395">
        <v>393</v>
      </c>
      <c r="E395" s="3">
        <f t="shared" si="41"/>
        <v>2393938.23580787</v>
      </c>
      <c r="F395" s="3">
        <f t="shared" si="38"/>
        <v>3254.081613716839</v>
      </c>
      <c r="G395" s="3">
        <f t="shared" si="39"/>
        <v>976.22448411505161</v>
      </c>
      <c r="H395" s="3">
        <f t="shared" si="40"/>
        <v>500</v>
      </c>
      <c r="I395" s="3">
        <f t="shared" si="42"/>
        <v>2998.335677382127</v>
      </c>
      <c r="J395" s="3">
        <f t="shared" si="43"/>
        <v>2401666.8775830837</v>
      </c>
    </row>
    <row r="396" spans="4:10">
      <c r="D396">
        <v>394</v>
      </c>
      <c r="E396" s="3">
        <f t="shared" si="41"/>
        <v>2401666.8775830837</v>
      </c>
      <c r="F396" s="3">
        <f t="shared" si="38"/>
        <v>3254.081613716839</v>
      </c>
      <c r="G396" s="3">
        <f t="shared" si="39"/>
        <v>976.22448411505161</v>
      </c>
      <c r="H396" s="3">
        <f t="shared" si="40"/>
        <v>500</v>
      </c>
      <c r="I396" s="3">
        <f t="shared" si="42"/>
        <v>3007.9964796011441</v>
      </c>
      <c r="J396" s="3">
        <f t="shared" si="43"/>
        <v>2409405.1801605164</v>
      </c>
    </row>
    <row r="397" spans="4:10">
      <c r="D397">
        <v>395</v>
      </c>
      <c r="E397" s="3">
        <f t="shared" si="41"/>
        <v>2409405.1801605164</v>
      </c>
      <c r="F397" s="3">
        <f t="shared" si="38"/>
        <v>3254.081613716839</v>
      </c>
      <c r="G397" s="3">
        <f t="shared" si="39"/>
        <v>976.22448411505161</v>
      </c>
      <c r="H397" s="3">
        <f t="shared" si="40"/>
        <v>500</v>
      </c>
      <c r="I397" s="3">
        <f t="shared" si="42"/>
        <v>3017.6693578229351</v>
      </c>
      <c r="J397" s="3">
        <f t="shared" si="43"/>
        <v>2417153.1556161707</v>
      </c>
    </row>
    <row r="398" spans="4:10">
      <c r="D398">
        <v>396</v>
      </c>
      <c r="E398" s="3">
        <f t="shared" si="41"/>
        <v>2417153.1556161707</v>
      </c>
      <c r="F398" s="3">
        <f t="shared" si="38"/>
        <v>3254.081613716839</v>
      </c>
      <c r="G398" s="3">
        <f t="shared" si="39"/>
        <v>976.22448411505161</v>
      </c>
      <c r="H398" s="3">
        <f t="shared" si="40"/>
        <v>500</v>
      </c>
      <c r="I398" s="3">
        <f t="shared" si="42"/>
        <v>3027.3543271425028</v>
      </c>
      <c r="J398" s="3">
        <f t="shared" si="43"/>
        <v>2424910.816041145</v>
      </c>
    </row>
    <row r="399" spans="4:10">
      <c r="D399">
        <v>397</v>
      </c>
      <c r="E399" s="3">
        <f t="shared" si="41"/>
        <v>2424910.816041145</v>
      </c>
      <c r="F399" s="3">
        <f t="shared" si="38"/>
        <v>3254.081613716839</v>
      </c>
      <c r="G399" s="3">
        <f t="shared" si="39"/>
        <v>976.22448411505161</v>
      </c>
      <c r="H399" s="3">
        <f t="shared" si="40"/>
        <v>500</v>
      </c>
      <c r="I399" s="3">
        <f t="shared" si="42"/>
        <v>3037.051402673721</v>
      </c>
      <c r="J399" s="3">
        <f t="shared" si="43"/>
        <v>2432678.1735416502</v>
      </c>
    </row>
    <row r="400" spans="4:10">
      <c r="D400">
        <v>398</v>
      </c>
      <c r="E400" s="3">
        <f t="shared" si="41"/>
        <v>2432678.1735416502</v>
      </c>
      <c r="F400" s="3">
        <f t="shared" si="38"/>
        <v>3254.081613716839</v>
      </c>
      <c r="G400" s="3">
        <f t="shared" si="39"/>
        <v>976.22448411505161</v>
      </c>
      <c r="H400" s="3">
        <f t="shared" si="40"/>
        <v>500</v>
      </c>
      <c r="I400" s="3">
        <f t="shared" si="42"/>
        <v>3046.7605995493523</v>
      </c>
      <c r="J400" s="3">
        <f t="shared" si="43"/>
        <v>2440455.2402390311</v>
      </c>
    </row>
    <row r="401" spans="4:10">
      <c r="D401">
        <v>399</v>
      </c>
      <c r="E401" s="3">
        <f t="shared" si="41"/>
        <v>2440455.2402390311</v>
      </c>
      <c r="F401" s="3">
        <f t="shared" si="38"/>
        <v>3254.081613716839</v>
      </c>
      <c r="G401" s="3">
        <f t="shared" si="39"/>
        <v>976.22448411505161</v>
      </c>
      <c r="H401" s="3">
        <f t="shared" si="40"/>
        <v>500</v>
      </c>
      <c r="I401" s="3">
        <f t="shared" si="42"/>
        <v>3056.4819329210786</v>
      </c>
      <c r="J401" s="3">
        <f t="shared" si="43"/>
        <v>2448242.0282697836</v>
      </c>
    </row>
    <row r="402" spans="4:10">
      <c r="D402">
        <v>400</v>
      </c>
      <c r="E402" s="3">
        <f t="shared" si="41"/>
        <v>2448242.0282697836</v>
      </c>
      <c r="F402" s="3">
        <f t="shared" si="38"/>
        <v>3254.081613716839</v>
      </c>
      <c r="G402" s="3">
        <f t="shared" si="39"/>
        <v>976.22448411505161</v>
      </c>
      <c r="H402" s="3">
        <f t="shared" si="40"/>
        <v>500</v>
      </c>
      <c r="I402" s="3">
        <f t="shared" si="42"/>
        <v>3066.2154179595191</v>
      </c>
      <c r="J402" s="3">
        <f t="shared" si="43"/>
        <v>2456038.5497855749</v>
      </c>
    </row>
    <row r="403" spans="4:10">
      <c r="D403">
        <v>401</v>
      </c>
      <c r="E403" s="3">
        <f t="shared" si="41"/>
        <v>2456038.5497855749</v>
      </c>
      <c r="F403" s="3">
        <f t="shared" si="38"/>
        <v>3254.081613716839</v>
      </c>
      <c r="G403" s="3">
        <f t="shared" si="39"/>
        <v>976.22448411505161</v>
      </c>
      <c r="H403" s="3">
        <f t="shared" si="40"/>
        <v>500</v>
      </c>
      <c r="I403" s="3">
        <f t="shared" si="42"/>
        <v>3075.9610698542583</v>
      </c>
      <c r="J403" s="3">
        <f t="shared" si="43"/>
        <v>2463844.8169532609</v>
      </c>
    </row>
    <row r="404" spans="4:10">
      <c r="D404">
        <v>402</v>
      </c>
      <c r="E404" s="3">
        <f t="shared" si="41"/>
        <v>2463844.8169532609</v>
      </c>
      <c r="F404" s="3">
        <f t="shared" si="38"/>
        <v>3254.081613716839</v>
      </c>
      <c r="G404" s="3">
        <f t="shared" si="39"/>
        <v>976.22448411505161</v>
      </c>
      <c r="H404" s="3">
        <f t="shared" si="40"/>
        <v>500</v>
      </c>
      <c r="I404" s="3">
        <f t="shared" si="42"/>
        <v>3085.7189038138658</v>
      </c>
      <c r="J404" s="3">
        <f t="shared" si="43"/>
        <v>2471660.8419549065</v>
      </c>
    </row>
    <row r="405" spans="4:10">
      <c r="D405">
        <v>403</v>
      </c>
      <c r="E405" s="3">
        <f t="shared" si="41"/>
        <v>2471660.8419549065</v>
      </c>
      <c r="F405" s="3">
        <f t="shared" si="38"/>
        <v>3254.081613716839</v>
      </c>
      <c r="G405" s="3">
        <f t="shared" si="39"/>
        <v>976.22448411505161</v>
      </c>
      <c r="H405" s="3">
        <f t="shared" si="40"/>
        <v>500</v>
      </c>
      <c r="I405" s="3">
        <f t="shared" si="42"/>
        <v>3095.4889350659228</v>
      </c>
      <c r="J405" s="3">
        <f t="shared" si="43"/>
        <v>2479486.636987804</v>
      </c>
    </row>
    <row r="406" spans="4:10">
      <c r="D406">
        <v>404</v>
      </c>
      <c r="E406" s="3">
        <f t="shared" si="41"/>
        <v>2479486.636987804</v>
      </c>
      <c r="F406" s="3">
        <f t="shared" si="38"/>
        <v>3254.081613716839</v>
      </c>
      <c r="G406" s="3">
        <f t="shared" si="39"/>
        <v>976.22448411505161</v>
      </c>
      <c r="H406" s="3">
        <f t="shared" si="40"/>
        <v>500</v>
      </c>
      <c r="I406" s="3">
        <f t="shared" si="42"/>
        <v>3105.2711788570446</v>
      </c>
      <c r="J406" s="3">
        <f t="shared" si="43"/>
        <v>2487322.2142644925</v>
      </c>
    </row>
    <row r="407" spans="4:10">
      <c r="D407">
        <v>405</v>
      </c>
      <c r="E407" s="3">
        <f t="shared" si="41"/>
        <v>2487322.2142644925</v>
      </c>
      <c r="F407" s="3">
        <f t="shared" si="38"/>
        <v>3254.081613716839</v>
      </c>
      <c r="G407" s="3">
        <f t="shared" si="39"/>
        <v>976.22448411505161</v>
      </c>
      <c r="H407" s="3">
        <f t="shared" si="40"/>
        <v>500</v>
      </c>
      <c r="I407" s="3">
        <f t="shared" si="42"/>
        <v>3115.0656504529052</v>
      </c>
      <c r="J407" s="3">
        <f t="shared" si="43"/>
        <v>2495167.5860127769</v>
      </c>
    </row>
    <row r="408" spans="4:10">
      <c r="D408">
        <v>406</v>
      </c>
      <c r="E408" s="3">
        <f t="shared" si="41"/>
        <v>2495167.5860127769</v>
      </c>
      <c r="F408" s="3">
        <f t="shared" si="38"/>
        <v>3254.081613716839</v>
      </c>
      <c r="G408" s="3">
        <f t="shared" si="39"/>
        <v>976.22448411505161</v>
      </c>
      <c r="H408" s="3">
        <f t="shared" si="40"/>
        <v>500</v>
      </c>
      <c r="I408" s="3">
        <f t="shared" si="42"/>
        <v>3124.8723651382606</v>
      </c>
      <c r="J408" s="3">
        <f t="shared" si="43"/>
        <v>2503022.764475747</v>
      </c>
    </row>
    <row r="409" spans="4:10">
      <c r="D409">
        <v>407</v>
      </c>
      <c r="E409" s="3">
        <f t="shared" si="41"/>
        <v>2503022.764475747</v>
      </c>
      <c r="F409" s="3">
        <f t="shared" si="38"/>
        <v>3254.081613716839</v>
      </c>
      <c r="G409" s="3">
        <f t="shared" si="39"/>
        <v>976.22448411505161</v>
      </c>
      <c r="H409" s="3">
        <f t="shared" si="40"/>
        <v>500</v>
      </c>
      <c r="I409" s="3">
        <f t="shared" si="42"/>
        <v>3134.6913382169732</v>
      </c>
      <c r="J409" s="3">
        <f t="shared" si="43"/>
        <v>2510887.7619117955</v>
      </c>
    </row>
    <row r="410" spans="4:10">
      <c r="D410">
        <v>408</v>
      </c>
      <c r="E410" s="3">
        <f t="shared" si="41"/>
        <v>2510887.7619117955</v>
      </c>
      <c r="F410" s="3">
        <f t="shared" si="38"/>
        <v>3254.081613716839</v>
      </c>
      <c r="G410" s="3">
        <f t="shared" si="39"/>
        <v>976.22448411505161</v>
      </c>
      <c r="H410" s="3">
        <f t="shared" si="40"/>
        <v>500</v>
      </c>
      <c r="I410" s="3">
        <f t="shared" si="42"/>
        <v>3144.5225850120337</v>
      </c>
      <c r="J410" s="3">
        <f t="shared" si="43"/>
        <v>2518762.5905946391</v>
      </c>
    </row>
    <row r="411" spans="4:10">
      <c r="D411">
        <v>409</v>
      </c>
      <c r="E411" s="3">
        <f t="shared" si="41"/>
        <v>2518762.5905946391</v>
      </c>
      <c r="F411" s="3">
        <f t="shared" si="38"/>
        <v>3254.081613716839</v>
      </c>
      <c r="G411" s="3">
        <f t="shared" si="39"/>
        <v>976.22448411505161</v>
      </c>
      <c r="H411" s="3">
        <f t="shared" si="40"/>
        <v>500</v>
      </c>
      <c r="I411" s="3">
        <f t="shared" si="42"/>
        <v>3154.3661208655885</v>
      </c>
      <c r="J411" s="3">
        <f t="shared" si="43"/>
        <v>2526647.2628133362</v>
      </c>
    </row>
    <row r="412" spans="4:10">
      <c r="D412">
        <v>410</v>
      </c>
      <c r="E412" s="3">
        <f t="shared" si="41"/>
        <v>2526647.2628133362</v>
      </c>
      <c r="F412" s="3">
        <f t="shared" si="38"/>
        <v>3254.081613716839</v>
      </c>
      <c r="G412" s="3">
        <f t="shared" si="39"/>
        <v>976.22448411505161</v>
      </c>
      <c r="H412" s="3">
        <f t="shared" si="40"/>
        <v>500</v>
      </c>
      <c r="I412" s="3">
        <f t="shared" si="42"/>
        <v>3164.2219611389596</v>
      </c>
      <c r="J412" s="3">
        <f t="shared" si="43"/>
        <v>2534541.7908723066</v>
      </c>
    </row>
    <row r="413" spans="4:10">
      <c r="D413">
        <v>411</v>
      </c>
      <c r="E413" s="3">
        <f t="shared" si="41"/>
        <v>2534541.7908723066</v>
      </c>
      <c r="F413" s="3">
        <f t="shared" si="38"/>
        <v>3254.081613716839</v>
      </c>
      <c r="G413" s="3">
        <f t="shared" si="39"/>
        <v>976.22448411505161</v>
      </c>
      <c r="H413" s="3">
        <f t="shared" si="40"/>
        <v>500</v>
      </c>
      <c r="I413" s="3">
        <f t="shared" si="42"/>
        <v>3174.0901212126728</v>
      </c>
      <c r="J413" s="3">
        <f t="shared" si="43"/>
        <v>2542446.187091351</v>
      </c>
    </row>
    <row r="414" spans="4:10">
      <c r="D414">
        <v>412</v>
      </c>
      <c r="E414" s="3">
        <f t="shared" si="41"/>
        <v>2542446.187091351</v>
      </c>
      <c r="F414" s="3">
        <f t="shared" si="38"/>
        <v>3254.081613716839</v>
      </c>
      <c r="G414" s="3">
        <f t="shared" si="39"/>
        <v>976.22448411505161</v>
      </c>
      <c r="H414" s="3">
        <f t="shared" si="40"/>
        <v>500</v>
      </c>
      <c r="I414" s="3">
        <f t="shared" si="42"/>
        <v>3183.9706164864783</v>
      </c>
      <c r="J414" s="3">
        <f t="shared" si="43"/>
        <v>2550360.463805669</v>
      </c>
    </row>
    <row r="415" spans="4:10">
      <c r="D415">
        <v>413</v>
      </c>
      <c r="E415" s="3">
        <f t="shared" si="41"/>
        <v>2550360.463805669</v>
      </c>
      <c r="F415" s="3">
        <f t="shared" si="38"/>
        <v>3254.081613716839</v>
      </c>
      <c r="G415" s="3">
        <f t="shared" si="39"/>
        <v>976.22448411505161</v>
      </c>
      <c r="H415" s="3">
        <f t="shared" si="40"/>
        <v>500</v>
      </c>
      <c r="I415" s="3">
        <f t="shared" si="42"/>
        <v>3193.863462379376</v>
      </c>
      <c r="J415" s="3">
        <f t="shared" si="43"/>
        <v>2558284.6333658798</v>
      </c>
    </row>
    <row r="416" spans="4:10">
      <c r="D416">
        <v>414</v>
      </c>
      <c r="E416" s="3">
        <f t="shared" si="41"/>
        <v>2558284.6333658798</v>
      </c>
      <c r="F416" s="3">
        <f t="shared" si="38"/>
        <v>3254.081613716839</v>
      </c>
      <c r="G416" s="3">
        <f t="shared" si="39"/>
        <v>976.22448411505161</v>
      </c>
      <c r="H416" s="3">
        <f t="shared" si="40"/>
        <v>500</v>
      </c>
      <c r="I416" s="3">
        <f t="shared" si="42"/>
        <v>3203.7686743296395</v>
      </c>
      <c r="J416" s="3">
        <f t="shared" si="43"/>
        <v>2566218.7081380412</v>
      </c>
    </row>
    <row r="417" spans="4:10">
      <c r="D417">
        <v>415</v>
      </c>
      <c r="E417" s="3">
        <f t="shared" si="41"/>
        <v>2566218.7081380412</v>
      </c>
      <c r="F417" s="3">
        <f t="shared" si="38"/>
        <v>3254.081613716839</v>
      </c>
      <c r="G417" s="3">
        <f t="shared" si="39"/>
        <v>976.22448411505161</v>
      </c>
      <c r="H417" s="3">
        <f t="shared" si="40"/>
        <v>500</v>
      </c>
      <c r="I417" s="3">
        <f t="shared" si="42"/>
        <v>3213.6862677948411</v>
      </c>
      <c r="J417" s="3">
        <f t="shared" si="43"/>
        <v>2574162.7005036678</v>
      </c>
    </row>
    <row r="418" spans="4:10">
      <c r="D418">
        <v>416</v>
      </c>
      <c r="E418" s="3">
        <f t="shared" si="41"/>
        <v>2574162.7005036678</v>
      </c>
      <c r="F418" s="3">
        <f t="shared" si="38"/>
        <v>3254.081613716839</v>
      </c>
      <c r="G418" s="3">
        <f t="shared" si="39"/>
        <v>976.22448411505161</v>
      </c>
      <c r="H418" s="3">
        <f t="shared" si="40"/>
        <v>500</v>
      </c>
      <c r="I418" s="3">
        <f t="shared" si="42"/>
        <v>3223.6162582518741</v>
      </c>
      <c r="J418" s="3">
        <f t="shared" si="43"/>
        <v>2582116.6228597513</v>
      </c>
    </row>
    <row r="419" spans="4:10">
      <c r="D419">
        <v>417</v>
      </c>
      <c r="E419" s="3">
        <f t="shared" si="41"/>
        <v>2582116.6228597513</v>
      </c>
      <c r="F419" s="3">
        <f t="shared" si="38"/>
        <v>3254.081613716839</v>
      </c>
      <c r="G419" s="3">
        <f t="shared" si="39"/>
        <v>976.22448411505161</v>
      </c>
      <c r="H419" s="3">
        <f t="shared" si="40"/>
        <v>500</v>
      </c>
      <c r="I419" s="3">
        <f t="shared" si="42"/>
        <v>3233.5586611969788</v>
      </c>
      <c r="J419" s="3">
        <f t="shared" si="43"/>
        <v>2590080.4876187798</v>
      </c>
    </row>
    <row r="420" spans="4:10">
      <c r="D420">
        <v>418</v>
      </c>
      <c r="E420" s="3">
        <f t="shared" si="41"/>
        <v>2590080.4876187798</v>
      </c>
      <c r="F420" s="3">
        <f t="shared" si="38"/>
        <v>3254.081613716839</v>
      </c>
      <c r="G420" s="3">
        <f t="shared" si="39"/>
        <v>976.22448411505161</v>
      </c>
      <c r="H420" s="3">
        <f t="shared" si="40"/>
        <v>500</v>
      </c>
      <c r="I420" s="3">
        <f t="shared" si="42"/>
        <v>3243.5134921457643</v>
      </c>
      <c r="J420" s="3">
        <f t="shared" si="43"/>
        <v>2598054.3072087569</v>
      </c>
    </row>
    <row r="421" spans="4:10">
      <c r="D421">
        <v>419</v>
      </c>
      <c r="E421" s="3">
        <f t="shared" si="41"/>
        <v>2598054.3072087569</v>
      </c>
      <c r="F421" s="3">
        <f t="shared" si="38"/>
        <v>3254.081613716839</v>
      </c>
      <c r="G421" s="3">
        <f t="shared" si="39"/>
        <v>976.22448411505161</v>
      </c>
      <c r="H421" s="3">
        <f t="shared" si="40"/>
        <v>500</v>
      </c>
      <c r="I421" s="3">
        <f t="shared" si="42"/>
        <v>3253.4807666332358</v>
      </c>
      <c r="J421" s="3">
        <f t="shared" si="43"/>
        <v>2606038.0940732216</v>
      </c>
    </row>
    <row r="422" spans="4:10">
      <c r="D422">
        <v>420</v>
      </c>
      <c r="E422" s="3">
        <f t="shared" si="41"/>
        <v>2606038.0940732216</v>
      </c>
      <c r="F422" s="3">
        <f t="shared" si="38"/>
        <v>3254.081613716839</v>
      </c>
      <c r="G422" s="3">
        <f t="shared" si="39"/>
        <v>976.22448411505161</v>
      </c>
      <c r="H422" s="3">
        <f t="shared" si="40"/>
        <v>500</v>
      </c>
      <c r="I422" s="3">
        <f t="shared" si="42"/>
        <v>3263.4605002138164</v>
      </c>
      <c r="J422" s="3">
        <f t="shared" si="43"/>
        <v>2614031.8606712669</v>
      </c>
    </row>
    <row r="423" spans="4:10">
      <c r="D423">
        <v>421</v>
      </c>
      <c r="E423" s="3">
        <f t="shared" si="41"/>
        <v>2614031.8606712669</v>
      </c>
      <c r="F423" s="3">
        <f t="shared" si="38"/>
        <v>3254.081613716839</v>
      </c>
      <c r="G423" s="3">
        <f t="shared" si="39"/>
        <v>976.22448411505161</v>
      </c>
      <c r="H423" s="3">
        <f t="shared" si="40"/>
        <v>500</v>
      </c>
      <c r="I423" s="3">
        <f t="shared" si="42"/>
        <v>3273.4527084613733</v>
      </c>
      <c r="J423" s="3">
        <f t="shared" si="43"/>
        <v>2622035.6194775598</v>
      </c>
    </row>
    <row r="424" spans="4:10">
      <c r="D424">
        <v>422</v>
      </c>
      <c r="E424" s="3">
        <f t="shared" si="41"/>
        <v>2622035.6194775598</v>
      </c>
      <c r="F424" s="3">
        <f t="shared" si="38"/>
        <v>3254.081613716839</v>
      </c>
      <c r="G424" s="3">
        <f t="shared" si="39"/>
        <v>976.22448411505161</v>
      </c>
      <c r="H424" s="3">
        <f t="shared" si="40"/>
        <v>500</v>
      </c>
      <c r="I424" s="3">
        <f t="shared" si="42"/>
        <v>3283.4574069692394</v>
      </c>
      <c r="J424" s="3">
        <f t="shared" si="43"/>
        <v>2630049.3829823607</v>
      </c>
    </row>
    <row r="425" spans="4:10">
      <c r="D425">
        <v>423</v>
      </c>
      <c r="E425" s="3">
        <f t="shared" si="41"/>
        <v>2630049.3829823607</v>
      </c>
      <c r="F425" s="3">
        <f t="shared" si="38"/>
        <v>3254.081613716839</v>
      </c>
      <c r="G425" s="3">
        <f t="shared" si="39"/>
        <v>976.22448411505161</v>
      </c>
      <c r="H425" s="3">
        <f t="shared" si="40"/>
        <v>500</v>
      </c>
      <c r="I425" s="3">
        <f t="shared" si="42"/>
        <v>3293.4746113502406</v>
      </c>
      <c r="J425" s="3">
        <f t="shared" si="43"/>
        <v>2638073.1636915426</v>
      </c>
    </row>
    <row r="426" spans="4:10">
      <c r="D426">
        <v>424</v>
      </c>
      <c r="E426" s="3">
        <f t="shared" si="41"/>
        <v>2638073.1636915426</v>
      </c>
      <c r="F426" s="3">
        <f t="shared" si="38"/>
        <v>3254.081613716839</v>
      </c>
      <c r="G426" s="3">
        <f t="shared" si="39"/>
        <v>976.22448411505161</v>
      </c>
      <c r="H426" s="3">
        <f t="shared" si="40"/>
        <v>500</v>
      </c>
      <c r="I426" s="3">
        <f t="shared" si="42"/>
        <v>3303.5043372367177</v>
      </c>
      <c r="J426" s="3">
        <f t="shared" si="43"/>
        <v>2646106.9741266109</v>
      </c>
    </row>
    <row r="427" spans="4:10">
      <c r="D427">
        <v>425</v>
      </c>
      <c r="E427" s="3">
        <f t="shared" si="41"/>
        <v>2646106.9741266109</v>
      </c>
      <c r="F427" s="3">
        <f t="shared" si="38"/>
        <v>3254.081613716839</v>
      </c>
      <c r="G427" s="3">
        <f t="shared" si="39"/>
        <v>976.22448411505161</v>
      </c>
      <c r="H427" s="3">
        <f t="shared" si="40"/>
        <v>500</v>
      </c>
      <c r="I427" s="3">
        <f t="shared" si="42"/>
        <v>3313.5466002805533</v>
      </c>
      <c r="J427" s="3">
        <f t="shared" si="43"/>
        <v>2654150.8268247228</v>
      </c>
    </row>
    <row r="428" spans="4:10">
      <c r="D428">
        <v>426</v>
      </c>
      <c r="E428" s="3">
        <f t="shared" si="41"/>
        <v>2654150.8268247228</v>
      </c>
      <c r="F428" s="3">
        <f t="shared" si="38"/>
        <v>3254.081613716839</v>
      </c>
      <c r="G428" s="3">
        <f t="shared" si="39"/>
        <v>976.22448411505161</v>
      </c>
      <c r="H428" s="3">
        <f t="shared" si="40"/>
        <v>500</v>
      </c>
      <c r="I428" s="3">
        <f t="shared" si="42"/>
        <v>3323.601416153193</v>
      </c>
      <c r="J428" s="3">
        <f t="shared" si="43"/>
        <v>2662204.7343387078</v>
      </c>
    </row>
    <row r="429" spans="4:10">
      <c r="D429">
        <v>427</v>
      </c>
      <c r="E429" s="3">
        <f t="shared" si="41"/>
        <v>2662204.7343387078</v>
      </c>
      <c r="F429" s="3">
        <f t="shared" si="38"/>
        <v>3254.081613716839</v>
      </c>
      <c r="G429" s="3">
        <f t="shared" si="39"/>
        <v>976.22448411505161</v>
      </c>
      <c r="H429" s="3">
        <f t="shared" si="40"/>
        <v>500</v>
      </c>
      <c r="I429" s="3">
        <f t="shared" si="42"/>
        <v>3333.6688005456745</v>
      </c>
      <c r="J429" s="3">
        <f t="shared" si="43"/>
        <v>2670268.7092370852</v>
      </c>
    </row>
    <row r="430" spans="4:10">
      <c r="D430">
        <v>428</v>
      </c>
      <c r="E430" s="3">
        <f t="shared" si="41"/>
        <v>2670268.7092370852</v>
      </c>
      <c r="F430" s="3">
        <f t="shared" si="38"/>
        <v>3254.081613716839</v>
      </c>
      <c r="G430" s="3">
        <f t="shared" si="39"/>
        <v>976.22448411505161</v>
      </c>
      <c r="H430" s="3">
        <f t="shared" si="40"/>
        <v>500</v>
      </c>
      <c r="I430" s="3">
        <f t="shared" si="42"/>
        <v>3343.748769168646</v>
      </c>
      <c r="J430" s="3">
        <f t="shared" si="43"/>
        <v>2678342.7641040855</v>
      </c>
    </row>
    <row r="431" spans="4:10">
      <c r="D431">
        <v>429</v>
      </c>
      <c r="E431" s="3">
        <f t="shared" si="41"/>
        <v>2678342.7641040855</v>
      </c>
      <c r="F431" s="3">
        <f t="shared" si="38"/>
        <v>3254.081613716839</v>
      </c>
      <c r="G431" s="3">
        <f t="shared" si="39"/>
        <v>976.22448411505161</v>
      </c>
      <c r="H431" s="3">
        <f t="shared" si="40"/>
        <v>500</v>
      </c>
      <c r="I431" s="3">
        <f t="shared" si="42"/>
        <v>3353.8413377523966</v>
      </c>
      <c r="J431" s="3">
        <f t="shared" si="43"/>
        <v>2686426.9115396696</v>
      </c>
    </row>
    <row r="432" spans="4:10">
      <c r="D432">
        <v>430</v>
      </c>
      <c r="E432" s="3">
        <f t="shared" si="41"/>
        <v>2686426.9115396696</v>
      </c>
      <c r="F432" s="3">
        <f t="shared" si="38"/>
        <v>3254.081613716839</v>
      </c>
      <c r="G432" s="3">
        <f t="shared" si="39"/>
        <v>976.22448411505161</v>
      </c>
      <c r="H432" s="3">
        <f t="shared" si="40"/>
        <v>500</v>
      </c>
      <c r="I432" s="3">
        <f t="shared" si="42"/>
        <v>3363.9465220468765</v>
      </c>
      <c r="J432" s="3">
        <f t="shared" si="43"/>
        <v>2694521.164159548</v>
      </c>
    </row>
    <row r="433" spans="4:10">
      <c r="D433">
        <v>431</v>
      </c>
      <c r="E433" s="3">
        <f t="shared" si="41"/>
        <v>2694521.164159548</v>
      </c>
      <c r="F433" s="3">
        <f t="shared" si="38"/>
        <v>3254.081613716839</v>
      </c>
      <c r="G433" s="3">
        <f t="shared" si="39"/>
        <v>976.22448411505161</v>
      </c>
      <c r="H433" s="3">
        <f t="shared" si="40"/>
        <v>500</v>
      </c>
      <c r="I433" s="3">
        <f t="shared" si="42"/>
        <v>3374.0643378217246</v>
      </c>
      <c r="J433" s="3">
        <f t="shared" si="43"/>
        <v>2702625.5345952013</v>
      </c>
    </row>
    <row r="434" spans="4:10">
      <c r="D434">
        <v>432</v>
      </c>
      <c r="E434" s="3">
        <f t="shared" si="41"/>
        <v>2702625.5345952013</v>
      </c>
      <c r="F434" s="3">
        <f t="shared" si="38"/>
        <v>3254.081613716839</v>
      </c>
      <c r="G434" s="3">
        <f t="shared" si="39"/>
        <v>976.22448411505161</v>
      </c>
      <c r="H434" s="3">
        <f t="shared" si="40"/>
        <v>500</v>
      </c>
      <c r="I434" s="3">
        <f t="shared" si="42"/>
        <v>3384.1948008662912</v>
      </c>
      <c r="J434" s="3">
        <f t="shared" si="43"/>
        <v>2710740.0354938991</v>
      </c>
    </row>
    <row r="435" spans="4:10">
      <c r="D435">
        <v>433</v>
      </c>
      <c r="E435" s="3">
        <f t="shared" si="41"/>
        <v>2710740.0354938991</v>
      </c>
      <c r="F435" s="3">
        <f t="shared" si="38"/>
        <v>3254.081613716839</v>
      </c>
      <c r="G435" s="3">
        <f t="shared" si="39"/>
        <v>976.22448411505161</v>
      </c>
      <c r="H435" s="3">
        <f t="shared" si="40"/>
        <v>500</v>
      </c>
      <c r="I435" s="3">
        <f t="shared" si="42"/>
        <v>3394.3379269896636</v>
      </c>
      <c r="J435" s="3">
        <f t="shared" si="43"/>
        <v>2718864.6795187206</v>
      </c>
    </row>
    <row r="436" spans="4:10">
      <c r="D436">
        <v>434</v>
      </c>
      <c r="E436" s="3">
        <f t="shared" si="41"/>
        <v>2718864.6795187206</v>
      </c>
      <c r="F436" s="3">
        <f t="shared" si="38"/>
        <v>3254.081613716839</v>
      </c>
      <c r="G436" s="3">
        <f t="shared" si="39"/>
        <v>976.22448411505161</v>
      </c>
      <c r="H436" s="3">
        <f t="shared" si="40"/>
        <v>500</v>
      </c>
      <c r="I436" s="3">
        <f t="shared" si="42"/>
        <v>3404.4937320206905</v>
      </c>
      <c r="J436" s="3">
        <f t="shared" si="43"/>
        <v>2726999.4793485729</v>
      </c>
    </row>
    <row r="437" spans="4:10">
      <c r="D437">
        <v>435</v>
      </c>
      <c r="E437" s="3">
        <f t="shared" si="41"/>
        <v>2726999.4793485729</v>
      </c>
      <c r="F437" s="3">
        <f t="shared" si="38"/>
        <v>3254.081613716839</v>
      </c>
      <c r="G437" s="3">
        <f t="shared" si="39"/>
        <v>976.22448411505161</v>
      </c>
      <c r="H437" s="3">
        <f t="shared" si="40"/>
        <v>500</v>
      </c>
      <c r="I437" s="3">
        <f t="shared" si="42"/>
        <v>3414.6622318080058</v>
      </c>
      <c r="J437" s="3">
        <f t="shared" si="43"/>
        <v>2735144.4476782125</v>
      </c>
    </row>
    <row r="438" spans="4:10">
      <c r="D438">
        <v>436</v>
      </c>
      <c r="E438" s="3">
        <f t="shared" si="41"/>
        <v>2735144.4476782125</v>
      </c>
      <c r="F438" s="3">
        <f t="shared" si="38"/>
        <v>3254.081613716839</v>
      </c>
      <c r="G438" s="3">
        <f t="shared" si="39"/>
        <v>976.22448411505161</v>
      </c>
      <c r="H438" s="3">
        <f t="shared" si="40"/>
        <v>500</v>
      </c>
      <c r="I438" s="3">
        <f t="shared" si="42"/>
        <v>3424.8434422200553</v>
      </c>
      <c r="J438" s="3">
        <f t="shared" si="43"/>
        <v>2743299.5972182644</v>
      </c>
    </row>
    <row r="439" spans="4:10">
      <c r="D439">
        <v>437</v>
      </c>
      <c r="E439" s="3">
        <f t="shared" si="41"/>
        <v>2743299.5972182644</v>
      </c>
      <c r="F439" s="3">
        <f t="shared" si="38"/>
        <v>3254.081613716839</v>
      </c>
      <c r="G439" s="3">
        <f t="shared" si="39"/>
        <v>976.22448411505161</v>
      </c>
      <c r="H439" s="3">
        <f t="shared" si="40"/>
        <v>500</v>
      </c>
      <c r="I439" s="3">
        <f t="shared" si="42"/>
        <v>3435.0373791451202</v>
      </c>
      <c r="J439" s="3">
        <f t="shared" si="43"/>
        <v>2751464.9406952411</v>
      </c>
    </row>
    <row r="440" spans="4:10">
      <c r="D440">
        <v>438</v>
      </c>
      <c r="E440" s="3">
        <f t="shared" si="41"/>
        <v>2751464.9406952411</v>
      </c>
      <c r="F440" s="3">
        <f t="shared" si="38"/>
        <v>3254.081613716839</v>
      </c>
      <c r="G440" s="3">
        <f t="shared" si="39"/>
        <v>976.22448411505161</v>
      </c>
      <c r="H440" s="3">
        <f t="shared" si="40"/>
        <v>500</v>
      </c>
      <c r="I440" s="3">
        <f t="shared" si="42"/>
        <v>3445.2440584913411</v>
      </c>
      <c r="J440" s="3">
        <f t="shared" si="43"/>
        <v>2759640.4908515639</v>
      </c>
    </row>
    <row r="441" spans="4:10">
      <c r="D441">
        <v>439</v>
      </c>
      <c r="E441" s="3">
        <f t="shared" si="41"/>
        <v>2759640.4908515639</v>
      </c>
      <c r="F441" s="3">
        <f t="shared" si="38"/>
        <v>3254.081613716839</v>
      </c>
      <c r="G441" s="3">
        <f t="shared" si="39"/>
        <v>976.22448411505161</v>
      </c>
      <c r="H441" s="3">
        <f t="shared" si="40"/>
        <v>500</v>
      </c>
      <c r="I441" s="3">
        <f t="shared" si="42"/>
        <v>3455.4634961867446</v>
      </c>
      <c r="J441" s="3">
        <f t="shared" si="43"/>
        <v>2767826.2604455822</v>
      </c>
    </row>
    <row r="442" spans="4:10">
      <c r="D442">
        <v>440</v>
      </c>
      <c r="E442" s="3">
        <f t="shared" si="41"/>
        <v>2767826.2604455822</v>
      </c>
      <c r="F442" s="3">
        <f t="shared" si="38"/>
        <v>3254.081613716839</v>
      </c>
      <c r="G442" s="3">
        <f t="shared" si="39"/>
        <v>976.22448411505161</v>
      </c>
      <c r="H442" s="3">
        <f t="shared" si="40"/>
        <v>500</v>
      </c>
      <c r="I442" s="3">
        <f t="shared" si="42"/>
        <v>3465.6957081792675</v>
      </c>
      <c r="J442" s="3">
        <f t="shared" si="43"/>
        <v>2776022.2622515932</v>
      </c>
    </row>
    <row r="443" spans="4:10">
      <c r="D443">
        <v>441</v>
      </c>
      <c r="E443" s="3">
        <f t="shared" si="41"/>
        <v>2776022.2622515932</v>
      </c>
      <c r="F443" s="3">
        <f t="shared" si="38"/>
        <v>3254.081613716839</v>
      </c>
      <c r="G443" s="3">
        <f t="shared" si="39"/>
        <v>976.22448411505161</v>
      </c>
      <c r="H443" s="3">
        <f t="shared" si="40"/>
        <v>500</v>
      </c>
      <c r="I443" s="3">
        <f t="shared" si="42"/>
        <v>3475.940710436781</v>
      </c>
      <c r="J443" s="3">
        <f t="shared" si="43"/>
        <v>2784228.5090598613</v>
      </c>
    </row>
    <row r="444" spans="4:10">
      <c r="D444">
        <v>442</v>
      </c>
      <c r="E444" s="3">
        <f t="shared" si="41"/>
        <v>2784228.5090598613</v>
      </c>
      <c r="F444" s="3">
        <f t="shared" si="38"/>
        <v>3254.081613716839</v>
      </c>
      <c r="G444" s="3">
        <f t="shared" si="39"/>
        <v>976.22448411505161</v>
      </c>
      <c r="H444" s="3">
        <f t="shared" si="40"/>
        <v>500</v>
      </c>
      <c r="I444" s="3">
        <f t="shared" si="42"/>
        <v>3486.1985189471161</v>
      </c>
      <c r="J444" s="3">
        <f t="shared" si="43"/>
        <v>2792445.0136766401</v>
      </c>
    </row>
    <row r="445" spans="4:10">
      <c r="D445">
        <v>443</v>
      </c>
      <c r="E445" s="3">
        <f t="shared" si="41"/>
        <v>2792445.0136766401</v>
      </c>
      <c r="F445" s="3">
        <f t="shared" si="38"/>
        <v>3254.081613716839</v>
      </c>
      <c r="G445" s="3">
        <f t="shared" si="39"/>
        <v>976.22448411505161</v>
      </c>
      <c r="H445" s="3">
        <f t="shared" si="40"/>
        <v>500</v>
      </c>
      <c r="I445" s="3">
        <f t="shared" si="42"/>
        <v>3496.4691497180897</v>
      </c>
      <c r="J445" s="3">
        <f t="shared" si="43"/>
        <v>2800671.7889241898</v>
      </c>
    </row>
    <row r="446" spans="4:10">
      <c r="D446">
        <v>444</v>
      </c>
      <c r="E446" s="3">
        <f t="shared" si="41"/>
        <v>2800671.7889241898</v>
      </c>
      <c r="F446" s="3">
        <f t="shared" si="38"/>
        <v>3254.081613716839</v>
      </c>
      <c r="G446" s="3">
        <f t="shared" si="39"/>
        <v>976.22448411505161</v>
      </c>
      <c r="H446" s="3">
        <f t="shared" si="40"/>
        <v>500</v>
      </c>
      <c r="I446" s="3">
        <f t="shared" si="42"/>
        <v>3506.7526187775265</v>
      </c>
      <c r="J446" s="3">
        <f t="shared" si="43"/>
        <v>2808908.8476407989</v>
      </c>
    </row>
    <row r="447" spans="4:10">
      <c r="D447">
        <v>445</v>
      </c>
      <c r="E447" s="3">
        <f t="shared" si="41"/>
        <v>2808908.8476407989</v>
      </c>
      <c r="F447" s="3">
        <f t="shared" si="38"/>
        <v>3254.081613716839</v>
      </c>
      <c r="G447" s="3">
        <f t="shared" si="39"/>
        <v>976.22448411505161</v>
      </c>
      <c r="H447" s="3">
        <f t="shared" si="40"/>
        <v>500</v>
      </c>
      <c r="I447" s="3">
        <f t="shared" si="42"/>
        <v>3517.0489421732882</v>
      </c>
      <c r="J447" s="3">
        <f t="shared" si="43"/>
        <v>2817156.2026808038</v>
      </c>
    </row>
    <row r="448" spans="4:10">
      <c r="D448">
        <v>446</v>
      </c>
      <c r="E448" s="3">
        <f t="shared" si="41"/>
        <v>2817156.2026808038</v>
      </c>
      <c r="F448" s="3">
        <f t="shared" si="38"/>
        <v>3254.081613716839</v>
      </c>
      <c r="G448" s="3">
        <f t="shared" si="39"/>
        <v>976.22448411505161</v>
      </c>
      <c r="H448" s="3">
        <f t="shared" si="40"/>
        <v>500</v>
      </c>
      <c r="I448" s="3">
        <f t="shared" si="42"/>
        <v>3527.3581359732943</v>
      </c>
      <c r="J448" s="3">
        <f t="shared" si="43"/>
        <v>2825413.8669146085</v>
      </c>
    </row>
    <row r="449" spans="4:10">
      <c r="D449">
        <v>447</v>
      </c>
      <c r="E449" s="3">
        <f t="shared" si="41"/>
        <v>2825413.8669146085</v>
      </c>
      <c r="F449" s="3">
        <f t="shared" si="38"/>
        <v>3254.081613716839</v>
      </c>
      <c r="G449" s="3">
        <f t="shared" si="39"/>
        <v>976.22448411505161</v>
      </c>
      <c r="H449" s="3">
        <f t="shared" si="40"/>
        <v>500</v>
      </c>
      <c r="I449" s="3">
        <f t="shared" si="42"/>
        <v>3537.6802162655504</v>
      </c>
      <c r="J449" s="3">
        <f t="shared" si="43"/>
        <v>2833681.8532287055</v>
      </c>
    </row>
    <row r="450" spans="4:10">
      <c r="D450">
        <v>448</v>
      </c>
      <c r="E450" s="3">
        <f t="shared" si="41"/>
        <v>2833681.8532287055</v>
      </c>
      <c r="F450" s="3">
        <f t="shared" si="38"/>
        <v>3254.081613716839</v>
      </c>
      <c r="G450" s="3">
        <f t="shared" si="39"/>
        <v>976.22448411505161</v>
      </c>
      <c r="H450" s="3">
        <f t="shared" si="40"/>
        <v>500</v>
      </c>
      <c r="I450" s="3">
        <f t="shared" si="42"/>
        <v>3548.0151991581715</v>
      </c>
      <c r="J450" s="3">
        <f t="shared" si="43"/>
        <v>2841960.1745256954</v>
      </c>
    </row>
    <row r="451" spans="4:10">
      <c r="D451">
        <v>449</v>
      </c>
      <c r="E451" s="3">
        <f t="shared" si="41"/>
        <v>2841960.1745256954</v>
      </c>
      <c r="F451" s="3">
        <f t="shared" si="38"/>
        <v>3254.081613716839</v>
      </c>
      <c r="G451" s="3">
        <f t="shared" si="39"/>
        <v>976.22448411505161</v>
      </c>
      <c r="H451" s="3">
        <f t="shared" si="40"/>
        <v>500</v>
      </c>
      <c r="I451" s="3">
        <f t="shared" si="42"/>
        <v>3558.3631007794088</v>
      </c>
      <c r="J451" s="3">
        <f t="shared" si="43"/>
        <v>2850248.8437243062</v>
      </c>
    </row>
    <row r="452" spans="4:10">
      <c r="D452">
        <v>450</v>
      </c>
      <c r="E452" s="3">
        <f t="shared" si="41"/>
        <v>2850248.8437243062</v>
      </c>
      <c r="F452" s="3">
        <f t="shared" ref="F452:F482" si="44">$B$2</f>
        <v>3254.081613716839</v>
      </c>
      <c r="G452" s="3">
        <f t="shared" ref="G452:G482" si="45">$B$3</f>
        <v>976.22448411505161</v>
      </c>
      <c r="H452" s="3">
        <f t="shared" ref="H452:H482" si="46">$B$4</f>
        <v>500</v>
      </c>
      <c r="I452" s="3">
        <f t="shared" si="42"/>
        <v>3568.7239372776721</v>
      </c>
      <c r="J452" s="3">
        <f t="shared" si="43"/>
        <v>2858547.8737594155</v>
      </c>
    </row>
    <row r="453" spans="4:10">
      <c r="D453">
        <v>451</v>
      </c>
      <c r="E453" s="3">
        <f t="shared" ref="E453:E483" si="47">J452</f>
        <v>2858547.8737594155</v>
      </c>
      <c r="F453" s="3">
        <f t="shared" si="44"/>
        <v>3254.081613716839</v>
      </c>
      <c r="G453" s="3">
        <f t="shared" si="45"/>
        <v>976.22448411505161</v>
      </c>
      <c r="H453" s="3">
        <f t="shared" si="46"/>
        <v>500</v>
      </c>
      <c r="I453" s="3">
        <f t="shared" ref="I453:I483" si="48">$B$9*SUM(E453:H453)</f>
        <v>3579.097724821559</v>
      </c>
      <c r="J453" s="3">
        <f t="shared" ref="J453:J483" si="49">SUM(E453:I453)</f>
        <v>2866857.2775820685</v>
      </c>
    </row>
    <row r="454" spans="4:10">
      <c r="D454">
        <v>452</v>
      </c>
      <c r="E454" s="3">
        <f t="shared" si="47"/>
        <v>2866857.2775820685</v>
      </c>
      <c r="F454" s="3">
        <f t="shared" si="44"/>
        <v>3254.081613716839</v>
      </c>
      <c r="G454" s="3">
        <f t="shared" si="45"/>
        <v>976.22448411505161</v>
      </c>
      <c r="H454" s="3">
        <f t="shared" si="46"/>
        <v>500</v>
      </c>
      <c r="I454" s="3">
        <f t="shared" si="48"/>
        <v>3589.4844795998752</v>
      </c>
      <c r="J454" s="3">
        <f t="shared" si="49"/>
        <v>2875177.0681595001</v>
      </c>
    </row>
    <row r="455" spans="4:10">
      <c r="D455">
        <v>453</v>
      </c>
      <c r="E455" s="3">
        <f t="shared" si="47"/>
        <v>2875177.0681595001</v>
      </c>
      <c r="F455" s="3">
        <f t="shared" si="44"/>
        <v>3254.081613716839</v>
      </c>
      <c r="G455" s="3">
        <f t="shared" si="45"/>
        <v>976.22448411505161</v>
      </c>
      <c r="H455" s="3">
        <f t="shared" si="46"/>
        <v>500</v>
      </c>
      <c r="I455" s="3">
        <f t="shared" si="48"/>
        <v>3599.8842178216646</v>
      </c>
      <c r="J455" s="3">
        <f t="shared" si="49"/>
        <v>2883507.2584751532</v>
      </c>
    </row>
    <row r="456" spans="4:10">
      <c r="D456">
        <v>454</v>
      </c>
      <c r="E456" s="3">
        <f t="shared" si="47"/>
        <v>2883507.2584751532</v>
      </c>
      <c r="F456" s="3">
        <f t="shared" si="44"/>
        <v>3254.081613716839</v>
      </c>
      <c r="G456" s="3">
        <f t="shared" si="45"/>
        <v>976.22448411505161</v>
      </c>
      <c r="H456" s="3">
        <f t="shared" si="46"/>
        <v>500</v>
      </c>
      <c r="I456" s="3">
        <f t="shared" si="48"/>
        <v>3610.296955716231</v>
      </c>
      <c r="J456" s="3">
        <f t="shared" si="49"/>
        <v>2891847.8615287011</v>
      </c>
    </row>
    <row r="457" spans="4:10">
      <c r="D457">
        <v>455</v>
      </c>
      <c r="E457" s="3">
        <f t="shared" si="47"/>
        <v>2891847.8615287011</v>
      </c>
      <c r="F457" s="3">
        <f t="shared" si="44"/>
        <v>3254.081613716839</v>
      </c>
      <c r="G457" s="3">
        <f t="shared" si="45"/>
        <v>976.22448411505161</v>
      </c>
      <c r="H457" s="3">
        <f t="shared" si="46"/>
        <v>500</v>
      </c>
      <c r="I457" s="3">
        <f t="shared" si="48"/>
        <v>3620.7227095331659</v>
      </c>
      <c r="J457" s="3">
        <f t="shared" si="49"/>
        <v>2900198.890336066</v>
      </c>
    </row>
    <row r="458" spans="4:10">
      <c r="D458">
        <v>456</v>
      </c>
      <c r="E458" s="3">
        <f t="shared" si="47"/>
        <v>2900198.890336066</v>
      </c>
      <c r="F458" s="3">
        <f t="shared" si="44"/>
        <v>3254.081613716839</v>
      </c>
      <c r="G458" s="3">
        <f t="shared" si="45"/>
        <v>976.22448411505161</v>
      </c>
      <c r="H458" s="3">
        <f t="shared" si="46"/>
        <v>500</v>
      </c>
      <c r="I458" s="3">
        <f t="shared" si="48"/>
        <v>3631.161495542372</v>
      </c>
      <c r="J458" s="3">
        <f t="shared" si="49"/>
        <v>2908560.3579294397</v>
      </c>
    </row>
    <row r="459" spans="4:10">
      <c r="D459">
        <v>457</v>
      </c>
      <c r="E459" s="3">
        <f t="shared" si="47"/>
        <v>2908560.3579294397</v>
      </c>
      <c r="F459" s="3">
        <f t="shared" si="44"/>
        <v>3254.081613716839</v>
      </c>
      <c r="G459" s="3">
        <f t="shared" si="45"/>
        <v>976.22448411505161</v>
      </c>
      <c r="H459" s="3">
        <f t="shared" si="46"/>
        <v>500</v>
      </c>
      <c r="I459" s="3">
        <f t="shared" si="48"/>
        <v>3641.6133300340894</v>
      </c>
      <c r="J459" s="3">
        <f t="shared" si="49"/>
        <v>2916932.2773573054</v>
      </c>
    </row>
    <row r="460" spans="4:10">
      <c r="D460">
        <v>458</v>
      </c>
      <c r="E460" s="3">
        <f t="shared" si="47"/>
        <v>2916932.2773573054</v>
      </c>
      <c r="F460" s="3">
        <f t="shared" si="44"/>
        <v>3254.081613716839</v>
      </c>
      <c r="G460" s="3">
        <f t="shared" si="45"/>
        <v>976.22448411505161</v>
      </c>
      <c r="H460" s="3">
        <f t="shared" si="46"/>
        <v>500</v>
      </c>
      <c r="I460" s="3">
        <f t="shared" si="48"/>
        <v>3652.0782293189213</v>
      </c>
      <c r="J460" s="3">
        <f t="shared" si="49"/>
        <v>2925314.6616844558</v>
      </c>
    </row>
    <row r="461" spans="4:10">
      <c r="D461">
        <v>459</v>
      </c>
      <c r="E461" s="3">
        <f t="shared" si="47"/>
        <v>2925314.6616844558</v>
      </c>
      <c r="F461" s="3">
        <f t="shared" si="44"/>
        <v>3254.081613716839</v>
      </c>
      <c r="G461" s="3">
        <f t="shared" si="45"/>
        <v>976.22448411505161</v>
      </c>
      <c r="H461" s="3">
        <f t="shared" si="46"/>
        <v>500</v>
      </c>
      <c r="I461" s="3">
        <f t="shared" si="48"/>
        <v>3662.5562097278594</v>
      </c>
      <c r="J461" s="3">
        <f t="shared" si="49"/>
        <v>2933707.523992015</v>
      </c>
    </row>
    <row r="462" spans="4:10">
      <c r="D462">
        <v>460</v>
      </c>
      <c r="E462" s="3">
        <f t="shared" si="47"/>
        <v>2933707.523992015</v>
      </c>
      <c r="F462" s="3">
        <f t="shared" si="44"/>
        <v>3254.081613716839</v>
      </c>
      <c r="G462" s="3">
        <f t="shared" si="45"/>
        <v>976.22448411505161</v>
      </c>
      <c r="H462" s="3">
        <f t="shared" si="46"/>
        <v>500</v>
      </c>
      <c r="I462" s="3">
        <f t="shared" si="48"/>
        <v>3673.0472876123085</v>
      </c>
      <c r="J462" s="3">
        <f t="shared" si="49"/>
        <v>2942110.8773774588</v>
      </c>
    </row>
    <row r="463" spans="4:10">
      <c r="D463">
        <v>461</v>
      </c>
      <c r="E463" s="3">
        <f t="shared" si="47"/>
        <v>2942110.8773774588</v>
      </c>
      <c r="F463" s="3">
        <f t="shared" si="44"/>
        <v>3254.081613716839</v>
      </c>
      <c r="G463" s="3">
        <f t="shared" si="45"/>
        <v>976.22448411505161</v>
      </c>
      <c r="H463" s="3">
        <f t="shared" si="46"/>
        <v>500</v>
      </c>
      <c r="I463" s="3">
        <f t="shared" si="48"/>
        <v>3683.551479344113</v>
      </c>
      <c r="J463" s="3">
        <f t="shared" si="49"/>
        <v>2950524.7349546347</v>
      </c>
    </row>
    <row r="464" spans="4:10">
      <c r="D464">
        <v>462</v>
      </c>
      <c r="E464" s="3">
        <f t="shared" si="47"/>
        <v>2950524.7349546347</v>
      </c>
      <c r="F464" s="3">
        <f t="shared" si="44"/>
        <v>3254.081613716839</v>
      </c>
      <c r="G464" s="3">
        <f t="shared" si="45"/>
        <v>976.22448411505161</v>
      </c>
      <c r="H464" s="3">
        <f t="shared" si="46"/>
        <v>500</v>
      </c>
      <c r="I464" s="3">
        <f t="shared" si="48"/>
        <v>3694.0688013155827</v>
      </c>
      <c r="J464" s="3">
        <f t="shared" si="49"/>
        <v>2958949.1098537818</v>
      </c>
    </row>
    <row r="465" spans="4:10">
      <c r="D465">
        <v>463</v>
      </c>
      <c r="E465" s="3">
        <f t="shared" si="47"/>
        <v>2958949.1098537818</v>
      </c>
      <c r="F465" s="3">
        <f t="shared" si="44"/>
        <v>3254.081613716839</v>
      </c>
      <c r="G465" s="3">
        <f t="shared" si="45"/>
        <v>976.22448411505161</v>
      </c>
      <c r="H465" s="3">
        <f t="shared" si="46"/>
        <v>500</v>
      </c>
      <c r="I465" s="3">
        <f t="shared" si="48"/>
        <v>3704.5992699395169</v>
      </c>
      <c r="J465" s="3">
        <f t="shared" si="49"/>
        <v>2967384.0152215529</v>
      </c>
    </row>
    <row r="466" spans="4:10">
      <c r="D466">
        <v>464</v>
      </c>
      <c r="E466" s="3">
        <f t="shared" si="47"/>
        <v>2967384.0152215529</v>
      </c>
      <c r="F466" s="3">
        <f t="shared" si="44"/>
        <v>3254.081613716839</v>
      </c>
      <c r="G466" s="3">
        <f t="shared" si="45"/>
        <v>976.22448411505161</v>
      </c>
      <c r="H466" s="3">
        <f t="shared" si="46"/>
        <v>500</v>
      </c>
      <c r="I466" s="3">
        <f t="shared" si="48"/>
        <v>3715.1429016492307</v>
      </c>
      <c r="J466" s="3">
        <f t="shared" si="49"/>
        <v>2975829.4642210337</v>
      </c>
    </row>
    <row r="467" spans="4:10">
      <c r="D467">
        <v>465</v>
      </c>
      <c r="E467" s="3">
        <f t="shared" si="47"/>
        <v>2975829.4642210337</v>
      </c>
      <c r="F467" s="3">
        <f t="shared" si="44"/>
        <v>3254.081613716839</v>
      </c>
      <c r="G467" s="3">
        <f t="shared" si="45"/>
        <v>976.22448411505161</v>
      </c>
      <c r="H467" s="3">
        <f t="shared" si="46"/>
        <v>500</v>
      </c>
      <c r="I467" s="3">
        <f t="shared" si="48"/>
        <v>3725.6997128985818</v>
      </c>
      <c r="J467" s="3">
        <f t="shared" si="49"/>
        <v>2984285.4700317639</v>
      </c>
    </row>
    <row r="468" spans="4:10">
      <c r="D468">
        <v>466</v>
      </c>
      <c r="E468" s="3">
        <f t="shared" si="47"/>
        <v>2984285.4700317639</v>
      </c>
      <c r="F468" s="3">
        <f t="shared" si="44"/>
        <v>3254.081613716839</v>
      </c>
      <c r="G468" s="3">
        <f t="shared" si="45"/>
        <v>976.22448411505161</v>
      </c>
      <c r="H468" s="3">
        <f t="shared" si="46"/>
        <v>500</v>
      </c>
      <c r="I468" s="3">
        <f t="shared" si="48"/>
        <v>3736.2697201619944</v>
      </c>
      <c r="J468" s="3">
        <f t="shared" si="49"/>
        <v>2992752.0458497573</v>
      </c>
    </row>
    <row r="469" spans="4:10">
      <c r="D469">
        <v>467</v>
      </c>
      <c r="E469" s="3">
        <f t="shared" si="47"/>
        <v>2992752.0458497573</v>
      </c>
      <c r="F469" s="3">
        <f t="shared" si="44"/>
        <v>3254.081613716839</v>
      </c>
      <c r="G469" s="3">
        <f t="shared" si="45"/>
        <v>976.22448411505161</v>
      </c>
      <c r="H469" s="3">
        <f t="shared" si="46"/>
        <v>500</v>
      </c>
      <c r="I469" s="3">
        <f t="shared" si="48"/>
        <v>3746.8529399344861</v>
      </c>
      <c r="J469" s="3">
        <f t="shared" si="49"/>
        <v>3001229.2048875233</v>
      </c>
    </row>
    <row r="470" spans="4:10">
      <c r="D470">
        <v>468</v>
      </c>
      <c r="E470" s="3">
        <f t="shared" si="47"/>
        <v>3001229.2048875233</v>
      </c>
      <c r="F470" s="3">
        <f t="shared" si="44"/>
        <v>3254.081613716839</v>
      </c>
      <c r="G470" s="3">
        <f t="shared" si="45"/>
        <v>976.22448411505161</v>
      </c>
      <c r="H470" s="3">
        <f t="shared" si="46"/>
        <v>500</v>
      </c>
      <c r="I470" s="3">
        <f t="shared" si="48"/>
        <v>3757.4493887316935</v>
      </c>
      <c r="J470" s="3">
        <f t="shared" si="49"/>
        <v>3009716.9603740866</v>
      </c>
    </row>
    <row r="471" spans="4:10">
      <c r="D471">
        <v>469</v>
      </c>
      <c r="E471" s="3">
        <f t="shared" si="47"/>
        <v>3009716.9603740866</v>
      </c>
      <c r="F471" s="3">
        <f t="shared" si="44"/>
        <v>3254.081613716839</v>
      </c>
      <c r="G471" s="3">
        <f t="shared" si="45"/>
        <v>976.22448411505161</v>
      </c>
      <c r="H471" s="3">
        <f t="shared" si="46"/>
        <v>500</v>
      </c>
      <c r="I471" s="3">
        <f t="shared" si="48"/>
        <v>3768.0590830898977</v>
      </c>
      <c r="J471" s="3">
        <f t="shared" si="49"/>
        <v>3018215.3255550079</v>
      </c>
    </row>
    <row r="472" spans="4:10">
      <c r="D472">
        <v>470</v>
      </c>
      <c r="E472" s="3">
        <f t="shared" si="47"/>
        <v>3018215.3255550079</v>
      </c>
      <c r="F472" s="3">
        <f t="shared" si="44"/>
        <v>3254.081613716839</v>
      </c>
      <c r="G472" s="3">
        <f t="shared" si="45"/>
        <v>976.22448411505161</v>
      </c>
      <c r="H472" s="3">
        <f t="shared" si="46"/>
        <v>500</v>
      </c>
      <c r="I472" s="3">
        <f t="shared" si="48"/>
        <v>3778.6820395660493</v>
      </c>
      <c r="J472" s="3">
        <f t="shared" si="49"/>
        <v>3026724.3136924054</v>
      </c>
    </row>
    <row r="473" spans="4:10">
      <c r="D473">
        <v>471</v>
      </c>
      <c r="E473" s="3">
        <f t="shared" si="47"/>
        <v>3026724.3136924054</v>
      </c>
      <c r="F473" s="3">
        <f t="shared" si="44"/>
        <v>3254.081613716839</v>
      </c>
      <c r="G473" s="3">
        <f t="shared" si="45"/>
        <v>976.22448411505161</v>
      </c>
      <c r="H473" s="3">
        <f t="shared" si="46"/>
        <v>500</v>
      </c>
      <c r="I473" s="3">
        <f t="shared" si="48"/>
        <v>3789.3182747377964</v>
      </c>
      <c r="J473" s="3">
        <f t="shared" si="49"/>
        <v>3035243.9380649747</v>
      </c>
    </row>
    <row r="474" spans="4:10">
      <c r="D474">
        <v>472</v>
      </c>
      <c r="E474" s="3">
        <f t="shared" si="47"/>
        <v>3035243.9380649747</v>
      </c>
      <c r="F474" s="3">
        <f t="shared" si="44"/>
        <v>3254.081613716839</v>
      </c>
      <c r="G474" s="3">
        <f t="shared" si="45"/>
        <v>976.22448411505161</v>
      </c>
      <c r="H474" s="3">
        <f t="shared" si="46"/>
        <v>500</v>
      </c>
      <c r="I474" s="3">
        <f t="shared" si="48"/>
        <v>3799.9678052035079</v>
      </c>
      <c r="J474" s="3">
        <f t="shared" si="49"/>
        <v>3043774.2119680098</v>
      </c>
    </row>
    <row r="475" spans="4:10">
      <c r="D475">
        <v>473</v>
      </c>
      <c r="E475" s="3">
        <f t="shared" si="47"/>
        <v>3043774.2119680098</v>
      </c>
      <c r="F475" s="3">
        <f t="shared" si="44"/>
        <v>3254.081613716839</v>
      </c>
      <c r="G475" s="3">
        <f t="shared" si="45"/>
        <v>976.22448411505161</v>
      </c>
      <c r="H475" s="3">
        <f t="shared" si="46"/>
        <v>500</v>
      </c>
      <c r="I475" s="3">
        <f t="shared" si="48"/>
        <v>3810.6306475823017</v>
      </c>
      <c r="J475" s="3">
        <f t="shared" si="49"/>
        <v>3052315.1487134239</v>
      </c>
    </row>
    <row r="476" spans="4:10">
      <c r="D476">
        <v>474</v>
      </c>
      <c r="E476" s="3">
        <f t="shared" si="47"/>
        <v>3052315.1487134239</v>
      </c>
      <c r="F476" s="3">
        <f t="shared" si="44"/>
        <v>3254.081613716839</v>
      </c>
      <c r="G476" s="3">
        <f t="shared" si="45"/>
        <v>976.22448411505161</v>
      </c>
      <c r="H476" s="3">
        <f t="shared" si="46"/>
        <v>500</v>
      </c>
      <c r="I476" s="3">
        <f t="shared" si="48"/>
        <v>3821.3068185140692</v>
      </c>
      <c r="J476" s="3">
        <f t="shared" si="49"/>
        <v>3060866.7616297696</v>
      </c>
    </row>
    <row r="477" spans="4:10">
      <c r="D477">
        <v>475</v>
      </c>
      <c r="E477" s="3">
        <f t="shared" si="47"/>
        <v>3060866.7616297696</v>
      </c>
      <c r="F477" s="3">
        <f t="shared" si="44"/>
        <v>3254.081613716839</v>
      </c>
      <c r="G477" s="3">
        <f t="shared" si="45"/>
        <v>976.22448411505161</v>
      </c>
      <c r="H477" s="3">
        <f t="shared" si="46"/>
        <v>500</v>
      </c>
      <c r="I477" s="3">
        <f t="shared" si="48"/>
        <v>3831.9963346595014</v>
      </c>
      <c r="J477" s="3">
        <f t="shared" si="49"/>
        <v>3069429.0640622606</v>
      </c>
    </row>
    <row r="478" spans="4:10">
      <c r="D478">
        <v>476</v>
      </c>
      <c r="E478" s="3">
        <f t="shared" si="47"/>
        <v>3069429.0640622606</v>
      </c>
      <c r="F478" s="3">
        <f t="shared" si="44"/>
        <v>3254.081613716839</v>
      </c>
      <c r="G478" s="3">
        <f t="shared" si="45"/>
        <v>976.22448411505161</v>
      </c>
      <c r="H478" s="3">
        <f t="shared" si="46"/>
        <v>500</v>
      </c>
      <c r="I478" s="3">
        <f t="shared" si="48"/>
        <v>3842.6992127001154</v>
      </c>
      <c r="J478" s="3">
        <f t="shared" si="49"/>
        <v>3078002.0693727923</v>
      </c>
    </row>
    <row r="479" spans="4:10">
      <c r="D479">
        <v>477</v>
      </c>
      <c r="E479" s="3">
        <f t="shared" si="47"/>
        <v>3078002.0693727923</v>
      </c>
      <c r="F479" s="3">
        <f t="shared" si="44"/>
        <v>3254.081613716839</v>
      </c>
      <c r="G479" s="3">
        <f t="shared" si="45"/>
        <v>976.22448411505161</v>
      </c>
      <c r="H479" s="3">
        <f t="shared" si="46"/>
        <v>500</v>
      </c>
      <c r="I479" s="3">
        <f t="shared" si="48"/>
        <v>3853.4154693382798</v>
      </c>
      <c r="J479" s="3">
        <f t="shared" si="49"/>
        <v>3086585.790939962</v>
      </c>
    </row>
    <row r="480" spans="4:10">
      <c r="D480">
        <v>478</v>
      </c>
      <c r="E480" s="3">
        <f t="shared" si="47"/>
        <v>3086585.790939962</v>
      </c>
      <c r="F480" s="3">
        <f t="shared" si="44"/>
        <v>3254.081613716839</v>
      </c>
      <c r="G480" s="3">
        <f t="shared" si="45"/>
        <v>976.22448411505161</v>
      </c>
      <c r="H480" s="3">
        <f t="shared" si="46"/>
        <v>500</v>
      </c>
      <c r="I480" s="3">
        <f t="shared" si="48"/>
        <v>3864.145121297242</v>
      </c>
      <c r="J480" s="3">
        <f t="shared" si="49"/>
        <v>3095180.2421590909</v>
      </c>
    </row>
    <row r="481" spans="3:10">
      <c r="D481">
        <v>479</v>
      </c>
      <c r="E481" s="3">
        <f t="shared" si="47"/>
        <v>3095180.2421590909</v>
      </c>
      <c r="F481" s="3">
        <f t="shared" si="44"/>
        <v>3254.081613716839</v>
      </c>
      <c r="G481" s="3">
        <f t="shared" si="45"/>
        <v>976.22448411505161</v>
      </c>
      <c r="H481" s="3">
        <f t="shared" si="46"/>
        <v>500</v>
      </c>
      <c r="I481" s="3">
        <f t="shared" si="48"/>
        <v>3874.8881853211533</v>
      </c>
      <c r="J481" s="3">
        <f t="shared" si="49"/>
        <v>3103785.4364422439</v>
      </c>
    </row>
    <row r="482" spans="3:10">
      <c r="C482" t="s">
        <v>113</v>
      </c>
      <c r="D482">
        <v>480</v>
      </c>
      <c r="E482" s="3">
        <f t="shared" si="47"/>
        <v>3103785.4364422439</v>
      </c>
      <c r="F482" s="3">
        <f t="shared" si="44"/>
        <v>3254.081613716839</v>
      </c>
      <c r="G482" s="3">
        <f t="shared" si="45"/>
        <v>976.22448411505161</v>
      </c>
      <c r="H482" s="3">
        <f t="shared" si="46"/>
        <v>500</v>
      </c>
      <c r="I482" s="3">
        <f t="shared" si="48"/>
        <v>3885.6446781750942</v>
      </c>
      <c r="J482" s="3">
        <f t="shared" si="49"/>
        <v>3112401.3872182504</v>
      </c>
    </row>
    <row r="483" spans="3:10">
      <c r="C483" t="s">
        <v>114</v>
      </c>
      <c r="D483">
        <v>481</v>
      </c>
      <c r="E483" s="3">
        <f t="shared" si="47"/>
        <v>3112401.3872182504</v>
      </c>
      <c r="F483" s="3">
        <v>-15000</v>
      </c>
      <c r="G483" s="3">
        <v>0</v>
      </c>
      <c r="H483" s="3">
        <v>0</v>
      </c>
      <c r="I483" s="3">
        <f t="shared" si="48"/>
        <v>3871.7517340228133</v>
      </c>
      <c r="J483" s="3">
        <f t="shared" si="49"/>
        <v>3101273.1389522734</v>
      </c>
    </row>
    <row r="484" spans="3:10">
      <c r="D484">
        <v>482</v>
      </c>
      <c r="E484" s="3">
        <f t="shared" ref="E484:E547" si="50">J483</f>
        <v>3101273.1389522734</v>
      </c>
      <c r="F484" s="3">
        <v>-15000</v>
      </c>
      <c r="G484" s="3">
        <v>0</v>
      </c>
      <c r="H484" s="3">
        <v>0</v>
      </c>
      <c r="I484" s="3">
        <f t="shared" ref="I484:I547" si="51">$B$9*SUM(E484:H484)</f>
        <v>3857.8414236903418</v>
      </c>
      <c r="J484" s="3">
        <f t="shared" ref="J484:J547" si="52">SUM(E484:I484)</f>
        <v>3090130.9803759637</v>
      </c>
    </row>
    <row r="485" spans="3:10">
      <c r="D485">
        <v>483</v>
      </c>
      <c r="E485" s="3">
        <f t="shared" si="50"/>
        <v>3090130.9803759637</v>
      </c>
      <c r="F485" s="3">
        <v>-15000</v>
      </c>
      <c r="G485" s="3">
        <v>0</v>
      </c>
      <c r="H485" s="3">
        <v>0</v>
      </c>
      <c r="I485" s="3">
        <f t="shared" si="51"/>
        <v>3843.9137254699549</v>
      </c>
      <c r="J485" s="3">
        <f t="shared" si="52"/>
        <v>3078974.8941014335</v>
      </c>
    </row>
    <row r="486" spans="3:10">
      <c r="D486">
        <v>484</v>
      </c>
      <c r="E486" s="3">
        <f t="shared" si="50"/>
        <v>3078974.8941014335</v>
      </c>
      <c r="F486" s="3">
        <v>-15000</v>
      </c>
      <c r="G486" s="3">
        <v>0</v>
      </c>
      <c r="H486" s="3">
        <v>0</v>
      </c>
      <c r="I486" s="3">
        <f t="shared" si="51"/>
        <v>3829.9686176267919</v>
      </c>
      <c r="J486" s="3">
        <f t="shared" si="52"/>
        <v>3067804.8627190604</v>
      </c>
    </row>
    <row r="487" spans="3:10">
      <c r="D487">
        <v>485</v>
      </c>
      <c r="E487" s="3">
        <f t="shared" si="50"/>
        <v>3067804.8627190604</v>
      </c>
      <c r="F487" s="3">
        <v>-15000</v>
      </c>
      <c r="G487" s="3">
        <v>0</v>
      </c>
      <c r="H487" s="3">
        <v>0</v>
      </c>
      <c r="I487" s="3">
        <f t="shared" si="51"/>
        <v>3816.0060783988256</v>
      </c>
      <c r="J487" s="3">
        <f t="shared" si="52"/>
        <v>3056620.8687974592</v>
      </c>
    </row>
    <row r="488" spans="3:10">
      <c r="D488">
        <v>486</v>
      </c>
      <c r="E488" s="3">
        <f t="shared" si="50"/>
        <v>3056620.8687974592</v>
      </c>
      <c r="F488" s="3">
        <v>-15000</v>
      </c>
      <c r="G488" s="3">
        <v>0</v>
      </c>
      <c r="H488" s="3">
        <v>0</v>
      </c>
      <c r="I488" s="3">
        <f t="shared" si="51"/>
        <v>3802.0260859968239</v>
      </c>
      <c r="J488" s="3">
        <f t="shared" si="52"/>
        <v>3045422.8948834562</v>
      </c>
    </row>
    <row r="489" spans="3:10">
      <c r="D489">
        <v>487</v>
      </c>
      <c r="E489" s="3">
        <f t="shared" si="50"/>
        <v>3045422.8948834562</v>
      </c>
      <c r="F489" s="3">
        <v>-15000</v>
      </c>
      <c r="G489" s="3">
        <v>0</v>
      </c>
      <c r="H489" s="3">
        <v>0</v>
      </c>
      <c r="I489" s="3">
        <f t="shared" si="51"/>
        <v>3788.0286186043204</v>
      </c>
      <c r="J489" s="3">
        <f t="shared" si="52"/>
        <v>3034210.9235020606</v>
      </c>
    </row>
    <row r="490" spans="3:10">
      <c r="D490">
        <v>488</v>
      </c>
      <c r="E490" s="3">
        <f t="shared" si="50"/>
        <v>3034210.9235020606</v>
      </c>
      <c r="F490" s="3">
        <v>-15000</v>
      </c>
      <c r="G490" s="3">
        <v>0</v>
      </c>
      <c r="H490" s="3">
        <v>0</v>
      </c>
      <c r="I490" s="3">
        <f t="shared" si="51"/>
        <v>3774.0136543775757</v>
      </c>
      <c r="J490" s="3">
        <f t="shared" si="52"/>
        <v>3022984.9371564384</v>
      </c>
    </row>
    <row r="491" spans="3:10">
      <c r="D491">
        <v>489</v>
      </c>
      <c r="E491" s="3">
        <f t="shared" si="50"/>
        <v>3022984.9371564384</v>
      </c>
      <c r="F491" s="3">
        <v>-15000</v>
      </c>
      <c r="G491" s="3">
        <v>0</v>
      </c>
      <c r="H491" s="3">
        <v>0</v>
      </c>
      <c r="I491" s="3">
        <f t="shared" si="51"/>
        <v>3759.9811714455482</v>
      </c>
      <c r="J491" s="3">
        <f t="shared" si="52"/>
        <v>3011744.9183278838</v>
      </c>
    </row>
    <row r="492" spans="3:10">
      <c r="D492">
        <v>490</v>
      </c>
      <c r="E492" s="3">
        <f t="shared" si="50"/>
        <v>3011744.9183278838</v>
      </c>
      <c r="F492" s="3">
        <v>-15000</v>
      </c>
      <c r="G492" s="3">
        <v>0</v>
      </c>
      <c r="H492" s="3">
        <v>0</v>
      </c>
      <c r="I492" s="3">
        <f t="shared" si="51"/>
        <v>3745.9311479098546</v>
      </c>
      <c r="J492" s="3">
        <f t="shared" si="52"/>
        <v>3000490.8494757935</v>
      </c>
    </row>
    <row r="493" spans="3:10">
      <c r="D493">
        <v>491</v>
      </c>
      <c r="E493" s="3">
        <f t="shared" si="50"/>
        <v>3000490.8494757935</v>
      </c>
      <c r="F493" s="3">
        <v>-15000</v>
      </c>
      <c r="G493" s="3">
        <v>0</v>
      </c>
      <c r="H493" s="3">
        <v>0</v>
      </c>
      <c r="I493" s="3">
        <f t="shared" si="51"/>
        <v>3731.863561844742</v>
      </c>
      <c r="J493" s="3">
        <f t="shared" si="52"/>
        <v>2989222.7130376385</v>
      </c>
    </row>
    <row r="494" spans="3:10">
      <c r="D494">
        <v>492</v>
      </c>
      <c r="E494" s="3">
        <f t="shared" si="50"/>
        <v>2989222.7130376385</v>
      </c>
      <c r="F494" s="3">
        <v>-15000</v>
      </c>
      <c r="G494" s="3">
        <v>0</v>
      </c>
      <c r="H494" s="3">
        <v>0</v>
      </c>
      <c r="I494" s="3">
        <f t="shared" si="51"/>
        <v>3717.7783912970481</v>
      </c>
      <c r="J494" s="3">
        <f t="shared" si="52"/>
        <v>2977940.4914289354</v>
      </c>
    </row>
    <row r="495" spans="3:10">
      <c r="D495">
        <v>493</v>
      </c>
      <c r="E495" s="3">
        <f t="shared" si="50"/>
        <v>2977940.4914289354</v>
      </c>
      <c r="F495" s="3">
        <v>-15000</v>
      </c>
      <c r="G495" s="3">
        <v>0</v>
      </c>
      <c r="H495" s="3">
        <v>0</v>
      </c>
      <c r="I495" s="3">
        <f t="shared" si="51"/>
        <v>3703.6756142861695</v>
      </c>
      <c r="J495" s="3">
        <f t="shared" si="52"/>
        <v>2966644.1670432216</v>
      </c>
    </row>
    <row r="496" spans="3:10">
      <c r="D496">
        <v>494</v>
      </c>
      <c r="E496" s="3">
        <f t="shared" si="50"/>
        <v>2966644.1670432216</v>
      </c>
      <c r="F496" s="3">
        <v>-15000</v>
      </c>
      <c r="G496" s="3">
        <v>0</v>
      </c>
      <c r="H496" s="3">
        <v>0</v>
      </c>
      <c r="I496" s="3">
        <f t="shared" si="51"/>
        <v>3689.5552088040272</v>
      </c>
      <c r="J496" s="3">
        <f t="shared" si="52"/>
        <v>2955333.7222520257</v>
      </c>
    </row>
    <row r="497" spans="4:10">
      <c r="D497">
        <v>495</v>
      </c>
      <c r="E497" s="3">
        <f t="shared" si="50"/>
        <v>2955333.7222520257</v>
      </c>
      <c r="F497" s="3">
        <v>-15000</v>
      </c>
      <c r="G497" s="3">
        <v>0</v>
      </c>
      <c r="H497" s="3">
        <v>0</v>
      </c>
      <c r="I497" s="3">
        <f t="shared" si="51"/>
        <v>3675.4171528150323</v>
      </c>
      <c r="J497" s="3">
        <f t="shared" si="52"/>
        <v>2944009.1394048408</v>
      </c>
    </row>
    <row r="498" spans="4:10">
      <c r="D498">
        <v>496</v>
      </c>
      <c r="E498" s="3">
        <f t="shared" si="50"/>
        <v>2944009.1394048408</v>
      </c>
      <c r="F498" s="3">
        <v>-15000</v>
      </c>
      <c r="G498" s="3">
        <v>0</v>
      </c>
      <c r="H498" s="3">
        <v>0</v>
      </c>
      <c r="I498" s="3">
        <f t="shared" si="51"/>
        <v>3661.2614242560512</v>
      </c>
      <c r="J498" s="3">
        <f t="shared" si="52"/>
        <v>2932670.4008290968</v>
      </c>
    </row>
    <row r="499" spans="4:10">
      <c r="D499">
        <v>497</v>
      </c>
      <c r="E499" s="3">
        <f t="shared" si="50"/>
        <v>2932670.4008290968</v>
      </c>
      <c r="F499" s="3">
        <v>-15000</v>
      </c>
      <c r="G499" s="3">
        <v>0</v>
      </c>
      <c r="H499" s="3">
        <v>0</v>
      </c>
      <c r="I499" s="3">
        <f t="shared" si="51"/>
        <v>3647.0880010363712</v>
      </c>
      <c r="J499" s="3">
        <f t="shared" si="52"/>
        <v>2921317.4888301333</v>
      </c>
    </row>
    <row r="500" spans="4:10">
      <c r="D500">
        <v>498</v>
      </c>
      <c r="E500" s="3">
        <f t="shared" si="50"/>
        <v>2921317.4888301333</v>
      </c>
      <c r="F500" s="3">
        <v>-15000</v>
      </c>
      <c r="G500" s="3">
        <v>0</v>
      </c>
      <c r="H500" s="3">
        <v>0</v>
      </c>
      <c r="I500" s="3">
        <f t="shared" si="51"/>
        <v>3632.8968610376669</v>
      </c>
      <c r="J500" s="3">
        <f t="shared" si="52"/>
        <v>2909950.385691171</v>
      </c>
    </row>
    <row r="501" spans="4:10">
      <c r="D501">
        <v>499</v>
      </c>
      <c r="E501" s="3">
        <f t="shared" si="50"/>
        <v>2909950.385691171</v>
      </c>
      <c r="F501" s="3">
        <v>-15000</v>
      </c>
      <c r="G501" s="3">
        <v>0</v>
      </c>
      <c r="H501" s="3">
        <v>0</v>
      </c>
      <c r="I501" s="3">
        <f t="shared" si="51"/>
        <v>3618.6879821139637</v>
      </c>
      <c r="J501" s="3">
        <f t="shared" si="52"/>
        <v>2898569.0736732851</v>
      </c>
    </row>
    <row r="502" spans="4:10">
      <c r="D502">
        <v>500</v>
      </c>
      <c r="E502" s="3">
        <f t="shared" si="50"/>
        <v>2898569.0736732851</v>
      </c>
      <c r="F502" s="3">
        <v>-15000</v>
      </c>
      <c r="G502" s="3">
        <v>0</v>
      </c>
      <c r="H502" s="3">
        <v>0</v>
      </c>
      <c r="I502" s="3">
        <f t="shared" si="51"/>
        <v>3604.4613420916066</v>
      </c>
      <c r="J502" s="3">
        <f t="shared" si="52"/>
        <v>2887173.5350153768</v>
      </c>
    </row>
    <row r="503" spans="4:10">
      <c r="D503">
        <v>501</v>
      </c>
      <c r="E503" s="3">
        <f t="shared" si="50"/>
        <v>2887173.5350153768</v>
      </c>
      <c r="F503" s="3">
        <v>-15000</v>
      </c>
      <c r="G503" s="3">
        <v>0</v>
      </c>
      <c r="H503" s="3">
        <v>0</v>
      </c>
      <c r="I503" s="3">
        <f t="shared" si="51"/>
        <v>3590.2169187692211</v>
      </c>
      <c r="J503" s="3">
        <f t="shared" si="52"/>
        <v>2875763.751934146</v>
      </c>
    </row>
    <row r="504" spans="4:10">
      <c r="D504">
        <v>502</v>
      </c>
      <c r="E504" s="3">
        <f t="shared" si="50"/>
        <v>2875763.751934146</v>
      </c>
      <c r="F504" s="3">
        <v>-15000</v>
      </c>
      <c r="G504" s="3">
        <v>0</v>
      </c>
      <c r="H504" s="3">
        <v>0</v>
      </c>
      <c r="I504" s="3">
        <f t="shared" si="51"/>
        <v>3575.9546899176826</v>
      </c>
      <c r="J504" s="3">
        <f t="shared" si="52"/>
        <v>2864339.7066240637</v>
      </c>
    </row>
    <row r="505" spans="4:10">
      <c r="D505">
        <v>503</v>
      </c>
      <c r="E505" s="3">
        <f t="shared" si="50"/>
        <v>2864339.7066240637</v>
      </c>
      <c r="F505" s="3">
        <v>-15000</v>
      </c>
      <c r="G505" s="3">
        <v>0</v>
      </c>
      <c r="H505" s="3">
        <v>0</v>
      </c>
      <c r="I505" s="3">
        <f t="shared" si="51"/>
        <v>3561.6746332800794</v>
      </c>
      <c r="J505" s="3">
        <f t="shared" si="52"/>
        <v>2852901.3812573436</v>
      </c>
    </row>
    <row r="506" spans="4:10">
      <c r="D506">
        <v>504</v>
      </c>
      <c r="E506" s="3">
        <f t="shared" si="50"/>
        <v>2852901.3812573436</v>
      </c>
      <c r="F506" s="3">
        <v>-15000</v>
      </c>
      <c r="G506" s="3">
        <v>0</v>
      </c>
      <c r="H506" s="3">
        <v>0</v>
      </c>
      <c r="I506" s="3">
        <f t="shared" si="51"/>
        <v>3547.3767265716797</v>
      </c>
      <c r="J506" s="3">
        <f t="shared" si="52"/>
        <v>2841448.757983915</v>
      </c>
    </row>
    <row r="507" spans="4:10">
      <c r="D507">
        <v>505</v>
      </c>
      <c r="E507" s="3">
        <f t="shared" si="50"/>
        <v>2841448.757983915</v>
      </c>
      <c r="F507" s="3">
        <v>-15000</v>
      </c>
      <c r="G507" s="3">
        <v>0</v>
      </c>
      <c r="H507" s="3">
        <v>0</v>
      </c>
      <c r="I507" s="3">
        <f t="shared" si="51"/>
        <v>3533.0609474798939</v>
      </c>
      <c r="J507" s="3">
        <f t="shared" si="52"/>
        <v>2829981.8189313947</v>
      </c>
    </row>
    <row r="508" spans="4:10">
      <c r="D508">
        <v>506</v>
      </c>
      <c r="E508" s="3">
        <f t="shared" si="50"/>
        <v>2829981.8189313947</v>
      </c>
      <c r="F508" s="3">
        <v>-15000</v>
      </c>
      <c r="G508" s="3">
        <v>0</v>
      </c>
      <c r="H508" s="3">
        <v>0</v>
      </c>
      <c r="I508" s="3">
        <f t="shared" si="51"/>
        <v>3518.7272736642435</v>
      </c>
      <c r="J508" s="3">
        <f t="shared" si="52"/>
        <v>2818500.5462050592</v>
      </c>
    </row>
    <row r="509" spans="4:10">
      <c r="D509">
        <v>507</v>
      </c>
      <c r="E509" s="3">
        <f t="shared" si="50"/>
        <v>2818500.5462050592</v>
      </c>
      <c r="F509" s="3">
        <v>-15000</v>
      </c>
      <c r="G509" s="3">
        <v>0</v>
      </c>
      <c r="H509" s="3">
        <v>0</v>
      </c>
      <c r="I509" s="3">
        <f t="shared" si="51"/>
        <v>3504.3756827563238</v>
      </c>
      <c r="J509" s="3">
        <f t="shared" si="52"/>
        <v>2807004.9218878155</v>
      </c>
    </row>
    <row r="510" spans="4:10">
      <c r="D510">
        <v>508</v>
      </c>
      <c r="E510" s="3">
        <f t="shared" si="50"/>
        <v>2807004.9218878155</v>
      </c>
      <c r="F510" s="3">
        <v>-15000</v>
      </c>
      <c r="G510" s="3">
        <v>0</v>
      </c>
      <c r="H510" s="3">
        <v>0</v>
      </c>
      <c r="I510" s="3">
        <f t="shared" si="51"/>
        <v>3490.0061523597692</v>
      </c>
      <c r="J510" s="3">
        <f t="shared" si="52"/>
        <v>2795494.9280401752</v>
      </c>
    </row>
    <row r="511" spans="4:10">
      <c r="D511">
        <v>509</v>
      </c>
      <c r="E511" s="3">
        <f t="shared" si="50"/>
        <v>2795494.9280401752</v>
      </c>
      <c r="F511" s="3">
        <v>-15000</v>
      </c>
      <c r="G511" s="3">
        <v>0</v>
      </c>
      <c r="H511" s="3">
        <v>0</v>
      </c>
      <c r="I511" s="3">
        <f t="shared" si="51"/>
        <v>3475.6186600502192</v>
      </c>
      <c r="J511" s="3">
        <f t="shared" si="52"/>
        <v>2783970.5467002257</v>
      </c>
    </row>
    <row r="512" spans="4:10">
      <c r="D512">
        <v>510</v>
      </c>
      <c r="E512" s="3">
        <f t="shared" si="50"/>
        <v>2783970.5467002257</v>
      </c>
      <c r="F512" s="3">
        <v>-15000</v>
      </c>
      <c r="G512" s="3">
        <v>0</v>
      </c>
      <c r="H512" s="3">
        <v>0</v>
      </c>
      <c r="I512" s="3">
        <f t="shared" si="51"/>
        <v>3461.2131833752824</v>
      </c>
      <c r="J512" s="3">
        <f t="shared" si="52"/>
        <v>2772431.7598836008</v>
      </c>
    </row>
    <row r="513" spans="4:10">
      <c r="D513">
        <v>511</v>
      </c>
      <c r="E513" s="3">
        <f t="shared" si="50"/>
        <v>2772431.7598836008</v>
      </c>
      <c r="F513" s="3">
        <v>-15000</v>
      </c>
      <c r="G513" s="3">
        <v>0</v>
      </c>
      <c r="H513" s="3">
        <v>0</v>
      </c>
      <c r="I513" s="3">
        <f t="shared" si="51"/>
        <v>3446.7896998545011</v>
      </c>
      <c r="J513" s="3">
        <f t="shared" si="52"/>
        <v>2760878.5495834551</v>
      </c>
    </row>
    <row r="514" spans="4:10">
      <c r="D514">
        <v>512</v>
      </c>
      <c r="E514" s="3">
        <f t="shared" si="50"/>
        <v>2760878.5495834551</v>
      </c>
      <c r="F514" s="3">
        <v>-15000</v>
      </c>
      <c r="G514" s="3">
        <v>0</v>
      </c>
      <c r="H514" s="3">
        <v>0</v>
      </c>
      <c r="I514" s="3">
        <f t="shared" si="51"/>
        <v>3432.3481869793191</v>
      </c>
      <c r="J514" s="3">
        <f t="shared" si="52"/>
        <v>2749310.8977704346</v>
      </c>
    </row>
    <row r="515" spans="4:10">
      <c r="D515">
        <v>513</v>
      </c>
      <c r="E515" s="3">
        <f t="shared" si="50"/>
        <v>2749310.8977704346</v>
      </c>
      <c r="F515" s="3">
        <v>-15000</v>
      </c>
      <c r="G515" s="3">
        <v>0</v>
      </c>
      <c r="H515" s="3">
        <v>0</v>
      </c>
      <c r="I515" s="3">
        <f t="shared" si="51"/>
        <v>3417.8886222130432</v>
      </c>
      <c r="J515" s="3">
        <f t="shared" si="52"/>
        <v>2737728.7863926478</v>
      </c>
    </row>
    <row r="516" spans="4:10">
      <c r="D516">
        <v>514</v>
      </c>
      <c r="E516" s="3">
        <f t="shared" si="50"/>
        <v>2737728.7863926478</v>
      </c>
      <c r="F516" s="3">
        <v>-15000</v>
      </c>
      <c r="G516" s="3">
        <v>0</v>
      </c>
      <c r="H516" s="3">
        <v>0</v>
      </c>
      <c r="I516" s="3">
        <f t="shared" si="51"/>
        <v>3403.4109829908098</v>
      </c>
      <c r="J516" s="3">
        <f t="shared" si="52"/>
        <v>2726132.1973756384</v>
      </c>
    </row>
    <row r="517" spans="4:10">
      <c r="D517">
        <v>515</v>
      </c>
      <c r="E517" s="3">
        <f t="shared" si="50"/>
        <v>2726132.1973756384</v>
      </c>
      <c r="F517" s="3">
        <v>-15000</v>
      </c>
      <c r="G517" s="3">
        <v>0</v>
      </c>
      <c r="H517" s="3">
        <v>0</v>
      </c>
      <c r="I517" s="3">
        <f t="shared" si="51"/>
        <v>3388.9152467195481</v>
      </c>
      <c r="J517" s="3">
        <f t="shared" si="52"/>
        <v>2714521.1126223579</v>
      </c>
    </row>
    <row r="518" spans="4:10">
      <c r="D518">
        <v>516</v>
      </c>
      <c r="E518" s="3">
        <f t="shared" si="50"/>
        <v>2714521.1126223579</v>
      </c>
      <c r="F518" s="3">
        <v>-15000</v>
      </c>
      <c r="G518" s="3">
        <v>0</v>
      </c>
      <c r="H518" s="3">
        <v>0</v>
      </c>
      <c r="I518" s="3">
        <f t="shared" si="51"/>
        <v>3374.4013907779477</v>
      </c>
      <c r="J518" s="3">
        <f t="shared" si="52"/>
        <v>2702895.5140131358</v>
      </c>
    </row>
    <row r="519" spans="4:10">
      <c r="D519">
        <v>517</v>
      </c>
      <c r="E519" s="3">
        <f t="shared" si="50"/>
        <v>2702895.5140131358</v>
      </c>
      <c r="F519" s="3">
        <v>-15000</v>
      </c>
      <c r="G519" s="3">
        <v>0</v>
      </c>
      <c r="H519" s="3">
        <v>0</v>
      </c>
      <c r="I519" s="3">
        <f t="shared" si="51"/>
        <v>3359.8693925164198</v>
      </c>
      <c r="J519" s="3">
        <f t="shared" si="52"/>
        <v>2691255.3834056524</v>
      </c>
    </row>
    <row r="520" spans="4:10">
      <c r="D520">
        <v>518</v>
      </c>
      <c r="E520" s="3">
        <f t="shared" si="50"/>
        <v>2691255.3834056524</v>
      </c>
      <c r="F520" s="3">
        <v>-15000</v>
      </c>
      <c r="G520" s="3">
        <v>0</v>
      </c>
      <c r="H520" s="3">
        <v>0</v>
      </c>
      <c r="I520" s="3">
        <f t="shared" si="51"/>
        <v>3345.3192292570657</v>
      </c>
      <c r="J520" s="3">
        <f t="shared" si="52"/>
        <v>2679600.7026349097</v>
      </c>
    </row>
    <row r="521" spans="4:10">
      <c r="D521">
        <v>519</v>
      </c>
      <c r="E521" s="3">
        <f t="shared" si="50"/>
        <v>2679600.7026349097</v>
      </c>
      <c r="F521" s="3">
        <v>-15000</v>
      </c>
      <c r="G521" s="3">
        <v>0</v>
      </c>
      <c r="H521" s="3">
        <v>0</v>
      </c>
      <c r="I521" s="3">
        <f t="shared" si="51"/>
        <v>3330.750878293637</v>
      </c>
      <c r="J521" s="3">
        <f t="shared" si="52"/>
        <v>2667931.4535132032</v>
      </c>
    </row>
    <row r="522" spans="4:10">
      <c r="D522">
        <v>520</v>
      </c>
      <c r="E522" s="3">
        <f t="shared" si="50"/>
        <v>2667931.4535132032</v>
      </c>
      <c r="F522" s="3">
        <v>-15000</v>
      </c>
      <c r="G522" s="3">
        <v>0</v>
      </c>
      <c r="H522" s="3">
        <v>0</v>
      </c>
      <c r="I522" s="3">
        <f t="shared" si="51"/>
        <v>3316.1643168915039</v>
      </c>
      <c r="J522" s="3">
        <f t="shared" si="52"/>
        <v>2656247.6178300949</v>
      </c>
    </row>
    <row r="523" spans="4:10">
      <c r="D523">
        <v>521</v>
      </c>
      <c r="E523" s="3">
        <f t="shared" si="50"/>
        <v>2656247.6178300949</v>
      </c>
      <c r="F523" s="3">
        <v>-15000</v>
      </c>
      <c r="G523" s="3">
        <v>0</v>
      </c>
      <c r="H523" s="3">
        <v>0</v>
      </c>
      <c r="I523" s="3">
        <f t="shared" si="51"/>
        <v>3301.5595222876186</v>
      </c>
      <c r="J523" s="3">
        <f t="shared" si="52"/>
        <v>2644549.1773523823</v>
      </c>
    </row>
    <row r="524" spans="4:10">
      <c r="D524">
        <v>522</v>
      </c>
      <c r="E524" s="3">
        <f t="shared" si="50"/>
        <v>2644549.1773523823</v>
      </c>
      <c r="F524" s="3">
        <v>-15000</v>
      </c>
      <c r="G524" s="3">
        <v>0</v>
      </c>
      <c r="H524" s="3">
        <v>0</v>
      </c>
      <c r="I524" s="3">
        <f t="shared" si="51"/>
        <v>3286.9364716904779</v>
      </c>
      <c r="J524" s="3">
        <f t="shared" si="52"/>
        <v>2632836.1138240728</v>
      </c>
    </row>
    <row r="525" spans="4:10">
      <c r="D525">
        <v>523</v>
      </c>
      <c r="E525" s="3">
        <f t="shared" si="50"/>
        <v>2632836.1138240728</v>
      </c>
      <c r="F525" s="3">
        <v>-15000</v>
      </c>
      <c r="G525" s="3">
        <v>0</v>
      </c>
      <c r="H525" s="3">
        <v>0</v>
      </c>
      <c r="I525" s="3">
        <f t="shared" si="51"/>
        <v>3272.2951422800911</v>
      </c>
      <c r="J525" s="3">
        <f t="shared" si="52"/>
        <v>2621108.4089663527</v>
      </c>
    </row>
    <row r="526" spans="4:10">
      <c r="D526">
        <v>524</v>
      </c>
      <c r="E526" s="3">
        <f t="shared" si="50"/>
        <v>2621108.4089663527</v>
      </c>
      <c r="F526" s="3">
        <v>-15000</v>
      </c>
      <c r="G526" s="3">
        <v>0</v>
      </c>
      <c r="H526" s="3">
        <v>0</v>
      </c>
      <c r="I526" s="3">
        <f t="shared" si="51"/>
        <v>3257.6355112079409</v>
      </c>
      <c r="J526" s="3">
        <f t="shared" si="52"/>
        <v>2609366.0444775606</v>
      </c>
    </row>
    <row r="527" spans="4:10">
      <c r="D527">
        <v>525</v>
      </c>
      <c r="E527" s="3">
        <f t="shared" si="50"/>
        <v>2609366.0444775606</v>
      </c>
      <c r="F527" s="3">
        <v>-15000</v>
      </c>
      <c r="G527" s="3">
        <v>0</v>
      </c>
      <c r="H527" s="3">
        <v>0</v>
      </c>
      <c r="I527" s="3">
        <f t="shared" si="51"/>
        <v>3242.9575555969509</v>
      </c>
      <c r="J527" s="3">
        <f t="shared" si="52"/>
        <v>2597609.0020331577</v>
      </c>
    </row>
    <row r="528" spans="4:10">
      <c r="D528">
        <v>526</v>
      </c>
      <c r="E528" s="3">
        <f t="shared" si="50"/>
        <v>2597609.0020331577</v>
      </c>
      <c r="F528" s="3">
        <v>-15000</v>
      </c>
      <c r="G528" s="3">
        <v>0</v>
      </c>
      <c r="H528" s="3">
        <v>0</v>
      </c>
      <c r="I528" s="3">
        <f t="shared" si="51"/>
        <v>3228.2612525414474</v>
      </c>
      <c r="J528" s="3">
        <f t="shared" si="52"/>
        <v>2585837.2632856993</v>
      </c>
    </row>
    <row r="529" spans="4:10">
      <c r="D529">
        <v>527</v>
      </c>
      <c r="E529" s="3">
        <f t="shared" si="50"/>
        <v>2585837.2632856993</v>
      </c>
      <c r="F529" s="3">
        <v>-15000</v>
      </c>
      <c r="G529" s="3">
        <v>0</v>
      </c>
      <c r="H529" s="3">
        <v>0</v>
      </c>
      <c r="I529" s="3">
        <f t="shared" si="51"/>
        <v>3213.5465791071242</v>
      </c>
      <c r="J529" s="3">
        <f t="shared" si="52"/>
        <v>2574050.8098648065</v>
      </c>
    </row>
    <row r="530" spans="4:10">
      <c r="D530">
        <v>528</v>
      </c>
      <c r="E530" s="3">
        <f t="shared" si="50"/>
        <v>2574050.8098648065</v>
      </c>
      <c r="F530" s="3">
        <v>-15000</v>
      </c>
      <c r="G530" s="3">
        <v>0</v>
      </c>
      <c r="H530" s="3">
        <v>0</v>
      </c>
      <c r="I530" s="3">
        <f t="shared" si="51"/>
        <v>3198.813512331008</v>
      </c>
      <c r="J530" s="3">
        <f t="shared" si="52"/>
        <v>2562249.6233771374</v>
      </c>
    </row>
    <row r="531" spans="4:10">
      <c r="D531">
        <v>529</v>
      </c>
      <c r="E531" s="3">
        <f t="shared" si="50"/>
        <v>2562249.6233771374</v>
      </c>
      <c r="F531" s="3">
        <v>-15000</v>
      </c>
      <c r="G531" s="3">
        <v>0</v>
      </c>
      <c r="H531" s="3">
        <v>0</v>
      </c>
      <c r="I531" s="3">
        <f t="shared" si="51"/>
        <v>3184.0620292214217</v>
      </c>
      <c r="J531" s="3">
        <f t="shared" si="52"/>
        <v>2550433.6854063589</v>
      </c>
    </row>
    <row r="532" spans="4:10">
      <c r="D532">
        <v>530</v>
      </c>
      <c r="E532" s="3">
        <f t="shared" si="50"/>
        <v>2550433.6854063589</v>
      </c>
      <c r="F532" s="3">
        <v>-15000</v>
      </c>
      <c r="G532" s="3">
        <v>0</v>
      </c>
      <c r="H532" s="3">
        <v>0</v>
      </c>
      <c r="I532" s="3">
        <f t="shared" si="51"/>
        <v>3169.2921067579487</v>
      </c>
      <c r="J532" s="3">
        <f t="shared" si="52"/>
        <v>2538602.9775131168</v>
      </c>
    </row>
    <row r="533" spans="4:10">
      <c r="D533">
        <v>531</v>
      </c>
      <c r="E533" s="3">
        <f t="shared" si="50"/>
        <v>2538602.9775131168</v>
      </c>
      <c r="F533" s="3">
        <v>-15000</v>
      </c>
      <c r="G533" s="3">
        <v>0</v>
      </c>
      <c r="H533" s="3">
        <v>0</v>
      </c>
      <c r="I533" s="3">
        <f t="shared" si="51"/>
        <v>3154.5037218913963</v>
      </c>
      <c r="J533" s="3">
        <f t="shared" si="52"/>
        <v>2526757.4812350082</v>
      </c>
    </row>
    <row r="534" spans="4:10">
      <c r="D534">
        <v>532</v>
      </c>
      <c r="E534" s="3">
        <f t="shared" si="50"/>
        <v>2526757.4812350082</v>
      </c>
      <c r="F534" s="3">
        <v>-15000</v>
      </c>
      <c r="G534" s="3">
        <v>0</v>
      </c>
      <c r="H534" s="3">
        <v>0</v>
      </c>
      <c r="I534" s="3">
        <f t="shared" si="51"/>
        <v>3139.6968515437602</v>
      </c>
      <c r="J534" s="3">
        <f t="shared" si="52"/>
        <v>2514897.1780865518</v>
      </c>
    </row>
    <row r="535" spans="4:10">
      <c r="D535">
        <v>533</v>
      </c>
      <c r="E535" s="3">
        <f t="shared" si="50"/>
        <v>2514897.1780865518</v>
      </c>
      <c r="F535" s="3">
        <v>-15000</v>
      </c>
      <c r="G535" s="3">
        <v>0</v>
      </c>
      <c r="H535" s="3">
        <v>0</v>
      </c>
      <c r="I535" s="3">
        <f t="shared" si="51"/>
        <v>3124.8714726081898</v>
      </c>
      <c r="J535" s="3">
        <f t="shared" si="52"/>
        <v>2503022.0495591601</v>
      </c>
    </row>
    <row r="536" spans="4:10">
      <c r="D536">
        <v>534</v>
      </c>
      <c r="E536" s="3">
        <f t="shared" si="50"/>
        <v>2503022.0495591601</v>
      </c>
      <c r="F536" s="3">
        <v>-15000</v>
      </c>
      <c r="G536" s="3">
        <v>0</v>
      </c>
      <c r="H536" s="3">
        <v>0</v>
      </c>
      <c r="I536" s="3">
        <f t="shared" si="51"/>
        <v>3110.0275619489503</v>
      </c>
      <c r="J536" s="3">
        <f t="shared" si="52"/>
        <v>2491132.0771211092</v>
      </c>
    </row>
    <row r="537" spans="4:10">
      <c r="D537">
        <v>535</v>
      </c>
      <c r="E537" s="3">
        <f t="shared" si="50"/>
        <v>2491132.0771211092</v>
      </c>
      <c r="F537" s="3">
        <v>-15000</v>
      </c>
      <c r="G537" s="3">
        <v>0</v>
      </c>
      <c r="H537" s="3">
        <v>0</v>
      </c>
      <c r="I537" s="3">
        <f t="shared" si="51"/>
        <v>3095.1650964013866</v>
      </c>
      <c r="J537" s="3">
        <f t="shared" si="52"/>
        <v>2479227.2422175105</v>
      </c>
    </row>
    <row r="538" spans="4:10">
      <c r="D538">
        <v>536</v>
      </c>
      <c r="E538" s="3">
        <f t="shared" si="50"/>
        <v>2479227.2422175105</v>
      </c>
      <c r="F538" s="3">
        <v>-15000</v>
      </c>
      <c r="G538" s="3">
        <v>0</v>
      </c>
      <c r="H538" s="3">
        <v>0</v>
      </c>
      <c r="I538" s="3">
        <f t="shared" si="51"/>
        <v>3080.2840527718881</v>
      </c>
      <c r="J538" s="3">
        <f t="shared" si="52"/>
        <v>2467307.5262702825</v>
      </c>
    </row>
    <row r="539" spans="4:10">
      <c r="D539">
        <v>537</v>
      </c>
      <c r="E539" s="3">
        <f t="shared" si="50"/>
        <v>2467307.5262702825</v>
      </c>
      <c r="F539" s="3">
        <v>-15000</v>
      </c>
      <c r="G539" s="3">
        <v>0</v>
      </c>
      <c r="H539" s="3">
        <v>0</v>
      </c>
      <c r="I539" s="3">
        <f t="shared" si="51"/>
        <v>3065.3844078378534</v>
      </c>
      <c r="J539" s="3">
        <f t="shared" si="52"/>
        <v>2455372.9106781203</v>
      </c>
    </row>
    <row r="540" spans="4:10">
      <c r="D540">
        <v>538</v>
      </c>
      <c r="E540" s="3">
        <f t="shared" si="50"/>
        <v>2455372.9106781203</v>
      </c>
      <c r="F540" s="3">
        <v>-15000</v>
      </c>
      <c r="G540" s="3">
        <v>0</v>
      </c>
      <c r="H540" s="3">
        <v>0</v>
      </c>
      <c r="I540" s="3">
        <f t="shared" si="51"/>
        <v>3050.4661383476505</v>
      </c>
      <c r="J540" s="3">
        <f t="shared" si="52"/>
        <v>2443423.3768164678</v>
      </c>
    </row>
    <row r="541" spans="4:10">
      <c r="D541">
        <v>539</v>
      </c>
      <c r="E541" s="3">
        <f t="shared" si="50"/>
        <v>2443423.3768164678</v>
      </c>
      <c r="F541" s="3">
        <v>-15000</v>
      </c>
      <c r="G541" s="3">
        <v>0</v>
      </c>
      <c r="H541" s="3">
        <v>0</v>
      </c>
      <c r="I541" s="3">
        <f t="shared" si="51"/>
        <v>3035.5292210205848</v>
      </c>
      <c r="J541" s="3">
        <f t="shared" si="52"/>
        <v>2431458.9060374885</v>
      </c>
    </row>
    <row r="542" spans="4:10">
      <c r="D542">
        <v>540</v>
      </c>
      <c r="E542" s="3">
        <f t="shared" si="50"/>
        <v>2431458.9060374885</v>
      </c>
      <c r="F542" s="3">
        <v>-15000</v>
      </c>
      <c r="G542" s="3">
        <v>0</v>
      </c>
      <c r="H542" s="3">
        <v>0</v>
      </c>
      <c r="I542" s="3">
        <f t="shared" si="51"/>
        <v>3020.5736325468606</v>
      </c>
      <c r="J542" s="3">
        <f t="shared" si="52"/>
        <v>2419479.4796700352</v>
      </c>
    </row>
    <row r="543" spans="4:10">
      <c r="D543">
        <v>541</v>
      </c>
      <c r="E543" s="3">
        <f t="shared" si="50"/>
        <v>2419479.4796700352</v>
      </c>
      <c r="F543" s="3">
        <v>-15000</v>
      </c>
      <c r="G543" s="3">
        <v>0</v>
      </c>
      <c r="H543" s="3">
        <v>0</v>
      </c>
      <c r="I543" s="3">
        <f t="shared" si="51"/>
        <v>3005.5993495875441</v>
      </c>
      <c r="J543" s="3">
        <f t="shared" si="52"/>
        <v>2407485.0790196229</v>
      </c>
    </row>
    <row r="544" spans="4:10">
      <c r="D544">
        <v>542</v>
      </c>
      <c r="E544" s="3">
        <f t="shared" si="50"/>
        <v>2407485.0790196229</v>
      </c>
      <c r="F544" s="3">
        <v>-15000</v>
      </c>
      <c r="G544" s="3">
        <v>0</v>
      </c>
      <c r="H544" s="3">
        <v>0</v>
      </c>
      <c r="I544" s="3">
        <f t="shared" si="51"/>
        <v>2990.6063487745287</v>
      </c>
      <c r="J544" s="3">
        <f t="shared" si="52"/>
        <v>2395475.6853683973</v>
      </c>
    </row>
    <row r="545" spans="4:10">
      <c r="D545">
        <v>543</v>
      </c>
      <c r="E545" s="3">
        <f t="shared" si="50"/>
        <v>2395475.6853683973</v>
      </c>
      <c r="F545" s="3">
        <v>-15000</v>
      </c>
      <c r="G545" s="3">
        <v>0</v>
      </c>
      <c r="H545" s="3">
        <v>0</v>
      </c>
      <c r="I545" s="3">
        <f t="shared" si="51"/>
        <v>2975.5946067104965</v>
      </c>
      <c r="J545" s="3">
        <f t="shared" si="52"/>
        <v>2383451.2799751079</v>
      </c>
    </row>
    <row r="546" spans="4:10">
      <c r="D546">
        <v>544</v>
      </c>
      <c r="E546" s="3">
        <f t="shared" si="50"/>
        <v>2383451.2799751079</v>
      </c>
      <c r="F546" s="3">
        <v>-15000</v>
      </c>
      <c r="G546" s="3">
        <v>0</v>
      </c>
      <c r="H546" s="3">
        <v>0</v>
      </c>
      <c r="I546" s="3">
        <f t="shared" si="51"/>
        <v>2960.5640999688849</v>
      </c>
      <c r="J546" s="3">
        <f t="shared" si="52"/>
        <v>2371411.8440750767</v>
      </c>
    </row>
    <row r="547" spans="4:10">
      <c r="D547">
        <v>545</v>
      </c>
      <c r="E547" s="3">
        <f t="shared" si="50"/>
        <v>2371411.8440750767</v>
      </c>
      <c r="F547" s="3">
        <v>-15000</v>
      </c>
      <c r="G547" s="3">
        <v>0</v>
      </c>
      <c r="H547" s="3">
        <v>0</v>
      </c>
      <c r="I547" s="3">
        <f t="shared" si="51"/>
        <v>2945.514805093846</v>
      </c>
      <c r="J547" s="3">
        <f t="shared" si="52"/>
        <v>2359357.3588801706</v>
      </c>
    </row>
    <row r="548" spans="4:10">
      <c r="D548">
        <v>546</v>
      </c>
      <c r="E548" s="3">
        <f t="shared" ref="E548:E611" si="53">J547</f>
        <v>2359357.3588801706</v>
      </c>
      <c r="F548" s="3">
        <v>-15000</v>
      </c>
      <c r="G548" s="3">
        <v>0</v>
      </c>
      <c r="H548" s="3">
        <v>0</v>
      </c>
      <c r="I548" s="3">
        <f t="shared" ref="I548:I611" si="54">$B$9*SUM(E548:H548)</f>
        <v>2930.4466986002135</v>
      </c>
      <c r="J548" s="3">
        <f t="shared" ref="J548:J611" si="55">SUM(E548:I548)</f>
        <v>2347287.805578771</v>
      </c>
    </row>
    <row r="549" spans="4:10">
      <c r="D549">
        <v>547</v>
      </c>
      <c r="E549" s="3">
        <f t="shared" si="53"/>
        <v>2347287.805578771</v>
      </c>
      <c r="F549" s="3">
        <v>-15000</v>
      </c>
      <c r="G549" s="3">
        <v>0</v>
      </c>
      <c r="H549" s="3">
        <v>0</v>
      </c>
      <c r="I549" s="3">
        <f t="shared" si="54"/>
        <v>2915.3597569734638</v>
      </c>
      <c r="J549" s="3">
        <f t="shared" si="55"/>
        <v>2335203.1653357446</v>
      </c>
    </row>
    <row r="550" spans="4:10">
      <c r="D550">
        <v>548</v>
      </c>
      <c r="E550" s="3">
        <f t="shared" si="53"/>
        <v>2335203.1653357446</v>
      </c>
      <c r="F550" s="3">
        <v>-15000</v>
      </c>
      <c r="G550" s="3">
        <v>0</v>
      </c>
      <c r="H550" s="3">
        <v>0</v>
      </c>
      <c r="I550" s="3">
        <f t="shared" si="54"/>
        <v>2900.253956669681</v>
      </c>
      <c r="J550" s="3">
        <f t="shared" si="55"/>
        <v>2323103.4192924141</v>
      </c>
    </row>
    <row r="551" spans="4:10">
      <c r="D551">
        <v>549</v>
      </c>
      <c r="E551" s="3">
        <f t="shared" si="53"/>
        <v>2323103.4192924141</v>
      </c>
      <c r="F551" s="3">
        <v>-15000</v>
      </c>
      <c r="G551" s="3">
        <v>0</v>
      </c>
      <c r="H551" s="3">
        <v>0</v>
      </c>
      <c r="I551" s="3">
        <f t="shared" si="54"/>
        <v>2885.1292741155175</v>
      </c>
      <c r="J551" s="3">
        <f t="shared" si="55"/>
        <v>2310988.5485665295</v>
      </c>
    </row>
    <row r="552" spans="4:10">
      <c r="D552">
        <v>550</v>
      </c>
      <c r="E552" s="3">
        <f t="shared" si="53"/>
        <v>2310988.5485665295</v>
      </c>
      <c r="F552" s="3">
        <v>-15000</v>
      </c>
      <c r="G552" s="3">
        <v>0</v>
      </c>
      <c r="H552" s="3">
        <v>0</v>
      </c>
      <c r="I552" s="3">
        <f t="shared" si="54"/>
        <v>2869.9856857081618</v>
      </c>
      <c r="J552" s="3">
        <f t="shared" si="55"/>
        <v>2298858.5342522375</v>
      </c>
    </row>
    <row r="553" spans="4:10">
      <c r="D553">
        <v>551</v>
      </c>
      <c r="E553" s="3">
        <f t="shared" si="53"/>
        <v>2298858.5342522375</v>
      </c>
      <c r="F553" s="3">
        <v>-15000</v>
      </c>
      <c r="G553" s="3">
        <v>0</v>
      </c>
      <c r="H553" s="3">
        <v>0</v>
      </c>
      <c r="I553" s="3">
        <f t="shared" si="54"/>
        <v>2854.823167815297</v>
      </c>
      <c r="J553" s="3">
        <f t="shared" si="55"/>
        <v>2286713.3574200529</v>
      </c>
    </row>
    <row r="554" spans="4:10">
      <c r="D554">
        <v>552</v>
      </c>
      <c r="E554" s="3">
        <f t="shared" si="53"/>
        <v>2286713.3574200529</v>
      </c>
      <c r="F554" s="3">
        <v>-15000</v>
      </c>
      <c r="G554" s="3">
        <v>0</v>
      </c>
      <c r="H554" s="3">
        <v>0</v>
      </c>
      <c r="I554" s="3">
        <f t="shared" si="54"/>
        <v>2839.6416967750661</v>
      </c>
      <c r="J554" s="3">
        <f t="shared" si="55"/>
        <v>2274552.9991168277</v>
      </c>
    </row>
    <row r="555" spans="4:10">
      <c r="D555">
        <v>553</v>
      </c>
      <c r="E555" s="3">
        <f t="shared" si="53"/>
        <v>2274552.9991168277</v>
      </c>
      <c r="F555" s="3">
        <v>-15000</v>
      </c>
      <c r="G555" s="3">
        <v>0</v>
      </c>
      <c r="H555" s="3">
        <v>0</v>
      </c>
      <c r="I555" s="3">
        <f t="shared" si="54"/>
        <v>2824.4412488960347</v>
      </c>
      <c r="J555" s="3">
        <f t="shared" si="55"/>
        <v>2262377.4403657238</v>
      </c>
    </row>
    <row r="556" spans="4:10">
      <c r="D556">
        <v>554</v>
      </c>
      <c r="E556" s="3">
        <f t="shared" si="53"/>
        <v>2262377.4403657238</v>
      </c>
      <c r="F556" s="3">
        <v>-15000</v>
      </c>
      <c r="G556" s="3">
        <v>0</v>
      </c>
      <c r="H556" s="3">
        <v>0</v>
      </c>
      <c r="I556" s="3">
        <f t="shared" si="54"/>
        <v>2809.2218004571546</v>
      </c>
      <c r="J556" s="3">
        <f t="shared" si="55"/>
        <v>2250186.662166181</v>
      </c>
    </row>
    <row r="557" spans="4:10">
      <c r="D557">
        <v>555</v>
      </c>
      <c r="E557" s="3">
        <f t="shared" si="53"/>
        <v>2250186.662166181</v>
      </c>
      <c r="F557" s="3">
        <v>-15000</v>
      </c>
      <c r="G557" s="3">
        <v>0</v>
      </c>
      <c r="H557" s="3">
        <v>0</v>
      </c>
      <c r="I557" s="3">
        <f t="shared" si="54"/>
        <v>2793.9833277077264</v>
      </c>
      <c r="J557" s="3">
        <f t="shared" si="55"/>
        <v>2237980.6454938888</v>
      </c>
    </row>
    <row r="558" spans="4:10">
      <c r="D558">
        <v>556</v>
      </c>
      <c r="E558" s="3">
        <f t="shared" si="53"/>
        <v>2237980.6454938888</v>
      </c>
      <c r="F558" s="3">
        <v>-15000</v>
      </c>
      <c r="G558" s="3">
        <v>0</v>
      </c>
      <c r="H558" s="3">
        <v>0</v>
      </c>
      <c r="I558" s="3">
        <f t="shared" si="54"/>
        <v>2778.7258068673609</v>
      </c>
      <c r="J558" s="3">
        <f t="shared" si="55"/>
        <v>2225759.371300756</v>
      </c>
    </row>
    <row r="559" spans="4:10">
      <c r="D559">
        <v>557</v>
      </c>
      <c r="E559" s="3">
        <f t="shared" si="53"/>
        <v>2225759.371300756</v>
      </c>
      <c r="F559" s="3">
        <v>-15000</v>
      </c>
      <c r="G559" s="3">
        <v>0</v>
      </c>
      <c r="H559" s="3">
        <v>0</v>
      </c>
      <c r="I559" s="3">
        <f t="shared" si="54"/>
        <v>2763.4492141259452</v>
      </c>
      <c r="J559" s="3">
        <f t="shared" si="55"/>
        <v>2213522.820514882</v>
      </c>
    </row>
    <row r="560" spans="4:10">
      <c r="D560">
        <v>558</v>
      </c>
      <c r="E560" s="3">
        <f t="shared" si="53"/>
        <v>2213522.820514882</v>
      </c>
      <c r="F560" s="3">
        <v>-15000</v>
      </c>
      <c r="G560" s="3">
        <v>0</v>
      </c>
      <c r="H560" s="3">
        <v>0</v>
      </c>
      <c r="I560" s="3">
        <f t="shared" si="54"/>
        <v>2748.1535256436027</v>
      </c>
      <c r="J560" s="3">
        <f t="shared" si="55"/>
        <v>2201270.9740405255</v>
      </c>
    </row>
    <row r="561" spans="4:10">
      <c r="D561">
        <v>559</v>
      </c>
      <c r="E561" s="3">
        <f t="shared" si="53"/>
        <v>2201270.9740405255</v>
      </c>
      <c r="F561" s="3">
        <v>-15000</v>
      </c>
      <c r="G561" s="3">
        <v>0</v>
      </c>
      <c r="H561" s="3">
        <v>0</v>
      </c>
      <c r="I561" s="3">
        <f t="shared" si="54"/>
        <v>2732.8387175506568</v>
      </c>
      <c r="J561" s="3">
        <f t="shared" si="55"/>
        <v>2189003.812758076</v>
      </c>
    </row>
    <row r="562" spans="4:10">
      <c r="D562">
        <v>560</v>
      </c>
      <c r="E562" s="3">
        <f t="shared" si="53"/>
        <v>2189003.812758076</v>
      </c>
      <c r="F562" s="3">
        <v>-15000</v>
      </c>
      <c r="G562" s="3">
        <v>0</v>
      </c>
      <c r="H562" s="3">
        <v>0</v>
      </c>
      <c r="I562" s="3">
        <f t="shared" si="54"/>
        <v>2717.5047659475949</v>
      </c>
      <c r="J562" s="3">
        <f t="shared" si="55"/>
        <v>2176721.3175240238</v>
      </c>
    </row>
    <row r="563" spans="4:10">
      <c r="D563">
        <v>561</v>
      </c>
      <c r="E563" s="3">
        <f t="shared" si="53"/>
        <v>2176721.3175240238</v>
      </c>
      <c r="F563" s="3">
        <v>-15000</v>
      </c>
      <c r="G563" s="3">
        <v>0</v>
      </c>
      <c r="H563" s="3">
        <v>0</v>
      </c>
      <c r="I563" s="3">
        <f t="shared" si="54"/>
        <v>2702.1516469050298</v>
      </c>
      <c r="J563" s="3">
        <f t="shared" si="55"/>
        <v>2164423.4691709289</v>
      </c>
    </row>
    <row r="564" spans="4:10">
      <c r="D564">
        <v>562</v>
      </c>
      <c r="E564" s="3">
        <f t="shared" si="53"/>
        <v>2164423.4691709289</v>
      </c>
      <c r="F564" s="3">
        <v>-15000</v>
      </c>
      <c r="G564" s="3">
        <v>0</v>
      </c>
      <c r="H564" s="3">
        <v>0</v>
      </c>
      <c r="I564" s="3">
        <f t="shared" si="54"/>
        <v>2686.7793364636614</v>
      </c>
      <c r="J564" s="3">
        <f t="shared" si="55"/>
        <v>2152110.2485073926</v>
      </c>
    </row>
    <row r="565" spans="4:10">
      <c r="D565">
        <v>563</v>
      </c>
      <c r="E565" s="3">
        <f t="shared" si="53"/>
        <v>2152110.2485073926</v>
      </c>
      <c r="F565" s="3">
        <v>-15000</v>
      </c>
      <c r="G565" s="3">
        <v>0</v>
      </c>
      <c r="H565" s="3">
        <v>0</v>
      </c>
      <c r="I565" s="3">
        <f t="shared" si="54"/>
        <v>2671.3878106342409</v>
      </c>
      <c r="J565" s="3">
        <f t="shared" si="55"/>
        <v>2139781.636318027</v>
      </c>
    </row>
    <row r="566" spans="4:10">
      <c r="D566">
        <v>564</v>
      </c>
      <c r="E566" s="3">
        <f t="shared" si="53"/>
        <v>2139781.636318027</v>
      </c>
      <c r="F566" s="3">
        <v>-15000</v>
      </c>
      <c r="G566" s="3">
        <v>0</v>
      </c>
      <c r="H566" s="3">
        <v>0</v>
      </c>
      <c r="I566" s="3">
        <f t="shared" si="54"/>
        <v>2655.9770453975339</v>
      </c>
      <c r="J566" s="3">
        <f t="shared" si="55"/>
        <v>2127437.6133634248</v>
      </c>
    </row>
    <row r="567" spans="4:10">
      <c r="D567">
        <v>565</v>
      </c>
      <c r="E567" s="3">
        <f t="shared" si="53"/>
        <v>2127437.6133634248</v>
      </c>
      <c r="F567" s="3">
        <v>-15000</v>
      </c>
      <c r="G567" s="3">
        <v>0</v>
      </c>
      <c r="H567" s="3">
        <v>0</v>
      </c>
      <c r="I567" s="3">
        <f t="shared" si="54"/>
        <v>2640.5470167042808</v>
      </c>
      <c r="J567" s="3">
        <f t="shared" si="55"/>
        <v>2115078.1603801292</v>
      </c>
    </row>
    <row r="568" spans="4:10">
      <c r="D568">
        <v>566</v>
      </c>
      <c r="E568" s="3">
        <f t="shared" si="53"/>
        <v>2115078.1603801292</v>
      </c>
      <c r="F568" s="3">
        <v>-15000</v>
      </c>
      <c r="G568" s="3">
        <v>0</v>
      </c>
      <c r="H568" s="3">
        <v>0</v>
      </c>
      <c r="I568" s="3">
        <f t="shared" si="54"/>
        <v>2625.0977004751617</v>
      </c>
      <c r="J568" s="3">
        <f t="shared" si="55"/>
        <v>2102703.2580806045</v>
      </c>
    </row>
    <row r="569" spans="4:10">
      <c r="D569">
        <v>567</v>
      </c>
      <c r="E569" s="3">
        <f t="shared" si="53"/>
        <v>2102703.2580806045</v>
      </c>
      <c r="F569" s="3">
        <v>-15000</v>
      </c>
      <c r="G569" s="3">
        <v>0</v>
      </c>
      <c r="H569" s="3">
        <v>0</v>
      </c>
      <c r="I569" s="3">
        <f t="shared" si="54"/>
        <v>2609.6290726007555</v>
      </c>
      <c r="J569" s="3">
        <f t="shared" si="55"/>
        <v>2090312.8871532052</v>
      </c>
    </row>
    <row r="570" spans="4:10">
      <c r="D570">
        <v>568</v>
      </c>
      <c r="E570" s="3">
        <f t="shared" si="53"/>
        <v>2090312.8871532052</v>
      </c>
      <c r="F570" s="3">
        <v>-15000</v>
      </c>
      <c r="G570" s="3">
        <v>0</v>
      </c>
      <c r="H570" s="3">
        <v>0</v>
      </c>
      <c r="I570" s="3">
        <f t="shared" si="54"/>
        <v>2594.1411089415064</v>
      </c>
      <c r="J570" s="3">
        <f t="shared" si="55"/>
        <v>2077907.0282621467</v>
      </c>
    </row>
    <row r="571" spans="4:10">
      <c r="D571">
        <v>569</v>
      </c>
      <c r="E571" s="3">
        <f t="shared" si="53"/>
        <v>2077907.0282621467</v>
      </c>
      <c r="F571" s="3">
        <v>-15000</v>
      </c>
      <c r="G571" s="3">
        <v>0</v>
      </c>
      <c r="H571" s="3">
        <v>0</v>
      </c>
      <c r="I571" s="3">
        <f t="shared" si="54"/>
        <v>2578.6337853276837</v>
      </c>
      <c r="J571" s="3">
        <f t="shared" si="55"/>
        <v>2065485.6620474744</v>
      </c>
    </row>
    <row r="572" spans="4:10">
      <c r="D572">
        <v>570</v>
      </c>
      <c r="E572" s="3">
        <f t="shared" si="53"/>
        <v>2065485.6620474744</v>
      </c>
      <c r="F572" s="3">
        <v>-15000</v>
      </c>
      <c r="G572" s="3">
        <v>0</v>
      </c>
      <c r="H572" s="3">
        <v>0</v>
      </c>
      <c r="I572" s="3">
        <f t="shared" si="54"/>
        <v>2563.107077559343</v>
      </c>
      <c r="J572" s="3">
        <f t="shared" si="55"/>
        <v>2053048.7691250339</v>
      </c>
    </row>
    <row r="573" spans="4:10">
      <c r="D573">
        <v>571</v>
      </c>
      <c r="E573" s="3">
        <f t="shared" si="53"/>
        <v>2053048.7691250339</v>
      </c>
      <c r="F573" s="3">
        <v>-15000</v>
      </c>
      <c r="G573" s="3">
        <v>0</v>
      </c>
      <c r="H573" s="3">
        <v>0</v>
      </c>
      <c r="I573" s="3">
        <f t="shared" si="54"/>
        <v>2547.5609614062923</v>
      </c>
      <c r="J573" s="3">
        <f t="shared" si="55"/>
        <v>2040596.3300864401</v>
      </c>
    </row>
    <row r="574" spans="4:10">
      <c r="D574">
        <v>572</v>
      </c>
      <c r="E574" s="3">
        <f t="shared" si="53"/>
        <v>2040596.3300864401</v>
      </c>
      <c r="F574" s="3">
        <v>-15000</v>
      </c>
      <c r="G574" s="3">
        <v>0</v>
      </c>
      <c r="H574" s="3">
        <v>0</v>
      </c>
      <c r="I574" s="3">
        <f t="shared" si="54"/>
        <v>2531.9954126080502</v>
      </c>
      <c r="J574" s="3">
        <f t="shared" si="55"/>
        <v>2028128.3254990482</v>
      </c>
    </row>
    <row r="575" spans="4:10">
      <c r="D575">
        <v>573</v>
      </c>
      <c r="E575" s="3">
        <f t="shared" si="53"/>
        <v>2028128.3254990482</v>
      </c>
      <c r="F575" s="3">
        <v>-15000</v>
      </c>
      <c r="G575" s="3">
        <v>0</v>
      </c>
      <c r="H575" s="3">
        <v>0</v>
      </c>
      <c r="I575" s="3">
        <f t="shared" si="54"/>
        <v>2516.4104068738102</v>
      </c>
      <c r="J575" s="3">
        <f t="shared" si="55"/>
        <v>2015644.735905922</v>
      </c>
    </row>
    <row r="576" spans="4:10">
      <c r="D576">
        <v>574</v>
      </c>
      <c r="E576" s="3">
        <f t="shared" si="53"/>
        <v>2015644.735905922</v>
      </c>
      <c r="F576" s="3">
        <v>-15000</v>
      </c>
      <c r="G576" s="3">
        <v>0</v>
      </c>
      <c r="H576" s="3">
        <v>0</v>
      </c>
      <c r="I576" s="3">
        <f t="shared" si="54"/>
        <v>2500.8059198824026</v>
      </c>
      <c r="J576" s="3">
        <f t="shared" si="55"/>
        <v>2003145.5418258044</v>
      </c>
    </row>
    <row r="577" spans="4:10">
      <c r="D577">
        <v>575</v>
      </c>
      <c r="E577" s="3">
        <f t="shared" si="53"/>
        <v>2003145.5418258044</v>
      </c>
      <c r="F577" s="3">
        <v>-15000</v>
      </c>
      <c r="G577" s="3">
        <v>0</v>
      </c>
      <c r="H577" s="3">
        <v>0</v>
      </c>
      <c r="I577" s="3">
        <f t="shared" si="54"/>
        <v>2485.1819272822554</v>
      </c>
      <c r="J577" s="3">
        <f t="shared" si="55"/>
        <v>1990630.7237530868</v>
      </c>
    </row>
    <row r="578" spans="4:10">
      <c r="D578">
        <v>576</v>
      </c>
      <c r="E578" s="3">
        <f t="shared" si="53"/>
        <v>1990630.7237530868</v>
      </c>
      <c r="F578" s="3">
        <v>-15000</v>
      </c>
      <c r="G578" s="3">
        <v>0</v>
      </c>
      <c r="H578" s="3">
        <v>0</v>
      </c>
      <c r="I578" s="3">
        <f t="shared" si="54"/>
        <v>2469.5384046913587</v>
      </c>
      <c r="J578" s="3">
        <f t="shared" si="55"/>
        <v>1978100.262157778</v>
      </c>
    </row>
    <row r="579" spans="4:10">
      <c r="D579">
        <v>577</v>
      </c>
      <c r="E579" s="3">
        <f t="shared" si="53"/>
        <v>1978100.262157778</v>
      </c>
      <c r="F579" s="3">
        <v>-15000</v>
      </c>
      <c r="G579" s="3">
        <v>0</v>
      </c>
      <c r="H579" s="3">
        <v>0</v>
      </c>
      <c r="I579" s="3">
        <f t="shared" si="54"/>
        <v>2453.8753276972225</v>
      </c>
      <c r="J579" s="3">
        <f t="shared" si="55"/>
        <v>1965554.1374854753</v>
      </c>
    </row>
    <row r="580" spans="4:10">
      <c r="D580">
        <v>578</v>
      </c>
      <c r="E580" s="3">
        <f t="shared" si="53"/>
        <v>1965554.1374854753</v>
      </c>
      <c r="F580" s="3">
        <v>-15000</v>
      </c>
      <c r="G580" s="3">
        <v>0</v>
      </c>
      <c r="H580" s="3">
        <v>0</v>
      </c>
      <c r="I580" s="3">
        <f t="shared" si="54"/>
        <v>2438.1926718568443</v>
      </c>
      <c r="J580" s="3">
        <f t="shared" si="55"/>
        <v>1952992.3301573321</v>
      </c>
    </row>
    <row r="581" spans="4:10">
      <c r="D581">
        <v>579</v>
      </c>
      <c r="E581" s="3">
        <f t="shared" si="53"/>
        <v>1952992.3301573321</v>
      </c>
      <c r="F581" s="3">
        <v>-15000</v>
      </c>
      <c r="G581" s="3">
        <v>0</v>
      </c>
      <c r="H581" s="3">
        <v>0</v>
      </c>
      <c r="I581" s="3">
        <f t="shared" si="54"/>
        <v>2422.4904126966653</v>
      </c>
      <c r="J581" s="3">
        <f t="shared" si="55"/>
        <v>1940414.8205700289</v>
      </c>
    </row>
    <row r="582" spans="4:10">
      <c r="D582">
        <v>580</v>
      </c>
      <c r="E582" s="3">
        <f t="shared" si="53"/>
        <v>1940414.8205700289</v>
      </c>
      <c r="F582" s="3">
        <v>-15000</v>
      </c>
      <c r="G582" s="3">
        <v>0</v>
      </c>
      <c r="H582" s="3">
        <v>0</v>
      </c>
      <c r="I582" s="3">
        <f t="shared" si="54"/>
        <v>2406.7685257125363</v>
      </c>
      <c r="J582" s="3">
        <f t="shared" si="55"/>
        <v>1927821.5890957413</v>
      </c>
    </row>
    <row r="583" spans="4:10">
      <c r="D583">
        <v>581</v>
      </c>
      <c r="E583" s="3">
        <f t="shared" si="53"/>
        <v>1927821.5890957413</v>
      </c>
      <c r="F583" s="3">
        <v>-15000</v>
      </c>
      <c r="G583" s="3">
        <v>0</v>
      </c>
      <c r="H583" s="3">
        <v>0</v>
      </c>
      <c r="I583" s="3">
        <f t="shared" si="54"/>
        <v>2391.0269863696767</v>
      </c>
      <c r="J583" s="3">
        <f t="shared" si="55"/>
        <v>1915212.6160821109</v>
      </c>
    </row>
    <row r="584" spans="4:10">
      <c r="D584">
        <v>582</v>
      </c>
      <c r="E584" s="3">
        <f t="shared" si="53"/>
        <v>1915212.6160821109</v>
      </c>
      <c r="F584" s="3">
        <v>-15000</v>
      </c>
      <c r="G584" s="3">
        <v>0</v>
      </c>
      <c r="H584" s="3">
        <v>0</v>
      </c>
      <c r="I584" s="3">
        <f t="shared" si="54"/>
        <v>2375.2657701026387</v>
      </c>
      <c r="J584" s="3">
        <f t="shared" si="55"/>
        <v>1902587.8818522135</v>
      </c>
    </row>
    <row r="585" spans="4:10">
      <c r="D585">
        <v>583</v>
      </c>
      <c r="E585" s="3">
        <f t="shared" si="53"/>
        <v>1902587.8818522135</v>
      </c>
      <c r="F585" s="3">
        <v>-15000</v>
      </c>
      <c r="G585" s="3">
        <v>0</v>
      </c>
      <c r="H585" s="3">
        <v>0</v>
      </c>
      <c r="I585" s="3">
        <f t="shared" si="54"/>
        <v>2359.4848523152668</v>
      </c>
      <c r="J585" s="3">
        <f t="shared" si="55"/>
        <v>1889947.3667045287</v>
      </c>
    </row>
    <row r="586" spans="4:10">
      <c r="D586">
        <v>584</v>
      </c>
      <c r="E586" s="3">
        <f t="shared" si="53"/>
        <v>1889947.3667045287</v>
      </c>
      <c r="F586" s="3">
        <v>-15000</v>
      </c>
      <c r="G586" s="3">
        <v>0</v>
      </c>
      <c r="H586" s="3">
        <v>0</v>
      </c>
      <c r="I586" s="3">
        <f t="shared" si="54"/>
        <v>2343.6842083806609</v>
      </c>
      <c r="J586" s="3">
        <f t="shared" si="55"/>
        <v>1877291.0509129094</v>
      </c>
    </row>
    <row r="587" spans="4:10">
      <c r="D587">
        <v>585</v>
      </c>
      <c r="E587" s="3">
        <f t="shared" si="53"/>
        <v>1877291.0509129094</v>
      </c>
      <c r="F587" s="3">
        <v>-15000</v>
      </c>
      <c r="G587" s="3">
        <v>0</v>
      </c>
      <c r="H587" s="3">
        <v>0</v>
      </c>
      <c r="I587" s="3">
        <f t="shared" si="54"/>
        <v>2327.8638136411369</v>
      </c>
      <c r="J587" s="3">
        <f t="shared" si="55"/>
        <v>1864618.9147265507</v>
      </c>
    </row>
    <row r="588" spans="4:10">
      <c r="D588">
        <v>586</v>
      </c>
      <c r="E588" s="3">
        <f t="shared" si="53"/>
        <v>1864618.9147265507</v>
      </c>
      <c r="F588" s="3">
        <v>-15000</v>
      </c>
      <c r="G588" s="3">
        <v>0</v>
      </c>
      <c r="H588" s="3">
        <v>0</v>
      </c>
      <c r="I588" s="3">
        <f t="shared" si="54"/>
        <v>2312.0236434081885</v>
      </c>
      <c r="J588" s="3">
        <f t="shared" si="55"/>
        <v>1851930.9383699589</v>
      </c>
    </row>
    <row r="589" spans="4:10">
      <c r="D589">
        <v>587</v>
      </c>
      <c r="E589" s="3">
        <f t="shared" si="53"/>
        <v>1851930.9383699589</v>
      </c>
      <c r="F589" s="3">
        <v>-15000</v>
      </c>
      <c r="G589" s="3">
        <v>0</v>
      </c>
      <c r="H589" s="3">
        <v>0</v>
      </c>
      <c r="I589" s="3">
        <f t="shared" si="54"/>
        <v>2296.1636729624488</v>
      </c>
      <c r="J589" s="3">
        <f t="shared" si="55"/>
        <v>1839227.1020429214</v>
      </c>
    </row>
    <row r="590" spans="4:10">
      <c r="D590">
        <v>588</v>
      </c>
      <c r="E590" s="3">
        <f t="shared" si="53"/>
        <v>1839227.1020429214</v>
      </c>
      <c r="F590" s="3">
        <v>-15000</v>
      </c>
      <c r="G590" s="3">
        <v>0</v>
      </c>
      <c r="H590" s="3">
        <v>0</v>
      </c>
      <c r="I590" s="3">
        <f t="shared" si="54"/>
        <v>2280.2838775536516</v>
      </c>
      <c r="J590" s="3">
        <f t="shared" si="55"/>
        <v>1826507.385920475</v>
      </c>
    </row>
    <row r="591" spans="4:10">
      <c r="D591">
        <v>589</v>
      </c>
      <c r="E591" s="3">
        <f t="shared" si="53"/>
        <v>1826507.385920475</v>
      </c>
      <c r="F591" s="3">
        <v>-15000</v>
      </c>
      <c r="G591" s="3">
        <v>0</v>
      </c>
      <c r="H591" s="3">
        <v>0</v>
      </c>
      <c r="I591" s="3">
        <f t="shared" si="54"/>
        <v>2264.3842324005936</v>
      </c>
      <c r="J591" s="3">
        <f t="shared" si="55"/>
        <v>1813771.7701528757</v>
      </c>
    </row>
    <row r="592" spans="4:10">
      <c r="D592">
        <v>590</v>
      </c>
      <c r="E592" s="3">
        <f t="shared" si="53"/>
        <v>1813771.7701528757</v>
      </c>
      <c r="F592" s="3">
        <v>-15000</v>
      </c>
      <c r="G592" s="3">
        <v>0</v>
      </c>
      <c r="H592" s="3">
        <v>0</v>
      </c>
      <c r="I592" s="3">
        <f t="shared" si="54"/>
        <v>2248.4647126910945</v>
      </c>
      <c r="J592" s="3">
        <f t="shared" si="55"/>
        <v>1801020.2348655667</v>
      </c>
    </row>
    <row r="593" spans="4:10">
      <c r="D593">
        <v>591</v>
      </c>
      <c r="E593" s="3">
        <f t="shared" si="53"/>
        <v>1801020.2348655667</v>
      </c>
      <c r="F593" s="3">
        <v>-15000</v>
      </c>
      <c r="G593" s="3">
        <v>0</v>
      </c>
      <c r="H593" s="3">
        <v>0</v>
      </c>
      <c r="I593" s="3">
        <f t="shared" si="54"/>
        <v>2232.5252935819585</v>
      </c>
      <c r="J593" s="3">
        <f t="shared" si="55"/>
        <v>1788252.7601591486</v>
      </c>
    </row>
    <row r="594" spans="4:10">
      <c r="D594">
        <v>592</v>
      </c>
      <c r="E594" s="3">
        <f t="shared" si="53"/>
        <v>1788252.7601591486</v>
      </c>
      <c r="F594" s="3">
        <v>-15000</v>
      </c>
      <c r="G594" s="3">
        <v>0</v>
      </c>
      <c r="H594" s="3">
        <v>0</v>
      </c>
      <c r="I594" s="3">
        <f t="shared" si="54"/>
        <v>2216.5659501989358</v>
      </c>
      <c r="J594" s="3">
        <f t="shared" si="55"/>
        <v>1775469.3261093476</v>
      </c>
    </row>
    <row r="595" spans="4:10">
      <c r="D595">
        <v>593</v>
      </c>
      <c r="E595" s="3">
        <f t="shared" si="53"/>
        <v>1775469.3261093476</v>
      </c>
      <c r="F595" s="3">
        <v>-15000</v>
      </c>
      <c r="G595" s="3">
        <v>0</v>
      </c>
      <c r="H595" s="3">
        <v>0</v>
      </c>
      <c r="I595" s="3">
        <f t="shared" si="54"/>
        <v>2200.5866576366848</v>
      </c>
      <c r="J595" s="3">
        <f t="shared" si="55"/>
        <v>1762669.9127669844</v>
      </c>
    </row>
    <row r="596" spans="4:10">
      <c r="D596">
        <v>594</v>
      </c>
      <c r="E596" s="3">
        <f t="shared" si="53"/>
        <v>1762669.9127669844</v>
      </c>
      <c r="F596" s="3">
        <v>-15000</v>
      </c>
      <c r="G596" s="3">
        <v>0</v>
      </c>
      <c r="H596" s="3">
        <v>0</v>
      </c>
      <c r="I596" s="3">
        <f t="shared" si="54"/>
        <v>2184.5873909587308</v>
      </c>
      <c r="J596" s="3">
        <f t="shared" si="55"/>
        <v>1749854.5001579432</v>
      </c>
    </row>
    <row r="597" spans="4:10">
      <c r="D597">
        <v>595</v>
      </c>
      <c r="E597" s="3">
        <f t="shared" si="53"/>
        <v>1749854.5001579432</v>
      </c>
      <c r="F597" s="3">
        <v>-15000</v>
      </c>
      <c r="G597" s="3">
        <v>0</v>
      </c>
      <c r="H597" s="3">
        <v>0</v>
      </c>
      <c r="I597" s="3">
        <f t="shared" si="54"/>
        <v>2168.5681251974293</v>
      </c>
      <c r="J597" s="3">
        <f t="shared" si="55"/>
        <v>1737023.0682831407</v>
      </c>
    </row>
    <row r="598" spans="4:10">
      <c r="D598">
        <v>596</v>
      </c>
      <c r="E598" s="3">
        <f t="shared" si="53"/>
        <v>1737023.0682831407</v>
      </c>
      <c r="F598" s="3">
        <v>-15000</v>
      </c>
      <c r="G598" s="3">
        <v>0</v>
      </c>
      <c r="H598" s="3">
        <v>0</v>
      </c>
      <c r="I598" s="3">
        <f t="shared" si="54"/>
        <v>2152.5288353539258</v>
      </c>
      <c r="J598" s="3">
        <f t="shared" si="55"/>
        <v>1724175.5971184946</v>
      </c>
    </row>
    <row r="599" spans="4:10">
      <c r="D599">
        <v>597</v>
      </c>
      <c r="E599" s="3">
        <f t="shared" si="53"/>
        <v>1724175.5971184946</v>
      </c>
      <c r="F599" s="3">
        <v>-15000</v>
      </c>
      <c r="G599" s="3">
        <v>0</v>
      </c>
      <c r="H599" s="3">
        <v>0</v>
      </c>
      <c r="I599" s="3">
        <f t="shared" si="54"/>
        <v>2136.4694963981183</v>
      </c>
      <c r="J599" s="3">
        <f t="shared" si="55"/>
        <v>1711312.0666148928</v>
      </c>
    </row>
    <row r="600" spans="4:10">
      <c r="D600">
        <v>598</v>
      </c>
      <c r="E600" s="3">
        <f t="shared" si="53"/>
        <v>1711312.0666148928</v>
      </c>
      <c r="F600" s="3">
        <v>-15000</v>
      </c>
      <c r="G600" s="3">
        <v>0</v>
      </c>
      <c r="H600" s="3">
        <v>0</v>
      </c>
      <c r="I600" s="3">
        <f t="shared" si="54"/>
        <v>2120.3900832686159</v>
      </c>
      <c r="J600" s="3">
        <f t="shared" si="55"/>
        <v>1698432.4566981613</v>
      </c>
    </row>
    <row r="601" spans="4:10">
      <c r="D601">
        <v>599</v>
      </c>
      <c r="E601" s="3">
        <f t="shared" si="53"/>
        <v>1698432.4566981613</v>
      </c>
      <c r="F601" s="3">
        <v>-15000</v>
      </c>
      <c r="G601" s="3">
        <v>0</v>
      </c>
      <c r="H601" s="3">
        <v>0</v>
      </c>
      <c r="I601" s="3">
        <f t="shared" si="54"/>
        <v>2104.2905708727017</v>
      </c>
      <c r="J601" s="3">
        <f t="shared" si="55"/>
        <v>1685536.7472690339</v>
      </c>
    </row>
    <row r="602" spans="4:10">
      <c r="D602">
        <v>600</v>
      </c>
      <c r="E602" s="3">
        <f t="shared" si="53"/>
        <v>1685536.7472690339</v>
      </c>
      <c r="F602" s="3">
        <v>-15000</v>
      </c>
      <c r="G602" s="3">
        <v>0</v>
      </c>
      <c r="H602" s="3">
        <v>0</v>
      </c>
      <c r="I602" s="3">
        <f t="shared" si="54"/>
        <v>2088.1709340862926</v>
      </c>
      <c r="J602" s="3">
        <f t="shared" si="55"/>
        <v>1672624.9182031201</v>
      </c>
    </row>
    <row r="603" spans="4:10">
      <c r="D603">
        <v>601</v>
      </c>
      <c r="E603" s="3">
        <f t="shared" si="53"/>
        <v>1672624.9182031201</v>
      </c>
      <c r="F603" s="3">
        <v>-15000</v>
      </c>
      <c r="G603" s="3">
        <v>0</v>
      </c>
      <c r="H603" s="3">
        <v>0</v>
      </c>
      <c r="I603" s="3">
        <f t="shared" si="54"/>
        <v>2072.0311477539003</v>
      </c>
      <c r="J603" s="3">
        <f t="shared" si="55"/>
        <v>1659696.9493508739</v>
      </c>
    </row>
    <row r="604" spans="4:10">
      <c r="D604">
        <v>602</v>
      </c>
      <c r="E604" s="3">
        <f t="shared" si="53"/>
        <v>1659696.9493508739</v>
      </c>
      <c r="F604" s="3">
        <v>-15000</v>
      </c>
      <c r="G604" s="3">
        <v>0</v>
      </c>
      <c r="H604" s="3">
        <v>0</v>
      </c>
      <c r="I604" s="3">
        <f t="shared" si="54"/>
        <v>2055.8711866885924</v>
      </c>
      <c r="J604" s="3">
        <f t="shared" si="55"/>
        <v>1646752.8205375625</v>
      </c>
    </row>
    <row r="605" spans="4:10">
      <c r="D605">
        <v>603</v>
      </c>
      <c r="E605" s="3">
        <f t="shared" si="53"/>
        <v>1646752.8205375625</v>
      </c>
      <c r="F605" s="3">
        <v>-15000</v>
      </c>
      <c r="G605" s="3">
        <v>0</v>
      </c>
      <c r="H605" s="3">
        <v>0</v>
      </c>
      <c r="I605" s="3">
        <f t="shared" si="54"/>
        <v>2039.6910256719532</v>
      </c>
      <c r="J605" s="3">
        <f t="shared" si="55"/>
        <v>1633792.5115632345</v>
      </c>
    </row>
    <row r="606" spans="4:10">
      <c r="D606">
        <v>604</v>
      </c>
      <c r="E606" s="3">
        <f t="shared" si="53"/>
        <v>1633792.5115632345</v>
      </c>
      <c r="F606" s="3">
        <v>-15000</v>
      </c>
      <c r="G606" s="3">
        <v>0</v>
      </c>
      <c r="H606" s="3">
        <v>0</v>
      </c>
      <c r="I606" s="3">
        <f t="shared" si="54"/>
        <v>2023.4906394540433</v>
      </c>
      <c r="J606" s="3">
        <f t="shared" si="55"/>
        <v>1620816.0022026885</v>
      </c>
    </row>
    <row r="607" spans="4:10">
      <c r="D607">
        <v>605</v>
      </c>
      <c r="E607" s="3">
        <f t="shared" si="53"/>
        <v>1620816.0022026885</v>
      </c>
      <c r="F607" s="3">
        <v>-15000</v>
      </c>
      <c r="G607" s="3">
        <v>0</v>
      </c>
      <c r="H607" s="3">
        <v>0</v>
      </c>
      <c r="I607" s="3">
        <f t="shared" si="54"/>
        <v>2007.2700027533606</v>
      </c>
      <c r="J607" s="3">
        <f t="shared" si="55"/>
        <v>1607823.272205442</v>
      </c>
    </row>
    <row r="608" spans="4:10">
      <c r="D608">
        <v>606</v>
      </c>
      <c r="E608" s="3">
        <f t="shared" si="53"/>
        <v>1607823.272205442</v>
      </c>
      <c r="F608" s="3">
        <v>-15000</v>
      </c>
      <c r="G608" s="3">
        <v>0</v>
      </c>
      <c r="H608" s="3">
        <v>0</v>
      </c>
      <c r="I608" s="3">
        <f t="shared" si="54"/>
        <v>1991.0290902568024</v>
      </c>
      <c r="J608" s="3">
        <f t="shared" si="55"/>
        <v>1594814.3012956989</v>
      </c>
    </row>
    <row r="609" spans="4:10">
      <c r="D609">
        <v>607</v>
      </c>
      <c r="E609" s="3">
        <f t="shared" si="53"/>
        <v>1594814.3012956989</v>
      </c>
      <c r="F609" s="3">
        <v>-15000</v>
      </c>
      <c r="G609" s="3">
        <v>0</v>
      </c>
      <c r="H609" s="3">
        <v>0</v>
      </c>
      <c r="I609" s="3">
        <f t="shared" si="54"/>
        <v>1974.7678766196236</v>
      </c>
      <c r="J609" s="3">
        <f t="shared" si="55"/>
        <v>1581789.0691723186</v>
      </c>
    </row>
    <row r="610" spans="4:10">
      <c r="D610">
        <v>608</v>
      </c>
      <c r="E610" s="3">
        <f t="shared" si="53"/>
        <v>1581789.0691723186</v>
      </c>
      <c r="F610" s="3">
        <v>-15000</v>
      </c>
      <c r="G610" s="3">
        <v>0</v>
      </c>
      <c r="H610" s="3">
        <v>0</v>
      </c>
      <c r="I610" s="3">
        <f t="shared" si="54"/>
        <v>1958.4863364653982</v>
      </c>
      <c r="J610" s="3">
        <f t="shared" si="55"/>
        <v>1568747.555508784</v>
      </c>
    </row>
    <row r="611" spans="4:10">
      <c r="D611">
        <v>609</v>
      </c>
      <c r="E611" s="3">
        <f t="shared" si="53"/>
        <v>1568747.555508784</v>
      </c>
      <c r="F611" s="3">
        <v>-15000</v>
      </c>
      <c r="G611" s="3">
        <v>0</v>
      </c>
      <c r="H611" s="3">
        <v>0</v>
      </c>
      <c r="I611" s="3">
        <f t="shared" si="54"/>
        <v>1942.18444438598</v>
      </c>
      <c r="J611" s="3">
        <f t="shared" si="55"/>
        <v>1555689.7399531701</v>
      </c>
    </row>
    <row r="612" spans="4:10">
      <c r="D612">
        <v>610</v>
      </c>
      <c r="E612" s="3">
        <f t="shared" ref="E612:E622" si="56">J611</f>
        <v>1555689.7399531701</v>
      </c>
      <c r="F612" s="3">
        <v>-15000</v>
      </c>
      <c r="G612" s="3">
        <v>0</v>
      </c>
      <c r="H612" s="3">
        <v>0</v>
      </c>
      <c r="I612" s="3">
        <f t="shared" ref="I612:I622" si="57">$B$9*SUM(E612:H612)</f>
        <v>1925.8621749414626</v>
      </c>
      <c r="J612" s="3">
        <f t="shared" ref="J612:J622" si="58">SUM(E612:I612)</f>
        <v>1542615.6021281115</v>
      </c>
    </row>
    <row r="613" spans="4:10">
      <c r="D613">
        <v>611</v>
      </c>
      <c r="E613" s="3">
        <f t="shared" si="56"/>
        <v>1542615.6021281115</v>
      </c>
      <c r="F613" s="3">
        <v>-15000</v>
      </c>
      <c r="G613" s="3">
        <v>0</v>
      </c>
      <c r="H613" s="3">
        <v>0</v>
      </c>
      <c r="I613" s="3">
        <f t="shared" si="57"/>
        <v>1909.5195026601396</v>
      </c>
      <c r="J613" s="3">
        <f t="shared" si="58"/>
        <v>1529525.1216307716</v>
      </c>
    </row>
    <row r="614" spans="4:10">
      <c r="D614">
        <v>612</v>
      </c>
      <c r="E614" s="3">
        <f t="shared" si="56"/>
        <v>1529525.1216307716</v>
      </c>
      <c r="F614" s="3">
        <v>-15000</v>
      </c>
      <c r="G614" s="3">
        <v>0</v>
      </c>
      <c r="H614" s="3">
        <v>0</v>
      </c>
      <c r="I614" s="3">
        <f t="shared" si="57"/>
        <v>1893.1564020384644</v>
      </c>
      <c r="J614" s="3">
        <f t="shared" si="58"/>
        <v>1516418.27803281</v>
      </c>
    </row>
    <row r="615" spans="4:10">
      <c r="D615">
        <v>613</v>
      </c>
      <c r="E615" s="3">
        <f t="shared" si="56"/>
        <v>1516418.27803281</v>
      </c>
      <c r="F615" s="3">
        <v>-15000</v>
      </c>
      <c r="G615" s="3">
        <v>0</v>
      </c>
      <c r="H615" s="3">
        <v>0</v>
      </c>
      <c r="I615" s="3">
        <f t="shared" si="57"/>
        <v>1876.7728475410124</v>
      </c>
      <c r="J615" s="3">
        <f t="shared" si="58"/>
        <v>1503295.0508803509</v>
      </c>
    </row>
    <row r="616" spans="4:10">
      <c r="D616">
        <v>614</v>
      </c>
      <c r="E616" s="3">
        <f t="shared" si="56"/>
        <v>1503295.0508803509</v>
      </c>
      <c r="F616" s="3">
        <v>-15000</v>
      </c>
      <c r="G616" s="3">
        <v>0</v>
      </c>
      <c r="H616" s="3">
        <v>0</v>
      </c>
      <c r="I616" s="3">
        <f t="shared" si="57"/>
        <v>1860.3688136004387</v>
      </c>
      <c r="J616" s="3">
        <f t="shared" si="58"/>
        <v>1490155.4196939513</v>
      </c>
    </row>
    <row r="617" spans="4:10">
      <c r="D617">
        <v>615</v>
      </c>
      <c r="E617" s="3">
        <f t="shared" si="56"/>
        <v>1490155.4196939513</v>
      </c>
      <c r="F617" s="3">
        <v>-15000</v>
      </c>
      <c r="G617" s="3">
        <v>0</v>
      </c>
      <c r="H617" s="3">
        <v>0</v>
      </c>
      <c r="I617" s="3">
        <f t="shared" si="57"/>
        <v>1843.9442746174391</v>
      </c>
      <c r="J617" s="3">
        <f t="shared" si="58"/>
        <v>1476999.3639685686</v>
      </c>
    </row>
    <row r="618" spans="4:10">
      <c r="D618">
        <v>616</v>
      </c>
      <c r="E618" s="3">
        <f t="shared" si="56"/>
        <v>1476999.3639685686</v>
      </c>
      <c r="F618" s="3">
        <v>-15000</v>
      </c>
      <c r="G618" s="3">
        <v>0</v>
      </c>
      <c r="H618" s="3">
        <v>0</v>
      </c>
      <c r="I618" s="3">
        <f t="shared" si="57"/>
        <v>1827.4992049607108</v>
      </c>
      <c r="J618" s="3">
        <f t="shared" si="58"/>
        <v>1463826.8631735293</v>
      </c>
    </row>
    <row r="619" spans="4:10">
      <c r="D619">
        <v>617</v>
      </c>
      <c r="E619" s="3">
        <f t="shared" si="56"/>
        <v>1463826.8631735293</v>
      </c>
      <c r="F619" s="3">
        <v>-15000</v>
      </c>
      <c r="G619" s="3">
        <v>0</v>
      </c>
      <c r="H619" s="3">
        <v>0</v>
      </c>
      <c r="I619" s="3">
        <f t="shared" si="57"/>
        <v>1811.0335789669116</v>
      </c>
      <c r="J619" s="3">
        <f t="shared" si="58"/>
        <v>1450637.8967524962</v>
      </c>
    </row>
    <row r="620" spans="4:10">
      <c r="D620">
        <v>618</v>
      </c>
      <c r="E620" s="3">
        <f t="shared" si="56"/>
        <v>1450637.8967524962</v>
      </c>
      <c r="F620" s="3">
        <v>-15000</v>
      </c>
      <c r="G620" s="3">
        <v>0</v>
      </c>
      <c r="H620" s="3">
        <v>0</v>
      </c>
      <c r="I620" s="3">
        <f t="shared" si="57"/>
        <v>1794.5473709406203</v>
      </c>
      <c r="J620" s="3">
        <f t="shared" si="58"/>
        <v>1437432.4441234369</v>
      </c>
    </row>
    <row r="621" spans="4:10">
      <c r="D621">
        <v>619</v>
      </c>
      <c r="E621" s="3">
        <f t="shared" si="56"/>
        <v>1437432.4441234369</v>
      </c>
      <c r="F621" s="3">
        <v>-15000</v>
      </c>
      <c r="G621" s="3">
        <v>0</v>
      </c>
      <c r="H621" s="3">
        <v>0</v>
      </c>
      <c r="I621" s="3">
        <f t="shared" si="57"/>
        <v>1778.0405551542963</v>
      </c>
      <c r="J621" s="3">
        <f t="shared" si="58"/>
        <v>1424210.4846785911</v>
      </c>
    </row>
    <row r="622" spans="4:10">
      <c r="D622">
        <v>620</v>
      </c>
      <c r="E622" s="3">
        <f t="shared" si="56"/>
        <v>1424210.4846785911</v>
      </c>
      <c r="F622" s="3">
        <v>-15000</v>
      </c>
      <c r="G622" s="3">
        <v>0</v>
      </c>
      <c r="H622" s="3">
        <v>0</v>
      </c>
      <c r="I622" s="3">
        <f t="shared" si="57"/>
        <v>1761.5131058482389</v>
      </c>
      <c r="J622" s="3">
        <f t="shared" si="58"/>
        <v>1410971.9977844395</v>
      </c>
    </row>
    <row r="623" spans="4:10">
      <c r="D623">
        <v>621</v>
      </c>
      <c r="E623" s="3">
        <f t="shared" ref="E623:E663" si="59">J622</f>
        <v>1410971.9977844395</v>
      </c>
      <c r="F623" s="3">
        <v>-15000</v>
      </c>
      <c r="G623" s="3">
        <v>0</v>
      </c>
      <c r="H623" s="3">
        <v>0</v>
      </c>
      <c r="I623" s="3">
        <f t="shared" ref="I623:I663" si="60">$B$9*SUM(E623:H623)</f>
        <v>1744.9649972305494</v>
      </c>
      <c r="J623" s="3">
        <f t="shared" ref="J623:J663" si="61">SUM(E623:I623)</f>
        <v>1397716.96278167</v>
      </c>
    </row>
    <row r="624" spans="4:10">
      <c r="D624">
        <v>622</v>
      </c>
      <c r="E624" s="3">
        <f t="shared" si="59"/>
        <v>1397716.96278167</v>
      </c>
      <c r="F624" s="3">
        <v>-15000</v>
      </c>
      <c r="G624" s="3">
        <v>0</v>
      </c>
      <c r="H624" s="3">
        <v>0</v>
      </c>
      <c r="I624" s="3">
        <f t="shared" si="60"/>
        <v>1728.3962034770875</v>
      </c>
      <c r="J624" s="3">
        <f t="shared" si="61"/>
        <v>1384445.3589851472</v>
      </c>
    </row>
    <row r="625" spans="4:10">
      <c r="D625">
        <v>623</v>
      </c>
      <c r="E625" s="3">
        <f t="shared" si="59"/>
        <v>1384445.3589851472</v>
      </c>
      <c r="F625" s="3">
        <v>-15000</v>
      </c>
      <c r="G625" s="3">
        <v>0</v>
      </c>
      <c r="H625" s="3">
        <v>0</v>
      </c>
      <c r="I625" s="3">
        <f t="shared" si="60"/>
        <v>1711.8066987314342</v>
      </c>
      <c r="J625" s="3">
        <f t="shared" si="61"/>
        <v>1371157.1656838786</v>
      </c>
    </row>
    <row r="626" spans="4:10">
      <c r="D626">
        <v>624</v>
      </c>
      <c r="E626" s="3">
        <f t="shared" si="59"/>
        <v>1371157.1656838786</v>
      </c>
      <c r="F626" s="3">
        <v>-15000</v>
      </c>
      <c r="G626" s="3">
        <v>0</v>
      </c>
      <c r="H626" s="3">
        <v>0</v>
      </c>
      <c r="I626" s="3">
        <f t="shared" si="60"/>
        <v>1695.1964571048484</v>
      </c>
      <c r="J626" s="3">
        <f t="shared" si="61"/>
        <v>1357852.3621409833</v>
      </c>
    </row>
    <row r="627" spans="4:10">
      <c r="D627">
        <v>625</v>
      </c>
      <c r="E627" s="3">
        <f t="shared" si="59"/>
        <v>1357852.3621409833</v>
      </c>
      <c r="F627" s="3">
        <v>-15000</v>
      </c>
      <c r="G627" s="3">
        <v>0</v>
      </c>
      <c r="H627" s="3">
        <v>0</v>
      </c>
      <c r="I627" s="3">
        <f t="shared" si="60"/>
        <v>1678.5654526762291</v>
      </c>
      <c r="J627" s="3">
        <f t="shared" si="61"/>
        <v>1344530.9275936596</v>
      </c>
    </row>
    <row r="628" spans="4:10">
      <c r="D628">
        <v>626</v>
      </c>
      <c r="E628" s="3">
        <f t="shared" si="59"/>
        <v>1344530.9275936596</v>
      </c>
      <c r="F628" s="3">
        <v>-15000</v>
      </c>
      <c r="G628" s="3">
        <v>0</v>
      </c>
      <c r="H628" s="3">
        <v>0</v>
      </c>
      <c r="I628" s="3">
        <f t="shared" si="60"/>
        <v>1661.9136594920747</v>
      </c>
      <c r="J628" s="3">
        <f t="shared" si="61"/>
        <v>1331192.8412531517</v>
      </c>
    </row>
    <row r="629" spans="4:10">
      <c r="D629">
        <v>627</v>
      </c>
      <c r="E629" s="3">
        <f t="shared" si="59"/>
        <v>1331192.8412531517</v>
      </c>
      <c r="F629" s="3">
        <v>-15000</v>
      </c>
      <c r="G629" s="3">
        <v>0</v>
      </c>
      <c r="H629" s="3">
        <v>0</v>
      </c>
      <c r="I629" s="3">
        <f t="shared" si="60"/>
        <v>1645.2410515664396</v>
      </c>
      <c r="J629" s="3">
        <f t="shared" si="61"/>
        <v>1317838.0823047182</v>
      </c>
    </row>
    <row r="630" spans="4:10">
      <c r="D630">
        <v>628</v>
      </c>
      <c r="E630" s="3">
        <f t="shared" si="59"/>
        <v>1317838.0823047182</v>
      </c>
      <c r="F630" s="3">
        <v>-15000</v>
      </c>
      <c r="G630" s="3">
        <v>0</v>
      </c>
      <c r="H630" s="3">
        <v>0</v>
      </c>
      <c r="I630" s="3">
        <f t="shared" si="60"/>
        <v>1628.5476028808978</v>
      </c>
      <c r="J630" s="3">
        <f t="shared" si="61"/>
        <v>1304466.6299075992</v>
      </c>
    </row>
    <row r="631" spans="4:10">
      <c r="D631">
        <v>629</v>
      </c>
      <c r="E631" s="3">
        <f t="shared" si="59"/>
        <v>1304466.6299075992</v>
      </c>
      <c r="F631" s="3">
        <v>-15000</v>
      </c>
      <c r="G631" s="3">
        <v>0</v>
      </c>
      <c r="H631" s="3">
        <v>0</v>
      </c>
      <c r="I631" s="3">
        <f t="shared" si="60"/>
        <v>1611.833287384499</v>
      </c>
      <c r="J631" s="3">
        <f t="shared" si="61"/>
        <v>1291078.4631949838</v>
      </c>
    </row>
    <row r="632" spans="4:10">
      <c r="D632">
        <v>630</v>
      </c>
      <c r="E632" s="3">
        <f t="shared" si="59"/>
        <v>1291078.4631949838</v>
      </c>
      <c r="F632" s="3">
        <v>-15000</v>
      </c>
      <c r="G632" s="3">
        <v>0</v>
      </c>
      <c r="H632" s="3">
        <v>0</v>
      </c>
      <c r="I632" s="3">
        <f t="shared" si="60"/>
        <v>1595.0980789937298</v>
      </c>
      <c r="J632" s="3">
        <f t="shared" si="61"/>
        <v>1277673.5612739774</v>
      </c>
    </row>
    <row r="633" spans="4:10">
      <c r="D633">
        <v>631</v>
      </c>
      <c r="E633" s="3">
        <f t="shared" si="59"/>
        <v>1277673.5612739774</v>
      </c>
      <c r="F633" s="3">
        <v>-15000</v>
      </c>
      <c r="G633" s="3">
        <v>0</v>
      </c>
      <c r="H633" s="3">
        <v>0</v>
      </c>
      <c r="I633" s="3">
        <f t="shared" si="60"/>
        <v>1578.3419515924718</v>
      </c>
      <c r="J633" s="3">
        <f t="shared" si="61"/>
        <v>1264251.9032255698</v>
      </c>
    </row>
    <row r="634" spans="4:10">
      <c r="D634">
        <v>632</v>
      </c>
      <c r="E634" s="3">
        <f t="shared" si="59"/>
        <v>1264251.9032255698</v>
      </c>
      <c r="F634" s="3">
        <v>-15000</v>
      </c>
      <c r="G634" s="3">
        <v>0</v>
      </c>
      <c r="H634" s="3">
        <v>0</v>
      </c>
      <c r="I634" s="3">
        <f t="shared" si="60"/>
        <v>1561.5648790319622</v>
      </c>
      <c r="J634" s="3">
        <f t="shared" si="61"/>
        <v>1250813.4681046016</v>
      </c>
    </row>
    <row r="635" spans="4:10">
      <c r="D635">
        <v>633</v>
      </c>
      <c r="E635" s="3">
        <f t="shared" si="59"/>
        <v>1250813.4681046016</v>
      </c>
      <c r="F635" s="3">
        <v>-15000</v>
      </c>
      <c r="G635" s="3">
        <v>0</v>
      </c>
      <c r="H635" s="3">
        <v>0</v>
      </c>
      <c r="I635" s="3">
        <f t="shared" si="60"/>
        <v>1544.766835130752</v>
      </c>
      <c r="J635" s="3">
        <f t="shared" si="61"/>
        <v>1237358.2349397324</v>
      </c>
    </row>
    <row r="636" spans="4:10">
      <c r="D636">
        <v>634</v>
      </c>
      <c r="E636" s="3">
        <f t="shared" si="59"/>
        <v>1237358.2349397324</v>
      </c>
      <c r="F636" s="3">
        <v>-15000</v>
      </c>
      <c r="G636" s="3">
        <v>0</v>
      </c>
      <c r="H636" s="3">
        <v>0</v>
      </c>
      <c r="I636" s="3">
        <f t="shared" si="60"/>
        <v>1527.9477936746655</v>
      </c>
      <c r="J636" s="3">
        <f t="shared" si="61"/>
        <v>1223886.182733407</v>
      </c>
    </row>
    <row r="637" spans="4:10">
      <c r="D637">
        <v>635</v>
      </c>
      <c r="E637" s="3">
        <f t="shared" si="59"/>
        <v>1223886.182733407</v>
      </c>
      <c r="F637" s="3">
        <v>-15000</v>
      </c>
      <c r="G637" s="3">
        <v>0</v>
      </c>
      <c r="H637" s="3">
        <v>0</v>
      </c>
      <c r="I637" s="3">
        <f t="shared" si="60"/>
        <v>1511.1077284167588</v>
      </c>
      <c r="J637" s="3">
        <f t="shared" si="61"/>
        <v>1210397.2904618238</v>
      </c>
    </row>
    <row r="638" spans="4:10">
      <c r="D638">
        <v>636</v>
      </c>
      <c r="E638" s="3">
        <f t="shared" si="59"/>
        <v>1210397.2904618238</v>
      </c>
      <c r="F638" s="3">
        <v>-15000</v>
      </c>
      <c r="G638" s="3">
        <v>0</v>
      </c>
      <c r="H638" s="3">
        <v>0</v>
      </c>
      <c r="I638" s="3">
        <f t="shared" si="60"/>
        <v>1494.2466130772798</v>
      </c>
      <c r="J638" s="3">
        <f t="shared" si="61"/>
        <v>1196891.5370749012</v>
      </c>
    </row>
    <row r="639" spans="4:10">
      <c r="D639">
        <v>637</v>
      </c>
      <c r="E639" s="3">
        <f t="shared" si="59"/>
        <v>1196891.5370749012</v>
      </c>
      <c r="F639" s="3">
        <v>-15000</v>
      </c>
      <c r="G639" s="3">
        <v>0</v>
      </c>
      <c r="H639" s="3">
        <v>0</v>
      </c>
      <c r="I639" s="3">
        <f t="shared" si="60"/>
        <v>1477.3644213436264</v>
      </c>
      <c r="J639" s="3">
        <f t="shared" si="61"/>
        <v>1183368.9014962448</v>
      </c>
    </row>
    <row r="640" spans="4:10">
      <c r="D640">
        <v>638</v>
      </c>
      <c r="E640" s="3">
        <f t="shared" si="59"/>
        <v>1183368.9014962448</v>
      </c>
      <c r="F640" s="3">
        <v>-15000</v>
      </c>
      <c r="G640" s="3">
        <v>0</v>
      </c>
      <c r="H640" s="3">
        <v>0</v>
      </c>
      <c r="I640" s="3">
        <f t="shared" si="60"/>
        <v>1460.4611268703061</v>
      </c>
      <c r="J640" s="3">
        <f t="shared" si="61"/>
        <v>1169829.3626231151</v>
      </c>
    </row>
    <row r="641" spans="4:10">
      <c r="D641">
        <v>639</v>
      </c>
      <c r="E641" s="3">
        <f t="shared" si="59"/>
        <v>1169829.3626231151</v>
      </c>
      <c r="F641" s="3">
        <v>-15000</v>
      </c>
      <c r="G641" s="3">
        <v>0</v>
      </c>
      <c r="H641" s="3">
        <v>0</v>
      </c>
      <c r="I641" s="3">
        <f t="shared" si="60"/>
        <v>1443.5367032788938</v>
      </c>
      <c r="J641" s="3">
        <f t="shared" si="61"/>
        <v>1156272.8993263941</v>
      </c>
    </row>
    <row r="642" spans="4:10">
      <c r="D642">
        <v>640</v>
      </c>
      <c r="E642" s="3">
        <f t="shared" si="59"/>
        <v>1156272.8993263941</v>
      </c>
      <c r="F642" s="3">
        <v>-15000</v>
      </c>
      <c r="G642" s="3">
        <v>0</v>
      </c>
      <c r="H642" s="3">
        <v>0</v>
      </c>
      <c r="I642" s="3">
        <f t="shared" si="60"/>
        <v>1426.5911241579927</v>
      </c>
      <c r="J642" s="3">
        <f t="shared" si="61"/>
        <v>1142699.490450552</v>
      </c>
    </row>
    <row r="643" spans="4:10">
      <c r="D643">
        <v>641</v>
      </c>
      <c r="E643" s="3">
        <f t="shared" si="59"/>
        <v>1142699.490450552</v>
      </c>
      <c r="F643" s="3">
        <v>-15000</v>
      </c>
      <c r="G643" s="3">
        <v>0</v>
      </c>
      <c r="H643" s="3">
        <v>0</v>
      </c>
      <c r="I643" s="3">
        <f t="shared" si="60"/>
        <v>1409.62436306319</v>
      </c>
      <c r="J643" s="3">
        <f t="shared" si="61"/>
        <v>1129109.1148136151</v>
      </c>
    </row>
    <row r="644" spans="4:10">
      <c r="D644">
        <v>642</v>
      </c>
      <c r="E644" s="3">
        <f t="shared" si="59"/>
        <v>1129109.1148136151</v>
      </c>
      <c r="F644" s="3">
        <v>-15000</v>
      </c>
      <c r="G644" s="3">
        <v>0</v>
      </c>
      <c r="H644" s="3">
        <v>0</v>
      </c>
      <c r="I644" s="3">
        <f t="shared" si="60"/>
        <v>1392.6363935170189</v>
      </c>
      <c r="J644" s="3">
        <f t="shared" si="61"/>
        <v>1115501.7512071321</v>
      </c>
    </row>
    <row r="645" spans="4:10">
      <c r="D645">
        <v>643</v>
      </c>
      <c r="E645" s="3">
        <f t="shared" si="59"/>
        <v>1115501.7512071321</v>
      </c>
      <c r="F645" s="3">
        <v>-15000</v>
      </c>
      <c r="G645" s="3">
        <v>0</v>
      </c>
      <c r="H645" s="3">
        <v>0</v>
      </c>
      <c r="I645" s="3">
        <f t="shared" si="60"/>
        <v>1375.6271890089151</v>
      </c>
      <c r="J645" s="3">
        <f t="shared" si="61"/>
        <v>1101877.3783961411</v>
      </c>
    </row>
    <row r="646" spans="4:10">
      <c r="D646">
        <v>644</v>
      </c>
      <c r="E646" s="3">
        <f t="shared" si="59"/>
        <v>1101877.3783961411</v>
      </c>
      <c r="F646" s="3">
        <v>-15000</v>
      </c>
      <c r="G646" s="3">
        <v>0</v>
      </c>
      <c r="H646" s="3">
        <v>0</v>
      </c>
      <c r="I646" s="3">
        <f t="shared" si="60"/>
        <v>1358.5967229951764</v>
      </c>
      <c r="J646" s="3">
        <f t="shared" si="61"/>
        <v>1088235.9751191363</v>
      </c>
    </row>
    <row r="647" spans="4:10">
      <c r="D647">
        <v>645</v>
      </c>
      <c r="E647" s="3">
        <f t="shared" si="59"/>
        <v>1088235.9751191363</v>
      </c>
      <c r="F647" s="3">
        <v>-15000</v>
      </c>
      <c r="G647" s="3">
        <v>0</v>
      </c>
      <c r="H647" s="3">
        <v>0</v>
      </c>
      <c r="I647" s="3">
        <f t="shared" si="60"/>
        <v>1341.5449688989204</v>
      </c>
      <c r="J647" s="3">
        <f t="shared" si="61"/>
        <v>1074577.5200880351</v>
      </c>
    </row>
    <row r="648" spans="4:10">
      <c r="D648">
        <v>646</v>
      </c>
      <c r="E648" s="3">
        <f t="shared" si="59"/>
        <v>1074577.5200880351</v>
      </c>
      <c r="F648" s="3">
        <v>-15000</v>
      </c>
      <c r="G648" s="3">
        <v>0</v>
      </c>
      <c r="H648" s="3">
        <v>0</v>
      </c>
      <c r="I648" s="3">
        <f t="shared" si="60"/>
        <v>1324.4719001100439</v>
      </c>
      <c r="J648" s="3">
        <f t="shared" si="61"/>
        <v>1060901.9919881453</v>
      </c>
    </row>
    <row r="649" spans="4:10">
      <c r="D649">
        <v>647</v>
      </c>
      <c r="E649" s="3">
        <f t="shared" si="59"/>
        <v>1060901.9919881453</v>
      </c>
      <c r="F649" s="3">
        <v>-15000</v>
      </c>
      <c r="G649" s="3">
        <v>0</v>
      </c>
      <c r="H649" s="3">
        <v>0</v>
      </c>
      <c r="I649" s="3">
        <f t="shared" si="60"/>
        <v>1307.3774899851817</v>
      </c>
      <c r="J649" s="3">
        <f t="shared" si="61"/>
        <v>1047209.3694781305</v>
      </c>
    </row>
    <row r="650" spans="4:10">
      <c r="D650">
        <v>648</v>
      </c>
      <c r="E650" s="3">
        <f t="shared" si="59"/>
        <v>1047209.3694781305</v>
      </c>
      <c r="F650" s="3">
        <v>-15000</v>
      </c>
      <c r="G650" s="3">
        <v>0</v>
      </c>
      <c r="H650" s="3">
        <v>0</v>
      </c>
      <c r="I650" s="3">
        <f t="shared" si="60"/>
        <v>1290.261711847663</v>
      </c>
      <c r="J650" s="3">
        <f t="shared" si="61"/>
        <v>1033499.6311899781</v>
      </c>
    </row>
    <row r="651" spans="4:10">
      <c r="D651">
        <v>649</v>
      </c>
      <c r="E651" s="3">
        <f t="shared" si="59"/>
        <v>1033499.6311899781</v>
      </c>
      <c r="F651" s="3">
        <v>-15000</v>
      </c>
      <c r="G651" s="3">
        <v>0</v>
      </c>
      <c r="H651" s="3">
        <v>0</v>
      </c>
      <c r="I651" s="3">
        <f t="shared" si="60"/>
        <v>1273.1245389874728</v>
      </c>
      <c r="J651" s="3">
        <f t="shared" si="61"/>
        <v>1019772.7557289656</v>
      </c>
    </row>
    <row r="652" spans="4:10">
      <c r="D652">
        <v>650</v>
      </c>
      <c r="E652" s="3">
        <f t="shared" si="59"/>
        <v>1019772.7557289656</v>
      </c>
      <c r="F652" s="3">
        <v>-15000</v>
      </c>
      <c r="G652" s="3">
        <v>0</v>
      </c>
      <c r="H652" s="3">
        <v>0</v>
      </c>
      <c r="I652" s="3">
        <f t="shared" si="60"/>
        <v>1255.965944661207</v>
      </c>
      <c r="J652" s="3">
        <f t="shared" si="61"/>
        <v>1006028.7216736268</v>
      </c>
    </row>
    <row r="653" spans="4:10">
      <c r="D653">
        <v>651</v>
      </c>
      <c r="E653" s="3">
        <f t="shared" si="59"/>
        <v>1006028.7216736268</v>
      </c>
      <c r="F653" s="3">
        <v>-15000</v>
      </c>
      <c r="G653" s="3">
        <v>0</v>
      </c>
      <c r="H653" s="3">
        <v>0</v>
      </c>
      <c r="I653" s="3">
        <f t="shared" si="60"/>
        <v>1238.7859020920334</v>
      </c>
      <c r="J653" s="3">
        <f t="shared" si="61"/>
        <v>992267.5075757188</v>
      </c>
    </row>
    <row r="654" spans="4:10">
      <c r="D654">
        <v>652</v>
      </c>
      <c r="E654" s="3">
        <f t="shared" si="59"/>
        <v>992267.5075757188</v>
      </c>
      <c r="F654" s="3">
        <v>-15000</v>
      </c>
      <c r="G654" s="3">
        <v>0</v>
      </c>
      <c r="H654" s="3">
        <v>0</v>
      </c>
      <c r="I654" s="3">
        <f t="shared" si="60"/>
        <v>1221.5843844696485</v>
      </c>
      <c r="J654" s="3">
        <f t="shared" si="61"/>
        <v>978489.09196018847</v>
      </c>
    </row>
    <row r="655" spans="4:10">
      <c r="D655">
        <v>653</v>
      </c>
      <c r="E655" s="3">
        <f t="shared" si="59"/>
        <v>978489.09196018847</v>
      </c>
      <c r="F655" s="3">
        <v>-15000</v>
      </c>
      <c r="G655" s="3">
        <v>0</v>
      </c>
      <c r="H655" s="3">
        <v>0</v>
      </c>
      <c r="I655" s="3">
        <f t="shared" si="60"/>
        <v>1204.3613649502356</v>
      </c>
      <c r="J655" s="3">
        <f t="shared" si="61"/>
        <v>964693.45332513866</v>
      </c>
    </row>
    <row r="656" spans="4:10">
      <c r="D656">
        <v>654</v>
      </c>
      <c r="E656" s="3">
        <f t="shared" si="59"/>
        <v>964693.45332513866</v>
      </c>
      <c r="F656" s="3">
        <v>-15000</v>
      </c>
      <c r="G656" s="3">
        <v>0</v>
      </c>
      <c r="H656" s="3">
        <v>0</v>
      </c>
      <c r="I656" s="3">
        <f t="shared" si="60"/>
        <v>1187.1168166564235</v>
      </c>
      <c r="J656" s="3">
        <f t="shared" si="61"/>
        <v>950880.57014179509</v>
      </c>
    </row>
    <row r="657" spans="4:10">
      <c r="D657">
        <v>655</v>
      </c>
      <c r="E657" s="3">
        <f t="shared" si="59"/>
        <v>950880.57014179509</v>
      </c>
      <c r="F657" s="3">
        <v>-15000</v>
      </c>
      <c r="G657" s="3">
        <v>0</v>
      </c>
      <c r="H657" s="3">
        <v>0</v>
      </c>
      <c r="I657" s="3">
        <f t="shared" si="60"/>
        <v>1169.8507126772438</v>
      </c>
      <c r="J657" s="3">
        <f t="shared" si="61"/>
        <v>937050.42085447232</v>
      </c>
    </row>
    <row r="658" spans="4:10">
      <c r="D658">
        <v>656</v>
      </c>
      <c r="E658" s="3">
        <f t="shared" si="59"/>
        <v>937050.42085447232</v>
      </c>
      <c r="F658" s="3">
        <v>-15000</v>
      </c>
      <c r="G658" s="3">
        <v>0</v>
      </c>
      <c r="H658" s="3">
        <v>0</v>
      </c>
      <c r="I658" s="3">
        <f t="shared" si="60"/>
        <v>1152.5630260680905</v>
      </c>
      <c r="J658" s="3">
        <f t="shared" si="61"/>
        <v>923202.98388054036</v>
      </c>
    </row>
    <row r="659" spans="4:10">
      <c r="D659">
        <v>657</v>
      </c>
      <c r="E659" s="3">
        <f t="shared" si="59"/>
        <v>923202.98388054036</v>
      </c>
      <c r="F659" s="3">
        <v>-15000</v>
      </c>
      <c r="G659" s="3">
        <v>0</v>
      </c>
      <c r="H659" s="3">
        <v>0</v>
      </c>
      <c r="I659" s="3">
        <f t="shared" si="60"/>
        <v>1135.2537298506754</v>
      </c>
      <c r="J659" s="3">
        <f t="shared" si="61"/>
        <v>909338.23761039099</v>
      </c>
    </row>
    <row r="660" spans="4:10">
      <c r="D660">
        <v>658</v>
      </c>
      <c r="E660" s="3">
        <f t="shared" si="59"/>
        <v>909338.23761039099</v>
      </c>
      <c r="F660" s="3">
        <v>-15000</v>
      </c>
      <c r="G660" s="3">
        <v>0</v>
      </c>
      <c r="H660" s="3">
        <v>0</v>
      </c>
      <c r="I660" s="3">
        <f t="shared" si="60"/>
        <v>1117.9227970129887</v>
      </c>
      <c r="J660" s="3">
        <f t="shared" si="61"/>
        <v>895456.16040740395</v>
      </c>
    </row>
    <row r="661" spans="4:10">
      <c r="D661">
        <v>659</v>
      </c>
      <c r="E661" s="3">
        <f t="shared" si="59"/>
        <v>895456.16040740395</v>
      </c>
      <c r="F661" s="3">
        <v>-15000</v>
      </c>
      <c r="G661" s="3">
        <v>0</v>
      </c>
      <c r="H661" s="3">
        <v>0</v>
      </c>
      <c r="I661" s="3">
        <f t="shared" si="60"/>
        <v>1100.5702005092551</v>
      </c>
      <c r="J661" s="3">
        <f t="shared" si="61"/>
        <v>881556.73060791322</v>
      </c>
    </row>
    <row r="662" spans="4:10">
      <c r="D662">
        <v>660</v>
      </c>
      <c r="E662" s="3">
        <f t="shared" si="59"/>
        <v>881556.73060791322</v>
      </c>
      <c r="F662" s="3">
        <v>-15000</v>
      </c>
      <c r="G662" s="3">
        <v>0</v>
      </c>
      <c r="H662" s="3">
        <v>0</v>
      </c>
      <c r="I662" s="3">
        <f t="shared" si="60"/>
        <v>1083.1959132598915</v>
      </c>
      <c r="J662" s="3">
        <f t="shared" si="61"/>
        <v>867639.9265211731</v>
      </c>
    </row>
    <row r="663" spans="4:10">
      <c r="D663">
        <v>661</v>
      </c>
      <c r="E663" s="3">
        <f t="shared" si="59"/>
        <v>867639.9265211731</v>
      </c>
      <c r="F663" s="3">
        <v>-15000</v>
      </c>
      <c r="G663" s="3">
        <v>0</v>
      </c>
      <c r="H663" s="3">
        <v>0</v>
      </c>
      <c r="I663" s="3">
        <f t="shared" si="60"/>
        <v>1065.7999081514663</v>
      </c>
      <c r="J663" s="3">
        <f t="shared" si="61"/>
        <v>853705.7264293246</v>
      </c>
    </row>
    <row r="664" spans="4:10">
      <c r="D664">
        <v>662</v>
      </c>
      <c r="E664" s="3">
        <f t="shared" ref="E664:E722" si="62">J663</f>
        <v>853705.7264293246</v>
      </c>
      <c r="F664" s="3">
        <v>-15000</v>
      </c>
      <c r="G664" s="3">
        <v>0</v>
      </c>
      <c r="H664" s="3">
        <v>0</v>
      </c>
      <c r="I664" s="3">
        <f t="shared" ref="I664:I722" si="63">$B$9*SUM(E664:H664)</f>
        <v>1048.3821580366557</v>
      </c>
      <c r="J664" s="3">
        <f t="shared" ref="J664:J722" si="64">SUM(E664:I664)</f>
        <v>839754.10858736129</v>
      </c>
    </row>
    <row r="665" spans="4:10">
      <c r="D665">
        <v>663</v>
      </c>
      <c r="E665" s="3">
        <f t="shared" si="62"/>
        <v>839754.10858736129</v>
      </c>
      <c r="F665" s="3">
        <v>-15000</v>
      </c>
      <c r="G665" s="3">
        <v>0</v>
      </c>
      <c r="H665" s="3">
        <v>0</v>
      </c>
      <c r="I665" s="3">
        <f t="shared" si="63"/>
        <v>1030.9426357342015</v>
      </c>
      <c r="J665" s="3">
        <f t="shared" si="64"/>
        <v>825785.05122309551</v>
      </c>
    </row>
    <row r="666" spans="4:10">
      <c r="D666">
        <v>664</v>
      </c>
      <c r="E666" s="3">
        <f t="shared" si="62"/>
        <v>825785.05122309551</v>
      </c>
      <c r="F666" s="3">
        <v>-15000</v>
      </c>
      <c r="G666" s="3">
        <v>0</v>
      </c>
      <c r="H666" s="3">
        <v>0</v>
      </c>
      <c r="I666" s="3">
        <f t="shared" si="63"/>
        <v>1013.4813140288694</v>
      </c>
      <c r="J666" s="3">
        <f t="shared" si="64"/>
        <v>811798.53253712435</v>
      </c>
    </row>
    <row r="667" spans="4:10">
      <c r="D667">
        <v>665</v>
      </c>
      <c r="E667" s="3">
        <f t="shared" si="62"/>
        <v>811798.53253712435</v>
      </c>
      <c r="F667" s="3">
        <v>-15000</v>
      </c>
      <c r="G667" s="3">
        <v>0</v>
      </c>
      <c r="H667" s="3">
        <v>0</v>
      </c>
      <c r="I667" s="3">
        <f t="shared" si="63"/>
        <v>995.99816567140545</v>
      </c>
      <c r="J667" s="3">
        <f t="shared" si="64"/>
        <v>797794.53070279572</v>
      </c>
    </row>
    <row r="668" spans="4:10">
      <c r="D668">
        <v>666</v>
      </c>
      <c r="E668" s="3">
        <f t="shared" si="62"/>
        <v>797794.53070279572</v>
      </c>
      <c r="F668" s="3">
        <v>-15000</v>
      </c>
      <c r="G668" s="3">
        <v>0</v>
      </c>
      <c r="H668" s="3">
        <v>0</v>
      </c>
      <c r="I668" s="3">
        <f t="shared" si="63"/>
        <v>978.49316337849461</v>
      </c>
      <c r="J668" s="3">
        <f t="shared" si="64"/>
        <v>783773.02386617416</v>
      </c>
    </row>
    <row r="669" spans="4:10">
      <c r="D669">
        <v>667</v>
      </c>
      <c r="E669" s="3">
        <f t="shared" si="62"/>
        <v>783773.02386617416</v>
      </c>
      <c r="F669" s="3">
        <v>-15000</v>
      </c>
      <c r="G669" s="3">
        <v>0</v>
      </c>
      <c r="H669" s="3">
        <v>0</v>
      </c>
      <c r="I669" s="3">
        <f t="shared" si="63"/>
        <v>960.96627983271776</v>
      </c>
      <c r="J669" s="3">
        <f t="shared" si="64"/>
        <v>769733.99014600692</v>
      </c>
    </row>
    <row r="670" spans="4:10">
      <c r="D670">
        <v>668</v>
      </c>
      <c r="E670" s="3">
        <f t="shared" si="62"/>
        <v>769733.99014600692</v>
      </c>
      <c r="F670" s="3">
        <v>-15000</v>
      </c>
      <c r="G670" s="3">
        <v>0</v>
      </c>
      <c r="H670" s="3">
        <v>0</v>
      </c>
      <c r="I670" s="3">
        <f t="shared" si="63"/>
        <v>943.41748768250864</v>
      </c>
      <c r="J670" s="3">
        <f t="shared" si="64"/>
        <v>755677.40763368947</v>
      </c>
    </row>
    <row r="671" spans="4:10">
      <c r="D671">
        <v>669</v>
      </c>
      <c r="E671" s="3">
        <f t="shared" si="62"/>
        <v>755677.40763368947</v>
      </c>
      <c r="F671" s="3">
        <v>-15000</v>
      </c>
      <c r="G671" s="3">
        <v>0</v>
      </c>
      <c r="H671" s="3">
        <v>0</v>
      </c>
      <c r="I671" s="3">
        <f t="shared" si="63"/>
        <v>925.84675954211184</v>
      </c>
      <c r="J671" s="3">
        <f t="shared" si="64"/>
        <v>741603.25439323159</v>
      </c>
    </row>
    <row r="672" spans="4:10">
      <c r="D672">
        <v>670</v>
      </c>
      <c r="E672" s="3">
        <f t="shared" si="62"/>
        <v>741603.25439323159</v>
      </c>
      <c r="F672" s="3">
        <v>-15000</v>
      </c>
      <c r="G672" s="3">
        <v>0</v>
      </c>
      <c r="H672" s="3">
        <v>0</v>
      </c>
      <c r="I672" s="3">
        <f t="shared" si="63"/>
        <v>908.2540679915395</v>
      </c>
      <c r="J672" s="3">
        <f t="shared" si="64"/>
        <v>727511.5084612231</v>
      </c>
    </row>
    <row r="673" spans="4:10">
      <c r="D673">
        <v>671</v>
      </c>
      <c r="E673" s="3">
        <f t="shared" si="62"/>
        <v>727511.5084612231</v>
      </c>
      <c r="F673" s="3">
        <v>-15000</v>
      </c>
      <c r="G673" s="3">
        <v>0</v>
      </c>
      <c r="H673" s="3">
        <v>0</v>
      </c>
      <c r="I673" s="3">
        <f t="shared" si="63"/>
        <v>890.63938557652887</v>
      </c>
      <c r="J673" s="3">
        <f t="shared" si="64"/>
        <v>713402.14784679958</v>
      </c>
    </row>
    <row r="674" spans="4:10">
      <c r="D674">
        <v>672</v>
      </c>
      <c r="E674" s="3">
        <f t="shared" si="62"/>
        <v>713402.14784679958</v>
      </c>
      <c r="F674" s="3">
        <v>-15000</v>
      </c>
      <c r="G674" s="3">
        <v>0</v>
      </c>
      <c r="H674" s="3">
        <v>0</v>
      </c>
      <c r="I674" s="3">
        <f t="shared" si="63"/>
        <v>873.00268480849945</v>
      </c>
      <c r="J674" s="3">
        <f t="shared" si="64"/>
        <v>699275.15053160803</v>
      </c>
    </row>
    <row r="675" spans="4:10">
      <c r="D675">
        <v>673</v>
      </c>
      <c r="E675" s="3">
        <f t="shared" si="62"/>
        <v>699275.15053160803</v>
      </c>
      <c r="F675" s="3">
        <v>-15000</v>
      </c>
      <c r="G675" s="3">
        <v>0</v>
      </c>
      <c r="H675" s="3">
        <v>0</v>
      </c>
      <c r="I675" s="3">
        <f t="shared" si="63"/>
        <v>855.34393816451006</v>
      </c>
      <c r="J675" s="3">
        <f t="shared" si="64"/>
        <v>685130.49446977256</v>
      </c>
    </row>
    <row r="676" spans="4:10">
      <c r="D676">
        <v>674</v>
      </c>
      <c r="E676" s="3">
        <f t="shared" si="62"/>
        <v>685130.49446977256</v>
      </c>
      <c r="F676" s="3">
        <v>-15000</v>
      </c>
      <c r="G676" s="3">
        <v>0</v>
      </c>
      <c r="H676" s="3">
        <v>0</v>
      </c>
      <c r="I676" s="3">
        <f t="shared" si="63"/>
        <v>837.66311808721571</v>
      </c>
      <c r="J676" s="3">
        <f t="shared" si="64"/>
        <v>670968.15758785978</v>
      </c>
    </row>
    <row r="677" spans="4:10">
      <c r="D677">
        <v>675</v>
      </c>
      <c r="E677" s="3">
        <f t="shared" si="62"/>
        <v>670968.15758785978</v>
      </c>
      <c r="F677" s="3">
        <v>-15000</v>
      </c>
      <c r="G677" s="3">
        <v>0</v>
      </c>
      <c r="H677" s="3">
        <v>0</v>
      </c>
      <c r="I677" s="3">
        <f t="shared" si="63"/>
        <v>819.96019698482473</v>
      </c>
      <c r="J677" s="3">
        <f t="shared" si="64"/>
        <v>656788.1177848446</v>
      </c>
    </row>
    <row r="678" spans="4:10">
      <c r="D678">
        <v>676</v>
      </c>
      <c r="E678" s="3">
        <f t="shared" si="62"/>
        <v>656788.1177848446</v>
      </c>
      <c r="F678" s="3">
        <v>-15000</v>
      </c>
      <c r="G678" s="3">
        <v>0</v>
      </c>
      <c r="H678" s="3">
        <v>0</v>
      </c>
      <c r="I678" s="3">
        <f t="shared" si="63"/>
        <v>802.23514723105575</v>
      </c>
      <c r="J678" s="3">
        <f t="shared" si="64"/>
        <v>642590.35293207562</v>
      </c>
    </row>
    <row r="679" spans="4:10">
      <c r="D679">
        <v>677</v>
      </c>
      <c r="E679" s="3">
        <f t="shared" si="62"/>
        <v>642590.35293207562</v>
      </c>
      <c r="F679" s="3">
        <v>-15000</v>
      </c>
      <c r="G679" s="3">
        <v>0</v>
      </c>
      <c r="H679" s="3">
        <v>0</v>
      </c>
      <c r="I679" s="3">
        <f t="shared" si="63"/>
        <v>784.48794116509453</v>
      </c>
      <c r="J679" s="3">
        <f t="shared" si="64"/>
        <v>628374.84087324073</v>
      </c>
    </row>
    <row r="680" spans="4:10">
      <c r="D680">
        <v>678</v>
      </c>
      <c r="E680" s="3">
        <f t="shared" si="62"/>
        <v>628374.84087324073</v>
      </c>
      <c r="F680" s="3">
        <v>-15000</v>
      </c>
      <c r="G680" s="3">
        <v>0</v>
      </c>
      <c r="H680" s="3">
        <v>0</v>
      </c>
      <c r="I680" s="3">
        <f t="shared" si="63"/>
        <v>766.71855109155092</v>
      </c>
      <c r="J680" s="3">
        <f t="shared" si="64"/>
        <v>614141.55942433223</v>
      </c>
    </row>
    <row r="681" spans="4:10">
      <c r="D681">
        <v>679</v>
      </c>
      <c r="E681" s="3">
        <f t="shared" si="62"/>
        <v>614141.55942433223</v>
      </c>
      <c r="F681" s="3">
        <v>-15000</v>
      </c>
      <c r="G681" s="3">
        <v>0</v>
      </c>
      <c r="H681" s="3">
        <v>0</v>
      </c>
      <c r="I681" s="3">
        <f t="shared" si="63"/>
        <v>748.92694928041533</v>
      </c>
      <c r="J681" s="3">
        <f t="shared" si="64"/>
        <v>599890.48637361266</v>
      </c>
    </row>
    <row r="682" spans="4:10">
      <c r="D682">
        <v>680</v>
      </c>
      <c r="E682" s="3">
        <f t="shared" si="62"/>
        <v>599890.48637361266</v>
      </c>
      <c r="F682" s="3">
        <v>-15000</v>
      </c>
      <c r="G682" s="3">
        <v>0</v>
      </c>
      <c r="H682" s="3">
        <v>0</v>
      </c>
      <c r="I682" s="3">
        <f t="shared" si="63"/>
        <v>731.11310796701582</v>
      </c>
      <c r="J682" s="3">
        <f t="shared" si="64"/>
        <v>585621.59948157961</v>
      </c>
    </row>
    <row r="683" spans="4:10">
      <c r="D683">
        <v>681</v>
      </c>
      <c r="E683" s="3">
        <f t="shared" si="62"/>
        <v>585621.59948157961</v>
      </c>
      <c r="F683" s="3">
        <v>-15000</v>
      </c>
      <c r="G683" s="3">
        <v>0</v>
      </c>
      <c r="H683" s="3">
        <v>0</v>
      </c>
      <c r="I683" s="3">
        <f t="shared" si="63"/>
        <v>713.2769993519745</v>
      </c>
      <c r="J683" s="3">
        <f t="shared" si="64"/>
        <v>571334.87648093153</v>
      </c>
    </row>
    <row r="684" spans="4:10">
      <c r="D684">
        <v>682</v>
      </c>
      <c r="E684" s="3">
        <f t="shared" si="62"/>
        <v>571334.87648093153</v>
      </c>
      <c r="F684" s="3">
        <v>-15000</v>
      </c>
      <c r="G684" s="3">
        <v>0</v>
      </c>
      <c r="H684" s="3">
        <v>0</v>
      </c>
      <c r="I684" s="3">
        <f t="shared" si="63"/>
        <v>695.41859560116438</v>
      </c>
      <c r="J684" s="3">
        <f t="shared" si="64"/>
        <v>557030.29507653276</v>
      </c>
    </row>
    <row r="685" spans="4:10">
      <c r="D685">
        <v>683</v>
      </c>
      <c r="E685" s="3">
        <f t="shared" si="62"/>
        <v>557030.29507653276</v>
      </c>
      <c r="F685" s="3">
        <v>-15000</v>
      </c>
      <c r="G685" s="3">
        <v>0</v>
      </c>
      <c r="H685" s="3">
        <v>0</v>
      </c>
      <c r="I685" s="3">
        <f t="shared" si="63"/>
        <v>677.53786884566591</v>
      </c>
      <c r="J685" s="3">
        <f t="shared" si="64"/>
        <v>542707.83294537838</v>
      </c>
    </row>
    <row r="686" spans="4:10">
      <c r="D686">
        <v>684</v>
      </c>
      <c r="E686" s="3">
        <f t="shared" si="62"/>
        <v>542707.83294537838</v>
      </c>
      <c r="F686" s="3">
        <v>-15000</v>
      </c>
      <c r="G686" s="3">
        <v>0</v>
      </c>
      <c r="H686" s="3">
        <v>0</v>
      </c>
      <c r="I686" s="3">
        <f t="shared" si="63"/>
        <v>659.63479118172302</v>
      </c>
      <c r="J686" s="3">
        <f t="shared" si="64"/>
        <v>528367.46773656015</v>
      </c>
    </row>
    <row r="687" spans="4:10">
      <c r="D687">
        <v>685</v>
      </c>
      <c r="E687" s="3">
        <f t="shared" si="62"/>
        <v>528367.46773656015</v>
      </c>
      <c r="F687" s="3">
        <v>-15000</v>
      </c>
      <c r="G687" s="3">
        <v>0</v>
      </c>
      <c r="H687" s="3">
        <v>0</v>
      </c>
      <c r="I687" s="3">
        <f t="shared" si="63"/>
        <v>641.70933467070017</v>
      </c>
      <c r="J687" s="3">
        <f t="shared" si="64"/>
        <v>514009.17707123084</v>
      </c>
    </row>
    <row r="688" spans="4:10">
      <c r="D688">
        <v>686</v>
      </c>
      <c r="E688" s="3">
        <f t="shared" si="62"/>
        <v>514009.17707123084</v>
      </c>
      <c r="F688" s="3">
        <v>-15000</v>
      </c>
      <c r="G688" s="3">
        <v>0</v>
      </c>
      <c r="H688" s="3">
        <v>0</v>
      </c>
      <c r="I688" s="3">
        <f t="shared" si="63"/>
        <v>623.76147133903851</v>
      </c>
      <c r="J688" s="3">
        <f t="shared" si="64"/>
        <v>499632.93854256987</v>
      </c>
    </row>
    <row r="689" spans="4:10">
      <c r="D689">
        <v>687</v>
      </c>
      <c r="E689" s="3">
        <f t="shared" si="62"/>
        <v>499632.93854256987</v>
      </c>
      <c r="F689" s="3">
        <v>-15000</v>
      </c>
      <c r="G689" s="3">
        <v>0</v>
      </c>
      <c r="H689" s="3">
        <v>0</v>
      </c>
      <c r="I689" s="3">
        <f t="shared" si="63"/>
        <v>605.79117317821238</v>
      </c>
      <c r="J689" s="3">
        <f t="shared" si="64"/>
        <v>485238.72971574811</v>
      </c>
    </row>
    <row r="690" spans="4:10">
      <c r="D690">
        <v>688</v>
      </c>
      <c r="E690" s="3">
        <f t="shared" si="62"/>
        <v>485238.72971574811</v>
      </c>
      <c r="F690" s="3">
        <v>-15000</v>
      </c>
      <c r="G690" s="3">
        <v>0</v>
      </c>
      <c r="H690" s="3">
        <v>0</v>
      </c>
      <c r="I690" s="3">
        <f t="shared" si="63"/>
        <v>587.79841214468513</v>
      </c>
      <c r="J690" s="3">
        <f t="shared" si="64"/>
        <v>470826.52812789282</v>
      </c>
    </row>
    <row r="691" spans="4:10">
      <c r="D691">
        <v>689</v>
      </c>
      <c r="E691" s="3">
        <f t="shared" si="62"/>
        <v>470826.52812789282</v>
      </c>
      <c r="F691" s="3">
        <v>-15000</v>
      </c>
      <c r="G691" s="3">
        <v>0</v>
      </c>
      <c r="H691" s="3">
        <v>0</v>
      </c>
      <c r="I691" s="3">
        <f t="shared" si="63"/>
        <v>569.78316015986604</v>
      </c>
      <c r="J691" s="3">
        <f t="shared" si="64"/>
        <v>456396.3112880527</v>
      </c>
    </row>
    <row r="692" spans="4:10">
      <c r="D692">
        <v>690</v>
      </c>
      <c r="E692" s="3">
        <f t="shared" si="62"/>
        <v>456396.3112880527</v>
      </c>
      <c r="F692" s="3">
        <v>-15000</v>
      </c>
      <c r="G692" s="3">
        <v>0</v>
      </c>
      <c r="H692" s="3">
        <v>0</v>
      </c>
      <c r="I692" s="3">
        <f t="shared" si="63"/>
        <v>551.74538911006584</v>
      </c>
      <c r="J692" s="3">
        <f t="shared" si="64"/>
        <v>441948.05667716276</v>
      </c>
    </row>
    <row r="693" spans="4:10">
      <c r="D693">
        <v>691</v>
      </c>
      <c r="E693" s="3">
        <f t="shared" si="62"/>
        <v>441948.05667716276</v>
      </c>
      <c r="F693" s="3">
        <v>-15000</v>
      </c>
      <c r="G693" s="3">
        <v>0</v>
      </c>
      <c r="H693" s="3">
        <v>0</v>
      </c>
      <c r="I693" s="3">
        <f t="shared" si="63"/>
        <v>533.68507084645341</v>
      </c>
      <c r="J693" s="3">
        <f t="shared" si="64"/>
        <v>427481.74174800923</v>
      </c>
    </row>
    <row r="694" spans="4:10">
      <c r="D694">
        <v>692</v>
      </c>
      <c r="E694" s="3">
        <f t="shared" si="62"/>
        <v>427481.74174800923</v>
      </c>
      <c r="F694" s="3">
        <v>-15000</v>
      </c>
      <c r="G694" s="3">
        <v>0</v>
      </c>
      <c r="H694" s="3">
        <v>0</v>
      </c>
      <c r="I694" s="3">
        <f t="shared" si="63"/>
        <v>515.60217718501156</v>
      </c>
      <c r="J694" s="3">
        <f t="shared" si="64"/>
        <v>412997.34392519423</v>
      </c>
    </row>
    <row r="695" spans="4:10">
      <c r="D695">
        <v>693</v>
      </c>
      <c r="E695" s="3">
        <f t="shared" si="62"/>
        <v>412997.34392519423</v>
      </c>
      <c r="F695" s="3">
        <v>-15000</v>
      </c>
      <c r="G695" s="3">
        <v>0</v>
      </c>
      <c r="H695" s="3">
        <v>0</v>
      </c>
      <c r="I695" s="3">
        <f t="shared" si="63"/>
        <v>497.49667990649283</v>
      </c>
      <c r="J695" s="3">
        <f t="shared" si="64"/>
        <v>398494.84060510073</v>
      </c>
    </row>
    <row r="696" spans="4:10">
      <c r="D696">
        <v>694</v>
      </c>
      <c r="E696" s="3">
        <f t="shared" si="62"/>
        <v>398494.84060510073</v>
      </c>
      <c r="F696" s="3">
        <v>-15000</v>
      </c>
      <c r="G696" s="3">
        <v>0</v>
      </c>
      <c r="H696" s="3">
        <v>0</v>
      </c>
      <c r="I696" s="3">
        <f t="shared" si="63"/>
        <v>479.36855075637595</v>
      </c>
      <c r="J696" s="3">
        <f t="shared" si="64"/>
        <v>383974.2091558571</v>
      </c>
    </row>
    <row r="697" spans="4:10">
      <c r="D697">
        <v>695</v>
      </c>
      <c r="E697" s="3">
        <f t="shared" si="62"/>
        <v>383974.2091558571</v>
      </c>
      <c r="F697" s="3">
        <v>-15000</v>
      </c>
      <c r="G697" s="3">
        <v>0</v>
      </c>
      <c r="H697" s="3">
        <v>0</v>
      </c>
      <c r="I697" s="3">
        <f t="shared" si="63"/>
        <v>461.21776144482141</v>
      </c>
      <c r="J697" s="3">
        <f t="shared" si="64"/>
        <v>369435.4269173019</v>
      </c>
    </row>
    <row r="698" spans="4:10">
      <c r="D698">
        <v>696</v>
      </c>
      <c r="E698" s="3">
        <f t="shared" si="62"/>
        <v>369435.4269173019</v>
      </c>
      <c r="F698" s="3">
        <v>-15000</v>
      </c>
      <c r="G698" s="3">
        <v>0</v>
      </c>
      <c r="H698" s="3">
        <v>0</v>
      </c>
      <c r="I698" s="3">
        <f t="shared" si="63"/>
        <v>443.04428364662738</v>
      </c>
      <c r="J698" s="3">
        <f t="shared" si="64"/>
        <v>354878.47120094852</v>
      </c>
    </row>
    <row r="699" spans="4:10">
      <c r="D699">
        <v>697</v>
      </c>
      <c r="E699" s="3">
        <f t="shared" si="62"/>
        <v>354878.47120094852</v>
      </c>
      <c r="F699" s="3">
        <v>-15000</v>
      </c>
      <c r="G699" s="3">
        <v>0</v>
      </c>
      <c r="H699" s="3">
        <v>0</v>
      </c>
      <c r="I699" s="3">
        <f t="shared" si="63"/>
        <v>424.84808900118566</v>
      </c>
      <c r="J699" s="3">
        <f t="shared" si="64"/>
        <v>340303.31928994972</v>
      </c>
    </row>
    <row r="700" spans="4:10">
      <c r="D700">
        <v>698</v>
      </c>
      <c r="E700" s="3">
        <f t="shared" si="62"/>
        <v>340303.31928994972</v>
      </c>
      <c r="F700" s="3">
        <v>-15000</v>
      </c>
      <c r="G700" s="3">
        <v>0</v>
      </c>
      <c r="H700" s="3">
        <v>0</v>
      </c>
      <c r="I700" s="3">
        <f t="shared" si="63"/>
        <v>406.62914911243718</v>
      </c>
      <c r="J700" s="3">
        <f t="shared" si="64"/>
        <v>325709.94843906217</v>
      </c>
    </row>
    <row r="701" spans="4:10">
      <c r="D701">
        <v>699</v>
      </c>
      <c r="E701" s="3">
        <f t="shared" si="62"/>
        <v>325709.94843906217</v>
      </c>
      <c r="F701" s="3">
        <v>-15000</v>
      </c>
      <c r="G701" s="3">
        <v>0</v>
      </c>
      <c r="H701" s="3">
        <v>0</v>
      </c>
      <c r="I701" s="3">
        <f t="shared" si="63"/>
        <v>388.38743554882774</v>
      </c>
      <c r="J701" s="3">
        <f t="shared" si="64"/>
        <v>311098.33587461099</v>
      </c>
    </row>
    <row r="702" spans="4:10">
      <c r="D702">
        <v>700</v>
      </c>
      <c r="E702" s="3">
        <f t="shared" si="62"/>
        <v>311098.33587461099</v>
      </c>
      <c r="F702" s="3">
        <v>-15000</v>
      </c>
      <c r="G702" s="3">
        <v>0</v>
      </c>
      <c r="H702" s="3">
        <v>0</v>
      </c>
      <c r="I702" s="3">
        <f t="shared" si="63"/>
        <v>370.12291984326373</v>
      </c>
      <c r="J702" s="3">
        <f t="shared" si="64"/>
        <v>296468.45879445423</v>
      </c>
    </row>
    <row r="703" spans="4:10">
      <c r="D703">
        <v>701</v>
      </c>
      <c r="E703" s="3">
        <f t="shared" si="62"/>
        <v>296468.45879445423</v>
      </c>
      <c r="F703" s="3">
        <v>-15000</v>
      </c>
      <c r="G703" s="3">
        <v>0</v>
      </c>
      <c r="H703" s="3">
        <v>0</v>
      </c>
      <c r="I703" s="3">
        <f t="shared" si="63"/>
        <v>351.83557349306778</v>
      </c>
      <c r="J703" s="3">
        <f t="shared" si="64"/>
        <v>281820.29436794732</v>
      </c>
    </row>
    <row r="704" spans="4:10">
      <c r="D704">
        <v>702</v>
      </c>
      <c r="E704" s="3">
        <f t="shared" si="62"/>
        <v>281820.29436794732</v>
      </c>
      <c r="F704" s="3">
        <v>-15000</v>
      </c>
      <c r="G704" s="3">
        <v>0</v>
      </c>
      <c r="H704" s="3">
        <v>0</v>
      </c>
      <c r="I704" s="3">
        <f t="shared" si="63"/>
        <v>333.52536795993416</v>
      </c>
      <c r="J704" s="3">
        <f t="shared" si="64"/>
        <v>267153.81973590725</v>
      </c>
    </row>
    <row r="705" spans="4:10">
      <c r="D705">
        <v>703</v>
      </c>
      <c r="E705" s="3">
        <f t="shared" si="62"/>
        <v>267153.81973590725</v>
      </c>
      <c r="F705" s="3">
        <v>-15000</v>
      </c>
      <c r="G705" s="3">
        <v>0</v>
      </c>
      <c r="H705" s="3">
        <v>0</v>
      </c>
      <c r="I705" s="3">
        <f t="shared" si="63"/>
        <v>315.19227466988406</v>
      </c>
      <c r="J705" s="3">
        <f t="shared" si="64"/>
        <v>252469.01201057713</v>
      </c>
    </row>
    <row r="706" spans="4:10">
      <c r="D706">
        <v>704</v>
      </c>
      <c r="E706" s="3">
        <f t="shared" si="62"/>
        <v>252469.01201057713</v>
      </c>
      <c r="F706" s="3">
        <v>-15000</v>
      </c>
      <c r="G706" s="3">
        <v>0</v>
      </c>
      <c r="H706" s="3">
        <v>0</v>
      </c>
      <c r="I706" s="3">
        <f t="shared" si="63"/>
        <v>296.83626501322141</v>
      </c>
      <c r="J706" s="3">
        <f t="shared" si="64"/>
        <v>237765.84827559037</v>
      </c>
    </row>
    <row r="707" spans="4:10">
      <c r="D707">
        <v>705</v>
      </c>
      <c r="E707" s="3">
        <f t="shared" si="62"/>
        <v>237765.84827559037</v>
      </c>
      <c r="F707" s="3">
        <v>-15000</v>
      </c>
      <c r="G707" s="3">
        <v>0</v>
      </c>
      <c r="H707" s="3">
        <v>0</v>
      </c>
      <c r="I707" s="3">
        <f t="shared" si="63"/>
        <v>278.45731034448795</v>
      </c>
      <c r="J707" s="3">
        <f t="shared" si="64"/>
        <v>223044.30558593487</v>
      </c>
    </row>
    <row r="708" spans="4:10">
      <c r="D708">
        <v>706</v>
      </c>
      <c r="E708" s="3">
        <f t="shared" si="62"/>
        <v>223044.30558593487</v>
      </c>
      <c r="F708" s="3">
        <v>-15000</v>
      </c>
      <c r="G708" s="3">
        <v>0</v>
      </c>
      <c r="H708" s="3">
        <v>0</v>
      </c>
      <c r="I708" s="3">
        <f t="shared" si="63"/>
        <v>260.05538198241857</v>
      </c>
      <c r="J708" s="3">
        <f t="shared" si="64"/>
        <v>208304.36096791728</v>
      </c>
    </row>
    <row r="709" spans="4:10">
      <c r="D709">
        <v>707</v>
      </c>
      <c r="E709" s="3">
        <f t="shared" si="62"/>
        <v>208304.36096791728</v>
      </c>
      <c r="F709" s="3">
        <v>-15000</v>
      </c>
      <c r="G709" s="3">
        <v>0</v>
      </c>
      <c r="H709" s="3">
        <v>0</v>
      </c>
      <c r="I709" s="3">
        <f t="shared" si="63"/>
        <v>241.63045120989659</v>
      </c>
      <c r="J709" s="3">
        <f t="shared" si="64"/>
        <v>193545.99141912718</v>
      </c>
    </row>
    <row r="710" spans="4:10">
      <c r="D710">
        <v>708</v>
      </c>
      <c r="E710" s="3">
        <f t="shared" si="62"/>
        <v>193545.99141912718</v>
      </c>
      <c r="F710" s="3">
        <v>-15000</v>
      </c>
      <c r="G710" s="3">
        <v>0</v>
      </c>
      <c r="H710" s="3">
        <v>0</v>
      </c>
      <c r="I710" s="3">
        <f t="shared" si="63"/>
        <v>223.18248927390897</v>
      </c>
      <c r="J710" s="3">
        <f t="shared" si="64"/>
        <v>178769.17390840108</v>
      </c>
    </row>
    <row r="711" spans="4:10">
      <c r="D711">
        <v>709</v>
      </c>
      <c r="E711" s="3">
        <f t="shared" si="62"/>
        <v>178769.17390840108</v>
      </c>
      <c r="F711" s="3">
        <v>-15000</v>
      </c>
      <c r="G711" s="3">
        <v>0</v>
      </c>
      <c r="H711" s="3">
        <v>0</v>
      </c>
      <c r="I711" s="3">
        <f t="shared" si="63"/>
        <v>204.71146738550135</v>
      </c>
      <c r="J711" s="3">
        <f t="shared" si="64"/>
        <v>163973.88537578657</v>
      </c>
    </row>
    <row r="712" spans="4:10">
      <c r="D712">
        <v>710</v>
      </c>
      <c r="E712" s="3">
        <f t="shared" si="62"/>
        <v>163973.88537578657</v>
      </c>
      <c r="F712" s="3">
        <v>-15000</v>
      </c>
      <c r="G712" s="3">
        <v>0</v>
      </c>
      <c r="H712" s="3">
        <v>0</v>
      </c>
      <c r="I712" s="3">
        <f t="shared" si="63"/>
        <v>186.21735671973323</v>
      </c>
      <c r="J712" s="3">
        <f t="shared" si="64"/>
        <v>149160.10273250632</v>
      </c>
    </row>
    <row r="713" spans="4:10">
      <c r="D713">
        <v>711</v>
      </c>
      <c r="E713" s="3">
        <f t="shared" si="62"/>
        <v>149160.10273250632</v>
      </c>
      <c r="F713" s="3">
        <v>-15000</v>
      </c>
      <c r="G713" s="3">
        <v>0</v>
      </c>
      <c r="H713" s="3">
        <v>0</v>
      </c>
      <c r="I713" s="3">
        <f t="shared" si="63"/>
        <v>167.70012841563289</v>
      </c>
      <c r="J713" s="3">
        <f t="shared" si="64"/>
        <v>134327.80286092195</v>
      </c>
    </row>
    <row r="714" spans="4:10">
      <c r="D714">
        <v>712</v>
      </c>
      <c r="E714" s="3">
        <f t="shared" si="62"/>
        <v>134327.80286092195</v>
      </c>
      <c r="F714" s="3">
        <v>-15000</v>
      </c>
      <c r="G714" s="3">
        <v>0</v>
      </c>
      <c r="H714" s="3">
        <v>0</v>
      </c>
      <c r="I714" s="3">
        <f t="shared" si="63"/>
        <v>149.15975357615244</v>
      </c>
      <c r="J714" s="3">
        <f t="shared" si="64"/>
        <v>119476.9626144981</v>
      </c>
    </row>
    <row r="715" spans="4:10">
      <c r="D715">
        <v>713</v>
      </c>
      <c r="E715" s="3">
        <f t="shared" si="62"/>
        <v>119476.9626144981</v>
      </c>
      <c r="F715" s="3">
        <v>-15000</v>
      </c>
      <c r="G715" s="3">
        <v>0</v>
      </c>
      <c r="H715" s="3">
        <v>0</v>
      </c>
      <c r="I715" s="3">
        <f t="shared" si="63"/>
        <v>130.59620326812262</v>
      </c>
      <c r="J715" s="3">
        <f t="shared" si="64"/>
        <v>104607.55881776623</v>
      </c>
    </row>
    <row r="716" spans="4:10">
      <c r="D716">
        <v>714</v>
      </c>
      <c r="E716" s="3">
        <f t="shared" si="62"/>
        <v>104607.55881776623</v>
      </c>
      <c r="F716" s="3">
        <v>-15000</v>
      </c>
      <c r="G716" s="3">
        <v>0</v>
      </c>
      <c r="H716" s="3">
        <v>0</v>
      </c>
      <c r="I716" s="3">
        <f t="shared" si="63"/>
        <v>112.00944852220779</v>
      </c>
      <c r="J716" s="3">
        <f t="shared" si="64"/>
        <v>89719.568266288436</v>
      </c>
    </row>
    <row r="717" spans="4:10">
      <c r="D717">
        <v>715</v>
      </c>
      <c r="E717" s="3">
        <f t="shared" si="62"/>
        <v>89719.568266288436</v>
      </c>
      <c r="F717" s="3">
        <v>-15000</v>
      </c>
      <c r="G717" s="3">
        <v>0</v>
      </c>
      <c r="H717" s="3">
        <v>0</v>
      </c>
      <c r="I717" s="3">
        <f t="shared" si="63"/>
        <v>93.399460332860542</v>
      </c>
      <c r="J717" s="3">
        <f t="shared" si="64"/>
        <v>74812.967726621297</v>
      </c>
    </row>
    <row r="718" spans="4:10">
      <c r="D718">
        <v>716</v>
      </c>
      <c r="E718" s="3">
        <f t="shared" si="62"/>
        <v>74812.967726621297</v>
      </c>
      <c r="F718" s="3">
        <v>-15000</v>
      </c>
      <c r="G718" s="3">
        <v>0</v>
      </c>
      <c r="H718" s="3">
        <v>0</v>
      </c>
      <c r="I718" s="3">
        <f t="shared" si="63"/>
        <v>74.766209658276622</v>
      </c>
      <c r="J718" s="3">
        <f t="shared" si="64"/>
        <v>59887.733936279576</v>
      </c>
    </row>
    <row r="719" spans="4:10">
      <c r="D719">
        <v>717</v>
      </c>
      <c r="E719" s="3">
        <f t="shared" si="62"/>
        <v>59887.733936279576</v>
      </c>
      <c r="F719" s="3">
        <v>-15000</v>
      </c>
      <c r="G719" s="3">
        <v>0</v>
      </c>
      <c r="H719" s="3">
        <v>0</v>
      </c>
      <c r="I719" s="3">
        <f t="shared" si="63"/>
        <v>56.109667420349467</v>
      </c>
      <c r="J719" s="3">
        <f t="shared" si="64"/>
        <v>44943.843603699926</v>
      </c>
    </row>
    <row r="720" spans="4:10">
      <c r="D720">
        <v>718</v>
      </c>
      <c r="E720" s="3">
        <f t="shared" si="62"/>
        <v>44943.843603699926</v>
      </c>
      <c r="F720" s="3">
        <v>-15000</v>
      </c>
      <c r="G720" s="3">
        <v>0</v>
      </c>
      <c r="H720" s="3">
        <v>0</v>
      </c>
      <c r="I720" s="3">
        <f t="shared" si="63"/>
        <v>37.429804504624911</v>
      </c>
      <c r="J720" s="3">
        <f t="shared" si="64"/>
        <v>29981.27340820455</v>
      </c>
    </row>
    <row r="721" spans="4:10">
      <c r="D721">
        <v>719</v>
      </c>
      <c r="E721" s="3">
        <f t="shared" si="62"/>
        <v>29981.27340820455</v>
      </c>
      <c r="F721" s="3">
        <v>-15000</v>
      </c>
      <c r="G721" s="3">
        <v>0</v>
      </c>
      <c r="H721" s="3">
        <v>0</v>
      </c>
      <c r="I721" s="3">
        <f t="shared" si="63"/>
        <v>18.726591760255687</v>
      </c>
      <c r="J721" s="3">
        <f t="shared" si="64"/>
        <v>14999.999999964806</v>
      </c>
    </row>
    <row r="722" spans="4:10">
      <c r="D722">
        <v>720</v>
      </c>
      <c r="E722" s="3">
        <f t="shared" si="62"/>
        <v>14999.999999964806</v>
      </c>
      <c r="F722" s="3">
        <v>-15000</v>
      </c>
      <c r="G722" s="3">
        <v>0</v>
      </c>
      <c r="H722" s="3">
        <v>0</v>
      </c>
      <c r="I722" s="3">
        <f t="shared" si="63"/>
        <v>-4.3992258724756543E-11</v>
      </c>
      <c r="J722" s="3">
        <f t="shared" si="64"/>
        <v>-3.523779923852999E-8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Cover Sheet</vt:lpstr>
      <vt:lpstr>Ex 1</vt:lpstr>
      <vt:lpstr>Ex 2</vt:lpstr>
      <vt:lpstr>Ex 3</vt:lpstr>
      <vt:lpstr>Ex 4</vt:lpstr>
      <vt:lpstr>Ex 5</vt:lpstr>
      <vt:lpstr>Ex 6</vt:lpstr>
      <vt:lpstr>'Ex 4'!a</vt:lpstr>
      <vt:lpstr>'Ex 4'!x</vt:lpstr>
      <vt:lpstr>'Ex 4'!y</vt:lpstr>
      <vt:lpstr>'Ex 4'!z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Tiep Luu Danh</cp:lastModifiedBy>
  <dcterms:created xsi:type="dcterms:W3CDTF">2020-03-18T21:00:38Z</dcterms:created>
  <dcterms:modified xsi:type="dcterms:W3CDTF">2020-03-30T18:48:44Z</dcterms:modified>
</cp:coreProperties>
</file>