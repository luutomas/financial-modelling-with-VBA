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5B4D69CB-08F8-304A-8DFD-F620D0D28B9B}" xr6:coauthVersionLast="45" xr6:coauthVersionMax="45" xr10:uidLastSave="{00000000-0000-0000-0000-000000000000}"/>
  <bookViews>
    <workbookView xWindow="0" yWindow="460" windowWidth="29440" windowHeight="17240" activeTab="6" xr2:uid="{60AAFADA-6B44-7642-8163-14E12150427A}"/>
  </bookViews>
  <sheets>
    <sheet name="Úvodka" sheetId="2" r:id="rId1"/>
    <sheet name="Ex 1" sheetId="1" r:id="rId2"/>
    <sheet name="Ex 2" sheetId="7" r:id="rId3"/>
    <sheet name="Ex 3" sheetId="4" r:id="rId4"/>
    <sheet name="Ex 4" sheetId="11" r:id="rId5"/>
    <sheet name="SnP 500" sheetId="12" r:id="rId6"/>
    <sheet name="MSFT" sheetId="13" r:id="rId7"/>
    <sheet name="Ex 5" sheetId="3" r:id="rId8"/>
    <sheet name="Ex 6" sheetId="5" r:id="rId9"/>
  </sheets>
  <externalReferences>
    <externalReference r:id="rId10"/>
  </externalReferences>
  <definedNames>
    <definedName name="a">MSFT!$C$2:$C$1269</definedName>
    <definedName name="ExternalData_1" localSheetId="5" hidden="1">'SnP 500'!$A$1:$G$1269</definedName>
    <definedName name="lnM">'Ex 4'!$D$4:$D$1271</definedName>
    <definedName name="lnSP">'Ex 4'!$J$4:$J$1271</definedName>
    <definedName name="MSFT">#REF!</definedName>
    <definedName name="X">MSFT!$E$2:$F$1268</definedName>
    <definedName name="Y">MSFT!$D$2:$D$1268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68" i="13" l="1"/>
  <c r="D1268" i="13"/>
  <c r="E1267" i="13"/>
  <c r="D1267" i="13"/>
  <c r="E1266" i="13"/>
  <c r="D1266" i="13"/>
  <c r="E1265" i="13"/>
  <c r="D1265" i="13"/>
  <c r="E1264" i="13"/>
  <c r="D1264" i="13"/>
  <c r="E1263" i="13"/>
  <c r="D1263" i="13"/>
  <c r="E1262" i="13"/>
  <c r="D1262" i="13"/>
  <c r="E1261" i="13"/>
  <c r="D1261" i="13"/>
  <c r="E1260" i="13"/>
  <c r="D1260" i="13"/>
  <c r="E1259" i="13"/>
  <c r="D1259" i="13"/>
  <c r="E1258" i="13"/>
  <c r="D1258" i="13"/>
  <c r="E1257" i="13"/>
  <c r="D1257" i="13"/>
  <c r="E1256" i="13"/>
  <c r="D1256" i="13"/>
  <c r="E1255" i="13"/>
  <c r="D1255" i="13"/>
  <c r="E1254" i="13"/>
  <c r="D1254" i="13"/>
  <c r="E1253" i="13"/>
  <c r="D1253" i="13"/>
  <c r="E1252" i="13"/>
  <c r="D1252" i="13"/>
  <c r="E1251" i="13"/>
  <c r="D1251" i="13"/>
  <c r="E1250" i="13"/>
  <c r="D1250" i="13"/>
  <c r="E1249" i="13"/>
  <c r="D1249" i="13"/>
  <c r="E1248" i="13"/>
  <c r="D1248" i="13"/>
  <c r="E1247" i="13"/>
  <c r="D1247" i="13"/>
  <c r="E1246" i="13"/>
  <c r="D1246" i="13"/>
  <c r="E1245" i="13"/>
  <c r="D1245" i="13"/>
  <c r="E1244" i="13"/>
  <c r="D1244" i="13"/>
  <c r="E1243" i="13"/>
  <c r="D1243" i="13"/>
  <c r="E1242" i="13"/>
  <c r="D1242" i="13"/>
  <c r="E1241" i="13"/>
  <c r="D1241" i="13"/>
  <c r="E1240" i="13"/>
  <c r="D1240" i="13"/>
  <c r="E1239" i="13"/>
  <c r="D1239" i="13"/>
  <c r="E1238" i="13"/>
  <c r="D1238" i="13"/>
  <c r="E1237" i="13"/>
  <c r="D1237" i="13"/>
  <c r="E1236" i="13"/>
  <c r="D1236" i="13"/>
  <c r="E1235" i="13"/>
  <c r="D1235" i="13"/>
  <c r="E1234" i="13"/>
  <c r="D1234" i="13"/>
  <c r="E1233" i="13"/>
  <c r="D1233" i="13"/>
  <c r="E1232" i="13"/>
  <c r="D1232" i="13"/>
  <c r="E1231" i="13"/>
  <c r="D1231" i="13"/>
  <c r="E1230" i="13"/>
  <c r="D1230" i="13"/>
  <c r="E1229" i="13"/>
  <c r="D1229" i="13"/>
  <c r="E1228" i="13"/>
  <c r="D1228" i="13"/>
  <c r="E1227" i="13"/>
  <c r="D1227" i="13"/>
  <c r="E1226" i="13"/>
  <c r="D1226" i="13"/>
  <c r="E1225" i="13"/>
  <c r="D1225" i="13"/>
  <c r="E1224" i="13"/>
  <c r="D1224" i="13"/>
  <c r="E1223" i="13"/>
  <c r="D1223" i="13"/>
  <c r="E1222" i="13"/>
  <c r="D1222" i="13"/>
  <c r="E1221" i="13"/>
  <c r="D1221" i="13"/>
  <c r="E1220" i="13"/>
  <c r="D1220" i="13"/>
  <c r="E1219" i="13"/>
  <c r="D1219" i="13"/>
  <c r="E1218" i="13"/>
  <c r="D1218" i="13"/>
  <c r="E1217" i="13"/>
  <c r="D1217" i="13"/>
  <c r="E1216" i="13"/>
  <c r="D1216" i="13"/>
  <c r="E1215" i="13"/>
  <c r="D1215" i="13"/>
  <c r="E1214" i="13"/>
  <c r="D1214" i="13"/>
  <c r="E1213" i="13"/>
  <c r="D1213" i="13"/>
  <c r="E1212" i="13"/>
  <c r="D1212" i="13"/>
  <c r="E1211" i="13"/>
  <c r="D1211" i="13"/>
  <c r="E1210" i="13"/>
  <c r="D1210" i="13"/>
  <c r="E1209" i="13"/>
  <c r="D1209" i="13"/>
  <c r="E1208" i="13"/>
  <c r="D1208" i="13"/>
  <c r="E1207" i="13"/>
  <c r="D1207" i="13"/>
  <c r="E1206" i="13"/>
  <c r="D1206" i="13"/>
  <c r="E1205" i="13"/>
  <c r="D1205" i="13"/>
  <c r="E1204" i="13"/>
  <c r="D1204" i="13"/>
  <c r="E1203" i="13"/>
  <c r="D1203" i="13"/>
  <c r="E1202" i="13"/>
  <c r="D1202" i="13"/>
  <c r="E1201" i="13"/>
  <c r="D1201" i="13"/>
  <c r="E1200" i="13"/>
  <c r="D1200" i="13"/>
  <c r="E1199" i="13"/>
  <c r="D1199" i="13"/>
  <c r="E1198" i="13"/>
  <c r="D1198" i="13"/>
  <c r="E1197" i="13"/>
  <c r="D1197" i="13"/>
  <c r="E1196" i="13"/>
  <c r="D1196" i="13"/>
  <c r="E1195" i="13"/>
  <c r="D1195" i="13"/>
  <c r="E1194" i="13"/>
  <c r="D1194" i="13"/>
  <c r="E1193" i="13"/>
  <c r="D1193" i="13"/>
  <c r="E1192" i="13"/>
  <c r="D1192" i="13"/>
  <c r="E1191" i="13"/>
  <c r="D1191" i="13"/>
  <c r="E1190" i="13"/>
  <c r="D1190" i="13"/>
  <c r="E1189" i="13"/>
  <c r="D1189" i="13"/>
  <c r="E1188" i="13"/>
  <c r="D1188" i="13"/>
  <c r="E1187" i="13"/>
  <c r="D1187" i="13"/>
  <c r="E1186" i="13"/>
  <c r="D1186" i="13"/>
  <c r="E1185" i="13"/>
  <c r="D1185" i="13"/>
  <c r="E1184" i="13"/>
  <c r="D1184" i="13"/>
  <c r="E1183" i="13"/>
  <c r="D1183" i="13"/>
  <c r="E1182" i="13"/>
  <c r="D1182" i="13"/>
  <c r="E1181" i="13"/>
  <c r="D1181" i="13"/>
  <c r="E1180" i="13"/>
  <c r="D1180" i="13"/>
  <c r="E1179" i="13"/>
  <c r="D1179" i="13"/>
  <c r="E1178" i="13"/>
  <c r="D1178" i="13"/>
  <c r="E1177" i="13"/>
  <c r="D1177" i="13"/>
  <c r="E1176" i="13"/>
  <c r="D1176" i="13"/>
  <c r="E1175" i="13"/>
  <c r="D1175" i="13"/>
  <c r="E1174" i="13"/>
  <c r="D1174" i="13"/>
  <c r="E1173" i="13"/>
  <c r="D1173" i="13"/>
  <c r="E1172" i="13"/>
  <c r="D1172" i="13"/>
  <c r="E1171" i="13"/>
  <c r="D1171" i="13"/>
  <c r="E1170" i="13"/>
  <c r="D1170" i="13"/>
  <c r="E1169" i="13"/>
  <c r="D1169" i="13"/>
  <c r="E1168" i="13"/>
  <c r="D1168" i="13"/>
  <c r="E1167" i="13"/>
  <c r="D1167" i="13"/>
  <c r="E1166" i="13"/>
  <c r="D1166" i="13"/>
  <c r="E1165" i="13"/>
  <c r="D1165" i="13"/>
  <c r="E1164" i="13"/>
  <c r="D1164" i="13"/>
  <c r="E1163" i="13"/>
  <c r="D1163" i="13"/>
  <c r="E1162" i="13"/>
  <c r="D1162" i="13"/>
  <c r="E1161" i="13"/>
  <c r="D1161" i="13"/>
  <c r="E1160" i="13"/>
  <c r="D1160" i="13"/>
  <c r="E1159" i="13"/>
  <c r="D1159" i="13"/>
  <c r="E1158" i="13"/>
  <c r="D1158" i="13"/>
  <c r="E1157" i="13"/>
  <c r="D1157" i="13"/>
  <c r="E1156" i="13"/>
  <c r="D1156" i="13"/>
  <c r="E1155" i="13"/>
  <c r="D1155" i="13"/>
  <c r="E1154" i="13"/>
  <c r="D1154" i="13"/>
  <c r="E1153" i="13"/>
  <c r="D1153" i="13"/>
  <c r="E1152" i="13"/>
  <c r="D1152" i="13"/>
  <c r="E1151" i="13"/>
  <c r="D1151" i="13"/>
  <c r="E1150" i="13"/>
  <c r="D1150" i="13"/>
  <c r="E1149" i="13"/>
  <c r="D1149" i="13"/>
  <c r="E1148" i="13"/>
  <c r="D1148" i="13"/>
  <c r="E1147" i="13"/>
  <c r="D1147" i="13"/>
  <c r="E1146" i="13"/>
  <c r="D1146" i="13"/>
  <c r="E1145" i="13"/>
  <c r="D1145" i="13"/>
  <c r="E1144" i="13"/>
  <c r="D1144" i="13"/>
  <c r="E1143" i="13"/>
  <c r="D1143" i="13"/>
  <c r="E1142" i="13"/>
  <c r="D1142" i="13"/>
  <c r="E1141" i="13"/>
  <c r="D1141" i="13"/>
  <c r="E1140" i="13"/>
  <c r="D1140" i="13"/>
  <c r="E1139" i="13"/>
  <c r="D1139" i="13"/>
  <c r="E1138" i="13"/>
  <c r="D1138" i="13"/>
  <c r="E1137" i="13"/>
  <c r="D1137" i="13"/>
  <c r="E1136" i="13"/>
  <c r="D1136" i="13"/>
  <c r="E1135" i="13"/>
  <c r="D1135" i="13"/>
  <c r="E1134" i="13"/>
  <c r="D1134" i="13"/>
  <c r="E1133" i="13"/>
  <c r="D1133" i="13"/>
  <c r="E1132" i="13"/>
  <c r="D1132" i="13"/>
  <c r="E1131" i="13"/>
  <c r="D1131" i="13"/>
  <c r="E1130" i="13"/>
  <c r="D1130" i="13"/>
  <c r="E1129" i="13"/>
  <c r="D1129" i="13"/>
  <c r="E1128" i="13"/>
  <c r="D1128" i="13"/>
  <c r="E1127" i="13"/>
  <c r="D1127" i="13"/>
  <c r="E1126" i="13"/>
  <c r="D1126" i="13"/>
  <c r="E1125" i="13"/>
  <c r="D1125" i="13"/>
  <c r="E1124" i="13"/>
  <c r="D1124" i="13"/>
  <c r="E1123" i="13"/>
  <c r="D1123" i="13"/>
  <c r="E1122" i="13"/>
  <c r="D1122" i="13"/>
  <c r="E1121" i="13"/>
  <c r="D1121" i="13"/>
  <c r="E1120" i="13"/>
  <c r="D1120" i="13"/>
  <c r="E1119" i="13"/>
  <c r="D1119" i="13"/>
  <c r="E1118" i="13"/>
  <c r="D1118" i="13"/>
  <c r="E1117" i="13"/>
  <c r="D1117" i="13"/>
  <c r="E1116" i="13"/>
  <c r="D1116" i="13"/>
  <c r="E1115" i="13"/>
  <c r="D1115" i="13"/>
  <c r="E1114" i="13"/>
  <c r="D1114" i="13"/>
  <c r="E1113" i="13"/>
  <c r="D1113" i="13"/>
  <c r="E1112" i="13"/>
  <c r="D1112" i="13"/>
  <c r="E1111" i="13"/>
  <c r="D1111" i="13"/>
  <c r="E1110" i="13"/>
  <c r="D1110" i="13"/>
  <c r="E1109" i="13"/>
  <c r="D1109" i="13"/>
  <c r="E1108" i="13"/>
  <c r="D1108" i="13"/>
  <c r="E1107" i="13"/>
  <c r="D1107" i="13"/>
  <c r="E1106" i="13"/>
  <c r="D1106" i="13"/>
  <c r="E1105" i="13"/>
  <c r="D1105" i="13"/>
  <c r="E1104" i="13"/>
  <c r="D1104" i="13"/>
  <c r="E1103" i="13"/>
  <c r="D1103" i="13"/>
  <c r="E1102" i="13"/>
  <c r="D1102" i="13"/>
  <c r="E1101" i="13"/>
  <c r="D1101" i="13"/>
  <c r="E1100" i="13"/>
  <c r="D1100" i="13"/>
  <c r="E1099" i="13"/>
  <c r="D1099" i="13"/>
  <c r="E1098" i="13"/>
  <c r="D1098" i="13"/>
  <c r="E1097" i="13"/>
  <c r="D1097" i="13"/>
  <c r="E1096" i="13"/>
  <c r="D1096" i="13"/>
  <c r="E1095" i="13"/>
  <c r="D1095" i="13"/>
  <c r="E1094" i="13"/>
  <c r="D1094" i="13"/>
  <c r="E1093" i="13"/>
  <c r="D1093" i="13"/>
  <c r="E1092" i="13"/>
  <c r="D1092" i="13"/>
  <c r="E1091" i="13"/>
  <c r="D1091" i="13"/>
  <c r="E1090" i="13"/>
  <c r="D1090" i="13"/>
  <c r="E1089" i="13"/>
  <c r="D1089" i="13"/>
  <c r="E1088" i="13"/>
  <c r="D1088" i="13"/>
  <c r="E1087" i="13"/>
  <c r="D1087" i="13"/>
  <c r="E1086" i="13"/>
  <c r="D1086" i="13"/>
  <c r="E1085" i="13"/>
  <c r="D1085" i="13"/>
  <c r="E1084" i="13"/>
  <c r="D1084" i="13"/>
  <c r="E1083" i="13"/>
  <c r="D1083" i="13"/>
  <c r="E1082" i="13"/>
  <c r="D1082" i="13"/>
  <c r="E1081" i="13"/>
  <c r="D1081" i="13"/>
  <c r="E1080" i="13"/>
  <c r="D1080" i="13"/>
  <c r="E1079" i="13"/>
  <c r="D1079" i="13"/>
  <c r="E1078" i="13"/>
  <c r="D1078" i="13"/>
  <c r="E1077" i="13"/>
  <c r="D1077" i="13"/>
  <c r="E1076" i="13"/>
  <c r="D1076" i="13"/>
  <c r="E1075" i="13"/>
  <c r="D1075" i="13"/>
  <c r="E1074" i="13"/>
  <c r="D1074" i="13"/>
  <c r="E1073" i="13"/>
  <c r="D1073" i="13"/>
  <c r="E1072" i="13"/>
  <c r="D1072" i="13"/>
  <c r="E1071" i="13"/>
  <c r="D1071" i="13"/>
  <c r="E1070" i="13"/>
  <c r="D1070" i="13"/>
  <c r="E1069" i="13"/>
  <c r="D1069" i="13"/>
  <c r="E1068" i="13"/>
  <c r="D1068" i="13"/>
  <c r="E1067" i="13"/>
  <c r="D1067" i="13"/>
  <c r="E1066" i="13"/>
  <c r="D1066" i="13"/>
  <c r="E1065" i="13"/>
  <c r="D1065" i="13"/>
  <c r="E1064" i="13"/>
  <c r="D1064" i="13"/>
  <c r="E1063" i="13"/>
  <c r="D1063" i="13"/>
  <c r="E1062" i="13"/>
  <c r="D1062" i="13"/>
  <c r="E1061" i="13"/>
  <c r="D1061" i="13"/>
  <c r="E1060" i="13"/>
  <c r="D1060" i="13"/>
  <c r="E1059" i="13"/>
  <c r="D1059" i="13"/>
  <c r="E1058" i="13"/>
  <c r="D1058" i="13"/>
  <c r="E1057" i="13"/>
  <c r="D1057" i="13"/>
  <c r="E1056" i="13"/>
  <c r="D1056" i="13"/>
  <c r="E1055" i="13"/>
  <c r="D1055" i="13"/>
  <c r="E1054" i="13"/>
  <c r="D1054" i="13"/>
  <c r="E1053" i="13"/>
  <c r="D1053" i="13"/>
  <c r="E1052" i="13"/>
  <c r="D1052" i="13"/>
  <c r="E1051" i="13"/>
  <c r="D1051" i="13"/>
  <c r="E1050" i="13"/>
  <c r="D1050" i="13"/>
  <c r="E1049" i="13"/>
  <c r="D1049" i="13"/>
  <c r="E1048" i="13"/>
  <c r="D1048" i="13"/>
  <c r="E1047" i="13"/>
  <c r="D1047" i="13"/>
  <c r="E1046" i="13"/>
  <c r="D1046" i="13"/>
  <c r="E1045" i="13"/>
  <c r="D1045" i="13"/>
  <c r="E1044" i="13"/>
  <c r="D1044" i="13"/>
  <c r="E1043" i="13"/>
  <c r="D1043" i="13"/>
  <c r="E1042" i="13"/>
  <c r="D1042" i="13"/>
  <c r="E1041" i="13"/>
  <c r="D1041" i="13"/>
  <c r="E1040" i="13"/>
  <c r="D1040" i="13"/>
  <c r="E1039" i="13"/>
  <c r="D1039" i="13"/>
  <c r="E1038" i="13"/>
  <c r="D1038" i="13"/>
  <c r="E1037" i="13"/>
  <c r="D1037" i="13"/>
  <c r="E1036" i="13"/>
  <c r="D1036" i="13"/>
  <c r="E1035" i="13"/>
  <c r="D1035" i="13"/>
  <c r="E1034" i="13"/>
  <c r="D1034" i="13"/>
  <c r="E1033" i="13"/>
  <c r="D1033" i="13"/>
  <c r="E1032" i="13"/>
  <c r="D1032" i="13"/>
  <c r="E1031" i="13"/>
  <c r="D1031" i="13"/>
  <c r="E1030" i="13"/>
  <c r="D1030" i="13"/>
  <c r="E1029" i="13"/>
  <c r="D1029" i="13"/>
  <c r="E1028" i="13"/>
  <c r="D1028" i="13"/>
  <c r="E1027" i="13"/>
  <c r="D1027" i="13"/>
  <c r="E1026" i="13"/>
  <c r="D1026" i="13"/>
  <c r="E1025" i="13"/>
  <c r="D1025" i="13"/>
  <c r="E1024" i="13"/>
  <c r="D1024" i="13"/>
  <c r="E1023" i="13"/>
  <c r="D1023" i="13"/>
  <c r="E1022" i="13"/>
  <c r="D1022" i="13"/>
  <c r="E1021" i="13"/>
  <c r="D1021" i="13"/>
  <c r="E1020" i="13"/>
  <c r="D1020" i="13"/>
  <c r="E1019" i="13"/>
  <c r="D1019" i="13"/>
  <c r="E1018" i="13"/>
  <c r="D1018" i="13"/>
  <c r="E1017" i="13"/>
  <c r="D1017" i="13"/>
  <c r="E1016" i="13"/>
  <c r="D1016" i="13"/>
  <c r="E1015" i="13"/>
  <c r="D1015" i="13"/>
  <c r="E1014" i="13"/>
  <c r="D1014" i="13"/>
  <c r="E1013" i="13"/>
  <c r="D1013" i="13"/>
  <c r="E1012" i="13"/>
  <c r="D1012" i="13"/>
  <c r="E1011" i="13"/>
  <c r="D1011" i="13"/>
  <c r="E1010" i="13"/>
  <c r="D1010" i="13"/>
  <c r="E1009" i="13"/>
  <c r="D1009" i="13"/>
  <c r="E1008" i="13"/>
  <c r="D1008" i="13"/>
  <c r="E1007" i="13"/>
  <c r="D1007" i="13"/>
  <c r="E1006" i="13"/>
  <c r="D1006" i="13"/>
  <c r="E1005" i="13"/>
  <c r="D1005" i="13"/>
  <c r="E1004" i="13"/>
  <c r="D1004" i="13"/>
  <c r="E1003" i="13"/>
  <c r="D1003" i="13"/>
  <c r="E1002" i="13"/>
  <c r="D1002" i="13"/>
  <c r="E1001" i="13"/>
  <c r="D1001" i="13"/>
  <c r="E1000" i="13"/>
  <c r="D1000" i="13"/>
  <c r="E999" i="13"/>
  <c r="D999" i="13"/>
  <c r="E998" i="13"/>
  <c r="D998" i="13"/>
  <c r="E997" i="13"/>
  <c r="D997" i="13"/>
  <c r="E996" i="13"/>
  <c r="D996" i="13"/>
  <c r="E995" i="13"/>
  <c r="D995" i="13"/>
  <c r="E994" i="13"/>
  <c r="D994" i="13"/>
  <c r="E993" i="13"/>
  <c r="D993" i="13"/>
  <c r="E992" i="13"/>
  <c r="D992" i="13"/>
  <c r="E991" i="13"/>
  <c r="D991" i="13"/>
  <c r="E990" i="13"/>
  <c r="D990" i="13"/>
  <c r="E989" i="13"/>
  <c r="D989" i="13"/>
  <c r="E988" i="13"/>
  <c r="D988" i="13"/>
  <c r="E987" i="13"/>
  <c r="D987" i="13"/>
  <c r="E986" i="13"/>
  <c r="D986" i="13"/>
  <c r="E985" i="13"/>
  <c r="D985" i="13"/>
  <c r="E984" i="13"/>
  <c r="D984" i="13"/>
  <c r="E983" i="13"/>
  <c r="D983" i="13"/>
  <c r="E982" i="13"/>
  <c r="D982" i="13"/>
  <c r="E981" i="13"/>
  <c r="D981" i="13"/>
  <c r="E980" i="13"/>
  <c r="D980" i="13"/>
  <c r="E979" i="13"/>
  <c r="D979" i="13"/>
  <c r="E978" i="13"/>
  <c r="D978" i="13"/>
  <c r="E977" i="13"/>
  <c r="D977" i="13"/>
  <c r="E976" i="13"/>
  <c r="D976" i="13"/>
  <c r="E975" i="13"/>
  <c r="D975" i="13"/>
  <c r="E974" i="13"/>
  <c r="D974" i="13"/>
  <c r="E973" i="13"/>
  <c r="D973" i="13"/>
  <c r="E972" i="13"/>
  <c r="D972" i="13"/>
  <c r="E971" i="13"/>
  <c r="D971" i="13"/>
  <c r="E970" i="13"/>
  <c r="D970" i="13"/>
  <c r="E969" i="13"/>
  <c r="D969" i="13"/>
  <c r="E968" i="13"/>
  <c r="D968" i="13"/>
  <c r="E967" i="13"/>
  <c r="D967" i="13"/>
  <c r="E966" i="13"/>
  <c r="D966" i="13"/>
  <c r="E965" i="13"/>
  <c r="D965" i="13"/>
  <c r="E964" i="13"/>
  <c r="D964" i="13"/>
  <c r="E963" i="13"/>
  <c r="D963" i="13"/>
  <c r="E962" i="13"/>
  <c r="D962" i="13"/>
  <c r="E961" i="13"/>
  <c r="D961" i="13"/>
  <c r="E960" i="13"/>
  <c r="D960" i="13"/>
  <c r="E959" i="13"/>
  <c r="D959" i="13"/>
  <c r="E958" i="13"/>
  <c r="D958" i="13"/>
  <c r="E957" i="13"/>
  <c r="D957" i="13"/>
  <c r="E956" i="13"/>
  <c r="D956" i="13"/>
  <c r="E955" i="13"/>
  <c r="D955" i="13"/>
  <c r="E954" i="13"/>
  <c r="D954" i="13"/>
  <c r="E953" i="13"/>
  <c r="D953" i="13"/>
  <c r="E952" i="13"/>
  <c r="D952" i="13"/>
  <c r="E951" i="13"/>
  <c r="D951" i="13"/>
  <c r="E950" i="13"/>
  <c r="D950" i="13"/>
  <c r="E949" i="13"/>
  <c r="D949" i="13"/>
  <c r="E948" i="13"/>
  <c r="D948" i="13"/>
  <c r="E947" i="13"/>
  <c r="D947" i="13"/>
  <c r="E946" i="13"/>
  <c r="D946" i="13"/>
  <c r="E945" i="13"/>
  <c r="D945" i="13"/>
  <c r="E944" i="13"/>
  <c r="D944" i="13"/>
  <c r="E943" i="13"/>
  <c r="D943" i="13"/>
  <c r="E942" i="13"/>
  <c r="D942" i="13"/>
  <c r="E941" i="13"/>
  <c r="D941" i="13"/>
  <c r="E940" i="13"/>
  <c r="D940" i="13"/>
  <c r="E939" i="13"/>
  <c r="D939" i="13"/>
  <c r="E938" i="13"/>
  <c r="D938" i="13"/>
  <c r="E937" i="13"/>
  <c r="D937" i="13"/>
  <c r="E936" i="13"/>
  <c r="D936" i="13"/>
  <c r="E935" i="13"/>
  <c r="D935" i="13"/>
  <c r="E934" i="13"/>
  <c r="D934" i="13"/>
  <c r="E933" i="13"/>
  <c r="D933" i="13"/>
  <c r="E932" i="13"/>
  <c r="D932" i="13"/>
  <c r="E931" i="13"/>
  <c r="D931" i="13"/>
  <c r="E930" i="13"/>
  <c r="D930" i="13"/>
  <c r="E929" i="13"/>
  <c r="D929" i="13"/>
  <c r="E928" i="13"/>
  <c r="D928" i="13"/>
  <c r="E927" i="13"/>
  <c r="D927" i="13"/>
  <c r="E926" i="13"/>
  <c r="D926" i="13"/>
  <c r="E925" i="13"/>
  <c r="D925" i="13"/>
  <c r="E924" i="13"/>
  <c r="D924" i="13"/>
  <c r="E923" i="13"/>
  <c r="D923" i="13"/>
  <c r="E922" i="13"/>
  <c r="D922" i="13"/>
  <c r="E921" i="13"/>
  <c r="D921" i="13"/>
  <c r="E920" i="13"/>
  <c r="D920" i="13"/>
  <c r="E919" i="13"/>
  <c r="D919" i="13"/>
  <c r="E918" i="13"/>
  <c r="D918" i="13"/>
  <c r="E917" i="13"/>
  <c r="D917" i="13"/>
  <c r="E916" i="13"/>
  <c r="D916" i="13"/>
  <c r="E915" i="13"/>
  <c r="D915" i="13"/>
  <c r="E914" i="13"/>
  <c r="D914" i="13"/>
  <c r="E913" i="13"/>
  <c r="D913" i="13"/>
  <c r="E912" i="13"/>
  <c r="D912" i="13"/>
  <c r="E911" i="13"/>
  <c r="D911" i="13"/>
  <c r="E910" i="13"/>
  <c r="D910" i="13"/>
  <c r="E909" i="13"/>
  <c r="D909" i="13"/>
  <c r="E908" i="13"/>
  <c r="D908" i="13"/>
  <c r="E907" i="13"/>
  <c r="D907" i="13"/>
  <c r="E906" i="13"/>
  <c r="D906" i="13"/>
  <c r="E905" i="13"/>
  <c r="D905" i="13"/>
  <c r="E904" i="13"/>
  <c r="D904" i="13"/>
  <c r="E903" i="13"/>
  <c r="D903" i="13"/>
  <c r="E902" i="13"/>
  <c r="D902" i="13"/>
  <c r="E901" i="13"/>
  <c r="D901" i="13"/>
  <c r="E900" i="13"/>
  <c r="D900" i="13"/>
  <c r="E899" i="13"/>
  <c r="D899" i="13"/>
  <c r="E898" i="13"/>
  <c r="D898" i="13"/>
  <c r="E897" i="13"/>
  <c r="D897" i="13"/>
  <c r="E896" i="13"/>
  <c r="D896" i="13"/>
  <c r="E895" i="13"/>
  <c r="D895" i="13"/>
  <c r="E894" i="13"/>
  <c r="D894" i="13"/>
  <c r="E893" i="13"/>
  <c r="D893" i="13"/>
  <c r="E892" i="13"/>
  <c r="D892" i="13"/>
  <c r="E891" i="13"/>
  <c r="D891" i="13"/>
  <c r="E890" i="13"/>
  <c r="D890" i="13"/>
  <c r="E889" i="13"/>
  <c r="D889" i="13"/>
  <c r="E888" i="13"/>
  <c r="D888" i="13"/>
  <c r="E887" i="13"/>
  <c r="D887" i="13"/>
  <c r="E886" i="13"/>
  <c r="D886" i="13"/>
  <c r="E885" i="13"/>
  <c r="D885" i="13"/>
  <c r="E884" i="13"/>
  <c r="D884" i="13"/>
  <c r="E883" i="13"/>
  <c r="D883" i="13"/>
  <c r="E882" i="13"/>
  <c r="D882" i="13"/>
  <c r="E881" i="13"/>
  <c r="D881" i="13"/>
  <c r="E880" i="13"/>
  <c r="D880" i="13"/>
  <c r="E879" i="13"/>
  <c r="D879" i="13"/>
  <c r="E878" i="13"/>
  <c r="D878" i="13"/>
  <c r="E877" i="13"/>
  <c r="D877" i="13"/>
  <c r="E876" i="13"/>
  <c r="D876" i="13"/>
  <c r="E875" i="13"/>
  <c r="D875" i="13"/>
  <c r="E874" i="13"/>
  <c r="D874" i="13"/>
  <c r="E873" i="13"/>
  <c r="D873" i="13"/>
  <c r="E872" i="13"/>
  <c r="D872" i="13"/>
  <c r="E871" i="13"/>
  <c r="D871" i="13"/>
  <c r="E870" i="13"/>
  <c r="D870" i="13"/>
  <c r="E869" i="13"/>
  <c r="D869" i="13"/>
  <c r="E868" i="13"/>
  <c r="D868" i="13"/>
  <c r="E867" i="13"/>
  <c r="D867" i="13"/>
  <c r="E866" i="13"/>
  <c r="D866" i="13"/>
  <c r="E865" i="13"/>
  <c r="D865" i="13"/>
  <c r="E864" i="13"/>
  <c r="D864" i="13"/>
  <c r="E863" i="13"/>
  <c r="D863" i="13"/>
  <c r="E862" i="13"/>
  <c r="D862" i="13"/>
  <c r="E861" i="13"/>
  <c r="D861" i="13"/>
  <c r="E860" i="13"/>
  <c r="D860" i="13"/>
  <c r="E859" i="13"/>
  <c r="D859" i="13"/>
  <c r="E858" i="13"/>
  <c r="D858" i="13"/>
  <c r="E857" i="13"/>
  <c r="D857" i="13"/>
  <c r="E856" i="13"/>
  <c r="D856" i="13"/>
  <c r="E855" i="13"/>
  <c r="D855" i="13"/>
  <c r="E854" i="13"/>
  <c r="D854" i="13"/>
  <c r="E853" i="13"/>
  <c r="D853" i="13"/>
  <c r="E852" i="13"/>
  <c r="D852" i="13"/>
  <c r="E851" i="13"/>
  <c r="D851" i="13"/>
  <c r="E850" i="13"/>
  <c r="D850" i="13"/>
  <c r="E849" i="13"/>
  <c r="D849" i="13"/>
  <c r="E848" i="13"/>
  <c r="D848" i="13"/>
  <c r="E847" i="13"/>
  <c r="D847" i="13"/>
  <c r="E846" i="13"/>
  <c r="D846" i="13"/>
  <c r="E845" i="13"/>
  <c r="D845" i="13"/>
  <c r="E844" i="13"/>
  <c r="D844" i="13"/>
  <c r="E843" i="13"/>
  <c r="D843" i="13"/>
  <c r="E842" i="13"/>
  <c r="D842" i="13"/>
  <c r="E841" i="13"/>
  <c r="D841" i="13"/>
  <c r="E840" i="13"/>
  <c r="D840" i="13"/>
  <c r="E839" i="13"/>
  <c r="D839" i="13"/>
  <c r="E838" i="13"/>
  <c r="D838" i="13"/>
  <c r="E837" i="13"/>
  <c r="D837" i="13"/>
  <c r="E836" i="13"/>
  <c r="D836" i="13"/>
  <c r="E835" i="13"/>
  <c r="D835" i="13"/>
  <c r="E834" i="13"/>
  <c r="D834" i="13"/>
  <c r="E833" i="13"/>
  <c r="D833" i="13"/>
  <c r="E832" i="13"/>
  <c r="D832" i="13"/>
  <c r="E831" i="13"/>
  <c r="D831" i="13"/>
  <c r="E830" i="13"/>
  <c r="D830" i="13"/>
  <c r="E829" i="13"/>
  <c r="D829" i="13"/>
  <c r="E828" i="13"/>
  <c r="D828" i="13"/>
  <c r="E827" i="13"/>
  <c r="D827" i="13"/>
  <c r="E826" i="13"/>
  <c r="D826" i="13"/>
  <c r="E825" i="13"/>
  <c r="D825" i="13"/>
  <c r="E824" i="13"/>
  <c r="D824" i="13"/>
  <c r="E823" i="13"/>
  <c r="D823" i="13"/>
  <c r="E822" i="13"/>
  <c r="D822" i="13"/>
  <c r="E821" i="13"/>
  <c r="D821" i="13"/>
  <c r="E820" i="13"/>
  <c r="D820" i="13"/>
  <c r="E819" i="13"/>
  <c r="D819" i="13"/>
  <c r="E818" i="13"/>
  <c r="D818" i="13"/>
  <c r="E817" i="13"/>
  <c r="D817" i="13"/>
  <c r="E816" i="13"/>
  <c r="D816" i="13"/>
  <c r="E815" i="13"/>
  <c r="D815" i="13"/>
  <c r="E814" i="13"/>
  <c r="D814" i="13"/>
  <c r="E813" i="13"/>
  <c r="D813" i="13"/>
  <c r="E812" i="13"/>
  <c r="D812" i="13"/>
  <c r="E811" i="13"/>
  <c r="D811" i="13"/>
  <c r="E810" i="13"/>
  <c r="D810" i="13"/>
  <c r="E809" i="13"/>
  <c r="D809" i="13"/>
  <c r="E808" i="13"/>
  <c r="D808" i="13"/>
  <c r="E807" i="13"/>
  <c r="D807" i="13"/>
  <c r="E806" i="13"/>
  <c r="D806" i="13"/>
  <c r="E805" i="13"/>
  <c r="D805" i="13"/>
  <c r="E804" i="13"/>
  <c r="D804" i="13"/>
  <c r="E803" i="13"/>
  <c r="D803" i="13"/>
  <c r="E802" i="13"/>
  <c r="D802" i="13"/>
  <c r="E801" i="13"/>
  <c r="D801" i="13"/>
  <c r="E800" i="13"/>
  <c r="D800" i="13"/>
  <c r="E799" i="13"/>
  <c r="D799" i="13"/>
  <c r="E798" i="13"/>
  <c r="D798" i="13"/>
  <c r="E797" i="13"/>
  <c r="D797" i="13"/>
  <c r="E796" i="13"/>
  <c r="D796" i="13"/>
  <c r="E795" i="13"/>
  <c r="D795" i="13"/>
  <c r="E794" i="13"/>
  <c r="D794" i="13"/>
  <c r="E793" i="13"/>
  <c r="D793" i="13"/>
  <c r="E792" i="13"/>
  <c r="D792" i="13"/>
  <c r="E791" i="13"/>
  <c r="D791" i="13"/>
  <c r="E790" i="13"/>
  <c r="D790" i="13"/>
  <c r="E789" i="13"/>
  <c r="D789" i="13"/>
  <c r="E788" i="13"/>
  <c r="D788" i="13"/>
  <c r="E787" i="13"/>
  <c r="D787" i="13"/>
  <c r="E786" i="13"/>
  <c r="D786" i="13"/>
  <c r="E785" i="13"/>
  <c r="D785" i="13"/>
  <c r="E784" i="13"/>
  <c r="D784" i="13"/>
  <c r="E783" i="13"/>
  <c r="D783" i="13"/>
  <c r="E782" i="13"/>
  <c r="D782" i="13"/>
  <c r="E781" i="13"/>
  <c r="D781" i="13"/>
  <c r="E780" i="13"/>
  <c r="D780" i="13"/>
  <c r="E779" i="13"/>
  <c r="D779" i="13"/>
  <c r="E778" i="13"/>
  <c r="D778" i="13"/>
  <c r="E777" i="13"/>
  <c r="D777" i="13"/>
  <c r="E776" i="13"/>
  <c r="D776" i="13"/>
  <c r="E775" i="13"/>
  <c r="D775" i="13"/>
  <c r="E774" i="13"/>
  <c r="D774" i="13"/>
  <c r="E773" i="13"/>
  <c r="D773" i="13"/>
  <c r="E772" i="13"/>
  <c r="D772" i="13"/>
  <c r="E771" i="13"/>
  <c r="D771" i="13"/>
  <c r="E770" i="13"/>
  <c r="D770" i="13"/>
  <c r="E769" i="13"/>
  <c r="D769" i="13"/>
  <c r="E768" i="13"/>
  <c r="D768" i="13"/>
  <c r="E767" i="13"/>
  <c r="D767" i="13"/>
  <c r="E766" i="13"/>
  <c r="D766" i="13"/>
  <c r="E765" i="13"/>
  <c r="D765" i="13"/>
  <c r="E764" i="13"/>
  <c r="D764" i="13"/>
  <c r="E763" i="13"/>
  <c r="D763" i="13"/>
  <c r="E762" i="13"/>
  <c r="D762" i="13"/>
  <c r="E761" i="13"/>
  <c r="D761" i="13"/>
  <c r="E760" i="13"/>
  <c r="D760" i="13"/>
  <c r="E759" i="13"/>
  <c r="D759" i="13"/>
  <c r="E758" i="13"/>
  <c r="D758" i="13"/>
  <c r="E757" i="13"/>
  <c r="D757" i="13"/>
  <c r="E756" i="13"/>
  <c r="D756" i="13"/>
  <c r="E755" i="13"/>
  <c r="D755" i="13"/>
  <c r="E754" i="13"/>
  <c r="D754" i="13"/>
  <c r="E753" i="13"/>
  <c r="D753" i="13"/>
  <c r="E752" i="13"/>
  <c r="D752" i="13"/>
  <c r="E751" i="13"/>
  <c r="D751" i="13"/>
  <c r="E750" i="13"/>
  <c r="D750" i="13"/>
  <c r="E749" i="13"/>
  <c r="D749" i="13"/>
  <c r="E748" i="13"/>
  <c r="D748" i="13"/>
  <c r="E747" i="13"/>
  <c r="D747" i="13"/>
  <c r="E746" i="13"/>
  <c r="D746" i="13"/>
  <c r="E745" i="13"/>
  <c r="D745" i="13"/>
  <c r="E744" i="13"/>
  <c r="D744" i="13"/>
  <c r="E743" i="13"/>
  <c r="D743" i="13"/>
  <c r="E742" i="13"/>
  <c r="D742" i="13"/>
  <c r="E741" i="13"/>
  <c r="D741" i="13"/>
  <c r="E740" i="13"/>
  <c r="D740" i="13"/>
  <c r="E739" i="13"/>
  <c r="D739" i="13"/>
  <c r="E738" i="13"/>
  <c r="D738" i="13"/>
  <c r="E737" i="13"/>
  <c r="D737" i="13"/>
  <c r="E736" i="13"/>
  <c r="D736" i="13"/>
  <c r="E735" i="13"/>
  <c r="D735" i="13"/>
  <c r="E734" i="13"/>
  <c r="D734" i="13"/>
  <c r="E733" i="13"/>
  <c r="D733" i="13"/>
  <c r="E732" i="13"/>
  <c r="D732" i="13"/>
  <c r="E731" i="13"/>
  <c r="D731" i="13"/>
  <c r="E730" i="13"/>
  <c r="D730" i="13"/>
  <c r="E729" i="13"/>
  <c r="D729" i="13"/>
  <c r="E728" i="13"/>
  <c r="D728" i="13"/>
  <c r="E727" i="13"/>
  <c r="D727" i="13"/>
  <c r="E726" i="13"/>
  <c r="D726" i="13"/>
  <c r="E725" i="13"/>
  <c r="D725" i="13"/>
  <c r="E724" i="13"/>
  <c r="D724" i="13"/>
  <c r="E723" i="13"/>
  <c r="D723" i="13"/>
  <c r="E722" i="13"/>
  <c r="D722" i="13"/>
  <c r="E721" i="13"/>
  <c r="D721" i="13"/>
  <c r="E720" i="13"/>
  <c r="D720" i="13"/>
  <c r="E719" i="13"/>
  <c r="D719" i="13"/>
  <c r="E718" i="13"/>
  <c r="D718" i="13"/>
  <c r="E717" i="13"/>
  <c r="D717" i="13"/>
  <c r="E716" i="13"/>
  <c r="D716" i="13"/>
  <c r="E715" i="13"/>
  <c r="D715" i="13"/>
  <c r="E714" i="13"/>
  <c r="D714" i="13"/>
  <c r="E713" i="13"/>
  <c r="D713" i="13"/>
  <c r="E712" i="13"/>
  <c r="D712" i="13"/>
  <c r="E711" i="13"/>
  <c r="D711" i="13"/>
  <c r="E710" i="13"/>
  <c r="D710" i="13"/>
  <c r="E709" i="13"/>
  <c r="D709" i="13"/>
  <c r="E708" i="13"/>
  <c r="D708" i="13"/>
  <c r="E707" i="13"/>
  <c r="D707" i="13"/>
  <c r="E706" i="13"/>
  <c r="D706" i="13"/>
  <c r="E705" i="13"/>
  <c r="D705" i="13"/>
  <c r="E704" i="13"/>
  <c r="D704" i="13"/>
  <c r="E703" i="13"/>
  <c r="D703" i="13"/>
  <c r="E702" i="13"/>
  <c r="D702" i="13"/>
  <c r="E701" i="13"/>
  <c r="D701" i="13"/>
  <c r="E700" i="13"/>
  <c r="D700" i="13"/>
  <c r="E699" i="13"/>
  <c r="D699" i="13"/>
  <c r="E698" i="13"/>
  <c r="D698" i="13"/>
  <c r="E697" i="13"/>
  <c r="D697" i="13"/>
  <c r="E696" i="13"/>
  <c r="D696" i="13"/>
  <c r="E695" i="13"/>
  <c r="D695" i="13"/>
  <c r="E694" i="13"/>
  <c r="D694" i="13"/>
  <c r="E693" i="13"/>
  <c r="D693" i="13"/>
  <c r="E692" i="13"/>
  <c r="D692" i="13"/>
  <c r="E691" i="13"/>
  <c r="D691" i="13"/>
  <c r="E690" i="13"/>
  <c r="D690" i="13"/>
  <c r="E689" i="13"/>
  <c r="D689" i="13"/>
  <c r="E688" i="13"/>
  <c r="D688" i="13"/>
  <c r="E687" i="13"/>
  <c r="D687" i="13"/>
  <c r="E686" i="13"/>
  <c r="D686" i="13"/>
  <c r="E685" i="13"/>
  <c r="D685" i="13"/>
  <c r="E684" i="13"/>
  <c r="D684" i="13"/>
  <c r="E683" i="13"/>
  <c r="D683" i="13"/>
  <c r="E682" i="13"/>
  <c r="D682" i="13"/>
  <c r="E681" i="13"/>
  <c r="D681" i="13"/>
  <c r="E680" i="13"/>
  <c r="D680" i="13"/>
  <c r="E679" i="13"/>
  <c r="D679" i="13"/>
  <c r="E678" i="13"/>
  <c r="D678" i="13"/>
  <c r="E677" i="13"/>
  <c r="D677" i="13"/>
  <c r="E676" i="13"/>
  <c r="D676" i="13"/>
  <c r="E675" i="13"/>
  <c r="D675" i="13"/>
  <c r="E674" i="13"/>
  <c r="D674" i="13"/>
  <c r="E673" i="13"/>
  <c r="D673" i="13"/>
  <c r="E672" i="13"/>
  <c r="D672" i="13"/>
  <c r="E671" i="13"/>
  <c r="D671" i="13"/>
  <c r="E670" i="13"/>
  <c r="D670" i="13"/>
  <c r="E669" i="13"/>
  <c r="D669" i="13"/>
  <c r="E668" i="13"/>
  <c r="D668" i="13"/>
  <c r="E667" i="13"/>
  <c r="D667" i="13"/>
  <c r="E666" i="13"/>
  <c r="D666" i="13"/>
  <c r="E665" i="13"/>
  <c r="D665" i="13"/>
  <c r="E664" i="13"/>
  <c r="D664" i="13"/>
  <c r="E663" i="13"/>
  <c r="D663" i="13"/>
  <c r="E662" i="13"/>
  <c r="D662" i="13"/>
  <c r="E661" i="13"/>
  <c r="D661" i="13"/>
  <c r="E660" i="13"/>
  <c r="D660" i="13"/>
  <c r="E659" i="13"/>
  <c r="D659" i="13"/>
  <c r="E658" i="13"/>
  <c r="D658" i="13"/>
  <c r="E657" i="13"/>
  <c r="D657" i="13"/>
  <c r="E656" i="13"/>
  <c r="D656" i="13"/>
  <c r="E655" i="13"/>
  <c r="D655" i="13"/>
  <c r="E654" i="13"/>
  <c r="D654" i="13"/>
  <c r="E653" i="13"/>
  <c r="D653" i="13"/>
  <c r="E652" i="13"/>
  <c r="D652" i="13"/>
  <c r="E651" i="13"/>
  <c r="D651" i="13"/>
  <c r="E650" i="13"/>
  <c r="D650" i="13"/>
  <c r="E649" i="13"/>
  <c r="D649" i="13"/>
  <c r="E648" i="13"/>
  <c r="D648" i="13"/>
  <c r="E647" i="13"/>
  <c r="D647" i="13"/>
  <c r="E646" i="13"/>
  <c r="D646" i="13"/>
  <c r="E645" i="13"/>
  <c r="D645" i="13"/>
  <c r="E644" i="13"/>
  <c r="D644" i="13"/>
  <c r="E643" i="13"/>
  <c r="D643" i="13"/>
  <c r="E642" i="13"/>
  <c r="D642" i="13"/>
  <c r="E641" i="13"/>
  <c r="D641" i="13"/>
  <c r="E640" i="13"/>
  <c r="D640" i="13"/>
  <c r="E639" i="13"/>
  <c r="D639" i="13"/>
  <c r="E638" i="13"/>
  <c r="D638" i="13"/>
  <c r="E637" i="13"/>
  <c r="D637" i="13"/>
  <c r="E636" i="13"/>
  <c r="D636" i="13"/>
  <c r="E635" i="13"/>
  <c r="D635" i="13"/>
  <c r="E634" i="13"/>
  <c r="D634" i="13"/>
  <c r="E633" i="13"/>
  <c r="D633" i="13"/>
  <c r="E632" i="13"/>
  <c r="D632" i="13"/>
  <c r="E631" i="13"/>
  <c r="D631" i="13"/>
  <c r="E630" i="13"/>
  <c r="D630" i="13"/>
  <c r="E629" i="13"/>
  <c r="D629" i="13"/>
  <c r="E628" i="13"/>
  <c r="D628" i="13"/>
  <c r="E627" i="13"/>
  <c r="D627" i="13"/>
  <c r="E626" i="13"/>
  <c r="D626" i="13"/>
  <c r="E625" i="13"/>
  <c r="D625" i="13"/>
  <c r="E624" i="13"/>
  <c r="D624" i="13"/>
  <c r="E623" i="13"/>
  <c r="D623" i="13"/>
  <c r="E622" i="13"/>
  <c r="D622" i="13"/>
  <c r="E621" i="13"/>
  <c r="D621" i="13"/>
  <c r="E620" i="13"/>
  <c r="D620" i="13"/>
  <c r="E619" i="13"/>
  <c r="D619" i="13"/>
  <c r="E618" i="13"/>
  <c r="D618" i="13"/>
  <c r="E617" i="13"/>
  <c r="D617" i="13"/>
  <c r="E616" i="13"/>
  <c r="D616" i="13"/>
  <c r="E615" i="13"/>
  <c r="D615" i="13"/>
  <c r="E614" i="13"/>
  <c r="D614" i="13"/>
  <c r="E613" i="13"/>
  <c r="D613" i="13"/>
  <c r="E612" i="13"/>
  <c r="D612" i="13"/>
  <c r="E611" i="13"/>
  <c r="D611" i="13"/>
  <c r="E610" i="13"/>
  <c r="D610" i="13"/>
  <c r="E609" i="13"/>
  <c r="D609" i="13"/>
  <c r="E608" i="13"/>
  <c r="D608" i="13"/>
  <c r="E607" i="13"/>
  <c r="D607" i="13"/>
  <c r="E606" i="13"/>
  <c r="D606" i="13"/>
  <c r="E605" i="13"/>
  <c r="D605" i="13"/>
  <c r="E604" i="13"/>
  <c r="D604" i="13"/>
  <c r="E603" i="13"/>
  <c r="D603" i="13"/>
  <c r="E602" i="13"/>
  <c r="D602" i="13"/>
  <c r="E601" i="13"/>
  <c r="D601" i="13"/>
  <c r="E600" i="13"/>
  <c r="D600" i="13"/>
  <c r="E599" i="13"/>
  <c r="D599" i="13"/>
  <c r="E598" i="13"/>
  <c r="D598" i="13"/>
  <c r="E597" i="13"/>
  <c r="D597" i="13"/>
  <c r="E596" i="13"/>
  <c r="D596" i="13"/>
  <c r="E595" i="13"/>
  <c r="D595" i="13"/>
  <c r="E594" i="13"/>
  <c r="D594" i="13"/>
  <c r="E593" i="13"/>
  <c r="D593" i="13"/>
  <c r="E592" i="13"/>
  <c r="D592" i="13"/>
  <c r="E591" i="13"/>
  <c r="D591" i="13"/>
  <c r="E590" i="13"/>
  <c r="D590" i="13"/>
  <c r="E589" i="13"/>
  <c r="D589" i="13"/>
  <c r="E588" i="13"/>
  <c r="D588" i="13"/>
  <c r="E587" i="13"/>
  <c r="D587" i="13"/>
  <c r="E586" i="13"/>
  <c r="D586" i="13"/>
  <c r="E585" i="13"/>
  <c r="D585" i="13"/>
  <c r="E584" i="13"/>
  <c r="D584" i="13"/>
  <c r="E583" i="13"/>
  <c r="D583" i="13"/>
  <c r="E582" i="13"/>
  <c r="D582" i="13"/>
  <c r="E581" i="13"/>
  <c r="D581" i="13"/>
  <c r="E580" i="13"/>
  <c r="D580" i="13"/>
  <c r="E579" i="13"/>
  <c r="D579" i="13"/>
  <c r="E578" i="13"/>
  <c r="D578" i="13"/>
  <c r="E577" i="13"/>
  <c r="D577" i="13"/>
  <c r="E576" i="13"/>
  <c r="D576" i="13"/>
  <c r="E575" i="13"/>
  <c r="D575" i="13"/>
  <c r="E574" i="13"/>
  <c r="D574" i="13"/>
  <c r="E573" i="13"/>
  <c r="D573" i="13"/>
  <c r="E572" i="13"/>
  <c r="D572" i="13"/>
  <c r="E571" i="13"/>
  <c r="D571" i="13"/>
  <c r="E570" i="13"/>
  <c r="D570" i="13"/>
  <c r="E569" i="13"/>
  <c r="D569" i="13"/>
  <c r="E568" i="13"/>
  <c r="D568" i="13"/>
  <c r="E567" i="13"/>
  <c r="D567" i="13"/>
  <c r="E566" i="13"/>
  <c r="D566" i="13"/>
  <c r="E565" i="13"/>
  <c r="D565" i="13"/>
  <c r="E564" i="13"/>
  <c r="D564" i="13"/>
  <c r="E563" i="13"/>
  <c r="D563" i="13"/>
  <c r="E562" i="13"/>
  <c r="D562" i="13"/>
  <c r="E561" i="13"/>
  <c r="D561" i="13"/>
  <c r="E560" i="13"/>
  <c r="D560" i="13"/>
  <c r="E559" i="13"/>
  <c r="D559" i="13"/>
  <c r="E558" i="13"/>
  <c r="D558" i="13"/>
  <c r="E557" i="13"/>
  <c r="D557" i="13"/>
  <c r="E556" i="13"/>
  <c r="D556" i="13"/>
  <c r="E555" i="13"/>
  <c r="D555" i="13"/>
  <c r="E554" i="13"/>
  <c r="D554" i="13"/>
  <c r="E553" i="13"/>
  <c r="D553" i="13"/>
  <c r="E552" i="13"/>
  <c r="D552" i="13"/>
  <c r="E551" i="13"/>
  <c r="D551" i="13"/>
  <c r="E550" i="13"/>
  <c r="D550" i="13"/>
  <c r="E549" i="13"/>
  <c r="D549" i="13"/>
  <c r="E548" i="13"/>
  <c r="D548" i="13"/>
  <c r="E547" i="13"/>
  <c r="D547" i="13"/>
  <c r="E546" i="13"/>
  <c r="D546" i="13"/>
  <c r="E545" i="13"/>
  <c r="D545" i="13"/>
  <c r="E544" i="13"/>
  <c r="D544" i="13"/>
  <c r="E543" i="13"/>
  <c r="D543" i="13"/>
  <c r="E542" i="13"/>
  <c r="D542" i="13"/>
  <c r="E541" i="13"/>
  <c r="D541" i="13"/>
  <c r="E540" i="13"/>
  <c r="D540" i="13"/>
  <c r="E539" i="13"/>
  <c r="D539" i="13"/>
  <c r="E538" i="13"/>
  <c r="D538" i="13"/>
  <c r="E537" i="13"/>
  <c r="D537" i="13"/>
  <c r="E536" i="13"/>
  <c r="D536" i="13"/>
  <c r="E535" i="13"/>
  <c r="D535" i="13"/>
  <c r="E534" i="13"/>
  <c r="D534" i="13"/>
  <c r="E533" i="13"/>
  <c r="D533" i="13"/>
  <c r="E532" i="13"/>
  <c r="D532" i="13"/>
  <c r="E531" i="13"/>
  <c r="D531" i="13"/>
  <c r="E530" i="13"/>
  <c r="D530" i="13"/>
  <c r="E529" i="13"/>
  <c r="D529" i="13"/>
  <c r="E528" i="13"/>
  <c r="D528" i="13"/>
  <c r="E527" i="13"/>
  <c r="D527" i="13"/>
  <c r="E526" i="13"/>
  <c r="D526" i="13"/>
  <c r="E525" i="13"/>
  <c r="D525" i="13"/>
  <c r="E524" i="13"/>
  <c r="D524" i="13"/>
  <c r="E523" i="13"/>
  <c r="D523" i="13"/>
  <c r="E522" i="13"/>
  <c r="D522" i="13"/>
  <c r="E521" i="13"/>
  <c r="D521" i="13"/>
  <c r="E520" i="13"/>
  <c r="D520" i="13"/>
  <c r="E519" i="13"/>
  <c r="D519" i="13"/>
  <c r="E518" i="13"/>
  <c r="D518" i="13"/>
  <c r="E517" i="13"/>
  <c r="D517" i="13"/>
  <c r="E516" i="13"/>
  <c r="D516" i="13"/>
  <c r="E515" i="13"/>
  <c r="D515" i="13"/>
  <c r="E514" i="13"/>
  <c r="D514" i="13"/>
  <c r="E513" i="13"/>
  <c r="D513" i="13"/>
  <c r="E512" i="13"/>
  <c r="D512" i="13"/>
  <c r="E511" i="13"/>
  <c r="D511" i="13"/>
  <c r="E510" i="13"/>
  <c r="D510" i="13"/>
  <c r="E509" i="13"/>
  <c r="D509" i="13"/>
  <c r="E508" i="13"/>
  <c r="D508" i="13"/>
  <c r="E507" i="13"/>
  <c r="D507" i="13"/>
  <c r="E506" i="13"/>
  <c r="D506" i="13"/>
  <c r="E505" i="13"/>
  <c r="D505" i="13"/>
  <c r="E504" i="13"/>
  <c r="D504" i="13"/>
  <c r="E503" i="13"/>
  <c r="D503" i="13"/>
  <c r="E502" i="13"/>
  <c r="D502" i="13"/>
  <c r="E501" i="13"/>
  <c r="D501" i="13"/>
  <c r="E500" i="13"/>
  <c r="D500" i="13"/>
  <c r="E499" i="13"/>
  <c r="D499" i="13"/>
  <c r="E498" i="13"/>
  <c r="D498" i="13"/>
  <c r="E497" i="13"/>
  <c r="D497" i="13"/>
  <c r="E496" i="13"/>
  <c r="D496" i="13"/>
  <c r="E495" i="13"/>
  <c r="D495" i="13"/>
  <c r="E494" i="13"/>
  <c r="D494" i="13"/>
  <c r="E493" i="13"/>
  <c r="D493" i="13"/>
  <c r="E492" i="13"/>
  <c r="D492" i="13"/>
  <c r="E491" i="13"/>
  <c r="D491" i="13"/>
  <c r="E490" i="13"/>
  <c r="D490" i="13"/>
  <c r="E489" i="13"/>
  <c r="D489" i="13"/>
  <c r="E488" i="13"/>
  <c r="D488" i="13"/>
  <c r="E487" i="13"/>
  <c r="D487" i="13"/>
  <c r="E486" i="13"/>
  <c r="D486" i="13"/>
  <c r="E485" i="13"/>
  <c r="D485" i="13"/>
  <c r="E484" i="13"/>
  <c r="D484" i="13"/>
  <c r="E483" i="13"/>
  <c r="D483" i="13"/>
  <c r="E482" i="13"/>
  <c r="D482" i="13"/>
  <c r="E481" i="13"/>
  <c r="D481" i="13"/>
  <c r="E480" i="13"/>
  <c r="D480" i="13"/>
  <c r="E479" i="13"/>
  <c r="D479" i="13"/>
  <c r="E478" i="13"/>
  <c r="D478" i="13"/>
  <c r="E477" i="13"/>
  <c r="D477" i="13"/>
  <c r="E476" i="13"/>
  <c r="D476" i="13"/>
  <c r="E475" i="13"/>
  <c r="D475" i="13"/>
  <c r="E474" i="13"/>
  <c r="D474" i="13"/>
  <c r="E473" i="13"/>
  <c r="D473" i="13"/>
  <c r="E472" i="13"/>
  <c r="D472" i="13"/>
  <c r="E471" i="13"/>
  <c r="D471" i="13"/>
  <c r="E470" i="13"/>
  <c r="D470" i="13"/>
  <c r="E469" i="13"/>
  <c r="D469" i="13"/>
  <c r="E468" i="13"/>
  <c r="D468" i="13"/>
  <c r="E467" i="13"/>
  <c r="D467" i="13"/>
  <c r="E466" i="13"/>
  <c r="D466" i="13"/>
  <c r="E465" i="13"/>
  <c r="D465" i="13"/>
  <c r="E464" i="13"/>
  <c r="D464" i="13"/>
  <c r="E463" i="13"/>
  <c r="D463" i="13"/>
  <c r="E462" i="13"/>
  <c r="D462" i="13"/>
  <c r="E461" i="13"/>
  <c r="D461" i="13"/>
  <c r="E460" i="13"/>
  <c r="D460" i="13"/>
  <c r="E459" i="13"/>
  <c r="D459" i="13"/>
  <c r="E458" i="13"/>
  <c r="D458" i="13"/>
  <c r="E457" i="13"/>
  <c r="D457" i="13"/>
  <c r="E456" i="13"/>
  <c r="D456" i="13"/>
  <c r="E455" i="13"/>
  <c r="D455" i="13"/>
  <c r="E454" i="13"/>
  <c r="D454" i="13"/>
  <c r="E453" i="13"/>
  <c r="D453" i="13"/>
  <c r="E452" i="13"/>
  <c r="D452" i="13"/>
  <c r="E451" i="13"/>
  <c r="D451" i="13"/>
  <c r="E450" i="13"/>
  <c r="D450" i="13"/>
  <c r="E449" i="13"/>
  <c r="D449" i="13"/>
  <c r="E448" i="13"/>
  <c r="D448" i="13"/>
  <c r="E447" i="13"/>
  <c r="D447" i="13"/>
  <c r="E446" i="13"/>
  <c r="D446" i="13"/>
  <c r="E445" i="13"/>
  <c r="D445" i="13"/>
  <c r="E444" i="13"/>
  <c r="D444" i="13"/>
  <c r="E443" i="13"/>
  <c r="D443" i="13"/>
  <c r="E442" i="13"/>
  <c r="D442" i="13"/>
  <c r="E441" i="13"/>
  <c r="D441" i="13"/>
  <c r="E440" i="13"/>
  <c r="D440" i="13"/>
  <c r="E439" i="13"/>
  <c r="D439" i="13"/>
  <c r="E438" i="13"/>
  <c r="D438" i="13"/>
  <c r="E437" i="13"/>
  <c r="D437" i="13"/>
  <c r="E436" i="13"/>
  <c r="D436" i="13"/>
  <c r="E435" i="13"/>
  <c r="D435" i="13"/>
  <c r="E434" i="13"/>
  <c r="D434" i="13"/>
  <c r="E433" i="13"/>
  <c r="D433" i="13"/>
  <c r="E432" i="13"/>
  <c r="D432" i="13"/>
  <c r="E431" i="13"/>
  <c r="D431" i="13"/>
  <c r="E430" i="13"/>
  <c r="D430" i="13"/>
  <c r="E429" i="13"/>
  <c r="D429" i="13"/>
  <c r="E428" i="13"/>
  <c r="D428" i="13"/>
  <c r="E427" i="13"/>
  <c r="D427" i="13"/>
  <c r="E426" i="13"/>
  <c r="D426" i="13"/>
  <c r="E425" i="13"/>
  <c r="D425" i="13"/>
  <c r="E424" i="13"/>
  <c r="D424" i="13"/>
  <c r="E423" i="13"/>
  <c r="D423" i="13"/>
  <c r="E422" i="13"/>
  <c r="D422" i="13"/>
  <c r="E421" i="13"/>
  <c r="D421" i="13"/>
  <c r="E420" i="13"/>
  <c r="D420" i="13"/>
  <c r="E419" i="13"/>
  <c r="D419" i="13"/>
  <c r="E418" i="13"/>
  <c r="D418" i="13"/>
  <c r="E417" i="13"/>
  <c r="D417" i="13"/>
  <c r="E416" i="13"/>
  <c r="D416" i="13"/>
  <c r="E415" i="13"/>
  <c r="D415" i="13"/>
  <c r="E414" i="13"/>
  <c r="D414" i="13"/>
  <c r="E413" i="13"/>
  <c r="D413" i="13"/>
  <c r="E412" i="13"/>
  <c r="D412" i="13"/>
  <c r="E411" i="13"/>
  <c r="D411" i="13"/>
  <c r="E410" i="13"/>
  <c r="D410" i="13"/>
  <c r="E409" i="13"/>
  <c r="D409" i="13"/>
  <c r="E408" i="13"/>
  <c r="D408" i="13"/>
  <c r="E407" i="13"/>
  <c r="D407" i="13"/>
  <c r="E406" i="13"/>
  <c r="D406" i="13"/>
  <c r="E405" i="13"/>
  <c r="D405" i="13"/>
  <c r="E404" i="13"/>
  <c r="D404" i="13"/>
  <c r="E403" i="13"/>
  <c r="D403" i="13"/>
  <c r="E402" i="13"/>
  <c r="D402" i="13"/>
  <c r="E401" i="13"/>
  <c r="D401" i="13"/>
  <c r="E400" i="13"/>
  <c r="D400" i="13"/>
  <c r="E399" i="13"/>
  <c r="D399" i="13"/>
  <c r="E398" i="13"/>
  <c r="D398" i="13"/>
  <c r="E397" i="13"/>
  <c r="D397" i="13"/>
  <c r="E396" i="13"/>
  <c r="D396" i="13"/>
  <c r="E395" i="13"/>
  <c r="D395" i="13"/>
  <c r="E394" i="13"/>
  <c r="D394" i="13"/>
  <c r="E393" i="13"/>
  <c r="D393" i="13"/>
  <c r="E392" i="13"/>
  <c r="D392" i="13"/>
  <c r="E391" i="13"/>
  <c r="D391" i="13"/>
  <c r="E390" i="13"/>
  <c r="D390" i="13"/>
  <c r="E389" i="13"/>
  <c r="D389" i="13"/>
  <c r="E388" i="13"/>
  <c r="D388" i="13"/>
  <c r="E387" i="13"/>
  <c r="D387" i="13"/>
  <c r="E386" i="13"/>
  <c r="D386" i="13"/>
  <c r="E385" i="13"/>
  <c r="D385" i="13"/>
  <c r="E384" i="13"/>
  <c r="D384" i="13"/>
  <c r="E383" i="13"/>
  <c r="D383" i="13"/>
  <c r="E382" i="13"/>
  <c r="D382" i="13"/>
  <c r="E381" i="13"/>
  <c r="D381" i="13"/>
  <c r="E380" i="13"/>
  <c r="D380" i="13"/>
  <c r="E379" i="13"/>
  <c r="D379" i="13"/>
  <c r="E378" i="13"/>
  <c r="D378" i="13"/>
  <c r="E377" i="13"/>
  <c r="D377" i="13"/>
  <c r="E376" i="13"/>
  <c r="D376" i="13"/>
  <c r="E375" i="13"/>
  <c r="D375" i="13"/>
  <c r="E374" i="13"/>
  <c r="D374" i="13"/>
  <c r="E373" i="13"/>
  <c r="D373" i="13"/>
  <c r="E372" i="13"/>
  <c r="D372" i="13"/>
  <c r="E371" i="13"/>
  <c r="D371" i="13"/>
  <c r="E370" i="13"/>
  <c r="D370" i="13"/>
  <c r="E369" i="13"/>
  <c r="D369" i="13"/>
  <c r="E368" i="13"/>
  <c r="D368" i="13"/>
  <c r="E367" i="13"/>
  <c r="D367" i="13"/>
  <c r="E366" i="13"/>
  <c r="D366" i="13"/>
  <c r="E365" i="13"/>
  <c r="D365" i="13"/>
  <c r="E364" i="13"/>
  <c r="D364" i="13"/>
  <c r="E363" i="13"/>
  <c r="D363" i="13"/>
  <c r="E362" i="13"/>
  <c r="D362" i="13"/>
  <c r="E361" i="13"/>
  <c r="D361" i="13"/>
  <c r="E360" i="13"/>
  <c r="D360" i="13"/>
  <c r="E359" i="13"/>
  <c r="D359" i="13"/>
  <c r="E358" i="13"/>
  <c r="D358" i="13"/>
  <c r="E357" i="13"/>
  <c r="D357" i="13"/>
  <c r="E356" i="13"/>
  <c r="D356" i="13"/>
  <c r="E355" i="13"/>
  <c r="D355" i="13"/>
  <c r="E354" i="13"/>
  <c r="D354" i="13"/>
  <c r="E353" i="13"/>
  <c r="D353" i="13"/>
  <c r="E352" i="13"/>
  <c r="D352" i="13"/>
  <c r="E351" i="13"/>
  <c r="D351" i="13"/>
  <c r="E350" i="13"/>
  <c r="D350" i="13"/>
  <c r="E349" i="13"/>
  <c r="D349" i="13"/>
  <c r="E348" i="13"/>
  <c r="D348" i="13"/>
  <c r="E347" i="13"/>
  <c r="D347" i="13"/>
  <c r="E346" i="13"/>
  <c r="D346" i="13"/>
  <c r="E345" i="13"/>
  <c r="D345" i="13"/>
  <c r="E344" i="13"/>
  <c r="D344" i="13"/>
  <c r="E343" i="13"/>
  <c r="D343" i="13"/>
  <c r="E342" i="13"/>
  <c r="D342" i="13"/>
  <c r="E341" i="13"/>
  <c r="D341" i="13"/>
  <c r="E340" i="13"/>
  <c r="D340" i="13"/>
  <c r="E339" i="13"/>
  <c r="D339" i="13"/>
  <c r="E338" i="13"/>
  <c r="D338" i="13"/>
  <c r="E337" i="13"/>
  <c r="D337" i="13"/>
  <c r="E336" i="13"/>
  <c r="D336" i="13"/>
  <c r="E335" i="13"/>
  <c r="D335" i="13"/>
  <c r="E334" i="13"/>
  <c r="D334" i="13"/>
  <c r="E333" i="13"/>
  <c r="D333" i="13"/>
  <c r="E332" i="13"/>
  <c r="D332" i="13"/>
  <c r="E331" i="13"/>
  <c r="D331" i="13"/>
  <c r="E330" i="13"/>
  <c r="D330" i="13"/>
  <c r="E329" i="13"/>
  <c r="D329" i="13"/>
  <c r="E328" i="13"/>
  <c r="D328" i="13"/>
  <c r="E327" i="13"/>
  <c r="D327" i="13"/>
  <c r="E326" i="13"/>
  <c r="D326" i="13"/>
  <c r="E325" i="13"/>
  <c r="D325" i="13"/>
  <c r="E324" i="13"/>
  <c r="D324" i="13"/>
  <c r="E323" i="13"/>
  <c r="D323" i="13"/>
  <c r="E322" i="13"/>
  <c r="D322" i="13"/>
  <c r="E321" i="13"/>
  <c r="D321" i="13"/>
  <c r="E320" i="13"/>
  <c r="D320" i="13"/>
  <c r="E319" i="13"/>
  <c r="D319" i="13"/>
  <c r="E318" i="13"/>
  <c r="D318" i="13"/>
  <c r="E317" i="13"/>
  <c r="D317" i="13"/>
  <c r="E316" i="13"/>
  <c r="D316" i="13"/>
  <c r="E315" i="13"/>
  <c r="D315" i="13"/>
  <c r="E314" i="13"/>
  <c r="D314" i="13"/>
  <c r="E313" i="13"/>
  <c r="D313" i="13"/>
  <c r="E312" i="13"/>
  <c r="D312" i="13"/>
  <c r="E311" i="13"/>
  <c r="D311" i="13"/>
  <c r="E310" i="13"/>
  <c r="D310" i="13"/>
  <c r="E309" i="13"/>
  <c r="D309" i="13"/>
  <c r="E308" i="13"/>
  <c r="D308" i="13"/>
  <c r="E307" i="13"/>
  <c r="D307" i="13"/>
  <c r="E306" i="13"/>
  <c r="D306" i="13"/>
  <c r="E305" i="13"/>
  <c r="D305" i="13"/>
  <c r="E304" i="13"/>
  <c r="D304" i="13"/>
  <c r="E303" i="13"/>
  <c r="D303" i="13"/>
  <c r="E302" i="13"/>
  <c r="D302" i="13"/>
  <c r="E301" i="13"/>
  <c r="D301" i="13"/>
  <c r="E300" i="13"/>
  <c r="D300" i="13"/>
  <c r="E299" i="13"/>
  <c r="D299" i="13"/>
  <c r="E298" i="13"/>
  <c r="D298" i="13"/>
  <c r="E297" i="13"/>
  <c r="D297" i="13"/>
  <c r="E296" i="13"/>
  <c r="D296" i="13"/>
  <c r="E295" i="13"/>
  <c r="D295" i="13"/>
  <c r="E294" i="13"/>
  <c r="D294" i="13"/>
  <c r="E293" i="13"/>
  <c r="D293" i="13"/>
  <c r="E292" i="13"/>
  <c r="D292" i="13"/>
  <c r="E291" i="13"/>
  <c r="D291" i="13"/>
  <c r="E290" i="13"/>
  <c r="D290" i="13"/>
  <c r="E289" i="13"/>
  <c r="D289" i="13"/>
  <c r="E288" i="13"/>
  <c r="D288" i="13"/>
  <c r="E287" i="13"/>
  <c r="D287" i="13"/>
  <c r="E286" i="13"/>
  <c r="D286" i="13"/>
  <c r="E285" i="13"/>
  <c r="D285" i="13"/>
  <c r="E284" i="13"/>
  <c r="D284" i="13"/>
  <c r="E283" i="13"/>
  <c r="D283" i="13"/>
  <c r="E282" i="13"/>
  <c r="D282" i="13"/>
  <c r="E281" i="13"/>
  <c r="D281" i="13"/>
  <c r="E280" i="13"/>
  <c r="D280" i="13"/>
  <c r="E279" i="13"/>
  <c r="D279" i="13"/>
  <c r="E278" i="13"/>
  <c r="D278" i="13"/>
  <c r="E277" i="13"/>
  <c r="D277" i="13"/>
  <c r="E276" i="13"/>
  <c r="D276" i="13"/>
  <c r="E275" i="13"/>
  <c r="D275" i="13"/>
  <c r="E274" i="13"/>
  <c r="D274" i="13"/>
  <c r="E273" i="13"/>
  <c r="D273" i="13"/>
  <c r="E272" i="13"/>
  <c r="D272" i="13"/>
  <c r="E271" i="13"/>
  <c r="D271" i="13"/>
  <c r="E270" i="13"/>
  <c r="D270" i="13"/>
  <c r="E269" i="13"/>
  <c r="D269" i="13"/>
  <c r="E268" i="13"/>
  <c r="D268" i="13"/>
  <c r="E267" i="13"/>
  <c r="D267" i="13"/>
  <c r="E266" i="13"/>
  <c r="D266" i="13"/>
  <c r="E265" i="13"/>
  <c r="D265" i="13"/>
  <c r="E264" i="13"/>
  <c r="D264" i="13"/>
  <c r="E263" i="13"/>
  <c r="D263" i="13"/>
  <c r="E262" i="13"/>
  <c r="D262" i="13"/>
  <c r="E261" i="13"/>
  <c r="D261" i="13"/>
  <c r="E260" i="13"/>
  <c r="D260" i="13"/>
  <c r="E259" i="13"/>
  <c r="D259" i="13"/>
  <c r="E258" i="13"/>
  <c r="D258" i="13"/>
  <c r="E257" i="13"/>
  <c r="D257" i="13"/>
  <c r="E256" i="13"/>
  <c r="D256" i="13"/>
  <c r="E255" i="13"/>
  <c r="D255" i="13"/>
  <c r="E254" i="13"/>
  <c r="D254" i="13"/>
  <c r="E253" i="13"/>
  <c r="D253" i="13"/>
  <c r="E252" i="13"/>
  <c r="D252" i="13"/>
  <c r="E251" i="13"/>
  <c r="D251" i="13"/>
  <c r="E250" i="13"/>
  <c r="D250" i="13"/>
  <c r="E249" i="13"/>
  <c r="D249" i="13"/>
  <c r="E248" i="13"/>
  <c r="D248" i="13"/>
  <c r="E247" i="13"/>
  <c r="D247" i="13"/>
  <c r="E246" i="13"/>
  <c r="D246" i="13"/>
  <c r="E245" i="13"/>
  <c r="D245" i="13"/>
  <c r="E244" i="13"/>
  <c r="D244" i="13"/>
  <c r="E243" i="13"/>
  <c r="D243" i="13"/>
  <c r="E242" i="13"/>
  <c r="D242" i="13"/>
  <c r="E241" i="13"/>
  <c r="D241" i="13"/>
  <c r="E240" i="13"/>
  <c r="D240" i="13"/>
  <c r="E239" i="13"/>
  <c r="D239" i="13"/>
  <c r="E238" i="13"/>
  <c r="D238" i="13"/>
  <c r="E237" i="13"/>
  <c r="D237" i="13"/>
  <c r="E236" i="13"/>
  <c r="D236" i="13"/>
  <c r="E235" i="13"/>
  <c r="D235" i="13"/>
  <c r="E234" i="13"/>
  <c r="D234" i="13"/>
  <c r="E233" i="13"/>
  <c r="D233" i="13"/>
  <c r="E232" i="13"/>
  <c r="D232" i="13"/>
  <c r="E231" i="13"/>
  <c r="D231" i="13"/>
  <c r="E230" i="13"/>
  <c r="D230" i="13"/>
  <c r="E229" i="13"/>
  <c r="D229" i="13"/>
  <c r="E228" i="13"/>
  <c r="D228" i="13"/>
  <c r="E227" i="13"/>
  <c r="D227" i="13"/>
  <c r="E226" i="13"/>
  <c r="D226" i="13"/>
  <c r="E225" i="13"/>
  <c r="D225" i="13"/>
  <c r="E224" i="13"/>
  <c r="D224" i="13"/>
  <c r="E223" i="13"/>
  <c r="D223" i="13"/>
  <c r="E222" i="13"/>
  <c r="D222" i="13"/>
  <c r="E221" i="13"/>
  <c r="D221" i="13"/>
  <c r="E220" i="13"/>
  <c r="D220" i="13"/>
  <c r="E219" i="13"/>
  <c r="D219" i="13"/>
  <c r="E218" i="13"/>
  <c r="D218" i="13"/>
  <c r="E217" i="13"/>
  <c r="D217" i="13"/>
  <c r="E216" i="13"/>
  <c r="D216" i="13"/>
  <c r="E215" i="13"/>
  <c r="D215" i="13"/>
  <c r="E214" i="13"/>
  <c r="D214" i="13"/>
  <c r="E213" i="13"/>
  <c r="D213" i="13"/>
  <c r="E212" i="13"/>
  <c r="D212" i="13"/>
  <c r="E211" i="13"/>
  <c r="D211" i="13"/>
  <c r="E210" i="13"/>
  <c r="D210" i="13"/>
  <c r="E209" i="13"/>
  <c r="D209" i="13"/>
  <c r="E208" i="13"/>
  <c r="D208" i="13"/>
  <c r="E207" i="13"/>
  <c r="D207" i="13"/>
  <c r="E206" i="13"/>
  <c r="D206" i="13"/>
  <c r="E205" i="13"/>
  <c r="D205" i="13"/>
  <c r="E204" i="13"/>
  <c r="D204" i="13"/>
  <c r="E203" i="13"/>
  <c r="D203" i="13"/>
  <c r="E202" i="13"/>
  <c r="D202" i="13"/>
  <c r="E201" i="13"/>
  <c r="D201" i="13"/>
  <c r="E200" i="13"/>
  <c r="D200" i="13"/>
  <c r="E199" i="13"/>
  <c r="D199" i="13"/>
  <c r="E198" i="13"/>
  <c r="D198" i="13"/>
  <c r="E197" i="13"/>
  <c r="D197" i="13"/>
  <c r="E196" i="13"/>
  <c r="D196" i="13"/>
  <c r="E195" i="13"/>
  <c r="D195" i="13"/>
  <c r="E194" i="13"/>
  <c r="D194" i="13"/>
  <c r="E193" i="13"/>
  <c r="D193" i="13"/>
  <c r="E192" i="13"/>
  <c r="D192" i="13"/>
  <c r="E191" i="13"/>
  <c r="D191" i="13"/>
  <c r="E190" i="13"/>
  <c r="D190" i="13"/>
  <c r="E189" i="13"/>
  <c r="D189" i="13"/>
  <c r="E188" i="13"/>
  <c r="D188" i="13"/>
  <c r="E187" i="13"/>
  <c r="D187" i="13"/>
  <c r="E186" i="13"/>
  <c r="D186" i="13"/>
  <c r="E185" i="13"/>
  <c r="D185" i="13"/>
  <c r="E184" i="13"/>
  <c r="D184" i="13"/>
  <c r="E183" i="13"/>
  <c r="D183" i="13"/>
  <c r="E182" i="13"/>
  <c r="D182" i="13"/>
  <c r="E181" i="13"/>
  <c r="D181" i="13"/>
  <c r="E180" i="13"/>
  <c r="D180" i="13"/>
  <c r="E179" i="13"/>
  <c r="D179" i="13"/>
  <c r="E178" i="13"/>
  <c r="D178" i="13"/>
  <c r="E177" i="13"/>
  <c r="D177" i="13"/>
  <c r="E176" i="13"/>
  <c r="D176" i="13"/>
  <c r="E175" i="13"/>
  <c r="D175" i="13"/>
  <c r="E174" i="13"/>
  <c r="D174" i="13"/>
  <c r="E173" i="13"/>
  <c r="D173" i="13"/>
  <c r="E172" i="13"/>
  <c r="D172" i="13"/>
  <c r="E171" i="13"/>
  <c r="D171" i="13"/>
  <c r="E170" i="13"/>
  <c r="D170" i="13"/>
  <c r="E169" i="13"/>
  <c r="D169" i="13"/>
  <c r="E168" i="13"/>
  <c r="D168" i="13"/>
  <c r="E167" i="13"/>
  <c r="D167" i="13"/>
  <c r="E166" i="13"/>
  <c r="D166" i="13"/>
  <c r="E165" i="13"/>
  <c r="D165" i="13"/>
  <c r="E164" i="13"/>
  <c r="D164" i="13"/>
  <c r="E163" i="13"/>
  <c r="D163" i="13"/>
  <c r="E162" i="13"/>
  <c r="D162" i="13"/>
  <c r="E161" i="13"/>
  <c r="D161" i="13"/>
  <c r="E160" i="13"/>
  <c r="D160" i="13"/>
  <c r="E159" i="13"/>
  <c r="D159" i="13"/>
  <c r="E158" i="13"/>
  <c r="D158" i="13"/>
  <c r="E157" i="13"/>
  <c r="D157" i="13"/>
  <c r="E156" i="13"/>
  <c r="D156" i="13"/>
  <c r="E155" i="13"/>
  <c r="D155" i="13"/>
  <c r="E154" i="13"/>
  <c r="D154" i="13"/>
  <c r="E153" i="13"/>
  <c r="D153" i="13"/>
  <c r="E152" i="13"/>
  <c r="D152" i="13"/>
  <c r="E151" i="13"/>
  <c r="D151" i="13"/>
  <c r="E150" i="13"/>
  <c r="D150" i="13"/>
  <c r="E149" i="13"/>
  <c r="D149" i="13"/>
  <c r="E148" i="13"/>
  <c r="D148" i="13"/>
  <c r="E147" i="13"/>
  <c r="D147" i="13"/>
  <c r="E146" i="13"/>
  <c r="D146" i="13"/>
  <c r="E145" i="13"/>
  <c r="D145" i="13"/>
  <c r="E144" i="13"/>
  <c r="D144" i="13"/>
  <c r="E143" i="13"/>
  <c r="D143" i="13"/>
  <c r="E142" i="13"/>
  <c r="D142" i="13"/>
  <c r="E141" i="13"/>
  <c r="D141" i="13"/>
  <c r="E140" i="13"/>
  <c r="D140" i="13"/>
  <c r="E139" i="13"/>
  <c r="D139" i="13"/>
  <c r="E138" i="13"/>
  <c r="D138" i="13"/>
  <c r="E137" i="13"/>
  <c r="D137" i="13"/>
  <c r="E136" i="13"/>
  <c r="D136" i="13"/>
  <c r="E135" i="13"/>
  <c r="D135" i="13"/>
  <c r="E134" i="13"/>
  <c r="D134" i="13"/>
  <c r="E133" i="13"/>
  <c r="D133" i="13"/>
  <c r="E132" i="13"/>
  <c r="D132" i="13"/>
  <c r="E131" i="13"/>
  <c r="D131" i="13"/>
  <c r="E130" i="13"/>
  <c r="D130" i="13"/>
  <c r="E129" i="13"/>
  <c r="D129" i="13"/>
  <c r="E128" i="13"/>
  <c r="D128" i="13"/>
  <c r="E127" i="13"/>
  <c r="D127" i="13"/>
  <c r="E126" i="13"/>
  <c r="D126" i="13"/>
  <c r="E125" i="13"/>
  <c r="D125" i="13"/>
  <c r="E124" i="13"/>
  <c r="D124" i="13"/>
  <c r="E123" i="13"/>
  <c r="D123" i="13"/>
  <c r="E122" i="13"/>
  <c r="D122" i="13"/>
  <c r="E121" i="13"/>
  <c r="D121" i="13"/>
  <c r="E120" i="13"/>
  <c r="D120" i="13"/>
  <c r="E119" i="13"/>
  <c r="D119" i="13"/>
  <c r="E118" i="13"/>
  <c r="D118" i="13"/>
  <c r="E117" i="13"/>
  <c r="D117" i="13"/>
  <c r="E116" i="13"/>
  <c r="D116" i="13"/>
  <c r="E115" i="13"/>
  <c r="D115" i="13"/>
  <c r="E114" i="13"/>
  <c r="D114" i="13"/>
  <c r="E113" i="13"/>
  <c r="D113" i="13"/>
  <c r="E112" i="13"/>
  <c r="D112" i="13"/>
  <c r="E111" i="13"/>
  <c r="D111" i="13"/>
  <c r="E110" i="13"/>
  <c r="D110" i="13"/>
  <c r="E109" i="13"/>
  <c r="D109" i="13"/>
  <c r="E108" i="13"/>
  <c r="D108" i="13"/>
  <c r="E107" i="13"/>
  <c r="D107" i="13"/>
  <c r="E106" i="13"/>
  <c r="D106" i="13"/>
  <c r="E105" i="13"/>
  <c r="D105" i="13"/>
  <c r="E104" i="13"/>
  <c r="D104" i="13"/>
  <c r="E103" i="13"/>
  <c r="D103" i="13"/>
  <c r="E102" i="13"/>
  <c r="D102" i="13"/>
  <c r="E101" i="13"/>
  <c r="D101" i="13"/>
  <c r="E100" i="13"/>
  <c r="D100" i="13"/>
  <c r="E99" i="13"/>
  <c r="D99" i="13"/>
  <c r="E98" i="13"/>
  <c r="D98" i="13"/>
  <c r="E97" i="13"/>
  <c r="D97" i="13"/>
  <c r="E96" i="13"/>
  <c r="D96" i="13"/>
  <c r="E95" i="13"/>
  <c r="D95" i="13"/>
  <c r="E94" i="13"/>
  <c r="D94" i="13"/>
  <c r="E93" i="13"/>
  <c r="D93" i="13"/>
  <c r="E92" i="13"/>
  <c r="D92" i="13"/>
  <c r="E91" i="13"/>
  <c r="D91" i="13"/>
  <c r="E90" i="13"/>
  <c r="D90" i="13"/>
  <c r="E89" i="13"/>
  <c r="D89" i="13"/>
  <c r="E88" i="13"/>
  <c r="D88" i="13"/>
  <c r="E87" i="13"/>
  <c r="D87" i="13"/>
  <c r="E86" i="13"/>
  <c r="D86" i="13"/>
  <c r="E85" i="13"/>
  <c r="D85" i="13"/>
  <c r="E84" i="13"/>
  <c r="D84" i="13"/>
  <c r="E83" i="13"/>
  <c r="D83" i="13"/>
  <c r="E82" i="13"/>
  <c r="D82" i="13"/>
  <c r="E81" i="13"/>
  <c r="D81" i="13"/>
  <c r="E80" i="13"/>
  <c r="D80" i="13"/>
  <c r="E79" i="13"/>
  <c r="D79" i="13"/>
  <c r="E78" i="13"/>
  <c r="D78" i="13"/>
  <c r="E77" i="13"/>
  <c r="D77" i="13"/>
  <c r="E76" i="13"/>
  <c r="D76" i="13"/>
  <c r="E75" i="13"/>
  <c r="D75" i="13"/>
  <c r="E74" i="13"/>
  <c r="D74" i="13"/>
  <c r="E73" i="13"/>
  <c r="D73" i="13"/>
  <c r="E72" i="13"/>
  <c r="D72" i="13"/>
  <c r="E71" i="13"/>
  <c r="D71" i="13"/>
  <c r="E70" i="13"/>
  <c r="D70" i="13"/>
  <c r="E69" i="13"/>
  <c r="D69" i="13"/>
  <c r="E68" i="13"/>
  <c r="D68" i="13"/>
  <c r="E67" i="13"/>
  <c r="D67" i="13"/>
  <c r="E66" i="13"/>
  <c r="D66" i="13"/>
  <c r="E65" i="13"/>
  <c r="D65" i="13"/>
  <c r="E64" i="13"/>
  <c r="D64" i="13"/>
  <c r="E63" i="13"/>
  <c r="D63" i="13"/>
  <c r="E62" i="13"/>
  <c r="D62" i="13"/>
  <c r="E61" i="13"/>
  <c r="D61" i="13"/>
  <c r="E60" i="13"/>
  <c r="D60" i="13"/>
  <c r="E59" i="13"/>
  <c r="D59" i="13"/>
  <c r="E58" i="13"/>
  <c r="D58" i="13"/>
  <c r="E57" i="13"/>
  <c r="D57" i="13"/>
  <c r="E56" i="13"/>
  <c r="D56" i="13"/>
  <c r="E55" i="13"/>
  <c r="D55" i="13"/>
  <c r="E54" i="13"/>
  <c r="D54" i="13"/>
  <c r="E53" i="13"/>
  <c r="D53" i="13"/>
  <c r="E52" i="13"/>
  <c r="D52" i="13"/>
  <c r="E51" i="13"/>
  <c r="D51" i="13"/>
  <c r="E50" i="13"/>
  <c r="D50" i="13"/>
  <c r="E49" i="13"/>
  <c r="D49" i="13"/>
  <c r="E48" i="13"/>
  <c r="D48" i="13"/>
  <c r="E47" i="13"/>
  <c r="D47" i="13"/>
  <c r="E46" i="13"/>
  <c r="D46" i="13"/>
  <c r="E45" i="13"/>
  <c r="D45" i="13"/>
  <c r="E44" i="13"/>
  <c r="D44" i="13"/>
  <c r="E43" i="13"/>
  <c r="D43" i="13"/>
  <c r="E42" i="13"/>
  <c r="D42" i="13"/>
  <c r="E41" i="13"/>
  <c r="D41" i="13"/>
  <c r="E40" i="13"/>
  <c r="D40" i="13"/>
  <c r="E39" i="13"/>
  <c r="D39" i="13"/>
  <c r="E38" i="13"/>
  <c r="D38" i="13"/>
  <c r="E37" i="13"/>
  <c r="D37" i="13"/>
  <c r="E36" i="13"/>
  <c r="D36" i="13"/>
  <c r="E35" i="13"/>
  <c r="D35" i="13"/>
  <c r="E34" i="13"/>
  <c r="D34" i="13"/>
  <c r="E33" i="13"/>
  <c r="D33" i="13"/>
  <c r="I32" i="13"/>
  <c r="E32" i="13"/>
  <c r="D32" i="13"/>
  <c r="E31" i="13"/>
  <c r="D31" i="13"/>
  <c r="E30" i="13"/>
  <c r="D30" i="13"/>
  <c r="E29" i="13"/>
  <c r="D29" i="13"/>
  <c r="E28" i="13"/>
  <c r="D28" i="13"/>
  <c r="E27" i="13"/>
  <c r="D27" i="13"/>
  <c r="E26" i="13"/>
  <c r="D26" i="13"/>
  <c r="E25" i="13"/>
  <c r="D25" i="13"/>
  <c r="E24" i="13"/>
  <c r="D24" i="13"/>
  <c r="E23" i="13"/>
  <c r="D23" i="13"/>
  <c r="E22" i="13"/>
  <c r="D22" i="13"/>
  <c r="E21" i="13"/>
  <c r="D21" i="13"/>
  <c r="E20" i="13"/>
  <c r="D20" i="13"/>
  <c r="E19" i="13"/>
  <c r="D19" i="13"/>
  <c r="E18" i="13"/>
  <c r="D18" i="13"/>
  <c r="E17" i="13"/>
  <c r="D17" i="13"/>
  <c r="E16" i="13"/>
  <c r="D16" i="13"/>
  <c r="E15" i="13"/>
  <c r="D15" i="13"/>
  <c r="E14" i="13"/>
  <c r="D14" i="13"/>
  <c r="E13" i="13"/>
  <c r="D13" i="13"/>
  <c r="E12" i="13"/>
  <c r="D12" i="13"/>
  <c r="E11" i="13"/>
  <c r="D11" i="13"/>
  <c r="E10" i="13"/>
  <c r="D10" i="13"/>
  <c r="K9" i="13"/>
  <c r="E9" i="13"/>
  <c r="D9" i="13"/>
  <c r="K8" i="13"/>
  <c r="E8" i="13"/>
  <c r="D8" i="13"/>
  <c r="K7" i="13"/>
  <c r="E7" i="13"/>
  <c r="D7" i="13"/>
  <c r="K6" i="13"/>
  <c r="E6" i="13"/>
  <c r="D6" i="13"/>
  <c r="K5" i="13"/>
  <c r="E5" i="13"/>
  <c r="D5" i="13"/>
  <c r="K4" i="13"/>
  <c r="E4" i="13"/>
  <c r="D4" i="13"/>
  <c r="N3" i="13"/>
  <c r="E3" i="13"/>
  <c r="D3" i="13"/>
  <c r="E2" i="13"/>
  <c r="P3" i="13" s="1" a="1"/>
  <c r="P3" i="13" s="1"/>
  <c r="D2" i="13"/>
  <c r="B13" i="5"/>
  <c r="B16" i="5" s="1"/>
  <c r="P4" i="13" l="1"/>
  <c r="I9" i="13"/>
  <c r="I8" i="13"/>
  <c r="I7" i="13"/>
  <c r="I6" i="13"/>
  <c r="I5" i="13"/>
  <c r="I4" i="13"/>
  <c r="P45" i="13" s="1"/>
  <c r="L32" i="13"/>
  <c r="O3" i="13"/>
  <c r="L31" i="13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I54" i="13" s="1"/>
  <c r="I55" i="13" s="1"/>
  <c r="I56" i="13" s="1"/>
  <c r="I57" i="13" s="1"/>
  <c r="I58" i="13" s="1"/>
  <c r="I59" i="13" s="1"/>
  <c r="I60" i="13" s="1"/>
  <c r="I61" i="13" s="1"/>
  <c r="I62" i="13" s="1"/>
  <c r="I63" i="13" s="1"/>
  <c r="I64" i="13" s="1"/>
  <c r="I65" i="13" s="1"/>
  <c r="I66" i="13" s="1"/>
  <c r="I67" i="13" s="1"/>
  <c r="I68" i="13" s="1"/>
  <c r="I69" i="13" s="1"/>
  <c r="I70" i="13" s="1"/>
  <c r="I71" i="13" s="1"/>
  <c r="I72" i="13" s="1"/>
  <c r="I73" i="13" s="1"/>
  <c r="I74" i="13" s="1"/>
  <c r="I75" i="13" s="1"/>
  <c r="I76" i="13" s="1"/>
  <c r="I77" i="13" s="1"/>
  <c r="I78" i="13" s="1"/>
  <c r="I79" i="13" s="1"/>
  <c r="I80" i="13" s="1"/>
  <c r="I81" i="13" s="1"/>
  <c r="I82" i="13" s="1"/>
  <c r="I83" i="13" s="1"/>
  <c r="I84" i="13" s="1"/>
  <c r="I85" i="13" s="1"/>
  <c r="I86" i="13" s="1"/>
  <c r="I87" i="13" s="1"/>
  <c r="I88" i="13" s="1"/>
  <c r="I89" i="13" s="1"/>
  <c r="I90" i="13" s="1"/>
  <c r="I91" i="13" s="1"/>
  <c r="I92" i="13" s="1"/>
  <c r="I93" i="13" s="1"/>
  <c r="I94" i="13" s="1"/>
  <c r="I95" i="13" s="1"/>
  <c r="I96" i="13" s="1"/>
  <c r="I97" i="13" s="1"/>
  <c r="I98" i="13" s="1"/>
  <c r="I99" i="13" s="1"/>
  <c r="I100" i="13" s="1"/>
  <c r="I101" i="13" s="1"/>
  <c r="I102" i="13" s="1"/>
  <c r="I103" i="13" s="1"/>
  <c r="I104" i="13" s="1"/>
  <c r="I105" i="13" s="1"/>
  <c r="I106" i="13" s="1"/>
  <c r="I107" i="13" s="1"/>
  <c r="I108" i="13" s="1"/>
  <c r="I109" i="13" s="1"/>
  <c r="I110" i="13" s="1"/>
  <c r="I111" i="13" s="1"/>
  <c r="I112" i="13" s="1"/>
  <c r="I113" i="13" s="1"/>
  <c r="I114" i="13" s="1"/>
  <c r="I115" i="13" s="1"/>
  <c r="I116" i="13" s="1"/>
  <c r="I117" i="13" s="1"/>
  <c r="I118" i="13" s="1"/>
  <c r="I119" i="13" s="1"/>
  <c r="I120" i="13" s="1"/>
  <c r="I121" i="13" s="1"/>
  <c r="I122" i="13" s="1"/>
  <c r="I123" i="13" s="1"/>
  <c r="I124" i="13" s="1"/>
  <c r="I125" i="13" s="1"/>
  <c r="I126" i="13" s="1"/>
  <c r="I127" i="13" s="1"/>
  <c r="I128" i="13" s="1"/>
  <c r="I129" i="13" s="1"/>
  <c r="I130" i="13" s="1"/>
  <c r="I131" i="13" s="1"/>
  <c r="I132" i="13" s="1"/>
  <c r="I133" i="13" s="1"/>
  <c r="I134" i="13" s="1"/>
  <c r="I135" i="13" s="1"/>
  <c r="I136" i="13" s="1"/>
  <c r="I137" i="13" s="1"/>
  <c r="I138" i="13" s="1"/>
  <c r="I139" i="13" s="1"/>
  <c r="I140" i="13" s="1"/>
  <c r="I141" i="13" s="1"/>
  <c r="I142" i="13" s="1"/>
  <c r="I143" i="13" s="1"/>
  <c r="I144" i="13" s="1"/>
  <c r="I145" i="13" s="1"/>
  <c r="I146" i="13" s="1"/>
  <c r="I147" i="13" s="1"/>
  <c r="I148" i="13" s="1"/>
  <c r="I149" i="13" s="1"/>
  <c r="I150" i="13" s="1"/>
  <c r="I151" i="13" s="1"/>
  <c r="I152" i="13" s="1"/>
  <c r="I153" i="13" s="1"/>
  <c r="I154" i="13" s="1"/>
  <c r="I155" i="13" s="1"/>
  <c r="I156" i="13" s="1"/>
  <c r="I157" i="13" s="1"/>
  <c r="I158" i="13" s="1"/>
  <c r="I159" i="13" s="1"/>
  <c r="I160" i="13" s="1"/>
  <c r="I161" i="13" s="1"/>
  <c r="I162" i="13" s="1"/>
  <c r="I163" i="13" s="1"/>
  <c r="I164" i="13" s="1"/>
  <c r="I165" i="13" s="1"/>
  <c r="I166" i="13" s="1"/>
  <c r="I167" i="13" s="1"/>
  <c r="I168" i="13" s="1"/>
  <c r="I169" i="13" s="1"/>
  <c r="I170" i="13" s="1"/>
  <c r="I171" i="13" s="1"/>
  <c r="I172" i="13" s="1"/>
  <c r="I173" i="13" s="1"/>
  <c r="I174" i="13" s="1"/>
  <c r="I175" i="13" s="1"/>
  <c r="I176" i="13" s="1"/>
  <c r="I177" i="13" s="1"/>
  <c r="I178" i="13" s="1"/>
  <c r="I179" i="13" s="1"/>
  <c r="I180" i="13" s="1"/>
  <c r="I181" i="13" s="1"/>
  <c r="I182" i="13" s="1"/>
  <c r="I183" i="13" s="1"/>
  <c r="I184" i="13" s="1"/>
  <c r="I185" i="13" s="1"/>
  <c r="I186" i="13" s="1"/>
  <c r="I187" i="13" s="1"/>
  <c r="I188" i="13" s="1"/>
  <c r="I189" i="13" s="1"/>
  <c r="I190" i="13" s="1"/>
  <c r="I191" i="13" s="1"/>
  <c r="I192" i="13" s="1"/>
  <c r="I193" i="13" s="1"/>
  <c r="I194" i="13" s="1"/>
  <c r="I195" i="13" s="1"/>
  <c r="I196" i="13" s="1"/>
  <c r="I197" i="13" s="1"/>
  <c r="I198" i="13" s="1"/>
  <c r="I199" i="13" s="1"/>
  <c r="I200" i="13" s="1"/>
  <c r="I201" i="13" s="1"/>
  <c r="I202" i="13" s="1"/>
  <c r="I203" i="13" s="1"/>
  <c r="I204" i="13" s="1"/>
  <c r="I205" i="13" s="1"/>
  <c r="I206" i="13" s="1"/>
  <c r="I207" i="13" s="1"/>
  <c r="I208" i="13" s="1"/>
  <c r="I209" i="13" s="1"/>
  <c r="I210" i="13" s="1"/>
  <c r="I211" i="13" s="1"/>
  <c r="I212" i="13" s="1"/>
  <c r="I213" i="13" s="1"/>
  <c r="I214" i="13" s="1"/>
  <c r="I215" i="13" s="1"/>
  <c r="I216" i="13" s="1"/>
  <c r="I217" i="13" s="1"/>
  <c r="I218" i="13" s="1"/>
  <c r="I219" i="13" s="1"/>
  <c r="I220" i="13" s="1"/>
  <c r="I221" i="13" s="1"/>
  <c r="I222" i="13" s="1"/>
  <c r="I223" i="13" s="1"/>
  <c r="I224" i="13" s="1"/>
  <c r="I225" i="13" s="1"/>
  <c r="I226" i="13" s="1"/>
  <c r="I227" i="13" s="1"/>
  <c r="I228" i="13" s="1"/>
  <c r="I229" i="13" s="1"/>
  <c r="I230" i="13" s="1"/>
  <c r="I231" i="13" s="1"/>
  <c r="I232" i="13" s="1"/>
  <c r="I233" i="13" s="1"/>
  <c r="I234" i="13" s="1"/>
  <c r="I235" i="13" s="1"/>
  <c r="I236" i="13" s="1"/>
  <c r="I237" i="13" s="1"/>
  <c r="I238" i="13" s="1"/>
  <c r="I239" i="13" s="1"/>
  <c r="I240" i="13" s="1"/>
  <c r="I241" i="13" s="1"/>
  <c r="I242" i="13" s="1"/>
  <c r="I243" i="13" s="1"/>
  <c r="I244" i="13" s="1"/>
  <c r="I245" i="13" s="1"/>
  <c r="I246" i="13" s="1"/>
  <c r="I247" i="13" s="1"/>
  <c r="I248" i="13" s="1"/>
  <c r="I249" i="13" s="1"/>
  <c r="I250" i="13" s="1"/>
  <c r="I251" i="13" s="1"/>
  <c r="I252" i="13" s="1"/>
  <c r="I253" i="13" s="1"/>
  <c r="I254" i="13" s="1"/>
  <c r="I255" i="13" s="1"/>
  <c r="I256" i="13" s="1"/>
  <c r="I257" i="13" s="1"/>
  <c r="I258" i="13" s="1"/>
  <c r="I259" i="13" s="1"/>
  <c r="I260" i="13" s="1"/>
  <c r="I261" i="13" s="1"/>
  <c r="I262" i="13" s="1"/>
  <c r="I263" i="13" s="1"/>
  <c r="I264" i="13" s="1"/>
  <c r="I265" i="13" s="1"/>
  <c r="I266" i="13" s="1"/>
  <c r="I267" i="13" s="1"/>
  <c r="I268" i="13" s="1"/>
  <c r="I269" i="13" s="1"/>
  <c r="I270" i="13" s="1"/>
  <c r="I271" i="13" s="1"/>
  <c r="I272" i="13" s="1"/>
  <c r="I273" i="13" s="1"/>
  <c r="I274" i="13" s="1"/>
  <c r="I275" i="13" s="1"/>
  <c r="I276" i="13" s="1"/>
  <c r="I277" i="13" s="1"/>
  <c r="I278" i="13" s="1"/>
  <c r="I279" i="13" s="1"/>
  <c r="I280" i="13" s="1"/>
  <c r="I281" i="13" s="1"/>
  <c r="I282" i="13" s="1"/>
  <c r="I283" i="13" s="1"/>
  <c r="I284" i="13" s="1"/>
  <c r="I285" i="13" s="1"/>
  <c r="I286" i="13" s="1"/>
  <c r="I287" i="13" s="1"/>
  <c r="I288" i="13" s="1"/>
  <c r="I289" i="13" s="1"/>
  <c r="I290" i="13" s="1"/>
  <c r="I291" i="13" s="1"/>
  <c r="I292" i="13" s="1"/>
  <c r="I293" i="13" s="1"/>
  <c r="I294" i="13" s="1"/>
  <c r="I295" i="13" s="1"/>
  <c r="I296" i="13" s="1"/>
  <c r="I297" i="13" s="1"/>
  <c r="I298" i="13" s="1"/>
  <c r="I299" i="13" s="1"/>
  <c r="I300" i="13" s="1"/>
  <c r="I301" i="13" s="1"/>
  <c r="I302" i="13" s="1"/>
  <c r="I303" i="13" s="1"/>
  <c r="I304" i="13" s="1"/>
  <c r="I305" i="13" s="1"/>
  <c r="I306" i="13" s="1"/>
  <c r="I307" i="13" s="1"/>
  <c r="I308" i="13" s="1"/>
  <c r="I309" i="13" s="1"/>
  <c r="I310" i="13" s="1"/>
  <c r="I311" i="13" s="1"/>
  <c r="I312" i="13" s="1"/>
  <c r="I313" i="13" s="1"/>
  <c r="I314" i="13" s="1"/>
  <c r="I315" i="13" s="1"/>
  <c r="I316" i="13" s="1"/>
  <c r="I317" i="13" s="1"/>
  <c r="I318" i="13" s="1"/>
  <c r="I319" i="13" s="1"/>
  <c r="I320" i="13" s="1"/>
  <c r="I321" i="13" s="1"/>
  <c r="I322" i="13" s="1"/>
  <c r="I323" i="13" s="1"/>
  <c r="I324" i="13" s="1"/>
  <c r="I325" i="13" s="1"/>
  <c r="I326" i="13" s="1"/>
  <c r="I327" i="13" s="1"/>
  <c r="I328" i="13" s="1"/>
  <c r="I329" i="13" s="1"/>
  <c r="I330" i="13" s="1"/>
  <c r="I331" i="13" s="1"/>
  <c r="I332" i="13" s="1"/>
  <c r="I333" i="13" s="1"/>
  <c r="I334" i="13" s="1"/>
  <c r="I335" i="13" s="1"/>
  <c r="I336" i="13" s="1"/>
  <c r="I337" i="13" s="1"/>
  <c r="I338" i="13" s="1"/>
  <c r="I339" i="13" s="1"/>
  <c r="I340" i="13" s="1"/>
  <c r="I341" i="13" s="1"/>
  <c r="I342" i="13" s="1"/>
  <c r="I343" i="13" s="1"/>
  <c r="I344" i="13" s="1"/>
  <c r="I345" i="13" s="1"/>
  <c r="I346" i="13" s="1"/>
  <c r="I347" i="13" s="1"/>
  <c r="I348" i="13" s="1"/>
  <c r="I349" i="13" s="1"/>
  <c r="I350" i="13" s="1"/>
  <c r="I351" i="13" s="1"/>
  <c r="I352" i="13" s="1"/>
  <c r="I353" i="13" s="1"/>
  <c r="I354" i="13" s="1"/>
  <c r="I355" i="13" s="1"/>
  <c r="I356" i="13" s="1"/>
  <c r="I357" i="13" s="1"/>
  <c r="I358" i="13" s="1"/>
  <c r="I359" i="13" s="1"/>
  <c r="I360" i="13" s="1"/>
  <c r="I361" i="13" s="1"/>
  <c r="I362" i="13" s="1"/>
  <c r="I363" i="13" s="1"/>
  <c r="I364" i="13" s="1"/>
  <c r="I365" i="13" s="1"/>
  <c r="I366" i="13" s="1"/>
  <c r="I367" i="13" s="1"/>
  <c r="I368" i="13" s="1"/>
  <c r="I369" i="13" s="1"/>
  <c r="I370" i="13" s="1"/>
  <c r="I371" i="13" s="1"/>
  <c r="I372" i="13" s="1"/>
  <c r="I373" i="13" s="1"/>
  <c r="I374" i="13" s="1"/>
  <c r="I375" i="13" s="1"/>
  <c r="I376" i="13" s="1"/>
  <c r="I377" i="13" s="1"/>
  <c r="I378" i="13" s="1"/>
  <c r="I379" i="13" s="1"/>
  <c r="I380" i="13" s="1"/>
  <c r="I381" i="13" s="1"/>
  <c r="I382" i="13" s="1"/>
  <c r="I383" i="13" s="1"/>
  <c r="I384" i="13" s="1"/>
  <c r="I385" i="13" s="1"/>
  <c r="I386" i="13" s="1"/>
  <c r="I387" i="13" s="1"/>
  <c r="I388" i="13" s="1"/>
  <c r="I389" i="13" s="1"/>
  <c r="I390" i="13" s="1"/>
  <c r="I391" i="13" s="1"/>
  <c r="I392" i="13" s="1"/>
  <c r="I393" i="13" s="1"/>
  <c r="I394" i="13" s="1"/>
  <c r="I395" i="13" s="1"/>
  <c r="I396" i="13" s="1"/>
  <c r="I397" i="13" s="1"/>
  <c r="I398" i="13" s="1"/>
  <c r="I399" i="13" s="1"/>
  <c r="I400" i="13" s="1"/>
  <c r="I401" i="13" s="1"/>
  <c r="I402" i="13" s="1"/>
  <c r="I403" i="13" s="1"/>
  <c r="I404" i="13" s="1"/>
  <c r="I405" i="13" s="1"/>
  <c r="I406" i="13" s="1"/>
  <c r="I407" i="13" s="1"/>
  <c r="I408" i="13" s="1"/>
  <c r="I409" i="13" s="1"/>
  <c r="I410" i="13" s="1"/>
  <c r="I411" i="13" s="1"/>
  <c r="I412" i="13" s="1"/>
  <c r="I413" i="13" s="1"/>
  <c r="I414" i="13" s="1"/>
  <c r="I415" i="13" s="1"/>
  <c r="I416" i="13" s="1"/>
  <c r="I417" i="13" s="1"/>
  <c r="I418" i="13" s="1"/>
  <c r="I419" i="13" s="1"/>
  <c r="I420" i="13" s="1"/>
  <c r="I421" i="13" s="1"/>
  <c r="I422" i="13" s="1"/>
  <c r="I423" i="13" s="1"/>
  <c r="I424" i="13" s="1"/>
  <c r="I425" i="13" s="1"/>
  <c r="I426" i="13" s="1"/>
  <c r="I427" i="13" s="1"/>
  <c r="I428" i="13" s="1"/>
  <c r="I429" i="13" s="1"/>
  <c r="I430" i="13" s="1"/>
  <c r="I431" i="13" s="1"/>
  <c r="I432" i="13" s="1"/>
  <c r="I433" i="13" s="1"/>
  <c r="I434" i="13" s="1"/>
  <c r="I435" i="13" s="1"/>
  <c r="I436" i="13" s="1"/>
  <c r="I437" i="13" s="1"/>
  <c r="I438" i="13" s="1"/>
  <c r="I439" i="13" s="1"/>
  <c r="I440" i="13" s="1"/>
  <c r="I441" i="13" s="1"/>
  <c r="I442" i="13" s="1"/>
  <c r="I443" i="13" s="1"/>
  <c r="I444" i="13" s="1"/>
  <c r="I445" i="13" s="1"/>
  <c r="I446" i="13" s="1"/>
  <c r="I447" i="13" s="1"/>
  <c r="I448" i="13" s="1"/>
  <c r="I449" i="13" s="1"/>
  <c r="I450" i="13" s="1"/>
  <c r="I451" i="13" s="1"/>
  <c r="I452" i="13" s="1"/>
  <c r="I453" i="13" s="1"/>
  <c r="I454" i="13" s="1"/>
  <c r="I455" i="13" s="1"/>
  <c r="I456" i="13" s="1"/>
  <c r="I457" i="13" s="1"/>
  <c r="I458" i="13" s="1"/>
  <c r="I459" i="13" s="1"/>
  <c r="I460" i="13" s="1"/>
  <c r="I461" i="13" s="1"/>
  <c r="I462" i="13" s="1"/>
  <c r="I463" i="13" s="1"/>
  <c r="I464" i="13" s="1"/>
  <c r="I465" i="13" s="1"/>
  <c r="I466" i="13" s="1"/>
  <c r="I467" i="13" s="1"/>
  <c r="I468" i="13" s="1"/>
  <c r="I469" i="13" s="1"/>
  <c r="I470" i="13" s="1"/>
  <c r="I471" i="13" s="1"/>
  <c r="I472" i="13" s="1"/>
  <c r="I473" i="13" s="1"/>
  <c r="I474" i="13" s="1"/>
  <c r="I475" i="13" s="1"/>
  <c r="I476" i="13" s="1"/>
  <c r="I477" i="13" s="1"/>
  <c r="I478" i="13" s="1"/>
  <c r="I479" i="13" s="1"/>
  <c r="I480" i="13" s="1"/>
  <c r="I481" i="13" s="1"/>
  <c r="I482" i="13" s="1"/>
  <c r="I483" i="13" s="1"/>
  <c r="I484" i="13" s="1"/>
  <c r="I485" i="13" s="1"/>
  <c r="I486" i="13" s="1"/>
  <c r="I487" i="13" s="1"/>
  <c r="I488" i="13" s="1"/>
  <c r="I489" i="13" s="1"/>
  <c r="I490" i="13" s="1"/>
  <c r="I491" i="13" s="1"/>
  <c r="I492" i="13" s="1"/>
  <c r="I493" i="13" s="1"/>
  <c r="I494" i="13" s="1"/>
  <c r="I495" i="13" s="1"/>
  <c r="I496" i="13" s="1"/>
  <c r="I497" i="13" s="1"/>
  <c r="I498" i="13" s="1"/>
  <c r="I499" i="13" s="1"/>
  <c r="I500" i="13" s="1"/>
  <c r="I501" i="13" s="1"/>
  <c r="I502" i="13" s="1"/>
  <c r="I503" i="13" s="1"/>
  <c r="I504" i="13" s="1"/>
  <c r="I505" i="13" s="1"/>
  <c r="I506" i="13" s="1"/>
  <c r="I507" i="13" s="1"/>
  <c r="I508" i="13" s="1"/>
  <c r="I509" i="13" s="1"/>
  <c r="I510" i="13" s="1"/>
  <c r="I511" i="13" s="1"/>
  <c r="I512" i="13" s="1"/>
  <c r="I513" i="13" s="1"/>
  <c r="I514" i="13" s="1"/>
  <c r="I515" i="13" s="1"/>
  <c r="I516" i="13" s="1"/>
  <c r="I517" i="13" s="1"/>
  <c r="I518" i="13" s="1"/>
  <c r="I519" i="13" s="1"/>
  <c r="I520" i="13" s="1"/>
  <c r="I521" i="13" s="1"/>
  <c r="I522" i="13" s="1"/>
  <c r="I523" i="13" s="1"/>
  <c r="I524" i="13" s="1"/>
  <c r="I525" i="13" s="1"/>
  <c r="I526" i="13" s="1"/>
  <c r="I527" i="13" s="1"/>
  <c r="I528" i="13" s="1"/>
  <c r="I529" i="13" s="1"/>
  <c r="I530" i="13" s="1"/>
  <c r="I531" i="13" s="1"/>
  <c r="I532" i="13" s="1"/>
  <c r="I533" i="13" s="1"/>
  <c r="I534" i="13" s="1"/>
  <c r="I535" i="13" s="1"/>
  <c r="I536" i="13" s="1"/>
  <c r="I537" i="13" s="1"/>
  <c r="I538" i="13" s="1"/>
  <c r="I539" i="13" s="1"/>
  <c r="I540" i="13" s="1"/>
  <c r="I541" i="13" s="1"/>
  <c r="I542" i="13" s="1"/>
  <c r="I543" i="13" s="1"/>
  <c r="I544" i="13" s="1"/>
  <c r="I545" i="13" s="1"/>
  <c r="I546" i="13" s="1"/>
  <c r="I547" i="13" s="1"/>
  <c r="I548" i="13" s="1"/>
  <c r="I549" i="13" s="1"/>
  <c r="I550" i="13" s="1"/>
  <c r="I551" i="13" s="1"/>
  <c r="I552" i="13" s="1"/>
  <c r="I553" i="13" s="1"/>
  <c r="I554" i="13" s="1"/>
  <c r="I555" i="13" s="1"/>
  <c r="I556" i="13" s="1"/>
  <c r="I557" i="13" s="1"/>
  <c r="I558" i="13" s="1"/>
  <c r="I559" i="13" s="1"/>
  <c r="I560" i="13" s="1"/>
  <c r="I561" i="13" s="1"/>
  <c r="I562" i="13" s="1"/>
  <c r="I563" i="13" s="1"/>
  <c r="I564" i="13" s="1"/>
  <c r="I565" i="13" s="1"/>
  <c r="I566" i="13" s="1"/>
  <c r="I567" i="13" s="1"/>
  <c r="I568" i="13" s="1"/>
  <c r="I569" i="13" s="1"/>
  <c r="I570" i="13" s="1"/>
  <c r="I571" i="13" s="1"/>
  <c r="I572" i="13" s="1"/>
  <c r="I573" i="13" s="1"/>
  <c r="I574" i="13" s="1"/>
  <c r="I575" i="13" s="1"/>
  <c r="I576" i="13" s="1"/>
  <c r="I577" i="13" s="1"/>
  <c r="I578" i="13" s="1"/>
  <c r="I579" i="13" s="1"/>
  <c r="I580" i="13" s="1"/>
  <c r="I581" i="13" s="1"/>
  <c r="I582" i="13" s="1"/>
  <c r="I583" i="13" s="1"/>
  <c r="I584" i="13" s="1"/>
  <c r="I585" i="13" s="1"/>
  <c r="I586" i="13" s="1"/>
  <c r="I587" i="13" s="1"/>
  <c r="I588" i="13" s="1"/>
  <c r="I589" i="13" s="1"/>
  <c r="I590" i="13" s="1"/>
  <c r="I591" i="13" s="1"/>
  <c r="I592" i="13" s="1"/>
  <c r="I593" i="13" s="1"/>
  <c r="I594" i="13" s="1"/>
  <c r="I595" i="13" s="1"/>
  <c r="I596" i="13" s="1"/>
  <c r="I597" i="13" s="1"/>
  <c r="I598" i="13" s="1"/>
  <c r="I599" i="13" s="1"/>
  <c r="I600" i="13" s="1"/>
  <c r="I601" i="13" s="1"/>
  <c r="I602" i="13" s="1"/>
  <c r="I603" i="13" s="1"/>
  <c r="I604" i="13" s="1"/>
  <c r="I605" i="13" s="1"/>
  <c r="I606" i="13" s="1"/>
  <c r="I607" i="13" s="1"/>
  <c r="I608" i="13" s="1"/>
  <c r="I609" i="13" s="1"/>
  <c r="I610" i="13" s="1"/>
  <c r="I611" i="13" s="1"/>
  <c r="I612" i="13" s="1"/>
  <c r="I613" i="13" s="1"/>
  <c r="I614" i="13" s="1"/>
  <c r="I615" i="13" s="1"/>
  <c r="I616" i="13" s="1"/>
  <c r="I617" i="13" s="1"/>
  <c r="I618" i="13" s="1"/>
  <c r="I619" i="13" s="1"/>
  <c r="I620" i="13" s="1"/>
  <c r="I621" i="13" s="1"/>
  <c r="I622" i="13" s="1"/>
  <c r="I623" i="13" s="1"/>
  <c r="I624" i="13" s="1"/>
  <c r="I625" i="13" s="1"/>
  <c r="I626" i="13" s="1"/>
  <c r="I627" i="13" s="1"/>
  <c r="I628" i="13" s="1"/>
  <c r="I629" i="13" s="1"/>
  <c r="I630" i="13" s="1"/>
  <c r="I631" i="13" s="1"/>
  <c r="I632" i="13" s="1"/>
  <c r="I633" i="13" s="1"/>
  <c r="I634" i="13" s="1"/>
  <c r="I635" i="13" s="1"/>
  <c r="I636" i="13" s="1"/>
  <c r="I637" i="13" s="1"/>
  <c r="I638" i="13" s="1"/>
  <c r="I639" i="13" s="1"/>
  <c r="I640" i="13" s="1"/>
  <c r="I641" i="13" s="1"/>
  <c r="I642" i="13" s="1"/>
  <c r="I643" i="13" s="1"/>
  <c r="I644" i="13" s="1"/>
  <c r="I645" i="13" s="1"/>
  <c r="I646" i="13" s="1"/>
  <c r="I647" i="13" s="1"/>
  <c r="I648" i="13" s="1"/>
  <c r="I649" i="13" s="1"/>
  <c r="I650" i="13" s="1"/>
  <c r="I651" i="13" s="1"/>
  <c r="I652" i="13" s="1"/>
  <c r="I653" i="13" s="1"/>
  <c r="I654" i="13" s="1"/>
  <c r="I655" i="13" s="1"/>
  <c r="I656" i="13" s="1"/>
  <c r="I657" i="13" s="1"/>
  <c r="I658" i="13" s="1"/>
  <c r="I659" i="13" s="1"/>
  <c r="I660" i="13" s="1"/>
  <c r="I661" i="13" s="1"/>
  <c r="I662" i="13" s="1"/>
  <c r="I663" i="13" s="1"/>
  <c r="I664" i="13" s="1"/>
  <c r="I665" i="13" s="1"/>
  <c r="I666" i="13" s="1"/>
  <c r="I667" i="13" s="1"/>
  <c r="I668" i="13" s="1"/>
  <c r="I669" i="13" s="1"/>
  <c r="I670" i="13" s="1"/>
  <c r="I671" i="13" s="1"/>
  <c r="I672" i="13" s="1"/>
  <c r="I673" i="13" s="1"/>
  <c r="I674" i="13" s="1"/>
  <c r="I675" i="13" s="1"/>
  <c r="I676" i="13" s="1"/>
  <c r="I677" i="13" s="1"/>
  <c r="I678" i="13" s="1"/>
  <c r="I679" i="13" s="1"/>
  <c r="I680" i="13" s="1"/>
  <c r="I681" i="13" s="1"/>
  <c r="I682" i="13" s="1"/>
  <c r="I683" i="13" s="1"/>
  <c r="I684" i="13" s="1"/>
  <c r="I685" i="13" s="1"/>
  <c r="I686" i="13" s="1"/>
  <c r="I687" i="13" s="1"/>
  <c r="I688" i="13" s="1"/>
  <c r="I689" i="13" s="1"/>
  <c r="I690" i="13" s="1"/>
  <c r="I691" i="13" s="1"/>
  <c r="I692" i="13" s="1"/>
  <c r="I693" i="13" s="1"/>
  <c r="I694" i="13" s="1"/>
  <c r="I695" i="13" s="1"/>
  <c r="I696" i="13" s="1"/>
  <c r="I697" i="13" s="1"/>
  <c r="I698" i="13" s="1"/>
  <c r="I699" i="13" s="1"/>
  <c r="I700" i="13" s="1"/>
  <c r="I701" i="13" s="1"/>
  <c r="I702" i="13" s="1"/>
  <c r="I703" i="13" s="1"/>
  <c r="I704" i="13" s="1"/>
  <c r="I705" i="13" s="1"/>
  <c r="I706" i="13" s="1"/>
  <c r="I707" i="13" s="1"/>
  <c r="I708" i="13" s="1"/>
  <c r="I709" i="13" s="1"/>
  <c r="I710" i="13" s="1"/>
  <c r="I711" i="13" s="1"/>
  <c r="I712" i="13" s="1"/>
  <c r="I713" i="13" s="1"/>
  <c r="I714" i="13" s="1"/>
  <c r="I715" i="13" s="1"/>
  <c r="I716" i="13" s="1"/>
  <c r="I717" i="13" s="1"/>
  <c r="I718" i="13" s="1"/>
  <c r="I719" i="13" s="1"/>
  <c r="I720" i="13" s="1"/>
  <c r="I721" i="13" s="1"/>
  <c r="I722" i="13" s="1"/>
  <c r="I723" i="13" s="1"/>
  <c r="I724" i="13" s="1"/>
  <c r="I725" i="13" s="1"/>
  <c r="I726" i="13" s="1"/>
  <c r="I727" i="13" s="1"/>
  <c r="I728" i="13" s="1"/>
  <c r="I729" i="13" s="1"/>
  <c r="I730" i="13" s="1"/>
  <c r="I731" i="13" s="1"/>
  <c r="I732" i="13" s="1"/>
  <c r="I733" i="13" s="1"/>
  <c r="I734" i="13" s="1"/>
  <c r="I735" i="13" s="1"/>
  <c r="I736" i="13" s="1"/>
  <c r="I737" i="13" s="1"/>
  <c r="I738" i="13" s="1"/>
  <c r="I739" i="13" s="1"/>
  <c r="I740" i="13" s="1"/>
  <c r="I741" i="13" s="1"/>
  <c r="I742" i="13" s="1"/>
  <c r="I743" i="13" s="1"/>
  <c r="I744" i="13" s="1"/>
  <c r="I745" i="13" s="1"/>
  <c r="I746" i="13" s="1"/>
  <c r="I747" i="13" s="1"/>
  <c r="I748" i="13" s="1"/>
  <c r="I749" i="13" s="1"/>
  <c r="I750" i="13" s="1"/>
  <c r="I751" i="13" s="1"/>
  <c r="I752" i="13" s="1"/>
  <c r="I753" i="13" s="1"/>
  <c r="I754" i="13" s="1"/>
  <c r="I755" i="13" s="1"/>
  <c r="I756" i="13" s="1"/>
  <c r="I757" i="13" s="1"/>
  <c r="I758" i="13" s="1"/>
  <c r="I759" i="13" s="1"/>
  <c r="I760" i="13" s="1"/>
  <c r="I761" i="13" s="1"/>
  <c r="I762" i="13" s="1"/>
  <c r="I763" i="13" s="1"/>
  <c r="I764" i="13" s="1"/>
  <c r="I765" i="13" s="1"/>
  <c r="I766" i="13" s="1"/>
  <c r="I767" i="13" s="1"/>
  <c r="I768" i="13" s="1"/>
  <c r="I769" i="13" s="1"/>
  <c r="I770" i="13" s="1"/>
  <c r="I771" i="13" s="1"/>
  <c r="I772" i="13" s="1"/>
  <c r="I773" i="13" s="1"/>
  <c r="I774" i="13" s="1"/>
  <c r="I775" i="13" s="1"/>
  <c r="I776" i="13" s="1"/>
  <c r="I777" i="13" s="1"/>
  <c r="I778" i="13" s="1"/>
  <c r="I779" i="13" s="1"/>
  <c r="I780" i="13" s="1"/>
  <c r="I781" i="13" s="1"/>
  <c r="I782" i="13" s="1"/>
  <c r="I783" i="13" s="1"/>
  <c r="I784" i="13" s="1"/>
  <c r="I785" i="13" s="1"/>
  <c r="I786" i="13" s="1"/>
  <c r="I787" i="13" s="1"/>
  <c r="I788" i="13" s="1"/>
  <c r="I789" i="13" s="1"/>
  <c r="I790" i="13" s="1"/>
  <c r="I791" i="13" s="1"/>
  <c r="I792" i="13" s="1"/>
  <c r="I793" i="13" s="1"/>
  <c r="I794" i="13" s="1"/>
  <c r="I795" i="13" s="1"/>
  <c r="I796" i="13" s="1"/>
  <c r="I797" i="13" s="1"/>
  <c r="I798" i="13" s="1"/>
  <c r="I799" i="13" s="1"/>
  <c r="I800" i="13" s="1"/>
  <c r="I801" i="13" s="1"/>
  <c r="I802" i="13" s="1"/>
  <c r="I803" i="13" s="1"/>
  <c r="I804" i="13" s="1"/>
  <c r="I805" i="13" s="1"/>
  <c r="I806" i="13" s="1"/>
  <c r="I807" i="13" s="1"/>
  <c r="I808" i="13" s="1"/>
  <c r="I809" i="13" s="1"/>
  <c r="I810" i="13" s="1"/>
  <c r="I811" i="13" s="1"/>
  <c r="I812" i="13" s="1"/>
  <c r="I813" i="13" s="1"/>
  <c r="I814" i="13" s="1"/>
  <c r="I815" i="13" s="1"/>
  <c r="I816" i="13" s="1"/>
  <c r="I817" i="13" s="1"/>
  <c r="I818" i="13" s="1"/>
  <c r="I819" i="13" s="1"/>
  <c r="I820" i="13" s="1"/>
  <c r="I821" i="13" s="1"/>
  <c r="I822" i="13" s="1"/>
  <c r="I823" i="13" s="1"/>
  <c r="I824" i="13" s="1"/>
  <c r="I825" i="13" s="1"/>
  <c r="I826" i="13" s="1"/>
  <c r="I827" i="13" s="1"/>
  <c r="I828" i="13" s="1"/>
  <c r="I829" i="13" s="1"/>
  <c r="I830" i="13" s="1"/>
  <c r="I831" i="13" s="1"/>
  <c r="I832" i="13" s="1"/>
  <c r="I833" i="13" s="1"/>
  <c r="I834" i="13" s="1"/>
  <c r="I835" i="13" s="1"/>
  <c r="I836" i="13" s="1"/>
  <c r="I837" i="13" s="1"/>
  <c r="I838" i="13" s="1"/>
  <c r="I839" i="13" s="1"/>
  <c r="I840" i="13" s="1"/>
  <c r="I841" i="13" s="1"/>
  <c r="I842" i="13" s="1"/>
  <c r="I843" i="13" s="1"/>
  <c r="I844" i="13" s="1"/>
  <c r="I845" i="13" s="1"/>
  <c r="I846" i="13" s="1"/>
  <c r="I847" i="13" s="1"/>
  <c r="I848" i="13" s="1"/>
  <c r="I849" i="13" s="1"/>
  <c r="I850" i="13" s="1"/>
  <c r="I851" i="13" s="1"/>
  <c r="I852" i="13" s="1"/>
  <c r="I853" i="13" s="1"/>
  <c r="I854" i="13" s="1"/>
  <c r="I855" i="13" s="1"/>
  <c r="I856" i="13" s="1"/>
  <c r="I857" i="13" s="1"/>
  <c r="I858" i="13" s="1"/>
  <c r="I859" i="13" s="1"/>
  <c r="I860" i="13" s="1"/>
  <c r="I861" i="13" s="1"/>
  <c r="I862" i="13" s="1"/>
  <c r="I863" i="13" s="1"/>
  <c r="I864" i="13" s="1"/>
  <c r="I865" i="13" s="1"/>
  <c r="I866" i="13" s="1"/>
  <c r="I867" i="13" s="1"/>
  <c r="I868" i="13" s="1"/>
  <c r="I869" i="13" s="1"/>
  <c r="I870" i="13" s="1"/>
  <c r="I871" i="13" s="1"/>
  <c r="I872" i="13" s="1"/>
  <c r="I873" i="13" s="1"/>
  <c r="I874" i="13" s="1"/>
  <c r="I875" i="13" s="1"/>
  <c r="I876" i="13" s="1"/>
  <c r="I877" i="13" s="1"/>
  <c r="I878" i="13" s="1"/>
  <c r="I879" i="13" s="1"/>
  <c r="I880" i="13" s="1"/>
  <c r="I881" i="13" s="1"/>
  <c r="I882" i="13" s="1"/>
  <c r="I883" i="13" s="1"/>
  <c r="I884" i="13" s="1"/>
  <c r="I885" i="13" s="1"/>
  <c r="I886" i="13" s="1"/>
  <c r="I887" i="13" s="1"/>
  <c r="I888" i="13" s="1"/>
  <c r="I889" i="13" s="1"/>
  <c r="I890" i="13" s="1"/>
  <c r="I891" i="13" s="1"/>
  <c r="I892" i="13" s="1"/>
  <c r="I893" i="13" s="1"/>
  <c r="I894" i="13" s="1"/>
  <c r="I895" i="13" s="1"/>
  <c r="I896" i="13" s="1"/>
  <c r="I897" i="13" s="1"/>
  <c r="I898" i="13" s="1"/>
  <c r="I899" i="13" s="1"/>
  <c r="I900" i="13" s="1"/>
  <c r="I901" i="13" s="1"/>
  <c r="I902" i="13" s="1"/>
  <c r="I903" i="13" s="1"/>
  <c r="I904" i="13" s="1"/>
  <c r="I905" i="13" s="1"/>
  <c r="I906" i="13" s="1"/>
  <c r="I907" i="13" s="1"/>
  <c r="I908" i="13" s="1"/>
  <c r="I909" i="13" s="1"/>
  <c r="I910" i="13" s="1"/>
  <c r="I911" i="13" s="1"/>
  <c r="I912" i="13" s="1"/>
  <c r="I913" i="13" s="1"/>
  <c r="I914" i="13" s="1"/>
  <c r="I915" i="13" s="1"/>
  <c r="I916" i="13" s="1"/>
  <c r="I917" i="13" s="1"/>
  <c r="I918" i="13" s="1"/>
  <c r="I919" i="13" s="1"/>
  <c r="I920" i="13" s="1"/>
  <c r="I921" i="13" s="1"/>
  <c r="I922" i="13" s="1"/>
  <c r="I923" i="13" s="1"/>
  <c r="I924" i="13" s="1"/>
  <c r="I925" i="13" s="1"/>
  <c r="I926" i="13" s="1"/>
  <c r="I927" i="13" s="1"/>
  <c r="I928" i="13" s="1"/>
  <c r="I929" i="13" s="1"/>
  <c r="I930" i="13" s="1"/>
  <c r="I931" i="13" s="1"/>
  <c r="I932" i="13" s="1"/>
  <c r="I933" i="13" s="1"/>
  <c r="I934" i="13" s="1"/>
  <c r="I935" i="13" s="1"/>
  <c r="I936" i="13" s="1"/>
  <c r="I937" i="13" s="1"/>
  <c r="I938" i="13" s="1"/>
  <c r="I939" i="13" s="1"/>
  <c r="I940" i="13" s="1"/>
  <c r="I941" i="13" s="1"/>
  <c r="I942" i="13" s="1"/>
  <c r="I943" i="13" s="1"/>
  <c r="I944" i="13" s="1"/>
  <c r="I945" i="13" s="1"/>
  <c r="I946" i="13" s="1"/>
  <c r="I947" i="13" s="1"/>
  <c r="I948" i="13" s="1"/>
  <c r="I949" i="13" s="1"/>
  <c r="I950" i="13" s="1"/>
  <c r="I951" i="13" s="1"/>
  <c r="I952" i="13" s="1"/>
  <c r="I953" i="13" s="1"/>
  <c r="I954" i="13" s="1"/>
  <c r="I955" i="13" s="1"/>
  <c r="I956" i="13" s="1"/>
  <c r="I957" i="13" s="1"/>
  <c r="I958" i="13" s="1"/>
  <c r="I959" i="13" s="1"/>
  <c r="I960" i="13" s="1"/>
  <c r="I961" i="13" s="1"/>
  <c r="I962" i="13" s="1"/>
  <c r="I963" i="13" s="1"/>
  <c r="I964" i="13" s="1"/>
  <c r="I965" i="13" s="1"/>
  <c r="I966" i="13" s="1"/>
  <c r="I967" i="13" s="1"/>
  <c r="I968" i="13" s="1"/>
  <c r="I969" i="13" s="1"/>
  <c r="I970" i="13" s="1"/>
  <c r="I971" i="13" s="1"/>
  <c r="I972" i="13" s="1"/>
  <c r="I973" i="13" s="1"/>
  <c r="I974" i="13" s="1"/>
  <c r="I975" i="13" s="1"/>
  <c r="I976" i="13" s="1"/>
  <c r="I977" i="13" s="1"/>
  <c r="I978" i="13" s="1"/>
  <c r="I979" i="13" s="1"/>
  <c r="I980" i="13" s="1"/>
  <c r="I981" i="13" s="1"/>
  <c r="I982" i="13" s="1"/>
  <c r="I983" i="13" s="1"/>
  <c r="I984" i="13" s="1"/>
  <c r="I985" i="13" s="1"/>
  <c r="I986" i="13" s="1"/>
  <c r="I987" i="13" s="1"/>
  <c r="I988" i="13" s="1"/>
  <c r="I989" i="13" s="1"/>
  <c r="I990" i="13" s="1"/>
  <c r="I991" i="13" s="1"/>
  <c r="I992" i="13" s="1"/>
  <c r="I993" i="13" s="1"/>
  <c r="I994" i="13" s="1"/>
  <c r="I995" i="13" s="1"/>
  <c r="I996" i="13" s="1"/>
  <c r="I997" i="13" s="1"/>
  <c r="I998" i="13" s="1"/>
  <c r="I999" i="13" s="1"/>
  <c r="I1000" i="13" s="1"/>
  <c r="I1001" i="13" s="1"/>
  <c r="I1002" i="13" s="1"/>
  <c r="I1003" i="13" s="1"/>
  <c r="I1004" i="13" s="1"/>
  <c r="I1005" i="13" s="1"/>
  <c r="I1006" i="13" s="1"/>
  <c r="I1007" i="13" s="1"/>
  <c r="I1008" i="13" s="1"/>
  <c r="I1009" i="13" s="1"/>
  <c r="I1010" i="13" s="1"/>
  <c r="I1011" i="13" s="1"/>
  <c r="I1012" i="13" s="1"/>
  <c r="I1013" i="13" s="1"/>
  <c r="I1014" i="13" s="1"/>
  <c r="I1015" i="13" s="1"/>
  <c r="I1016" i="13" s="1"/>
  <c r="I1017" i="13" s="1"/>
  <c r="I1018" i="13" s="1"/>
  <c r="I1019" i="13" s="1"/>
  <c r="I1020" i="13" s="1"/>
  <c r="I1021" i="13" s="1"/>
  <c r="I1022" i="13" s="1"/>
  <c r="I1023" i="13" s="1"/>
  <c r="I1024" i="13" s="1"/>
  <c r="I1025" i="13" s="1"/>
  <c r="I1026" i="13" s="1"/>
  <c r="I1027" i="13" s="1"/>
  <c r="I1028" i="13" s="1"/>
  <c r="I1029" i="13" s="1"/>
  <c r="I1030" i="13" s="1"/>
  <c r="I1031" i="13" s="1"/>
  <c r="I1032" i="13" s="1"/>
  <c r="I1033" i="13" s="1"/>
  <c r="I1034" i="13" s="1"/>
  <c r="I1035" i="13" s="1"/>
  <c r="I1036" i="13" s="1"/>
  <c r="I1037" i="13" s="1"/>
  <c r="I1038" i="13" s="1"/>
  <c r="I1039" i="13" s="1"/>
  <c r="I1040" i="13" s="1"/>
  <c r="I1041" i="13" s="1"/>
  <c r="I1042" i="13" s="1"/>
  <c r="I1043" i="13" s="1"/>
  <c r="I1044" i="13" s="1"/>
  <c r="I1045" i="13" s="1"/>
  <c r="I1046" i="13" s="1"/>
  <c r="I1047" i="13" s="1"/>
  <c r="I1048" i="13" s="1"/>
  <c r="I1049" i="13" s="1"/>
  <c r="I1050" i="13" s="1"/>
  <c r="I1051" i="13" s="1"/>
  <c r="I1052" i="13" s="1"/>
  <c r="I1053" i="13" s="1"/>
  <c r="I1054" i="13" s="1"/>
  <c r="I1055" i="13" s="1"/>
  <c r="I1056" i="13" s="1"/>
  <c r="I1057" i="13" s="1"/>
  <c r="I1058" i="13" s="1"/>
  <c r="I1059" i="13" s="1"/>
  <c r="I1060" i="13" s="1"/>
  <c r="I1061" i="13" s="1"/>
  <c r="I1062" i="13" s="1"/>
  <c r="I1063" i="13" s="1"/>
  <c r="I1064" i="13" s="1"/>
  <c r="I1065" i="13" s="1"/>
  <c r="I1066" i="13" s="1"/>
  <c r="I1067" i="13" s="1"/>
  <c r="I1068" i="13" s="1"/>
  <c r="I1069" i="13" s="1"/>
  <c r="I1070" i="13" s="1"/>
  <c r="I1071" i="13" s="1"/>
  <c r="I1072" i="13" s="1"/>
  <c r="I1073" i="13" s="1"/>
  <c r="I1074" i="13" s="1"/>
  <c r="I1075" i="13" s="1"/>
  <c r="I1076" i="13" s="1"/>
  <c r="I1077" i="13" s="1"/>
  <c r="I1078" i="13" s="1"/>
  <c r="I1079" i="13" s="1"/>
  <c r="I1080" i="13" s="1"/>
  <c r="I1081" i="13" s="1"/>
  <c r="I1082" i="13" s="1"/>
  <c r="I1083" i="13" s="1"/>
  <c r="I1084" i="13" s="1"/>
  <c r="I1085" i="13" s="1"/>
  <c r="I1086" i="13" s="1"/>
  <c r="I1087" i="13" s="1"/>
  <c r="I1088" i="13" s="1"/>
  <c r="I1089" i="13" s="1"/>
  <c r="I1090" i="13" s="1"/>
  <c r="I1091" i="13" s="1"/>
  <c r="I1092" i="13" s="1"/>
  <c r="I1093" i="13" s="1"/>
  <c r="I1094" i="13" s="1"/>
  <c r="I1095" i="13" s="1"/>
  <c r="I1096" i="13" s="1"/>
  <c r="I1097" i="13" s="1"/>
  <c r="I1098" i="13" s="1"/>
  <c r="I1099" i="13" s="1"/>
  <c r="I1100" i="13" s="1"/>
  <c r="I1101" i="13" s="1"/>
  <c r="I1102" i="13" s="1"/>
  <c r="I1103" i="13" s="1"/>
  <c r="I1104" i="13" s="1"/>
  <c r="I1105" i="13" s="1"/>
  <c r="I1106" i="13" s="1"/>
  <c r="I1107" i="13" s="1"/>
  <c r="I1108" i="13" s="1"/>
  <c r="I1109" i="13" s="1"/>
  <c r="I1110" i="13" s="1"/>
  <c r="I1111" i="13" s="1"/>
  <c r="I1112" i="13" s="1"/>
  <c r="I1113" i="13" s="1"/>
  <c r="I1114" i="13" s="1"/>
  <c r="I1115" i="13" s="1"/>
  <c r="I1116" i="13" s="1"/>
  <c r="I1117" i="13" s="1"/>
  <c r="I1118" i="13" s="1"/>
  <c r="I1119" i="13" s="1"/>
  <c r="I1120" i="13" s="1"/>
  <c r="I1121" i="13" s="1"/>
  <c r="I1122" i="13" s="1"/>
  <c r="I1123" i="13" s="1"/>
  <c r="I1124" i="13" s="1"/>
  <c r="I1125" i="13" s="1"/>
  <c r="I1126" i="13" s="1"/>
  <c r="I1127" i="13" s="1"/>
  <c r="I1128" i="13" s="1"/>
  <c r="I1129" i="13" s="1"/>
  <c r="I1130" i="13" s="1"/>
  <c r="I1131" i="13" s="1"/>
  <c r="I1132" i="13" s="1"/>
  <c r="I1133" i="13" s="1"/>
  <c r="I1134" i="13" s="1"/>
  <c r="I1135" i="13" s="1"/>
  <c r="I1136" i="13" s="1"/>
  <c r="I1137" i="13" s="1"/>
  <c r="I1138" i="13" s="1"/>
  <c r="I1139" i="13" s="1"/>
  <c r="I1140" i="13" s="1"/>
  <c r="I1141" i="13" s="1"/>
  <c r="I1142" i="13" s="1"/>
  <c r="I1143" i="13" s="1"/>
  <c r="I1144" i="13" s="1"/>
  <c r="I1145" i="13" s="1"/>
  <c r="I1146" i="13" s="1"/>
  <c r="I1147" i="13" s="1"/>
  <c r="I1148" i="13" s="1"/>
  <c r="I1149" i="13" s="1"/>
  <c r="I1150" i="13" s="1"/>
  <c r="I1151" i="13" s="1"/>
  <c r="I1152" i="13" s="1"/>
  <c r="I1153" i="13" s="1"/>
  <c r="I1154" i="13" s="1"/>
  <c r="I1155" i="13" s="1"/>
  <c r="I1156" i="13" s="1"/>
  <c r="I1157" i="13" s="1"/>
  <c r="I1158" i="13" s="1"/>
  <c r="I1159" i="13" s="1"/>
  <c r="I1160" i="13" s="1"/>
  <c r="I1161" i="13" s="1"/>
  <c r="I1162" i="13" s="1"/>
  <c r="I1163" i="13" s="1"/>
  <c r="I1164" i="13" s="1"/>
  <c r="I1165" i="13" s="1"/>
  <c r="I1166" i="13" s="1"/>
  <c r="I1167" i="13" s="1"/>
  <c r="I1168" i="13" s="1"/>
  <c r="I1169" i="13" s="1"/>
  <c r="I1170" i="13" s="1"/>
  <c r="I1171" i="13" s="1"/>
  <c r="I1172" i="13" s="1"/>
  <c r="I1173" i="13" s="1"/>
  <c r="I1174" i="13" s="1"/>
  <c r="I1175" i="13" s="1"/>
  <c r="I1176" i="13" s="1"/>
  <c r="I1177" i="13" s="1"/>
  <c r="I1178" i="13" s="1"/>
  <c r="I1179" i="13" s="1"/>
  <c r="I1180" i="13" s="1"/>
  <c r="I1181" i="13" s="1"/>
  <c r="I1182" i="13" s="1"/>
  <c r="I1183" i="13" s="1"/>
  <c r="I1184" i="13" s="1"/>
  <c r="I1185" i="13" s="1"/>
  <c r="I1186" i="13" s="1"/>
  <c r="I1187" i="13" s="1"/>
  <c r="I1188" i="13" s="1"/>
  <c r="I1189" i="13" s="1"/>
  <c r="I1190" i="13" s="1"/>
  <c r="I1191" i="13" s="1"/>
  <c r="I1192" i="13" s="1"/>
  <c r="I1193" i="13" s="1"/>
  <c r="I1194" i="13" s="1"/>
  <c r="I1195" i="13" s="1"/>
  <c r="I1196" i="13" s="1"/>
  <c r="I1197" i="13" s="1"/>
  <c r="I1198" i="13" s="1"/>
  <c r="I1199" i="13" s="1"/>
  <c r="I1200" i="13" s="1"/>
  <c r="I1201" i="13" s="1"/>
  <c r="I1202" i="13" s="1"/>
  <c r="I1203" i="13" s="1"/>
  <c r="I1204" i="13" s="1"/>
  <c r="I1205" i="13" s="1"/>
  <c r="I1206" i="13" s="1"/>
  <c r="I1207" i="13" s="1"/>
  <c r="I1208" i="13" s="1"/>
  <c r="I1209" i="13" s="1"/>
  <c r="I1210" i="13" s="1"/>
  <c r="I1211" i="13" s="1"/>
  <c r="I1212" i="13" s="1"/>
  <c r="I1213" i="13" s="1"/>
  <c r="I1214" i="13" s="1"/>
  <c r="I1215" i="13" s="1"/>
  <c r="I1216" i="13" s="1"/>
  <c r="I1217" i="13" s="1"/>
  <c r="I1218" i="13" s="1"/>
  <c r="I1219" i="13" s="1"/>
  <c r="I1220" i="13" s="1"/>
  <c r="I1221" i="13" s="1"/>
  <c r="I1222" i="13" s="1"/>
  <c r="I1223" i="13" s="1"/>
  <c r="I1224" i="13" s="1"/>
  <c r="I1225" i="13" s="1"/>
  <c r="I1226" i="13" s="1"/>
  <c r="I1227" i="13" s="1"/>
  <c r="I1228" i="13" s="1"/>
  <c r="I1229" i="13" s="1"/>
  <c r="I1230" i="13" s="1"/>
  <c r="I1231" i="13" s="1"/>
  <c r="I1232" i="13" s="1"/>
  <c r="I1233" i="13" s="1"/>
  <c r="I1234" i="13" s="1"/>
  <c r="I1235" i="13" s="1"/>
  <c r="I1236" i="13" s="1"/>
  <c r="I1237" i="13" s="1"/>
  <c r="I1238" i="13" s="1"/>
  <c r="I1239" i="13" s="1"/>
  <c r="I1240" i="13" s="1"/>
  <c r="I1241" i="13" s="1"/>
  <c r="I1242" i="13" s="1"/>
  <c r="I1243" i="13" s="1"/>
  <c r="I1244" i="13" s="1"/>
  <c r="I1245" i="13" s="1"/>
  <c r="I1246" i="13" s="1"/>
  <c r="I1247" i="13" s="1"/>
  <c r="I1248" i="13" s="1"/>
  <c r="I1249" i="13" s="1"/>
  <c r="I1250" i="13" s="1"/>
  <c r="I1251" i="13" s="1"/>
  <c r="I1252" i="13" s="1"/>
  <c r="I1253" i="13" s="1"/>
  <c r="I1254" i="13" s="1"/>
  <c r="I1255" i="13" s="1"/>
  <c r="I1256" i="13" s="1"/>
  <c r="I1257" i="13" s="1"/>
  <c r="I1258" i="13" s="1"/>
  <c r="I1259" i="13" s="1"/>
  <c r="I1260" i="13" s="1"/>
  <c r="I1261" i="13" s="1"/>
  <c r="I1262" i="13" s="1"/>
  <c r="I1263" i="13" s="1"/>
  <c r="I1264" i="13" s="1"/>
  <c r="I1265" i="13" s="1"/>
  <c r="I1266" i="13" s="1"/>
  <c r="I1267" i="13" s="1"/>
  <c r="I1268" i="13" s="1"/>
  <c r="I1269" i="13" s="1"/>
  <c r="T46" i="13" l="1"/>
  <c r="P46" i="13"/>
  <c r="P47" i="13" s="1"/>
  <c r="P48" i="13" s="1"/>
  <c r="P49" i="13" s="1"/>
  <c r="P50" i="13" s="1"/>
  <c r="P51" i="13" s="1"/>
  <c r="P52" i="13" s="1"/>
  <c r="P53" i="13" s="1"/>
  <c r="P54" i="13" s="1"/>
  <c r="P55" i="13" s="1"/>
  <c r="P56" i="13" s="1"/>
  <c r="P57" i="13" s="1"/>
  <c r="P58" i="13" s="1"/>
  <c r="P59" i="13" s="1"/>
  <c r="P60" i="13" s="1"/>
  <c r="P61" i="13" s="1"/>
  <c r="P62" i="13" s="1"/>
  <c r="P63" i="13" s="1"/>
  <c r="P64" i="13" s="1"/>
  <c r="P65" i="13" s="1"/>
  <c r="Q45" i="13" a="1"/>
  <c r="Q65" i="13" l="1"/>
  <c r="Q61" i="13"/>
  <c r="Q57" i="13"/>
  <c r="Q53" i="13"/>
  <c r="Q49" i="13"/>
  <c r="Q45" i="13"/>
  <c r="Q59" i="13"/>
  <c r="Q51" i="13"/>
  <c r="Q64" i="13"/>
  <c r="Q60" i="13"/>
  <c r="Q56" i="13"/>
  <c r="Q52" i="13"/>
  <c r="Q48" i="13"/>
  <c r="Q63" i="13"/>
  <c r="Q55" i="13"/>
  <c r="Q47" i="13"/>
  <c r="Q54" i="13"/>
  <c r="Q50" i="13"/>
  <c r="Q62" i="13"/>
  <c r="Q46" i="13"/>
  <c r="Q58" i="13"/>
  <c r="B9" i="5" l="1"/>
  <c r="B8" i="5"/>
  <c r="B3" i="5"/>
  <c r="B5" i="5"/>
  <c r="N6" i="11" l="1"/>
  <c r="Q3" i="11" a="1"/>
  <c r="Q3" i="11" s="1"/>
  <c r="P3" i="11"/>
  <c r="O3" i="11"/>
  <c r="N3" i="11"/>
  <c r="J1271" i="11"/>
  <c r="D1271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4" i="11"/>
  <c r="C12" i="7" l="1"/>
  <c r="C13" i="7" s="1"/>
  <c r="C11" i="7"/>
  <c r="C10" i="7"/>
  <c r="C14" i="7" l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G3" i="7" l="1"/>
  <c r="I8" i="7" s="1"/>
  <c r="G2" i="7" l="1"/>
  <c r="N8" i="7" s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<sst xmlns="http://schemas.openxmlformats.org/spreadsheetml/2006/main" count="9021" uniqueCount="5979">
  <si>
    <t>Value per share</t>
  </si>
  <si>
    <t>Dividend</t>
  </si>
  <si>
    <t>Growth</t>
  </si>
  <si>
    <t>Cost of capital</t>
  </si>
  <si>
    <t>Member 1</t>
  </si>
  <si>
    <t>Kuba Černý</t>
  </si>
  <si>
    <t>Member 2</t>
  </si>
  <si>
    <t>Tiep Luu Danh</t>
  </si>
  <si>
    <t>Member 3</t>
  </si>
  <si>
    <t>Jan Malecha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</si>
  <si>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</si>
  <si>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</si>
  <si>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</si>
  <si>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</si>
  <si>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</si>
  <si>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</si>
  <si>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</si>
  <si>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</si>
  <si>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</si>
  <si>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</si>
  <si>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</si>
  <si>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</si>
  <si>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</si>
  <si>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</si>
  <si>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</si>
  <si>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</si>
  <si>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</si>
  <si>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It is okay because we assumed that cost of capital &gt; growth thus these values do not hold and weight</t>
  </si>
  <si>
    <t>Employee contributions</t>
  </si>
  <si>
    <t>Employer contribution</t>
  </si>
  <si>
    <t>State contribution</t>
  </si>
  <si>
    <t>Monthly pension benefit</t>
  </si>
  <si>
    <t>Duration (years)</t>
  </si>
  <si>
    <t>PV of the whole pension benefit at the beginning of the pension</t>
  </si>
  <si>
    <t>Interest rate monthly compounding</t>
  </si>
  <si>
    <t>Payment period (years)</t>
  </si>
  <si>
    <t>This is also the FV of the all contribution</t>
  </si>
  <si>
    <t>Interest rate monthly compounding annually</t>
  </si>
  <si>
    <t>Monthly payment to reach the FV value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</si>
  <si>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</si>
  <si>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</si>
  <si>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</si>
  <si>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</si>
  <si>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</si>
  <si>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</si>
  <si>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</si>
  <si>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</si>
  <si>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</si>
  <si>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</si>
  <si>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</si>
  <si>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</si>
  <si>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</si>
  <si>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</si>
  <si>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Open</t>
  </si>
  <si>
    <t>High</t>
  </si>
  <si>
    <t>Low</t>
  </si>
  <si>
    <t>Close</t>
  </si>
  <si>
    <t>Adj Close</t>
  </si>
  <si>
    <t>Volume</t>
  </si>
  <si>
    <t>39,565929</t>
  </si>
  <si>
    <t>39,024906</t>
  </si>
  <si>
    <t>38,826534</t>
  </si>
  <si>
    <t>38,871628</t>
  </si>
  <si>
    <t>38,195362</t>
  </si>
  <si>
    <t>38,637188</t>
  </si>
  <si>
    <t>37,897800</t>
  </si>
  <si>
    <t>37,852718</t>
  </si>
  <si>
    <t>36,987106</t>
  </si>
  <si>
    <t>37,311714</t>
  </si>
  <si>
    <t>37,474010</t>
  </si>
  <si>
    <t>37,600246</t>
  </si>
  <si>
    <t>38,321594</t>
  </si>
  <si>
    <t>38,132248</t>
  </si>
  <si>
    <t>38,664242</t>
  </si>
  <si>
    <t>38,646210</t>
  </si>
  <si>
    <t>38,682270</t>
  </si>
  <si>
    <t>37,383846</t>
  </si>
  <si>
    <t>37,158421</t>
  </si>
  <si>
    <t>36,942028</t>
  </si>
  <si>
    <t>36,933010</t>
  </si>
  <si>
    <t>36,662495</t>
  </si>
  <si>
    <t>36,716602</t>
  </si>
  <si>
    <t>36,328884</t>
  </si>
  <si>
    <t>37,464993</t>
  </si>
  <si>
    <t>37,446957</t>
  </si>
  <si>
    <t>37,347771</t>
  </si>
  <si>
    <t>37,401886</t>
  </si>
  <si>
    <t>37,618282</t>
  </si>
  <si>
    <t>37,654354</t>
  </si>
  <si>
    <t>37,555172</t>
  </si>
  <si>
    <t>38,105190</t>
  </si>
  <si>
    <t>38,015030</t>
  </si>
  <si>
    <t>37,528114</t>
  </si>
  <si>
    <t>38,691284</t>
  </si>
  <si>
    <t>38,447842</t>
  </si>
  <si>
    <t>38,763428</t>
  </si>
  <si>
    <t>39,079014</t>
  </si>
  <si>
    <t>43,163647</t>
  </si>
  <si>
    <t>43,307915</t>
  </si>
  <si>
    <t>44,326824</t>
  </si>
  <si>
    <t>44,236649</t>
  </si>
  <si>
    <t>43,857941</t>
  </si>
  <si>
    <t>43,875984</t>
  </si>
  <si>
    <t>43,497272</t>
  </si>
  <si>
    <t>42,920189</t>
  </si>
  <si>
    <t>41,729969</t>
  </si>
  <si>
    <t>42,108677</t>
  </si>
  <si>
    <t>43,055447</t>
  </si>
  <si>
    <t>42,712799</t>
  </si>
  <si>
    <t>42,694778</t>
  </si>
  <si>
    <t>42,947243</t>
  </si>
  <si>
    <t>43,930080</t>
  </si>
  <si>
    <t>43,551365</t>
  </si>
  <si>
    <t>43,289883</t>
  </si>
  <si>
    <t>43,180977</t>
  </si>
  <si>
    <t>43,035767</t>
  </si>
  <si>
    <t>42,563839</t>
  </si>
  <si>
    <t>42,282513</t>
  </si>
  <si>
    <t>43,208202</t>
  </si>
  <si>
    <t>43,062996</t>
  </si>
  <si>
    <t>42,527546</t>
  </si>
  <si>
    <t>42,863331</t>
  </si>
  <si>
    <t>42,581993</t>
  </si>
  <si>
    <t>42,518463</t>
  </si>
  <si>
    <t>42,073772</t>
  </si>
  <si>
    <t>41,874107</t>
  </si>
  <si>
    <t>41,502018</t>
  </si>
  <si>
    <t>41,429413</t>
  </si>
  <si>
    <t>42,300655</t>
  </si>
  <si>
    <t>42,146370</t>
  </si>
  <si>
    <t>41,719830</t>
  </si>
  <si>
    <t>41,275127</t>
  </si>
  <si>
    <t>41,592777</t>
  </si>
  <si>
    <t>42,400486</t>
  </si>
  <si>
    <t>41,837811</t>
  </si>
  <si>
    <t>41,955791</t>
  </si>
  <si>
    <t>41,665382</t>
  </si>
  <si>
    <t>41,420345</t>
  </si>
  <si>
    <t>41,075466</t>
  </si>
  <si>
    <t>40,267754</t>
  </si>
  <si>
    <t>40,068100</t>
  </si>
  <si>
    <t>40,340359</t>
  </si>
  <si>
    <t>40,294971</t>
  </si>
  <si>
    <t>40,285900</t>
  </si>
  <si>
    <t>40,204227</t>
  </si>
  <si>
    <t>40,149776</t>
  </si>
  <si>
    <t>40,403893</t>
  </si>
  <si>
    <t>40,485569</t>
  </si>
  <si>
    <t>41,329590</t>
  </si>
  <si>
    <t>41,402180</t>
  </si>
  <si>
    <t>41,529243</t>
  </si>
  <si>
    <t>42,346035</t>
  </si>
  <si>
    <t>42,309734</t>
  </si>
  <si>
    <t>42,908710</t>
  </si>
  <si>
    <t>41,846882</t>
  </si>
  <si>
    <t>41,692600</t>
  </si>
  <si>
    <t>41,157143</t>
  </si>
  <si>
    <t>41,148071</t>
  </si>
  <si>
    <t>42,010239</t>
  </si>
  <si>
    <t>42,545692</t>
  </si>
  <si>
    <t>42,382339</t>
  </si>
  <si>
    <t>42,482162</t>
  </si>
  <si>
    <t>43,144669</t>
  </si>
  <si>
    <t>42,418644</t>
  </si>
  <si>
    <t>42,954082</t>
  </si>
  <si>
    <t>42,119148</t>
  </si>
  <si>
    <t>42,409569</t>
  </si>
  <si>
    <t>42,654606</t>
  </si>
  <si>
    <t>42,945011</t>
  </si>
  <si>
    <t>43,182529</t>
  </si>
  <si>
    <t>42,579597</t>
  </si>
  <si>
    <t>41,711754</t>
  </si>
  <si>
    <t>39,345711</t>
  </si>
  <si>
    <t>38,075897</t>
  </si>
  <si>
    <t>36,970531</t>
  </si>
  <si>
    <t>39,016842</t>
  </si>
  <si>
    <t>40,103935</t>
  </si>
  <si>
    <t>40,131348</t>
  </si>
  <si>
    <t>39,756790</t>
  </si>
  <si>
    <t>38,203796</t>
  </si>
  <si>
    <t>39,610626</t>
  </si>
  <si>
    <t>39,738522</t>
  </si>
  <si>
    <t>38,925491</t>
  </si>
  <si>
    <t>40,094799</t>
  </si>
  <si>
    <t>39,546680</t>
  </si>
  <si>
    <t>39,720257</t>
  </si>
  <si>
    <t>39,318302</t>
  </si>
  <si>
    <t>40,177021</t>
  </si>
  <si>
    <t>40,469345</t>
  </si>
  <si>
    <t>40,423664</t>
  </si>
  <si>
    <t>40,295784</t>
  </si>
  <si>
    <t>40,076527</t>
  </si>
  <si>
    <t>40,113071</t>
  </si>
  <si>
    <t>40,140476</t>
  </si>
  <si>
    <t>39,683720</t>
  </si>
  <si>
    <t>40,432808</t>
  </si>
  <si>
    <t>40,752541</t>
  </si>
  <si>
    <t>41,629536</t>
  </si>
  <si>
    <t>42,597878</t>
  </si>
  <si>
    <t>42,707493</t>
  </si>
  <si>
    <t>42,753166</t>
  </si>
  <si>
    <t>43,346966</t>
  </si>
  <si>
    <t>43,036377</t>
  </si>
  <si>
    <t>42,935879</t>
  </si>
  <si>
    <t>42,835384</t>
  </si>
  <si>
    <t>42,643555</t>
  </si>
  <si>
    <t>42,945015</t>
  </si>
  <si>
    <t>43,401779</t>
  </si>
  <si>
    <t>43,502262</t>
  </si>
  <si>
    <t>43,639294</t>
  </si>
  <si>
    <t>43,118584</t>
  </si>
  <si>
    <t>43,876812</t>
  </si>
  <si>
    <t>48,298298</t>
  </si>
  <si>
    <t>49,558960</t>
  </si>
  <si>
    <t>49,047382</t>
  </si>
  <si>
    <t>49,312309</t>
  </si>
  <si>
    <t>48,745922</t>
  </si>
  <si>
    <t>48,088177</t>
  </si>
  <si>
    <t>48,636295</t>
  </si>
  <si>
    <t>49,467621</t>
  </si>
  <si>
    <t>49,695995</t>
  </si>
  <si>
    <t>49,677719</t>
  </si>
  <si>
    <t>50,171024</t>
  </si>
  <si>
    <t>49,476749</t>
  </si>
  <si>
    <t>48,882950</t>
  </si>
  <si>
    <t>49,010853</t>
  </si>
  <si>
    <t>48,709377</t>
  </si>
  <si>
    <t>48,270893</t>
  </si>
  <si>
    <t>49,120464</t>
  </si>
  <si>
    <t>48,715816</t>
  </si>
  <si>
    <t>49,525135</t>
  </si>
  <si>
    <t>49,607910</t>
  </si>
  <si>
    <t>49,837822</t>
  </si>
  <si>
    <t>49,893005</t>
  </si>
  <si>
    <t>49,377987</t>
  </si>
  <si>
    <t>49,598701</t>
  </si>
  <si>
    <t>49,984982</t>
  </si>
  <si>
    <t>50,785107</t>
  </si>
  <si>
    <t>50,775906</t>
  </si>
  <si>
    <t>49,847027</t>
  </si>
  <si>
    <t>51,419689</t>
  </si>
  <si>
    <t>51,327728</t>
  </si>
  <si>
    <t>51,309326</t>
  </si>
  <si>
    <t>50,564381</t>
  </si>
  <si>
    <t>50,831093</t>
  </si>
  <si>
    <t>49,718269</t>
  </si>
  <si>
    <t>50,711536</t>
  </si>
  <si>
    <t>50,766716</t>
  </si>
  <si>
    <t>51,622021</t>
  </si>
  <si>
    <t>51,226551</t>
  </si>
  <si>
    <t>49,782642</t>
  </si>
  <si>
    <t>50,426434</t>
  </si>
  <si>
    <t>50,904655</t>
  </si>
  <si>
    <t>51,336910</t>
  </si>
  <si>
    <t>51,198963</t>
  </si>
  <si>
    <t>51,456482</t>
  </si>
  <si>
    <t>52,008289</t>
  </si>
  <si>
    <t>51,787560</t>
  </si>
  <si>
    <t>51,024227</t>
  </si>
  <si>
    <t>50,398834</t>
  </si>
  <si>
    <t>50,628761</t>
  </si>
  <si>
    <t>49,709072</t>
  </si>
  <si>
    <t>47,980057</t>
  </si>
  <si>
    <t>48,127216</t>
  </si>
  <si>
    <t>48,099617</t>
  </si>
  <si>
    <t>48,541073</t>
  </si>
  <si>
    <t>47,492630</t>
  </si>
  <si>
    <t>48,844570</t>
  </si>
  <si>
    <t>46,894836</t>
  </si>
  <si>
    <t>46,499371</t>
  </si>
  <si>
    <t>46,710896</t>
  </si>
  <si>
    <t>46,425785</t>
  </si>
  <si>
    <t>48,090416</t>
  </si>
  <si>
    <t>47,630577</t>
  </si>
  <si>
    <t>47,106358</t>
  </si>
  <si>
    <t>47,878891</t>
  </si>
  <si>
    <t>50,665543</t>
  </si>
  <si>
    <t>50,316063</t>
  </si>
  <si>
    <t>48,743404</t>
  </si>
  <si>
    <t>47,970860</t>
  </si>
  <si>
    <t>47,823719</t>
  </si>
  <si>
    <t>46,131496</t>
  </si>
  <si>
    <t>45,441711</t>
  </si>
  <si>
    <t>45,322163</t>
  </si>
  <si>
    <t>45,717632</t>
  </si>
  <si>
    <t>45,699234</t>
  </si>
  <si>
    <t>46,444187</t>
  </si>
  <si>
    <t>47,324162</t>
  </si>
  <si>
    <t>48,556126</t>
  </si>
  <si>
    <t>48,343075</t>
  </si>
  <si>
    <t>48,000340</t>
  </si>
  <si>
    <t>48,769173</t>
  </si>
  <si>
    <t>47,407524</t>
  </si>
  <si>
    <t>47,574257</t>
  </si>
  <si>
    <t>48,259720</t>
  </si>
  <si>
    <t>47,518673</t>
  </si>
  <si>
    <t>47,129642</t>
  </si>
  <si>
    <t>48,704338</t>
  </si>
  <si>
    <t>49,047066</t>
  </si>
  <si>
    <t>48,491283</t>
  </si>
  <si>
    <t>48,194870</t>
  </si>
  <si>
    <t>47,268581</t>
  </si>
  <si>
    <t>47,842880</t>
  </si>
  <si>
    <t>48,945175</t>
  </si>
  <si>
    <t>48,213406</t>
  </si>
  <si>
    <t>49,158211</t>
  </si>
  <si>
    <t>49,250839</t>
  </si>
  <si>
    <t>49,639877</t>
  </si>
  <si>
    <t>50,343864</t>
  </si>
  <si>
    <t>50,631012</t>
  </si>
  <si>
    <t>49,547253</t>
  </si>
  <si>
    <t>49,889980</t>
  </si>
  <si>
    <t>50,084503</t>
  </si>
  <si>
    <t>49,991879</t>
  </si>
  <si>
    <t>50,214188</t>
  </si>
  <si>
    <t>49,593563</t>
  </si>
  <si>
    <t>50,677326</t>
  </si>
  <si>
    <t>50,992271</t>
  </si>
  <si>
    <t>51,158993</t>
  </si>
  <si>
    <t>51,473946</t>
  </si>
  <si>
    <t>51,344265</t>
  </si>
  <si>
    <t>50,538391</t>
  </si>
  <si>
    <t>51,057102</t>
  </si>
  <si>
    <t>50,445763</t>
  </si>
  <si>
    <t>50,408707</t>
  </si>
  <si>
    <t>50,306816</t>
  </si>
  <si>
    <t>50,621754</t>
  </si>
  <si>
    <t>51,270149</t>
  </si>
  <si>
    <t>51,279415</t>
  </si>
  <si>
    <t>51,548042</t>
  </si>
  <si>
    <t>52,298336</t>
  </si>
  <si>
    <t>52,233494</t>
  </si>
  <si>
    <t>51,492466</t>
  </si>
  <si>
    <t>51,668461</t>
  </si>
  <si>
    <t>47,963299</t>
  </si>
  <si>
    <t>48,268978</t>
  </si>
  <si>
    <t>47,648361</t>
  </si>
  <si>
    <t>47,185215</t>
  </si>
  <si>
    <t>46,221874</t>
  </si>
  <si>
    <t>46,194080</t>
  </si>
  <si>
    <t>46,879543</t>
  </si>
  <si>
    <t>46,110718</t>
  </si>
  <si>
    <t>46,258923</t>
  </si>
  <si>
    <t>46,675755</t>
  </si>
  <si>
    <t>46,379345</t>
  </si>
  <si>
    <t>47,259319</t>
  </si>
  <si>
    <t>47,287109</t>
  </si>
  <si>
    <t>47,713200</t>
  </si>
  <si>
    <t>47,314903</t>
  </si>
  <si>
    <t>48,009617</t>
  </si>
  <si>
    <t>47,114151</t>
  </si>
  <si>
    <t>47,393982</t>
  </si>
  <si>
    <t>46,936924</t>
  </si>
  <si>
    <t>47,216755</t>
  </si>
  <si>
    <t>46,666435</t>
  </si>
  <si>
    <t>48,121552</t>
  </si>
  <si>
    <t>48,615913</t>
  </si>
  <si>
    <t>48,401371</t>
  </si>
  <si>
    <t>48,802471</t>
  </si>
  <si>
    <t>49,436760</t>
  </si>
  <si>
    <t>49,296829</t>
  </si>
  <si>
    <t>48,951721</t>
  </si>
  <si>
    <t>48,308094</t>
  </si>
  <si>
    <t>48,625252</t>
  </si>
  <si>
    <t>48,597263</t>
  </si>
  <si>
    <t>48,541286</t>
  </si>
  <si>
    <t>48,149521</t>
  </si>
  <si>
    <t>48,018940</t>
  </si>
  <si>
    <t>46,769024</t>
  </si>
  <si>
    <t>46,479874</t>
  </si>
  <si>
    <t>46,349285</t>
  </si>
  <si>
    <t>47,002224</t>
  </si>
  <si>
    <t>46,759705</t>
  </si>
  <si>
    <t>46,703743</t>
  </si>
  <si>
    <t>47,748436</t>
  </si>
  <si>
    <t>47,561893</t>
  </si>
  <si>
    <t>48,420033</t>
  </si>
  <si>
    <t>45,173996</t>
  </si>
  <si>
    <t>46,116089</t>
  </si>
  <si>
    <t>47,142136</t>
  </si>
  <si>
    <t>47,729782</t>
  </si>
  <si>
    <t>47,720455</t>
  </si>
  <si>
    <t>47,925667</t>
  </si>
  <si>
    <t>48,783810</t>
  </si>
  <si>
    <t>49,054321</t>
  </si>
  <si>
    <t>49,632633</t>
  </si>
  <si>
    <t>49,912457</t>
  </si>
  <si>
    <t>50,127003</t>
  </si>
  <si>
    <t>50,089695</t>
  </si>
  <si>
    <t>50,332211</t>
  </si>
  <si>
    <t>49,520702</t>
  </si>
  <si>
    <t>52,151108</t>
  </si>
  <si>
    <t>52,048508</t>
  </si>
  <si>
    <t>52,766743</t>
  </si>
  <si>
    <t>52,915970</t>
  </si>
  <si>
    <t>52,943954</t>
  </si>
  <si>
    <t>52,412281</t>
  </si>
  <si>
    <t>52,430939</t>
  </si>
  <si>
    <t>52,869335</t>
  </si>
  <si>
    <t>52,776062</t>
  </si>
  <si>
    <t>53,139847</t>
  </si>
  <si>
    <t>53,531605</t>
  </si>
  <si>
    <t>54,063278</t>
  </si>
  <si>
    <t>54,156563</t>
  </si>
  <si>
    <t>54,287144</t>
  </si>
  <si>
    <t>54,119259</t>
  </si>
  <si>
    <t>54,380424</t>
  </si>
  <si>
    <t>54,044632</t>
  </si>
  <si>
    <t>54,212524</t>
  </si>
  <si>
    <t>53,912174</t>
  </si>
  <si>
    <t>54,024803</t>
  </si>
  <si>
    <t>54,062355</t>
  </si>
  <si>
    <t>54,081123</t>
  </si>
  <si>
    <t>54,128052</t>
  </si>
  <si>
    <t>54,334541</t>
  </si>
  <si>
    <t>54,390858</t>
  </si>
  <si>
    <t>54,597343</t>
  </si>
  <si>
    <t>54,465939</t>
  </si>
  <si>
    <t>54,531643</t>
  </si>
  <si>
    <t>53,930954</t>
  </si>
  <si>
    <t>54,052967</t>
  </si>
  <si>
    <t>54,071743</t>
  </si>
  <si>
    <t>54,118664</t>
  </si>
  <si>
    <t>53,902790</t>
  </si>
  <si>
    <t>52,757725</t>
  </si>
  <si>
    <t>53,546135</t>
  </si>
  <si>
    <t>53,058075</t>
  </si>
  <si>
    <t>52,804646</t>
  </si>
  <si>
    <t>53,677528</t>
  </si>
  <si>
    <t>53,733849</t>
  </si>
  <si>
    <t>53,433506</t>
  </si>
  <si>
    <t>53,320869</t>
  </si>
  <si>
    <t>54,212521</t>
  </si>
  <si>
    <t>54,268845</t>
  </si>
  <si>
    <t>53,405354</t>
  </si>
  <si>
    <t>53,874641</t>
  </si>
  <si>
    <t>53,893410</t>
  </si>
  <si>
    <t>53,724464</t>
  </si>
  <si>
    <t>54,099899</t>
  </si>
  <si>
    <t>54,193756</t>
  </si>
  <si>
    <t>54,250069</t>
  </si>
  <si>
    <t>54,475330</t>
  </si>
  <si>
    <t>53,602444</t>
  </si>
  <si>
    <t>53,424122</t>
  </si>
  <si>
    <t>53,705692</t>
  </si>
  <si>
    <t>53,996651</t>
  </si>
  <si>
    <t>55,995831</t>
  </si>
  <si>
    <t>57,253532</t>
  </si>
  <si>
    <t>57,244148</t>
  </si>
  <si>
    <t>56,906250</t>
  </si>
  <si>
    <t>56,408806</t>
  </si>
  <si>
    <t>56,192932</t>
  </si>
  <si>
    <t>56,239861</t>
  </si>
  <si>
    <t>56,127235</t>
  </si>
  <si>
    <t>55,779957</t>
  </si>
  <si>
    <t>55,573471</t>
  </si>
  <si>
    <t>55,104179</t>
  </si>
  <si>
    <t>56,709156</t>
  </si>
  <si>
    <t>56,756084</t>
  </si>
  <si>
    <t>56,474503</t>
  </si>
  <si>
    <t>55,094799</t>
  </si>
  <si>
    <t>55,395142</t>
  </si>
  <si>
    <t>54,550411</t>
  </si>
  <si>
    <t>55,627632</t>
  </si>
  <si>
    <t>56,364674</t>
  </si>
  <si>
    <t>57,300140</t>
  </si>
  <si>
    <t>57,026115</t>
  </si>
  <si>
    <t>57,508022</t>
  </si>
  <si>
    <t>57,753696</t>
  </si>
  <si>
    <t>57,073364</t>
  </si>
  <si>
    <t>57,196201</t>
  </si>
  <si>
    <t>57,271793</t>
  </si>
  <si>
    <t>57,725357</t>
  </si>
  <si>
    <t>56,941071</t>
  </si>
  <si>
    <t>55,939449</t>
  </si>
  <si>
    <t>55,986698</t>
  </si>
  <si>
    <t>56,903275</t>
  </si>
  <si>
    <t>56,648148</t>
  </si>
  <si>
    <t>57,989937</t>
  </si>
  <si>
    <t>57,649757</t>
  </si>
  <si>
    <t>58,556896</t>
  </si>
  <si>
    <t>58,745872</t>
  </si>
  <si>
    <t>59,511261</t>
  </si>
  <si>
    <t>59,227783</t>
  </si>
  <si>
    <t>59,133289</t>
  </si>
  <si>
    <t>58,868710</t>
  </si>
  <si>
    <t>60,116005</t>
  </si>
  <si>
    <t>60,040417</t>
  </si>
  <si>
    <t>60,049877</t>
  </si>
  <si>
    <t>59,756943</t>
  </si>
  <si>
    <t>59,794735</t>
  </si>
  <si>
    <t>59,520710</t>
  </si>
  <si>
    <t>59,435673</t>
  </si>
  <si>
    <t>58,717522</t>
  </si>
  <si>
    <t>59,378971</t>
  </si>
  <si>
    <t>59,189987</t>
  </si>
  <si>
    <t>59,171085</t>
  </si>
  <si>
    <t>59,709686</t>
  </si>
  <si>
    <t>59,161636</t>
  </si>
  <si>
    <t>59,246685</t>
  </si>
  <si>
    <t>59,086044</t>
  </si>
  <si>
    <t>59,057697</t>
  </si>
  <si>
    <t>59,284477</t>
  </si>
  <si>
    <t>59,492367</t>
  </si>
  <si>
    <t>60,021526</t>
  </si>
  <si>
    <t>60,172703</t>
  </si>
  <si>
    <t>60,730209</t>
  </si>
  <si>
    <t>62,157043</t>
  </si>
  <si>
    <t>61,542835</t>
  </si>
  <si>
    <t>61,089279</t>
  </si>
  <si>
    <t>60,078220</t>
  </si>
  <si>
    <t>59,690788</t>
  </si>
  <si>
    <t>60,134907</t>
  </si>
  <si>
    <t>59,936474</t>
  </si>
  <si>
    <t>59,851437</t>
  </si>
  <si>
    <t>60,531776</t>
  </si>
  <si>
    <t>60,475086</t>
  </si>
  <si>
    <t>61,155426</t>
  </si>
  <si>
    <t>61,383595</t>
  </si>
  <si>
    <t>61,345562</t>
  </si>
  <si>
    <t>61,336044</t>
  </si>
  <si>
    <t>61,431122</t>
  </si>
  <si>
    <t>61,307537</t>
  </si>
  <si>
    <t>61,183949</t>
  </si>
  <si>
    <t>61,060368</t>
  </si>
  <si>
    <t>60,822701</t>
  </si>
  <si>
    <t>61,735340</t>
  </si>
  <si>
    <t>60,851223</t>
  </si>
  <si>
    <t>61,079372</t>
  </si>
  <si>
    <t>61,098389</t>
  </si>
  <si>
    <t>61,221981</t>
  </si>
  <si>
    <t>61,782856</t>
  </si>
  <si>
    <t>61,535694</t>
  </si>
  <si>
    <t>61,725811</t>
  </si>
  <si>
    <t>61,516678</t>
  </si>
  <si>
    <t>61,231480</t>
  </si>
  <si>
    <t>61,554707</t>
  </si>
  <si>
    <t>61,450130</t>
  </si>
  <si>
    <t>61,668781</t>
  </si>
  <si>
    <t>61,041351</t>
  </si>
  <si>
    <t>61,820881</t>
  </si>
  <si>
    <t>61,773365</t>
  </si>
  <si>
    <t>61,887432</t>
  </si>
  <si>
    <t>62,068058</t>
  </si>
  <si>
    <t>62,239174</t>
  </si>
  <si>
    <t>62,467327</t>
  </si>
  <si>
    <t>62,609928</t>
  </si>
  <si>
    <t>62,315228</t>
  </si>
  <si>
    <t>62,486347</t>
  </si>
  <si>
    <t>62,324734</t>
  </si>
  <si>
    <t>62,438808</t>
  </si>
  <si>
    <t>62,296192</t>
  </si>
  <si>
    <t>62,248676</t>
  </si>
  <si>
    <t>62,011013</t>
  </si>
  <si>
    <t>61,744827</t>
  </si>
  <si>
    <t>62,163124</t>
  </si>
  <si>
    <t>61,830387</t>
  </si>
  <si>
    <t>62,267696</t>
  </si>
  <si>
    <t>63,123283</t>
  </si>
  <si>
    <t>64,197510</t>
  </si>
  <si>
    <t>64,568283</t>
  </si>
  <si>
    <t>64,482712</t>
  </si>
  <si>
    <t>64,900993</t>
  </si>
  <si>
    <t>65,081627</t>
  </si>
  <si>
    <t>65,984741</t>
  </si>
  <si>
    <t>65,880165</t>
  </si>
  <si>
    <t>65,671036</t>
  </si>
  <si>
    <t>65,414337</t>
  </si>
  <si>
    <t>65,594978</t>
  </si>
  <si>
    <t>65,537918</t>
  </si>
  <si>
    <t>65,633011</t>
  </si>
  <si>
    <t>65,889679</t>
  </si>
  <si>
    <t>65,005577</t>
  </si>
  <si>
    <t>65,053108</t>
  </si>
  <si>
    <t>66,362968</t>
  </si>
  <si>
    <t>64,517685</t>
  </si>
  <si>
    <t>64,737587</t>
  </si>
  <si>
    <t>64,718475</t>
  </si>
  <si>
    <t>65,445099</t>
  </si>
  <si>
    <t>65,665009</t>
  </si>
  <si>
    <t>65,751060</t>
  </si>
  <si>
    <t>66,563751</t>
  </si>
  <si>
    <t>66,888802</t>
  </si>
  <si>
    <t>67,319077</t>
  </si>
  <si>
    <t>66,774078</t>
  </si>
  <si>
    <t>67,022667</t>
  </si>
  <si>
    <t>68,609795</t>
  </si>
  <si>
    <t>69,106972</t>
  </si>
  <si>
    <t>69,336433</t>
  </si>
  <si>
    <t>69,212143</t>
  </si>
  <si>
    <t>68,791458</t>
  </si>
  <si>
    <t>67,233017</t>
  </si>
  <si>
    <t>66,716705</t>
  </si>
  <si>
    <t>67,548523</t>
  </si>
  <si>
    <t>67,185211</t>
  </si>
  <si>
    <t>66,831459</t>
  </si>
  <si>
    <t>66,927071</t>
  </si>
  <si>
    <t>67,758865</t>
  </si>
  <si>
    <t>66,841011</t>
  </si>
  <si>
    <t>67,175644</t>
  </si>
  <si>
    <t>68,083939</t>
  </si>
  <si>
    <t>67,433784</t>
  </si>
  <si>
    <t>66,171738</t>
  </si>
  <si>
    <t>66,735847</t>
  </si>
  <si>
    <t>65,483353</t>
  </si>
  <si>
    <t>65,904030</t>
  </si>
  <si>
    <t>65,177391</t>
  </si>
  <si>
    <t>66,047440</t>
  </si>
  <si>
    <t>65,559837</t>
  </si>
  <si>
    <t>66,410767</t>
  </si>
  <si>
    <t>66,907944</t>
  </si>
  <si>
    <t>66,917488</t>
  </si>
  <si>
    <t>68,026588</t>
  </si>
  <si>
    <t>68,619354</t>
  </si>
  <si>
    <t>69,585030</t>
  </si>
  <si>
    <t>70,129997</t>
  </si>
  <si>
    <t>70,082191</t>
  </si>
  <si>
    <t>70,617607</t>
  </si>
  <si>
    <t>70,961807</t>
  </si>
  <si>
    <t>70,550682</t>
  </si>
  <si>
    <t>70,369026</t>
  </si>
  <si>
    <t>70,933136</t>
  </si>
  <si>
    <t>70,799263</t>
  </si>
  <si>
    <t>69,948341</t>
  </si>
  <si>
    <t>69,833595</t>
  </si>
  <si>
    <t>69,508530</t>
  </si>
  <si>
    <t>69,393814</t>
  </si>
  <si>
    <t>69,087852</t>
  </si>
  <si>
    <t>68,982681</t>
  </si>
  <si>
    <t>69,489418</t>
  </si>
  <si>
    <t>69,221710</t>
  </si>
  <si>
    <t>69,594582</t>
  </si>
  <si>
    <t>69,288635</t>
  </si>
  <si>
    <t>68,275154</t>
  </si>
  <si>
    <t>69,317314</t>
  </si>
  <si>
    <t>70,359459</t>
  </si>
  <si>
    <t>70,378693</t>
  </si>
  <si>
    <t>70,792000</t>
  </si>
  <si>
    <t>69,590508</t>
  </si>
  <si>
    <t>69,677017</t>
  </si>
  <si>
    <t>69,350212</t>
  </si>
  <si>
    <t>70,321030</t>
  </si>
  <si>
    <t>69,898102</t>
  </si>
  <si>
    <t>69,869255</t>
  </si>
  <si>
    <t>69,994194</t>
  </si>
  <si>
    <t>70,003822</t>
  </si>
  <si>
    <t>70,215279</t>
  </si>
  <si>
    <t>71,138023</t>
  </si>
  <si>
    <t>71,868546</t>
  </si>
  <si>
    <t>71,070747</t>
  </si>
  <si>
    <t>70,753555</t>
  </si>
  <si>
    <t>70,551704</t>
  </si>
  <si>
    <t>71,455215</t>
  </si>
  <si>
    <t>71,109200</t>
  </si>
  <si>
    <t>71,858925</t>
  </si>
  <si>
    <t>71,782036</t>
  </si>
  <si>
    <t>72,291473</t>
  </si>
  <si>
    <t>72,387573</t>
  </si>
  <si>
    <t>72,243408</t>
  </si>
  <si>
    <t>72,512550</t>
  </si>
  <si>
    <t>72,031944</t>
  </si>
  <si>
    <t>71,330261</t>
  </si>
  <si>
    <t>71,522507</t>
  </si>
  <si>
    <t>70,417130</t>
  </si>
  <si>
    <t>70,984238</t>
  </si>
  <si>
    <t>71,003471</t>
  </si>
  <si>
    <t>71,599403</t>
  </si>
  <si>
    <t>71,714737</t>
  </si>
  <si>
    <t>71,378334</t>
  </si>
  <si>
    <t>71,791641</t>
  </si>
  <si>
    <t>73,021965</t>
  </si>
  <si>
    <t>73,050812</t>
  </si>
  <si>
    <t>73,329559</t>
  </si>
  <si>
    <t>73,454506</t>
  </si>
  <si>
    <t>74,127335</t>
  </si>
  <si>
    <t>74,482979</t>
  </si>
  <si>
    <t>74,636780</t>
  </si>
  <si>
    <t>74,579109</t>
  </si>
  <si>
    <t>74,598328</t>
  </si>
  <si>
    <t>74,886696</t>
  </si>
  <si>
    <t>75,751770</t>
  </si>
  <si>
    <t>75,770988</t>
  </si>
  <si>
    <t>75,799820</t>
  </si>
  <si>
    <t>75,578758</t>
  </si>
  <si>
    <t>75,703697</t>
  </si>
  <si>
    <t>80,557732</t>
  </si>
  <si>
    <t>80,634636</t>
  </si>
  <si>
    <t>79,952187</t>
  </si>
  <si>
    <t>80,788429</t>
  </si>
  <si>
    <t>80,874931</t>
  </si>
  <si>
    <t>81,192139</t>
  </si>
  <si>
    <t>80,999878</t>
  </si>
  <si>
    <t>81,278625</t>
  </si>
  <si>
    <t>80,826859</t>
  </si>
  <si>
    <t>80,615417</t>
  </si>
  <si>
    <t>80,673080</t>
  </si>
  <si>
    <t>80,160522</t>
  </si>
  <si>
    <t>80,373032</t>
  </si>
  <si>
    <t>79,600227</t>
  </si>
  <si>
    <t>79,725800</t>
  </si>
  <si>
    <t>80,875366</t>
  </si>
  <si>
    <t>80,286110</t>
  </si>
  <si>
    <t>80,430992</t>
  </si>
  <si>
    <t>81,020279</t>
  </si>
  <si>
    <t>81,995956</t>
  </si>
  <si>
    <t>80,508278</t>
  </si>
  <si>
    <t>81,310074</t>
  </si>
  <si>
    <t>81,397026</t>
  </si>
  <si>
    <t>78,325081</t>
  </si>
  <si>
    <t>78,817734</t>
  </si>
  <si>
    <t>79,967300</t>
  </si>
  <si>
    <t>79,687149</t>
  </si>
  <si>
    <t>81,300423</t>
  </si>
  <si>
    <t>82,334061</t>
  </si>
  <si>
    <t>82,672165</t>
  </si>
  <si>
    <t>82,449982</t>
  </si>
  <si>
    <t>81,812401</t>
  </si>
  <si>
    <t>83,899017</t>
  </si>
  <si>
    <t>83,444984</t>
  </si>
  <si>
    <t>82,913681</t>
  </si>
  <si>
    <t>82,614212</t>
  </si>
  <si>
    <t>82,594894</t>
  </si>
  <si>
    <t>82,604538</t>
  </si>
  <si>
    <t>82,498283</t>
  </si>
  <si>
    <t>82,797745</t>
  </si>
  <si>
    <t>82,807411</t>
  </si>
  <si>
    <t>82,633545</t>
  </si>
  <si>
    <t>83,029594</t>
  </si>
  <si>
    <t>83,415993</t>
  </si>
  <si>
    <t>84,150192</t>
  </si>
  <si>
    <t>85,193497</t>
  </si>
  <si>
    <t>85,280426</t>
  </si>
  <si>
    <t>85,222473</t>
  </si>
  <si>
    <t>84,836060</t>
  </si>
  <si>
    <t>85,087219</t>
  </si>
  <si>
    <t>86,555573</t>
  </si>
  <si>
    <t>85,348045</t>
  </si>
  <si>
    <t>87,077217</t>
  </si>
  <si>
    <t>87,038597</t>
  </si>
  <si>
    <t>86,941986</t>
  </si>
  <si>
    <t>88,497276</t>
  </si>
  <si>
    <t>88,777435</t>
  </si>
  <si>
    <t>88,700134</t>
  </si>
  <si>
    <t>89,192825</t>
  </si>
  <si>
    <t>90,864044</t>
  </si>
  <si>
    <t>90,728790</t>
  </si>
  <si>
    <t>89,588882</t>
  </si>
  <si>
    <t>91,781754</t>
  </si>
  <si>
    <t>91,057243</t>
  </si>
  <si>
    <t>88,661499</t>
  </si>
  <si>
    <t>85,009949</t>
  </si>
  <si>
    <t>88,226784</t>
  </si>
  <si>
    <t>86,565231</t>
  </si>
  <si>
    <t>82,121544</t>
  </si>
  <si>
    <t>85,183823</t>
  </si>
  <si>
    <t>86,101532</t>
  </si>
  <si>
    <t>86,777771</t>
  </si>
  <si>
    <t>88,136551</t>
  </si>
  <si>
    <t>89,932083</t>
  </si>
  <si>
    <t>89,291519</t>
  </si>
  <si>
    <t>89,990318</t>
  </si>
  <si>
    <t>88,796516</t>
  </si>
  <si>
    <t>89,029465</t>
  </si>
  <si>
    <t>91,290871</t>
  </si>
  <si>
    <t>92,610817</t>
  </si>
  <si>
    <t>91,426758</t>
  </si>
  <si>
    <t>91,009407</t>
  </si>
  <si>
    <t>90,116493</t>
  </si>
  <si>
    <t>90,310608</t>
  </si>
  <si>
    <t>90,883232</t>
  </si>
  <si>
    <t>90,572647</t>
  </si>
  <si>
    <t>91,096756</t>
  </si>
  <si>
    <t>91,649971</t>
  </si>
  <si>
    <t>93,697861</t>
  </si>
  <si>
    <t>93,921074</t>
  </si>
  <si>
    <t>91,630577</t>
  </si>
  <si>
    <t>91,087044</t>
  </si>
  <si>
    <t>91,407333</t>
  </si>
  <si>
    <t>91,814964</t>
  </si>
  <si>
    <t>90,155304</t>
  </si>
  <si>
    <t>90,388237</t>
  </si>
  <si>
    <t>89,757385</t>
  </si>
  <si>
    <t>87,146576</t>
  </si>
  <si>
    <t>84,613426</t>
  </si>
  <si>
    <t>91,019112</t>
  </si>
  <si>
    <t>86,835999</t>
  </si>
  <si>
    <t>86,758347</t>
  </si>
  <si>
    <t>88,583000</t>
  </si>
  <si>
    <t>85,913963</t>
  </si>
  <si>
    <t>87,068924</t>
  </si>
  <si>
    <t>89,611801</t>
  </si>
  <si>
    <t>89,660324</t>
  </si>
  <si>
    <t>87,573624</t>
  </si>
  <si>
    <t>88,097717</t>
  </si>
  <si>
    <t>90,145599</t>
  </si>
  <si>
    <t>89,155632</t>
  </si>
  <si>
    <t>90,824997</t>
  </si>
  <si>
    <t>90,339714</t>
  </si>
  <si>
    <t>91,397629</t>
  </si>
  <si>
    <t>93,241684</t>
  </si>
  <si>
    <t>93,600800</t>
  </si>
  <si>
    <t>93,280510</t>
  </si>
  <si>
    <t>92,203186</t>
  </si>
  <si>
    <t>92,542877</t>
  </si>
  <si>
    <t>90,378532</t>
  </si>
  <si>
    <t>89,592384</t>
  </si>
  <si>
    <t>91,484978</t>
  </si>
  <si>
    <t>92,999054</t>
  </si>
  <si>
    <t>90,766754</t>
  </si>
  <si>
    <t>90,757065</t>
  </si>
  <si>
    <t>91,300568</t>
  </si>
  <si>
    <t>92,358482</t>
  </si>
  <si>
    <t>93,387268</t>
  </si>
  <si>
    <t>92,989342</t>
  </si>
  <si>
    <t>94,086067</t>
  </si>
  <si>
    <t>95,027519</t>
  </si>
  <si>
    <t>94,823692</t>
  </si>
  <si>
    <t>95,143990</t>
  </si>
  <si>
    <t>94,454895</t>
  </si>
  <si>
    <t>94,698578</t>
  </si>
  <si>
    <t>93,753059</t>
  </si>
  <si>
    <t>93,928513</t>
  </si>
  <si>
    <t>95,137230</t>
  </si>
  <si>
    <t>95,039757</t>
  </si>
  <si>
    <t>96,170479</t>
  </si>
  <si>
    <t>95,829315</t>
  </si>
  <si>
    <t>95,878052</t>
  </si>
  <si>
    <t>95,536873</t>
  </si>
  <si>
    <t>96,453156</t>
  </si>
  <si>
    <t>96,345940</t>
  </si>
  <si>
    <t>98,246735</t>
  </si>
  <si>
    <t>99,104530</t>
  </si>
  <si>
    <t>99,611412</t>
  </si>
  <si>
    <t>99,903839</t>
  </si>
  <si>
    <t>98,334465</t>
  </si>
  <si>
    <t>99,065529</t>
  </si>
  <si>
    <t>98,500175</t>
  </si>
  <si>
    <t>98,753616</t>
  </si>
  <si>
    <t>98,305222</t>
  </si>
  <si>
    <t>98,860840</t>
  </si>
  <si>
    <t>97,603386</t>
  </si>
  <si>
    <t>98,314972</t>
  </si>
  <si>
    <t>99,299484</t>
  </si>
  <si>
    <t>98,587906</t>
  </si>
  <si>
    <t>97,876328</t>
  </si>
  <si>
    <t>95,907303</t>
  </si>
  <si>
    <t>96,579887</t>
  </si>
  <si>
    <t>95,078751</t>
  </si>
  <si>
    <t>96,141235</t>
  </si>
  <si>
    <t>96,121750</t>
  </si>
  <si>
    <t>97,486420</t>
  </si>
  <si>
    <t>96,550652</t>
  </si>
  <si>
    <t>97,242729</t>
  </si>
  <si>
    <t>98,607407</t>
  </si>
  <si>
    <t>99,279984</t>
  </si>
  <si>
    <t>99,543167</t>
  </si>
  <si>
    <t>99,406708</t>
  </si>
  <si>
    <t>101,560951</t>
  </si>
  <si>
    <t>102,769653</t>
  </si>
  <si>
    <t>102,262772</t>
  </si>
  <si>
    <t>103,276535</t>
  </si>
  <si>
    <t>102,467468</t>
  </si>
  <si>
    <t>101,765648</t>
  </si>
  <si>
    <t>103,588448</t>
  </si>
  <si>
    <t>105,245567</t>
  </si>
  <si>
    <t>104,943382</t>
  </si>
  <si>
    <t>108,033386</t>
  </si>
  <si>
    <t>106,853928</t>
  </si>
  <si>
    <t>104,962875</t>
  </si>
  <si>
    <t>102,711166</t>
  </si>
  <si>
    <t>103,403252</t>
  </si>
  <si>
    <t>103,598206</t>
  </si>
  <si>
    <t>104,855652</t>
  </si>
  <si>
    <t>105,313797</t>
  </si>
  <si>
    <t>105,401520</t>
  </si>
  <si>
    <t>106,132599</t>
  </si>
  <si>
    <t>106,727203</t>
  </si>
  <si>
    <t>106,902657</t>
  </si>
  <si>
    <t>106,249573</t>
  </si>
  <si>
    <t>105,479500</t>
  </si>
  <si>
    <t>106,795441</t>
  </si>
  <si>
    <t>105,347237</t>
  </si>
  <si>
    <t>105,327660</t>
  </si>
  <si>
    <t>105,268959</t>
  </si>
  <si>
    <t>104,574219</t>
  </si>
  <si>
    <t>103,703331</t>
  </si>
  <si>
    <t>104,760117</t>
  </si>
  <si>
    <t>105,249374</t>
  </si>
  <si>
    <t>106,071335</t>
  </si>
  <si>
    <t>107,245552</t>
  </si>
  <si>
    <t>107,891388</t>
  </si>
  <si>
    <t>109,613571</t>
  </si>
  <si>
    <t>109,545074</t>
  </si>
  <si>
    <t>109,916916</t>
  </si>
  <si>
    <t>109,310234</t>
  </si>
  <si>
    <t>106,159401</t>
  </si>
  <si>
    <t>106,404030</t>
  </si>
  <si>
    <t>105,885422</t>
  </si>
  <si>
    <t>107,030289</t>
  </si>
  <si>
    <t>108,850319</t>
  </si>
  <si>
    <t>110,484451</t>
  </si>
  <si>
    <t>110,934570</t>
  </si>
  <si>
    <t>109,730995</t>
  </si>
  <si>
    <t>110,778008</t>
  </si>
  <si>
    <t>109,300438</t>
  </si>
  <si>
    <t>111,130280</t>
  </si>
  <si>
    <t>111,805466</t>
  </si>
  <si>
    <t>112,206642</t>
  </si>
  <si>
    <t>111,991356</t>
  </si>
  <si>
    <t>111,531479</t>
  </si>
  <si>
    <t>111,952232</t>
  </si>
  <si>
    <t>111,913086</t>
  </si>
  <si>
    <t>113,126457</t>
  </si>
  <si>
    <t>112,676338</t>
  </si>
  <si>
    <t>112,695900</t>
  </si>
  <si>
    <t>110,367027</t>
  </si>
  <si>
    <t>109,721207</t>
  </si>
  <si>
    <t>108,468704</t>
  </si>
  <si>
    <t>109,848419</t>
  </si>
  <si>
    <t>103,879463</t>
  </si>
  <si>
    <t>103,634827</t>
  </si>
  <si>
    <t>107,216202</t>
  </si>
  <si>
    <t>105,288513</t>
  </si>
  <si>
    <t>108,615486</t>
  </si>
  <si>
    <t>108,331711</t>
  </si>
  <si>
    <t>106,169189</t>
  </si>
  <si>
    <t>106,325760</t>
  </si>
  <si>
    <t>107,274902</t>
  </si>
  <si>
    <t>105,777779</t>
  </si>
  <si>
    <t>100,121948</t>
  </si>
  <si>
    <t>105,973495</t>
  </si>
  <si>
    <t>104,662277</t>
  </si>
  <si>
    <t>101,619072</t>
  </si>
  <si>
    <t>101,501656</t>
  </si>
  <si>
    <t>104,515488</t>
  </si>
  <si>
    <t>103,644608</t>
  </si>
  <si>
    <t>105,200462</t>
  </si>
  <si>
    <t>105,405945</t>
  </si>
  <si>
    <t>109,554855</t>
  </si>
  <si>
    <t>109,349373</t>
  </si>
  <si>
    <t>104,642693</t>
  </si>
  <si>
    <t>103,158752</t>
  </si>
  <si>
    <t>105,428894</t>
  </si>
  <si>
    <t>106,421471</t>
  </si>
  <si>
    <t>102,814796</t>
  </si>
  <si>
    <t>99,955009</t>
  </si>
  <si>
    <t>101,330849</t>
  </si>
  <si>
    <t>101,291542</t>
  </si>
  <si>
    <t>104,632881</t>
  </si>
  <si>
    <t>105,291321</t>
  </si>
  <si>
    <t>109,202644</t>
  </si>
  <si>
    <t>108,288689</t>
  </si>
  <si>
    <t>108,976616</t>
  </si>
  <si>
    <t>110,155907</t>
  </si>
  <si>
    <t>106,647499</t>
  </si>
  <si>
    <t>107,305946</t>
  </si>
  <si>
    <t>103,011345</t>
  </si>
  <si>
    <t>105,733536</t>
  </si>
  <si>
    <t>106,716286</t>
  </si>
  <si>
    <t>107,197845</t>
  </si>
  <si>
    <t>107,561447</t>
  </si>
  <si>
    <t>104,200470</t>
  </si>
  <si>
    <t>101,114647</t>
  </si>
  <si>
    <t>102,176010</t>
  </si>
  <si>
    <t>101,900848</t>
  </si>
  <si>
    <t>99,758461</t>
  </si>
  <si>
    <t>96,535049</t>
  </si>
  <si>
    <t>92,505798</t>
  </si>
  <si>
    <t>98,824852</t>
  </si>
  <si>
    <t>99,434166</t>
  </si>
  <si>
    <t>98,657784</t>
  </si>
  <si>
    <t>99,817421</t>
  </si>
  <si>
    <t>99,375191</t>
  </si>
  <si>
    <t>95,719376</t>
  </si>
  <si>
    <t>100,171211</t>
  </si>
  <si>
    <t>100,298965</t>
  </si>
  <si>
    <t>101,026199</t>
  </si>
  <si>
    <t>102,470825</t>
  </si>
  <si>
    <t>101,812401</t>
  </si>
  <si>
    <t>100,289146</t>
  </si>
  <si>
    <t>103,198067</t>
  </si>
  <si>
    <t>103,561684</t>
  </si>
  <si>
    <t>104,288918</t>
  </si>
  <si>
    <t>105,851479</t>
  </si>
  <si>
    <t>103,856506</t>
  </si>
  <si>
    <t>104,868729</t>
  </si>
  <si>
    <t>104,367531</t>
  </si>
  <si>
    <t>105,320793</t>
  </si>
  <si>
    <t>103,266861</t>
  </si>
  <si>
    <t>101,163788</t>
  </si>
  <si>
    <t>104,544426</t>
  </si>
  <si>
    <t>102,628075</t>
  </si>
  <si>
    <t>101,006546</t>
  </si>
  <si>
    <t>103,915466</t>
  </si>
  <si>
    <t>105,369934</t>
  </si>
  <si>
    <t>103,453575</t>
  </si>
  <si>
    <t>103,846680</t>
  </si>
  <si>
    <t>103,433922</t>
  </si>
  <si>
    <t>105,045631</t>
  </si>
  <si>
    <t>104,967003</t>
  </si>
  <si>
    <t>105,055450</t>
  </si>
  <si>
    <t>106,352676</t>
  </si>
  <si>
    <t>106,303543</t>
  </si>
  <si>
    <t>105,750854</t>
  </si>
  <si>
    <t>107,981354</t>
  </si>
  <si>
    <t>109,520973</t>
  </si>
  <si>
    <t>110,132874</t>
  </si>
  <si>
    <t>110,892822</t>
  </si>
  <si>
    <t>110,705299</t>
  </si>
  <si>
    <t>110,567131</t>
  </si>
  <si>
    <t>111,060608</t>
  </si>
  <si>
    <t>110,794128</t>
  </si>
  <si>
    <t>110,241432</t>
  </si>
  <si>
    <t>110,290787</t>
  </si>
  <si>
    <t>108,948540</t>
  </si>
  <si>
    <t>109,066978</t>
  </si>
  <si>
    <t>111,356689</t>
  </si>
  <si>
    <t>112,136368</t>
  </si>
  <si>
    <t>113,004875</t>
  </si>
  <si>
    <t>113,093697</t>
  </si>
  <si>
    <t>114,396469</t>
  </si>
  <si>
    <t>116,034782</t>
  </si>
  <si>
    <t>116,113747</t>
  </si>
  <si>
    <t>115,985443</t>
  </si>
  <si>
    <t>118,650192</t>
  </si>
  <si>
    <t>115,521576</t>
  </si>
  <si>
    <t>116,123627</t>
  </si>
  <si>
    <t>116,370346</t>
  </si>
  <si>
    <t>115,245224</t>
  </si>
  <si>
    <t>115,403145</t>
  </si>
  <si>
    <t>116,399963</t>
  </si>
  <si>
    <t>117,465858</t>
  </si>
  <si>
    <t>117,633636</t>
  </si>
  <si>
    <t>118,403458</t>
  </si>
  <si>
    <t>117,801422</t>
  </si>
  <si>
    <t>118,324493</t>
  </si>
  <si>
    <t>118,363968</t>
  </si>
  <si>
    <t>117,722450</t>
  </si>
  <si>
    <t>118,620583</t>
  </si>
  <si>
    <t>118,758751</t>
  </si>
  <si>
    <t>119,370651</t>
  </si>
  <si>
    <t>119,469353</t>
  </si>
  <si>
    <t>119,193001</t>
  </si>
  <si>
    <t>120,179947</t>
  </si>
  <si>
    <t>121,759056</t>
  </si>
  <si>
    <t>122,143959</t>
  </si>
  <si>
    <t>123,802032</t>
  </si>
  <si>
    <t>123,377647</t>
  </si>
  <si>
    <t>127,463577</t>
  </si>
  <si>
    <t>128,193909</t>
  </si>
  <si>
    <t>128,075485</t>
  </si>
  <si>
    <t>128,894653</t>
  </si>
  <si>
    <t>126,210159</t>
  </si>
  <si>
    <t>124,561966</t>
  </si>
  <si>
    <t>127,216843</t>
  </si>
  <si>
    <t>126,476624</t>
  </si>
  <si>
    <t>123,880966</t>
  </si>
  <si>
    <t>123,871117</t>
  </si>
  <si>
    <t>123,861244</t>
  </si>
  <si>
    <t>125,469955</t>
  </si>
  <si>
    <t>121,739311</t>
  </si>
  <si>
    <t>123,101303</t>
  </si>
  <si>
    <t>124,834839</t>
  </si>
  <si>
    <t>127,717468</t>
  </si>
  <si>
    <t>126,865570</t>
  </si>
  <si>
    <t>125,032967</t>
  </si>
  <si>
    <t>125,706573</t>
  </si>
  <si>
    <t>126,469322</t>
  </si>
  <si>
    <t>124,993340</t>
  </si>
  <si>
    <t>125,052765</t>
  </si>
  <si>
    <t>124,973534</t>
  </si>
  <si>
    <t>123,764999</t>
  </si>
  <si>
    <t>124,547562</t>
  </si>
  <si>
    <t>122,516846</t>
  </si>
  <si>
    <t>118,712952</t>
  </si>
  <si>
    <t>122,001740</t>
  </si>
  <si>
    <t>124,646629</t>
  </si>
  <si>
    <t>126,617912</t>
  </si>
  <si>
    <t>130,164230</t>
  </si>
  <si>
    <t>131,352966</t>
  </si>
  <si>
    <t>130,857666</t>
  </si>
  <si>
    <t>130,253403</t>
  </si>
  <si>
    <t>131,075592</t>
  </si>
  <si>
    <t>131,204376</t>
  </si>
  <si>
    <t>131,600616</t>
  </si>
  <si>
    <t>133,888885</t>
  </si>
  <si>
    <t>134,413910</t>
  </si>
  <si>
    <t>135,662033</t>
  </si>
  <si>
    <t>135,681870</t>
  </si>
  <si>
    <t>136,484238</t>
  </si>
  <si>
    <t>132,175140</t>
  </si>
  <si>
    <t>132,670441</t>
  </si>
  <si>
    <t>132,888367</t>
  </si>
  <si>
    <t>132,700180</t>
  </si>
  <si>
    <t>134,403992</t>
  </si>
  <si>
    <t>135,295517</t>
  </si>
  <si>
    <t>136,167252</t>
  </si>
  <si>
    <t>135,771011</t>
  </si>
  <si>
    <t>135,671951</t>
  </si>
  <si>
    <t>135,176666</t>
  </si>
  <si>
    <t>136,553604</t>
  </si>
  <si>
    <t>137,098404</t>
  </si>
  <si>
    <t>137,593704</t>
  </si>
  <si>
    <t>135,790817</t>
  </si>
  <si>
    <t>134,988449</t>
  </si>
  <si>
    <t>135,137039</t>
  </si>
  <si>
    <t>135,335144</t>
  </si>
  <si>
    <t>137,128113</t>
  </si>
  <si>
    <t>137,980042</t>
  </si>
  <si>
    <t>139,396591</t>
  </si>
  <si>
    <t>138,871582</t>
  </si>
  <si>
    <t>140,010757</t>
  </si>
  <si>
    <t>139,703674</t>
  </si>
  <si>
    <t>139,030075</t>
  </si>
  <si>
    <t>136,761597</t>
  </si>
  <si>
    <t>135,612503</t>
  </si>
  <si>
    <t>130,966629</t>
  </si>
  <si>
    <t>133,423309</t>
  </si>
  <si>
    <t>134,007736</t>
  </si>
  <si>
    <t>137,583801</t>
  </si>
  <si>
    <t>136,414917</t>
  </si>
  <si>
    <t>134,512939</t>
  </si>
  <si>
    <t>137,296539</t>
  </si>
  <si>
    <t>133,161926</t>
  </si>
  <si>
    <t>132,863754</t>
  </si>
  <si>
    <t>135,298813</t>
  </si>
  <si>
    <t>137,564896</t>
  </si>
  <si>
    <t>136,421906</t>
  </si>
  <si>
    <t>137,942551</t>
  </si>
  <si>
    <t>136,938721</t>
  </si>
  <si>
    <t>132,575531</t>
  </si>
  <si>
    <t>134,622955</t>
  </si>
  <si>
    <t>134,911179</t>
  </si>
  <si>
    <t>134,732269</t>
  </si>
  <si>
    <t>137,276642</t>
  </si>
  <si>
    <t>137,018250</t>
  </si>
  <si>
    <t>135,209351</t>
  </si>
  <si>
    <t>136,789658</t>
  </si>
  <si>
    <t>139,194870</t>
  </si>
  <si>
    <t>138,250671</t>
  </si>
  <si>
    <t>136,680328</t>
  </si>
  <si>
    <t>135,249115</t>
  </si>
  <si>
    <t>135,288849</t>
  </si>
  <si>
    <t>136,481537</t>
  </si>
  <si>
    <t>135,497589</t>
  </si>
  <si>
    <t>136,551117</t>
  </si>
  <si>
    <t>137,674210</t>
  </si>
  <si>
    <t>140,208649</t>
  </si>
  <si>
    <t>138,588593</t>
  </si>
  <si>
    <t>138,290421</t>
  </si>
  <si>
    <t>136,541183</t>
  </si>
  <si>
    <t>138,509079</t>
  </si>
  <si>
    <t>138,687973</t>
  </si>
  <si>
    <t>136,889023</t>
  </si>
  <si>
    <t>138,181091</t>
  </si>
  <si>
    <t>136,233078</t>
  </si>
  <si>
    <t>133,827835</t>
  </si>
  <si>
    <t>135,447891</t>
  </si>
  <si>
    <t>136,282761</t>
  </si>
  <si>
    <t>134,841614</t>
  </si>
  <si>
    <t>137,395920</t>
  </si>
  <si>
    <t>138,827118</t>
  </si>
  <si>
    <t>138,697922</t>
  </si>
  <si>
    <t>140,705597</t>
  </si>
  <si>
    <t>139,552673</t>
  </si>
  <si>
    <t>138,837067</t>
  </si>
  <si>
    <t>136,570984</t>
  </si>
  <si>
    <t>137,584747</t>
  </si>
  <si>
    <t>135,537338</t>
  </si>
  <si>
    <t>136,402039</t>
  </si>
  <si>
    <t>139,085556</t>
  </si>
  <si>
    <t>139,870712</t>
  </si>
  <si>
    <t>143,309601</t>
  </si>
  <si>
    <t>141,957901</t>
  </si>
  <si>
    <t>143,727036</t>
  </si>
  <si>
    <t>142,494583</t>
  </si>
  <si>
    <t>142,842468</t>
  </si>
  <si>
    <t>143,667404</t>
  </si>
  <si>
    <t>143,577957</t>
  </si>
  <si>
    <t>143,180374</t>
  </si>
  <si>
    <t>143,379150</t>
  </si>
  <si>
    <t>145,068787</t>
  </si>
  <si>
    <t>145,217865</t>
  </si>
  <si>
    <t>146,172012</t>
  </si>
  <si>
    <t>146,410538</t>
  </si>
  <si>
    <t>147,155960</t>
  </si>
  <si>
    <t>149,054306</t>
  </si>
  <si>
    <t>149,422043</t>
  </si>
  <si>
    <t>149,471725</t>
  </si>
  <si>
    <t>149,212433</t>
  </si>
  <si>
    <t>149,072815</t>
  </si>
  <si>
    <t>149,182526</t>
  </si>
  <si>
    <t>150,818054</t>
  </si>
  <si>
    <t>151,615875</t>
  </si>
  <si>
    <t>151,905090</t>
  </si>
  <si>
    <t>150,967651</t>
  </si>
  <si>
    <t>149,142639</t>
  </si>
  <si>
    <t>148,903290</t>
  </si>
  <si>
    <t>149,441818</t>
  </si>
  <si>
    <t>149,521591</t>
  </si>
  <si>
    <t>151,336639</t>
  </si>
  <si>
    <t>150,947708</t>
  </si>
  <si>
    <t>150,718338</t>
  </si>
  <si>
    <t>151,286774</t>
  </si>
  <si>
    <t>152,822586</t>
  </si>
  <si>
    <t>154,109070</t>
  </si>
  <si>
    <t>155,106339</t>
  </si>
  <si>
    <t>154,268631</t>
  </si>
  <si>
    <t>153,949509</t>
  </si>
  <si>
    <t>155,285858</t>
  </si>
  <si>
    <t>156,981232</t>
  </si>
  <si>
    <t>156,951309</t>
  </si>
  <si>
    <t>158,237793</t>
  </si>
  <si>
    <t>158,527008</t>
  </si>
  <si>
    <t>157,160736</t>
  </si>
  <si>
    <t>157,270432</t>
  </si>
  <si>
    <t>160,182480</t>
  </si>
  <si>
    <t>158,187927</t>
  </si>
  <si>
    <t>158,596817</t>
  </si>
  <si>
    <t>157,150772</t>
  </si>
  <si>
    <t>159,653915</t>
  </si>
  <si>
    <t>161,648468</t>
  </si>
  <si>
    <t>160,900513</t>
  </si>
  <si>
    <t>162,835236</t>
  </si>
  <si>
    <t>161,688370</t>
  </si>
  <si>
    <t>162,735504</t>
  </si>
  <si>
    <t>165,717361</t>
  </si>
  <si>
    <t>166,644836</t>
  </si>
  <si>
    <t>166,046463</t>
  </si>
  <si>
    <t>165,248642</t>
  </si>
  <si>
    <t>166,265869</t>
  </si>
  <si>
    <t>164,590439</t>
  </si>
  <si>
    <t>161,837952</t>
  </si>
  <si>
    <t>165,009308</t>
  </si>
  <si>
    <t>167,582260</t>
  </si>
  <si>
    <t>172,309357</t>
  </si>
  <si>
    <t>169,766296</t>
  </si>
  <si>
    <t>173,904999</t>
  </si>
  <si>
    <t>179,629364</t>
  </si>
  <si>
    <t>179,409958</t>
  </si>
  <si>
    <t>183,129807</t>
  </si>
  <si>
    <t>183,389099</t>
  </si>
  <si>
    <t>188,185989</t>
  </si>
  <si>
    <t>183,937607</t>
  </si>
  <si>
    <t>184,206863</t>
  </si>
  <si>
    <t>183,209595</t>
  </si>
  <si>
    <t>184,845123</t>
  </si>
  <si>
    <t>186,720001</t>
  </si>
  <si>
    <t>187,279999</t>
  </si>
  <si>
    <t>184,419998</t>
  </si>
  <si>
    <t>178,589996</t>
  </si>
  <si>
    <t>170,889999</t>
  </si>
  <si>
    <t>168,070007</t>
  </si>
  <si>
    <t>170,169998</t>
  </si>
  <si>
    <t>158,179993</t>
  </si>
  <si>
    <t>162,009995</t>
  </si>
  <si>
    <t>172,789993</t>
  </si>
  <si>
    <t>164,509995</t>
  </si>
  <si>
    <t>170,550003</t>
  </si>
  <si>
    <t>166,270004</t>
  </si>
  <si>
    <t>161,570007</t>
  </si>
  <si>
    <t>150,619995</t>
  </si>
  <si>
    <t>160,919998</t>
  </si>
  <si>
    <t>153,630005</t>
  </si>
  <si>
    <t>139,059998</t>
  </si>
  <si>
    <t>MSFT stock data</t>
  </si>
  <si>
    <t>Log return</t>
  </si>
  <si>
    <t>beta</t>
  </si>
  <si>
    <t>cov/var</t>
  </si>
  <si>
    <t>slope</t>
  </si>
  <si>
    <t>intercept</t>
  </si>
  <si>
    <t>2105,229980</t>
  </si>
  <si>
    <t>2117,520020</t>
  </si>
  <si>
    <t>2104,500000</t>
  </si>
  <si>
    <t>2117,389893</t>
  </si>
  <si>
    <t>2115,760010</t>
  </si>
  <si>
    <t>2098,260010</t>
  </si>
  <si>
    <t>2107,780029</t>
  </si>
  <si>
    <t>2107,719971</t>
  </si>
  <si>
    <t>2094,489990</t>
  </si>
  <si>
    <t>2098,530029</t>
  </si>
  <si>
    <t>2098,540039</t>
  </si>
  <si>
    <t>2104,250000</t>
  </si>
  <si>
    <t>2095,219971</t>
  </si>
  <si>
    <t>2101,040039</t>
  </si>
  <si>
    <t>2100,909912</t>
  </si>
  <si>
    <t>2067,270020</t>
  </si>
  <si>
    <t>2071,260010</t>
  </si>
  <si>
    <t>2072,250000</t>
  </si>
  <si>
    <t>2083,489990</t>
  </si>
  <si>
    <t>2072,209961</t>
  </si>
  <si>
    <t>2079,429932</t>
  </si>
  <si>
    <t>2076,139893</t>
  </si>
  <si>
    <t>2044,160034</t>
  </si>
  <si>
    <t>2044,689941</t>
  </si>
  <si>
    <t>2050,080078</t>
  </si>
  <si>
    <t>2039,689941</t>
  </si>
  <si>
    <t>2040,239990</t>
  </si>
  <si>
    <t>2041,099976</t>
  </si>
  <si>
    <t>2066,409912</t>
  </si>
  <si>
    <t>2065,949951</t>
  </si>
  <si>
    <t>2064,560059</t>
  </si>
  <si>
    <t>2041,170044</t>
  </si>
  <si>
    <t>2053,399902</t>
  </si>
  <si>
    <t>2055,350098</t>
  </si>
  <si>
    <t>2081,409912</t>
  </si>
  <si>
    <t>2081,189941</t>
  </si>
  <si>
    <t>2080,590088</t>
  </si>
  <si>
    <t>2065,080078</t>
  </si>
  <si>
    <t>2074,280029</t>
  </si>
  <si>
    <t>2072,840088</t>
  </si>
  <si>
    <t>2106,850098</t>
  </si>
  <si>
    <t>2061,229980</t>
  </si>
  <si>
    <t>2099,500000</t>
  </si>
  <si>
    <t>2098,689941</t>
  </si>
  <si>
    <t>2085,560059</t>
  </si>
  <si>
    <t>2089,270020</t>
  </si>
  <si>
    <t>2090,320068</t>
  </si>
  <si>
    <t>2113,919922</t>
  </si>
  <si>
    <t>2108,100098</t>
  </si>
  <si>
    <t>2107,989990</t>
  </si>
  <si>
    <t>2114,860107</t>
  </si>
  <si>
    <t>2104,419922</t>
  </si>
  <si>
    <t>2103,939941</t>
  </si>
  <si>
    <t>2107,629883</t>
  </si>
  <si>
    <t>2091,500000</t>
  </si>
  <si>
    <t>2093,100098</t>
  </si>
  <si>
    <t>2097,429932</t>
  </si>
  <si>
    <t>2061,050049</t>
  </si>
  <si>
    <t>2059,939941</t>
  </si>
  <si>
    <t>2067,149902</t>
  </si>
  <si>
    <t>2045,500000</t>
  </si>
  <si>
    <t>2056,149902</t>
  </si>
  <si>
    <t>2055,780029</t>
  </si>
  <si>
    <t>2062,830078</t>
  </si>
  <si>
    <t>2052,959961</t>
  </si>
  <si>
    <t>2061,020020</t>
  </si>
  <si>
    <t>2064,110107</t>
  </si>
  <si>
    <t>2088,969971</t>
  </si>
  <si>
    <t>2086,239990</t>
  </si>
  <si>
    <t>2084,050049</t>
  </si>
  <si>
    <t>2067,040039</t>
  </si>
  <si>
    <t>2067,889893</t>
  </si>
  <si>
    <t>2067,629883</t>
  </si>
  <si>
    <t>2048,379883</t>
  </si>
  <si>
    <t>2059,689941</t>
  </si>
  <si>
    <t>2060,030029</t>
  </si>
  <si>
    <t>2072,169922</t>
  </si>
  <si>
    <t>2057,320068</t>
  </si>
  <si>
    <t>2066,959961</t>
  </si>
  <si>
    <t>2064,870117</t>
  </si>
  <si>
    <t>2086,989990</t>
  </si>
  <si>
    <t>2056,520020</t>
  </si>
  <si>
    <t>2080,620117</t>
  </si>
  <si>
    <t>2080,790039</t>
  </si>
  <si>
    <t>2089,810059</t>
  </si>
  <si>
    <t>2076,100098</t>
  </si>
  <si>
    <t>2076,330078</t>
  </si>
  <si>
    <t>2076,939941</t>
  </si>
  <si>
    <t>2086,689941</t>
  </si>
  <si>
    <t>2073,300049</t>
  </si>
  <si>
    <t>2081,899902</t>
  </si>
  <si>
    <t>2081,290039</t>
  </si>
  <si>
    <t>2093,310059</t>
  </si>
  <si>
    <t>2074,290039</t>
  </si>
  <si>
    <t>2091,179932</t>
  </si>
  <si>
    <t>2091,510010</t>
  </si>
  <si>
    <t>2102,610107</t>
  </si>
  <si>
    <t>2102,060059</t>
  </si>
  <si>
    <t>2102,030029</t>
  </si>
  <si>
    <t>2107,649902</t>
  </si>
  <si>
    <t>2092,330078</t>
  </si>
  <si>
    <t>2092,429932</t>
  </si>
  <si>
    <t>2092,280029</t>
  </si>
  <si>
    <t>2098,620117</t>
  </si>
  <si>
    <t>2083,239990</t>
  </si>
  <si>
    <t>2095,840088</t>
  </si>
  <si>
    <t>2097,820068</t>
  </si>
  <si>
    <t>2111,909912</t>
  </si>
  <si>
    <t>2106,629883</t>
  </si>
  <si>
    <t>2105,959961</t>
  </si>
  <si>
    <t>2111,300049</t>
  </si>
  <si>
    <t>2100,020020</t>
  </si>
  <si>
    <t>2104,989990</t>
  </si>
  <si>
    <t>2102,580078</t>
  </si>
  <si>
    <t>2072,370117</t>
  </si>
  <si>
    <t>2081,179932</t>
  </si>
  <si>
    <t>2084,110107</t>
  </si>
  <si>
    <t>2100,399902</t>
  </si>
  <si>
    <t>2102,820068</t>
  </si>
  <si>
    <t>2109,639893</t>
  </si>
  <si>
    <t>2094,379883</t>
  </si>
  <si>
    <t>2097,290039</t>
  </si>
  <si>
    <t>2098,270020</t>
  </si>
  <si>
    <t>2109,979980</t>
  </si>
  <si>
    <t>2091,050049</t>
  </si>
  <si>
    <t>2107,959961</t>
  </si>
  <si>
    <t>2107,209961</t>
  </si>
  <si>
    <t>2120,489990</t>
  </si>
  <si>
    <t>2103,189941</t>
  </si>
  <si>
    <t>2112,929932</t>
  </si>
  <si>
    <t>2112,800049</t>
  </si>
  <si>
    <t>2120,919922</t>
  </si>
  <si>
    <t>2117,689941</t>
  </si>
  <si>
    <t>2119,290039</t>
  </si>
  <si>
    <t>2125,919922</t>
  </si>
  <si>
    <t>2107,040039</t>
  </si>
  <si>
    <t>2108,919922</t>
  </si>
  <si>
    <t>2108,350098</t>
  </si>
  <si>
    <t>2116,040039</t>
  </si>
  <si>
    <t>2094,889893</t>
  </si>
  <si>
    <t>2114,760010</t>
  </si>
  <si>
    <t>2112,489990</t>
  </si>
  <si>
    <t>2113,649902</t>
  </si>
  <si>
    <t>2097,409912</t>
  </si>
  <si>
    <t>2105,520020</t>
  </si>
  <si>
    <t>2077,590088</t>
  </si>
  <si>
    <t>2085,510010</t>
  </si>
  <si>
    <t>2087,379883</t>
  </si>
  <si>
    <t>2108,409912</t>
  </si>
  <si>
    <t>2108,290039</t>
  </si>
  <si>
    <t>2110,229980</t>
  </si>
  <si>
    <t>2120,949951</t>
  </si>
  <si>
    <t>2114,489990</t>
  </si>
  <si>
    <t>2112,629883</t>
  </si>
  <si>
    <t>2115,239990</t>
  </si>
  <si>
    <t>2088,459961</t>
  </si>
  <si>
    <t>2089,459961</t>
  </si>
  <si>
    <t>2091,260010</t>
  </si>
  <si>
    <t>2098,419922</t>
  </si>
  <si>
    <t>2067,929932</t>
  </si>
  <si>
    <t>2080,149902</t>
  </si>
  <si>
    <t>2079,959961</t>
  </si>
  <si>
    <t>2092,899902</t>
  </si>
  <si>
    <t>2074,989990</t>
  </si>
  <si>
    <t>2088,000000</t>
  </si>
  <si>
    <t>2092,129883</t>
  </si>
  <si>
    <t>2117,659912</t>
  </si>
  <si>
    <t>2116,100098</t>
  </si>
  <si>
    <t>2115,560059</t>
  </si>
  <si>
    <t>2104,580078</t>
  </si>
  <si>
    <t>2105,330078</t>
  </si>
  <si>
    <t>2102,870117</t>
  </si>
  <si>
    <t>2105,060059</t>
  </si>
  <si>
    <t>2085,570068</t>
  </si>
  <si>
    <t>2099,120117</t>
  </si>
  <si>
    <t>2099,620117</t>
  </si>
  <si>
    <t>2110,189941</t>
  </si>
  <si>
    <t>2096,040039</t>
  </si>
  <si>
    <t>2098,479980</t>
  </si>
  <si>
    <t>2100,429932</t>
  </si>
  <si>
    <t>2121,449951</t>
  </si>
  <si>
    <t>2121,100098</t>
  </si>
  <si>
    <t>2122,070068</t>
  </si>
  <si>
    <t>2123,889893</t>
  </si>
  <si>
    <t>2116,810059</t>
  </si>
  <si>
    <t>2122,729980</t>
  </si>
  <si>
    <t>2121,300049</t>
  </si>
  <si>
    <t>2131,780029</t>
  </si>
  <si>
    <t>2120,010010</t>
  </si>
  <si>
    <t>2129,199951</t>
  </si>
  <si>
    <t>2129,449951</t>
  </si>
  <si>
    <t>2133,020020</t>
  </si>
  <si>
    <t>2124,500000</t>
  </si>
  <si>
    <t>2127,830078</t>
  </si>
  <si>
    <t>2127,790039</t>
  </si>
  <si>
    <t>2134,719971</t>
  </si>
  <si>
    <t>2122,590088</t>
  </si>
  <si>
    <t>2125,850098</t>
  </si>
  <si>
    <t>2125,550049</t>
  </si>
  <si>
    <t>2134,280029</t>
  </si>
  <si>
    <t>2122,949951</t>
  </si>
  <si>
    <t>2130,820068</t>
  </si>
  <si>
    <t>2130,360107</t>
  </si>
  <si>
    <t>2132,149902</t>
  </si>
  <si>
    <t>2126,060059</t>
  </si>
  <si>
    <t>2125,340088</t>
  </si>
  <si>
    <t>2099,179932</t>
  </si>
  <si>
    <t>2104,199951</t>
  </si>
  <si>
    <t>2105,129883</t>
  </si>
  <si>
    <t>2126,219971</t>
  </si>
  <si>
    <t>2123,479980</t>
  </si>
  <si>
    <t>2122,270020</t>
  </si>
  <si>
    <t>2112,860107</t>
  </si>
  <si>
    <t>2120,790039</t>
  </si>
  <si>
    <t>2120,659912</t>
  </si>
  <si>
    <t>2104,889893</t>
  </si>
  <si>
    <t>2107,389893</t>
  </si>
  <si>
    <t>2108,639893</t>
  </si>
  <si>
    <t>2119,149902</t>
  </si>
  <si>
    <t>2102,540039</t>
  </si>
  <si>
    <t>2111,729980</t>
  </si>
  <si>
    <t>2110,409912</t>
  </si>
  <si>
    <t>2117,590088</t>
  </si>
  <si>
    <t>2099,139893</t>
  </si>
  <si>
    <t>2109,600098</t>
  </si>
  <si>
    <t>2110,639893</t>
  </si>
  <si>
    <t>2121,919922</t>
  </si>
  <si>
    <t>2109,610107</t>
  </si>
  <si>
    <t>2114,070068</t>
  </si>
  <si>
    <t>2112,350098</t>
  </si>
  <si>
    <t>2112,889893</t>
  </si>
  <si>
    <t>2093,229980</t>
  </si>
  <si>
    <t>2095,090088</t>
  </si>
  <si>
    <t>2100,989990</t>
  </si>
  <si>
    <t>2085,669922</t>
  </si>
  <si>
    <t>2092,830078</t>
  </si>
  <si>
    <t>2092,340088</t>
  </si>
  <si>
    <t>2093,010010</t>
  </si>
  <si>
    <t>2079,110107</t>
  </si>
  <si>
    <t>2079,280029</t>
  </si>
  <si>
    <t>2079,070068</t>
  </si>
  <si>
    <t>2085,620117</t>
  </si>
  <si>
    <t>2072,139893</t>
  </si>
  <si>
    <t>2081,120117</t>
  </si>
  <si>
    <t>2108,500000</t>
  </si>
  <si>
    <t>2105,199951</t>
  </si>
  <si>
    <t>2106,239990</t>
  </si>
  <si>
    <t>2115,020020</t>
  </si>
  <si>
    <t>2108,860107</t>
  </si>
  <si>
    <t>2107,429932</t>
  </si>
  <si>
    <t>2091,330078</t>
  </si>
  <si>
    <t>2094,110107</t>
  </si>
  <si>
    <t>2091,340088</t>
  </si>
  <si>
    <t>2072,489990</t>
  </si>
  <si>
    <t>2084,429932</t>
  </si>
  <si>
    <t>2084,260010</t>
  </si>
  <si>
    <t>2097,399902</t>
  </si>
  <si>
    <t>2082,100098</t>
  </si>
  <si>
    <t>2096,290039</t>
  </si>
  <si>
    <t>2106,790039</t>
  </si>
  <si>
    <t>2088,860107</t>
  </si>
  <si>
    <t>2100,439941</t>
  </si>
  <si>
    <t>2101,580078</t>
  </si>
  <si>
    <t>2126,649902</t>
  </si>
  <si>
    <t>2121,239990</t>
  </si>
  <si>
    <t>2121,060059</t>
  </si>
  <si>
    <t>2121,639893</t>
  </si>
  <si>
    <t>2109,449951</t>
  </si>
  <si>
    <t>2109,989990</t>
  </si>
  <si>
    <t>2112,500000</t>
  </si>
  <si>
    <t>2129,870117</t>
  </si>
  <si>
    <t>2122,850098</t>
  </si>
  <si>
    <t>2123,159912</t>
  </si>
  <si>
    <t>2128,030029</t>
  </si>
  <si>
    <t>2119,889893</t>
  </si>
  <si>
    <t>2124,199951</t>
  </si>
  <si>
    <t>2123,649902</t>
  </si>
  <si>
    <t>2125,100098</t>
  </si>
  <si>
    <t>2108,580078</t>
  </si>
  <si>
    <t>2109,959961</t>
  </si>
  <si>
    <t>2101,780029</t>
  </si>
  <si>
    <t>2102,310059</t>
  </si>
  <si>
    <t>2102,620117</t>
  </si>
  <si>
    <t>2095,379883</t>
  </si>
  <si>
    <t>2101,489990</t>
  </si>
  <si>
    <t>2098,629883</t>
  </si>
  <si>
    <t>2056,639893</t>
  </si>
  <si>
    <t>2057,639893</t>
  </si>
  <si>
    <t>2061,189941</t>
  </si>
  <si>
    <t>2056,320068</t>
  </si>
  <si>
    <t>2063,110107</t>
  </si>
  <si>
    <t>2067,000000</t>
  </si>
  <si>
    <t>2082,780029</t>
  </si>
  <si>
    <t>2077,419922</t>
  </si>
  <si>
    <t>2078,030029</t>
  </si>
  <si>
    <t>2085,060059</t>
  </si>
  <si>
    <t>2071,020020</t>
  </si>
  <si>
    <t>2076,780029</t>
  </si>
  <si>
    <t>2073,949951</t>
  </si>
  <si>
    <t>2078,610107</t>
  </si>
  <si>
    <t>2058,399902</t>
  </si>
  <si>
    <t>2068,760010</t>
  </si>
  <si>
    <t>2069,520020</t>
  </si>
  <si>
    <t>2083,739990</t>
  </si>
  <si>
    <t>2044,020020</t>
  </si>
  <si>
    <t>2081,340088</t>
  </si>
  <si>
    <t>2077,659912</t>
  </si>
  <si>
    <t>2044,660034</t>
  </si>
  <si>
    <t>2046,680054</t>
  </si>
  <si>
    <t>2049,729980</t>
  </si>
  <si>
    <t>2051,310059</t>
  </si>
  <si>
    <t>2052,739990</t>
  </si>
  <si>
    <t>2081,310059</t>
  </si>
  <si>
    <t>2076,620117</t>
  </si>
  <si>
    <t>2080,030029</t>
  </si>
  <si>
    <t>2100,669922</t>
  </si>
  <si>
    <t>2099,600098</t>
  </si>
  <si>
    <t>2099,719971</t>
  </si>
  <si>
    <t>2111,979980</t>
  </si>
  <si>
    <t>2098,179932</t>
  </si>
  <si>
    <t>2108,949951</t>
  </si>
  <si>
    <t>2109,010010</t>
  </si>
  <si>
    <t>2114,139893</t>
  </si>
  <si>
    <t>2102,489990</t>
  </si>
  <si>
    <t>2107,399902</t>
  </si>
  <si>
    <t>2110,550049</t>
  </si>
  <si>
    <t>2124,419922</t>
  </si>
  <si>
    <t>2124,290039</t>
  </si>
  <si>
    <t>2126,800049</t>
  </si>
  <si>
    <t>2128,909912</t>
  </si>
  <si>
    <t>2119,879883</t>
  </si>
  <si>
    <t>2126,639893</t>
  </si>
  <si>
    <t>2126,850098</t>
  </si>
  <si>
    <t>2132,820068</t>
  </si>
  <si>
    <t>2123,659912</t>
  </si>
  <si>
    <t>2128,280029</t>
  </si>
  <si>
    <t>2127,550049</t>
  </si>
  <si>
    <t>2128,489990</t>
  </si>
  <si>
    <t>2115,399902</t>
  </si>
  <si>
    <t>2119,209961</t>
  </si>
  <si>
    <t>2118,209961</t>
  </si>
  <si>
    <t>2118,510010</t>
  </si>
  <si>
    <t>2110,000000</t>
  </si>
  <si>
    <t>2114,149902</t>
  </si>
  <si>
    <t>2114,159912</t>
  </si>
  <si>
    <t>2116,870117</t>
  </si>
  <si>
    <t>2102,149902</t>
  </si>
  <si>
    <t>2102,239990</t>
  </si>
  <si>
    <t>2106,010010</t>
  </si>
  <si>
    <t>2077,090088</t>
  </si>
  <si>
    <t>2079,649902</t>
  </si>
  <si>
    <t>2078,189941</t>
  </si>
  <si>
    <t>2063,520020</t>
  </si>
  <si>
    <t>2067,639893</t>
  </si>
  <si>
    <t>2070,750000</t>
  </si>
  <si>
    <t>2095,600098</t>
  </si>
  <si>
    <t>2069,090088</t>
  </si>
  <si>
    <t>2093,250000</t>
  </si>
  <si>
    <t>2094,699951</t>
  </si>
  <si>
    <t>2110,600098</t>
  </si>
  <si>
    <t>2094,080078</t>
  </si>
  <si>
    <t>2108,570068</t>
  </si>
  <si>
    <t>2106,780029</t>
  </si>
  <si>
    <t>2110,479980</t>
  </si>
  <si>
    <t>2094,969971</t>
  </si>
  <si>
    <t>2108,629883</t>
  </si>
  <si>
    <t>2111,600098</t>
  </si>
  <si>
    <t>2114,239990</t>
  </si>
  <si>
    <t>2102,070068</t>
  </si>
  <si>
    <t>2103,840088</t>
  </si>
  <si>
    <t>2104,489990</t>
  </si>
  <si>
    <t>2105,699951</t>
  </si>
  <si>
    <t>2087,310059</t>
  </si>
  <si>
    <t>2098,040039</t>
  </si>
  <si>
    <t>2097,679932</t>
  </si>
  <si>
    <t>2102,510010</t>
  </si>
  <si>
    <t>2088,600098</t>
  </si>
  <si>
    <t>2093,320068</t>
  </si>
  <si>
    <t>2095,270020</t>
  </si>
  <si>
    <t>2112,659912</t>
  </si>
  <si>
    <t>2099,840088</t>
  </si>
  <si>
    <t>2100,750000</t>
  </si>
  <si>
    <t>2103,320068</t>
  </si>
  <si>
    <t>2075,530029</t>
  </si>
  <si>
    <t>2083,560059</t>
  </si>
  <si>
    <t>2082,610107</t>
  </si>
  <si>
    <t>2067,909912</t>
  </si>
  <si>
    <t>2077,570068</t>
  </si>
  <si>
    <t>2080,979980</t>
  </si>
  <si>
    <t>2105,350098</t>
  </si>
  <si>
    <t>2104,179932</t>
  </si>
  <si>
    <t>2102,659912</t>
  </si>
  <si>
    <t>2076,489990</t>
  </si>
  <si>
    <t>2084,070068</t>
  </si>
  <si>
    <t>2081,100098</t>
  </si>
  <si>
    <t>2089,060059</t>
  </si>
  <si>
    <t>2052,090088</t>
  </si>
  <si>
    <t>2086,050049</t>
  </si>
  <si>
    <t>2086,189941</t>
  </si>
  <si>
    <t>2092,929932</t>
  </si>
  <si>
    <t>2078,260010</t>
  </si>
  <si>
    <t>2083,389893</t>
  </si>
  <si>
    <t>2083,149902</t>
  </si>
  <si>
    <t>2092,449951</t>
  </si>
  <si>
    <t>2080,610107</t>
  </si>
  <si>
    <t>2091,540039</t>
  </si>
  <si>
    <t>2089,699951</t>
  </si>
  <si>
    <t>2079,300049</t>
  </si>
  <si>
    <t>2102,439941</t>
  </si>
  <si>
    <t>2101,989990</t>
  </si>
  <si>
    <t>2103,469971</t>
  </si>
  <si>
    <t>2094,139893</t>
  </si>
  <si>
    <t>2096,919922</t>
  </si>
  <si>
    <t>2095,689941</t>
  </si>
  <si>
    <t>2096,169922</t>
  </si>
  <si>
    <t>2070,530029</t>
  </si>
  <si>
    <t>2079,610107</t>
  </si>
  <si>
    <t>2076,610107</t>
  </si>
  <si>
    <t>2035,729980</t>
  </si>
  <si>
    <t>2034,079956</t>
  </si>
  <si>
    <t>1970,890015</t>
  </si>
  <si>
    <t>1965,150024</t>
  </si>
  <si>
    <t>1867,010010</t>
  </si>
  <si>
    <t>1893,209961</t>
  </si>
  <si>
    <t>1898,079956</t>
  </si>
  <si>
    <t>1948,040039</t>
  </si>
  <si>
    <t>1867,079956</t>
  </si>
  <si>
    <t>1867,609985</t>
  </si>
  <si>
    <t>1872,750000</t>
  </si>
  <si>
    <t>1943,089966</t>
  </si>
  <si>
    <t>1940,510010</t>
  </si>
  <si>
    <t>1942,770020</t>
  </si>
  <si>
    <t>1989,599976</t>
  </si>
  <si>
    <t>1987,660034</t>
  </si>
  <si>
    <t>1986,060059</t>
  </si>
  <si>
    <t>1993,479980</t>
  </si>
  <si>
    <t>1975,189941</t>
  </si>
  <si>
    <t>1988,869995</t>
  </si>
  <si>
    <t>1986,729980</t>
  </si>
  <si>
    <t>1965,979980</t>
  </si>
  <si>
    <t>1972,180054</t>
  </si>
  <si>
    <t>1970,089966</t>
  </si>
  <si>
    <t>1903,069946</t>
  </si>
  <si>
    <t>1913,849976</t>
  </si>
  <si>
    <t>1916,520020</t>
  </si>
  <si>
    <t>1948,910034</t>
  </si>
  <si>
    <t>1948,859985</t>
  </si>
  <si>
    <t>1950,790039</t>
  </si>
  <si>
    <t>1975,010010</t>
  </si>
  <si>
    <t>1944,719971</t>
  </si>
  <si>
    <t>1951,130005</t>
  </si>
  <si>
    <t>1947,760010</t>
  </si>
  <si>
    <t>1911,209961</t>
  </si>
  <si>
    <t>1921,219971</t>
  </si>
  <si>
    <t>1927,300049</t>
  </si>
  <si>
    <t>1970,420044</t>
  </si>
  <si>
    <t>1969,410034</t>
  </si>
  <si>
    <t>1971,449951</t>
  </si>
  <si>
    <t>1988,630005</t>
  </si>
  <si>
    <t>1937,880005</t>
  </si>
  <si>
    <t>1942,040039</t>
  </si>
  <si>
    <t>1941,589966</t>
  </si>
  <si>
    <t>1965,290039</t>
  </si>
  <si>
    <t>1937,189941</t>
  </si>
  <si>
    <t>1952,290039</t>
  </si>
  <si>
    <t>1951,449951</t>
  </si>
  <si>
    <t>1961,050049</t>
  </si>
  <si>
    <t>1939,189941</t>
  </si>
  <si>
    <t>1963,060059</t>
  </si>
  <si>
    <t>1948,270020</t>
  </si>
  <si>
    <t>1953,030029</t>
  </si>
  <si>
    <t>1955,099976</t>
  </si>
  <si>
    <t>1983,189941</t>
  </si>
  <si>
    <t>1954,300049</t>
  </si>
  <si>
    <t>1978,089966</t>
  </si>
  <si>
    <t>1978,020020</t>
  </si>
  <si>
    <t>1997,260010</t>
  </si>
  <si>
    <t>1977,930054</t>
  </si>
  <si>
    <t>1995,310059</t>
  </si>
  <si>
    <t>1995,329956</t>
  </si>
  <si>
    <t>2020,859985</t>
  </si>
  <si>
    <t>1990,199951</t>
  </si>
  <si>
    <t>1989,660034</t>
  </si>
  <si>
    <t>1953,449951</t>
  </si>
  <si>
    <t>1958,030029</t>
  </si>
  <si>
    <t>1960,839966</t>
  </si>
  <si>
    <t>1979,640015</t>
  </si>
  <si>
    <t>1955,800049</t>
  </si>
  <si>
    <t>1966,969971</t>
  </si>
  <si>
    <t>1961,390015</t>
  </si>
  <si>
    <t>1929,219971</t>
  </si>
  <si>
    <t>1942,739990</t>
  </si>
  <si>
    <t>1943,239990</t>
  </si>
  <si>
    <t>1949,520020</t>
  </si>
  <si>
    <t>1932,569946</t>
  </si>
  <si>
    <t>1938,760010</t>
  </si>
  <si>
    <t>1934,810059</t>
  </si>
  <si>
    <t>1937,170044</t>
  </si>
  <si>
    <t>1908,920044</t>
  </si>
  <si>
    <t>1932,239990</t>
  </si>
  <si>
    <t>1935,930054</t>
  </si>
  <si>
    <t>1952,890015</t>
  </si>
  <si>
    <t>1921,500000</t>
  </si>
  <si>
    <t>1931,339966</t>
  </si>
  <si>
    <t>1929,180054</t>
  </si>
  <si>
    <t>1879,209961</t>
  </si>
  <si>
    <t>1881,770020</t>
  </si>
  <si>
    <t>1881,900024</t>
  </si>
  <si>
    <t>1899,479980</t>
  </si>
  <si>
    <t>1871,910034</t>
  </si>
  <si>
    <t>1884,089966</t>
  </si>
  <si>
    <t>1887,140015</t>
  </si>
  <si>
    <t>1920,530029</t>
  </si>
  <si>
    <t>1920,030029</t>
  </si>
  <si>
    <t>1919,650024</t>
  </si>
  <si>
    <t>1927,209961</t>
  </si>
  <si>
    <t>1900,699951</t>
  </si>
  <si>
    <t>1923,819946</t>
  </si>
  <si>
    <t>1921,770020</t>
  </si>
  <si>
    <t>1951,359985</t>
  </si>
  <si>
    <t>1893,699951</t>
  </si>
  <si>
    <t>1954,329956</t>
  </si>
  <si>
    <t>1989,170044</t>
  </si>
  <si>
    <t>1987,050049</t>
  </si>
  <si>
    <t>1986,630005</t>
  </si>
  <si>
    <t>1991,619995</t>
  </si>
  <si>
    <t>1971,989990</t>
  </si>
  <si>
    <t>1979,920044</t>
  </si>
  <si>
    <t>1982,339966</t>
  </si>
  <si>
    <t>1999,310059</t>
  </si>
  <si>
    <t>1976,439941</t>
  </si>
  <si>
    <t>1995,829956</t>
  </si>
  <si>
    <t>1994,010010</t>
  </si>
  <si>
    <t>2016,500000</t>
  </si>
  <si>
    <t>1987,530029</t>
  </si>
  <si>
    <t>2013,430054</t>
  </si>
  <si>
    <t>2013,729980</t>
  </si>
  <si>
    <t>2020,130005</t>
  </si>
  <si>
    <t>2007,609985</t>
  </si>
  <si>
    <t>2014,890015</t>
  </si>
  <si>
    <t>2015,650024</t>
  </si>
  <si>
    <t>2018,660034</t>
  </si>
  <si>
    <t>2010,550049</t>
  </si>
  <si>
    <t>2017,459961</t>
  </si>
  <si>
    <t>2015,000000</t>
  </si>
  <si>
    <t>2022,339966</t>
  </si>
  <si>
    <t>2001,780029</t>
  </si>
  <si>
    <t>2003,689941</t>
  </si>
  <si>
    <t>2003,660034</t>
  </si>
  <si>
    <t>2009,560059</t>
  </si>
  <si>
    <t>1990,729980</t>
  </si>
  <si>
    <t>1994,239990</t>
  </si>
  <si>
    <t>1996,469971</t>
  </si>
  <si>
    <t>2024,150024</t>
  </si>
  <si>
    <t>2023,859985</t>
  </si>
  <si>
    <t>2024,369995</t>
  </si>
  <si>
    <t>2033,540039</t>
  </si>
  <si>
    <t>2020,459961</t>
  </si>
  <si>
    <t>2033,109985</t>
  </si>
  <si>
    <t>2031,729980</t>
  </si>
  <si>
    <t>2034,449951</t>
  </si>
  <si>
    <t>2022,310059</t>
  </si>
  <si>
    <t>2033,660034</t>
  </si>
  <si>
    <t>2033,130005</t>
  </si>
  <si>
    <t>2039,119995</t>
  </si>
  <si>
    <t>2026,609985</t>
  </si>
  <si>
    <t>2030,770020</t>
  </si>
  <si>
    <t>2033,469971</t>
  </si>
  <si>
    <t>2037,969971</t>
  </si>
  <si>
    <t>2017,219971</t>
  </si>
  <si>
    <t>2018,939941</t>
  </si>
  <si>
    <t>2021,880005</t>
  </si>
  <si>
    <t>2055,199951</t>
  </si>
  <si>
    <t>2052,510010</t>
  </si>
  <si>
    <t>2058,189941</t>
  </si>
  <si>
    <t>2079,739990</t>
  </si>
  <si>
    <t>2075,149902</t>
  </si>
  <si>
    <t>2075,080078</t>
  </si>
  <si>
    <t>2075,139893</t>
  </si>
  <si>
    <t>2066,530029</t>
  </si>
  <si>
    <t>2071,179932</t>
  </si>
  <si>
    <t>2068,750000</t>
  </si>
  <si>
    <t>2070,370117</t>
  </si>
  <si>
    <t>2058,840088</t>
  </si>
  <si>
    <t>2065,889893</t>
  </si>
  <si>
    <t>2066,479980</t>
  </si>
  <si>
    <t>2090,350098</t>
  </si>
  <si>
    <t>2088,350098</t>
  </si>
  <si>
    <t>2092,520020</t>
  </si>
  <si>
    <t>2082,629883</t>
  </si>
  <si>
    <t>2089,409912</t>
  </si>
  <si>
    <t>2090,000000</t>
  </si>
  <si>
    <t>2094,320068</t>
  </si>
  <si>
    <t>2079,340088</t>
  </si>
  <si>
    <t>2079,360107</t>
  </si>
  <si>
    <t>2080,760010</t>
  </si>
  <si>
    <t>2106,199951</t>
  </si>
  <si>
    <t>2104,050049</t>
  </si>
  <si>
    <t>2102,629883</t>
  </si>
  <si>
    <t>2116,479980</t>
  </si>
  <si>
    <t>2097,510010</t>
  </si>
  <si>
    <t>2109,790039</t>
  </si>
  <si>
    <t>2114,590088</t>
  </si>
  <si>
    <t>2096,979980</t>
  </si>
  <si>
    <t>2101,679932</t>
  </si>
  <si>
    <t>2108,780029</t>
  </si>
  <si>
    <t>2090,409912</t>
  </si>
  <si>
    <t>2099,929932</t>
  </si>
  <si>
    <t>2098,600098</t>
  </si>
  <si>
    <t>2101,909912</t>
  </si>
  <si>
    <t>2099,199951</t>
  </si>
  <si>
    <t>2096,560059</t>
  </si>
  <si>
    <t>2068,239990</t>
  </si>
  <si>
    <t>2078,580078</t>
  </si>
  <si>
    <t>2077,189941</t>
  </si>
  <si>
    <t>2083,669922</t>
  </si>
  <si>
    <t>2069,909912</t>
  </si>
  <si>
    <t>2081,719971</t>
  </si>
  <si>
    <t>2083,409912</t>
  </si>
  <si>
    <t>2086,939941</t>
  </si>
  <si>
    <t>2074,850098</t>
  </si>
  <si>
    <t>2075,000000</t>
  </si>
  <si>
    <t>2072,290039</t>
  </si>
  <si>
    <t>2045,660034</t>
  </si>
  <si>
    <t>2045,969971</t>
  </si>
  <si>
    <t>2044,640015</t>
  </si>
  <si>
    <t>2022,020020</t>
  </si>
  <si>
    <t>2023,040039</t>
  </si>
  <si>
    <t>2022,079956</t>
  </si>
  <si>
    <t>2053,219971</t>
  </si>
  <si>
    <t>2019,390015</t>
  </si>
  <si>
    <t>2053,189941</t>
  </si>
  <si>
    <t>2053,669922</t>
  </si>
  <si>
    <t>2066,689941</t>
  </si>
  <si>
    <t>2045,900024</t>
  </si>
  <si>
    <t>2050,439941</t>
  </si>
  <si>
    <t>2051,989990</t>
  </si>
  <si>
    <t>2085,310059</t>
  </si>
  <si>
    <t>2083,580078</t>
  </si>
  <si>
    <t>2083,699951</t>
  </si>
  <si>
    <t>2086,739990</t>
  </si>
  <si>
    <t>2078,760010</t>
  </si>
  <si>
    <t>2081,239990</t>
  </si>
  <si>
    <t>2082,820068</t>
  </si>
  <si>
    <t>2097,060059</t>
  </si>
  <si>
    <t>2089,169922</t>
  </si>
  <si>
    <t>2095,610107</t>
  </si>
  <si>
    <t>2081,389893</t>
  </si>
  <si>
    <t>2086,590088</t>
  </si>
  <si>
    <t>2084,419922</t>
  </si>
  <si>
    <t>2094,120117</t>
  </si>
  <si>
    <t>2070,290039</t>
  </si>
  <si>
    <t>2089,139893</t>
  </si>
  <si>
    <t>2089,300049</t>
  </si>
  <si>
    <t>2093,000000</t>
  </si>
  <si>
    <t>2086,300049</t>
  </si>
  <si>
    <t>2088,870117</t>
  </si>
  <si>
    <t>2088,820068</t>
  </si>
  <si>
    <t>2093,290039</t>
  </si>
  <si>
    <t>2084,129883</t>
  </si>
  <si>
    <t>2090,110107</t>
  </si>
  <si>
    <t>2090,949951</t>
  </si>
  <si>
    <t>2093,810059</t>
  </si>
  <si>
    <t>2080,409912</t>
  </si>
  <si>
    <t>2082,929932</t>
  </si>
  <si>
    <t>2103,370117</t>
  </si>
  <si>
    <t>2101,709961</t>
  </si>
  <si>
    <t>2104,270020</t>
  </si>
  <si>
    <t>2077,110107</t>
  </si>
  <si>
    <t>2079,510010</t>
  </si>
  <si>
    <t>2080,709961</t>
  </si>
  <si>
    <t>2085,000000</t>
  </si>
  <si>
    <t>2042,349976</t>
  </si>
  <si>
    <t>2049,620117</t>
  </si>
  <si>
    <t>2051,239990</t>
  </si>
  <si>
    <t>2093,840088</t>
  </si>
  <si>
    <t>2091,689941</t>
  </si>
  <si>
    <t>2090,419922</t>
  </si>
  <si>
    <t>2066,780029</t>
  </si>
  <si>
    <t>2077,070068</t>
  </si>
  <si>
    <t>2073,389893</t>
  </si>
  <si>
    <t>2073,850098</t>
  </si>
  <si>
    <t>2052,320068</t>
  </si>
  <si>
    <t>2063,590088</t>
  </si>
  <si>
    <t>2061,169922</t>
  </si>
  <si>
    <t>2080,330078</t>
  </si>
  <si>
    <t>2036,530029</t>
  </si>
  <si>
    <t>2047,619995</t>
  </si>
  <si>
    <t>2047,930054</t>
  </si>
  <si>
    <t>2067,649902</t>
  </si>
  <si>
    <t>2045,670044</t>
  </si>
  <si>
    <t>2052,229980</t>
  </si>
  <si>
    <t>2047,270020</t>
  </si>
  <si>
    <t>2008,800049</t>
  </si>
  <si>
    <t>2012,369995</t>
  </si>
  <si>
    <t>2013,369995</t>
  </si>
  <si>
    <t>2022,920044</t>
  </si>
  <si>
    <t>1993,260010</t>
  </si>
  <si>
    <t>2021,939941</t>
  </si>
  <si>
    <t>2025,550049</t>
  </si>
  <si>
    <t>2053,870117</t>
  </si>
  <si>
    <t>2043,410034</t>
  </si>
  <si>
    <t>2046,500000</t>
  </si>
  <si>
    <t>2076,719971</t>
  </si>
  <si>
    <t>2042,430054</t>
  </si>
  <si>
    <t>2073,070068</t>
  </si>
  <si>
    <t>2073,760010</t>
  </si>
  <si>
    <t>2076,370117</t>
  </si>
  <si>
    <t>2041,660034</t>
  </si>
  <si>
    <t>2041,890015</t>
  </si>
  <si>
    <t>2040,810059</t>
  </si>
  <si>
    <t>2005,329956</t>
  </si>
  <si>
    <t>2005,550049</t>
  </si>
  <si>
    <t>2010,270020</t>
  </si>
  <si>
    <t>2022,900024</t>
  </si>
  <si>
    <t>2005,930054</t>
  </si>
  <si>
    <t>2021,150024</t>
  </si>
  <si>
    <t>2023,150024</t>
  </si>
  <si>
    <t>2042,739990</t>
  </si>
  <si>
    <t>2020,489990</t>
  </si>
  <si>
    <t>2038,969971</t>
  </si>
  <si>
    <t>2042,199951</t>
  </si>
  <si>
    <t>2064,729980</t>
  </si>
  <si>
    <t>2064,290039</t>
  </si>
  <si>
    <t>2067,360107</t>
  </si>
  <si>
    <t>2058,729980</t>
  </si>
  <si>
    <t>2060,989990</t>
  </si>
  <si>
    <t>2057,770020</t>
  </si>
  <si>
    <t>2044,199951</t>
  </si>
  <si>
    <t>2056,500000</t>
  </si>
  <si>
    <t>2060,540039</t>
  </si>
  <si>
    <t>2081,560059</t>
  </si>
  <si>
    <t>2078,360107</t>
  </si>
  <si>
    <t>2077,340088</t>
  </si>
  <si>
    <t>2061,969971</t>
  </si>
  <si>
    <t>2063,360107</t>
  </si>
  <si>
    <t>2060,590088</t>
  </si>
  <si>
    <t>2062,540039</t>
  </si>
  <si>
    <t>2043,619995</t>
  </si>
  <si>
    <t>2043,939941</t>
  </si>
  <si>
    <t>2038,199951</t>
  </si>
  <si>
    <t>1989,680054</t>
  </si>
  <si>
    <t>2012,660034</t>
  </si>
  <si>
    <t>2013,780029</t>
  </si>
  <si>
    <t>2004,170044</t>
  </si>
  <si>
    <t>2016,709961</t>
  </si>
  <si>
    <t>2011,709961</t>
  </si>
  <si>
    <t>1979,050049</t>
  </si>
  <si>
    <t>1990,260010</t>
  </si>
  <si>
    <t>1985,319946</t>
  </si>
  <si>
    <t>1938,829956</t>
  </si>
  <si>
    <t>1945,969971</t>
  </si>
  <si>
    <t>1960,400024</t>
  </si>
  <si>
    <t>1918,459961</t>
  </si>
  <si>
    <t>1922,030029</t>
  </si>
  <si>
    <t>1926,119995</t>
  </si>
  <si>
    <t>1935,650024</t>
  </si>
  <si>
    <t>1901,099976</t>
  </si>
  <si>
    <t>1923,670044</t>
  </si>
  <si>
    <t>1927,829956</t>
  </si>
  <si>
    <t>1947,380005</t>
  </si>
  <si>
    <t>1914,349976</t>
  </si>
  <si>
    <t>1938,680054</t>
  </si>
  <si>
    <t>1940,339966</t>
  </si>
  <si>
    <t>1950,329956</t>
  </si>
  <si>
    <t>1886,410034</t>
  </si>
  <si>
    <t>1890,280029</t>
  </si>
  <si>
    <t>1891,680054</t>
  </si>
  <si>
    <t>1934,469971</t>
  </si>
  <si>
    <t>1878,930054</t>
  </si>
  <si>
    <t>1921,839966</t>
  </si>
  <si>
    <t>1916,680054</t>
  </si>
  <si>
    <t>1857,829956</t>
  </si>
  <si>
    <t>1880,329956</t>
  </si>
  <si>
    <t>1888,660034</t>
  </si>
  <si>
    <t>1901,439941</t>
  </si>
  <si>
    <t>1864,599976</t>
  </si>
  <si>
    <t>1881,329956</t>
  </si>
  <si>
    <t>1876,180054</t>
  </si>
  <si>
    <t>1812,290039</t>
  </si>
  <si>
    <t>1859,329956</t>
  </si>
  <si>
    <t>1861,459961</t>
  </si>
  <si>
    <t>1889,849976</t>
  </si>
  <si>
    <t>1848,979980</t>
  </si>
  <si>
    <t>1868,989990</t>
  </si>
  <si>
    <t>1877,400024</t>
  </si>
  <si>
    <t>1908,849976</t>
  </si>
  <si>
    <t>1906,900024</t>
  </si>
  <si>
    <t>1906,280029</t>
  </si>
  <si>
    <t>1875,969971</t>
  </si>
  <si>
    <t>1877,079956</t>
  </si>
  <si>
    <t>1878,790039</t>
  </si>
  <si>
    <t>1906,729980</t>
  </si>
  <si>
    <t>1903,630005</t>
  </si>
  <si>
    <t>1902,520020</t>
  </si>
  <si>
    <t>1916,989990</t>
  </si>
  <si>
    <t>1872,699951</t>
  </si>
  <si>
    <t>1882,949951</t>
  </si>
  <si>
    <t>1885,219971</t>
  </si>
  <si>
    <t>1902,959961</t>
  </si>
  <si>
    <t>1873,650024</t>
  </si>
  <si>
    <t>1893,359985</t>
  </si>
  <si>
    <t>1894,000000</t>
  </si>
  <si>
    <t>1940,239990</t>
  </si>
  <si>
    <t>1936,939941</t>
  </si>
  <si>
    <t>1947,199951</t>
  </si>
  <si>
    <t>1920,300049</t>
  </si>
  <si>
    <t>1939,380005</t>
  </si>
  <si>
    <t>1935,260010</t>
  </si>
  <si>
    <t>1897,290039</t>
  </si>
  <si>
    <t>1903,030029</t>
  </si>
  <si>
    <t>1907,069946</t>
  </si>
  <si>
    <t>1918,010010</t>
  </si>
  <si>
    <t>1872,229980</t>
  </si>
  <si>
    <t>1912,530029</t>
  </si>
  <si>
    <t>1911,670044</t>
  </si>
  <si>
    <t>1927,349976</t>
  </si>
  <si>
    <t>1900,520020</t>
  </si>
  <si>
    <t>1915,449951</t>
  </si>
  <si>
    <t>1913,069946</t>
  </si>
  <si>
    <t>1872,650024</t>
  </si>
  <si>
    <t>1880,050049</t>
  </si>
  <si>
    <t>1873,250000</t>
  </si>
  <si>
    <t>1828,459961</t>
  </si>
  <si>
    <t>1853,439941</t>
  </si>
  <si>
    <t>1848,459961</t>
  </si>
  <si>
    <t>1868,250000</t>
  </si>
  <si>
    <t>1834,939941</t>
  </si>
  <si>
    <t>1852,209961</t>
  </si>
  <si>
    <t>1857,099976</t>
  </si>
  <si>
    <t>1881,599976</t>
  </si>
  <si>
    <t>1850,319946</t>
  </si>
  <si>
    <t>1851,859985</t>
  </si>
  <si>
    <t>1847,000000</t>
  </si>
  <si>
    <t>1810,099976</t>
  </si>
  <si>
    <t>1829,079956</t>
  </si>
  <si>
    <t>1833,400024</t>
  </si>
  <si>
    <t>1864,780029</t>
  </si>
  <si>
    <t>1871,439941</t>
  </si>
  <si>
    <t>1895,770020</t>
  </si>
  <si>
    <t>1895,579956</t>
  </si>
  <si>
    <t>1898,800049</t>
  </si>
  <si>
    <t>1930,680054</t>
  </si>
  <si>
    <t>1926,819946</t>
  </si>
  <si>
    <t>1927,569946</t>
  </si>
  <si>
    <t>1930,000000</t>
  </si>
  <si>
    <t>1915,089966</t>
  </si>
  <si>
    <t>1917,829956</t>
  </si>
  <si>
    <t>1916,739990</t>
  </si>
  <si>
    <t>1918,780029</t>
  </si>
  <si>
    <t>1902,170044</t>
  </si>
  <si>
    <t>1917,780029</t>
  </si>
  <si>
    <t>1924,439941</t>
  </si>
  <si>
    <t>1946,699951</t>
  </si>
  <si>
    <t>1945,500000</t>
  </si>
  <si>
    <t>1942,380005</t>
  </si>
  <si>
    <t>1919,439941</t>
  </si>
  <si>
    <t>1921,270020</t>
  </si>
  <si>
    <t>1917,560059</t>
  </si>
  <si>
    <t>1932,079956</t>
  </si>
  <si>
    <t>1891,000000</t>
  </si>
  <si>
    <t>1929,800049</t>
  </si>
  <si>
    <t>1931,869995</t>
  </si>
  <si>
    <t>1951,829956</t>
  </si>
  <si>
    <t>1925,410034</t>
  </si>
  <si>
    <t>1951,699951</t>
  </si>
  <si>
    <t>1954,949951</t>
  </si>
  <si>
    <t>1962,959961</t>
  </si>
  <si>
    <t>1945,780029</t>
  </si>
  <si>
    <t>1948,050049</t>
  </si>
  <si>
    <t>1947,130005</t>
  </si>
  <si>
    <t>1958,270020</t>
  </si>
  <si>
    <t>1931,810059</t>
  </si>
  <si>
    <t>1932,229980</t>
  </si>
  <si>
    <t>1937,089966</t>
  </si>
  <si>
    <t>1978,349976</t>
  </si>
  <si>
    <t>1976,599976</t>
  </si>
  <si>
    <t>1986,510010</t>
  </si>
  <si>
    <t>1968,800049</t>
  </si>
  <si>
    <t>1986,449951</t>
  </si>
  <si>
    <t>1985,599976</t>
  </si>
  <si>
    <t>1993,689941</t>
  </si>
  <si>
    <t>1977,369995</t>
  </si>
  <si>
    <t>1993,400024</t>
  </si>
  <si>
    <t>2009,130005</t>
  </si>
  <si>
    <t>1986,770020</t>
  </si>
  <si>
    <t>1999,989990</t>
  </si>
  <si>
    <t>1996,109985</t>
  </si>
  <si>
    <t>2006,119995</t>
  </si>
  <si>
    <t>1989,380005</t>
  </si>
  <si>
    <t>2001,760010</t>
  </si>
  <si>
    <t>1996,880005</t>
  </si>
  <si>
    <t>1977,430054</t>
  </si>
  <si>
    <t>1979,260010</t>
  </si>
  <si>
    <t>1981,439941</t>
  </si>
  <si>
    <t>1992,689941</t>
  </si>
  <si>
    <t>1979,839966</t>
  </si>
  <si>
    <t>1989,260010</t>
  </si>
  <si>
    <t>1990,969971</t>
  </si>
  <si>
    <t>2005,079956</t>
  </si>
  <si>
    <t>1969,250000</t>
  </si>
  <si>
    <t>1989,569946</t>
  </si>
  <si>
    <t>1994,709961</t>
  </si>
  <si>
    <t>2022,369995</t>
  </si>
  <si>
    <t>2022,189941</t>
  </si>
  <si>
    <t>2019,270020</t>
  </si>
  <si>
    <t>2024,569946</t>
  </si>
  <si>
    <t>2012,050049</t>
  </si>
  <si>
    <t>2019,640015</t>
  </si>
  <si>
    <t>2015,270020</t>
  </si>
  <si>
    <t>2015,939941</t>
  </si>
  <si>
    <t>2005,229980</t>
  </si>
  <si>
    <t>2015,930054</t>
  </si>
  <si>
    <t>2014,239990</t>
  </si>
  <si>
    <t>2032,020020</t>
  </si>
  <si>
    <t>2010,040039</t>
  </si>
  <si>
    <t>2027,219971</t>
  </si>
  <si>
    <t>2026,900024</t>
  </si>
  <si>
    <t>2046,239990</t>
  </si>
  <si>
    <t>2022,160034</t>
  </si>
  <si>
    <t>2040,589966</t>
  </si>
  <si>
    <t>2041,160034</t>
  </si>
  <si>
    <t>2052,360107</t>
  </si>
  <si>
    <t>2049,580078</t>
  </si>
  <si>
    <t>2047,880005</t>
  </si>
  <si>
    <t>2053,909912</t>
  </si>
  <si>
    <t>2043,140015</t>
  </si>
  <si>
    <t>2051,600098</t>
  </si>
  <si>
    <t>2048,639893</t>
  </si>
  <si>
    <t>2056,600098</t>
  </si>
  <si>
    <t>2040,569946</t>
  </si>
  <si>
    <t>2049,800049</t>
  </si>
  <si>
    <t>2048,550049</t>
  </si>
  <si>
    <t>2034,859985</t>
  </si>
  <si>
    <t>2036,709961</t>
  </si>
  <si>
    <t>2032,479980</t>
  </si>
  <si>
    <t>2036,040039</t>
  </si>
  <si>
    <t>2022,489990</t>
  </si>
  <si>
    <t>2035,939941</t>
  </si>
  <si>
    <t>2037,890015</t>
  </si>
  <si>
    <t>2042,670044</t>
  </si>
  <si>
    <t>2031,959961</t>
  </si>
  <si>
    <t>2037,050049</t>
  </si>
  <si>
    <t>2035,750000</t>
  </si>
  <si>
    <t>2055,909912</t>
  </si>
  <si>
    <t>2028,310059</t>
  </si>
  <si>
    <t>2055,010010</t>
  </si>
  <si>
    <t>2058,270020</t>
  </si>
  <si>
    <t>2063,949951</t>
  </si>
  <si>
    <t>2063,770020</t>
  </si>
  <si>
    <t>2067,919922</t>
  </si>
  <si>
    <t>2057,459961</t>
  </si>
  <si>
    <t>2059,739990</t>
  </si>
  <si>
    <t>2056,620117</t>
  </si>
  <si>
    <t>2075,070068</t>
  </si>
  <si>
    <t>2043,979980</t>
  </si>
  <si>
    <t>2072,780029</t>
  </si>
  <si>
    <t>2073,189941</t>
  </si>
  <si>
    <t>2074,020020</t>
  </si>
  <si>
    <t>2062,570068</t>
  </si>
  <si>
    <t>2066,129883</t>
  </si>
  <si>
    <t>2062,500000</t>
  </si>
  <si>
    <t>2042,560059</t>
  </si>
  <si>
    <t>2045,170044</t>
  </si>
  <si>
    <t>2045,560059</t>
  </si>
  <si>
    <t>2067,330078</t>
  </si>
  <si>
    <t>2043,089966</t>
  </si>
  <si>
    <t>2066,659912</t>
  </si>
  <si>
    <t>2063,010010</t>
  </si>
  <si>
    <t>2033,800049</t>
  </si>
  <si>
    <t>2041,910034</t>
  </si>
  <si>
    <t>2045,540039</t>
  </si>
  <si>
    <t>2060,629883</t>
  </si>
  <si>
    <t>2041,689941</t>
  </si>
  <si>
    <t>2047,599976</t>
  </si>
  <si>
    <t>2050,229980</t>
  </si>
  <si>
    <t>2062,929932</t>
  </si>
  <si>
    <t>2041,880005</t>
  </si>
  <si>
    <t>2041,989990</t>
  </si>
  <si>
    <t>2043,719971</t>
  </si>
  <si>
    <t>2065,050049</t>
  </si>
  <si>
    <t>2039,739990</t>
  </si>
  <si>
    <t>2061,719971</t>
  </si>
  <si>
    <t>2065,919922</t>
  </si>
  <si>
    <t>2083,179932</t>
  </si>
  <si>
    <t>2082,419922</t>
  </si>
  <si>
    <t>2082,889893</t>
  </si>
  <si>
    <t>2087,840088</t>
  </si>
  <si>
    <t>2078,129883</t>
  </si>
  <si>
    <t>2083,100098</t>
  </si>
  <si>
    <t>2083,219971</t>
  </si>
  <si>
    <t>2076,310059</t>
  </si>
  <si>
    <t>2080,729980</t>
  </si>
  <si>
    <t>2078,830078</t>
  </si>
  <si>
    <t>2094,659912</t>
  </si>
  <si>
    <t>2073,649902</t>
  </si>
  <si>
    <t>2094,340088</t>
  </si>
  <si>
    <t>2096,050049</t>
  </si>
  <si>
    <t>2091,679932</t>
  </si>
  <si>
    <t>2100,800049</t>
  </si>
  <si>
    <t>2101,520020</t>
  </si>
  <si>
    <t>2111,050049</t>
  </si>
  <si>
    <t>2096,320068</t>
  </si>
  <si>
    <t>2102,399902</t>
  </si>
  <si>
    <t>2102,090088</t>
  </si>
  <si>
    <t>2103,780029</t>
  </si>
  <si>
    <t>2088,520020</t>
  </si>
  <si>
    <t>2091,479980</t>
  </si>
  <si>
    <t>2091,489990</t>
  </si>
  <si>
    <t>2081,199951</t>
  </si>
  <si>
    <t>2091,580078</t>
  </si>
  <si>
    <t>2089,370117</t>
  </si>
  <si>
    <t>2077,520020</t>
  </si>
  <si>
    <t>2087,790039</t>
  </si>
  <si>
    <t>2089,840088</t>
  </si>
  <si>
    <t>2096,870117</t>
  </si>
  <si>
    <t>2085,800049</t>
  </si>
  <si>
    <t>2091,699951</t>
  </si>
  <si>
    <t>2099,889893</t>
  </si>
  <si>
    <t>2082,310059</t>
  </si>
  <si>
    <t>2095,149902</t>
  </si>
  <si>
    <t>2090,929932</t>
  </si>
  <si>
    <t>2099,300049</t>
  </si>
  <si>
    <t>2071,620117</t>
  </si>
  <si>
    <t>2075,810059</t>
  </si>
  <si>
    <t>2071,820068</t>
  </si>
  <si>
    <t>2052,280029</t>
  </si>
  <si>
    <t>2065,300049</t>
  </si>
  <si>
    <t>2067,169922</t>
  </si>
  <si>
    <t>2083,419922</t>
  </si>
  <si>
    <t>2066,110107</t>
  </si>
  <si>
    <t>2081,429932</t>
  </si>
  <si>
    <t>2077,179932</t>
  </si>
  <si>
    <t>2054,889893</t>
  </si>
  <si>
    <t>2063,370117</t>
  </si>
  <si>
    <t>2060,300049</t>
  </si>
  <si>
    <t>2045,550049</t>
  </si>
  <si>
    <t>2051,120117</t>
  </si>
  <si>
    <t>2052,949951</t>
  </si>
  <si>
    <t>2060,229980</t>
  </si>
  <si>
    <t>2045,770020</t>
  </si>
  <si>
    <t>2050,629883</t>
  </si>
  <si>
    <t>2047,770020</t>
  </si>
  <si>
    <t>2057,719971</t>
  </si>
  <si>
    <t>2039,449951</t>
  </si>
  <si>
    <t>2057,139893</t>
  </si>
  <si>
    <t>2057,550049</t>
  </si>
  <si>
    <t>2064,149902</t>
  </si>
  <si>
    <t>2054,310059</t>
  </si>
  <si>
    <t>2058,689941</t>
  </si>
  <si>
    <t>2062,629883</t>
  </si>
  <si>
    <t>2084,870117</t>
  </si>
  <si>
    <t>2084,389893</t>
  </si>
  <si>
    <t>2083,290039</t>
  </si>
  <si>
    <t>2064,459961</t>
  </si>
  <si>
    <t>2073,989990</t>
  </si>
  <si>
    <t>2053,129883</t>
  </si>
  <si>
    <t>2066,790039</t>
  </si>
  <si>
    <t>2043,130005</t>
  </si>
  <si>
    <t>2046,609985</t>
  </si>
  <si>
    <t>2046,530029</t>
  </si>
  <si>
    <t>2071,879883</t>
  </si>
  <si>
    <t>2065,040039</t>
  </si>
  <si>
    <t>2065,689941</t>
  </si>
  <si>
    <t>2040,819946</t>
  </si>
  <si>
    <t>2047,209961</t>
  </si>
  <si>
    <t>2044,380005</t>
  </si>
  <si>
    <t>2060,610107</t>
  </si>
  <si>
    <t>2034,489990</t>
  </si>
  <si>
    <t>2047,630005</t>
  </si>
  <si>
    <t>2044,209961</t>
  </si>
  <si>
    <t>2025,910034</t>
  </si>
  <si>
    <t>2040,040039</t>
  </si>
  <si>
    <t>2058,350098</t>
  </si>
  <si>
    <t>2055,580078</t>
  </si>
  <si>
    <t>2047,260010</t>
  </si>
  <si>
    <t>2048,040039</t>
  </si>
  <si>
    <t>2052,649902</t>
  </si>
  <si>
    <t>2079,669922</t>
  </si>
  <si>
    <t>2076,060059</t>
  </si>
  <si>
    <t>2078,929932</t>
  </si>
  <si>
    <t>2094,729980</t>
  </si>
  <si>
    <t>2090,540039</t>
  </si>
  <si>
    <t>2091,439941</t>
  </si>
  <si>
    <t>2094,300049</t>
  </si>
  <si>
    <t>2087,080078</t>
  </si>
  <si>
    <t>2090,100098</t>
  </si>
  <si>
    <t>2090,060059</t>
  </si>
  <si>
    <t>2099,060059</t>
  </si>
  <si>
    <t>2100,129883</t>
  </si>
  <si>
    <t>2103,479980</t>
  </si>
  <si>
    <t>2088,659912</t>
  </si>
  <si>
    <t>2096,949951</t>
  </si>
  <si>
    <t>2093,939941</t>
  </si>
  <si>
    <t>2100,969971</t>
  </si>
  <si>
    <t>2085,100098</t>
  </si>
  <si>
    <t>2099,330078</t>
  </si>
  <si>
    <t>2097,709961</t>
  </si>
  <si>
    <t>2105,260010</t>
  </si>
  <si>
    <t>2088,590088</t>
  </si>
  <si>
    <t>2104,070068</t>
  </si>
  <si>
    <t>2085,360107</t>
  </si>
  <si>
    <t>2099,129883</t>
  </si>
  <si>
    <t>2100,830078</t>
  </si>
  <si>
    <t>2113,360107</t>
  </si>
  <si>
    <t>2109,409912</t>
  </si>
  <si>
    <t>2110,179932</t>
  </si>
  <si>
    <t>2119,219971</t>
  </si>
  <si>
    <t>2112,129883</t>
  </si>
  <si>
    <t>2112,709961</t>
  </si>
  <si>
    <t>2120,550049</t>
  </si>
  <si>
    <t>2119,120117</t>
  </si>
  <si>
    <t>2115,649902</t>
  </si>
  <si>
    <t>2117,639893</t>
  </si>
  <si>
    <t>2107,729980</t>
  </si>
  <si>
    <t>2115,479980</t>
  </si>
  <si>
    <t>2109,570068</t>
  </si>
  <si>
    <t>2089,959961</t>
  </si>
  <si>
    <t>2096,070068</t>
  </si>
  <si>
    <t>2091,750000</t>
  </si>
  <si>
    <t>2098,120117</t>
  </si>
  <si>
    <t>2078,459961</t>
  </si>
  <si>
    <t>2079,060059</t>
  </si>
  <si>
    <t>2076,649902</t>
  </si>
  <si>
    <t>2081,300049</t>
  </si>
  <si>
    <t>2064,100098</t>
  </si>
  <si>
    <t>2075,320068</t>
  </si>
  <si>
    <t>2077,600098</t>
  </si>
  <si>
    <t>2085,649902</t>
  </si>
  <si>
    <t>2069,800049</t>
  </si>
  <si>
    <t>2071,500000</t>
  </si>
  <si>
    <t>2066,360107</t>
  </si>
  <si>
    <t>2079,620117</t>
  </si>
  <si>
    <t>2050,370117</t>
  </si>
  <si>
    <t>2077,989990</t>
  </si>
  <si>
    <t>2078,199951</t>
  </si>
  <si>
    <t>2062,840088</t>
  </si>
  <si>
    <t>2071,219971</t>
  </si>
  <si>
    <t>2075,580078</t>
  </si>
  <si>
    <t>2100,659912</t>
  </si>
  <si>
    <t>2083,250000</t>
  </si>
  <si>
    <t>2085,189941</t>
  </si>
  <si>
    <t>2093,659912</t>
  </si>
  <si>
    <t>2083,020020</t>
  </si>
  <si>
    <t>2088,899902</t>
  </si>
  <si>
    <t>2089,750000</t>
  </si>
  <si>
    <t>2099,709961</t>
  </si>
  <si>
    <t>2084,360107</t>
  </si>
  <si>
    <t>2085,449951</t>
  </si>
  <si>
    <t>2092,800049</t>
  </si>
  <si>
    <t>2113,320068</t>
  </si>
  <si>
    <t>2103,810059</t>
  </si>
  <si>
    <t>2032,569946</t>
  </si>
  <si>
    <t>2037,410034</t>
  </si>
  <si>
    <t>2031,449951</t>
  </si>
  <si>
    <t>1991,680054</t>
  </si>
  <si>
    <t>2000,540039</t>
  </si>
  <si>
    <t>2006,670044</t>
  </si>
  <si>
    <t>2036,089966</t>
  </si>
  <si>
    <t>2042,689941</t>
  </si>
  <si>
    <t>2073,129883</t>
  </si>
  <si>
    <t>2070,770020</t>
  </si>
  <si>
    <t>2073,169922</t>
  </si>
  <si>
    <t>2098,939941</t>
  </si>
  <si>
    <t>2070,000000</t>
  </si>
  <si>
    <t>2098,860107</t>
  </si>
  <si>
    <t>2099,340088</t>
  </si>
  <si>
    <t>2108,709961</t>
  </si>
  <si>
    <t>2097,899902</t>
  </si>
  <si>
    <t>2102,949951</t>
  </si>
  <si>
    <t>2095,050049</t>
  </si>
  <si>
    <t>2080,860107</t>
  </si>
  <si>
    <t>2088,550049</t>
  </si>
  <si>
    <t>2100,719971</t>
  </si>
  <si>
    <t>2099,729980</t>
  </si>
  <si>
    <t>2100,419922</t>
  </si>
  <si>
    <t>2109,080078</t>
  </si>
  <si>
    <t>2089,389893</t>
  </si>
  <si>
    <t>2106,969971</t>
  </si>
  <si>
    <t>2131,709961</t>
  </si>
  <si>
    <t>2129,899902</t>
  </si>
  <si>
    <t>2131,719971</t>
  </si>
  <si>
    <t>2143,159912</t>
  </si>
  <si>
    <t>2137,159912</t>
  </si>
  <si>
    <t>2139,500000</t>
  </si>
  <si>
    <t>2155,399902</t>
  </si>
  <si>
    <t>2152,139893</t>
  </si>
  <si>
    <t>2153,810059</t>
  </si>
  <si>
    <t>2156,449951</t>
  </si>
  <si>
    <t>2146,209961</t>
  </si>
  <si>
    <t>2152,429932</t>
  </si>
  <si>
    <t>2157,879883</t>
  </si>
  <si>
    <t>2168,989990</t>
  </si>
  <si>
    <t>2163,750000</t>
  </si>
  <si>
    <t>2165,129883</t>
  </si>
  <si>
    <t>2169,050049</t>
  </si>
  <si>
    <t>2155,790039</t>
  </si>
  <si>
    <t>2161,739990</t>
  </si>
  <si>
    <t>2162,040039</t>
  </si>
  <si>
    <t>2168,350098</t>
  </si>
  <si>
    <t>2159,629883</t>
  </si>
  <si>
    <t>2166,889893</t>
  </si>
  <si>
    <t>2163,790039</t>
  </si>
  <si>
    <t>2164,629883</t>
  </si>
  <si>
    <t>2159,010010</t>
  </si>
  <si>
    <t>2163,780029</t>
  </si>
  <si>
    <t>2166,100098</t>
  </si>
  <si>
    <t>2175,629883</t>
  </si>
  <si>
    <t>2164,889893</t>
  </si>
  <si>
    <t>2173,020020</t>
  </si>
  <si>
    <t>2172,909912</t>
  </si>
  <si>
    <t>2174,560059</t>
  </si>
  <si>
    <t>2159,750000</t>
  </si>
  <si>
    <t>2165,169922</t>
  </si>
  <si>
    <t>2166,469971</t>
  </si>
  <si>
    <t>2175,110107</t>
  </si>
  <si>
    <t>2163,239990</t>
  </si>
  <si>
    <t>2175,030029</t>
  </si>
  <si>
    <t>2173,709961</t>
  </si>
  <si>
    <t>2161,949951</t>
  </si>
  <si>
    <t>2168,479980</t>
  </si>
  <si>
    <t>2168,969971</t>
  </si>
  <si>
    <t>2173,540039</t>
  </si>
  <si>
    <t>2160,179932</t>
  </si>
  <si>
    <t>2169,179932</t>
  </si>
  <si>
    <t>2169,810059</t>
  </si>
  <si>
    <t>2174,979980</t>
  </si>
  <si>
    <t>2159,070068</t>
  </si>
  <si>
    <t>2166,580078</t>
  </si>
  <si>
    <t>2166,050049</t>
  </si>
  <si>
    <t>2172,850098</t>
  </si>
  <si>
    <t>2159,739990</t>
  </si>
  <si>
    <t>2170,060059</t>
  </si>
  <si>
    <t>2168,830078</t>
  </si>
  <si>
    <t>2177,090088</t>
  </si>
  <si>
    <t>2163,489990</t>
  </si>
  <si>
    <t>2173,600098</t>
  </si>
  <si>
    <t>2173,149902</t>
  </si>
  <si>
    <t>2178,290039</t>
  </si>
  <si>
    <t>2166,209961</t>
  </si>
  <si>
    <t>2170,840088</t>
  </si>
  <si>
    <t>2169,939941</t>
  </si>
  <si>
    <t>2170,199951</t>
  </si>
  <si>
    <t>2147,580078</t>
  </si>
  <si>
    <t>2157,030029</t>
  </si>
  <si>
    <t>2156,810059</t>
  </si>
  <si>
    <t>2152,560059</t>
  </si>
  <si>
    <t>2163,510010</t>
  </si>
  <si>
    <t>2168,189941</t>
  </si>
  <si>
    <t>2164,250000</t>
  </si>
  <si>
    <t>2168,790039</t>
  </si>
  <si>
    <t>2182,870117</t>
  </si>
  <si>
    <t>2183,760010</t>
  </si>
  <si>
    <t>2185,439941</t>
  </si>
  <si>
    <t>2177,850098</t>
  </si>
  <si>
    <t>2180,889893</t>
  </si>
  <si>
    <t>2182,239990</t>
  </si>
  <si>
    <t>2187,659912</t>
  </si>
  <si>
    <t>2178,610107</t>
  </si>
  <si>
    <t>2181,739990</t>
  </si>
  <si>
    <t>2182,810059</t>
  </si>
  <si>
    <t>2183,409912</t>
  </si>
  <si>
    <t>2172,000000</t>
  </si>
  <si>
    <t>2175,489990</t>
  </si>
  <si>
    <t>2177,969971</t>
  </si>
  <si>
    <t>2188,449951</t>
  </si>
  <si>
    <t>2185,790039</t>
  </si>
  <si>
    <t>2183,739990</t>
  </si>
  <si>
    <t>2186,280029</t>
  </si>
  <si>
    <t>2179,419922</t>
  </si>
  <si>
    <t>2184,050049</t>
  </si>
  <si>
    <t>2186,080078</t>
  </si>
  <si>
    <t>2193,810059</t>
  </si>
  <si>
    <t>2190,149902</t>
  </si>
  <si>
    <t>2186,239990</t>
  </si>
  <si>
    <t>2178,139893</t>
  </si>
  <si>
    <t>2178,149902</t>
  </si>
  <si>
    <t>2177,840088</t>
  </si>
  <si>
    <t>2183,080078</t>
  </si>
  <si>
    <t>2168,500000</t>
  </si>
  <si>
    <t>2182,219971</t>
  </si>
  <si>
    <t>2181,899902</t>
  </si>
  <si>
    <t>2187,030029</t>
  </si>
  <si>
    <t>2180,459961</t>
  </si>
  <si>
    <t>2187,020020</t>
  </si>
  <si>
    <t>2184,239990</t>
  </si>
  <si>
    <t>2185,000000</t>
  </si>
  <si>
    <t>2175,129883</t>
  </si>
  <si>
    <t>2183,870117</t>
  </si>
  <si>
    <t>2181,580078</t>
  </si>
  <si>
    <t>2185,149902</t>
  </si>
  <si>
    <t>2175,959961</t>
  </si>
  <si>
    <t>2182,639893</t>
  </si>
  <si>
    <t>2187,810059</t>
  </si>
  <si>
    <t>2193,419922</t>
  </si>
  <si>
    <t>2186,800049</t>
  </si>
  <si>
    <t>2186,899902</t>
  </si>
  <si>
    <t>2185,090088</t>
  </si>
  <si>
    <t>2186,659912</t>
  </si>
  <si>
    <t>2171,250000</t>
  </si>
  <si>
    <t>2175,439941</t>
  </si>
  <si>
    <t>2173,290039</t>
  </si>
  <si>
    <t>2179,000000</t>
  </si>
  <si>
    <t>2169,739990</t>
  </si>
  <si>
    <t>2172,469971</t>
  </si>
  <si>
    <t>2175,100098</t>
  </si>
  <si>
    <t>2187,939941</t>
  </si>
  <si>
    <t>2160,389893</t>
  </si>
  <si>
    <t>2169,040039</t>
  </si>
  <si>
    <t>2170,189941</t>
  </si>
  <si>
    <t>2183,479980</t>
  </si>
  <si>
    <t>2180,379883</t>
  </si>
  <si>
    <t>2179,449951</t>
  </si>
  <si>
    <t>2182,270020</t>
  </si>
  <si>
    <t>2170,409912</t>
  </si>
  <si>
    <t>2176,120117</t>
  </si>
  <si>
    <t>2173,560059</t>
  </si>
  <si>
    <t>2173,790039</t>
  </si>
  <si>
    <t>2161,350098</t>
  </si>
  <si>
    <t>2170,949951</t>
  </si>
  <si>
    <t>2171,330078</t>
  </si>
  <si>
    <t>2157,090088</t>
  </si>
  <si>
    <t>2170,860107</t>
  </si>
  <si>
    <t>2177,489990</t>
  </si>
  <si>
    <t>2184,870117</t>
  </si>
  <si>
    <t>2173,590088</t>
  </si>
  <si>
    <t>2179,979980</t>
  </si>
  <si>
    <t>2181,610107</t>
  </si>
  <si>
    <t>2186,570068</t>
  </si>
  <si>
    <t>2186,479980</t>
  </si>
  <si>
    <t>2185,169922</t>
  </si>
  <si>
    <t>2187,870117</t>
  </si>
  <si>
    <t>2179,070068</t>
  </si>
  <si>
    <t>2186,159912</t>
  </si>
  <si>
    <t>2182,760010</t>
  </si>
  <si>
    <t>2184,939941</t>
  </si>
  <si>
    <t>2181,300049</t>
  </si>
  <si>
    <t>2169,080078</t>
  </si>
  <si>
    <t>2127,810059</t>
  </si>
  <si>
    <t>2120,860107</t>
  </si>
  <si>
    <t>2163,300049</t>
  </si>
  <si>
    <t>2159,040039</t>
  </si>
  <si>
    <t>2150,469971</t>
  </si>
  <si>
    <t>2120,270020</t>
  </si>
  <si>
    <t>2127,020020</t>
  </si>
  <si>
    <t>2127,860107</t>
  </si>
  <si>
    <t>2141,330078</t>
  </si>
  <si>
    <t>2119,899902</t>
  </si>
  <si>
    <t>2125,770020</t>
  </si>
  <si>
    <t>2125,360107</t>
  </si>
  <si>
    <t>2151,310059</t>
  </si>
  <si>
    <t>2122,360107</t>
  </si>
  <si>
    <t>2147,260010</t>
  </si>
  <si>
    <t>2146,479980</t>
  </si>
  <si>
    <t>2131,199951</t>
  </si>
  <si>
    <t>2139,159912</t>
  </si>
  <si>
    <t>2143,989990</t>
  </si>
  <si>
    <t>2153,610107</t>
  </si>
  <si>
    <t>2135,909912</t>
  </si>
  <si>
    <t>2139,120117</t>
  </si>
  <si>
    <t>2145,939941</t>
  </si>
  <si>
    <t>2150,800049</t>
  </si>
  <si>
    <t>2139,169922</t>
  </si>
  <si>
    <t>2139,760010</t>
  </si>
  <si>
    <t>2144,580078</t>
  </si>
  <si>
    <t>2165,110107</t>
  </si>
  <si>
    <t>2139,570068</t>
  </si>
  <si>
    <t>2163,120117</t>
  </si>
  <si>
    <t>2170,939941</t>
  </si>
  <si>
    <t>2179,989990</t>
  </si>
  <si>
    <t>2177,179932</t>
  </si>
  <si>
    <t>2173,750000</t>
  </si>
  <si>
    <t>2163,969971</t>
  </si>
  <si>
    <t>2164,689941</t>
  </si>
  <si>
    <t>2158,540039</t>
  </si>
  <si>
    <t>2145,040039</t>
  </si>
  <si>
    <t>2146,100098</t>
  </si>
  <si>
    <t>2146,040039</t>
  </si>
  <si>
    <t>2161,129883</t>
  </si>
  <si>
    <t>2141,550049</t>
  </si>
  <si>
    <t>2159,929932</t>
  </si>
  <si>
    <t>2161,850098</t>
  </si>
  <si>
    <t>2172,399902</t>
  </si>
  <si>
    <t>2151,790039</t>
  </si>
  <si>
    <t>2171,370117</t>
  </si>
  <si>
    <t>2168,899902</t>
  </si>
  <si>
    <t>2172,669922</t>
  </si>
  <si>
    <t>2145,199951</t>
  </si>
  <si>
    <t>2151,129883</t>
  </si>
  <si>
    <t>2156,510010</t>
  </si>
  <si>
    <t>2175,300049</t>
  </si>
  <si>
    <t>2168,270020</t>
  </si>
  <si>
    <t>2164,330078</t>
  </si>
  <si>
    <t>2164,409912</t>
  </si>
  <si>
    <t>2154,770020</t>
  </si>
  <si>
    <t>2161,199951</t>
  </si>
  <si>
    <t>2163,370117</t>
  </si>
  <si>
    <t>2165,459961</t>
  </si>
  <si>
    <t>2144,010010</t>
  </si>
  <si>
    <t>2150,489990</t>
  </si>
  <si>
    <t>2155,149902</t>
  </si>
  <si>
    <t>2163,949951</t>
  </si>
  <si>
    <t>2159,729980</t>
  </si>
  <si>
    <t>2158,219971</t>
  </si>
  <si>
    <t>2162,929932</t>
  </si>
  <si>
    <t>2150,280029</t>
  </si>
  <si>
    <t>2160,770020</t>
  </si>
  <si>
    <t>2164,189941</t>
  </si>
  <si>
    <t>2165,860107</t>
  </si>
  <si>
    <t>2144,850098</t>
  </si>
  <si>
    <t>2153,739990</t>
  </si>
  <si>
    <t>2169,600098</t>
  </si>
  <si>
    <t>2163,659912</t>
  </si>
  <si>
    <t>2161,560059</t>
  </si>
  <si>
    <t>2128,840088</t>
  </si>
  <si>
    <t>2136,729980</t>
  </si>
  <si>
    <t>2137,669922</t>
  </si>
  <si>
    <t>2145,360107</t>
  </si>
  <si>
    <t>2132,770020</t>
  </si>
  <si>
    <t>2139,179932</t>
  </si>
  <si>
    <t>2130,260010</t>
  </si>
  <si>
    <t>2138,189941</t>
  </si>
  <si>
    <t>2114,719971</t>
  </si>
  <si>
    <t>2132,550049</t>
  </si>
  <si>
    <t>2139,679932</t>
  </si>
  <si>
    <t>2149,189941</t>
  </si>
  <si>
    <t>2132,979980</t>
  </si>
  <si>
    <t>2132,949951</t>
  </si>
  <si>
    <t>2135,610107</t>
  </si>
  <si>
    <t>2124,429932</t>
  </si>
  <si>
    <t>2126,500000</t>
  </si>
  <si>
    <t>2138,310059</t>
  </si>
  <si>
    <t>2144,379883</t>
  </si>
  <si>
    <t>2135,489990</t>
  </si>
  <si>
    <t>2139,600098</t>
  </si>
  <si>
    <t>2140,810059</t>
  </si>
  <si>
    <t>2148,439941</t>
  </si>
  <si>
    <t>2138,149902</t>
  </si>
  <si>
    <t>2144,290039</t>
  </si>
  <si>
    <t>2142,510010</t>
  </si>
  <si>
    <t>2147,179932</t>
  </si>
  <si>
    <t>2133,439941</t>
  </si>
  <si>
    <t>2141,340088</t>
  </si>
  <si>
    <t>2139,429932</t>
  </si>
  <si>
    <t>2142,629883</t>
  </si>
  <si>
    <t>2130,090088</t>
  </si>
  <si>
    <t>2141,159912</t>
  </si>
  <si>
    <t>2148,500000</t>
  </si>
  <si>
    <t>2154,790039</t>
  </si>
  <si>
    <t>2146,909912</t>
  </si>
  <si>
    <t>2151,330078</t>
  </si>
  <si>
    <t>2149,719971</t>
  </si>
  <si>
    <t>2151,439941</t>
  </si>
  <si>
    <t>2141,929932</t>
  </si>
  <si>
    <t>2136,969971</t>
  </si>
  <si>
    <t>2145,729980</t>
  </si>
  <si>
    <t>2131,590088</t>
  </si>
  <si>
    <t>2144,060059</t>
  </si>
  <si>
    <t>2147,129883</t>
  </si>
  <si>
    <t>2132,520020</t>
  </si>
  <si>
    <t>2133,040039</t>
  </si>
  <si>
    <t>2132,229980</t>
  </si>
  <si>
    <t>2140,719971</t>
  </si>
  <si>
    <t>2119,360107</t>
  </si>
  <si>
    <t>2126,409912</t>
  </si>
  <si>
    <t>2129,780029</t>
  </si>
  <si>
    <t>2133,250000</t>
  </si>
  <si>
    <t>2125,530029</t>
  </si>
  <si>
    <t>2126,149902</t>
  </si>
  <si>
    <t>2128,679932</t>
  </si>
  <si>
    <t>2131,449951</t>
  </si>
  <si>
    <t>2097,850098</t>
  </si>
  <si>
    <t>2111,719971</t>
  </si>
  <si>
    <t>2109,429932</t>
  </si>
  <si>
    <t>2111,760010</t>
  </si>
  <si>
    <t>2094,000000</t>
  </si>
  <si>
    <t>2097,939941</t>
  </si>
  <si>
    <t>2098,800049</t>
  </si>
  <si>
    <t>2102,560059</t>
  </si>
  <si>
    <t>2085,229980</t>
  </si>
  <si>
    <t>2083,790039</t>
  </si>
  <si>
    <t>2099,070068</t>
  </si>
  <si>
    <t>2085,179932</t>
  </si>
  <si>
    <t>2100,590088</t>
  </si>
  <si>
    <t>2132,000000</t>
  </si>
  <si>
    <t>2131,520020</t>
  </si>
  <si>
    <t>2129,919922</t>
  </si>
  <si>
    <t>2146,870117</t>
  </si>
  <si>
    <t>2123,560059</t>
  </si>
  <si>
    <t>2139,560059</t>
  </si>
  <si>
    <t>2131,560059</t>
  </si>
  <si>
    <t>2170,100098</t>
  </si>
  <si>
    <t>2125,350098</t>
  </si>
  <si>
    <t>2163,260010</t>
  </si>
  <si>
    <t>2167,489990</t>
  </si>
  <si>
    <t>2182,300049</t>
  </si>
  <si>
    <t>2151,169922</t>
  </si>
  <si>
    <t>2167,479980</t>
  </si>
  <si>
    <t>2162,709961</t>
  </si>
  <si>
    <t>2165,919922</t>
  </si>
  <si>
    <t>2152,489990</t>
  </si>
  <si>
    <t>2164,449951</t>
  </si>
  <si>
    <t>2165,639893</t>
  </si>
  <si>
    <t>2171,360107</t>
  </si>
  <si>
    <t>2156,080078</t>
  </si>
  <si>
    <t>2164,199951</t>
  </si>
  <si>
    <t>2168,290039</t>
  </si>
  <si>
    <t>2180,840088</t>
  </si>
  <si>
    <t>2166,379883</t>
  </si>
  <si>
    <t>2180,389893</t>
  </si>
  <si>
    <t>2177,530029</t>
  </si>
  <si>
    <t>2179,219971</t>
  </si>
  <si>
    <t>2172,199951</t>
  </si>
  <si>
    <t>2176,939941</t>
  </si>
  <si>
    <t>2188,060059</t>
  </si>
  <si>
    <t>2176,649902</t>
  </si>
  <si>
    <t>2187,120117</t>
  </si>
  <si>
    <t>2186,850098</t>
  </si>
  <si>
    <t>2189,889893</t>
  </si>
  <si>
    <t>2186,429932</t>
  </si>
  <si>
    <t>2198,699951</t>
  </si>
  <si>
    <t>2198,179932</t>
  </si>
  <si>
    <t>2201,560059</t>
  </si>
  <si>
    <t>2204,800049</t>
  </si>
  <si>
    <t>2194,510010</t>
  </si>
  <si>
    <t>2202,939941</t>
  </si>
  <si>
    <t>2198,550049</t>
  </si>
  <si>
    <t>2204,719971</t>
  </si>
  <si>
    <t>2206,270020</t>
  </si>
  <si>
    <t>2213,350098</t>
  </si>
  <si>
    <t>2210,209961</t>
  </si>
  <si>
    <t>2211,139893</t>
  </si>
  <si>
    <t>2200,360107</t>
  </si>
  <si>
    <t>2201,719971</t>
  </si>
  <si>
    <t>2200,760010</t>
  </si>
  <si>
    <t>2210,459961</t>
  </si>
  <si>
    <t>2198,149902</t>
  </si>
  <si>
    <t>2204,659912</t>
  </si>
  <si>
    <t>2204,969971</t>
  </si>
  <si>
    <t>2214,100098</t>
  </si>
  <si>
    <t>2198,810059</t>
  </si>
  <si>
    <t>2200,169922</t>
  </si>
  <si>
    <t>2202,600098</t>
  </si>
  <si>
    <t>2187,439941</t>
  </si>
  <si>
    <t>2191,080078</t>
  </si>
  <si>
    <t>2191,120117</t>
  </si>
  <si>
    <t>2197,949951</t>
  </si>
  <si>
    <t>2188,370117</t>
  </si>
  <si>
    <t>2191,949951</t>
  </si>
  <si>
    <t>2200,649902</t>
  </si>
  <si>
    <t>2209,419922</t>
  </si>
  <si>
    <t>2199,969971</t>
  </si>
  <si>
    <t>2204,709961</t>
  </si>
  <si>
    <t>2207,260010</t>
  </si>
  <si>
    <t>2212,780029</t>
  </si>
  <si>
    <t>2202,209961</t>
  </si>
  <si>
    <t>2212,229980</t>
  </si>
  <si>
    <t>2210,719971</t>
  </si>
  <si>
    <t>2241,629883</t>
  </si>
  <si>
    <t>2208,929932</t>
  </si>
  <si>
    <t>2241,350098</t>
  </si>
  <si>
    <t>2241,129883</t>
  </si>
  <si>
    <t>2251,689941</t>
  </si>
  <si>
    <t>2237,570068</t>
  </si>
  <si>
    <t>2246,189941</t>
  </si>
  <si>
    <t>2249,729980</t>
  </si>
  <si>
    <t>2259,800049</t>
  </si>
  <si>
    <t>2249,229980</t>
  </si>
  <si>
    <t>2259,530029</t>
  </si>
  <si>
    <t>2258,830078</t>
  </si>
  <si>
    <t>2264,030029</t>
  </si>
  <si>
    <t>2252,370117</t>
  </si>
  <si>
    <t>2256,959961</t>
  </si>
  <si>
    <t>2263,320068</t>
  </si>
  <si>
    <t>2277,530029</t>
  </si>
  <si>
    <t>2271,719971</t>
  </si>
  <si>
    <t>2268,350098</t>
  </si>
  <si>
    <t>2276,199951</t>
  </si>
  <si>
    <t>2248,439941</t>
  </si>
  <si>
    <t>2253,280029</t>
  </si>
  <si>
    <t>2253,770020</t>
  </si>
  <si>
    <t>2272,120117</t>
  </si>
  <si>
    <t>2262,030029</t>
  </si>
  <si>
    <t>2266,810059</t>
  </si>
  <si>
    <t>2268,050049</t>
  </si>
  <si>
    <t>2254,239990</t>
  </si>
  <si>
    <t>2258,070068</t>
  </si>
  <si>
    <t>2259,239990</t>
  </si>
  <si>
    <t>2267,469971</t>
  </si>
  <si>
    <t>2258,209961</t>
  </si>
  <si>
    <t>2262,530029</t>
  </si>
  <si>
    <t>2266,500000</t>
  </si>
  <si>
    <t>2272,560059</t>
  </si>
  <si>
    <t>2266,139893</t>
  </si>
  <si>
    <t>2270,760010</t>
  </si>
  <si>
    <t>2270,540039</t>
  </si>
  <si>
    <t>2271,229980</t>
  </si>
  <si>
    <t>2265,149902</t>
  </si>
  <si>
    <t>2265,179932</t>
  </si>
  <si>
    <t>2262,929932</t>
  </si>
  <si>
    <t>2263,179932</t>
  </si>
  <si>
    <t>2256,080078</t>
  </si>
  <si>
    <t>2260,959961</t>
  </si>
  <si>
    <t>2260,250000</t>
  </si>
  <si>
    <t>2263,790039</t>
  </si>
  <si>
    <t>2258,840088</t>
  </si>
  <si>
    <t>2266,229980</t>
  </si>
  <si>
    <t>2273,820068</t>
  </si>
  <si>
    <t>2266,149902</t>
  </si>
  <si>
    <t>2268,879883</t>
  </si>
  <si>
    <t>2270,229980</t>
  </si>
  <si>
    <t>2271,310059</t>
  </si>
  <si>
    <t>2249,110107</t>
  </si>
  <si>
    <t>2249,919922</t>
  </si>
  <si>
    <t>2249,500000</t>
  </si>
  <si>
    <t>2254,510010</t>
  </si>
  <si>
    <t>2244,560059</t>
  </si>
  <si>
    <t>2249,260010</t>
  </si>
  <si>
    <t>2251,610107</t>
  </si>
  <si>
    <t>2253,580078</t>
  </si>
  <si>
    <t>2233,620117</t>
  </si>
  <si>
    <t>2238,830078</t>
  </si>
  <si>
    <t>2251,570068</t>
  </si>
  <si>
    <t>2263,879883</t>
  </si>
  <si>
    <t>2245,129883</t>
  </si>
  <si>
    <t>2257,830078</t>
  </si>
  <si>
    <t>2261,600098</t>
  </si>
  <si>
    <t>2272,820068</t>
  </si>
  <si>
    <t>2270,750000</t>
  </si>
  <si>
    <t>2268,179932</t>
  </si>
  <si>
    <t>2271,500000</t>
  </si>
  <si>
    <t>2260,449951</t>
  </si>
  <si>
    <t>2269,000000</t>
  </si>
  <si>
    <t>2271,139893</t>
  </si>
  <si>
    <t>2282,100098</t>
  </si>
  <si>
    <t>2264,060059</t>
  </si>
  <si>
    <t>2276,979980</t>
  </si>
  <si>
    <t>2273,590088</t>
  </si>
  <si>
    <t>2275,489990</t>
  </si>
  <si>
    <t>2268,899902</t>
  </si>
  <si>
    <t>2269,719971</t>
  </si>
  <si>
    <t>2279,270020</t>
  </si>
  <si>
    <t>2265,270020</t>
  </si>
  <si>
    <t>2268,600098</t>
  </si>
  <si>
    <t>2275,320068</t>
  </si>
  <si>
    <t>2260,830078</t>
  </si>
  <si>
    <t>2271,780029</t>
  </si>
  <si>
    <t>2254,250000</t>
  </si>
  <si>
    <t>2270,439941</t>
  </si>
  <si>
    <t>2272,739990</t>
  </si>
  <si>
    <t>2278,679932</t>
  </si>
  <si>
    <t>2271,510010</t>
  </si>
  <si>
    <t>2274,639893</t>
  </si>
  <si>
    <t>2269,139893</t>
  </si>
  <si>
    <t>2272,080078</t>
  </si>
  <si>
    <t>2262,810059</t>
  </si>
  <si>
    <t>2267,889893</t>
  </si>
  <si>
    <t>2272,010010</t>
  </si>
  <si>
    <t>2263,350098</t>
  </si>
  <si>
    <t>2271,889893</t>
  </si>
  <si>
    <t>2271,899902</t>
  </si>
  <si>
    <t>2274,330078</t>
  </si>
  <si>
    <t>2258,409912</t>
  </si>
  <si>
    <t>2263,689941</t>
  </si>
  <si>
    <t>2269,959961</t>
  </si>
  <si>
    <t>2276,959961</t>
  </si>
  <si>
    <t>2265,010010</t>
  </si>
  <si>
    <t>2267,780029</t>
  </si>
  <si>
    <t>2257,020020</t>
  </si>
  <si>
    <t>2265,199951</t>
  </si>
  <si>
    <t>2267,879883</t>
  </si>
  <si>
    <t>2284,629883</t>
  </si>
  <si>
    <t>2266,679932</t>
  </si>
  <si>
    <t>2280,070068</t>
  </si>
  <si>
    <t>2288,879883</t>
  </si>
  <si>
    <t>2299,550049</t>
  </si>
  <si>
    <t>2298,370117</t>
  </si>
  <si>
    <t>2298,629883</t>
  </si>
  <si>
    <t>2300,989990</t>
  </si>
  <si>
    <t>2294,080078</t>
  </si>
  <si>
    <t>2296,679932</t>
  </si>
  <si>
    <t>2299,020020</t>
  </si>
  <si>
    <t>2291,620117</t>
  </si>
  <si>
    <t>2294,689941</t>
  </si>
  <si>
    <t>2286,010010</t>
  </si>
  <si>
    <t>2268,040039</t>
  </si>
  <si>
    <t>2280,899902</t>
  </si>
  <si>
    <t>2274,020020</t>
  </si>
  <si>
    <t>2279,090088</t>
  </si>
  <si>
    <t>2267,209961</t>
  </si>
  <si>
    <t>2278,870117</t>
  </si>
  <si>
    <t>2285,590088</t>
  </si>
  <si>
    <t>2289,139893</t>
  </si>
  <si>
    <t>2272,439941</t>
  </si>
  <si>
    <t>2279,550049</t>
  </si>
  <si>
    <t>2276,689941</t>
  </si>
  <si>
    <t>2283,969971</t>
  </si>
  <si>
    <t>2271,649902</t>
  </si>
  <si>
    <t>2280,850098</t>
  </si>
  <si>
    <t>2288,540039</t>
  </si>
  <si>
    <t>2298,310059</t>
  </si>
  <si>
    <t>2287,879883</t>
  </si>
  <si>
    <t>2297,419922</t>
  </si>
  <si>
    <t>2294,280029</t>
  </si>
  <si>
    <t>2296,179932</t>
  </si>
  <si>
    <t>2288,570068</t>
  </si>
  <si>
    <t>2292,560059</t>
  </si>
  <si>
    <t>2295,870117</t>
  </si>
  <si>
    <t>2299,399902</t>
  </si>
  <si>
    <t>2290,159912</t>
  </si>
  <si>
    <t>2293,080078</t>
  </si>
  <si>
    <t>2289,550049</t>
  </si>
  <si>
    <t>2295,909912</t>
  </si>
  <si>
    <t>2285,379883</t>
  </si>
  <si>
    <t>2294,669922</t>
  </si>
  <si>
    <t>2296,699951</t>
  </si>
  <si>
    <t>2311,080078</t>
  </si>
  <si>
    <t>2296,610107</t>
  </si>
  <si>
    <t>2307,870117</t>
  </si>
  <si>
    <t>2312,270020</t>
  </si>
  <si>
    <t>2319,229980</t>
  </si>
  <si>
    <t>2311,100098</t>
  </si>
  <si>
    <t>2316,100098</t>
  </si>
  <si>
    <t>2321,719971</t>
  </si>
  <si>
    <t>2331,580078</t>
  </si>
  <si>
    <t>2321,419922</t>
  </si>
  <si>
    <t>2328,250000</t>
  </si>
  <si>
    <t>2326,120117</t>
  </si>
  <si>
    <t>2337,580078</t>
  </si>
  <si>
    <t>2322,169922</t>
  </si>
  <si>
    <t>2335,580078</t>
  </si>
  <si>
    <t>2351,300049</t>
  </si>
  <si>
    <t>2334,810059</t>
  </si>
  <si>
    <t>2349,250000</t>
  </si>
  <si>
    <t>2349,639893</t>
  </si>
  <si>
    <t>2351,310059</t>
  </si>
  <si>
    <t>2338,870117</t>
  </si>
  <si>
    <t>2347,219971</t>
  </si>
  <si>
    <t>2343,010010</t>
  </si>
  <si>
    <t>2351,159912</t>
  </si>
  <si>
    <t>2339,580078</t>
  </si>
  <si>
    <t>2354,909912</t>
  </si>
  <si>
    <t>2366,709961</t>
  </si>
  <si>
    <t>2365,379883</t>
  </si>
  <si>
    <t>2361,110107</t>
  </si>
  <si>
    <t>2365,129883</t>
  </si>
  <si>
    <t>2358,340088</t>
  </si>
  <si>
    <t>2362,820068</t>
  </si>
  <si>
    <t>2367,500000</t>
  </si>
  <si>
    <t>2368,260010</t>
  </si>
  <si>
    <t>2355,090088</t>
  </si>
  <si>
    <t>2363,810059</t>
  </si>
  <si>
    <t>2355,729980</t>
  </si>
  <si>
    <t>2367,340088</t>
  </si>
  <si>
    <t>2352,870117</t>
  </si>
  <si>
    <t>2365,229980</t>
  </si>
  <si>
    <t>2371,540039</t>
  </si>
  <si>
    <t>2361,870117</t>
  </si>
  <si>
    <t>2369,750000</t>
  </si>
  <si>
    <t>2366,080078</t>
  </si>
  <si>
    <t>2367,790039</t>
  </si>
  <si>
    <t>2358,959961</t>
  </si>
  <si>
    <t>2363,639893</t>
  </si>
  <si>
    <t>2380,129883</t>
  </si>
  <si>
    <t>2400,979980</t>
  </si>
  <si>
    <t>2395,959961</t>
  </si>
  <si>
    <t>2394,750000</t>
  </si>
  <si>
    <t>2380,169922</t>
  </si>
  <si>
    <t>2381,919922</t>
  </si>
  <si>
    <t>2380,919922</t>
  </si>
  <si>
    <t>2383,889893</t>
  </si>
  <si>
    <t>2375,389893</t>
  </si>
  <si>
    <t>2383,120117</t>
  </si>
  <si>
    <t>2375,229980</t>
  </si>
  <si>
    <t>2378,800049</t>
  </si>
  <si>
    <t>2367,979980</t>
  </si>
  <si>
    <t>2375,310059</t>
  </si>
  <si>
    <t>2370,739990</t>
  </si>
  <si>
    <t>2375,120117</t>
  </si>
  <si>
    <t>2365,510010</t>
  </si>
  <si>
    <t>2368,389893</t>
  </si>
  <si>
    <t>2369,810059</t>
  </si>
  <si>
    <t>2373,090088</t>
  </si>
  <si>
    <t>2361,010010</t>
  </si>
  <si>
    <t>2362,979980</t>
  </si>
  <si>
    <t>2363,489990</t>
  </si>
  <si>
    <t>2369,080078</t>
  </si>
  <si>
    <t>2354,540039</t>
  </si>
  <si>
    <t>2364,870117</t>
  </si>
  <si>
    <t>2372,520020</t>
  </si>
  <si>
    <t>2376,860107</t>
  </si>
  <si>
    <t>2363,040039</t>
  </si>
  <si>
    <t>2372,600098</t>
  </si>
  <si>
    <t>2371,560059</t>
  </si>
  <si>
    <t>2374,419922</t>
  </si>
  <si>
    <t>2368,520020</t>
  </si>
  <si>
    <t>2373,469971</t>
  </si>
  <si>
    <t>2368,550049</t>
  </si>
  <si>
    <t>2358,179932</t>
  </si>
  <si>
    <t>2365,449951</t>
  </si>
  <si>
    <t>2370,340088</t>
  </si>
  <si>
    <t>2390,010010</t>
  </si>
  <si>
    <t>2368,939941</t>
  </si>
  <si>
    <t>2385,260010</t>
  </si>
  <si>
    <t>2387,709961</t>
  </si>
  <si>
    <t>2388,100098</t>
  </si>
  <si>
    <t>2377,179932</t>
  </si>
  <si>
    <t>2381,379883</t>
  </si>
  <si>
    <t>2383,709961</t>
  </si>
  <si>
    <t>2385,709961</t>
  </si>
  <si>
    <t>2377,639893</t>
  </si>
  <si>
    <t>2378,250000</t>
  </si>
  <si>
    <t>2378,239990</t>
  </si>
  <si>
    <t>2379,550049</t>
  </si>
  <si>
    <t>2369,659912</t>
  </si>
  <si>
    <t>2379,320068</t>
  </si>
  <si>
    <t>2381,929932</t>
  </si>
  <si>
    <t>2341,899902</t>
  </si>
  <si>
    <t>2344,020020</t>
  </si>
  <si>
    <t>2343,000000</t>
  </si>
  <si>
    <t>2351,810059</t>
  </si>
  <si>
    <t>2336,449951</t>
  </si>
  <si>
    <t>2348,449951</t>
  </si>
  <si>
    <t>2345,969971</t>
  </si>
  <si>
    <t>2358,919922</t>
  </si>
  <si>
    <t>2342,129883</t>
  </si>
  <si>
    <t>2345,959961</t>
  </si>
  <si>
    <t>2350,419922</t>
  </si>
  <si>
    <t>2356,219971</t>
  </si>
  <si>
    <t>2335,739990</t>
  </si>
  <si>
    <t>2343,979980</t>
  </si>
  <si>
    <t>2329,110107</t>
  </si>
  <si>
    <t>2344,899902</t>
  </si>
  <si>
    <t>2322,250000</t>
  </si>
  <si>
    <t>2341,590088</t>
  </si>
  <si>
    <t>2339,790039</t>
  </si>
  <si>
    <t>2363,780029</t>
  </si>
  <si>
    <t>2337,629883</t>
  </si>
  <si>
    <t>2358,570068</t>
  </si>
  <si>
    <t>2356,540039</t>
  </si>
  <si>
    <t>2363,360107</t>
  </si>
  <si>
    <t>2352,939941</t>
  </si>
  <si>
    <t>2361,129883</t>
  </si>
  <si>
    <t>2361,310059</t>
  </si>
  <si>
    <t>2370,419922</t>
  </si>
  <si>
    <t>2358,580078</t>
  </si>
  <si>
    <t>2368,060059</t>
  </si>
  <si>
    <t>2364,820068</t>
  </si>
  <si>
    <t>2370,350098</t>
  </si>
  <si>
    <t>2362,600098</t>
  </si>
  <si>
    <t>2362,719971</t>
  </si>
  <si>
    <t>2362,340088</t>
  </si>
  <si>
    <t>2365,870117</t>
  </si>
  <si>
    <t>2344,729980</t>
  </si>
  <si>
    <t>2358,840088</t>
  </si>
  <si>
    <t>2354,760010</t>
  </si>
  <si>
    <t>2360,530029</t>
  </si>
  <si>
    <t>2350,719971</t>
  </si>
  <si>
    <t>2360,159912</t>
  </si>
  <si>
    <t>2366,590088</t>
  </si>
  <si>
    <t>2378,360107</t>
  </si>
  <si>
    <t>2350,520020</t>
  </si>
  <si>
    <t>2352,949951</t>
  </si>
  <si>
    <t>2353,790039</t>
  </si>
  <si>
    <t>2364,159912</t>
  </si>
  <si>
    <t>2348,899902</t>
  </si>
  <si>
    <t>2357,489990</t>
  </si>
  <si>
    <t>2356,590088</t>
  </si>
  <si>
    <t>2363,760010</t>
  </si>
  <si>
    <t>2350,739990</t>
  </si>
  <si>
    <t>2355,540039</t>
  </si>
  <si>
    <t>2357,159912</t>
  </si>
  <si>
    <t>2366,370117</t>
  </si>
  <si>
    <t>2351,500000</t>
  </si>
  <si>
    <t>2353,919922</t>
  </si>
  <si>
    <t>2355,219971</t>
  </si>
  <si>
    <t>2337,250000</t>
  </si>
  <si>
    <t>2353,780029</t>
  </si>
  <si>
    <t>2352,149902</t>
  </si>
  <si>
    <t>2352,719971</t>
  </si>
  <si>
    <t>2341,179932</t>
  </si>
  <si>
    <t>2344,929932</t>
  </si>
  <si>
    <t>2341,979980</t>
  </si>
  <si>
    <t>2348,260010</t>
  </si>
  <si>
    <t>2328,949951</t>
  </si>
  <si>
    <t>2332,620117</t>
  </si>
  <si>
    <t>2349,139893</t>
  </si>
  <si>
    <t>2332,510010</t>
  </si>
  <si>
    <t>2349,010010</t>
  </si>
  <si>
    <t>2342,530029</t>
  </si>
  <si>
    <t>2348,350098</t>
  </si>
  <si>
    <t>2334,540039</t>
  </si>
  <si>
    <t>2342,189941</t>
  </si>
  <si>
    <t>2346,790039</t>
  </si>
  <si>
    <t>2352,629883</t>
  </si>
  <si>
    <t>2335,050049</t>
  </si>
  <si>
    <t>2338,169922</t>
  </si>
  <si>
    <t>2342,689941</t>
  </si>
  <si>
    <t>2361,370117</t>
  </si>
  <si>
    <t>2340,909912</t>
  </si>
  <si>
    <t>2355,840088</t>
  </si>
  <si>
    <t>2354,739990</t>
  </si>
  <si>
    <t>2356,179932</t>
  </si>
  <si>
    <t>2344,510010</t>
  </si>
  <si>
    <t>2348,689941</t>
  </si>
  <si>
    <t>2370,330078</t>
  </si>
  <si>
    <t>2376,979980</t>
  </si>
  <si>
    <t>2369,189941</t>
  </si>
  <si>
    <t>2374,149902</t>
  </si>
  <si>
    <t>2381,510010</t>
  </si>
  <si>
    <t>2392,479980</t>
  </si>
  <si>
    <t>2381,149902</t>
  </si>
  <si>
    <t>2388,610107</t>
  </si>
  <si>
    <t>2388,979980</t>
  </si>
  <si>
    <t>2398,159912</t>
  </si>
  <si>
    <t>2386,780029</t>
  </si>
  <si>
    <t>2387,449951</t>
  </si>
  <si>
    <t>2389,699951</t>
  </si>
  <si>
    <t>2392,100098</t>
  </si>
  <si>
    <t>2382,679932</t>
  </si>
  <si>
    <t>2388,770020</t>
  </si>
  <si>
    <t>2393,679932</t>
  </si>
  <si>
    <t>2382,360107</t>
  </si>
  <si>
    <t>2384,199951</t>
  </si>
  <si>
    <t>2388,500000</t>
  </si>
  <si>
    <t>2394,489990</t>
  </si>
  <si>
    <t>2384,830078</t>
  </si>
  <si>
    <t>2388,330078</t>
  </si>
  <si>
    <t>2391,050049</t>
  </si>
  <si>
    <t>2392,929932</t>
  </si>
  <si>
    <t>2385,820068</t>
  </si>
  <si>
    <t>2391,169922</t>
  </si>
  <si>
    <t>2386,500000</t>
  </si>
  <si>
    <t>2389,820068</t>
  </si>
  <si>
    <t>2379,750000</t>
  </si>
  <si>
    <t>2388,129883</t>
  </si>
  <si>
    <t>2389,790039</t>
  </si>
  <si>
    <t>2391,429932</t>
  </si>
  <si>
    <t>2380,350098</t>
  </si>
  <si>
    <t>2389,520020</t>
  </si>
  <si>
    <t>2392,370117</t>
  </si>
  <si>
    <t>2399,290039</t>
  </si>
  <si>
    <t>2389,379883</t>
  </si>
  <si>
    <t>2399,939941</t>
  </si>
  <si>
    <t>2401,360107</t>
  </si>
  <si>
    <t>2393,919922</t>
  </si>
  <si>
    <t>2399,379883</t>
  </si>
  <si>
    <t>2401,580078</t>
  </si>
  <si>
    <t>2403,870117</t>
  </si>
  <si>
    <t>2392,439941</t>
  </si>
  <si>
    <t>2396,919922</t>
  </si>
  <si>
    <t>2396,790039</t>
  </si>
  <si>
    <t>2399,739990</t>
  </si>
  <si>
    <t>2392,790039</t>
  </si>
  <si>
    <t>2399,629883</t>
  </si>
  <si>
    <t>2394,840088</t>
  </si>
  <si>
    <t>2395,719971</t>
  </si>
  <si>
    <t>2381,739990</t>
  </si>
  <si>
    <t>2394,439941</t>
  </si>
  <si>
    <t>2387,189941</t>
  </si>
  <si>
    <t>2390,899902</t>
  </si>
  <si>
    <t>2393,979980</t>
  </si>
  <si>
    <t>2404,050049</t>
  </si>
  <si>
    <t>2393,939941</t>
  </si>
  <si>
    <t>2402,320068</t>
  </si>
  <si>
    <t>2404,550049</t>
  </si>
  <si>
    <t>2405,770020</t>
  </si>
  <si>
    <t>2396,050049</t>
  </si>
  <si>
    <t>2400,669922</t>
  </si>
  <si>
    <t>2382,949951</t>
  </si>
  <si>
    <t>2384,870117</t>
  </si>
  <si>
    <t>2356,209961</t>
  </si>
  <si>
    <t>2357,030029</t>
  </si>
  <si>
    <t>2354,689941</t>
  </si>
  <si>
    <t>2375,739990</t>
  </si>
  <si>
    <t>2365,719971</t>
  </si>
  <si>
    <t>2371,370117</t>
  </si>
  <si>
    <t>2389,060059</t>
  </si>
  <si>
    <t>2370,429932</t>
  </si>
  <si>
    <t>2381,729980</t>
  </si>
  <si>
    <t>2387,209961</t>
  </si>
  <si>
    <t>2395,459961</t>
  </si>
  <si>
    <t>2386,919922</t>
  </si>
  <si>
    <t>2394,020020</t>
  </si>
  <si>
    <t>2397,040039</t>
  </si>
  <si>
    <t>2400,850098</t>
  </si>
  <si>
    <t>2393,879883</t>
  </si>
  <si>
    <t>2398,419922</t>
  </si>
  <si>
    <t>2401,409912</t>
  </si>
  <si>
    <t>2405,580078</t>
  </si>
  <si>
    <t>2397,989990</t>
  </si>
  <si>
    <t>2404,389893</t>
  </si>
  <si>
    <t>2409,540039</t>
  </si>
  <si>
    <t>2418,709961</t>
  </si>
  <si>
    <t>2408,010010</t>
  </si>
  <si>
    <t>2415,070068</t>
  </si>
  <si>
    <t>2414,500000</t>
  </si>
  <si>
    <t>2416,679932</t>
  </si>
  <si>
    <t>2412,199951</t>
  </si>
  <si>
    <t>2415,820068</t>
  </si>
  <si>
    <t>2411,669922</t>
  </si>
  <si>
    <t>2415,260010</t>
  </si>
  <si>
    <t>2409,429932</t>
  </si>
  <si>
    <t>2412,909912</t>
  </si>
  <si>
    <t>2415,629883</t>
  </si>
  <si>
    <t>2415,989990</t>
  </si>
  <si>
    <t>2403,590088</t>
  </si>
  <si>
    <t>2411,800049</t>
  </si>
  <si>
    <t>2415,649902</t>
  </si>
  <si>
    <t>2430,060059</t>
  </si>
  <si>
    <t>2413,540039</t>
  </si>
  <si>
    <t>2431,280029</t>
  </si>
  <si>
    <t>2440,229980</t>
  </si>
  <si>
    <t>2427,709961</t>
  </si>
  <si>
    <t>2439,070068</t>
  </si>
  <si>
    <t>2437,830078</t>
  </si>
  <si>
    <t>2439,550049</t>
  </si>
  <si>
    <t>2434,320068</t>
  </si>
  <si>
    <t>2436,100098</t>
  </si>
  <si>
    <t>2431,919922</t>
  </si>
  <si>
    <t>2436,209961</t>
  </si>
  <si>
    <t>2428,120117</t>
  </si>
  <si>
    <t>2429,330078</t>
  </si>
  <si>
    <t>2432,030029</t>
  </si>
  <si>
    <t>2435,280029</t>
  </si>
  <si>
    <t>2424,750000</t>
  </si>
  <si>
    <t>2433,139893</t>
  </si>
  <si>
    <t>2434,270020</t>
  </si>
  <si>
    <t>2439,270020</t>
  </si>
  <si>
    <t>2427,939941</t>
  </si>
  <si>
    <t>2433,790039</t>
  </si>
  <si>
    <t>2436,389893</t>
  </si>
  <si>
    <t>2446,199951</t>
  </si>
  <si>
    <t>2415,699951</t>
  </si>
  <si>
    <t>2431,770020</t>
  </si>
  <si>
    <t>2425,879883</t>
  </si>
  <si>
    <t>2430,379883</t>
  </si>
  <si>
    <t>2419,969971</t>
  </si>
  <si>
    <t>2429,389893</t>
  </si>
  <si>
    <t>2434,149902</t>
  </si>
  <si>
    <t>2441,489990</t>
  </si>
  <si>
    <t>2440,350098</t>
  </si>
  <si>
    <t>2443,750000</t>
  </si>
  <si>
    <t>2428,340088</t>
  </si>
  <si>
    <t>2437,919922</t>
  </si>
  <si>
    <t>2424,139893</t>
  </si>
  <si>
    <t>2433,949951</t>
  </si>
  <si>
    <t>2418,530029</t>
  </si>
  <si>
    <t>2432,459961</t>
  </si>
  <si>
    <t>2431,239990</t>
  </si>
  <si>
    <t>2433,149902</t>
  </si>
  <si>
    <t>2422,879883</t>
  </si>
  <si>
    <t>2442,550049</t>
  </si>
  <si>
    <t>2453,820068</t>
  </si>
  <si>
    <t>2441,790039</t>
  </si>
  <si>
    <t>2453,459961</t>
  </si>
  <si>
    <t>2450,659912</t>
  </si>
  <si>
    <t>2436,600098</t>
  </si>
  <si>
    <t>2437,030029</t>
  </si>
  <si>
    <t>2439,310059</t>
  </si>
  <si>
    <t>2442,229980</t>
  </si>
  <si>
    <t>2430,739990</t>
  </si>
  <si>
    <t>2435,610107</t>
  </si>
  <si>
    <t>2437,399902</t>
  </si>
  <si>
    <t>2441,620117</t>
  </si>
  <si>
    <t>2433,270020</t>
  </si>
  <si>
    <t>2434,500000</t>
  </si>
  <si>
    <t>2434,649902</t>
  </si>
  <si>
    <t>2441,399902</t>
  </si>
  <si>
    <t>2431,110107</t>
  </si>
  <si>
    <t>2438,300049</t>
  </si>
  <si>
    <t>2443,320068</t>
  </si>
  <si>
    <t>2450,419922</t>
  </si>
  <si>
    <t>2436,340088</t>
  </si>
  <si>
    <t>2440,149902</t>
  </si>
  <si>
    <t>2419,379883</t>
  </si>
  <si>
    <t>2428,699951</t>
  </si>
  <si>
    <t>2442,969971</t>
  </si>
  <si>
    <t>2428,020020</t>
  </si>
  <si>
    <t>2440,689941</t>
  </si>
  <si>
    <t>2442,379883</t>
  </si>
  <si>
    <t>2442,729980</t>
  </si>
  <si>
    <t>2405,699951</t>
  </si>
  <si>
    <t>2419,699951</t>
  </si>
  <si>
    <t>2429,199951</t>
  </si>
  <si>
    <t>2432,709961</t>
  </si>
  <si>
    <t>2421,649902</t>
  </si>
  <si>
    <t>2423,409912</t>
  </si>
  <si>
    <t>2431,389893</t>
  </si>
  <si>
    <t>2439,169922</t>
  </si>
  <si>
    <t>2428,689941</t>
  </si>
  <si>
    <t>2429,010010</t>
  </si>
  <si>
    <t>2430,780029</t>
  </si>
  <si>
    <t>2434,899902</t>
  </si>
  <si>
    <t>2422,050049</t>
  </si>
  <si>
    <t>2432,540039</t>
  </si>
  <si>
    <t>2423,439941</t>
  </si>
  <si>
    <t>2424,280029</t>
  </si>
  <si>
    <t>2407,699951</t>
  </si>
  <si>
    <t>2409,750000</t>
  </si>
  <si>
    <t>2413,520020</t>
  </si>
  <si>
    <t>2426,919922</t>
  </si>
  <si>
    <t>2425,179932</t>
  </si>
  <si>
    <t>2424,510010</t>
  </si>
  <si>
    <t>2432,000000</t>
  </si>
  <si>
    <t>2422,270020</t>
  </si>
  <si>
    <t>2427,429932</t>
  </si>
  <si>
    <t>2427,350098</t>
  </si>
  <si>
    <t>2429,300049</t>
  </si>
  <si>
    <t>2412,790039</t>
  </si>
  <si>
    <t>2425,530029</t>
  </si>
  <si>
    <t>2435,750000</t>
  </si>
  <si>
    <t>2445,760010</t>
  </si>
  <si>
    <t>2443,250000</t>
  </si>
  <si>
    <t>2444,989990</t>
  </si>
  <si>
    <t>2449,320068</t>
  </si>
  <si>
    <t>2441,689941</t>
  </si>
  <si>
    <t>2447,830078</t>
  </si>
  <si>
    <t>2449,159912</t>
  </si>
  <si>
    <t>2463,540039</t>
  </si>
  <si>
    <t>2446,689941</t>
  </si>
  <si>
    <t>2459,270020</t>
  </si>
  <si>
    <t>2459,500000</t>
  </si>
  <si>
    <t>2462,820068</t>
  </si>
  <si>
    <t>2457,159912</t>
  </si>
  <si>
    <t>2459,139893</t>
  </si>
  <si>
    <t>2455,879883</t>
  </si>
  <si>
    <t>2460,919922</t>
  </si>
  <si>
    <t>2450,340088</t>
  </si>
  <si>
    <t>2460,610107</t>
  </si>
  <si>
    <t>2463,850098</t>
  </si>
  <si>
    <t>2473,830078</t>
  </si>
  <si>
    <t>2475,560059</t>
  </si>
  <si>
    <t>2477,620117</t>
  </si>
  <si>
    <t>2468,429932</t>
  </si>
  <si>
    <t>2473,449951</t>
  </si>
  <si>
    <t>2467,399902</t>
  </si>
  <si>
    <t>2472,540039</t>
  </si>
  <si>
    <t>2465,060059</t>
  </si>
  <si>
    <t>2472,040039</t>
  </si>
  <si>
    <t>2473,100098</t>
  </si>
  <si>
    <t>2466,320068</t>
  </si>
  <si>
    <t>2469,909912</t>
  </si>
  <si>
    <t>2477,879883</t>
  </si>
  <si>
    <t>2481,239990</t>
  </si>
  <si>
    <t>2474,909912</t>
  </si>
  <si>
    <t>2477,129883</t>
  </si>
  <si>
    <t>2479,969971</t>
  </si>
  <si>
    <t>2481,689941</t>
  </si>
  <si>
    <t>2474,939941</t>
  </si>
  <si>
    <t>2477,830078</t>
  </si>
  <si>
    <t>2482,760010</t>
  </si>
  <si>
    <t>2484,040039</t>
  </si>
  <si>
    <t>2459,929932</t>
  </si>
  <si>
    <t>2475,419922</t>
  </si>
  <si>
    <t>2469,120117</t>
  </si>
  <si>
    <t>2473,530029</t>
  </si>
  <si>
    <t>2464,659912</t>
  </si>
  <si>
    <t>2472,100098</t>
  </si>
  <si>
    <t>2475,939941</t>
  </si>
  <si>
    <t>2477,959961</t>
  </si>
  <si>
    <t>2468,530029</t>
  </si>
  <si>
    <t>2470,300049</t>
  </si>
  <si>
    <t>2477,100098</t>
  </si>
  <si>
    <t>2478,510010</t>
  </si>
  <si>
    <t>2471,139893</t>
  </si>
  <si>
    <t>2476,350098</t>
  </si>
  <si>
    <t>2480,379883</t>
  </si>
  <si>
    <t>2466,479980</t>
  </si>
  <si>
    <t>2477,570068</t>
  </si>
  <si>
    <t>2476,030029</t>
  </si>
  <si>
    <t>2468,850098</t>
  </si>
  <si>
    <t>2472,159912</t>
  </si>
  <si>
    <t>2476,879883</t>
  </si>
  <si>
    <t>2480,000000</t>
  </si>
  <si>
    <t>2472,080078</t>
  </si>
  <si>
    <t>2476,830078</t>
  </si>
  <si>
    <t>2477,139893</t>
  </si>
  <si>
    <t>2480,949951</t>
  </si>
  <si>
    <t>2475,879883</t>
  </si>
  <si>
    <t>2480,909912</t>
  </si>
  <si>
    <t>2478,350098</t>
  </si>
  <si>
    <t>2490,870117</t>
  </si>
  <si>
    <t>2470,320068</t>
  </si>
  <si>
    <t>2474,919922</t>
  </si>
  <si>
    <t>2465,350098</t>
  </si>
  <si>
    <t>2474,409912</t>
  </si>
  <si>
    <t>2462,080078</t>
  </si>
  <si>
    <t>2474,020020</t>
  </si>
  <si>
    <t>2465,379883</t>
  </si>
  <si>
    <t>2437,750000</t>
  </si>
  <si>
    <t>2438,209961</t>
  </si>
  <si>
    <t>2441,040039</t>
  </si>
  <si>
    <t>2448,090088</t>
  </si>
  <si>
    <t>2437,850098</t>
  </si>
  <si>
    <t>2441,320068</t>
  </si>
  <si>
    <t>2454,959961</t>
  </si>
  <si>
    <t>2468,219971</t>
  </si>
  <si>
    <t>2465,840088</t>
  </si>
  <si>
    <t>2468,659912</t>
  </si>
  <si>
    <t>2468,899902</t>
  </si>
  <si>
    <t>2461,610107</t>
  </si>
  <si>
    <t>2464,610107</t>
  </si>
  <si>
    <t>2468,629883</t>
  </si>
  <si>
    <t>2474,929932</t>
  </si>
  <si>
    <t>2463,860107</t>
  </si>
  <si>
    <t>2468,110107</t>
  </si>
  <si>
    <t>2462,949951</t>
  </si>
  <si>
    <t>2465,020020</t>
  </si>
  <si>
    <t>2430,010010</t>
  </si>
  <si>
    <t>2427,639893</t>
  </si>
  <si>
    <t>2440,270020</t>
  </si>
  <si>
    <t>2420,689941</t>
  </si>
  <si>
    <t>2425,550049</t>
  </si>
  <si>
    <t>2425,500000</t>
  </si>
  <si>
    <t>2430,580078</t>
  </si>
  <si>
    <t>2417,350098</t>
  </si>
  <si>
    <t>2428,370117</t>
  </si>
  <si>
    <t>2433,750000</t>
  </si>
  <si>
    <t>2454,770020</t>
  </si>
  <si>
    <t>2433,669922</t>
  </si>
  <si>
    <t>2452,510010</t>
  </si>
  <si>
    <t>2444,879883</t>
  </si>
  <si>
    <t>2448,909912</t>
  </si>
  <si>
    <t>2441,419922</t>
  </si>
  <si>
    <t>2444,040039</t>
  </si>
  <si>
    <t>2447,909912</t>
  </si>
  <si>
    <t>2450,389893</t>
  </si>
  <si>
    <t>2436,189941</t>
  </si>
  <si>
    <t>2438,969971</t>
  </si>
  <si>
    <t>2444,719971</t>
  </si>
  <si>
    <t>2453,959961</t>
  </si>
  <si>
    <t>2442,219971</t>
  </si>
  <si>
    <t>2443,050049</t>
  </si>
  <si>
    <t>2447,350098</t>
  </si>
  <si>
    <t>2449,120117</t>
  </si>
  <si>
    <t>2439,030029</t>
  </si>
  <si>
    <t>2444,239990</t>
  </si>
  <si>
    <t>2431,939941</t>
  </si>
  <si>
    <t>2449,189941</t>
  </si>
  <si>
    <t>2428,199951</t>
  </si>
  <si>
    <t>2446,300049</t>
  </si>
  <si>
    <t>2446,060059</t>
  </si>
  <si>
    <t>2460,310059</t>
  </si>
  <si>
    <t>2443,770020</t>
  </si>
  <si>
    <t>2457,590088</t>
  </si>
  <si>
    <t>2462,649902</t>
  </si>
  <si>
    <t>2475,010010</t>
  </si>
  <si>
    <t>2471,649902</t>
  </si>
  <si>
    <t>2474,419922</t>
  </si>
  <si>
    <t>2473,850098</t>
  </si>
  <si>
    <t>2476,550049</t>
  </si>
  <si>
    <t>2470,350098</t>
  </si>
  <si>
    <t>2471,969971</t>
  </si>
  <si>
    <t>2446,550049</t>
  </si>
  <si>
    <t>2457,850098</t>
  </si>
  <si>
    <t>2463,830078</t>
  </si>
  <si>
    <t>2469,639893</t>
  </si>
  <si>
    <t>2459,199951</t>
  </si>
  <si>
    <t>2465,540039</t>
  </si>
  <si>
    <t>2468,060059</t>
  </si>
  <si>
    <t>2468,620117</t>
  </si>
  <si>
    <t>2460,290039</t>
  </si>
  <si>
    <t>2465,100098</t>
  </si>
  <si>
    <t>2462,250000</t>
  </si>
  <si>
    <t>2467,110107</t>
  </si>
  <si>
    <t>2459,399902</t>
  </si>
  <si>
    <t>2461,429932</t>
  </si>
  <si>
    <t>2474,520020</t>
  </si>
  <si>
    <t>2488,949951</t>
  </si>
  <si>
    <t>2488,110107</t>
  </si>
  <si>
    <t>2491,939941</t>
  </si>
  <si>
    <t>2496,770020</t>
  </si>
  <si>
    <t>2490,370117</t>
  </si>
  <si>
    <t>2496,479980</t>
  </si>
  <si>
    <t>2493,889893</t>
  </si>
  <si>
    <t>2498,370117</t>
  </si>
  <si>
    <t>2492,139893</t>
  </si>
  <si>
    <t>2494,560059</t>
  </si>
  <si>
    <t>2498,429932</t>
  </si>
  <si>
    <t>2491,350098</t>
  </si>
  <si>
    <t>2495,620117</t>
  </si>
  <si>
    <t>2495,669922</t>
  </si>
  <si>
    <t>2500,229980</t>
  </si>
  <si>
    <t>2493,159912</t>
  </si>
  <si>
    <t>2502,510010</t>
  </si>
  <si>
    <t>2508,320068</t>
  </si>
  <si>
    <t>2499,919922</t>
  </si>
  <si>
    <t>2503,870117</t>
  </si>
  <si>
    <t>2506,290039</t>
  </si>
  <si>
    <t>2507,840088</t>
  </si>
  <si>
    <t>2503,189941</t>
  </si>
  <si>
    <t>2506,649902</t>
  </si>
  <si>
    <t>2506,840088</t>
  </si>
  <si>
    <t>2508,850098</t>
  </si>
  <si>
    <t>2496,669922</t>
  </si>
  <si>
    <t>2508,239990</t>
  </si>
  <si>
    <t>2507,159912</t>
  </si>
  <si>
    <t>2499,000000</t>
  </si>
  <si>
    <t>2500,600098</t>
  </si>
  <si>
    <t>2497,260010</t>
  </si>
  <si>
    <t>2503,469971</t>
  </si>
  <si>
    <t>2496,540039</t>
  </si>
  <si>
    <t>2502,219971</t>
  </si>
  <si>
    <t>2499,389893</t>
  </si>
  <si>
    <t>2502,540039</t>
  </si>
  <si>
    <t>2488,030029</t>
  </si>
  <si>
    <t>2496,659912</t>
  </si>
  <si>
    <t>2501,040039</t>
  </si>
  <si>
    <t>2503,510010</t>
  </si>
  <si>
    <t>2495,120117</t>
  </si>
  <si>
    <t>2496,840088</t>
  </si>
  <si>
    <t>2503,300049</t>
  </si>
  <si>
    <t>2511,750000</t>
  </si>
  <si>
    <t>2495,909912</t>
  </si>
  <si>
    <t>2507,040039</t>
  </si>
  <si>
    <t>2503,409912</t>
  </si>
  <si>
    <t>2510,810059</t>
  </si>
  <si>
    <t>2502,929932</t>
  </si>
  <si>
    <t>2510,060059</t>
  </si>
  <si>
    <t>2509,959961</t>
  </si>
  <si>
    <t>2519,439941</t>
  </si>
  <si>
    <t>2507,989990</t>
  </si>
  <si>
    <t>2519,360107</t>
  </si>
  <si>
    <t>2521,199951</t>
  </si>
  <si>
    <t>2529,229980</t>
  </si>
  <si>
    <t>2520,399902</t>
  </si>
  <si>
    <t>2529,120117</t>
  </si>
  <si>
    <t>2530,340088</t>
  </si>
  <si>
    <t>2535,129883</t>
  </si>
  <si>
    <t>2528,850098</t>
  </si>
  <si>
    <t>2534,580078</t>
  </si>
  <si>
    <t>2533,479980</t>
  </si>
  <si>
    <t>2540,530029</t>
  </si>
  <si>
    <t>2531,800049</t>
  </si>
  <si>
    <t>2537,739990</t>
  </si>
  <si>
    <t>2540,860107</t>
  </si>
  <si>
    <t>2552,510010</t>
  </si>
  <si>
    <t>2540,020020</t>
  </si>
  <si>
    <t>2552,070068</t>
  </si>
  <si>
    <t>2547,439941</t>
  </si>
  <si>
    <t>2549,409912</t>
  </si>
  <si>
    <t>2543,790039</t>
  </si>
  <si>
    <t>2549,330078</t>
  </si>
  <si>
    <t>2551,389893</t>
  </si>
  <si>
    <t>2551,820068</t>
  </si>
  <si>
    <t>2541,600098</t>
  </si>
  <si>
    <t>2544,729980</t>
  </si>
  <si>
    <t>2549,989990</t>
  </si>
  <si>
    <t>2555,229980</t>
  </si>
  <si>
    <t>2544,860107</t>
  </si>
  <si>
    <t>2550,639893</t>
  </si>
  <si>
    <t>2550,620117</t>
  </si>
  <si>
    <t>2555,239990</t>
  </si>
  <si>
    <t>2547,949951</t>
  </si>
  <si>
    <t>2552,879883</t>
  </si>
  <si>
    <t>2555,330078</t>
  </si>
  <si>
    <t>2548,310059</t>
  </si>
  <si>
    <t>2550,929932</t>
  </si>
  <si>
    <t>2555,659912</t>
  </si>
  <si>
    <t>2557,649902</t>
  </si>
  <si>
    <t>2552,090088</t>
  </si>
  <si>
    <t>2553,169922</t>
  </si>
  <si>
    <t>2555,570068</t>
  </si>
  <si>
    <t>2559,469971</t>
  </si>
  <si>
    <t>2552,639893</t>
  </si>
  <si>
    <t>2557,639893</t>
  </si>
  <si>
    <t>2557,169922</t>
  </si>
  <si>
    <t>2559,709961</t>
  </si>
  <si>
    <t>2554,689941</t>
  </si>
  <si>
    <t>2559,360107</t>
  </si>
  <si>
    <t>2562,870117</t>
  </si>
  <si>
    <t>2564,110107</t>
  </si>
  <si>
    <t>2559,669922</t>
  </si>
  <si>
    <t>2561,260010</t>
  </si>
  <si>
    <t>2553,389893</t>
  </si>
  <si>
    <t>2562,360107</t>
  </si>
  <si>
    <t>2547,919922</t>
  </si>
  <si>
    <t>2562,100098</t>
  </si>
  <si>
    <t>2567,560059</t>
  </si>
  <si>
    <t>2575,439941</t>
  </si>
  <si>
    <t>2575,209961</t>
  </si>
  <si>
    <t>2578,080078</t>
  </si>
  <si>
    <t>2578,290039</t>
  </si>
  <si>
    <t>2564,330078</t>
  </si>
  <si>
    <t>2564,979980</t>
  </si>
  <si>
    <t>2568,659912</t>
  </si>
  <si>
    <t>2572,179932</t>
  </si>
  <si>
    <t>2565,580078</t>
  </si>
  <si>
    <t>2569,129883</t>
  </si>
  <si>
    <t>2566,520020</t>
  </si>
  <si>
    <t>2567,399902</t>
  </si>
  <si>
    <t>2544,000000</t>
  </si>
  <si>
    <t>2557,149902</t>
  </si>
  <si>
    <t>2560,080078</t>
  </si>
  <si>
    <t>2567,070068</t>
  </si>
  <si>
    <t>2559,800049</t>
  </si>
  <si>
    <t>2560,399902</t>
  </si>
  <si>
    <t>2570,260010</t>
  </si>
  <si>
    <t>2582,979980</t>
  </si>
  <si>
    <t>2565,939941</t>
  </si>
  <si>
    <t>2581,070068</t>
  </si>
  <si>
    <t>2577,750000</t>
  </si>
  <si>
    <t>2580,030029</t>
  </si>
  <si>
    <t>2568,250000</t>
  </si>
  <si>
    <t>2572,830078</t>
  </si>
  <si>
    <t>2575,989990</t>
  </si>
  <si>
    <t>2572,149902</t>
  </si>
  <si>
    <t>2575,260010</t>
  </si>
  <si>
    <t>2583,209961</t>
  </si>
  <si>
    <t>2588,399902</t>
  </si>
  <si>
    <t>2574,919922</t>
  </si>
  <si>
    <t>2579,360107</t>
  </si>
  <si>
    <t>2579,459961</t>
  </si>
  <si>
    <t>2581,110107</t>
  </si>
  <si>
    <t>2566,169922</t>
  </si>
  <si>
    <t>2579,850098</t>
  </si>
  <si>
    <t>2581,929932</t>
  </si>
  <si>
    <t>2588,419922</t>
  </si>
  <si>
    <t>2576,770020</t>
  </si>
  <si>
    <t>2587,840088</t>
  </si>
  <si>
    <t>2587,469971</t>
  </si>
  <si>
    <t>2593,379883</t>
  </si>
  <si>
    <t>2585,659912</t>
  </si>
  <si>
    <t>2591,129883</t>
  </si>
  <si>
    <t>2592,110107</t>
  </si>
  <si>
    <t>2597,020020</t>
  </si>
  <si>
    <t>2584,350098</t>
  </si>
  <si>
    <t>2590,639893</t>
  </si>
  <si>
    <t>2588,709961</t>
  </si>
  <si>
    <t>2595,469971</t>
  </si>
  <si>
    <t>2585,020020</t>
  </si>
  <si>
    <t>2594,379883</t>
  </si>
  <si>
    <t>2584,000000</t>
  </si>
  <si>
    <t>2586,500000</t>
  </si>
  <si>
    <t>2566,330078</t>
  </si>
  <si>
    <t>2584,620117</t>
  </si>
  <si>
    <t>2580,179932</t>
  </si>
  <si>
    <t>2583,810059</t>
  </si>
  <si>
    <t>2575,570068</t>
  </si>
  <si>
    <t>2582,300049</t>
  </si>
  <si>
    <t>2576,530029</t>
  </si>
  <si>
    <t>2587,659912</t>
  </si>
  <si>
    <t>2574,479980</t>
  </si>
  <si>
    <t>2584,840088</t>
  </si>
  <si>
    <t>2579,659912</t>
  </si>
  <si>
    <t>2566,560059</t>
  </si>
  <si>
    <t>2578,870117</t>
  </si>
  <si>
    <t>2569,449951</t>
  </si>
  <si>
    <t>2572,840088</t>
  </si>
  <si>
    <t>2557,449951</t>
  </si>
  <si>
    <t>2564,620117</t>
  </si>
  <si>
    <t>2572,949951</t>
  </si>
  <si>
    <t>2590,090088</t>
  </si>
  <si>
    <t>2585,639893</t>
  </si>
  <si>
    <t>2582,939941</t>
  </si>
  <si>
    <t>2583,959961</t>
  </si>
  <si>
    <t>2577,620117</t>
  </si>
  <si>
    <t>2578,850098</t>
  </si>
  <si>
    <t>2579,489990</t>
  </si>
  <si>
    <t>2584,639893</t>
  </si>
  <si>
    <t>2578,239990</t>
  </si>
  <si>
    <t>2582,139893</t>
  </si>
  <si>
    <t>2589,169922</t>
  </si>
  <si>
    <t>2601,189941</t>
  </si>
  <si>
    <t>2599,030029</t>
  </si>
  <si>
    <t>2600,310059</t>
  </si>
  <si>
    <t>2600,939941</t>
  </si>
  <si>
    <t>2595,229980</t>
  </si>
  <si>
    <t>2597,080078</t>
  </si>
  <si>
    <t>2600,419922</t>
  </si>
  <si>
    <t>2604,209961</t>
  </si>
  <si>
    <t>2602,419922</t>
  </si>
  <si>
    <t>2602,659912</t>
  </si>
  <si>
    <t>2606,409912</t>
  </si>
  <si>
    <t>2598,870117</t>
  </si>
  <si>
    <t>2601,419922</t>
  </si>
  <si>
    <t>2605,939941</t>
  </si>
  <si>
    <t>2627,689941</t>
  </si>
  <si>
    <t>2605,439941</t>
  </si>
  <si>
    <t>2627,040039</t>
  </si>
  <si>
    <t>2627,820068</t>
  </si>
  <si>
    <t>2634,889893</t>
  </si>
  <si>
    <t>2620,320068</t>
  </si>
  <si>
    <t>2626,070068</t>
  </si>
  <si>
    <t>2633,929932</t>
  </si>
  <si>
    <t>2657,739990</t>
  </si>
  <si>
    <t>2647,580078</t>
  </si>
  <si>
    <t>2645,100098</t>
  </si>
  <si>
    <t>2650,620117</t>
  </si>
  <si>
    <t>2605,520020</t>
  </si>
  <si>
    <t>2642,219971</t>
  </si>
  <si>
    <t>2657,189941</t>
  </si>
  <si>
    <t>2665,189941</t>
  </si>
  <si>
    <t>2639,030029</t>
  </si>
  <si>
    <t>2639,439941</t>
  </si>
  <si>
    <t>2639,780029</t>
  </si>
  <si>
    <t>2648,719971</t>
  </si>
  <si>
    <t>2627,729980</t>
  </si>
  <si>
    <t>2629,570068</t>
  </si>
  <si>
    <t>2626,239990</t>
  </si>
  <si>
    <t>2634,409912</t>
  </si>
  <si>
    <t>2624,750000</t>
  </si>
  <si>
    <t>2629,270020</t>
  </si>
  <si>
    <t>2628,379883</t>
  </si>
  <si>
    <t>2640,989990</t>
  </si>
  <si>
    <t>2626,530029</t>
  </si>
  <si>
    <t>2636,979980</t>
  </si>
  <si>
    <t>2646,209961</t>
  </si>
  <si>
    <t>2651,649902</t>
  </si>
  <si>
    <t>2644,100098</t>
  </si>
  <si>
    <t>2651,500000</t>
  </si>
  <si>
    <t>2652,189941</t>
  </si>
  <si>
    <t>2660,330078</t>
  </si>
  <si>
    <t>2651,469971</t>
  </si>
  <si>
    <t>2659,989990</t>
  </si>
  <si>
    <t>2661,729980</t>
  </si>
  <si>
    <t>2669,719971</t>
  </si>
  <si>
    <t>2659,780029</t>
  </si>
  <si>
    <t>2664,110107</t>
  </si>
  <si>
    <t>2667,590088</t>
  </si>
  <si>
    <t>2671,879883</t>
  </si>
  <si>
    <t>2662,850098</t>
  </si>
  <si>
    <t>2665,870117</t>
  </si>
  <si>
    <t>2668,090088</t>
  </si>
  <si>
    <t>2652,010010</t>
  </si>
  <si>
    <t>2660,629883</t>
  </si>
  <si>
    <t>2679,629883</t>
  </si>
  <si>
    <t>2659,139893</t>
  </si>
  <si>
    <t>2675,810059</t>
  </si>
  <si>
    <t>2685,919922</t>
  </si>
  <si>
    <t>2694,969971</t>
  </si>
  <si>
    <t>2690,159912</t>
  </si>
  <si>
    <t>2692,709961</t>
  </si>
  <si>
    <t>2694,439941</t>
  </si>
  <si>
    <t>2680,739990</t>
  </si>
  <si>
    <t>2681,469971</t>
  </si>
  <si>
    <t>2688,179932</t>
  </si>
  <si>
    <t>2691,010010</t>
  </si>
  <si>
    <t>2676,110107</t>
  </si>
  <si>
    <t>2679,250000</t>
  </si>
  <si>
    <t>2683,020020</t>
  </si>
  <si>
    <t>2692,639893</t>
  </si>
  <si>
    <t>2682,399902</t>
  </si>
  <si>
    <t>2684,570068</t>
  </si>
  <si>
    <t>2684,219971</t>
  </si>
  <si>
    <t>2685,350098</t>
  </si>
  <si>
    <t>2678,129883</t>
  </si>
  <si>
    <t>2683,340088</t>
  </si>
  <si>
    <t>2679,090088</t>
  </si>
  <si>
    <t>2682,739990</t>
  </si>
  <si>
    <t>2677,959961</t>
  </si>
  <si>
    <t>2680,500000</t>
  </si>
  <si>
    <t>2682,100098</t>
  </si>
  <si>
    <t>2685,639893</t>
  </si>
  <si>
    <t>2678,909912</t>
  </si>
  <si>
    <t>2682,620117</t>
  </si>
  <si>
    <t>2686,100098</t>
  </si>
  <si>
    <t>2687,659912</t>
  </si>
  <si>
    <t>2682,689941</t>
  </si>
  <si>
    <t>2687,540039</t>
  </si>
  <si>
    <t>2689,149902</t>
  </si>
  <si>
    <t>2692,120117</t>
  </si>
  <si>
    <t>2673,610107</t>
  </si>
  <si>
    <t>2683,729980</t>
  </si>
  <si>
    <t>2695,889893</t>
  </si>
  <si>
    <t>2682,360107</t>
  </si>
  <si>
    <t>2695,810059</t>
  </si>
  <si>
    <t>2697,850098</t>
  </si>
  <si>
    <t>2714,370117</t>
  </si>
  <si>
    <t>2697,770020</t>
  </si>
  <si>
    <t>2713,060059</t>
  </si>
  <si>
    <t>2719,310059</t>
  </si>
  <si>
    <t>2729,290039</t>
  </si>
  <si>
    <t>2719,070068</t>
  </si>
  <si>
    <t>2723,989990</t>
  </si>
  <si>
    <t>2731,330078</t>
  </si>
  <si>
    <t>2743,449951</t>
  </si>
  <si>
    <t>2727,919922</t>
  </si>
  <si>
    <t>2743,149902</t>
  </si>
  <si>
    <t>2742,669922</t>
  </si>
  <si>
    <t>2748,510010</t>
  </si>
  <si>
    <t>2737,600098</t>
  </si>
  <si>
    <t>2747,709961</t>
  </si>
  <si>
    <t>2751,149902</t>
  </si>
  <si>
    <t>2759,139893</t>
  </si>
  <si>
    <t>2747,860107</t>
  </si>
  <si>
    <t>2751,290039</t>
  </si>
  <si>
    <t>2745,550049</t>
  </si>
  <si>
    <t>2750,800049</t>
  </si>
  <si>
    <t>2736,060059</t>
  </si>
  <si>
    <t>2748,229980</t>
  </si>
  <si>
    <t>2752,969971</t>
  </si>
  <si>
    <t>2767,560059</t>
  </si>
  <si>
    <t>2752,780029</t>
  </si>
  <si>
    <t>2770,179932</t>
  </si>
  <si>
    <t>2787,850098</t>
  </si>
  <si>
    <t>2769,639893</t>
  </si>
  <si>
    <t>2786,239990</t>
  </si>
  <si>
    <t>2798,959961</t>
  </si>
  <si>
    <t>2807,540039</t>
  </si>
  <si>
    <t>2768,639893</t>
  </si>
  <si>
    <t>2776,419922</t>
  </si>
  <si>
    <t>2784,989990</t>
  </si>
  <si>
    <t>2807,040039</t>
  </si>
  <si>
    <t>2778,379883</t>
  </si>
  <si>
    <t>2802,560059</t>
  </si>
  <si>
    <t>2802,399902</t>
  </si>
  <si>
    <t>2805,830078</t>
  </si>
  <si>
    <t>2792,560059</t>
  </si>
  <si>
    <t>2798,030029</t>
  </si>
  <si>
    <t>2802,600098</t>
  </si>
  <si>
    <t>2810,330078</t>
  </si>
  <si>
    <t>2798,080078</t>
  </si>
  <si>
    <t>2810,300049</t>
  </si>
  <si>
    <t>2809,159912</t>
  </si>
  <si>
    <t>2833,030029</t>
  </si>
  <si>
    <t>2808,120117</t>
  </si>
  <si>
    <t>2832,969971</t>
  </si>
  <si>
    <t>2835,050049</t>
  </si>
  <si>
    <t>2842,239990</t>
  </si>
  <si>
    <t>2830,590088</t>
  </si>
  <si>
    <t>2839,129883</t>
  </si>
  <si>
    <t>2845,419922</t>
  </si>
  <si>
    <t>2852,969971</t>
  </si>
  <si>
    <t>2824,810059</t>
  </si>
  <si>
    <t>2837,540039</t>
  </si>
  <si>
    <t>2846,239990</t>
  </si>
  <si>
    <t>2848,560059</t>
  </si>
  <si>
    <t>2830,939941</t>
  </si>
  <si>
    <t>2839,250000</t>
  </si>
  <si>
    <t>2847,479980</t>
  </si>
  <si>
    <t>2872,870117</t>
  </si>
  <si>
    <t>2846,179932</t>
  </si>
  <si>
    <t>2867,229980</t>
  </si>
  <si>
    <t>2870,620117</t>
  </si>
  <si>
    <t>2851,479980</t>
  </si>
  <si>
    <t>2853,530029</t>
  </si>
  <si>
    <t>2832,739990</t>
  </si>
  <si>
    <t>2837,750000</t>
  </si>
  <si>
    <t>2818,270020</t>
  </si>
  <si>
    <t>2822,429932</t>
  </si>
  <si>
    <t>2832,409912</t>
  </si>
  <si>
    <t>2839,260010</t>
  </si>
  <si>
    <t>2813,040039</t>
  </si>
  <si>
    <t>2823,810059</t>
  </si>
  <si>
    <t>2816,449951</t>
  </si>
  <si>
    <t>2835,959961</t>
  </si>
  <si>
    <t>2812,699951</t>
  </si>
  <si>
    <t>2821,979980</t>
  </si>
  <si>
    <t>2808,919922</t>
  </si>
  <si>
    <t>2759,969971</t>
  </si>
  <si>
    <t>2762,129883</t>
  </si>
  <si>
    <t>2741,060059</t>
  </si>
  <si>
    <t>2763,389893</t>
  </si>
  <si>
    <t>2638,169922</t>
  </si>
  <si>
    <t>2648,939941</t>
  </si>
  <si>
    <t>2614,780029</t>
  </si>
  <si>
    <t>2701,040039</t>
  </si>
  <si>
    <t>2593,070068</t>
  </si>
  <si>
    <t>2695,139893</t>
  </si>
  <si>
    <t>2690,949951</t>
  </si>
  <si>
    <t>2727,669922</t>
  </si>
  <si>
    <t>2681,330078</t>
  </si>
  <si>
    <t>2681,659912</t>
  </si>
  <si>
    <t>2685,010010</t>
  </si>
  <si>
    <t>2685,270020</t>
  </si>
  <si>
    <t>2580,560059</t>
  </si>
  <si>
    <t>2581,000000</t>
  </si>
  <si>
    <t>2601,780029</t>
  </si>
  <si>
    <t>2638,669922</t>
  </si>
  <si>
    <t>2532,689941</t>
  </si>
  <si>
    <t>2619,550049</t>
  </si>
  <si>
    <t>2636,750000</t>
  </si>
  <si>
    <t>2672,610107</t>
  </si>
  <si>
    <t>2622,449951</t>
  </si>
  <si>
    <t>2656,000000</t>
  </si>
  <si>
    <t>2646,270020</t>
  </si>
  <si>
    <t>2668,840088</t>
  </si>
  <si>
    <t>2637,080078</t>
  </si>
  <si>
    <t>2662,939941</t>
  </si>
  <si>
    <t>2651,209961</t>
  </si>
  <si>
    <t>2702,100098</t>
  </si>
  <si>
    <t>2648,870117</t>
  </si>
  <si>
    <t>2698,629883</t>
  </si>
  <si>
    <t>2713,459961</t>
  </si>
  <si>
    <t>2731,510010</t>
  </si>
  <si>
    <t>2689,820068</t>
  </si>
  <si>
    <t>2731,199951</t>
  </si>
  <si>
    <t>2727,139893</t>
  </si>
  <si>
    <t>2754,419922</t>
  </si>
  <si>
    <t>2725,110107</t>
  </si>
  <si>
    <t>2732,219971</t>
  </si>
  <si>
    <t>2722,989990</t>
  </si>
  <si>
    <t>2706,760010</t>
  </si>
  <si>
    <t>2716,260010</t>
  </si>
  <si>
    <t>2720,530029</t>
  </si>
  <si>
    <t>2747,750000</t>
  </si>
  <si>
    <t>2701,290039</t>
  </si>
  <si>
    <t>2701,330078</t>
  </si>
  <si>
    <t>2710,419922</t>
  </si>
  <si>
    <t>2731,260010</t>
  </si>
  <si>
    <t>2703,959961</t>
  </si>
  <si>
    <t>2715,800049</t>
  </si>
  <si>
    <t>2747,760010</t>
  </si>
  <si>
    <t>2713,739990</t>
  </si>
  <si>
    <t>2747,300049</t>
  </si>
  <si>
    <t>2757,370117</t>
  </si>
  <si>
    <t>2780,639893</t>
  </si>
  <si>
    <t>2753,780029</t>
  </si>
  <si>
    <t>2779,600098</t>
  </si>
  <si>
    <t>2780,449951</t>
  </si>
  <si>
    <t>2789,149902</t>
  </si>
  <si>
    <t>2744,219971</t>
  </si>
  <si>
    <t>2744,280029</t>
  </si>
  <si>
    <t>2761,520020</t>
  </si>
  <si>
    <t>2713,540039</t>
  </si>
  <si>
    <t>2713,830078</t>
  </si>
  <si>
    <t>2715,219971</t>
  </si>
  <si>
    <t>2730,889893</t>
  </si>
  <si>
    <t>2659,649902</t>
  </si>
  <si>
    <t>2677,669922</t>
  </si>
  <si>
    <t>2658,889893</t>
  </si>
  <si>
    <t>2696,250000</t>
  </si>
  <si>
    <t>2647,320068</t>
  </si>
  <si>
    <t>2691,250000</t>
  </si>
  <si>
    <t>2681,060059</t>
  </si>
  <si>
    <t>2728,090088</t>
  </si>
  <si>
    <t>2675,750000</t>
  </si>
  <si>
    <t>2720,939941</t>
  </si>
  <si>
    <t>2730,179932</t>
  </si>
  <si>
    <t>2732,080078</t>
  </si>
  <si>
    <t>2711,260010</t>
  </si>
  <si>
    <t>2728,120117</t>
  </si>
  <si>
    <t>2710,179932</t>
  </si>
  <si>
    <t>2730,600098</t>
  </si>
  <si>
    <t>2701,739990</t>
  </si>
  <si>
    <t>2726,800049</t>
  </si>
  <si>
    <t>2732,750000</t>
  </si>
  <si>
    <t>2740,449951</t>
  </si>
  <si>
    <t>2722,649902</t>
  </si>
  <si>
    <t>2738,969971</t>
  </si>
  <si>
    <t>2752,909912</t>
  </si>
  <si>
    <t>2786,570068</t>
  </si>
  <si>
    <t>2751,540039</t>
  </si>
  <si>
    <t>2790,540039</t>
  </si>
  <si>
    <t>2796,979980</t>
  </si>
  <si>
    <t>2779,260010</t>
  </si>
  <si>
    <t>2783,020020</t>
  </si>
  <si>
    <t>2792,310059</t>
  </si>
  <si>
    <t>2801,899902</t>
  </si>
  <si>
    <t>2758,679932</t>
  </si>
  <si>
    <t>2765,310059</t>
  </si>
  <si>
    <t>2774,060059</t>
  </si>
  <si>
    <t>2777,110107</t>
  </si>
  <si>
    <t>2744,379883</t>
  </si>
  <si>
    <t>2749,479980</t>
  </si>
  <si>
    <t>2754,270020</t>
  </si>
  <si>
    <t>2763,030029</t>
  </si>
  <si>
    <t>2741,469971</t>
  </si>
  <si>
    <t>2747,330078</t>
  </si>
  <si>
    <t>2750,570068</t>
  </si>
  <si>
    <t>2761,850098</t>
  </si>
  <si>
    <t>2749,969971</t>
  </si>
  <si>
    <t>2752,010010</t>
  </si>
  <si>
    <t>2741,379883</t>
  </si>
  <si>
    <t>2694,590088</t>
  </si>
  <si>
    <t>2712,919922</t>
  </si>
  <si>
    <t>2715,050049</t>
  </si>
  <si>
    <t>2724,219971</t>
  </si>
  <si>
    <t>2710,050049</t>
  </si>
  <si>
    <t>2716,939941</t>
  </si>
  <si>
    <t>2714,989990</t>
  </si>
  <si>
    <t>2739,139893</t>
  </si>
  <si>
    <t>2709,790039</t>
  </si>
  <si>
    <t>2711,929932</t>
  </si>
  <si>
    <t>2691,360107</t>
  </si>
  <si>
    <t>2695,679932</t>
  </si>
  <si>
    <t>2641,590088</t>
  </si>
  <si>
    <t>2643,689941</t>
  </si>
  <si>
    <t>2646,709961</t>
  </si>
  <si>
    <t>2657,669922</t>
  </si>
  <si>
    <t>2585,889893</t>
  </si>
  <si>
    <t>2588,260010</t>
  </si>
  <si>
    <t>2619,350098</t>
  </si>
  <si>
    <t>2661,360107</t>
  </si>
  <si>
    <t>2601,810059</t>
  </si>
  <si>
    <t>2658,550049</t>
  </si>
  <si>
    <t>2667,570068</t>
  </si>
  <si>
    <t>2674,780029</t>
  </si>
  <si>
    <t>2596,120117</t>
  </si>
  <si>
    <t>2612,620117</t>
  </si>
  <si>
    <t>2611,300049</t>
  </si>
  <si>
    <t>2632,649902</t>
  </si>
  <si>
    <t>2593,060059</t>
  </si>
  <si>
    <t>2605,000000</t>
  </si>
  <si>
    <t>2614,409912</t>
  </si>
  <si>
    <t>2659,070068</t>
  </si>
  <si>
    <t>2609,719971</t>
  </si>
  <si>
    <t>2640,870117</t>
  </si>
  <si>
    <t>2633,449951</t>
  </si>
  <si>
    <t>2638,300049</t>
  </si>
  <si>
    <t>2553,800049</t>
  </si>
  <si>
    <t>2581,879883</t>
  </si>
  <si>
    <t>2592,169922</t>
  </si>
  <si>
    <t>2619,139893</t>
  </si>
  <si>
    <t>2575,489990</t>
  </si>
  <si>
    <t>2614,449951</t>
  </si>
  <si>
    <t>2584,040039</t>
  </si>
  <si>
    <t>2649,860107</t>
  </si>
  <si>
    <t>2573,610107</t>
  </si>
  <si>
    <t>2644,689941</t>
  </si>
  <si>
    <t>2657,360107</t>
  </si>
  <si>
    <t>2672,080078</t>
  </si>
  <si>
    <t>2649,580078</t>
  </si>
  <si>
    <t>2662,840088</t>
  </si>
  <si>
    <t>2645,820068</t>
  </si>
  <si>
    <t>2656,879883</t>
  </si>
  <si>
    <t>2586,270020</t>
  </si>
  <si>
    <t>2604,469971</t>
  </si>
  <si>
    <t>2617,179932</t>
  </si>
  <si>
    <t>2653,550049</t>
  </si>
  <si>
    <t>2610,790039</t>
  </si>
  <si>
    <t>2613,159912</t>
  </si>
  <si>
    <t>2638,409912</t>
  </si>
  <si>
    <t>2665,449951</t>
  </si>
  <si>
    <t>2635,780029</t>
  </si>
  <si>
    <t>2656,870117</t>
  </si>
  <si>
    <t>2643,889893</t>
  </si>
  <si>
    <t>2661,429932</t>
  </si>
  <si>
    <t>2639,250000</t>
  </si>
  <si>
    <t>2642,189941</t>
  </si>
  <si>
    <t>2653,830078</t>
  </si>
  <si>
    <t>2674,719971</t>
  </si>
  <si>
    <t>2663,989990</t>
  </si>
  <si>
    <t>2676,899902</t>
  </si>
  <si>
    <t>2680,260010</t>
  </si>
  <si>
    <t>2645,050049</t>
  </si>
  <si>
    <t>2656,300049</t>
  </si>
  <si>
    <t>2670,100098</t>
  </si>
  <si>
    <t>2686,489990</t>
  </si>
  <si>
    <t>2665,159912</t>
  </si>
  <si>
    <t>2677,840088</t>
  </si>
  <si>
    <t>2692,739990</t>
  </si>
  <si>
    <t>2713,340088</t>
  </si>
  <si>
    <t>2692,050049</t>
  </si>
  <si>
    <t>2706,389893</t>
  </si>
  <si>
    <t>2710,110107</t>
  </si>
  <si>
    <t>2717,489990</t>
  </si>
  <si>
    <t>2703,629883</t>
  </si>
  <si>
    <t>2708,639893</t>
  </si>
  <si>
    <t>2701,159912</t>
  </si>
  <si>
    <t>2702,840088</t>
  </si>
  <si>
    <t>2681,899902</t>
  </si>
  <si>
    <t>2693,129883</t>
  </si>
  <si>
    <t>2692,560059</t>
  </si>
  <si>
    <t>2693,939941</t>
  </si>
  <si>
    <t>2660,610107</t>
  </si>
  <si>
    <t>2670,139893</t>
  </si>
  <si>
    <t>2675,399902</t>
  </si>
  <si>
    <t>2682,860107</t>
  </si>
  <si>
    <t>2657,989990</t>
  </si>
  <si>
    <t>2670,290039</t>
  </si>
  <si>
    <t>2680,800049</t>
  </si>
  <si>
    <t>2683,550049</t>
  </si>
  <si>
    <t>2617,320068</t>
  </si>
  <si>
    <t>2634,560059</t>
  </si>
  <si>
    <t>2634,919922</t>
  </si>
  <si>
    <t>2645,300049</t>
  </si>
  <si>
    <t>2612,669922</t>
  </si>
  <si>
    <t>2639,399902</t>
  </si>
  <si>
    <t>2676,479980</t>
  </si>
  <si>
    <t>2647,159912</t>
  </si>
  <si>
    <t>2666,939941</t>
  </si>
  <si>
    <t>2675,469971</t>
  </si>
  <si>
    <t>2677,350098</t>
  </si>
  <si>
    <t>2659,010010</t>
  </si>
  <si>
    <t>2669,909912</t>
  </si>
  <si>
    <t>2682,510010</t>
  </si>
  <si>
    <t>2682,870117</t>
  </si>
  <si>
    <t>2648,040039</t>
  </si>
  <si>
    <t>2648,050049</t>
  </si>
  <si>
    <t>2642,959961</t>
  </si>
  <si>
    <t>2655,270020</t>
  </si>
  <si>
    <t>2625,409912</t>
  </si>
  <si>
    <t>2654,800049</t>
  </si>
  <si>
    <t>2654,239990</t>
  </si>
  <si>
    <t>2660,870117</t>
  </si>
  <si>
    <t>2631,699951</t>
  </si>
  <si>
    <t>2635,669922</t>
  </si>
  <si>
    <t>2628,080078</t>
  </si>
  <si>
    <t>2637,139893</t>
  </si>
  <si>
    <t>2594,620117</t>
  </si>
  <si>
    <t>2629,729980</t>
  </si>
  <si>
    <t>2621,449951</t>
  </si>
  <si>
    <t>2670,929932</t>
  </si>
  <si>
    <t>2615,320068</t>
  </si>
  <si>
    <t>2663,419922</t>
  </si>
  <si>
    <t>2680,340088</t>
  </si>
  <si>
    <t>2683,350098</t>
  </si>
  <si>
    <t>2664,699951</t>
  </si>
  <si>
    <t>2672,629883</t>
  </si>
  <si>
    <t>2670,260010</t>
  </si>
  <si>
    <t>2676,340088</t>
  </si>
  <si>
    <t>2655,199951</t>
  </si>
  <si>
    <t>2671,919922</t>
  </si>
  <si>
    <t>2678,120117</t>
  </si>
  <si>
    <t>2701,270020</t>
  </si>
  <si>
    <t>2674,139893</t>
  </si>
  <si>
    <t>2697,790039</t>
  </si>
  <si>
    <t>2705,020020</t>
  </si>
  <si>
    <t>2726,110107</t>
  </si>
  <si>
    <t>2704,540039</t>
  </si>
  <si>
    <t>2723,070068</t>
  </si>
  <si>
    <t>2722,699951</t>
  </si>
  <si>
    <t>2732,860107</t>
  </si>
  <si>
    <t>2717,449951</t>
  </si>
  <si>
    <t>2727,719971</t>
  </si>
  <si>
    <t>2738,469971</t>
  </si>
  <si>
    <t>2742,100098</t>
  </si>
  <si>
    <t>2725,469971</t>
  </si>
  <si>
    <t>2730,129883</t>
  </si>
  <si>
    <t>2718,590088</t>
  </si>
  <si>
    <t>2701,909912</t>
  </si>
  <si>
    <t>2711,449951</t>
  </si>
  <si>
    <t>2712,620117</t>
  </si>
  <si>
    <t>2727,760010</t>
  </si>
  <si>
    <t>2712,169922</t>
  </si>
  <si>
    <t>2722,459961</t>
  </si>
  <si>
    <t>2719,709961</t>
  </si>
  <si>
    <t>2731,959961</t>
  </si>
  <si>
    <t>2711,360107</t>
  </si>
  <si>
    <t>2720,129883</t>
  </si>
  <si>
    <t>2717,350098</t>
  </si>
  <si>
    <t>2719,500000</t>
  </si>
  <si>
    <t>2709,179932</t>
  </si>
  <si>
    <t>2712,969971</t>
  </si>
  <si>
    <t>2735,389893</t>
  </si>
  <si>
    <t>2739,189941</t>
  </si>
  <si>
    <t>2725,699951</t>
  </si>
  <si>
    <t>2733,010010</t>
  </si>
  <si>
    <t>2738,340088</t>
  </si>
  <si>
    <t>2742,239990</t>
  </si>
  <si>
    <t>2721,879883</t>
  </si>
  <si>
    <t>2724,439941</t>
  </si>
  <si>
    <t>2713,979980</t>
  </si>
  <si>
    <t>2733,330078</t>
  </si>
  <si>
    <t>2709,540039</t>
  </si>
  <si>
    <t>2733,290039</t>
  </si>
  <si>
    <t>2730,939941</t>
  </si>
  <si>
    <t>2731,969971</t>
  </si>
  <si>
    <t>2707,379883</t>
  </si>
  <si>
    <t>2723,600098</t>
  </si>
  <si>
    <t>2727,360107</t>
  </si>
  <si>
    <t>2721,330078</t>
  </si>
  <si>
    <t>2705,110107</t>
  </si>
  <si>
    <t>2710,669922</t>
  </si>
  <si>
    <t>2676,810059</t>
  </si>
  <si>
    <t>2689,860107</t>
  </si>
  <si>
    <t>2702,429932</t>
  </si>
  <si>
    <t>2729,340088</t>
  </si>
  <si>
    <t>2724,010010</t>
  </si>
  <si>
    <t>2720,979980</t>
  </si>
  <si>
    <t>2722,500000</t>
  </si>
  <si>
    <t>2700,679932</t>
  </si>
  <si>
    <t>2705,270020</t>
  </si>
  <si>
    <t>2718,699951</t>
  </si>
  <si>
    <t>2736,929932</t>
  </si>
  <si>
    <t>2734,620117</t>
  </si>
  <si>
    <t>2741,669922</t>
  </si>
  <si>
    <t>2749,159912</t>
  </si>
  <si>
    <t>2740,540039</t>
  </si>
  <si>
    <t>2746,870117</t>
  </si>
  <si>
    <t>2748,459961</t>
  </si>
  <si>
    <t>2752,610107</t>
  </si>
  <si>
    <t>2739,510010</t>
  </si>
  <si>
    <t>2748,800049</t>
  </si>
  <si>
    <t>2753,250000</t>
  </si>
  <si>
    <t>2772,389893</t>
  </si>
  <si>
    <t>2772,350098</t>
  </si>
  <si>
    <t>2774,840088</t>
  </si>
  <si>
    <t>2779,899902</t>
  </si>
  <si>
    <t>2760,159912</t>
  </si>
  <si>
    <t>2770,370117</t>
  </si>
  <si>
    <t>2765,840088</t>
  </si>
  <si>
    <t>2779,389893</t>
  </si>
  <si>
    <t>2763,590088</t>
  </si>
  <si>
    <t>2779,030029</t>
  </si>
  <si>
    <t>2780,179932</t>
  </si>
  <si>
    <t>2790,209961</t>
  </si>
  <si>
    <t>2780,169922</t>
  </si>
  <si>
    <t>2782,000000</t>
  </si>
  <si>
    <t>2785,600098</t>
  </si>
  <si>
    <t>2789,800049</t>
  </si>
  <si>
    <t>2778,780029</t>
  </si>
  <si>
    <t>2786,850098</t>
  </si>
  <si>
    <t>2787,939941</t>
  </si>
  <si>
    <t>2791,469971</t>
  </si>
  <si>
    <t>2774,649902</t>
  </si>
  <si>
    <t>2775,629883</t>
  </si>
  <si>
    <t>2783,209961</t>
  </si>
  <si>
    <t>2789,060059</t>
  </si>
  <si>
    <t>2776,520020</t>
  </si>
  <si>
    <t>2782,489990</t>
  </si>
  <si>
    <t>2777,780029</t>
  </si>
  <si>
    <t>2782,810059</t>
  </si>
  <si>
    <t>2761,729980</t>
  </si>
  <si>
    <t>2779,659912</t>
  </si>
  <si>
    <t>2765,790039</t>
  </si>
  <si>
    <t>2774,989990</t>
  </si>
  <si>
    <t>2757,120117</t>
  </si>
  <si>
    <t>2773,750000</t>
  </si>
  <si>
    <t>2765,050049</t>
  </si>
  <si>
    <t>2743,189941</t>
  </si>
  <si>
    <t>2762,590088</t>
  </si>
  <si>
    <t>2769,729980</t>
  </si>
  <si>
    <t>2774,860107</t>
  </si>
  <si>
    <t>2763,909912</t>
  </si>
  <si>
    <t>2767,320068</t>
  </si>
  <si>
    <t>2769,280029</t>
  </si>
  <si>
    <t>2744,389893</t>
  </si>
  <si>
    <t>2749,760010</t>
  </si>
  <si>
    <t>2760,790039</t>
  </si>
  <si>
    <t>2764,169922</t>
  </si>
  <si>
    <t>2752,679932</t>
  </si>
  <si>
    <t>2754,879883</t>
  </si>
  <si>
    <t>2742,939941</t>
  </si>
  <si>
    <t>2698,669922</t>
  </si>
  <si>
    <t>2717,070068</t>
  </si>
  <si>
    <t>2722,120117</t>
  </si>
  <si>
    <t>2732,909912</t>
  </si>
  <si>
    <t>2715,600098</t>
  </si>
  <si>
    <t>2723,060059</t>
  </si>
  <si>
    <t>2728,449951</t>
  </si>
  <si>
    <t>2746,090088</t>
  </si>
  <si>
    <t>2699,379883</t>
  </si>
  <si>
    <t>2699,629883</t>
  </si>
  <si>
    <t>2698,689941</t>
  </si>
  <si>
    <t>2724,340088</t>
  </si>
  <si>
    <t>2691,989990</t>
  </si>
  <si>
    <t>2716,310059</t>
  </si>
  <si>
    <t>2727,129883</t>
  </si>
  <si>
    <t>2743,260010</t>
  </si>
  <si>
    <t>2718,030029</t>
  </si>
  <si>
    <t>2718,370117</t>
  </si>
  <si>
    <t>2704,949951</t>
  </si>
  <si>
    <t>2727,260010</t>
  </si>
  <si>
    <t>2698,949951</t>
  </si>
  <si>
    <t>2726,709961</t>
  </si>
  <si>
    <t>2733,270020</t>
  </si>
  <si>
    <t>2736,580078</t>
  </si>
  <si>
    <t>2711,159912</t>
  </si>
  <si>
    <t>2713,219971</t>
  </si>
  <si>
    <t>2724,189941</t>
  </si>
  <si>
    <t>2737,830078</t>
  </si>
  <si>
    <t>2716,020020</t>
  </si>
  <si>
    <t>2736,610107</t>
  </si>
  <si>
    <t>2737,679932</t>
  </si>
  <si>
    <t>2764,409912</t>
  </si>
  <si>
    <t>2733,520020</t>
  </si>
  <si>
    <t>2759,820068</t>
  </si>
  <si>
    <t>2775,620117</t>
  </si>
  <si>
    <t>2784,649902</t>
  </si>
  <si>
    <t>2770,729980</t>
  </si>
  <si>
    <t>2784,169922</t>
  </si>
  <si>
    <t>2788,560059</t>
  </si>
  <si>
    <t>2795,580078</t>
  </si>
  <si>
    <t>2793,840088</t>
  </si>
  <si>
    <t>2779,820068</t>
  </si>
  <si>
    <t>2785,909912</t>
  </si>
  <si>
    <t>2770,770020</t>
  </si>
  <si>
    <t>2774,020020</t>
  </si>
  <si>
    <t>2783,139893</t>
  </si>
  <si>
    <t>2799,219971</t>
  </si>
  <si>
    <t>2781,530029</t>
  </si>
  <si>
    <t>2798,290039</t>
  </si>
  <si>
    <t>2796,929932</t>
  </si>
  <si>
    <t>2804,530029</t>
  </si>
  <si>
    <t>2791,689941</t>
  </si>
  <si>
    <t>2801,310059</t>
  </si>
  <si>
    <t>2797,360107</t>
  </si>
  <si>
    <t>2801,189941</t>
  </si>
  <si>
    <t>2793,389893</t>
  </si>
  <si>
    <t>2798,429932</t>
  </si>
  <si>
    <t>2789,340088</t>
  </si>
  <si>
    <t>2814,189941</t>
  </si>
  <si>
    <t>2789,239990</t>
  </si>
  <si>
    <t>2809,550049</t>
  </si>
  <si>
    <t>2811,350098</t>
  </si>
  <si>
    <t>2816,760010</t>
  </si>
  <si>
    <t>2805,889893</t>
  </si>
  <si>
    <t>2815,620117</t>
  </si>
  <si>
    <t>2809,370117</t>
  </si>
  <si>
    <t>2812,050049</t>
  </si>
  <si>
    <t>2799,770020</t>
  </si>
  <si>
    <t>2804,489990</t>
  </si>
  <si>
    <t>2804,550049</t>
  </si>
  <si>
    <t>2809,699951</t>
  </si>
  <si>
    <t>2800,010010</t>
  </si>
  <si>
    <t>2801,830078</t>
  </si>
  <si>
    <t>2799,169922</t>
  </si>
  <si>
    <t>2808,610107</t>
  </si>
  <si>
    <t>2795,139893</t>
  </si>
  <si>
    <t>2806,979980</t>
  </si>
  <si>
    <t>2820,679932</t>
  </si>
  <si>
    <t>2829,989990</t>
  </si>
  <si>
    <t>2811,120117</t>
  </si>
  <si>
    <t>2820,399902</t>
  </si>
  <si>
    <t>2817,729980</t>
  </si>
  <si>
    <t>2848,030029</t>
  </si>
  <si>
    <t>2846,070068</t>
  </si>
  <si>
    <t>2835,489990</t>
  </si>
  <si>
    <t>2845,570068</t>
  </si>
  <si>
    <t>2835,260010</t>
  </si>
  <si>
    <t>2837,439941</t>
  </si>
  <si>
    <t>2842,350098</t>
  </si>
  <si>
    <t>2843,169922</t>
  </si>
  <si>
    <t>2808,340088</t>
  </si>
  <si>
    <t>2818,820068</t>
  </si>
  <si>
    <t>2819,000000</t>
  </si>
  <si>
    <t>2821,739990</t>
  </si>
  <si>
    <t>2798,110107</t>
  </si>
  <si>
    <t>2809,729980</t>
  </si>
  <si>
    <t>2824,459961</t>
  </si>
  <si>
    <t>2808,060059</t>
  </si>
  <si>
    <t>2816,290039</t>
  </si>
  <si>
    <t>2821,169922</t>
  </si>
  <si>
    <t>2825,830078</t>
  </si>
  <si>
    <t>2805,850098</t>
  </si>
  <si>
    <t>2813,360107</t>
  </si>
  <si>
    <t>2800,479980</t>
  </si>
  <si>
    <t>2829,909912</t>
  </si>
  <si>
    <t>2796,340088</t>
  </si>
  <si>
    <t>2827,219971</t>
  </si>
  <si>
    <t>2829,620117</t>
  </si>
  <si>
    <t>2840,379883</t>
  </si>
  <si>
    <t>2827,370117</t>
  </si>
  <si>
    <t>2840,350098</t>
  </si>
  <si>
    <t>2840,290039</t>
  </si>
  <si>
    <t>2853,290039</t>
  </si>
  <si>
    <t>2835,979980</t>
  </si>
  <si>
    <t>2850,399902</t>
  </si>
  <si>
    <t>2855,919922</t>
  </si>
  <si>
    <t>2863,429932</t>
  </si>
  <si>
    <t>2858,449951</t>
  </si>
  <si>
    <t>2856,790039</t>
  </si>
  <si>
    <t>2862,439941</t>
  </si>
  <si>
    <t>2853,090088</t>
  </si>
  <si>
    <t>2857,699951</t>
  </si>
  <si>
    <t>2857,189941</t>
  </si>
  <si>
    <t>2862,479980</t>
  </si>
  <si>
    <t>2851,979980</t>
  </si>
  <si>
    <t>2853,580078</t>
  </si>
  <si>
    <t>2838,899902</t>
  </si>
  <si>
    <t>2842,199951</t>
  </si>
  <si>
    <t>2825,810059</t>
  </si>
  <si>
    <t>2833,280029</t>
  </si>
  <si>
    <t>2835,459961</t>
  </si>
  <si>
    <t>2843,399902</t>
  </si>
  <si>
    <t>2819,879883</t>
  </si>
  <si>
    <t>2821,929932</t>
  </si>
  <si>
    <t>2827,879883</t>
  </si>
  <si>
    <t>2843,110107</t>
  </si>
  <si>
    <t>2826,580078</t>
  </si>
  <si>
    <t>2839,959961</t>
  </si>
  <si>
    <t>2827,949951</t>
  </si>
  <si>
    <t>2802,489990</t>
  </si>
  <si>
    <t>2818,370117</t>
  </si>
  <si>
    <t>2831,439941</t>
  </si>
  <si>
    <t>2850,489990</t>
  </si>
  <si>
    <t>2840,689941</t>
  </si>
  <si>
    <t>2838,320068</t>
  </si>
  <si>
    <t>2855,629883</t>
  </si>
  <si>
    <t>2833,729980</t>
  </si>
  <si>
    <t>2850,129883</t>
  </si>
  <si>
    <t>2853,929932</t>
  </si>
  <si>
    <t>2859,760010</t>
  </si>
  <si>
    <t>2850,620117</t>
  </si>
  <si>
    <t>2857,050049</t>
  </si>
  <si>
    <t>2861,510010</t>
  </si>
  <si>
    <t>2873,229980</t>
  </si>
  <si>
    <t>2861,320068</t>
  </si>
  <si>
    <t>2862,959961</t>
  </si>
  <si>
    <t>2860,989990</t>
  </si>
  <si>
    <t>2867,540039</t>
  </si>
  <si>
    <t>2856,050049</t>
  </si>
  <si>
    <t>2861,820068</t>
  </si>
  <si>
    <t>2860,290039</t>
  </si>
  <si>
    <t>2868,780029</t>
  </si>
  <si>
    <t>2854,030029</t>
  </si>
  <si>
    <t>2856,979980</t>
  </si>
  <si>
    <t>2862,350098</t>
  </si>
  <si>
    <t>2876,159912</t>
  </si>
  <si>
    <t>2874,689941</t>
  </si>
  <si>
    <t>2884,689941</t>
  </si>
  <si>
    <t>2898,250000</t>
  </si>
  <si>
    <t>2896,739990</t>
  </si>
  <si>
    <t>2901,449951</t>
  </si>
  <si>
    <t>2903,770020</t>
  </si>
  <si>
    <t>2893,500000</t>
  </si>
  <si>
    <t>2897,520020</t>
  </si>
  <si>
    <t>2900,620117</t>
  </si>
  <si>
    <t>2916,500000</t>
  </si>
  <si>
    <t>2898,399902</t>
  </si>
  <si>
    <t>2914,040039</t>
  </si>
  <si>
    <t>2908,939941</t>
  </si>
  <si>
    <t>2912,459961</t>
  </si>
  <si>
    <t>2895,219971</t>
  </si>
  <si>
    <t>2901,129883</t>
  </si>
  <si>
    <t>2898,370117</t>
  </si>
  <si>
    <t>2906,320068</t>
  </si>
  <si>
    <t>2891,729980</t>
  </si>
  <si>
    <t>2901,520020</t>
  </si>
  <si>
    <t>2896,959961</t>
  </si>
  <si>
    <t>2900,179932</t>
  </si>
  <si>
    <t>2885,129883</t>
  </si>
  <si>
    <t>2896,719971</t>
  </si>
  <si>
    <t>2891,590088</t>
  </si>
  <si>
    <t>2894,209961</t>
  </si>
  <si>
    <t>2876,919922</t>
  </si>
  <si>
    <t>2888,600098</t>
  </si>
  <si>
    <t>2888,639893</t>
  </si>
  <si>
    <t>2892,050049</t>
  </si>
  <si>
    <t>2867,290039</t>
  </si>
  <si>
    <t>2878,050049</t>
  </si>
  <si>
    <t>2868,260010</t>
  </si>
  <si>
    <t>2883,810059</t>
  </si>
  <si>
    <t>2864,120117</t>
  </si>
  <si>
    <t>2871,679932</t>
  </si>
  <si>
    <t>2881,389893</t>
  </si>
  <si>
    <t>2886,929932</t>
  </si>
  <si>
    <t>2875,939941</t>
  </si>
  <si>
    <t>2877,129883</t>
  </si>
  <si>
    <t>2871,570068</t>
  </si>
  <si>
    <t>2892,520020</t>
  </si>
  <si>
    <t>2866,780029</t>
  </si>
  <si>
    <t>2887,889893</t>
  </si>
  <si>
    <t>2888,290039</t>
  </si>
  <si>
    <t>2894,649902</t>
  </si>
  <si>
    <t>2879,199951</t>
  </si>
  <si>
    <t>2888,919922</t>
  </si>
  <si>
    <t>2896,850098</t>
  </si>
  <si>
    <t>2906,760010</t>
  </si>
  <si>
    <t>2896,389893</t>
  </si>
  <si>
    <t>2904,179932</t>
  </si>
  <si>
    <t>2906,379883</t>
  </si>
  <si>
    <t>2908,300049</t>
  </si>
  <si>
    <t>2895,770020</t>
  </si>
  <si>
    <t>2904,979980</t>
  </si>
  <si>
    <t>2903,830078</t>
  </si>
  <si>
    <t>2904,649902</t>
  </si>
  <si>
    <t>2886,159912</t>
  </si>
  <si>
    <t>2888,800049</t>
  </si>
  <si>
    <t>2890,739990</t>
  </si>
  <si>
    <t>2911,169922</t>
  </si>
  <si>
    <t>2890,429932</t>
  </si>
  <si>
    <t>2904,310059</t>
  </si>
  <si>
    <t>2906,600098</t>
  </si>
  <si>
    <t>2912,360107</t>
  </si>
  <si>
    <t>2903,820068</t>
  </si>
  <si>
    <t>2907,949951</t>
  </si>
  <si>
    <t>2919,729980</t>
  </si>
  <si>
    <t>2934,800049</t>
  </si>
  <si>
    <t>2930,750000</t>
  </si>
  <si>
    <t>2936,760010</t>
  </si>
  <si>
    <t>2940,909912</t>
  </si>
  <si>
    <t>2927,110107</t>
  </si>
  <si>
    <t>2929,669922</t>
  </si>
  <si>
    <t>2921,830078</t>
  </si>
  <si>
    <t>2923,790039</t>
  </si>
  <si>
    <t>2912,629883</t>
  </si>
  <si>
    <t>2919,370117</t>
  </si>
  <si>
    <t>2921,750000</t>
  </si>
  <si>
    <t>2923,949951</t>
  </si>
  <si>
    <t>2913,699951</t>
  </si>
  <si>
    <t>2915,560059</t>
  </si>
  <si>
    <t>2916,979980</t>
  </si>
  <si>
    <t>2931,149902</t>
  </si>
  <si>
    <t>2903,280029</t>
  </si>
  <si>
    <t>2905,969971</t>
  </si>
  <si>
    <t>2911,649902</t>
  </si>
  <si>
    <t>2927,219971</t>
  </si>
  <si>
    <t>2909,270020</t>
  </si>
  <si>
    <t>2914,000000</t>
  </si>
  <si>
    <t>2910,030029</t>
  </si>
  <si>
    <t>2920,530029</t>
  </si>
  <si>
    <t>2907,500000</t>
  </si>
  <si>
    <t>2913,979980</t>
  </si>
  <si>
    <t>2926,290039</t>
  </si>
  <si>
    <t>2937,060059</t>
  </si>
  <si>
    <t>2917,909912</t>
  </si>
  <si>
    <t>2924,590088</t>
  </si>
  <si>
    <t>2923,800049</t>
  </si>
  <si>
    <t>2931,419922</t>
  </si>
  <si>
    <t>2923,429932</t>
  </si>
  <si>
    <t>2931,689941</t>
  </si>
  <si>
    <t>2939,860107</t>
  </si>
  <si>
    <t>2921,360107</t>
  </si>
  <si>
    <t>2925,510010</t>
  </si>
  <si>
    <t>2919,350098</t>
  </si>
  <si>
    <t>2919,780029</t>
  </si>
  <si>
    <t>2883,919922</t>
  </si>
  <si>
    <t>2901,610107</t>
  </si>
  <si>
    <t>2902,540039</t>
  </si>
  <si>
    <t>2909,639893</t>
  </si>
  <si>
    <t>2869,290039</t>
  </si>
  <si>
    <t>2885,570068</t>
  </si>
  <si>
    <t>2877,530029</t>
  </si>
  <si>
    <t>2889,449951</t>
  </si>
  <si>
    <t>2862,080078</t>
  </si>
  <si>
    <t>2884,429932</t>
  </si>
  <si>
    <t>2882,510010</t>
  </si>
  <si>
    <t>2894,830078</t>
  </si>
  <si>
    <t>2874,270020</t>
  </si>
  <si>
    <t>2880,340088</t>
  </si>
  <si>
    <t>2873,899902</t>
  </si>
  <si>
    <t>2874,020020</t>
  </si>
  <si>
    <t>2784,860107</t>
  </si>
  <si>
    <t>2785,679932</t>
  </si>
  <si>
    <t>2776,870117</t>
  </si>
  <si>
    <t>2710,510010</t>
  </si>
  <si>
    <t>2728,370117</t>
  </si>
  <si>
    <t>2770,540039</t>
  </si>
  <si>
    <t>2775,770020</t>
  </si>
  <si>
    <t>2729,439941</t>
  </si>
  <si>
    <t>2767,129883</t>
  </si>
  <si>
    <t>2763,830078</t>
  </si>
  <si>
    <t>2775,989990</t>
  </si>
  <si>
    <t>2749,030029</t>
  </si>
  <si>
    <t>2750,790039</t>
  </si>
  <si>
    <t>2767,050049</t>
  </si>
  <si>
    <t>2813,459961</t>
  </si>
  <si>
    <t>2766,909912</t>
  </si>
  <si>
    <t>2809,919922</t>
  </si>
  <si>
    <t>2811,669922</t>
  </si>
  <si>
    <t>2816,939941</t>
  </si>
  <si>
    <t>2781,810059</t>
  </si>
  <si>
    <t>2809,209961</t>
  </si>
  <si>
    <t>2802,000000</t>
  </si>
  <si>
    <t>2806,040039</t>
  </si>
  <si>
    <t>2755,179932</t>
  </si>
  <si>
    <t>2768,780029</t>
  </si>
  <si>
    <t>2775,659912</t>
  </si>
  <si>
    <t>2797,770020</t>
  </si>
  <si>
    <t>2760,270020</t>
  </si>
  <si>
    <t>2767,780029</t>
  </si>
  <si>
    <t>2773,939941</t>
  </si>
  <si>
    <t>2778,939941</t>
  </si>
  <si>
    <t>2749,219971</t>
  </si>
  <si>
    <t>2755,879883</t>
  </si>
  <si>
    <t>2721,030029</t>
  </si>
  <si>
    <t>2753,590088</t>
  </si>
  <si>
    <t>2691,429932</t>
  </si>
  <si>
    <t>2740,689941</t>
  </si>
  <si>
    <t>2737,870117</t>
  </si>
  <si>
    <t>2742,590088</t>
  </si>
  <si>
    <t>2651,889893</t>
  </si>
  <si>
    <t>2656,100098</t>
  </si>
  <si>
    <t>2674,879883</t>
  </si>
  <si>
    <t>2667,840088</t>
  </si>
  <si>
    <t>2705,570068</t>
  </si>
  <si>
    <t>2667,860107</t>
  </si>
  <si>
    <t>2692,379883</t>
  </si>
  <si>
    <t>2628,159912</t>
  </si>
  <si>
    <t>2658,689941</t>
  </si>
  <si>
    <t>2682,649902</t>
  </si>
  <si>
    <t>2706,850098</t>
  </si>
  <si>
    <t>2603,540039</t>
  </si>
  <si>
    <t>2641,250000</t>
  </si>
  <si>
    <t>2640,679932</t>
  </si>
  <si>
    <t>2685,429932</t>
  </si>
  <si>
    <t>2635,340088</t>
  </si>
  <si>
    <t>2682,629883</t>
  </si>
  <si>
    <t>2705,600098</t>
  </si>
  <si>
    <t>2736,689941</t>
  </si>
  <si>
    <t>2711,739990</t>
  </si>
  <si>
    <t>2717,580078</t>
  </si>
  <si>
    <t>2708,850098</t>
  </si>
  <si>
    <t>2740,370117</t>
  </si>
  <si>
    <t>2745,449951</t>
  </si>
  <si>
    <t>2756,550049</t>
  </si>
  <si>
    <t>2700,439941</t>
  </si>
  <si>
    <t>2726,370117</t>
  </si>
  <si>
    <t>2744,270020</t>
  </si>
  <si>
    <t>2717,939941</t>
  </si>
  <si>
    <t>2738,310059</t>
  </si>
  <si>
    <t>2738,399902</t>
  </si>
  <si>
    <t>2756,820068</t>
  </si>
  <si>
    <t>2737,080078</t>
  </si>
  <si>
    <t>2755,449951</t>
  </si>
  <si>
    <t>2774,129883</t>
  </si>
  <si>
    <t>2815,149902</t>
  </si>
  <si>
    <t>2813,889893</t>
  </si>
  <si>
    <t>2806,379883</t>
  </si>
  <si>
    <t>2814,750000</t>
  </si>
  <si>
    <t>2794,989990</t>
  </si>
  <si>
    <t>2806,830078</t>
  </si>
  <si>
    <t>2794,100098</t>
  </si>
  <si>
    <t>2764,239990</t>
  </si>
  <si>
    <t>2781,010010</t>
  </si>
  <si>
    <t>2773,929932</t>
  </si>
  <si>
    <t>2722,000000</t>
  </si>
  <si>
    <t>2726,219971</t>
  </si>
  <si>
    <t>2730,050049</t>
  </si>
  <si>
    <t>2754,600098</t>
  </si>
  <si>
    <t>2714,979980</t>
  </si>
  <si>
    <t>2722,179932</t>
  </si>
  <si>
    <t>2737,899902</t>
  </si>
  <si>
    <t>2746,800049</t>
  </si>
  <si>
    <t>2685,750000</t>
  </si>
  <si>
    <t>2701,580078</t>
  </si>
  <si>
    <t>2693,520020</t>
  </si>
  <si>
    <t>2735,379883</t>
  </si>
  <si>
    <t>2670,750000</t>
  </si>
  <si>
    <t>2730,199951</t>
  </si>
  <si>
    <t>2718,540039</t>
  </si>
  <si>
    <t>2746,750000</t>
  </si>
  <si>
    <t>2712,159912</t>
  </si>
  <si>
    <t>2736,270020</t>
  </si>
  <si>
    <t>2730,739990</t>
  </si>
  <si>
    <t>2733,159912</t>
  </si>
  <si>
    <t>2681,090088</t>
  </si>
  <si>
    <t>2690,729980</t>
  </si>
  <si>
    <t>2654,600098</t>
  </si>
  <si>
    <t>2669,439941</t>
  </si>
  <si>
    <t>2631,520020</t>
  </si>
  <si>
    <t>2641,889893</t>
  </si>
  <si>
    <t>2670,729980</t>
  </si>
  <si>
    <t>2649,820068</t>
  </si>
  <si>
    <t>2649,929932</t>
  </si>
  <si>
    <t>2633,360107</t>
  </si>
  <si>
    <t>2647,550049</t>
  </si>
  <si>
    <t>2631,090088</t>
  </si>
  <si>
    <t>2632,560059</t>
  </si>
  <si>
    <t>2649,969971</t>
  </si>
  <si>
    <t>2674,350098</t>
  </si>
  <si>
    <t>2673,449951</t>
  </si>
  <si>
    <t>2663,750000</t>
  </si>
  <si>
    <t>2682,530029</t>
  </si>
  <si>
    <t>2655,889893</t>
  </si>
  <si>
    <t>2682,169922</t>
  </si>
  <si>
    <t>2691,449951</t>
  </si>
  <si>
    <t>2744,000000</t>
  </si>
  <si>
    <t>2684,379883</t>
  </si>
  <si>
    <t>2743,790039</t>
  </si>
  <si>
    <t>2736,969971</t>
  </si>
  <si>
    <t>2753,750000</t>
  </si>
  <si>
    <t>2722,939941</t>
  </si>
  <si>
    <t>2737,800049</t>
  </si>
  <si>
    <t>2737,760010</t>
  </si>
  <si>
    <t>2760,879883</t>
  </si>
  <si>
    <t>2732,760010</t>
  </si>
  <si>
    <t>2760,169922</t>
  </si>
  <si>
    <t>2790,500000</t>
  </si>
  <si>
    <t>2800,179932</t>
  </si>
  <si>
    <t>2773,379883</t>
  </si>
  <si>
    <t>2790,370117</t>
  </si>
  <si>
    <t>2782,429932</t>
  </si>
  <si>
    <t>2785,929932</t>
  </si>
  <si>
    <t>2697,179932</t>
  </si>
  <si>
    <t>2700,060059</t>
  </si>
  <si>
    <t>2663,510010</t>
  </si>
  <si>
    <t>2696,149902</t>
  </si>
  <si>
    <t>2621,530029</t>
  </si>
  <si>
    <t>2695,949951</t>
  </si>
  <si>
    <t>2691,260010</t>
  </si>
  <si>
    <t>2708,540039</t>
  </si>
  <si>
    <t>2623,139893</t>
  </si>
  <si>
    <t>2633,080078</t>
  </si>
  <si>
    <t>2630,860107</t>
  </si>
  <si>
    <t>2647,510010</t>
  </si>
  <si>
    <t>2583,229980</t>
  </si>
  <si>
    <t>2637,719971</t>
  </si>
  <si>
    <t>2664,439941</t>
  </si>
  <si>
    <t>2621,300049</t>
  </si>
  <si>
    <t>2636,780029</t>
  </si>
  <si>
    <t>2658,229980</t>
  </si>
  <si>
    <t>2685,439941</t>
  </si>
  <si>
    <t>2650,260010</t>
  </si>
  <si>
    <t>2651,070068</t>
  </si>
  <si>
    <t>2658,699951</t>
  </si>
  <si>
    <t>2670,189941</t>
  </si>
  <si>
    <t>2637,270020</t>
  </si>
  <si>
    <t>2650,540039</t>
  </si>
  <si>
    <t>2629,679932</t>
  </si>
  <si>
    <t>2635,070068</t>
  </si>
  <si>
    <t>2593,840088</t>
  </si>
  <si>
    <t>2599,949951</t>
  </si>
  <si>
    <t>2590,750000</t>
  </si>
  <si>
    <t>2601,129883</t>
  </si>
  <si>
    <t>2530,540039</t>
  </si>
  <si>
    <t>2545,939941</t>
  </si>
  <si>
    <t>2559,899902</t>
  </si>
  <si>
    <t>2573,989990</t>
  </si>
  <si>
    <t>2528,709961</t>
  </si>
  <si>
    <t>2546,159912</t>
  </si>
  <si>
    <t>2547,050049</t>
  </si>
  <si>
    <t>2585,290039</t>
  </si>
  <si>
    <t>2488,959961</t>
  </si>
  <si>
    <t>2506,959961</t>
  </si>
  <si>
    <t>2509,629883</t>
  </si>
  <si>
    <t>2441,179932</t>
  </si>
  <si>
    <t>2467,419922</t>
  </si>
  <si>
    <t>2504,409912</t>
  </si>
  <si>
    <t>2408,550049</t>
  </si>
  <si>
    <t>2416,620117</t>
  </si>
  <si>
    <t>2400,560059</t>
  </si>
  <si>
    <t>2410,340088</t>
  </si>
  <si>
    <t>2351,100098</t>
  </si>
  <si>
    <t>2363,120117</t>
  </si>
  <si>
    <t>2467,760010</t>
  </si>
  <si>
    <t>2346,580078</t>
  </si>
  <si>
    <t>2467,699951</t>
  </si>
  <si>
    <t>2442,500000</t>
  </si>
  <si>
    <t>2489,100098</t>
  </si>
  <si>
    <t>2397,939941</t>
  </si>
  <si>
    <t>2488,830078</t>
  </si>
  <si>
    <t>2498,770020</t>
  </si>
  <si>
    <t>2520,270020</t>
  </si>
  <si>
    <t>2472,889893</t>
  </si>
  <si>
    <t>2485,739990</t>
  </si>
  <si>
    <t>2498,939941</t>
  </si>
  <si>
    <t>2509,239990</t>
  </si>
  <si>
    <t>2482,820068</t>
  </si>
  <si>
    <t>2506,850098</t>
  </si>
  <si>
    <t>2476,959961</t>
  </si>
  <si>
    <t>2519,489990</t>
  </si>
  <si>
    <t>2467,469971</t>
  </si>
  <si>
    <t>2510,030029</t>
  </si>
  <si>
    <t>2491,919922</t>
  </si>
  <si>
    <t>2493,139893</t>
  </si>
  <si>
    <t>2443,959961</t>
  </si>
  <si>
    <t>2447,889893</t>
  </si>
  <si>
    <t>2474,330078</t>
  </si>
  <si>
    <t>2538,070068</t>
  </si>
  <si>
    <t>2531,939941</t>
  </si>
  <si>
    <t>2535,610107</t>
  </si>
  <si>
    <t>2566,159912</t>
  </si>
  <si>
    <t>2524,560059</t>
  </si>
  <si>
    <t>2549,689941</t>
  </si>
  <si>
    <t>2568,110107</t>
  </si>
  <si>
    <t>2579,820068</t>
  </si>
  <si>
    <t>2547,560059</t>
  </si>
  <si>
    <t>2574,409912</t>
  </si>
  <si>
    <t>2580,000000</t>
  </si>
  <si>
    <t>2595,320068</t>
  </si>
  <si>
    <t>2568,889893</t>
  </si>
  <si>
    <t>2584,959961</t>
  </si>
  <si>
    <t>2573,510010</t>
  </si>
  <si>
    <t>2597,820068</t>
  </si>
  <si>
    <t>2562,020020</t>
  </si>
  <si>
    <t>2596,639893</t>
  </si>
  <si>
    <t>2588,110107</t>
  </si>
  <si>
    <t>2596,270020</t>
  </si>
  <si>
    <t>2577,399902</t>
  </si>
  <si>
    <t>2596,260010</t>
  </si>
  <si>
    <t>2580,310059</t>
  </si>
  <si>
    <t>2589,320068</t>
  </si>
  <si>
    <t>2570,409912</t>
  </si>
  <si>
    <t>2582,610107</t>
  </si>
  <si>
    <t>2585,100098</t>
  </si>
  <si>
    <t>2613,080078</t>
  </si>
  <si>
    <t>2610,300049</t>
  </si>
  <si>
    <t>2614,750000</t>
  </si>
  <si>
    <t>2625,760010</t>
  </si>
  <si>
    <t>2612,679932</t>
  </si>
  <si>
    <t>2616,100098</t>
  </si>
  <si>
    <t>2609,280029</t>
  </si>
  <si>
    <t>2645,060059</t>
  </si>
  <si>
    <t>2606,360107</t>
  </si>
  <si>
    <t>2635,959961</t>
  </si>
  <si>
    <t>2651,270020</t>
  </si>
  <si>
    <t>2670,709961</t>
  </si>
  <si>
    <t>2657,879883</t>
  </si>
  <si>
    <t>2617,270020</t>
  </si>
  <si>
    <t>2632,899902</t>
  </si>
  <si>
    <t>2643,479980</t>
  </si>
  <si>
    <t>2653,189941</t>
  </si>
  <si>
    <t>2612,860107</t>
  </si>
  <si>
    <t>2638,699951</t>
  </si>
  <si>
    <t>2638,840088</t>
  </si>
  <si>
    <t>2647,199951</t>
  </si>
  <si>
    <t>2627,010010</t>
  </si>
  <si>
    <t>2642,330078</t>
  </si>
  <si>
    <t>2657,439941</t>
  </si>
  <si>
    <t>2672,379883</t>
  </si>
  <si>
    <t>2657,330078</t>
  </si>
  <si>
    <t>2664,760010</t>
  </si>
  <si>
    <t>2644,969971</t>
  </si>
  <si>
    <t>2624,060059</t>
  </si>
  <si>
    <t>2643,850098</t>
  </si>
  <si>
    <t>2644,889893</t>
  </si>
  <si>
    <t>2650,929932</t>
  </si>
  <si>
    <t>2631,050049</t>
  </si>
  <si>
    <t>2640,000000</t>
  </si>
  <si>
    <t>2653,620117</t>
  </si>
  <si>
    <t>2690,439941</t>
  </si>
  <si>
    <t>2648,340088</t>
  </si>
  <si>
    <t>2681,050049</t>
  </si>
  <si>
    <t>2685,489990</t>
  </si>
  <si>
    <t>2708,949951</t>
  </si>
  <si>
    <t>2678,649902</t>
  </si>
  <si>
    <t>2704,100098</t>
  </si>
  <si>
    <t>2702,320068</t>
  </si>
  <si>
    <t>2716,659912</t>
  </si>
  <si>
    <t>2696,879883</t>
  </si>
  <si>
    <t>2706,530029</t>
  </si>
  <si>
    <t>2706,489990</t>
  </si>
  <si>
    <t>2724,989990</t>
  </si>
  <si>
    <t>2698,750000</t>
  </si>
  <si>
    <t>2724,870117</t>
  </si>
  <si>
    <t>2728,340088</t>
  </si>
  <si>
    <t>2738,979980</t>
  </si>
  <si>
    <t>2724,030029</t>
  </si>
  <si>
    <t>2737,699951</t>
  </si>
  <si>
    <t>2735,050049</t>
  </si>
  <si>
    <t>2738,080078</t>
  </si>
  <si>
    <t>2724,149902</t>
  </si>
  <si>
    <t>2731,610107</t>
  </si>
  <si>
    <t>2717,530029</t>
  </si>
  <si>
    <t>2719,320068</t>
  </si>
  <si>
    <t>2687,260010</t>
  </si>
  <si>
    <t>2706,050049</t>
  </si>
  <si>
    <t>2692,360107</t>
  </si>
  <si>
    <t>2708,070068</t>
  </si>
  <si>
    <t>2681,830078</t>
  </si>
  <si>
    <t>2707,879883</t>
  </si>
  <si>
    <t>2712,399902</t>
  </si>
  <si>
    <t>2718,050049</t>
  </si>
  <si>
    <t>2703,790039</t>
  </si>
  <si>
    <t>2709,800049</t>
  </si>
  <si>
    <t>2722,610107</t>
  </si>
  <si>
    <t>2748,189941</t>
  </si>
  <si>
    <t>2744,729980</t>
  </si>
  <si>
    <t>2750,300049</t>
  </si>
  <si>
    <t>2748,629883</t>
  </si>
  <si>
    <t>2753,030029</t>
  </si>
  <si>
    <t>2743,500000</t>
  </si>
  <si>
    <t>2757,899902</t>
  </si>
  <si>
    <t>2731,229980</t>
  </si>
  <si>
    <t>2745,729980</t>
  </si>
  <si>
    <t>2760,239990</t>
  </si>
  <si>
    <t>2775,600098</t>
  </si>
  <si>
    <t>2787,330078</t>
  </si>
  <si>
    <t>2767,290039</t>
  </si>
  <si>
    <t>2779,760010</t>
  </si>
  <si>
    <t>2779,050049</t>
  </si>
  <si>
    <t>2789,879883</t>
  </si>
  <si>
    <t>2784,699951</t>
  </si>
  <si>
    <t>2780,239990</t>
  </si>
  <si>
    <t>2781,580078</t>
  </si>
  <si>
    <t>2764,550049</t>
  </si>
  <si>
    <t>2774,879883</t>
  </si>
  <si>
    <t>2780,669922</t>
  </si>
  <si>
    <t>2794,199951</t>
  </si>
  <si>
    <t>2779,110107</t>
  </si>
  <si>
    <t>2792,669922</t>
  </si>
  <si>
    <t>2804,350098</t>
  </si>
  <si>
    <t>2813,489990</t>
  </si>
  <si>
    <t>2796,110107</t>
  </si>
  <si>
    <t>2792,360107</t>
  </si>
  <si>
    <t>2803,120117</t>
  </si>
  <si>
    <t>2789,469971</t>
  </si>
  <si>
    <t>2793,899902</t>
  </si>
  <si>
    <t>2787,500000</t>
  </si>
  <si>
    <t>2795,760010</t>
  </si>
  <si>
    <t>2775,129883</t>
  </si>
  <si>
    <t>2792,379883</t>
  </si>
  <si>
    <t>2788,110107</t>
  </si>
  <si>
    <t>2793,729980</t>
  </si>
  <si>
    <t>2782,510010</t>
  </si>
  <si>
    <t>2784,489990</t>
  </si>
  <si>
    <t>2798,219971</t>
  </si>
  <si>
    <t>2808,020020</t>
  </si>
  <si>
    <t>2787,379883</t>
  </si>
  <si>
    <t>2803,689941</t>
  </si>
  <si>
    <t>2814,370117</t>
  </si>
  <si>
    <t>2816,879883</t>
  </si>
  <si>
    <t>2767,659912</t>
  </si>
  <si>
    <t>2792,810059</t>
  </si>
  <si>
    <t>2794,409912</t>
  </si>
  <si>
    <t>2796,439941</t>
  </si>
  <si>
    <t>2782,969971</t>
  </si>
  <si>
    <t>2789,649902</t>
  </si>
  <si>
    <t>2790,270020</t>
  </si>
  <si>
    <t>2768,689941</t>
  </si>
  <si>
    <t>2771,449951</t>
  </si>
  <si>
    <t>2766,530029</t>
  </si>
  <si>
    <t>2767,250000</t>
  </si>
  <si>
    <t>2739,090088</t>
  </si>
  <si>
    <t>2748,929932</t>
  </si>
  <si>
    <t>2730,790039</t>
  </si>
  <si>
    <t>2744,129883</t>
  </si>
  <si>
    <t>2722,270020</t>
  </si>
  <si>
    <t>2743,070068</t>
  </si>
  <si>
    <t>2747,610107</t>
  </si>
  <si>
    <t>2784,000000</t>
  </si>
  <si>
    <t>2783,300049</t>
  </si>
  <si>
    <t>2787,340088</t>
  </si>
  <si>
    <t>2798,320068</t>
  </si>
  <si>
    <t>2786,729980</t>
  </si>
  <si>
    <t>2791,520020</t>
  </si>
  <si>
    <t>2799,780029</t>
  </si>
  <si>
    <t>2821,239990</t>
  </si>
  <si>
    <t>2810,919922</t>
  </si>
  <si>
    <t>2810,379883</t>
  </si>
  <si>
    <t>2815,000000</t>
  </si>
  <si>
    <t>2803,459961</t>
  </si>
  <si>
    <t>2808,479980</t>
  </si>
  <si>
    <t>2810,790039</t>
  </si>
  <si>
    <t>2830,729980</t>
  </si>
  <si>
    <t>2822,479980</t>
  </si>
  <si>
    <t>2822,610107</t>
  </si>
  <si>
    <t>2835,409912</t>
  </si>
  <si>
    <t>2821,989990</t>
  </si>
  <si>
    <t>2832,939941</t>
  </si>
  <si>
    <t>2840,760010</t>
  </si>
  <si>
    <t>2852,419922</t>
  </si>
  <si>
    <t>2823,270020</t>
  </si>
  <si>
    <t>2832,570068</t>
  </si>
  <si>
    <t>2831,340088</t>
  </si>
  <si>
    <t>2843,540039</t>
  </si>
  <si>
    <t>2812,429932</t>
  </si>
  <si>
    <t>2824,229980</t>
  </si>
  <si>
    <t>2819,719971</t>
  </si>
  <si>
    <t>2860,310059</t>
  </si>
  <si>
    <t>2817,379883</t>
  </si>
  <si>
    <t>2854,879883</t>
  </si>
  <si>
    <t>2844,520020</t>
  </si>
  <si>
    <t>2846,159912</t>
  </si>
  <si>
    <t>2800,469971</t>
  </si>
  <si>
    <t>2800,709961</t>
  </si>
  <si>
    <t>2796,010010</t>
  </si>
  <si>
    <t>2809,790039</t>
  </si>
  <si>
    <t>2785,020020</t>
  </si>
  <si>
    <t>2798,360107</t>
  </si>
  <si>
    <t>2812,659912</t>
  </si>
  <si>
    <t>2829,870117</t>
  </si>
  <si>
    <t>2803,989990</t>
  </si>
  <si>
    <t>2818,459961</t>
  </si>
  <si>
    <t>2825,560059</t>
  </si>
  <si>
    <t>2787,719971</t>
  </si>
  <si>
    <t>2805,370117</t>
  </si>
  <si>
    <t>2809,399902</t>
  </si>
  <si>
    <t>2819,709961</t>
  </si>
  <si>
    <t>2798,770020</t>
  </si>
  <si>
    <t>2815,439941</t>
  </si>
  <si>
    <t>2828,270020</t>
  </si>
  <si>
    <t>2836,030029</t>
  </si>
  <si>
    <t>2819,229980</t>
  </si>
  <si>
    <t>2834,399902</t>
  </si>
  <si>
    <t>2848,629883</t>
  </si>
  <si>
    <t>2869,399902</t>
  </si>
  <si>
    <t>2867,189941</t>
  </si>
  <si>
    <t>2868,239990</t>
  </si>
  <si>
    <t>2872,899902</t>
  </si>
  <si>
    <t>2858,750000</t>
  </si>
  <si>
    <t>2867,239990</t>
  </si>
  <si>
    <t>2876,090088</t>
  </si>
  <si>
    <t>2885,250000</t>
  </si>
  <si>
    <t>2865,169922</t>
  </si>
  <si>
    <t>2873,399902</t>
  </si>
  <si>
    <t>2873,989990</t>
  </si>
  <si>
    <t>2881,280029</t>
  </si>
  <si>
    <t>2867,139893</t>
  </si>
  <si>
    <t>2879,389893</t>
  </si>
  <si>
    <t>2884,159912</t>
  </si>
  <si>
    <t>2893,239990</t>
  </si>
  <si>
    <t>2882,989990</t>
  </si>
  <si>
    <t>2892,739990</t>
  </si>
  <si>
    <t>2888,459961</t>
  </si>
  <si>
    <t>2895,949951</t>
  </si>
  <si>
    <t>2880,780029</t>
  </si>
  <si>
    <t>2886,580078</t>
  </si>
  <si>
    <t>2886,879883</t>
  </si>
  <si>
    <t>2873,330078</t>
  </si>
  <si>
    <t>2878,199951</t>
  </si>
  <si>
    <t>2881,370117</t>
  </si>
  <si>
    <t>2889,709961</t>
  </si>
  <si>
    <t>2879,129883</t>
  </si>
  <si>
    <t>2888,209961</t>
  </si>
  <si>
    <t>2891,919922</t>
  </si>
  <si>
    <t>2893,419922</t>
  </si>
  <si>
    <t>2881,989990</t>
  </si>
  <si>
    <t>2888,320068</t>
  </si>
  <si>
    <t>2900,860107</t>
  </si>
  <si>
    <t>2910,540039</t>
  </si>
  <si>
    <t>2907,409912</t>
  </si>
  <si>
    <t>2908,320068</t>
  </si>
  <si>
    <t>2909,600098</t>
  </si>
  <si>
    <t>2896,479980</t>
  </si>
  <si>
    <t>2905,580078</t>
  </si>
  <si>
    <t>2912,260010</t>
  </si>
  <si>
    <t>2916,060059</t>
  </si>
  <si>
    <t>2900,709961</t>
  </si>
  <si>
    <t>2907,060059</t>
  </si>
  <si>
    <t>2916,040039</t>
  </si>
  <si>
    <t>2918,000000</t>
  </si>
  <si>
    <t>2895,449951</t>
  </si>
  <si>
    <t>2900,449951</t>
  </si>
  <si>
    <t>2904,810059</t>
  </si>
  <si>
    <t>2908,399902</t>
  </si>
  <si>
    <t>2891,899902</t>
  </si>
  <si>
    <t>2905,030029</t>
  </si>
  <si>
    <t>2898,780029</t>
  </si>
  <si>
    <t>2909,510010</t>
  </si>
  <si>
    <t>2896,350098</t>
  </si>
  <si>
    <t>2907,969971</t>
  </si>
  <si>
    <t>2909,989990</t>
  </si>
  <si>
    <t>2936,310059</t>
  </si>
  <si>
    <t>2908,530029</t>
  </si>
  <si>
    <t>2933,679932</t>
  </si>
  <si>
    <t>2934,000000</t>
  </si>
  <si>
    <t>2936,830078</t>
  </si>
  <si>
    <t>2926,050049</t>
  </si>
  <si>
    <t>2927,250000</t>
  </si>
  <si>
    <t>2928,989990</t>
  </si>
  <si>
    <t>2933,100098</t>
  </si>
  <si>
    <t>2912,840088</t>
  </si>
  <si>
    <t>2926,169922</t>
  </si>
  <si>
    <t>2925,810059</t>
  </si>
  <si>
    <t>2939,879883</t>
  </si>
  <si>
    <t>2917,560059</t>
  </si>
  <si>
    <t>2940,580078</t>
  </si>
  <si>
    <t>2949,520020</t>
  </si>
  <si>
    <t>2939,350098</t>
  </si>
  <si>
    <t>2943,030029</t>
  </si>
  <si>
    <t>2937,139893</t>
  </si>
  <si>
    <t>2948,219971</t>
  </si>
  <si>
    <t>2924,110107</t>
  </si>
  <si>
    <t>2945,830078</t>
  </si>
  <si>
    <t>2952,330078</t>
  </si>
  <si>
    <t>2954,129883</t>
  </si>
  <si>
    <t>2923,360107</t>
  </si>
  <si>
    <t>2923,729980</t>
  </si>
  <si>
    <t>2922,159912</t>
  </si>
  <si>
    <t>2931,679932</t>
  </si>
  <si>
    <t>2900,500000</t>
  </si>
  <si>
    <t>2917,520020</t>
  </si>
  <si>
    <t>2929,209961</t>
  </si>
  <si>
    <t>2947,850098</t>
  </si>
  <si>
    <t>2945,639893</t>
  </si>
  <si>
    <t>2908,889893</t>
  </si>
  <si>
    <t>2937,320068</t>
  </si>
  <si>
    <t>2898,209961</t>
  </si>
  <si>
    <t>2932,469971</t>
  </si>
  <si>
    <t>2913,030029</t>
  </si>
  <si>
    <t>2862,600098</t>
  </si>
  <si>
    <t>2884,050049</t>
  </si>
  <si>
    <t>2879,610107</t>
  </si>
  <si>
    <t>2897,959961</t>
  </si>
  <si>
    <t>2873,280029</t>
  </si>
  <si>
    <t>2879,419922</t>
  </si>
  <si>
    <t>2859,840088</t>
  </si>
  <si>
    <t>2875,969971</t>
  </si>
  <si>
    <t>2836,399902</t>
  </si>
  <si>
    <t>2870,719971</t>
  </si>
  <si>
    <t>2863,100098</t>
  </si>
  <si>
    <t>2891,310059</t>
  </si>
  <si>
    <t>2825,389893</t>
  </si>
  <si>
    <t>2881,399902</t>
  </si>
  <si>
    <t>2840,189941</t>
  </si>
  <si>
    <t>2801,429932</t>
  </si>
  <si>
    <t>2811,870117</t>
  </si>
  <si>
    <t>2820,120117</t>
  </si>
  <si>
    <t>2852,540039</t>
  </si>
  <si>
    <t>2834,409912</t>
  </si>
  <si>
    <t>2820,379883</t>
  </si>
  <si>
    <t>2858,679932</t>
  </si>
  <si>
    <t>2815,080078</t>
  </si>
  <si>
    <t>2850,959961</t>
  </si>
  <si>
    <t>2855,800049</t>
  </si>
  <si>
    <t>2892,149902</t>
  </si>
  <si>
    <t>2876,320068</t>
  </si>
  <si>
    <t>2858,600098</t>
  </si>
  <si>
    <t>2885,479980</t>
  </si>
  <si>
    <t>2854,229980</t>
  </si>
  <si>
    <t>2859,530029</t>
  </si>
  <si>
    <t>2841,939941</t>
  </si>
  <si>
    <t>2853,860107</t>
  </si>
  <si>
    <t>2831,290039</t>
  </si>
  <si>
    <t>2840,229980</t>
  </si>
  <si>
    <t>2854,020020</t>
  </si>
  <si>
    <t>2868,879883</t>
  </si>
  <si>
    <t>2864,360107</t>
  </si>
  <si>
    <t>2856,060059</t>
  </si>
  <si>
    <t>2865,469971</t>
  </si>
  <si>
    <t>2851,110107</t>
  </si>
  <si>
    <t>2856,270020</t>
  </si>
  <si>
    <t>2836,699951</t>
  </si>
  <si>
    <t>2805,489990</t>
  </si>
  <si>
    <t>2822,239990</t>
  </si>
  <si>
    <t>2841,360107</t>
  </si>
  <si>
    <t>2820,189941</t>
  </si>
  <si>
    <t>2826,060059</t>
  </si>
  <si>
    <t>2830,030029</t>
  </si>
  <si>
    <t>2840,510010</t>
  </si>
  <si>
    <t>2801,580078</t>
  </si>
  <si>
    <t>2802,389893</t>
  </si>
  <si>
    <t>2790,250000</t>
  </si>
  <si>
    <t>2792,030029</t>
  </si>
  <si>
    <t>2766,060059</t>
  </si>
  <si>
    <t>2786,939941</t>
  </si>
  <si>
    <t>2799,000000</t>
  </si>
  <si>
    <t>2776,739990</t>
  </si>
  <si>
    <t>2788,860107</t>
  </si>
  <si>
    <t>2766,149902</t>
  </si>
  <si>
    <t>2768,979980</t>
  </si>
  <si>
    <t>2750,520020</t>
  </si>
  <si>
    <t>2752,060059</t>
  </si>
  <si>
    <t>2751,530029</t>
  </si>
  <si>
    <t>2763,070068</t>
  </si>
  <si>
    <t>2728,810059</t>
  </si>
  <si>
    <t>2744,449951</t>
  </si>
  <si>
    <t>2762,639893</t>
  </si>
  <si>
    <t>2803,270020</t>
  </si>
  <si>
    <t>2818,090088</t>
  </si>
  <si>
    <t>2827,280029</t>
  </si>
  <si>
    <t>2800,919922</t>
  </si>
  <si>
    <t>2826,149902</t>
  </si>
  <si>
    <t>2828,510010</t>
  </si>
  <si>
    <t>2852,100098</t>
  </si>
  <si>
    <t>2822,449951</t>
  </si>
  <si>
    <t>2843,489990</t>
  </si>
  <si>
    <t>2852,870117</t>
  </si>
  <si>
    <t>2884,969971</t>
  </si>
  <si>
    <t>2873,340088</t>
  </si>
  <si>
    <t>2885,830078</t>
  </si>
  <si>
    <t>2904,770020</t>
  </si>
  <si>
    <t>2885,510010</t>
  </si>
  <si>
    <t>2886,729980</t>
  </si>
  <si>
    <t>2903,270020</t>
  </si>
  <si>
    <t>2910,610107</t>
  </si>
  <si>
    <t>2878,530029</t>
  </si>
  <si>
    <t>2885,719971</t>
  </si>
  <si>
    <t>2882,729980</t>
  </si>
  <si>
    <t>2888,570068</t>
  </si>
  <si>
    <t>2874,679932</t>
  </si>
  <si>
    <t>2879,840088</t>
  </si>
  <si>
    <t>2886,239990</t>
  </si>
  <si>
    <t>2895,239990</t>
  </si>
  <si>
    <t>2891,639893</t>
  </si>
  <si>
    <t>2886,820068</t>
  </si>
  <si>
    <t>2894,449951</t>
  </si>
  <si>
    <t>2879,620117</t>
  </si>
  <si>
    <t>2886,979980</t>
  </si>
  <si>
    <t>2889,750000</t>
  </si>
  <si>
    <t>2897,270020</t>
  </si>
  <si>
    <t>2887,300049</t>
  </si>
  <si>
    <t>2889,669922</t>
  </si>
  <si>
    <t>2906,709961</t>
  </si>
  <si>
    <t>2930,790039</t>
  </si>
  <si>
    <t>2905,439941</t>
  </si>
  <si>
    <t>2917,750000</t>
  </si>
  <si>
    <t>2920,550049</t>
  </si>
  <si>
    <t>2931,739990</t>
  </si>
  <si>
    <t>2911,429932</t>
  </si>
  <si>
    <t>2926,459961</t>
  </si>
  <si>
    <t>2949,600098</t>
  </si>
  <si>
    <t>2958,060059</t>
  </si>
  <si>
    <t>2931,500000</t>
  </si>
  <si>
    <t>2954,179932</t>
  </si>
  <si>
    <t>2952,709961</t>
  </si>
  <si>
    <t>2964,149902</t>
  </si>
  <si>
    <t>2946,870117</t>
  </si>
  <si>
    <t>2950,459961</t>
  </si>
  <si>
    <t>2951,419922</t>
  </si>
  <si>
    <t>2954,919922</t>
  </si>
  <si>
    <t>2944,050049</t>
  </si>
  <si>
    <t>2945,350098</t>
  </si>
  <si>
    <t>2945,780029</t>
  </si>
  <si>
    <t>2946,520020</t>
  </si>
  <si>
    <t>2916,010010</t>
  </si>
  <si>
    <t>2917,379883</t>
  </si>
  <si>
    <t>2926,070068</t>
  </si>
  <si>
    <t>2932,590088</t>
  </si>
  <si>
    <t>2912,989990</t>
  </si>
  <si>
    <t>2913,780029</t>
  </si>
  <si>
    <t>2919,659912</t>
  </si>
  <si>
    <t>2929,300049</t>
  </si>
  <si>
    <t>2918,570068</t>
  </si>
  <si>
    <t>2924,919922</t>
  </si>
  <si>
    <t>2932,939941</t>
  </si>
  <si>
    <t>2943,979980</t>
  </si>
  <si>
    <t>2929,050049</t>
  </si>
  <si>
    <t>2941,760010</t>
  </si>
  <si>
    <t>2971,409912</t>
  </si>
  <si>
    <t>2977,929932</t>
  </si>
  <si>
    <t>2952,219971</t>
  </si>
  <si>
    <t>2964,330078</t>
  </si>
  <si>
    <t>2964,659912</t>
  </si>
  <si>
    <t>2973,209961</t>
  </si>
  <si>
    <t>2955,919922</t>
  </si>
  <si>
    <t>2973,010010</t>
  </si>
  <si>
    <t>2978,080078</t>
  </si>
  <si>
    <t>2995,840088</t>
  </si>
  <si>
    <t>2977,959961</t>
  </si>
  <si>
    <t>2995,820068</t>
  </si>
  <si>
    <t>2984,250000</t>
  </si>
  <si>
    <t>2994,030029</t>
  </si>
  <si>
    <t>2967,969971</t>
  </si>
  <si>
    <t>2990,409912</t>
  </si>
  <si>
    <t>2979,770020</t>
  </si>
  <si>
    <t>2980,760010</t>
  </si>
  <si>
    <t>2970,090088</t>
  </si>
  <si>
    <t>2975,949951</t>
  </si>
  <si>
    <t>2965,520020</t>
  </si>
  <si>
    <t>2981,899902</t>
  </si>
  <si>
    <t>2963,439941</t>
  </si>
  <si>
    <t>2979,629883</t>
  </si>
  <si>
    <t>2989,300049</t>
  </si>
  <si>
    <t>3002,979980</t>
  </si>
  <si>
    <t>2984,620117</t>
  </si>
  <si>
    <t>2993,070068</t>
  </si>
  <si>
    <t>2999,620117</t>
  </si>
  <si>
    <t>3002,330078</t>
  </si>
  <si>
    <t>2988,800049</t>
  </si>
  <si>
    <t>2999,909912</t>
  </si>
  <si>
    <t>3003,360107</t>
  </si>
  <si>
    <t>3013,919922</t>
  </si>
  <si>
    <t>3001,870117</t>
  </si>
  <si>
    <t>3013,770020</t>
  </si>
  <si>
    <t>3017,800049</t>
  </si>
  <si>
    <t>3008,770020</t>
  </si>
  <si>
    <t>3014,300049</t>
  </si>
  <si>
    <t>3012,129883</t>
  </si>
  <si>
    <t>3015,020020</t>
  </si>
  <si>
    <t>3001,149902</t>
  </si>
  <si>
    <t>3004,040039</t>
  </si>
  <si>
    <t>3005,100098</t>
  </si>
  <si>
    <t>3005,260010</t>
  </si>
  <si>
    <t>2984,419922</t>
  </si>
  <si>
    <t>2978,870117</t>
  </si>
  <si>
    <t>2998,280029</t>
  </si>
  <si>
    <t>2973,090088</t>
  </si>
  <si>
    <t>2995,110107</t>
  </si>
  <si>
    <t>3004,260010</t>
  </si>
  <si>
    <t>3006,020020</t>
  </si>
  <si>
    <t>2975,860107</t>
  </si>
  <si>
    <t>2976,610107</t>
  </si>
  <si>
    <t>2981,929932</t>
  </si>
  <si>
    <t>2990,709961</t>
  </si>
  <si>
    <t>2976,649902</t>
  </si>
  <si>
    <t>2985,030029</t>
  </si>
  <si>
    <t>2994,739990</t>
  </si>
  <si>
    <t>3005,899902</t>
  </si>
  <si>
    <t>2988,560059</t>
  </si>
  <si>
    <t>3005,469971</t>
  </si>
  <si>
    <t>2998,770020</t>
  </si>
  <si>
    <t>3019,590088</t>
  </si>
  <si>
    <t>2996,820068</t>
  </si>
  <si>
    <t>3019,560059</t>
  </si>
  <si>
    <t>3016,260010</t>
  </si>
  <si>
    <t>3016,310059</t>
  </si>
  <si>
    <t>2997,239990</t>
  </si>
  <si>
    <t>3003,669922</t>
  </si>
  <si>
    <t>3013,250000</t>
  </si>
  <si>
    <t>3027,979980</t>
  </si>
  <si>
    <t>3012,590088</t>
  </si>
  <si>
    <t>3025,860107</t>
  </si>
  <si>
    <t>3024,469971</t>
  </si>
  <si>
    <t>3025,610107</t>
  </si>
  <si>
    <t>3020,969971</t>
  </si>
  <si>
    <t>3007,659912</t>
  </si>
  <si>
    <t>3017,189941</t>
  </si>
  <si>
    <t>3000,939941</t>
  </si>
  <si>
    <t>3013,179932</t>
  </si>
  <si>
    <t>3016,219971</t>
  </si>
  <si>
    <t>3017,399902</t>
  </si>
  <si>
    <t>2958,080078</t>
  </si>
  <si>
    <t>2980,379883</t>
  </si>
  <si>
    <t>2980,320068</t>
  </si>
  <si>
    <t>3013,590088</t>
  </si>
  <si>
    <t>2945,229980</t>
  </si>
  <si>
    <t>2953,560059</t>
  </si>
  <si>
    <t>2943,899902</t>
  </si>
  <si>
    <t>2945,500000</t>
  </si>
  <si>
    <t>2914,110107</t>
  </si>
  <si>
    <t>2932,050049</t>
  </si>
  <si>
    <t>2898,070068</t>
  </si>
  <si>
    <t>2822,120117</t>
  </si>
  <si>
    <t>2844,739990</t>
  </si>
  <si>
    <t>2861,179932</t>
  </si>
  <si>
    <t>2884,399902</t>
  </si>
  <si>
    <t>2847,419922</t>
  </si>
  <si>
    <t>2881,770020</t>
  </si>
  <si>
    <t>2858,649902</t>
  </si>
  <si>
    <t>2892,169922</t>
  </si>
  <si>
    <t>2825,709961</t>
  </si>
  <si>
    <t>2883,979980</t>
  </si>
  <si>
    <t>2896,209961</t>
  </si>
  <si>
    <t>2938,719971</t>
  </si>
  <si>
    <t>2894,469971</t>
  </si>
  <si>
    <t>2938,090088</t>
  </si>
  <si>
    <t>2930,510010</t>
  </si>
  <si>
    <t>2935,750000</t>
  </si>
  <si>
    <t>2900,149902</t>
  </si>
  <si>
    <t>2918,649902</t>
  </si>
  <si>
    <t>2907,070068</t>
  </si>
  <si>
    <t>2907,580078</t>
  </si>
  <si>
    <t>2873,139893</t>
  </si>
  <si>
    <t>2882,699951</t>
  </si>
  <si>
    <t>2880,719971</t>
  </si>
  <si>
    <t>2943,310059</t>
  </si>
  <si>
    <t>2877,050049</t>
  </si>
  <si>
    <t>2926,320068</t>
  </si>
  <si>
    <t>2894,149902</t>
  </si>
  <si>
    <t>2839,639893</t>
  </si>
  <si>
    <t>2840,600098</t>
  </si>
  <si>
    <t>2846,199951</t>
  </si>
  <si>
    <t>2856,669922</t>
  </si>
  <si>
    <t>2825,510010</t>
  </si>
  <si>
    <t>2847,600098</t>
  </si>
  <si>
    <t>2864,739990</t>
  </si>
  <si>
    <t>2893,629883</t>
  </si>
  <si>
    <t>2888,679932</t>
  </si>
  <si>
    <t>2913,479980</t>
  </si>
  <si>
    <t>2931,000000</t>
  </si>
  <si>
    <t>2923,649902</t>
  </si>
  <si>
    <t>2919,010010</t>
  </si>
  <si>
    <t>2923,629883</t>
  </si>
  <si>
    <t>2899,600098</t>
  </si>
  <si>
    <t>2900,510010</t>
  </si>
  <si>
    <t>2922,040039</t>
  </si>
  <si>
    <t>2928,729980</t>
  </si>
  <si>
    <t>2924,429932</t>
  </si>
  <si>
    <t>2930,939941</t>
  </si>
  <si>
    <t>2939,080078</t>
  </si>
  <si>
    <t>2904,510010</t>
  </si>
  <si>
    <t>2922,949951</t>
  </si>
  <si>
    <t>2911,070068</t>
  </si>
  <si>
    <t>2927,010010</t>
  </si>
  <si>
    <t>2834,969971</t>
  </si>
  <si>
    <t>2847,110107</t>
  </si>
  <si>
    <t>2866,699951</t>
  </si>
  <si>
    <t>2879,270020</t>
  </si>
  <si>
    <t>2856,000000</t>
  </si>
  <si>
    <t>2878,379883</t>
  </si>
  <si>
    <t>2893,139893</t>
  </si>
  <si>
    <t>2898,790039</t>
  </si>
  <si>
    <t>2860,590088</t>
  </si>
  <si>
    <t>2869,159912</t>
  </si>
  <si>
    <t>2861,280029</t>
  </si>
  <si>
    <t>2890,030029</t>
  </si>
  <si>
    <t>2853,050049</t>
  </si>
  <si>
    <t>2887,939941</t>
  </si>
  <si>
    <t>2910,370117</t>
  </si>
  <si>
    <t>2930,500000</t>
  </si>
  <si>
    <t>2905,669922</t>
  </si>
  <si>
    <t>2924,580078</t>
  </si>
  <si>
    <t>2937,090088</t>
  </si>
  <si>
    <t>2940,429932</t>
  </si>
  <si>
    <t>2913,320068</t>
  </si>
  <si>
    <t>2909,010010</t>
  </si>
  <si>
    <t>2914,389893</t>
  </si>
  <si>
    <t>2891,850098</t>
  </si>
  <si>
    <t>2906,270020</t>
  </si>
  <si>
    <t>2924,669922</t>
  </si>
  <si>
    <t>2938,840088</t>
  </si>
  <si>
    <t>2921,860107</t>
  </si>
  <si>
    <t>2937,780029</t>
  </si>
  <si>
    <t>2960,600098</t>
  </si>
  <si>
    <t>2985,860107</t>
  </si>
  <si>
    <t>2976,000000</t>
  </si>
  <si>
    <t>2980,330078</t>
  </si>
  <si>
    <t>2972,510010</t>
  </si>
  <si>
    <t>2978,709961</t>
  </si>
  <si>
    <t>2988,429932</t>
  </si>
  <si>
    <t>2989,429932</t>
  </si>
  <si>
    <t>2969,389893</t>
  </si>
  <si>
    <t>2978,429932</t>
  </si>
  <si>
    <t>2971,010010</t>
  </si>
  <si>
    <t>2979,389893</t>
  </si>
  <si>
    <t>2957,010010</t>
  </si>
  <si>
    <t>2981,409912</t>
  </si>
  <si>
    <t>3000,929932</t>
  </si>
  <si>
    <t>2975,310059</t>
  </si>
  <si>
    <t>3009,080078</t>
  </si>
  <si>
    <t>3020,739990</t>
  </si>
  <si>
    <t>3000,919922</t>
  </si>
  <si>
    <t>3009,570068</t>
  </si>
  <si>
    <t>3012,209961</t>
  </si>
  <si>
    <t>3017,330078</t>
  </si>
  <si>
    <t>3002,899902</t>
  </si>
  <si>
    <t>3007,389893</t>
  </si>
  <si>
    <t>2996,409912</t>
  </si>
  <si>
    <t>3002,189941</t>
  </si>
  <si>
    <t>2990,669922</t>
  </si>
  <si>
    <t>2997,959961</t>
  </si>
  <si>
    <t>2995,669922</t>
  </si>
  <si>
    <t>3006,209961</t>
  </si>
  <si>
    <t>2993,729980</t>
  </si>
  <si>
    <t>3005,699951</t>
  </si>
  <si>
    <t>3001,500000</t>
  </si>
  <si>
    <t>3007,830078</t>
  </si>
  <si>
    <t>2978,570068</t>
  </si>
  <si>
    <t>3006,729980</t>
  </si>
  <si>
    <t>3010,360107</t>
  </si>
  <si>
    <t>3021,989990</t>
  </si>
  <si>
    <t>3003,159912</t>
  </si>
  <si>
    <t>3006,790039</t>
  </si>
  <si>
    <t>3008,419922</t>
  </si>
  <si>
    <t>3016,370117</t>
  </si>
  <si>
    <t>2984,679932</t>
  </si>
  <si>
    <t>2992,070068</t>
  </si>
  <si>
    <t>2983,500000</t>
  </si>
  <si>
    <t>2999,149902</t>
  </si>
  <si>
    <t>2982,229980</t>
  </si>
  <si>
    <t>2991,780029</t>
  </si>
  <si>
    <t>3002,429932</t>
  </si>
  <si>
    <t>3007,979980</t>
  </si>
  <si>
    <t>2957,729980</t>
  </si>
  <si>
    <t>2966,600098</t>
  </si>
  <si>
    <t>2968,350098</t>
  </si>
  <si>
    <t>2989,820068</t>
  </si>
  <si>
    <t>2952,860107</t>
  </si>
  <si>
    <t>2984,870117</t>
  </si>
  <si>
    <t>2985,729980</t>
  </si>
  <si>
    <t>2987,280029</t>
  </si>
  <si>
    <t>2963,709961</t>
  </si>
  <si>
    <t>2977,620117</t>
  </si>
  <si>
    <t>2985,469971</t>
  </si>
  <si>
    <t>2987,310059</t>
  </si>
  <si>
    <t>2945,530029</t>
  </si>
  <si>
    <t>2961,790039</t>
  </si>
  <si>
    <t>2967,070068</t>
  </si>
  <si>
    <t>2983,850098</t>
  </si>
  <si>
    <t>2976,739990</t>
  </si>
  <si>
    <t>2983,689941</t>
  </si>
  <si>
    <t>2992,530029</t>
  </si>
  <si>
    <t>2938,699951</t>
  </si>
  <si>
    <t>2940,250000</t>
  </si>
  <si>
    <t>2924,780029</t>
  </si>
  <si>
    <t>2874,929932</t>
  </si>
  <si>
    <t>2887,610107</t>
  </si>
  <si>
    <t>2885,379883</t>
  </si>
  <si>
    <t>2911,129883</t>
  </si>
  <si>
    <t>2855,939941</t>
  </si>
  <si>
    <t>2910,629883</t>
  </si>
  <si>
    <t>2918,560059</t>
  </si>
  <si>
    <t>2953,739990</t>
  </si>
  <si>
    <t>2952,010010</t>
  </si>
  <si>
    <t>2944,229980</t>
  </si>
  <si>
    <t>2959,750000</t>
  </si>
  <si>
    <t>2935,679932</t>
  </si>
  <si>
    <t>2938,790039</t>
  </si>
  <si>
    <t>2920,399902</t>
  </si>
  <si>
    <t>2925,469971</t>
  </si>
  <si>
    <t>2892,659912</t>
  </si>
  <si>
    <t>2893,060059</t>
  </si>
  <si>
    <t>2911,100098</t>
  </si>
  <si>
    <t>2929,320068</t>
  </si>
  <si>
    <t>2919,399902</t>
  </si>
  <si>
    <t>2918,550049</t>
  </si>
  <si>
    <t>2948,459961</t>
  </si>
  <si>
    <t>2917,120117</t>
  </si>
  <si>
    <t>2938,129883</t>
  </si>
  <si>
    <t>2963,070068</t>
  </si>
  <si>
    <t>2993,280029</t>
  </si>
  <si>
    <t>2970,270020</t>
  </si>
  <si>
    <t>2965,810059</t>
  </si>
  <si>
    <t>2972,840088</t>
  </si>
  <si>
    <t>2962,939941</t>
  </si>
  <si>
    <t>2966,149902</t>
  </si>
  <si>
    <t>2973,610107</t>
  </si>
  <si>
    <t>3003,280029</t>
  </si>
  <si>
    <t>2995,679932</t>
  </si>
  <si>
    <t>2989,679932</t>
  </si>
  <si>
    <t>2997,540039</t>
  </si>
  <si>
    <t>2985,199951</t>
  </si>
  <si>
    <t>2989,689941</t>
  </si>
  <si>
    <t>3000,770020</t>
  </si>
  <si>
    <t>3008,290039</t>
  </si>
  <si>
    <t>2991,790039</t>
  </si>
  <si>
    <t>2997,949951</t>
  </si>
  <si>
    <t>2996,840088</t>
  </si>
  <si>
    <t>3000,000000</t>
  </si>
  <si>
    <t>2976,310059</t>
  </si>
  <si>
    <t>2986,199951</t>
  </si>
  <si>
    <t>2996,479980</t>
  </si>
  <si>
    <t>3007,330078</t>
  </si>
  <si>
    <t>2995,350098</t>
  </si>
  <si>
    <t>3006,719971</t>
  </si>
  <si>
    <t>3010,729980</t>
  </si>
  <si>
    <t>3014,570068</t>
  </si>
  <si>
    <t>2995,040039</t>
  </si>
  <si>
    <t>2995,989990</t>
  </si>
  <si>
    <t>2994,010010</t>
  </si>
  <si>
    <t>3004,780029</t>
  </si>
  <si>
    <t>2991,209961</t>
  </si>
  <si>
    <t>3004,520020</t>
  </si>
  <si>
    <t>3014,780029</t>
  </si>
  <si>
    <t>3016,070068</t>
  </si>
  <si>
    <t>3000,419922</t>
  </si>
  <si>
    <t>3010,290039</t>
  </si>
  <si>
    <t>3003,320068</t>
  </si>
  <si>
    <t>3027,389893</t>
  </si>
  <si>
    <t>3001,939941</t>
  </si>
  <si>
    <t>3022,550049</t>
  </si>
  <si>
    <t>3032,120117</t>
  </si>
  <si>
    <t>3044,080078</t>
  </si>
  <si>
    <t>3039,419922</t>
  </si>
  <si>
    <t>3035,389893</t>
  </si>
  <si>
    <t>3047,870117</t>
  </si>
  <si>
    <t>3034,810059</t>
  </si>
  <si>
    <t>3036,889893</t>
  </si>
  <si>
    <t>3039,739990</t>
  </si>
  <si>
    <t>3050,100098</t>
  </si>
  <si>
    <t>3025,959961</t>
  </si>
  <si>
    <t>3046,770020</t>
  </si>
  <si>
    <t>3046,899902</t>
  </si>
  <si>
    <t>3023,189941</t>
  </si>
  <si>
    <t>3037,560059</t>
  </si>
  <si>
    <t>3050,719971</t>
  </si>
  <si>
    <t>3066,949951</t>
  </si>
  <si>
    <t>3066,909912</t>
  </si>
  <si>
    <t>3078,959961</t>
  </si>
  <si>
    <t>3085,199951</t>
  </si>
  <si>
    <t>3074,870117</t>
  </si>
  <si>
    <t>3078,270020</t>
  </si>
  <si>
    <t>3080,800049</t>
  </si>
  <si>
    <t>3083,949951</t>
  </si>
  <si>
    <t>3072,149902</t>
  </si>
  <si>
    <t>3074,620117</t>
  </si>
  <si>
    <t>3075,100098</t>
  </si>
  <si>
    <t>3078,340088</t>
  </si>
  <si>
    <t>3065,889893</t>
  </si>
  <si>
    <t>3076,780029</t>
  </si>
  <si>
    <t>3087,020020</t>
  </si>
  <si>
    <t>3097,770020</t>
  </si>
  <si>
    <t>3080,229980</t>
  </si>
  <si>
    <t>3085,179932</t>
  </si>
  <si>
    <t>3081,250000</t>
  </si>
  <si>
    <t>3093,090088</t>
  </si>
  <si>
    <t>3073,580078</t>
  </si>
  <si>
    <t>3093,080078</t>
  </si>
  <si>
    <t>3080,330078</t>
  </si>
  <si>
    <t>3088,330078</t>
  </si>
  <si>
    <t>3075,820068</t>
  </si>
  <si>
    <t>3087,010010</t>
  </si>
  <si>
    <t>3089,280029</t>
  </si>
  <si>
    <t>3102,610107</t>
  </si>
  <si>
    <t>3084,729980</t>
  </si>
  <si>
    <t>3091,840088</t>
  </si>
  <si>
    <t>3084,179932</t>
  </si>
  <si>
    <t>3098,060059</t>
  </si>
  <si>
    <t>3078,800049</t>
  </si>
  <si>
    <t>3094,040039</t>
  </si>
  <si>
    <t>3090,750000</t>
  </si>
  <si>
    <t>3098,199951</t>
  </si>
  <si>
    <t>3083,260010</t>
  </si>
  <si>
    <t>3096,629883</t>
  </si>
  <si>
    <t>3107,919922</t>
  </si>
  <si>
    <t>3120,459961</t>
  </si>
  <si>
    <t>3104,600098</t>
  </si>
  <si>
    <t>3117,909912</t>
  </si>
  <si>
    <t>3124,169922</t>
  </si>
  <si>
    <t>3112,060059</t>
  </si>
  <si>
    <t>3122,030029</t>
  </si>
  <si>
    <t>3127,449951</t>
  </si>
  <si>
    <t>3127,639893</t>
  </si>
  <si>
    <t>3113,469971</t>
  </si>
  <si>
    <t>3120,179932</t>
  </si>
  <si>
    <t>3114,659912</t>
  </si>
  <si>
    <t>3118,969971</t>
  </si>
  <si>
    <t>3091,409912</t>
  </si>
  <si>
    <t>3108,459961</t>
  </si>
  <si>
    <t>3108,489990</t>
  </si>
  <si>
    <t>3110,110107</t>
  </si>
  <si>
    <t>3094,550049</t>
  </si>
  <si>
    <t>3103,540039</t>
  </si>
  <si>
    <t>3111,409912</t>
  </si>
  <si>
    <t>3112,870117</t>
  </si>
  <si>
    <t>3099,260010</t>
  </si>
  <si>
    <t>3110,290039</t>
  </si>
  <si>
    <t>3117,439941</t>
  </si>
  <si>
    <t>3133,830078</t>
  </si>
  <si>
    <t>3133,639893</t>
  </si>
  <si>
    <t>3134,850098</t>
  </si>
  <si>
    <t>3142,689941</t>
  </si>
  <si>
    <t>3131,000000</t>
  </si>
  <si>
    <t>3140,520020</t>
  </si>
  <si>
    <t>3145,489990</t>
  </si>
  <si>
    <t>3154,260010</t>
  </si>
  <si>
    <t>3143,409912</t>
  </si>
  <si>
    <t>3153,629883</t>
  </si>
  <si>
    <t>3147,179932</t>
  </si>
  <si>
    <t>3150,300049</t>
  </si>
  <si>
    <t>3139,340088</t>
  </si>
  <si>
    <t>3140,979980</t>
  </si>
  <si>
    <t>3143,850098</t>
  </si>
  <si>
    <t>3144,310059</t>
  </si>
  <si>
    <t>3110,780029</t>
  </si>
  <si>
    <t>3113,870117</t>
  </si>
  <si>
    <t>3087,409912</t>
  </si>
  <si>
    <t>3094,969971</t>
  </si>
  <si>
    <t>3070,330078</t>
  </si>
  <si>
    <t>3093,199951</t>
  </si>
  <si>
    <t>3103,500000</t>
  </si>
  <si>
    <t>3119,379883</t>
  </si>
  <si>
    <t>3102,530029</t>
  </si>
  <si>
    <t>3112,760010</t>
  </si>
  <si>
    <t>3119,209961</t>
  </si>
  <si>
    <t>3119,449951</t>
  </si>
  <si>
    <t>3103,760010</t>
  </si>
  <si>
    <t>3117,429932</t>
  </si>
  <si>
    <t>3134,620117</t>
  </si>
  <si>
    <t>3150,600098</t>
  </si>
  <si>
    <t>3145,909912</t>
  </si>
  <si>
    <t>3141,860107</t>
  </si>
  <si>
    <t>3148,870117</t>
  </si>
  <si>
    <t>3135,459961</t>
  </si>
  <si>
    <t>3135,959961</t>
  </si>
  <si>
    <t>3135,360107</t>
  </si>
  <si>
    <t>3142,120117</t>
  </si>
  <si>
    <t>3126,090088</t>
  </si>
  <si>
    <t>3132,520020</t>
  </si>
  <si>
    <t>3135,750000</t>
  </si>
  <si>
    <t>3143,979980</t>
  </si>
  <si>
    <t>3133,209961</t>
  </si>
  <si>
    <t>3141,629883</t>
  </si>
  <si>
    <t>3141,229980</t>
  </si>
  <si>
    <t>3176,280029</t>
  </si>
  <si>
    <t>3138,469971</t>
  </si>
  <si>
    <t>3168,570068</t>
  </si>
  <si>
    <t>3166,649902</t>
  </si>
  <si>
    <t>3182,679932</t>
  </si>
  <si>
    <t>3156,510010</t>
  </si>
  <si>
    <t>3168,800049</t>
  </si>
  <si>
    <t>3183,629883</t>
  </si>
  <si>
    <t>3197,709961</t>
  </si>
  <si>
    <t>3191,449951</t>
  </si>
  <si>
    <t>3195,399902</t>
  </si>
  <si>
    <t>3198,219971</t>
  </si>
  <si>
    <t>3191,030029</t>
  </si>
  <si>
    <t>3192,520020</t>
  </si>
  <si>
    <t>3195,209961</t>
  </si>
  <si>
    <t>3198,479980</t>
  </si>
  <si>
    <t>3191,139893</t>
  </si>
  <si>
    <t>3192,320068</t>
  </si>
  <si>
    <t>3205,479980</t>
  </si>
  <si>
    <t>3205,370117</t>
  </si>
  <si>
    <t>3223,330078</t>
  </si>
  <si>
    <t>3225,649902</t>
  </si>
  <si>
    <t>3216,030029</t>
  </si>
  <si>
    <t>3221,219971</t>
  </si>
  <si>
    <t>3226,050049</t>
  </si>
  <si>
    <t>3227,780029</t>
  </si>
  <si>
    <t>3222,300049</t>
  </si>
  <si>
    <t>3224,010010</t>
  </si>
  <si>
    <t>3225,449951</t>
  </si>
  <si>
    <t>3226,429932</t>
  </si>
  <si>
    <t>3220,510010</t>
  </si>
  <si>
    <t>3223,379883</t>
  </si>
  <si>
    <t>3227,199951</t>
  </si>
  <si>
    <t>3240,080078</t>
  </si>
  <si>
    <t>3239,909912</t>
  </si>
  <si>
    <t>3247,229980</t>
  </si>
  <si>
    <t>3247,929932</t>
  </si>
  <si>
    <t>3234,370117</t>
  </si>
  <si>
    <t>3240,020020</t>
  </si>
  <si>
    <t>3240,090088</t>
  </si>
  <si>
    <t>3240,919922</t>
  </si>
  <si>
    <t>3216,570068</t>
  </si>
  <si>
    <t>3221,290039</t>
  </si>
  <si>
    <t>3215,179932</t>
  </si>
  <si>
    <t>3231,719971</t>
  </si>
  <si>
    <t>3212,030029</t>
  </si>
  <si>
    <t>3230,780029</t>
  </si>
  <si>
    <t>3244,669922</t>
  </si>
  <si>
    <t>3258,139893</t>
  </si>
  <si>
    <t>3235,530029</t>
  </si>
  <si>
    <t>3257,850098</t>
  </si>
  <si>
    <t>3226,360107</t>
  </si>
  <si>
    <t>3246,149902</t>
  </si>
  <si>
    <t>3222,340088</t>
  </si>
  <si>
    <t>3234,850098</t>
  </si>
  <si>
    <t>3217,550049</t>
  </si>
  <si>
    <t>3246,840088</t>
  </si>
  <si>
    <t>3214,639893</t>
  </si>
  <si>
    <t>3246,280029</t>
  </si>
  <si>
    <t>3241,860107</t>
  </si>
  <si>
    <t>3244,909912</t>
  </si>
  <si>
    <t>3232,429932</t>
  </si>
  <si>
    <t>3237,179932</t>
  </si>
  <si>
    <t>3238,590088</t>
  </si>
  <si>
    <t>3267,070068</t>
  </si>
  <si>
    <t>3236,669922</t>
  </si>
  <si>
    <t>3253,050049</t>
  </si>
  <si>
    <t>3266,030029</t>
  </si>
  <si>
    <t>3275,580078</t>
  </si>
  <si>
    <t>3263,669922</t>
  </si>
  <si>
    <t>3274,699951</t>
  </si>
  <si>
    <t>3281,810059</t>
  </si>
  <si>
    <t>3282,989990</t>
  </si>
  <si>
    <t>3260,860107</t>
  </si>
  <si>
    <t>3265,350098</t>
  </si>
  <si>
    <t>3271,129883</t>
  </si>
  <si>
    <t>3288,129883</t>
  </si>
  <si>
    <t>3268,429932</t>
  </si>
  <si>
    <t>3285,350098</t>
  </si>
  <si>
    <t>3294,250000</t>
  </si>
  <si>
    <t>3277,189941</t>
  </si>
  <si>
    <t>3283,149902</t>
  </si>
  <si>
    <t>3282,270020</t>
  </si>
  <si>
    <t>3298,659912</t>
  </si>
  <si>
    <t>3280,689941</t>
  </si>
  <si>
    <t>3289,290039</t>
  </si>
  <si>
    <t>3302,969971</t>
  </si>
  <si>
    <t>3317,110107</t>
  </si>
  <si>
    <t>3302,820068</t>
  </si>
  <si>
    <t>3316,810059</t>
  </si>
  <si>
    <t>3323,659912</t>
  </si>
  <si>
    <t>3329,879883</t>
  </si>
  <si>
    <t>3318,860107</t>
  </si>
  <si>
    <t>3329,620117</t>
  </si>
  <si>
    <t>3321,030029</t>
  </si>
  <si>
    <t>3329,790039</t>
  </si>
  <si>
    <t>3316,610107</t>
  </si>
  <si>
    <t>3320,790039</t>
  </si>
  <si>
    <t>3330,020020</t>
  </si>
  <si>
    <t>3337,770020</t>
  </si>
  <si>
    <t>3320,040039</t>
  </si>
  <si>
    <t>3321,750000</t>
  </si>
  <si>
    <t>3315,770020</t>
  </si>
  <si>
    <t>3326,879883</t>
  </si>
  <si>
    <t>3301,870117</t>
  </si>
  <si>
    <t>3325,540039</t>
  </si>
  <si>
    <t>3333,100098</t>
  </si>
  <si>
    <t>3333,179932</t>
  </si>
  <si>
    <t>3281,530029</t>
  </si>
  <si>
    <t>3295,469971</t>
  </si>
  <si>
    <t>3247,159912</t>
  </si>
  <si>
    <t>3258,850098</t>
  </si>
  <si>
    <t>3234,500000</t>
  </si>
  <si>
    <t>3243,629883</t>
  </si>
  <si>
    <t>3255,350098</t>
  </si>
  <si>
    <t>3285,780029</t>
  </si>
  <si>
    <t>3253,219971</t>
  </si>
  <si>
    <t>3276,239990</t>
  </si>
  <si>
    <t>3289,459961</t>
  </si>
  <si>
    <t>3293,469971</t>
  </si>
  <si>
    <t>3271,889893</t>
  </si>
  <si>
    <t>3273,399902</t>
  </si>
  <si>
    <t>3256,449951</t>
  </si>
  <si>
    <t>3285,909912</t>
  </si>
  <si>
    <t>3242,800049</t>
  </si>
  <si>
    <t>3283,659912</t>
  </si>
  <si>
    <t>3282,330078</t>
  </si>
  <si>
    <t>3214,679932</t>
  </si>
  <si>
    <t>3225,520020</t>
  </si>
  <si>
    <t>3235,659912</t>
  </si>
  <si>
    <t>3268,439941</t>
  </si>
  <si>
    <t>3248,919922</t>
  </si>
  <si>
    <t>3280,610107</t>
  </si>
  <si>
    <t>3306,919922</t>
  </si>
  <si>
    <t>3297,590088</t>
  </si>
  <si>
    <t>3324,909912</t>
  </si>
  <si>
    <t>3337,580078</t>
  </si>
  <si>
    <t>3313,750000</t>
  </si>
  <si>
    <t>3334,689941</t>
  </si>
  <si>
    <t>3344,919922</t>
  </si>
  <si>
    <t>3347,959961</t>
  </si>
  <si>
    <t>3334,389893</t>
  </si>
  <si>
    <t>3345,780029</t>
  </si>
  <si>
    <t>3335,540039</t>
  </si>
  <si>
    <t>3341,419922</t>
  </si>
  <si>
    <t>3322,120117</t>
  </si>
  <si>
    <t>3327,709961</t>
  </si>
  <si>
    <t>3318,280029</t>
  </si>
  <si>
    <t>3352,260010</t>
  </si>
  <si>
    <t>3317,770020</t>
  </si>
  <si>
    <t>3352,090088</t>
  </si>
  <si>
    <t>3365,870117</t>
  </si>
  <si>
    <t>3375,629883</t>
  </si>
  <si>
    <t>3352,719971</t>
  </si>
  <si>
    <t>3357,750000</t>
  </si>
  <si>
    <t>3370,500000</t>
  </si>
  <si>
    <t>3381,469971</t>
  </si>
  <si>
    <t>3369,719971</t>
  </si>
  <si>
    <t>3379,449951</t>
  </si>
  <si>
    <t>3365,899902</t>
  </si>
  <si>
    <t>3385,090088</t>
  </si>
  <si>
    <t>3360,520020</t>
  </si>
  <si>
    <t>3373,939941</t>
  </si>
  <si>
    <t>3378,080078</t>
  </si>
  <si>
    <t>3380,689941</t>
  </si>
  <si>
    <t>3366,149902</t>
  </si>
  <si>
    <t>3380,159912</t>
  </si>
  <si>
    <t>3369,040039</t>
  </si>
  <si>
    <t>3375,010010</t>
  </si>
  <si>
    <t>3355,610107</t>
  </si>
  <si>
    <t>3370,290039</t>
  </si>
  <si>
    <t>3380,389893</t>
  </si>
  <si>
    <t>3393,520020</t>
  </si>
  <si>
    <t>3378,830078</t>
  </si>
  <si>
    <t>3386,149902</t>
  </si>
  <si>
    <t>3380,449951</t>
  </si>
  <si>
    <t>3389,149902</t>
  </si>
  <si>
    <t>3341,020020</t>
  </si>
  <si>
    <t>3373,229980</t>
  </si>
  <si>
    <t>3360,500000</t>
  </si>
  <si>
    <t>3360,760010</t>
  </si>
  <si>
    <t>3328,449951</t>
  </si>
  <si>
    <t>3337,750000</t>
  </si>
  <si>
    <t>3257,610107</t>
  </si>
  <si>
    <t>3259,810059</t>
  </si>
  <si>
    <t>3214,649902</t>
  </si>
  <si>
    <t>3225,889893</t>
  </si>
  <si>
    <t>3238,939941</t>
  </si>
  <si>
    <t>3246,989990</t>
  </si>
  <si>
    <t>3118,770020</t>
  </si>
  <si>
    <t>3128,209961</t>
  </si>
  <si>
    <t>3139,899902</t>
  </si>
  <si>
    <t>3182,510010</t>
  </si>
  <si>
    <t>3108,989990</t>
  </si>
  <si>
    <t>3116,389893</t>
  </si>
  <si>
    <t>3062,540039</t>
  </si>
  <si>
    <t>3097,070068</t>
  </si>
  <si>
    <t>2977,389893</t>
  </si>
  <si>
    <t>2978,760010</t>
  </si>
  <si>
    <t>2916,899902</t>
  </si>
  <si>
    <t>2959,719971</t>
  </si>
  <si>
    <t>2855,840088</t>
  </si>
  <si>
    <t>2954,219971</t>
  </si>
  <si>
    <t>2974,280029</t>
  </si>
  <si>
    <t>3090,959961</t>
  </si>
  <si>
    <t>2945,189941</t>
  </si>
  <si>
    <t>3090,229980</t>
  </si>
  <si>
    <t>3096,459961</t>
  </si>
  <si>
    <t>3136,719971</t>
  </si>
  <si>
    <t>2976,629883</t>
  </si>
  <si>
    <t>3003,370117</t>
  </si>
  <si>
    <t>3045,750000</t>
  </si>
  <si>
    <t>3130,969971</t>
  </si>
  <si>
    <t>3034,379883</t>
  </si>
  <si>
    <t>3130,120117</t>
  </si>
  <si>
    <t>3075,699951</t>
  </si>
  <si>
    <t>3083,040039</t>
  </si>
  <si>
    <t>2999,830078</t>
  </si>
  <si>
    <t>3023,939941</t>
  </si>
  <si>
    <t>2954,199951</t>
  </si>
  <si>
    <t>2985,929932</t>
  </si>
  <si>
    <t>2901,540039</t>
  </si>
  <si>
    <t>2972,370117</t>
  </si>
  <si>
    <t>2863,889893</t>
  </si>
  <si>
    <t>2734,429932</t>
  </si>
  <si>
    <t>2746,560059</t>
  </si>
  <si>
    <t>2813,479980</t>
  </si>
  <si>
    <t>2882,590088</t>
  </si>
  <si>
    <t>2734,000000</t>
  </si>
  <si>
    <t>2882,229980</t>
  </si>
  <si>
    <t>2825,600098</t>
  </si>
  <si>
    <t>2707,219971</t>
  </si>
  <si>
    <t>2660,949951</t>
  </si>
  <si>
    <t>2478,860107</t>
  </si>
  <si>
    <t>2480,639893</t>
  </si>
  <si>
    <t>S&amp;P 500 data</t>
  </si>
  <si>
    <t>Constant</t>
  </si>
  <si>
    <t>matrix coefs</t>
  </si>
  <si>
    <t>sigma</t>
  </si>
  <si>
    <t>Logarithmic Return</t>
  </si>
  <si>
    <t>Volume Change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</si>
  <si>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</si>
  <si>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</si>
  <si>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</si>
  <si>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</si>
  <si>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</si>
  <si>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</si>
  <si>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</si>
  <si>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</si>
  <si>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</si>
  <si>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</si>
  <si>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</si>
  <si>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</si>
  <si>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</si>
  <si>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</si>
  <si>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Normal Distr.   (0,1)</t>
  </si>
  <si>
    <t>Stock Price</t>
  </si>
  <si>
    <t>Sigma</t>
  </si>
  <si>
    <r>
      <rPr>
        <sz val="11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</si>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</sst>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CZK&quot;;[Red]\-#,##0.00\ &quot;CZK&quot;"/>
    <numFmt numFmtId="43" formatCode="_-* #,##0.00_-;\-* #,##0.00_-;_-* &quot;-&quot;??_-;_-@_-"/>
    <numFmt numFmtId="164" formatCode="_-* #,##0_-;\-* #,##0_-;_-* &quot;-&quot;??_-;_-@_-"/>
    <numFmt numFmtId="165" formatCode="_-* #,##0\ [$€-1]_-;\-* #,##0\ [$€-1]_-;_-* &quot;-&quot;??\ [$€-1]_-;_-@_-"/>
    <numFmt numFmtId="166" formatCode="0.0%"/>
    <numFmt numFmtId="167" formatCode="0.0000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</cellStyleXfs>
  <cellXfs count="39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4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4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9" fontId="3" fillId="0" borderId="0" xfId="0" applyNumberFormat="1" applyFont="1"/>
    <xf numFmtId="166" fontId="0" fillId="0" borderId="0" xfId="2" applyNumberFormat="1" applyFont="1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0" xfId="3" applyAlignment="1">
      <alignment horizontal="center"/>
    </xf>
    <xf numFmtId="0" fontId="5" fillId="0" borderId="0" xfId="3"/>
    <xf numFmtId="14" fontId="5" fillId="0" borderId="0" xfId="3" applyNumberFormat="1"/>
    <xf numFmtId="164" fontId="0" fillId="0" borderId="0" xfId="4" applyNumberFormat="1" applyFont="1"/>
    <xf numFmtId="167" fontId="5" fillId="0" borderId="0" xfId="3" applyNumberFormat="1" applyAlignment="1">
      <alignment horizontal="center"/>
    </xf>
    <xf numFmtId="1" fontId="0" fillId="0" borderId="0" xfId="4" applyNumberFormat="1" applyFont="1" applyAlignment="1">
      <alignment horizontal="center"/>
    </xf>
    <xf numFmtId="0" fontId="5" fillId="0" borderId="1" xfId="3" applyBorder="1" applyAlignment="1">
      <alignment horizontal="center"/>
    </xf>
    <xf numFmtId="0" fontId="5" fillId="0" borderId="2" xfId="3" applyBorder="1" applyAlignment="1">
      <alignment horizontal="center"/>
    </xf>
    <xf numFmtId="0" fontId="5" fillId="0" borderId="3" xfId="3" applyBorder="1" applyAlignment="1">
      <alignment horizontal="center"/>
    </xf>
    <xf numFmtId="0" fontId="5" fillId="0" borderId="4" xfId="3" applyBorder="1"/>
    <xf numFmtId="10" fontId="5" fillId="0" borderId="4" xfId="3" applyNumberFormat="1" applyBorder="1"/>
    <xf numFmtId="3" fontId="5" fillId="0" borderId="4" xfId="3" applyNumberFormat="1" applyBorder="1"/>
    <xf numFmtId="0" fontId="5" fillId="0" borderId="4" xfId="3" applyBorder="1" applyAlignment="1">
      <alignment horizontal="center" vertical="center"/>
    </xf>
    <xf numFmtId="0" fontId="5" fillId="0" borderId="4" xfId="3" applyBorder="1" applyAlignment="1">
      <alignment horizontal="center" wrapText="1"/>
    </xf>
    <xf numFmtId="0" fontId="6" fillId="0" borderId="4" xfId="3" applyFont="1" applyBorder="1"/>
    <xf numFmtId="0" fontId="5" fillId="0" borderId="4" xfId="3" applyBorder="1" applyAlignment="1">
      <alignment horizontal="center"/>
    </xf>
    <xf numFmtId="0" fontId="5" fillId="0" borderId="4" xfId="3" applyBorder="1" applyAlignment="1">
      <alignment horizontal="center"/>
    </xf>
    <xf numFmtId="0" fontId="5" fillId="0" borderId="4" xfId="3" applyBorder="1" applyAlignment="1">
      <alignment horizontal="right"/>
    </xf>
    <xf numFmtId="164" fontId="0" fillId="0" borderId="0" xfId="4" applyNumberFormat="1" applyFont="1" applyAlignment="1">
      <alignment horizontal="center"/>
    </xf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 cent" xfId="2" builtinId="5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MSFT!$A$2:$A$1269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MSFT!$D$2:$D$1268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6708333333333336"/>
          <c:w val="0.8044984556963114"/>
          <c:h val="0.7379423842181018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MSFT!$A$2:$A$1269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MSFT!$C$2:$C$1269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MSFT!$O$45:$O$65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MSFT!$Q$45:$Q$65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</xdr:row>
      <xdr:rowOff>99060</xdr:rowOff>
    </xdr:from>
    <xdr:to>
      <xdr:col>14</xdr:col>
      <xdr:colOff>7620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129540</xdr:colOff>
      <xdr:row>9</xdr:row>
      <xdr:rowOff>83820</xdr:rowOff>
    </xdr:from>
    <xdr:to>
      <xdr:col>21</xdr:col>
      <xdr:colOff>259080</xdr:colOff>
      <xdr:row>24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137160</xdr:colOff>
      <xdr:row>25</xdr:row>
      <xdr:rowOff>179070</xdr:rowOff>
    </xdr:from>
    <xdr:to>
      <xdr:col>21</xdr:col>
      <xdr:colOff>259080</xdr:colOff>
      <xdr:row>42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95250</xdr:rowOff>
    </xdr:from>
    <xdr:to>
      <xdr:col>18</xdr:col>
      <xdr:colOff>228600</xdr:colOff>
      <xdr:row>36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SFT"/>
    </sheetNames>
    <sheetDataSet>
      <sheetData sheetId="0">
        <row r="2">
          <cell r="A2">
            <v>42065</v>
          </cell>
          <cell r="C2">
            <v>31924000</v>
          </cell>
          <cell r="D2">
            <v>-1.3768311448059681E-2</v>
          </cell>
        </row>
        <row r="3">
          <cell r="A3">
            <v>42066</v>
          </cell>
          <cell r="C3">
            <v>31748600</v>
          </cell>
          <cell r="D3">
            <v>-5.0961788074067507E-3</v>
          </cell>
        </row>
        <row r="4">
          <cell r="A4">
            <v>42067</v>
          </cell>
          <cell r="C4">
            <v>25748700</v>
          </cell>
          <cell r="D4">
            <v>1.1607483086424407E-3</v>
          </cell>
        </row>
        <row r="5">
          <cell r="A5">
            <v>42068</v>
          </cell>
          <cell r="C5">
            <v>23193500</v>
          </cell>
          <cell r="D5">
            <v>-1.7550532558731884E-2</v>
          </cell>
        </row>
        <row r="6">
          <cell r="A6">
            <v>42069</v>
          </cell>
          <cell r="C6">
            <v>36248800</v>
          </cell>
          <cell r="D6">
            <v>1.1501137740280422E-2</v>
          </cell>
        </row>
        <row r="7">
          <cell r="A7">
            <v>42072</v>
          </cell>
          <cell r="C7">
            <v>32108000</v>
          </cell>
          <cell r="D7">
            <v>-1.9322169458859333E-2</v>
          </cell>
        </row>
        <row r="8">
          <cell r="A8">
            <v>42073</v>
          </cell>
          <cell r="C8">
            <v>39159700</v>
          </cell>
          <cell r="D8">
            <v>-1.1902758294672618E-3</v>
          </cell>
        </row>
        <row r="9">
          <cell r="A9">
            <v>42074</v>
          </cell>
          <cell r="C9">
            <v>32215300</v>
          </cell>
          <cell r="D9">
            <v>-2.3133421658477208E-2</v>
          </cell>
        </row>
        <row r="10">
          <cell r="A10">
            <v>42075</v>
          </cell>
          <cell r="C10">
            <v>59992500</v>
          </cell>
          <cell r="D10">
            <v>8.7379601820990593E-3</v>
          </cell>
        </row>
        <row r="11">
          <cell r="A11">
            <v>42076</v>
          </cell>
          <cell r="C11">
            <v>58007700</v>
          </cell>
          <cell r="D11">
            <v>4.3403004236584374E-3</v>
          </cell>
        </row>
        <row r="12">
          <cell r="A12">
            <v>42079</v>
          </cell>
          <cell r="C12">
            <v>35273500</v>
          </cell>
          <cell r="D12">
            <v>3.3629668996688635E-3</v>
          </cell>
        </row>
        <row r="13">
          <cell r="A13">
            <v>42080</v>
          </cell>
          <cell r="C13">
            <v>31673400</v>
          </cell>
          <cell r="D13">
            <v>1.9002956387131672E-2</v>
          </cell>
        </row>
        <row r="14">
          <cell r="A14">
            <v>42081</v>
          </cell>
          <cell r="C14">
            <v>44194800</v>
          </cell>
          <cell r="D14">
            <v>-4.9532209806805788E-3</v>
          </cell>
        </row>
        <row r="15">
          <cell r="A15">
            <v>42082</v>
          </cell>
          <cell r="C15">
            <v>33879100</v>
          </cell>
          <cell r="D15">
            <v>1.3854865241454638E-2</v>
          </cell>
        </row>
        <row r="16">
          <cell r="A16">
            <v>42083</v>
          </cell>
          <cell r="C16">
            <v>71904500</v>
          </cell>
          <cell r="D16">
            <v>-4.6648285866928959E-4</v>
          </cell>
        </row>
        <row r="17">
          <cell r="A17">
            <v>42086</v>
          </cell>
          <cell r="C17">
            <v>26246100</v>
          </cell>
          <cell r="D17">
            <v>9.3264480599716479E-4</v>
          </cell>
        </row>
        <row r="18">
          <cell r="A18">
            <v>42087</v>
          </cell>
          <cell r="C18">
            <v>25513300</v>
          </cell>
          <cell r="D18">
            <v>-3.4142669542604226E-2</v>
          </cell>
        </row>
        <row r="19">
          <cell r="A19">
            <v>42088</v>
          </cell>
          <cell r="C19">
            <v>43469900</v>
          </cell>
          <cell r="D19">
            <v>-6.0482648642400192E-3</v>
          </cell>
        </row>
        <row r="20">
          <cell r="A20">
            <v>42089</v>
          </cell>
          <cell r="C20">
            <v>37495600</v>
          </cell>
          <cell r="D20">
            <v>-5.8405480142997793E-3</v>
          </cell>
        </row>
        <row r="21">
          <cell r="A21">
            <v>42090</v>
          </cell>
          <cell r="C21">
            <v>34401400</v>
          </cell>
          <cell r="D21">
            <v>-2.4414200760991864E-4</v>
          </cell>
        </row>
        <row r="22">
          <cell r="A22">
            <v>42093</v>
          </cell>
          <cell r="C22">
            <v>35049700</v>
          </cell>
          <cell r="D22">
            <v>-7.3514331696913965E-3</v>
          </cell>
        </row>
        <row r="23">
          <cell r="A23">
            <v>42094</v>
          </cell>
          <cell r="C23">
            <v>34887200</v>
          </cell>
          <cell r="D23">
            <v>1.4747254195854192E-3</v>
          </cell>
        </row>
        <row r="24">
          <cell r="A24">
            <v>42095</v>
          </cell>
          <cell r="C24">
            <v>36865300</v>
          </cell>
          <cell r="D24">
            <v>-1.0615895997254489E-2</v>
          </cell>
        </row>
        <row r="25">
          <cell r="A25">
            <v>42096</v>
          </cell>
          <cell r="C25">
            <v>37487500</v>
          </cell>
          <cell r="D25">
            <v>3.0793849628447816E-2</v>
          </cell>
        </row>
        <row r="26">
          <cell r="A26">
            <v>42100</v>
          </cell>
          <cell r="C26">
            <v>39223700</v>
          </cell>
          <cell r="D26">
            <v>-4.8152532001892679E-4</v>
          </cell>
        </row>
        <row r="27">
          <cell r="A27">
            <v>42101</v>
          </cell>
          <cell r="C27">
            <v>28809400</v>
          </cell>
          <cell r="D27">
            <v>-2.652220572064361E-3</v>
          </cell>
        </row>
        <row r="28">
          <cell r="A28">
            <v>42102</v>
          </cell>
          <cell r="C28">
            <v>24753400</v>
          </cell>
          <cell r="D28">
            <v>1.4478998734120689E-3</v>
          </cell>
        </row>
        <row r="29">
          <cell r="A29">
            <v>42103</v>
          </cell>
          <cell r="C29">
            <v>25723900</v>
          </cell>
          <cell r="D29">
            <v>5.7690246752736766E-3</v>
          </cell>
        </row>
        <row r="30">
          <cell r="A30">
            <v>42104</v>
          </cell>
          <cell r="C30">
            <v>28022000</v>
          </cell>
          <cell r="D30">
            <v>9.5843601813830727E-4</v>
          </cell>
        </row>
        <row r="31">
          <cell r="A31">
            <v>42107</v>
          </cell>
          <cell r="C31">
            <v>30276700</v>
          </cell>
          <cell r="D31">
            <v>-2.6374865730509718E-3</v>
          </cell>
        </row>
        <row r="32">
          <cell r="A32">
            <v>42108</v>
          </cell>
          <cell r="C32">
            <v>24244400</v>
          </cell>
          <cell r="D32">
            <v>1.453938825103551E-2</v>
          </cell>
        </row>
        <row r="33">
          <cell r="A33">
            <v>42109</v>
          </cell>
          <cell r="C33">
            <v>27343600</v>
          </cell>
          <cell r="D33">
            <v>-2.368885485668657E-3</v>
          </cell>
        </row>
        <row r="34">
          <cell r="A34">
            <v>42110</v>
          </cell>
          <cell r="C34">
            <v>22509700</v>
          </cell>
          <cell r="D34">
            <v>-1.2891249088891527E-2</v>
          </cell>
        </row>
        <row r="35">
          <cell r="A35">
            <v>42111</v>
          </cell>
          <cell r="C35">
            <v>42387600</v>
          </cell>
          <cell r="D35">
            <v>3.0523996278372018E-2</v>
          </cell>
        </row>
        <row r="36">
          <cell r="A36">
            <v>42114</v>
          </cell>
          <cell r="C36">
            <v>46057700</v>
          </cell>
          <cell r="D36">
            <v>-6.3117854925977988E-3</v>
          </cell>
        </row>
        <row r="37">
          <cell r="A37">
            <v>42115</v>
          </cell>
          <cell r="C37">
            <v>26013800</v>
          </cell>
          <cell r="D37">
            <v>8.1746552651517698E-3</v>
          </cell>
        </row>
        <row r="38">
          <cell r="A38">
            <v>42116</v>
          </cell>
          <cell r="C38">
            <v>25064300</v>
          </cell>
          <cell r="D38">
            <v>8.1083717551697441E-3</v>
          </cell>
        </row>
        <row r="39">
          <cell r="A39">
            <v>42117</v>
          </cell>
          <cell r="C39">
            <v>46309500</v>
          </cell>
          <cell r="D39">
            <v>9.941303979719146E-2</v>
          </cell>
        </row>
        <row r="40">
          <cell r="A40">
            <v>42118</v>
          </cell>
          <cell r="C40">
            <v>130933700</v>
          </cell>
          <cell r="D40">
            <v>3.3367764041909065E-3</v>
          </cell>
        </row>
        <row r="41">
          <cell r="A41">
            <v>42121</v>
          </cell>
          <cell r="C41">
            <v>59248200</v>
          </cell>
          <cell r="D41">
            <v>2.3254588944977974E-2</v>
          </cell>
        </row>
        <row r="42">
          <cell r="A42">
            <v>42122</v>
          </cell>
          <cell r="C42">
            <v>60730800</v>
          </cell>
          <cell r="D42">
            <v>-2.0363932918983029E-3</v>
          </cell>
        </row>
        <row r="43">
          <cell r="A43">
            <v>42123</v>
          </cell>
          <cell r="C43">
            <v>47804600</v>
          </cell>
          <cell r="D43">
            <v>-8.5978113505696466E-3</v>
          </cell>
        </row>
        <row r="44">
          <cell r="A44">
            <v>42124</v>
          </cell>
          <cell r="C44">
            <v>64725500</v>
          </cell>
          <cell r="D44">
            <v>4.1131182161018557E-4</v>
          </cell>
        </row>
        <row r="45">
          <cell r="A45">
            <v>42125</v>
          </cell>
          <cell r="C45">
            <v>38937300</v>
          </cell>
          <cell r="D45">
            <v>-8.6688854005277684E-3</v>
          </cell>
          <cell r="O45" t="str">
            <v>&lt;=-0.0996</v>
          </cell>
          <cell r="Q45">
            <v>1</v>
          </cell>
        </row>
        <row r="46">
          <cell r="A46">
            <v>42128</v>
          </cell>
          <cell r="C46">
            <v>34039500</v>
          </cell>
          <cell r="D46">
            <v>-1.3355902190165577E-2</v>
          </cell>
          <cell r="O46" t="str">
            <v>(-0.1,-0.09]</v>
          </cell>
          <cell r="Q46">
            <v>0</v>
          </cell>
        </row>
        <row r="47">
          <cell r="A47">
            <v>42129</v>
          </cell>
          <cell r="C47">
            <v>50369200</v>
          </cell>
          <cell r="D47">
            <v>-2.8122769561925828E-2</v>
          </cell>
          <cell r="O47" t="str">
            <v>(-0.09,-0.08]</v>
          </cell>
          <cell r="Q47">
            <v>0</v>
          </cell>
        </row>
        <row r="48">
          <cell r="A48">
            <v>42130</v>
          </cell>
          <cell r="C48">
            <v>52433000</v>
          </cell>
          <cell r="D48">
            <v>9.0342722324336534E-3</v>
          </cell>
          <cell r="O48" t="str">
            <v>(-0.08,-0.07]</v>
          </cell>
          <cell r="Q48">
            <v>3</v>
          </cell>
        </row>
        <row r="49">
          <cell r="A49">
            <v>42131</v>
          </cell>
          <cell r="C49">
            <v>32971700</v>
          </cell>
          <cell r="D49">
            <v>2.2234926198898688E-2</v>
          </cell>
          <cell r="O49" t="str">
            <v>(-0.07,-0.06]</v>
          </cell>
          <cell r="Q49">
            <v>0</v>
          </cell>
        </row>
        <row r="50">
          <cell r="A50">
            <v>42132</v>
          </cell>
          <cell r="C50">
            <v>35364900</v>
          </cell>
          <cell r="D50">
            <v>-7.9901324541186824E-3</v>
          </cell>
          <cell r="O50" t="str">
            <v>(-0.06,-0.05]</v>
          </cell>
          <cell r="Q50">
            <v>4</v>
          </cell>
        </row>
        <row r="51">
          <cell r="A51">
            <v>42135</v>
          </cell>
          <cell r="C51">
            <v>24609400</v>
          </cell>
          <cell r="D51">
            <v>-4.2200003560420883E-4</v>
          </cell>
          <cell r="O51" t="str">
            <v>(-0.05,-0.04]</v>
          </cell>
          <cell r="Q51">
            <v>9</v>
          </cell>
        </row>
        <row r="52">
          <cell r="A52">
            <v>42136</v>
          </cell>
          <cell r="C52">
            <v>29928300</v>
          </cell>
          <cell r="D52">
            <v>5.8958377763066649E-3</v>
          </cell>
          <cell r="O52" t="str">
            <v>(-0.04,-0.03]</v>
          </cell>
          <cell r="Q52">
            <v>22</v>
          </cell>
        </row>
        <row r="53">
          <cell r="A53">
            <v>42137</v>
          </cell>
          <cell r="C53">
            <v>34184600</v>
          </cell>
          <cell r="D53">
            <v>2.2626823614754207E-2</v>
          </cell>
          <cell r="O53" t="str">
            <v>(-0.03,-0.02]</v>
          </cell>
          <cell r="Q53">
            <v>42</v>
          </cell>
        </row>
        <row r="54">
          <cell r="A54">
            <v>42138</v>
          </cell>
          <cell r="C54">
            <v>32980900</v>
          </cell>
          <cell r="D54">
            <v>-8.6582329741158419E-3</v>
          </cell>
          <cell r="O54" t="str">
            <v>(-0.02,-0.01]</v>
          </cell>
          <cell r="Q54">
            <v>124</v>
          </cell>
        </row>
        <row r="55">
          <cell r="A55">
            <v>42139</v>
          </cell>
          <cell r="C55">
            <v>28642700</v>
          </cell>
          <cell r="D55">
            <v>-6.0220873433690612E-3</v>
          </cell>
          <cell r="O55" t="str">
            <v>(-0.01,0]</v>
          </cell>
          <cell r="Q55">
            <v>360</v>
          </cell>
        </row>
        <row r="56">
          <cell r="A56">
            <v>42142</v>
          </cell>
          <cell r="C56">
            <v>24136500</v>
          </cell>
          <cell r="D56">
            <v>-2.5189077010013151E-3</v>
          </cell>
          <cell r="O56" t="str">
            <v>(0,0.01]</v>
          </cell>
          <cell r="Q56">
            <v>425</v>
          </cell>
        </row>
        <row r="57">
          <cell r="A57">
            <v>42143</v>
          </cell>
          <cell r="C57">
            <v>28574800</v>
          </cell>
          <cell r="D57">
            <v>0</v>
          </cell>
          <cell r="O57" t="str">
            <v>(0.01,0.02]</v>
          </cell>
          <cell r="Q57">
            <v>184</v>
          </cell>
        </row>
        <row r="58">
          <cell r="A58">
            <v>42144</v>
          </cell>
          <cell r="C58">
            <v>25047900</v>
          </cell>
          <cell r="D58">
            <v>-3.3684904014661416E-3</v>
          </cell>
          <cell r="O58" t="str">
            <v>(0.02,0.03]</v>
          </cell>
          <cell r="Q58">
            <v>62</v>
          </cell>
        </row>
        <row r="59">
          <cell r="A59">
            <v>42145</v>
          </cell>
          <cell r="C59">
            <v>22410700</v>
          </cell>
          <cell r="D59">
            <v>-1.1026517611970578E-2</v>
          </cell>
          <cell r="O59" t="str">
            <v>(0.03,0.04]</v>
          </cell>
          <cell r="Q59">
            <v>18</v>
          </cell>
        </row>
        <row r="60">
          <cell r="A60">
            <v>42146</v>
          </cell>
          <cell r="C60">
            <v>25720600</v>
          </cell>
          <cell r="D60">
            <v>-6.6314467112802396E-3</v>
          </cell>
          <cell r="O60" t="str">
            <v>(0.04,0.05]</v>
          </cell>
          <cell r="Q60">
            <v>2</v>
          </cell>
        </row>
        <row r="61">
          <cell r="A61">
            <v>42150</v>
          </cell>
          <cell r="C61">
            <v>29581900</v>
          </cell>
          <cell r="D61">
            <v>2.1656742018019877E-2</v>
          </cell>
          <cell r="O61" t="str">
            <v>(0.05,0.06]</v>
          </cell>
          <cell r="Q61">
            <v>4</v>
          </cell>
        </row>
        <row r="62">
          <cell r="A62">
            <v>42151</v>
          </cell>
          <cell r="C62">
            <v>27335600</v>
          </cell>
          <cell r="D62">
            <v>-3.3662714900568437E-3</v>
          </cell>
          <cell r="O62" t="str">
            <v>(0.06,0.07]</v>
          </cell>
          <cell r="Q62">
            <v>4</v>
          </cell>
        </row>
        <row r="63">
          <cell r="A63">
            <v>42152</v>
          </cell>
          <cell r="C63">
            <v>19283700</v>
          </cell>
          <cell r="D63">
            <v>-1.2512059695715226E-2</v>
          </cell>
          <cell r="O63" t="str">
            <v>(0.07,0.08]</v>
          </cell>
          <cell r="Q63">
            <v>1</v>
          </cell>
        </row>
        <row r="64">
          <cell r="A64">
            <v>42153</v>
          </cell>
          <cell r="C64">
            <v>36519600</v>
          </cell>
          <cell r="D64">
            <v>7.8646980235912729E-3</v>
          </cell>
          <cell r="O64" t="str">
            <v>(0.08,0.09]</v>
          </cell>
          <cell r="Q64">
            <v>0</v>
          </cell>
        </row>
        <row r="65">
          <cell r="A65">
            <v>42156</v>
          </cell>
          <cell r="C65">
            <v>28837300</v>
          </cell>
          <cell r="D65">
            <v>-6.5852407954766334E-3</v>
          </cell>
          <cell r="O65" t="str">
            <v>(0.09,0.1]</v>
          </cell>
          <cell r="Q65">
            <v>1</v>
          </cell>
        </row>
        <row r="66">
          <cell r="A66">
            <v>42157</v>
          </cell>
          <cell r="C66">
            <v>21498300</v>
          </cell>
          <cell r="D66">
            <v>-1.4930592569772619E-3</v>
          </cell>
        </row>
        <row r="67">
          <cell r="A67">
            <v>42158</v>
          </cell>
          <cell r="C67">
            <v>28002200</v>
          </cell>
          <cell r="D67">
            <v>-1.0513851451671684E-2</v>
          </cell>
        </row>
        <row r="68">
          <cell r="A68">
            <v>42159</v>
          </cell>
          <cell r="C68">
            <v>27745500</v>
          </cell>
          <cell r="D68">
            <v>-4.7568891288222084E-3</v>
          </cell>
        </row>
        <row r="69">
          <cell r="A69">
            <v>42160</v>
          </cell>
          <cell r="C69">
            <v>25438100</v>
          </cell>
          <cell r="D69">
            <v>-8.9256119842607388E-3</v>
          </cell>
        </row>
        <row r="70">
          <cell r="A70">
            <v>42163</v>
          </cell>
          <cell r="C70">
            <v>22121600</v>
          </cell>
          <cell r="D70">
            <v>-1.7509650484590067E-3</v>
          </cell>
        </row>
        <row r="71">
          <cell r="A71">
            <v>42164</v>
          </cell>
          <cell r="C71">
            <v>24406100</v>
          </cell>
          <cell r="D71">
            <v>2.0811483053928825E-2</v>
          </cell>
        </row>
        <row r="72">
          <cell r="A72">
            <v>42165</v>
          </cell>
          <cell r="C72">
            <v>28417400</v>
          </cell>
          <cell r="D72">
            <v>-3.6540108231191107E-3</v>
          </cell>
        </row>
        <row r="73">
          <cell r="A73">
            <v>42166</v>
          </cell>
          <cell r="C73">
            <v>27347800</v>
          </cell>
          <cell r="D73">
            <v>-1.017200440280357E-2</v>
          </cell>
        </row>
        <row r="74">
          <cell r="A74">
            <v>42167</v>
          </cell>
          <cell r="C74">
            <v>23931000</v>
          </cell>
          <cell r="D74">
            <v>-1.0716488615458807E-2</v>
          </cell>
        </row>
        <row r="75">
          <cell r="A75">
            <v>42170</v>
          </cell>
          <cell r="C75">
            <v>33254500</v>
          </cell>
          <cell r="D75">
            <v>7.6664556595903155E-3</v>
          </cell>
        </row>
        <row r="76">
          <cell r="A76">
            <v>42171</v>
          </cell>
          <cell r="C76">
            <v>27070300</v>
          </cell>
          <cell r="D76">
            <v>3.050032955868595E-3</v>
          </cell>
        </row>
        <row r="77">
          <cell r="A77">
            <v>42172</v>
          </cell>
          <cell r="C77">
            <v>28704100</v>
          </cell>
          <cell r="D77">
            <v>1.6183269096378152E-2</v>
          </cell>
        </row>
        <row r="78">
          <cell r="A78">
            <v>42173</v>
          </cell>
          <cell r="C78">
            <v>32658300</v>
          </cell>
          <cell r="D78">
            <v>-1.3359324403997673E-2</v>
          </cell>
        </row>
        <row r="79">
          <cell r="A79">
            <v>42174</v>
          </cell>
          <cell r="C79">
            <v>63837000</v>
          </cell>
          <cell r="D79">
            <v>2.8159686454809012E-3</v>
          </cell>
        </row>
        <row r="80">
          <cell r="A80">
            <v>42177</v>
          </cell>
          <cell r="C80">
            <v>20318100</v>
          </cell>
          <cell r="D80">
            <v>-6.9458525189793358E-3</v>
          </cell>
        </row>
        <row r="81">
          <cell r="A81">
            <v>42178</v>
          </cell>
          <cell r="C81">
            <v>25896500</v>
          </cell>
          <cell r="D81">
            <v>-5.8984309166137611E-3</v>
          </cell>
        </row>
        <row r="82">
          <cell r="A82">
            <v>42179</v>
          </cell>
          <cell r="C82">
            <v>34890900</v>
          </cell>
          <cell r="D82">
            <v>2.1890226972566925E-4</v>
          </cell>
        </row>
        <row r="83">
          <cell r="A83">
            <v>42180</v>
          </cell>
          <cell r="C83">
            <v>20616000</v>
          </cell>
          <cell r="D83">
            <v>-8.5800785525848716E-3</v>
          </cell>
        </row>
        <row r="84">
          <cell r="A84">
            <v>42181</v>
          </cell>
          <cell r="C84">
            <v>49835300</v>
          </cell>
          <cell r="D84">
            <v>-1.9860009180122394E-2</v>
          </cell>
        </row>
        <row r="85">
          <cell r="A85">
            <v>42184</v>
          </cell>
          <cell r="C85">
            <v>34081700</v>
          </cell>
          <cell r="D85">
            <v>-4.9704932756641299E-3</v>
          </cell>
        </row>
        <row r="86">
          <cell r="A86">
            <v>42185</v>
          </cell>
          <cell r="C86">
            <v>35945400</v>
          </cell>
          <cell r="D86">
            <v>6.7719253383289732E-3</v>
          </cell>
        </row>
        <row r="87">
          <cell r="A87">
            <v>42186</v>
          </cell>
          <cell r="C87">
            <v>28343900</v>
          </cell>
          <cell r="D87">
            <v>-1.1257597579990846E-3</v>
          </cell>
        </row>
        <row r="88">
          <cell r="A88">
            <v>42187</v>
          </cell>
          <cell r="C88">
            <v>21752000</v>
          </cell>
          <cell r="D88">
            <v>-2.251402826934709E-4</v>
          </cell>
        </row>
        <row r="89">
          <cell r="A89">
            <v>42191</v>
          </cell>
          <cell r="C89">
            <v>23034000</v>
          </cell>
          <cell r="D89">
            <v>-2.0293924503410219E-3</v>
          </cell>
        </row>
        <row r="90">
          <cell r="A90">
            <v>42192</v>
          </cell>
          <cell r="C90">
            <v>36435800</v>
          </cell>
          <cell r="D90">
            <v>-1.35527805215972E-3</v>
          </cell>
        </row>
        <row r="91">
          <cell r="A91">
            <v>42193</v>
          </cell>
          <cell r="C91">
            <v>39785900</v>
          </cell>
          <cell r="D91">
            <v>6.3092804120309619E-3</v>
          </cell>
        </row>
        <row r="92">
          <cell r="A92">
            <v>42194</v>
          </cell>
          <cell r="C92">
            <v>32424700</v>
          </cell>
          <cell r="D92">
            <v>2.0194479166491183E-3</v>
          </cell>
        </row>
        <row r="93">
          <cell r="A93">
            <v>42195</v>
          </cell>
          <cell r="C93">
            <v>25465800</v>
          </cell>
          <cell r="D93">
            <v>2.0633118692152942E-2</v>
          </cell>
        </row>
        <row r="94">
          <cell r="A94">
            <v>42198</v>
          </cell>
          <cell r="C94">
            <v>28178300</v>
          </cell>
          <cell r="D94">
            <v>1.7548281301833419E-3</v>
          </cell>
        </row>
        <row r="95">
          <cell r="A95">
            <v>42199</v>
          </cell>
          <cell r="C95">
            <v>22880300</v>
          </cell>
          <cell r="D95">
            <v>3.0642932396240247E-3</v>
          </cell>
        </row>
        <row r="96">
          <cell r="A96">
            <v>42200</v>
          </cell>
          <cell r="C96">
            <v>26629600</v>
          </cell>
          <cell r="D96">
            <v>1.9476962468357735E-2</v>
          </cell>
        </row>
        <row r="97">
          <cell r="A97">
            <v>42201</v>
          </cell>
          <cell r="C97">
            <v>26271700</v>
          </cell>
          <cell r="D97">
            <v>-8.5761437534061572E-4</v>
          </cell>
        </row>
        <row r="98">
          <cell r="A98">
            <v>42202</v>
          </cell>
          <cell r="C98">
            <v>29467100</v>
          </cell>
          <cell r="D98">
            <v>6.4142865997689532E-3</v>
          </cell>
        </row>
        <row r="99">
          <cell r="A99">
            <v>42205</v>
          </cell>
          <cell r="C99">
            <v>30631900</v>
          </cell>
          <cell r="D99">
            <v>7.6433712469604889E-3</v>
          </cell>
        </row>
        <row r="100">
          <cell r="A100">
            <v>42206</v>
          </cell>
          <cell r="C100">
            <v>42781900</v>
          </cell>
          <cell r="D100">
            <v>-3.7496127309554039E-2</v>
          </cell>
        </row>
        <row r="101">
          <cell r="A101">
            <v>42207</v>
          </cell>
          <cell r="C101">
            <v>59152400</v>
          </cell>
          <cell r="D101">
            <v>1.2438581658724265E-2</v>
          </cell>
        </row>
        <row r="102">
          <cell r="A102">
            <v>42208</v>
          </cell>
          <cell r="C102">
            <v>33934000</v>
          </cell>
          <cell r="D102">
            <v>-3.6936349546662331E-3</v>
          </cell>
        </row>
        <row r="103">
          <cell r="A103">
            <v>42209</v>
          </cell>
          <cell r="C103">
            <v>32333200</v>
          </cell>
          <cell r="D103">
            <v>-1.2926158517456295E-2</v>
          </cell>
        </row>
        <row r="104">
          <cell r="A104">
            <v>42212</v>
          </cell>
          <cell r="C104">
            <v>39701400</v>
          </cell>
          <cell r="D104">
            <v>-2.2044776013179648E-4</v>
          </cell>
        </row>
        <row r="105">
          <cell r="A105">
            <v>42213</v>
          </cell>
          <cell r="C105">
            <v>34328900</v>
          </cell>
          <cell r="D105">
            <v>2.0736325540690864E-2</v>
          </cell>
        </row>
        <row r="106">
          <cell r="A106">
            <v>42214</v>
          </cell>
          <cell r="C106">
            <v>40945900</v>
          </cell>
          <cell r="D106">
            <v>1.2665230013537171E-2</v>
          </cell>
        </row>
        <row r="107">
          <cell r="A107">
            <v>42215</v>
          </cell>
          <cell r="C107">
            <v>39777900</v>
          </cell>
          <cell r="D107">
            <v>-3.846861855213368E-3</v>
          </cell>
        </row>
        <row r="108">
          <cell r="A108">
            <v>42216</v>
          </cell>
          <cell r="C108">
            <v>31201500</v>
          </cell>
          <cell r="D108">
            <v>2.352527732137536E-3</v>
          </cell>
        </row>
        <row r="109">
          <cell r="A109">
            <v>42219</v>
          </cell>
          <cell r="C109">
            <v>24125900</v>
          </cell>
          <cell r="D109">
            <v>1.5474593949255053E-2</v>
          </cell>
        </row>
        <row r="110">
          <cell r="A110">
            <v>42220</v>
          </cell>
          <cell r="C110">
            <v>33403900</v>
          </cell>
          <cell r="D110">
            <v>8.4118692007114574E-4</v>
          </cell>
        </row>
        <row r="111">
          <cell r="A111">
            <v>42221</v>
          </cell>
          <cell r="C111">
            <v>26959700</v>
          </cell>
          <cell r="D111">
            <v>-2.0382873264123535E-2</v>
          </cell>
        </row>
        <row r="112">
          <cell r="A112">
            <v>42222</v>
          </cell>
          <cell r="C112">
            <v>27368000</v>
          </cell>
          <cell r="D112">
            <v>2.5708047894536057E-3</v>
          </cell>
        </row>
        <row r="113">
          <cell r="A113">
            <v>42223</v>
          </cell>
          <cell r="C113">
            <v>19163000</v>
          </cell>
          <cell r="D113">
            <v>1.2543702087368323E-2</v>
          </cell>
        </row>
        <row r="114">
          <cell r="A114">
            <v>42226</v>
          </cell>
          <cell r="C114">
            <v>23079900</v>
          </cell>
          <cell r="D114">
            <v>-1.9629225518271561E-2</v>
          </cell>
        </row>
        <row r="115">
          <cell r="A115">
            <v>42227</v>
          </cell>
          <cell r="C115">
            <v>29237400</v>
          </cell>
          <cell r="D115">
            <v>7.0855234309032877E-3</v>
          </cell>
        </row>
        <row r="116">
          <cell r="A116">
            <v>42228</v>
          </cell>
          <cell r="C116">
            <v>30181400</v>
          </cell>
          <cell r="D116">
            <v>-2.1396183448128971E-4</v>
          </cell>
        </row>
        <row r="117">
          <cell r="A117">
            <v>42229</v>
          </cell>
          <cell r="C117">
            <v>22627200</v>
          </cell>
          <cell r="D117">
            <v>5.76124267990092E-3</v>
          </cell>
        </row>
        <row r="118">
          <cell r="A118">
            <v>42230</v>
          </cell>
          <cell r="C118">
            <v>21473400</v>
          </cell>
          <cell r="D118">
            <v>6.7852199424491399E-3</v>
          </cell>
        </row>
        <row r="119">
          <cell r="A119">
            <v>42233</v>
          </cell>
          <cell r="C119">
            <v>21099700</v>
          </cell>
          <cell r="D119">
            <v>5.5155087936888609E-3</v>
          </cell>
        </row>
        <row r="120">
          <cell r="A120">
            <v>42234</v>
          </cell>
          <cell r="C120">
            <v>23574100</v>
          </cell>
          <cell r="D120">
            <v>-1.4060797270217718E-2</v>
          </cell>
        </row>
        <row r="121">
          <cell r="A121">
            <v>42235</v>
          </cell>
          <cell r="C121">
            <v>31485500</v>
          </cell>
          <cell r="D121">
            <v>-2.0592235292877046E-2</v>
          </cell>
        </row>
        <row r="122">
          <cell r="A122">
            <v>42236</v>
          </cell>
          <cell r="C122">
            <v>36238200</v>
          </cell>
          <cell r="D122">
            <v>-5.8395986855485658E-2</v>
          </cell>
        </row>
        <row r="123">
          <cell r="A123">
            <v>42237</v>
          </cell>
          <cell r="C123">
            <v>70053100</v>
          </cell>
          <cell r="D123">
            <v>-3.280551546552387E-2</v>
          </cell>
        </row>
        <row r="124">
          <cell r="A124">
            <v>42240</v>
          </cell>
          <cell r="C124">
            <v>88753700</v>
          </cell>
          <cell r="D124">
            <v>-2.9460321426897956E-2</v>
          </cell>
        </row>
        <row r="125">
          <cell r="A125">
            <v>42241</v>
          </cell>
          <cell r="C125">
            <v>70616600</v>
          </cell>
          <cell r="D125">
            <v>5.3872263222360363E-2</v>
          </cell>
        </row>
        <row r="126">
          <cell r="A126">
            <v>42242</v>
          </cell>
          <cell r="C126">
            <v>63408000</v>
          </cell>
          <cell r="D126">
            <v>2.7481060109153684E-2</v>
          </cell>
        </row>
        <row r="127">
          <cell r="A127">
            <v>42243</v>
          </cell>
          <cell r="C127">
            <v>50943200</v>
          </cell>
          <cell r="D127">
            <v>6.8331537053691234E-4</v>
          </cell>
        </row>
        <row r="128">
          <cell r="A128">
            <v>42244</v>
          </cell>
          <cell r="C128">
            <v>28246700</v>
          </cell>
          <cell r="D128">
            <v>-9.3771304217321917E-3</v>
          </cell>
        </row>
        <row r="129">
          <cell r="A129">
            <v>42247</v>
          </cell>
          <cell r="C129">
            <v>34441700</v>
          </cell>
          <cell r="D129">
            <v>-3.9845761719502097E-2</v>
          </cell>
        </row>
        <row r="130">
          <cell r="A130">
            <v>42248</v>
          </cell>
          <cell r="C130">
            <v>49688900</v>
          </cell>
          <cell r="D130">
            <v>3.6162533195583275E-2</v>
          </cell>
        </row>
        <row r="131">
          <cell r="A131">
            <v>42249</v>
          </cell>
          <cell r="C131">
            <v>37671500</v>
          </cell>
          <cell r="D131">
            <v>3.223629086871108E-3</v>
          </cell>
        </row>
        <row r="132">
          <cell r="A132">
            <v>42250</v>
          </cell>
          <cell r="C132">
            <v>28285200</v>
          </cell>
          <cell r="D132">
            <v>-2.0671713043898698E-2</v>
          </cell>
        </row>
        <row r="133">
          <cell r="A133">
            <v>42251</v>
          </cell>
          <cell r="C133">
            <v>37138800</v>
          </cell>
          <cell r="D133">
            <v>2.9597293510733837E-2</v>
          </cell>
        </row>
        <row r="134">
          <cell r="A134">
            <v>42255</v>
          </cell>
          <cell r="C134">
            <v>32469800</v>
          </cell>
          <cell r="D134">
            <v>-1.885965241768427E-2</v>
          </cell>
        </row>
        <row r="135">
          <cell r="A135">
            <v>42256</v>
          </cell>
          <cell r="C135">
            <v>33469500</v>
          </cell>
          <cell r="D135">
            <v>5.0947735810866245E-3</v>
          </cell>
        </row>
        <row r="136">
          <cell r="A136">
            <v>42257</v>
          </cell>
          <cell r="C136">
            <v>31366600</v>
          </cell>
          <cell r="D136">
            <v>4.3795631321570079E-3</v>
          </cell>
        </row>
        <row r="137">
          <cell r="A137">
            <v>42258</v>
          </cell>
          <cell r="C137">
            <v>27132500</v>
          </cell>
          <cell r="D137">
            <v>-1.0171199231793002E-2</v>
          </cell>
        </row>
        <row r="138">
          <cell r="A138">
            <v>42261</v>
          </cell>
          <cell r="C138">
            <v>23656000</v>
          </cell>
          <cell r="D138">
            <v>2.160510505802829E-2</v>
          </cell>
        </row>
        <row r="139">
          <cell r="A139">
            <v>42262</v>
          </cell>
          <cell r="C139">
            <v>28882200</v>
          </cell>
          <cell r="D139">
            <v>7.2495586542115813E-3</v>
          </cell>
        </row>
        <row r="140">
          <cell r="A140">
            <v>42263</v>
          </cell>
          <cell r="C140">
            <v>23372200</v>
          </cell>
          <cell r="D140">
            <v>-1.129417867391361E-3</v>
          </cell>
        </row>
        <row r="141">
          <cell r="A141">
            <v>42264</v>
          </cell>
          <cell r="C141">
            <v>32768200</v>
          </cell>
          <cell r="D141">
            <v>-1.755404661305528E-2</v>
          </cell>
        </row>
        <row r="142">
          <cell r="A142">
            <v>42265</v>
          </cell>
          <cell r="C142">
            <v>63143700</v>
          </cell>
          <cell r="D142">
            <v>1.4385538647366958E-2</v>
          </cell>
        </row>
        <row r="143">
          <cell r="A143">
            <v>42268</v>
          </cell>
          <cell r="C143">
            <v>26177200</v>
          </cell>
          <cell r="D143">
            <v>-4.7723889215184846E-3</v>
          </cell>
        </row>
        <row r="144">
          <cell r="A144">
            <v>42269</v>
          </cell>
          <cell r="C144">
            <v>28085900</v>
          </cell>
          <cell r="D144">
            <v>-6.8365784840493079E-4</v>
          </cell>
        </row>
        <row r="145">
          <cell r="A145">
            <v>42270</v>
          </cell>
          <cell r="C145">
            <v>17145200</v>
          </cell>
          <cell r="D145">
            <v>9.1143997329487265E-4</v>
          </cell>
        </row>
        <row r="146">
          <cell r="A146">
            <v>42271</v>
          </cell>
          <cell r="C146">
            <v>27905600</v>
          </cell>
          <cell r="D146">
            <v>6.8296049432493464E-4</v>
          </cell>
        </row>
        <row r="147">
          <cell r="A147">
            <v>42272</v>
          </cell>
          <cell r="C147">
            <v>29384600</v>
          </cell>
          <cell r="D147">
            <v>-1.4903455477220384E-2</v>
          </cell>
        </row>
        <row r="148">
          <cell r="A148">
            <v>42275</v>
          </cell>
          <cell r="C148">
            <v>27613800</v>
          </cell>
          <cell r="D148">
            <v>3.4592817064886105E-3</v>
          </cell>
        </row>
        <row r="149">
          <cell r="A149">
            <v>42276</v>
          </cell>
          <cell r="C149">
            <v>32763600</v>
          </cell>
          <cell r="D149">
            <v>1.8700506594695895E-2</v>
          </cell>
        </row>
        <row r="150">
          <cell r="A150">
            <v>42277</v>
          </cell>
          <cell r="C150">
            <v>34958900</v>
          </cell>
          <cell r="D150">
            <v>7.8766589539375625E-3</v>
          </cell>
        </row>
        <row r="151">
          <cell r="A151">
            <v>42278</v>
          </cell>
          <cell r="C151">
            <v>28657900</v>
          </cell>
          <cell r="D151">
            <v>2.1291721765409038E-2</v>
          </cell>
        </row>
        <row r="152">
          <cell r="A152">
            <v>42279</v>
          </cell>
          <cell r="C152">
            <v>41839000</v>
          </cell>
          <cell r="D152">
            <v>2.2994524491624951E-2</v>
          </cell>
        </row>
        <row r="153">
          <cell r="A153">
            <v>42282</v>
          </cell>
          <cell r="C153">
            <v>34369300</v>
          </cell>
          <cell r="D153">
            <v>2.5699451053421739E-3</v>
          </cell>
        </row>
        <row r="154">
          <cell r="A154">
            <v>42283</v>
          </cell>
          <cell r="C154">
            <v>27017200</v>
          </cell>
          <cell r="D154">
            <v>1.0688661866825508E-3</v>
          </cell>
        </row>
        <row r="155">
          <cell r="A155">
            <v>42284</v>
          </cell>
          <cell r="C155">
            <v>27711500</v>
          </cell>
          <cell r="D155">
            <v>1.3793461191161781E-2</v>
          </cell>
        </row>
        <row r="156">
          <cell r="A156">
            <v>42285</v>
          </cell>
          <cell r="C156">
            <v>33772700</v>
          </cell>
          <cell r="D156">
            <v>-7.1909775101593161E-3</v>
          </cell>
        </row>
        <row r="157">
          <cell r="A157">
            <v>42286</v>
          </cell>
          <cell r="C157">
            <v>28600600</v>
          </cell>
          <cell r="D157">
            <v>-2.3379180784943777E-3</v>
          </cell>
        </row>
        <row r="158">
          <cell r="A158">
            <v>42289</v>
          </cell>
          <cell r="C158">
            <v>19769100</v>
          </cell>
          <cell r="D158">
            <v>-2.3433267150641123E-3</v>
          </cell>
        </row>
        <row r="159">
          <cell r="A159">
            <v>42290</v>
          </cell>
          <cell r="C159">
            <v>19987800</v>
          </cell>
          <cell r="D159">
            <v>-4.4883412049868711E-3</v>
          </cell>
        </row>
        <row r="160">
          <cell r="A160">
            <v>42291</v>
          </cell>
          <cell r="C160">
            <v>24697800</v>
          </cell>
          <cell r="D160">
            <v>7.0444276995301732E-3</v>
          </cell>
        </row>
        <row r="161">
          <cell r="A161">
            <v>42292</v>
          </cell>
          <cell r="C161">
            <v>27189400</v>
          </cell>
          <cell r="D161">
            <v>1.0579854547575101E-2</v>
          </cell>
        </row>
        <row r="162">
          <cell r="A162">
            <v>42293</v>
          </cell>
          <cell r="C162">
            <v>26450300</v>
          </cell>
          <cell r="D162">
            <v>2.3125056930151954E-3</v>
          </cell>
        </row>
        <row r="163">
          <cell r="A163">
            <v>42296</v>
          </cell>
          <cell r="C163">
            <v>29387600</v>
          </cell>
          <cell r="D163">
            <v>3.1450462728073413E-3</v>
          </cell>
        </row>
        <row r="164">
          <cell r="A164">
            <v>42297</v>
          </cell>
          <cell r="C164">
            <v>30802200</v>
          </cell>
          <cell r="D164">
            <v>-1.2003895543930682E-2</v>
          </cell>
        </row>
        <row r="165">
          <cell r="A165">
            <v>42298</v>
          </cell>
          <cell r="C165">
            <v>25144300</v>
          </cell>
          <cell r="D165">
            <v>1.7431892606980873E-2</v>
          </cell>
        </row>
        <row r="166">
          <cell r="A166">
            <v>42299</v>
          </cell>
          <cell r="C166">
            <v>56637100</v>
          </cell>
          <cell r="D166">
            <v>9.6010341863869891E-2</v>
          </cell>
        </row>
        <row r="167">
          <cell r="A167">
            <v>42300</v>
          </cell>
          <cell r="C167">
            <v>135227100</v>
          </cell>
          <cell r="D167">
            <v>2.5766749933295443E-2</v>
          </cell>
        </row>
        <row r="168">
          <cell r="A168">
            <v>42303</v>
          </cell>
          <cell r="C168">
            <v>64633300</v>
          </cell>
          <cell r="D168">
            <v>-1.0376261396837363E-2</v>
          </cell>
        </row>
        <row r="169">
          <cell r="A169">
            <v>42304</v>
          </cell>
          <cell r="C169">
            <v>50999900</v>
          </cell>
          <cell r="D169">
            <v>5.3869148624334628E-3</v>
          </cell>
        </row>
        <row r="170">
          <cell r="A170">
            <v>42305</v>
          </cell>
          <cell r="C170">
            <v>47000800</v>
          </cell>
          <cell r="D170">
            <v>-1.1552182678462914E-2</v>
          </cell>
        </row>
        <row r="171">
          <cell r="A171">
            <v>42306</v>
          </cell>
          <cell r="C171">
            <v>30202100</v>
          </cell>
          <cell r="D171">
            <v>-1.3585196180799525E-2</v>
          </cell>
        </row>
        <row r="172">
          <cell r="A172">
            <v>42307</v>
          </cell>
          <cell r="C172">
            <v>46619800</v>
          </cell>
          <cell r="D172">
            <v>1.1333716399645224E-2</v>
          </cell>
        </row>
        <row r="173">
          <cell r="A173">
            <v>42310</v>
          </cell>
          <cell r="C173">
            <v>30285000</v>
          </cell>
          <cell r="D173">
            <v>1.694827145021682E-2</v>
          </cell>
        </row>
        <row r="174">
          <cell r="A174">
            <v>42311</v>
          </cell>
          <cell r="C174">
            <v>36596900</v>
          </cell>
          <cell r="D174">
            <v>4.6060120226487462E-3</v>
          </cell>
        </row>
        <row r="175">
          <cell r="A175">
            <v>42312</v>
          </cell>
          <cell r="C175">
            <v>37087800</v>
          </cell>
          <cell r="D175">
            <v>-3.6782363203320413E-4</v>
          </cell>
        </row>
        <row r="176">
          <cell r="A176">
            <v>42313</v>
          </cell>
          <cell r="C176">
            <v>31468500</v>
          </cell>
          <cell r="D176">
            <v>9.8811261692956214E-3</v>
          </cell>
        </row>
        <row r="177">
          <cell r="A177">
            <v>42314</v>
          </cell>
          <cell r="C177">
            <v>32851200</v>
          </cell>
          <cell r="D177">
            <v>-1.3934806840555409E-2</v>
          </cell>
        </row>
        <row r="178">
          <cell r="A178">
            <v>42317</v>
          </cell>
          <cell r="C178">
            <v>32513100</v>
          </cell>
          <cell r="D178">
            <v>-1.2074177126860566E-2</v>
          </cell>
        </row>
        <row r="179">
          <cell r="A179">
            <v>42318</v>
          </cell>
          <cell r="C179">
            <v>55283700</v>
          </cell>
          <cell r="D179">
            <v>2.6130984569026319E-3</v>
          </cell>
        </row>
        <row r="180">
          <cell r="A180">
            <v>42319</v>
          </cell>
          <cell r="C180">
            <v>36516300</v>
          </cell>
          <cell r="D180">
            <v>-6.1702056261658854E-3</v>
          </cell>
        </row>
        <row r="181">
          <cell r="A181">
            <v>42320</v>
          </cell>
          <cell r="C181">
            <v>35361100</v>
          </cell>
          <cell r="D181">
            <v>-9.0428081502747573E-3</v>
          </cell>
        </row>
        <row r="182">
          <cell r="A182">
            <v>42321</v>
          </cell>
          <cell r="C182">
            <v>36848200</v>
          </cell>
          <cell r="D182">
            <v>1.7446980443482234E-2</v>
          </cell>
        </row>
        <row r="183">
          <cell r="A183">
            <v>42324</v>
          </cell>
          <cell r="C183">
            <v>32165200</v>
          </cell>
          <cell r="D183">
            <v>-8.2719888237969014E-3</v>
          </cell>
        </row>
        <row r="184">
          <cell r="A184">
            <v>42325</v>
          </cell>
          <cell r="C184">
            <v>31551300</v>
          </cell>
          <cell r="D184">
            <v>1.6476577252365367E-2</v>
          </cell>
        </row>
        <row r="185">
          <cell r="A185">
            <v>42326</v>
          </cell>
          <cell r="C185">
            <v>29710000</v>
          </cell>
          <cell r="D185">
            <v>1.6699783455071612E-3</v>
          </cell>
        </row>
        <row r="186">
          <cell r="A186">
            <v>42327</v>
          </cell>
          <cell r="C186">
            <v>28149200</v>
          </cell>
          <cell r="D186">
            <v>4.6238768624269743E-3</v>
          </cell>
        </row>
        <row r="187">
          <cell r="A187">
            <v>42328</v>
          </cell>
          <cell r="C187">
            <v>37147600</v>
          </cell>
          <cell r="D187">
            <v>0</v>
          </cell>
        </row>
        <row r="188">
          <cell r="A188">
            <v>42331</v>
          </cell>
          <cell r="C188">
            <v>28235900</v>
          </cell>
          <cell r="D188">
            <v>1.1066388857208221E-3</v>
          </cell>
        </row>
        <row r="189">
          <cell r="A189">
            <v>42332</v>
          </cell>
          <cell r="C189">
            <v>24600000</v>
          </cell>
          <cell r="D189">
            <v>-1.0376094976570433E-2</v>
          </cell>
        </row>
        <row r="190">
          <cell r="A190">
            <v>42333</v>
          </cell>
          <cell r="C190">
            <v>21005100</v>
          </cell>
          <cell r="D190">
            <v>4.4599262778052592E-3</v>
          </cell>
        </row>
        <row r="191">
          <cell r="A191">
            <v>42335</v>
          </cell>
          <cell r="C191">
            <v>9009100</v>
          </cell>
          <cell r="D191">
            <v>7.7579564392454784E-3</v>
          </cell>
        </row>
        <row r="192">
          <cell r="A192">
            <v>42338</v>
          </cell>
          <cell r="C192">
            <v>56241400</v>
          </cell>
          <cell r="D192">
            <v>1.5880541999533173E-2</v>
          </cell>
        </row>
        <row r="193">
          <cell r="A193">
            <v>42339</v>
          </cell>
          <cell r="C193">
            <v>39952800</v>
          </cell>
          <cell r="D193">
            <v>-1.8119157644044503E-4</v>
          </cell>
        </row>
        <row r="194">
          <cell r="A194">
            <v>42340</v>
          </cell>
          <cell r="C194">
            <v>47274900</v>
          </cell>
          <cell r="D194">
            <v>-1.8463095021513502E-2</v>
          </cell>
        </row>
        <row r="195">
          <cell r="A195">
            <v>42341</v>
          </cell>
          <cell r="C195">
            <v>38627800</v>
          </cell>
          <cell r="D195">
            <v>3.1062297876566062E-2</v>
          </cell>
        </row>
        <row r="196">
          <cell r="A196">
            <v>42342</v>
          </cell>
          <cell r="C196">
            <v>43963700</v>
          </cell>
          <cell r="D196">
            <v>-1.7900406110543203E-3</v>
          </cell>
        </row>
        <row r="197">
          <cell r="A197">
            <v>42345</v>
          </cell>
          <cell r="C197">
            <v>30709800</v>
          </cell>
          <cell r="D197">
            <v>-3.5858395150707842E-4</v>
          </cell>
        </row>
        <row r="198">
          <cell r="A198">
            <v>42346</v>
          </cell>
          <cell r="C198">
            <v>32878000</v>
          </cell>
          <cell r="D198">
            <v>-1.4625133416565681E-2</v>
          </cell>
        </row>
        <row r="199">
          <cell r="A199">
            <v>42347</v>
          </cell>
          <cell r="C199">
            <v>36373200</v>
          </cell>
          <cell r="D199">
            <v>5.2608386669390798E-3</v>
          </cell>
        </row>
        <row r="200">
          <cell r="A200">
            <v>42348</v>
          </cell>
          <cell r="C200">
            <v>31775800</v>
          </cell>
          <cell r="D200">
            <v>-2.213578320434605E-2</v>
          </cell>
        </row>
        <row r="201">
          <cell r="A201">
            <v>42349</v>
          </cell>
          <cell r="C201">
            <v>39549500</v>
          </cell>
          <cell r="D201">
            <v>1.9780968159192374E-2</v>
          </cell>
        </row>
        <row r="202">
          <cell r="A202">
            <v>42352</v>
          </cell>
          <cell r="C202">
            <v>46768900</v>
          </cell>
          <cell r="D202">
            <v>1.0875237669344189E-3</v>
          </cell>
        </row>
        <row r="203">
          <cell r="A203">
            <v>42353</v>
          </cell>
          <cell r="C203">
            <v>39843000</v>
          </cell>
          <cell r="D203">
            <v>1.6707402016952855E-2</v>
          </cell>
        </row>
        <row r="204">
          <cell r="A204">
            <v>42354</v>
          </cell>
          <cell r="C204">
            <v>37503300</v>
          </cell>
          <cell r="D204">
            <v>-7.6903731646692525E-3</v>
          </cell>
        </row>
        <row r="205">
          <cell r="A205">
            <v>42355</v>
          </cell>
          <cell r="C205">
            <v>41280900</v>
          </cell>
          <cell r="D205">
            <v>-2.8591602796468902E-2</v>
          </cell>
        </row>
        <row r="206">
          <cell r="A206">
            <v>42356</v>
          </cell>
          <cell r="C206">
            <v>84684200</v>
          </cell>
          <cell r="D206">
            <v>1.2849152655981E-2</v>
          </cell>
        </row>
        <row r="207">
          <cell r="A207">
            <v>42359</v>
          </cell>
          <cell r="C207">
            <v>37246300</v>
          </cell>
          <cell r="D207">
            <v>9.4388514952909626E-3</v>
          </cell>
        </row>
        <row r="208">
          <cell r="A208">
            <v>42360</v>
          </cell>
          <cell r="C208">
            <v>28322200</v>
          </cell>
          <cell r="D208">
            <v>8.4556134371104943E-3</v>
          </cell>
        </row>
        <row r="209">
          <cell r="A209">
            <v>42361</v>
          </cell>
          <cell r="C209">
            <v>27279800</v>
          </cell>
          <cell r="D209">
            <v>-2.6907087088831896E-3</v>
          </cell>
        </row>
        <row r="210">
          <cell r="A210">
            <v>42362</v>
          </cell>
          <cell r="C210">
            <v>9558500</v>
          </cell>
          <cell r="D210">
            <v>5.0171628048982777E-3</v>
          </cell>
        </row>
        <row r="211">
          <cell r="A211">
            <v>42366</v>
          </cell>
          <cell r="C211">
            <v>22458300</v>
          </cell>
          <cell r="D211">
            <v>1.0666668985140803E-2</v>
          </cell>
        </row>
        <row r="212">
          <cell r="A212">
            <v>42367</v>
          </cell>
          <cell r="C212">
            <v>27731400</v>
          </cell>
          <cell r="D212">
            <v>-4.2531437405504552E-3</v>
          </cell>
        </row>
        <row r="213">
          <cell r="A213">
            <v>42368</v>
          </cell>
          <cell r="C213">
            <v>21704500</v>
          </cell>
          <cell r="D213">
            <v>-1.4849406838983623E-2</v>
          </cell>
        </row>
        <row r="214">
          <cell r="A214">
            <v>42369</v>
          </cell>
          <cell r="C214">
            <v>27334100</v>
          </cell>
          <cell r="D214">
            <v>-1.2332519255532371E-2</v>
          </cell>
        </row>
        <row r="215">
          <cell r="A215">
            <v>42373</v>
          </cell>
          <cell r="C215">
            <v>53778000</v>
          </cell>
          <cell r="D215">
            <v>4.5517741361898482E-3</v>
          </cell>
        </row>
        <row r="216">
          <cell r="A216">
            <v>42374</v>
          </cell>
          <cell r="C216">
            <v>34079700</v>
          </cell>
          <cell r="D216">
            <v>-1.8332362368935567E-2</v>
          </cell>
        </row>
        <row r="217">
          <cell r="A217">
            <v>42375</v>
          </cell>
          <cell r="C217">
            <v>39518900</v>
          </cell>
          <cell r="D217">
            <v>-3.5402006250485209E-2</v>
          </cell>
        </row>
        <row r="218">
          <cell r="A218">
            <v>42376</v>
          </cell>
          <cell r="C218">
            <v>56564900</v>
          </cell>
          <cell r="D218">
            <v>3.0623928952350295E-3</v>
          </cell>
        </row>
        <row r="219">
          <cell r="A219">
            <v>42377</v>
          </cell>
          <cell r="C219">
            <v>48754000</v>
          </cell>
          <cell r="D219">
            <v>-5.7362379902426894E-4</v>
          </cell>
        </row>
        <row r="220">
          <cell r="A220">
            <v>42380</v>
          </cell>
          <cell r="C220">
            <v>36943800</v>
          </cell>
          <cell r="D220">
            <v>9.1360910320976776E-3</v>
          </cell>
        </row>
        <row r="221">
          <cell r="A221">
            <v>42381</v>
          </cell>
          <cell r="C221">
            <v>36095500</v>
          </cell>
          <cell r="D221">
            <v>-2.1835764426521929E-2</v>
          </cell>
        </row>
        <row r="222">
          <cell r="A222">
            <v>42382</v>
          </cell>
          <cell r="C222">
            <v>66883600</v>
          </cell>
          <cell r="D222">
            <v>2.8068674600969207E-2</v>
          </cell>
        </row>
        <row r="223">
          <cell r="A223">
            <v>42383</v>
          </cell>
          <cell r="C223">
            <v>52381900</v>
          </cell>
          <cell r="D223">
            <v>-4.0735652928348666E-2</v>
          </cell>
        </row>
        <row r="224">
          <cell r="A224">
            <v>42384</v>
          </cell>
          <cell r="C224">
            <v>71820700</v>
          </cell>
          <cell r="D224">
            <v>-8.4687771601467694E-3</v>
          </cell>
        </row>
        <row r="225">
          <cell r="A225">
            <v>42388</v>
          </cell>
          <cell r="C225">
            <v>43564500</v>
          </cell>
          <cell r="D225">
            <v>4.5386708979081591E-3</v>
          </cell>
        </row>
        <row r="226">
          <cell r="A226">
            <v>42389</v>
          </cell>
          <cell r="C226">
            <v>63273000</v>
          </cell>
          <cell r="D226">
            <v>-6.1224404291956372E-3</v>
          </cell>
        </row>
        <row r="227">
          <cell r="A227">
            <v>42390</v>
          </cell>
          <cell r="C227">
            <v>40191200</v>
          </cell>
          <cell r="D227">
            <v>3.5227889610421302E-2</v>
          </cell>
        </row>
        <row r="228">
          <cell r="A228">
            <v>42391</v>
          </cell>
          <cell r="C228">
            <v>37555800</v>
          </cell>
          <cell r="D228">
            <v>-9.6079767461112586E-3</v>
          </cell>
        </row>
        <row r="229">
          <cell r="A229">
            <v>42394</v>
          </cell>
          <cell r="C229">
            <v>34707700</v>
          </cell>
          <cell r="D229">
            <v>7.3105164527174395E-3</v>
          </cell>
        </row>
        <row r="230">
          <cell r="A230">
            <v>42395</v>
          </cell>
          <cell r="C230">
            <v>28900800</v>
          </cell>
          <cell r="D230">
            <v>-1.8377464109427085E-2</v>
          </cell>
        </row>
        <row r="231">
          <cell r="A231">
            <v>42396</v>
          </cell>
          <cell r="C231">
            <v>36775200</v>
          </cell>
          <cell r="D231">
            <v>1.6266737053267588E-2</v>
          </cell>
        </row>
        <row r="232">
          <cell r="A232">
            <v>42397</v>
          </cell>
          <cell r="C232">
            <v>62513800</v>
          </cell>
          <cell r="D232">
            <v>5.6571335950979185E-2</v>
          </cell>
        </row>
        <row r="233">
          <cell r="A233">
            <v>42398</v>
          </cell>
          <cell r="C233">
            <v>83611700</v>
          </cell>
          <cell r="D233">
            <v>-6.9216842380070516E-3</v>
          </cell>
        </row>
        <row r="234">
          <cell r="A234">
            <v>42401</v>
          </cell>
          <cell r="C234">
            <v>44208500</v>
          </cell>
          <cell r="D234">
            <v>-3.1754484337117479E-2</v>
          </cell>
        </row>
        <row r="235">
          <cell r="A235">
            <v>42402</v>
          </cell>
          <cell r="C235">
            <v>56313800</v>
          </cell>
          <cell r="D235">
            <v>-1.5976142500679243E-2</v>
          </cell>
        </row>
        <row r="236">
          <cell r="A236">
            <v>42403</v>
          </cell>
          <cell r="C236">
            <v>57559800</v>
          </cell>
          <cell r="D236">
            <v>-3.0720134114768575E-3</v>
          </cell>
        </row>
        <row r="237">
          <cell r="A237">
            <v>42404</v>
          </cell>
          <cell r="C237">
            <v>46987100</v>
          </cell>
          <cell r="D237">
            <v>-3.6025802680615358E-2</v>
          </cell>
        </row>
        <row r="238">
          <cell r="A238">
            <v>42405</v>
          </cell>
          <cell r="C238">
            <v>62009000</v>
          </cell>
          <cell r="D238">
            <v>-1.5065499379468647E-2</v>
          </cell>
        </row>
        <row r="239">
          <cell r="A239">
            <v>42408</v>
          </cell>
          <cell r="C239">
            <v>59290500</v>
          </cell>
          <cell r="D239">
            <v>-2.6342654596727974E-3</v>
          </cell>
        </row>
        <row r="240">
          <cell r="A240">
            <v>42409</v>
          </cell>
          <cell r="C240">
            <v>46740500</v>
          </cell>
          <cell r="D240">
            <v>8.6878817658467278E-3</v>
          </cell>
        </row>
        <row r="241">
          <cell r="A241">
            <v>42410</v>
          </cell>
          <cell r="C241">
            <v>38237000</v>
          </cell>
          <cell r="D241">
            <v>-4.025077877510556E-4</v>
          </cell>
        </row>
        <row r="242">
          <cell r="A242">
            <v>42411</v>
          </cell>
          <cell r="C242">
            <v>48878600</v>
          </cell>
          <cell r="D242">
            <v>1.616977583925451E-2</v>
          </cell>
        </row>
        <row r="243">
          <cell r="A243">
            <v>42412</v>
          </cell>
          <cell r="C243">
            <v>34243300</v>
          </cell>
          <cell r="D243">
            <v>1.8769677484794516E-2</v>
          </cell>
        </row>
        <row r="244">
          <cell r="A244">
            <v>42416</v>
          </cell>
          <cell r="C244">
            <v>37291200</v>
          </cell>
          <cell r="D244">
            <v>2.5699376378345323E-2</v>
          </cell>
        </row>
        <row r="245">
          <cell r="A245">
            <v>42417</v>
          </cell>
          <cell r="C245">
            <v>40789000</v>
          </cell>
          <cell r="D245">
            <v>-4.3973808063303647E-3</v>
          </cell>
        </row>
        <row r="246">
          <cell r="A246">
            <v>42418</v>
          </cell>
          <cell r="C246">
            <v>27176000</v>
          </cell>
          <cell r="D246">
            <v>-7.1148909516451017E-3</v>
          </cell>
        </row>
        <row r="247">
          <cell r="A247">
            <v>42419</v>
          </cell>
          <cell r="C247">
            <v>33559100</v>
          </cell>
          <cell r="D247">
            <v>1.589031821626324E-2</v>
          </cell>
        </row>
        <row r="248">
          <cell r="A248">
            <v>42422</v>
          </cell>
          <cell r="C248">
            <v>25008300</v>
          </cell>
          <cell r="D248">
            <v>-2.8317462151091363E-2</v>
          </cell>
        </row>
        <row r="249">
          <cell r="A249">
            <v>42423</v>
          </cell>
          <cell r="C249">
            <v>28895300</v>
          </cell>
          <cell r="D249">
            <v>3.5108453328123639E-3</v>
          </cell>
        </row>
        <row r="250">
          <cell r="A250">
            <v>42424</v>
          </cell>
          <cell r="C250">
            <v>33014500</v>
          </cell>
          <cell r="D250">
            <v>1.4305462659591844E-2</v>
          </cell>
        </row>
        <row r="251">
          <cell r="A251">
            <v>42425</v>
          </cell>
          <cell r="C251">
            <v>26939500</v>
          </cell>
          <cell r="D251">
            <v>-1.5474508693411999E-2</v>
          </cell>
        </row>
        <row r="252">
          <cell r="A252">
            <v>42426</v>
          </cell>
          <cell r="C252">
            <v>35975900</v>
          </cell>
          <cell r="D252">
            <v>-8.2206046845456557E-3</v>
          </cell>
        </row>
        <row r="253">
          <cell r="A253">
            <v>42429</v>
          </cell>
          <cell r="C253">
            <v>31654000</v>
          </cell>
          <cell r="D253">
            <v>3.2865957201118103E-2</v>
          </cell>
        </row>
        <row r="254">
          <cell r="A254">
            <v>42430</v>
          </cell>
          <cell r="C254">
            <v>33024500</v>
          </cell>
          <cell r="D254">
            <v>7.0122656116572511E-3</v>
          </cell>
        </row>
        <row r="255">
          <cell r="A255">
            <v>42431</v>
          </cell>
          <cell r="C255">
            <v>29289900</v>
          </cell>
          <cell r="D255">
            <v>-1.1396317877581009E-2</v>
          </cell>
        </row>
        <row r="256">
          <cell r="A256">
            <v>42432</v>
          </cell>
          <cell r="C256">
            <v>24427800</v>
          </cell>
          <cell r="D256">
            <v>-6.1314659739033677E-3</v>
          </cell>
        </row>
        <row r="257">
          <cell r="A257">
            <v>42433</v>
          </cell>
          <cell r="C257">
            <v>33034200</v>
          </cell>
          <cell r="D257">
            <v>-1.940675854204265E-2</v>
          </cell>
        </row>
        <row r="258">
          <cell r="A258">
            <v>42436</v>
          </cell>
          <cell r="C258">
            <v>38407800</v>
          </cell>
          <cell r="D258">
            <v>1.2076483184280604E-2</v>
          </cell>
        </row>
        <row r="259">
          <cell r="A259">
            <v>42437</v>
          </cell>
          <cell r="C259">
            <v>33835100</v>
          </cell>
          <cell r="D259">
            <v>2.2778485649539042E-2</v>
          </cell>
        </row>
        <row r="260">
          <cell r="A260">
            <v>42438</v>
          </cell>
          <cell r="C260">
            <v>28251600</v>
          </cell>
          <cell r="D260">
            <v>-1.5063678983937869E-2</v>
          </cell>
        </row>
        <row r="261">
          <cell r="A261">
            <v>42439</v>
          </cell>
          <cell r="C261">
            <v>38387800</v>
          </cell>
          <cell r="D261">
            <v>1.9406777495663809E-2</v>
          </cell>
        </row>
        <row r="262">
          <cell r="A262">
            <v>42440</v>
          </cell>
          <cell r="C262">
            <v>32275700</v>
          </cell>
          <cell r="D262">
            <v>1.8825103454395121E-3</v>
          </cell>
        </row>
        <row r="263">
          <cell r="A263">
            <v>42443</v>
          </cell>
          <cell r="C263">
            <v>24083600</v>
          </cell>
          <cell r="D263">
            <v>7.8680794868955101E-3</v>
          </cell>
        </row>
        <row r="264">
          <cell r="A264">
            <v>42444</v>
          </cell>
          <cell r="C264">
            <v>21104800</v>
          </cell>
          <cell r="D264">
            <v>1.4082262313828465E-2</v>
          </cell>
        </row>
        <row r="265">
          <cell r="A265">
            <v>42445</v>
          </cell>
          <cell r="C265">
            <v>31691700</v>
          </cell>
          <cell r="D265">
            <v>5.6875291246620665E-3</v>
          </cell>
        </row>
        <row r="266">
          <cell r="A266">
            <v>42446</v>
          </cell>
          <cell r="C266">
            <v>28223900</v>
          </cell>
          <cell r="D266">
            <v>-2.1637453642729433E-2</v>
          </cell>
        </row>
        <row r="267">
          <cell r="A267">
            <v>42447</v>
          </cell>
          <cell r="C267">
            <v>67625500</v>
          </cell>
          <cell r="D267">
            <v>6.8933607022788959E-3</v>
          </cell>
        </row>
        <row r="268">
          <cell r="A268">
            <v>42450</v>
          </cell>
          <cell r="C268">
            <v>23925700</v>
          </cell>
          <cell r="D268">
            <v>3.8914578928896711E-3</v>
          </cell>
        </row>
        <row r="269">
          <cell r="A269">
            <v>42451</v>
          </cell>
          <cell r="C269">
            <v>23124100</v>
          </cell>
          <cell r="D269">
            <v>-1.8510666472256489E-3</v>
          </cell>
        </row>
        <row r="270">
          <cell r="A270">
            <v>42452</v>
          </cell>
          <cell r="C270">
            <v>20129000</v>
          </cell>
          <cell r="D270">
            <v>4.4370440109774804E-3</v>
          </cell>
        </row>
        <row r="271">
          <cell r="A271">
            <v>42453</v>
          </cell>
          <cell r="C271">
            <v>19950000</v>
          </cell>
          <cell r="D271">
            <v>-1.2436569164414211E-2</v>
          </cell>
        </row>
        <row r="272">
          <cell r="A272">
            <v>42457</v>
          </cell>
          <cell r="C272">
            <v>17025100</v>
          </cell>
          <cell r="D272">
            <v>2.1617544546860264E-2</v>
          </cell>
        </row>
        <row r="273">
          <cell r="A273">
            <v>42458</v>
          </cell>
          <cell r="C273">
            <v>23924300</v>
          </cell>
          <cell r="D273">
            <v>6.1954805899919509E-3</v>
          </cell>
        </row>
        <row r="274">
          <cell r="A274">
            <v>42459</v>
          </cell>
          <cell r="C274">
            <v>23008300</v>
          </cell>
          <cell r="D274">
            <v>3.26422095055301E-3</v>
          </cell>
        </row>
        <row r="275">
          <cell r="A275">
            <v>42460</v>
          </cell>
          <cell r="C275">
            <v>26360500</v>
          </cell>
          <cell r="D275">
            <v>6.1374835744563063E-3</v>
          </cell>
        </row>
        <row r="276">
          <cell r="A276">
            <v>42461</v>
          </cell>
          <cell r="C276">
            <v>24399200</v>
          </cell>
          <cell r="D276">
            <v>-2.522531125640872E-3</v>
          </cell>
        </row>
        <row r="277">
          <cell r="A277">
            <v>42464</v>
          </cell>
          <cell r="C277">
            <v>18928800</v>
          </cell>
          <cell r="D277">
            <v>-1.5819980335477723E-2</v>
          </cell>
        </row>
        <row r="278">
          <cell r="A278">
            <v>42465</v>
          </cell>
          <cell r="C278">
            <v>19272300</v>
          </cell>
          <cell r="D278">
            <v>1.0211388161959581E-2</v>
          </cell>
        </row>
        <row r="279">
          <cell r="A279">
            <v>42466</v>
          </cell>
          <cell r="C279">
            <v>21188700</v>
          </cell>
          <cell r="D279">
            <v>-1.2045894315818513E-2</v>
          </cell>
        </row>
        <row r="280">
          <cell r="A280">
            <v>42467</v>
          </cell>
          <cell r="C280">
            <v>19225100</v>
          </cell>
          <cell r="D280">
            <v>-7.3484103713979132E-4</v>
          </cell>
        </row>
        <row r="281">
          <cell r="A281">
            <v>42468</v>
          </cell>
          <cell r="C281">
            <v>22167200</v>
          </cell>
          <cell r="D281">
            <v>-2.0233432091915828E-3</v>
          </cell>
        </row>
        <row r="282">
          <cell r="A282">
            <v>42471</v>
          </cell>
          <cell r="C282">
            <v>21414200</v>
          </cell>
          <cell r="D282">
            <v>6.2408299687991952E-3</v>
          </cell>
        </row>
        <row r="283">
          <cell r="A283">
            <v>42472</v>
          </cell>
          <cell r="C283">
            <v>24944300</v>
          </cell>
          <cell r="D283">
            <v>1.2727287121834725E-2</v>
          </cell>
        </row>
        <row r="284">
          <cell r="A284">
            <v>42473</v>
          </cell>
          <cell r="C284">
            <v>20818000</v>
          </cell>
          <cell r="D284">
            <v>1.8071261668581466E-4</v>
          </cell>
        </row>
        <row r="285">
          <cell r="A285">
            <v>42474</v>
          </cell>
          <cell r="C285">
            <v>20877100</v>
          </cell>
          <cell r="D285">
            <v>5.2248226093667329E-3</v>
          </cell>
        </row>
        <row r="286">
          <cell r="A286">
            <v>42475</v>
          </cell>
          <cell r="C286">
            <v>28793800</v>
          </cell>
          <cell r="D286">
            <v>1.4450326920736856E-2</v>
          </cell>
        </row>
        <row r="287">
          <cell r="A287">
            <v>42478</v>
          </cell>
          <cell r="C287">
            <v>23786000</v>
          </cell>
          <cell r="D287">
            <v>-1.2406174907049132E-3</v>
          </cell>
        </row>
        <row r="288">
          <cell r="A288">
            <v>42479</v>
          </cell>
          <cell r="C288">
            <v>29596800</v>
          </cell>
          <cell r="D288">
            <v>-1.4288430924479692E-2</v>
          </cell>
        </row>
        <row r="289">
          <cell r="A289">
            <v>42480</v>
          </cell>
          <cell r="C289">
            <v>36195700</v>
          </cell>
          <cell r="D289">
            <v>3.4120509744119841E-3</v>
          </cell>
        </row>
        <row r="290">
          <cell r="A290">
            <v>42481</v>
          </cell>
          <cell r="C290">
            <v>38909100</v>
          </cell>
          <cell r="D290">
            <v>-7.4411442397984112E-2</v>
          </cell>
        </row>
        <row r="291">
          <cell r="A291">
            <v>42482</v>
          </cell>
          <cell r="C291">
            <v>126834100</v>
          </cell>
          <cell r="D291">
            <v>6.3529625949324065E-3</v>
          </cell>
        </row>
        <row r="292">
          <cell r="A292">
            <v>42485</v>
          </cell>
          <cell r="C292">
            <v>33226900</v>
          </cell>
          <cell r="D292">
            <v>-1.2940844010853879E-2</v>
          </cell>
        </row>
        <row r="293">
          <cell r="A293">
            <v>42486</v>
          </cell>
          <cell r="C293">
            <v>33532600</v>
          </cell>
          <cell r="D293">
            <v>-9.7676308707387426E-3</v>
          </cell>
        </row>
        <row r="294">
          <cell r="A294">
            <v>42487</v>
          </cell>
          <cell r="C294">
            <v>43369300</v>
          </cell>
          <cell r="D294">
            <v>-2.0627452752892229E-2</v>
          </cell>
        </row>
        <row r="295">
          <cell r="A295">
            <v>42488</v>
          </cell>
          <cell r="C295">
            <v>43134800</v>
          </cell>
          <cell r="D295">
            <v>-6.0149789370757181E-4</v>
          </cell>
        </row>
        <row r="296">
          <cell r="A296">
            <v>42489</v>
          </cell>
          <cell r="C296">
            <v>48411700</v>
          </cell>
          <cell r="D296">
            <v>1.4729745578614725E-2</v>
          </cell>
        </row>
        <row r="297">
          <cell r="A297">
            <v>42492</v>
          </cell>
          <cell r="C297">
            <v>33114500</v>
          </cell>
          <cell r="D297">
            <v>-1.6535979370793395E-2</v>
          </cell>
        </row>
        <row r="298">
          <cell r="A298">
            <v>42493</v>
          </cell>
          <cell r="C298">
            <v>26460200</v>
          </cell>
          <cell r="D298">
            <v>1.8062337921786256E-3</v>
          </cell>
        </row>
        <row r="299">
          <cell r="A299">
            <v>42494</v>
          </cell>
          <cell r="C299">
            <v>24257600</v>
          </cell>
          <cell r="D299">
            <v>1.4027237305049337E-3</v>
          </cell>
        </row>
        <row r="300">
          <cell r="A300">
            <v>42495</v>
          </cell>
          <cell r="C300">
            <v>25390700</v>
          </cell>
          <cell r="D300">
            <v>8.9704899002581908E-3</v>
          </cell>
        </row>
        <row r="301">
          <cell r="A301">
            <v>42496</v>
          </cell>
          <cell r="C301">
            <v>24787300</v>
          </cell>
          <cell r="D301">
            <v>-6.3706557187930063E-3</v>
          </cell>
        </row>
        <row r="302">
          <cell r="A302">
            <v>42499</v>
          </cell>
          <cell r="C302">
            <v>17951600</v>
          </cell>
          <cell r="D302">
            <v>1.8795652745107989E-2</v>
          </cell>
        </row>
        <row r="303">
          <cell r="A303">
            <v>42500</v>
          </cell>
          <cell r="C303">
            <v>22891000</v>
          </cell>
          <cell r="D303">
            <v>5.8785934885470124E-4</v>
          </cell>
        </row>
        <row r="304">
          <cell r="A304">
            <v>42501</v>
          </cell>
          <cell r="C304">
            <v>24039100</v>
          </cell>
          <cell r="D304">
            <v>8.9703678164369041E-3</v>
          </cell>
        </row>
        <row r="305">
          <cell r="A305">
            <v>42502</v>
          </cell>
          <cell r="C305">
            <v>24102800</v>
          </cell>
          <cell r="D305">
            <v>-8.3827693032107343E-3</v>
          </cell>
        </row>
        <row r="306">
          <cell r="A306">
            <v>42503</v>
          </cell>
          <cell r="C306">
            <v>22592300</v>
          </cell>
          <cell r="D306">
            <v>1.4576025138070815E-2</v>
          </cell>
        </row>
        <row r="307">
          <cell r="A307">
            <v>42506</v>
          </cell>
          <cell r="C307">
            <v>20032000</v>
          </cell>
          <cell r="D307">
            <v>-1.8827943248916488E-2</v>
          </cell>
        </row>
        <row r="308">
          <cell r="A308">
            <v>42507</v>
          </cell>
          <cell r="C308">
            <v>27803500</v>
          </cell>
          <cell r="D308">
            <v>5.9218568579288301E-3</v>
          </cell>
        </row>
        <row r="309">
          <cell r="A309">
            <v>42508</v>
          </cell>
          <cell r="C309">
            <v>24907500</v>
          </cell>
          <cell r="D309">
            <v>-9.6906008041141543E-3</v>
          </cell>
        </row>
        <row r="310">
          <cell r="A310">
            <v>42509</v>
          </cell>
          <cell r="C310">
            <v>23842400</v>
          </cell>
          <cell r="D310">
            <v>5.944150603756285E-3</v>
          </cell>
        </row>
        <row r="311">
          <cell r="A311">
            <v>42510</v>
          </cell>
          <cell r="C311">
            <v>23905800</v>
          </cell>
          <cell r="D311">
            <v>-1.1723638771838109E-2</v>
          </cell>
        </row>
        <row r="312">
          <cell r="A312">
            <v>42513</v>
          </cell>
          <cell r="C312">
            <v>26118700</v>
          </cell>
          <cell r="D312">
            <v>3.0704973644792227E-2</v>
          </cell>
        </row>
        <row r="313">
          <cell r="A313">
            <v>42514</v>
          </cell>
          <cell r="C313">
            <v>34757900</v>
          </cell>
          <cell r="D313">
            <v>1.0220762009192735E-2</v>
          </cell>
        </row>
        <row r="314">
          <cell r="A314">
            <v>42515</v>
          </cell>
          <cell r="C314">
            <v>24040200</v>
          </cell>
          <cell r="D314">
            <v>-4.4227655294624343E-3</v>
          </cell>
        </row>
        <row r="315">
          <cell r="A315">
            <v>42516</v>
          </cell>
          <cell r="C315">
            <v>24335200</v>
          </cell>
          <cell r="D315">
            <v>8.252807055401476E-3</v>
          </cell>
        </row>
        <row r="316">
          <cell r="A316">
            <v>42517</v>
          </cell>
          <cell r="C316">
            <v>17721400</v>
          </cell>
          <cell r="D316">
            <v>1.2913330198325404E-2</v>
          </cell>
        </row>
        <row r="317">
          <cell r="A317">
            <v>42521</v>
          </cell>
          <cell r="C317">
            <v>37653100</v>
          </cell>
          <cell r="D317">
            <v>-2.8345185282298716E-3</v>
          </cell>
        </row>
        <row r="318">
          <cell r="A318">
            <v>42522</v>
          </cell>
          <cell r="C318">
            <v>25324800</v>
          </cell>
          <cell r="D318">
            <v>-7.0252318098765962E-3</v>
          </cell>
        </row>
        <row r="319">
          <cell r="A319">
            <v>42523</v>
          </cell>
          <cell r="C319">
            <v>22840800</v>
          </cell>
          <cell r="D319">
            <v>-1.3235402424586963E-2</v>
          </cell>
        </row>
        <row r="320">
          <cell r="A320">
            <v>42524</v>
          </cell>
          <cell r="C320">
            <v>23368300</v>
          </cell>
          <cell r="D320">
            <v>6.5438601857471454E-3</v>
          </cell>
        </row>
        <row r="321">
          <cell r="A321">
            <v>42527</v>
          </cell>
          <cell r="C321">
            <v>18243300</v>
          </cell>
          <cell r="D321">
            <v>-5.7577199629593007E-4</v>
          </cell>
        </row>
        <row r="322">
          <cell r="A322">
            <v>42528</v>
          </cell>
          <cell r="C322">
            <v>20866800</v>
          </cell>
          <cell r="D322">
            <v>-1.1525188871450748E-3</v>
          </cell>
        </row>
        <row r="323">
          <cell r="A323">
            <v>42529</v>
          </cell>
          <cell r="C323">
            <v>21149400</v>
          </cell>
          <cell r="D323">
            <v>-8.1035034452882713E-3</v>
          </cell>
        </row>
        <row r="324">
          <cell r="A324">
            <v>42530</v>
          </cell>
          <cell r="C324">
            <v>20305700</v>
          </cell>
          <cell r="D324">
            <v>-2.7156737020389175E-3</v>
          </cell>
        </row>
        <row r="325">
          <cell r="A325">
            <v>42531</v>
          </cell>
          <cell r="C325">
            <v>25833200</v>
          </cell>
          <cell r="D325">
            <v>-2.6374412971467271E-2</v>
          </cell>
        </row>
        <row r="326">
          <cell r="A326">
            <v>42534</v>
          </cell>
          <cell r="C326">
            <v>83217800</v>
          </cell>
          <cell r="D326">
            <v>-6.2017017456178014E-3</v>
          </cell>
        </row>
        <row r="327">
          <cell r="A327">
            <v>42535</v>
          </cell>
          <cell r="C327">
            <v>42577100</v>
          </cell>
          <cell r="D327">
            <v>-2.813535909444778E-3</v>
          </cell>
        </row>
        <row r="328">
          <cell r="A328">
            <v>42536</v>
          </cell>
          <cell r="C328">
            <v>33757600</v>
          </cell>
          <cell r="D328">
            <v>1.3989053952315877E-2</v>
          </cell>
        </row>
        <row r="329">
          <cell r="A329">
            <v>42537</v>
          </cell>
          <cell r="C329">
            <v>31188600</v>
          </cell>
          <cell r="D329">
            <v>-5.1730919664616862E-3</v>
          </cell>
        </row>
        <row r="330">
          <cell r="A330">
            <v>42538</v>
          </cell>
          <cell r="C330">
            <v>45710500</v>
          </cell>
          <cell r="D330">
            <v>-1.1975164170631382E-3</v>
          </cell>
        </row>
        <row r="331">
          <cell r="A331">
            <v>42541</v>
          </cell>
          <cell r="C331">
            <v>35607900</v>
          </cell>
          <cell r="D331">
            <v>2.2122001107661764E-2</v>
          </cell>
        </row>
        <row r="332">
          <cell r="A332">
            <v>42542</v>
          </cell>
          <cell r="C332">
            <v>34097800</v>
          </cell>
          <cell r="D332">
            <v>-3.9144390782076535E-3</v>
          </cell>
        </row>
        <row r="333">
          <cell r="A333">
            <v>42543</v>
          </cell>
          <cell r="C333">
            <v>28816800</v>
          </cell>
          <cell r="D333">
            <v>1.7881759660826769E-2</v>
          </cell>
        </row>
        <row r="334">
          <cell r="A334">
            <v>42544</v>
          </cell>
          <cell r="C334">
            <v>29028800</v>
          </cell>
          <cell r="D334">
            <v>-4.0894231349627289E-2</v>
          </cell>
        </row>
        <row r="335">
          <cell r="A335">
            <v>42545</v>
          </cell>
          <cell r="C335">
            <v>133503000</v>
          </cell>
          <cell r="D335">
            <v>-2.8497790147080718E-2</v>
          </cell>
        </row>
        <row r="336">
          <cell r="A336">
            <v>42548</v>
          </cell>
          <cell r="C336">
            <v>50216300</v>
          </cell>
          <cell r="D336">
            <v>2.0640279735181927E-2</v>
          </cell>
        </row>
        <row r="337">
          <cell r="A337">
            <v>42549</v>
          </cell>
          <cell r="C337">
            <v>38140700</v>
          </cell>
          <cell r="D337">
            <v>2.2005317033806541E-2</v>
          </cell>
        </row>
        <row r="338">
          <cell r="A338">
            <v>42550</v>
          </cell>
          <cell r="C338">
            <v>31304000</v>
          </cell>
          <cell r="D338">
            <v>1.2388355330803137E-2</v>
          </cell>
        </row>
        <row r="339">
          <cell r="A339">
            <v>42551</v>
          </cell>
          <cell r="C339">
            <v>28527800</v>
          </cell>
          <cell r="D339">
            <v>-1.9543167880627156E-4</v>
          </cell>
        </row>
        <row r="340">
          <cell r="A340">
            <v>42552</v>
          </cell>
          <cell r="C340">
            <v>21400400</v>
          </cell>
          <cell r="D340">
            <v>1.9543167880628753E-4</v>
          </cell>
        </row>
        <row r="341">
          <cell r="A341">
            <v>42556</v>
          </cell>
          <cell r="C341">
            <v>24806400</v>
          </cell>
          <cell r="D341">
            <v>4.0956427650919499E-3</v>
          </cell>
        </row>
        <row r="342">
          <cell r="A342">
            <v>42557</v>
          </cell>
          <cell r="C342">
            <v>28167500</v>
          </cell>
          <cell r="D342">
            <v>0</v>
          </cell>
        </row>
        <row r="343">
          <cell r="A343">
            <v>42558</v>
          </cell>
          <cell r="C343">
            <v>19585200</v>
          </cell>
          <cell r="D343">
            <v>1.7747289104323494E-2</v>
          </cell>
        </row>
        <row r="344">
          <cell r="A344">
            <v>42559</v>
          </cell>
          <cell r="C344">
            <v>28391000</v>
          </cell>
          <cell r="D344">
            <v>5.5297803944637236E-3</v>
          </cell>
        </row>
        <row r="345">
          <cell r="A345">
            <v>42562</v>
          </cell>
          <cell r="C345">
            <v>22269200</v>
          </cell>
          <cell r="D345">
            <v>1.1720264868072225E-2</v>
          </cell>
        </row>
        <row r="346">
          <cell r="A346">
            <v>42563</v>
          </cell>
          <cell r="C346">
            <v>27317600</v>
          </cell>
          <cell r="D346">
            <v>5.6220701000599558E-3</v>
          </cell>
        </row>
        <row r="347">
          <cell r="A347">
            <v>42564</v>
          </cell>
          <cell r="C347">
            <v>25356800</v>
          </cell>
          <cell r="D347">
            <v>4.2892340467701991E-3</v>
          </cell>
        </row>
        <row r="348">
          <cell r="A348">
            <v>42565</v>
          </cell>
          <cell r="C348">
            <v>24545500</v>
          </cell>
          <cell r="D348">
            <v>-7.4454661684181028E-4</v>
          </cell>
        </row>
        <row r="349">
          <cell r="A349">
            <v>42566</v>
          </cell>
          <cell r="C349">
            <v>32024400</v>
          </cell>
          <cell r="D349">
            <v>4.8299515737065526E-3</v>
          </cell>
        </row>
        <row r="350">
          <cell r="A350">
            <v>42569</v>
          </cell>
          <cell r="C350">
            <v>31433900</v>
          </cell>
          <cell r="D350">
            <v>-1.625444551863587E-2</v>
          </cell>
        </row>
        <row r="351">
          <cell r="A351">
            <v>42570</v>
          </cell>
          <cell r="C351">
            <v>53336500</v>
          </cell>
          <cell r="D351">
            <v>5.175462325935256E-2</v>
          </cell>
        </row>
        <row r="352">
          <cell r="A352">
            <v>42571</v>
          </cell>
          <cell r="C352">
            <v>89893300</v>
          </cell>
          <cell r="D352">
            <v>-1.9692977209827857E-3</v>
          </cell>
        </row>
        <row r="353">
          <cell r="A353">
            <v>42572</v>
          </cell>
          <cell r="C353">
            <v>32776700</v>
          </cell>
          <cell r="D353">
            <v>1.3704994933452414E-2</v>
          </cell>
        </row>
        <row r="354">
          <cell r="A354">
            <v>42573</v>
          </cell>
          <cell r="C354">
            <v>32157200</v>
          </cell>
          <cell r="D354">
            <v>2.8240588255450281E-3</v>
          </cell>
        </row>
        <row r="355">
          <cell r="A355">
            <v>42576</v>
          </cell>
          <cell r="C355">
            <v>25610600</v>
          </cell>
          <cell r="D355">
            <v>5.2869867263157747E-4</v>
          </cell>
        </row>
        <row r="356">
          <cell r="A356">
            <v>42577</v>
          </cell>
          <cell r="C356">
            <v>28079000</v>
          </cell>
          <cell r="D356">
            <v>-1.0092948240735753E-2</v>
          </cell>
        </row>
        <row r="357">
          <cell r="A357">
            <v>42578</v>
          </cell>
          <cell r="C357">
            <v>32327500</v>
          </cell>
          <cell r="D357">
            <v>3.5592192221810135E-4</v>
          </cell>
        </row>
        <row r="358">
          <cell r="A358">
            <v>42579</v>
          </cell>
          <cell r="C358">
            <v>37550400</v>
          </cell>
          <cell r="D358">
            <v>8.3266361288818636E-3</v>
          </cell>
        </row>
        <row r="359">
          <cell r="A359">
            <v>42580</v>
          </cell>
          <cell r="C359">
            <v>30558700</v>
          </cell>
          <cell r="D359">
            <v>-1.7657754503992279E-3</v>
          </cell>
        </row>
        <row r="360">
          <cell r="A360">
            <v>42583</v>
          </cell>
          <cell r="C360">
            <v>26003400</v>
          </cell>
          <cell r="D360">
            <v>0</v>
          </cell>
        </row>
        <row r="361">
          <cell r="A361">
            <v>42584</v>
          </cell>
          <cell r="C361">
            <v>35122000</v>
          </cell>
          <cell r="D361">
            <v>6.8693444441762881E-3</v>
          </cell>
        </row>
        <row r="362">
          <cell r="A362">
            <v>42585</v>
          </cell>
          <cell r="C362">
            <v>22075600</v>
          </cell>
          <cell r="D362">
            <v>7.3451660023315596E-3</v>
          </cell>
        </row>
        <row r="363">
          <cell r="A363">
            <v>42586</v>
          </cell>
          <cell r="C363">
            <v>26587700</v>
          </cell>
          <cell r="D363">
            <v>9.8829481971962167E-3</v>
          </cell>
        </row>
        <row r="364">
          <cell r="A364">
            <v>42587</v>
          </cell>
          <cell r="C364">
            <v>29335200</v>
          </cell>
          <cell r="D364">
            <v>1.7239911321753341E-3</v>
          </cell>
        </row>
        <row r="365">
          <cell r="A365">
            <v>42590</v>
          </cell>
          <cell r="C365">
            <v>19473500</v>
          </cell>
          <cell r="D365">
            <v>2.4082736882421628E-3</v>
          </cell>
        </row>
        <row r="366">
          <cell r="A366">
            <v>42591</v>
          </cell>
          <cell r="C366">
            <v>16920700</v>
          </cell>
          <cell r="D366">
            <v>-3.0973287475699112E-3</v>
          </cell>
        </row>
        <row r="367">
          <cell r="A367">
            <v>42592</v>
          </cell>
          <cell r="C367">
            <v>15756900</v>
          </cell>
          <cell r="D367">
            <v>4.8141247452686354E-3</v>
          </cell>
        </row>
        <row r="368">
          <cell r="A368">
            <v>42593</v>
          </cell>
          <cell r="C368">
            <v>18162300</v>
          </cell>
          <cell r="D368">
            <v>-6.1940124536607908E-3</v>
          </cell>
        </row>
        <row r="369">
          <cell r="A369">
            <v>42594</v>
          </cell>
          <cell r="C369">
            <v>21655200</v>
          </cell>
          <cell r="D369">
            <v>3.1017281592625717E-3</v>
          </cell>
        </row>
        <row r="370">
          <cell r="A370">
            <v>42597</v>
          </cell>
          <cell r="C370">
            <v>19283900</v>
          </cell>
          <cell r="D370">
            <v>-5.555636743185639E-3</v>
          </cell>
        </row>
        <row r="371">
          <cell r="A371">
            <v>42598</v>
          </cell>
          <cell r="C371">
            <v>20523500</v>
          </cell>
          <cell r="D371">
            <v>2.086940805799332E-3</v>
          </cell>
        </row>
        <row r="372">
          <cell r="A372">
            <v>42599</v>
          </cell>
          <cell r="C372">
            <v>18856400</v>
          </cell>
          <cell r="D372">
            <v>6.9484668124726741E-4</v>
          </cell>
        </row>
        <row r="373">
          <cell r="A373">
            <v>42600</v>
          </cell>
          <cell r="C373">
            <v>14214300</v>
          </cell>
          <cell r="D373">
            <v>3.4709444407597043E-4</v>
          </cell>
        </row>
        <row r="374">
          <cell r="A374">
            <v>42601</v>
          </cell>
          <cell r="C374">
            <v>17271000</v>
          </cell>
          <cell r="D374">
            <v>8.6737567202079598E-4</v>
          </cell>
        </row>
        <row r="375">
          <cell r="A375">
            <v>42604</v>
          </cell>
          <cell r="C375">
            <v>15221900</v>
          </cell>
          <cell r="D375">
            <v>3.8075661618286456E-3</v>
          </cell>
        </row>
        <row r="376">
          <cell r="A376">
            <v>42605</v>
          </cell>
          <cell r="C376">
            <v>18732400</v>
          </cell>
          <cell r="D376">
            <v>1.0359493835763183E-3</v>
          </cell>
        </row>
        <row r="377">
          <cell r="A377">
            <v>42606</v>
          </cell>
          <cell r="C377">
            <v>18151500</v>
          </cell>
          <cell r="D377">
            <v>3.7891302940359474E-3</v>
          </cell>
        </row>
        <row r="378">
          <cell r="A378">
            <v>42607</v>
          </cell>
          <cell r="C378">
            <v>18552600</v>
          </cell>
          <cell r="D378">
            <v>-2.40968474768598E-3</v>
          </cell>
        </row>
        <row r="379">
          <cell r="A379">
            <v>42608</v>
          </cell>
          <cell r="C379">
            <v>20971200</v>
          </cell>
          <cell r="D379">
            <v>1.2056048721944494E-3</v>
          </cell>
        </row>
        <row r="380">
          <cell r="A380">
            <v>42611</v>
          </cell>
          <cell r="C380">
            <v>16417200</v>
          </cell>
          <cell r="D380">
            <v>-3.6209998021206934E-3</v>
          </cell>
        </row>
        <row r="381">
          <cell r="A381">
            <v>42612</v>
          </cell>
          <cell r="C381">
            <v>16930200</v>
          </cell>
          <cell r="D381">
            <v>-7.4555400951986485E-3</v>
          </cell>
        </row>
        <row r="382">
          <cell r="A382">
            <v>42613</v>
          </cell>
          <cell r="C382">
            <v>20860300</v>
          </cell>
          <cell r="D382">
            <v>2.2598374053360059E-3</v>
          </cell>
        </row>
        <row r="383">
          <cell r="A383">
            <v>42614</v>
          </cell>
          <cell r="C383">
            <v>26075400</v>
          </cell>
          <cell r="D383">
            <v>1.3881365280338648E-3</v>
          </cell>
        </row>
        <row r="384">
          <cell r="A384">
            <v>42615</v>
          </cell>
          <cell r="C384">
            <v>18900500</v>
          </cell>
          <cell r="D384">
            <v>-1.0408338589450485E-3</v>
          </cell>
        </row>
        <row r="385">
          <cell r="A385">
            <v>42619</v>
          </cell>
          <cell r="C385">
            <v>16278400</v>
          </cell>
          <cell r="D385">
            <v>8.6737824993545008E-4</v>
          </cell>
        </row>
        <row r="386">
          <cell r="A386">
            <v>42620</v>
          </cell>
          <cell r="C386">
            <v>17493400</v>
          </cell>
          <cell r="D386">
            <v>-3.9968780161540032E-3</v>
          </cell>
        </row>
        <row r="387">
          <cell r="A387">
            <v>42621</v>
          </cell>
          <cell r="C387">
            <v>20146100</v>
          </cell>
          <cell r="D387">
            <v>-2.147203196679838E-2</v>
          </cell>
        </row>
        <row r="388">
          <cell r="A388">
            <v>42622</v>
          </cell>
          <cell r="C388">
            <v>35113900</v>
          </cell>
          <cell r="D388">
            <v>1.4833411620385931E-2</v>
          </cell>
        </row>
        <row r="389">
          <cell r="A389">
            <v>42625</v>
          </cell>
          <cell r="C389">
            <v>29303000</v>
          </cell>
          <cell r="D389">
            <v>-9.1565503840041976E-3</v>
          </cell>
        </row>
        <row r="390">
          <cell r="A390">
            <v>42626</v>
          </cell>
          <cell r="C390">
            <v>30130200</v>
          </cell>
          <cell r="D390">
            <v>-4.787889102740815E-3</v>
          </cell>
        </row>
        <row r="391">
          <cell r="A391">
            <v>42627</v>
          </cell>
          <cell r="C391">
            <v>24062500</v>
          </cell>
          <cell r="D391">
            <v>1.6395261667068891E-2</v>
          </cell>
        </row>
        <row r="392">
          <cell r="A392">
            <v>42628</v>
          </cell>
          <cell r="C392">
            <v>26847000</v>
          </cell>
          <cell r="D392">
            <v>1.0486972001422087E-3</v>
          </cell>
        </row>
        <row r="393">
          <cell r="A393">
            <v>42629</v>
          </cell>
          <cell r="C393">
            <v>44607000</v>
          </cell>
          <cell r="D393">
            <v>-5.6051357493384765E-3</v>
          </cell>
        </row>
        <row r="394">
          <cell r="A394">
            <v>42632</v>
          </cell>
          <cell r="C394">
            <v>20937100</v>
          </cell>
          <cell r="D394">
            <v>-2.1102093810686047E-3</v>
          </cell>
        </row>
        <row r="395">
          <cell r="A395">
            <v>42633</v>
          </cell>
          <cell r="C395">
            <v>17384000</v>
          </cell>
          <cell r="D395">
            <v>1.6584103523791315E-2</v>
          </cell>
        </row>
        <row r="396">
          <cell r="A396">
            <v>42634</v>
          </cell>
          <cell r="C396">
            <v>33707300</v>
          </cell>
          <cell r="D396">
            <v>1.0384088463847056E-3</v>
          </cell>
        </row>
        <row r="397">
          <cell r="A397">
            <v>42635</v>
          </cell>
          <cell r="C397">
            <v>19822200</v>
          </cell>
          <cell r="D397">
            <v>-6.7680662738225624E-3</v>
          </cell>
        </row>
        <row r="398">
          <cell r="A398">
            <v>42636</v>
          </cell>
          <cell r="C398">
            <v>19955300</v>
          </cell>
          <cell r="D398">
            <v>-9.2712359859912375E-3</v>
          </cell>
        </row>
        <row r="399">
          <cell r="A399">
            <v>42639</v>
          </cell>
          <cell r="C399">
            <v>21688700</v>
          </cell>
          <cell r="D399">
            <v>1.8285085156559942E-2</v>
          </cell>
        </row>
        <row r="400">
          <cell r="A400">
            <v>42640</v>
          </cell>
          <cell r="C400">
            <v>28065100</v>
          </cell>
          <cell r="D400">
            <v>1.3794455463499158E-3</v>
          </cell>
        </row>
        <row r="401">
          <cell r="A401">
            <v>42641</v>
          </cell>
          <cell r="C401">
            <v>20536400</v>
          </cell>
          <cell r="D401">
            <v>-1.0915648986803698E-2</v>
          </cell>
        </row>
        <row r="402">
          <cell r="A402">
            <v>42642</v>
          </cell>
          <cell r="C402">
            <v>25463500</v>
          </cell>
          <cell r="D402">
            <v>3.4782177789520227E-3</v>
          </cell>
        </row>
        <row r="403">
          <cell r="A403">
            <v>42643</v>
          </cell>
          <cell r="C403">
            <v>29910800</v>
          </cell>
          <cell r="D403">
            <v>-3.129895618244664E-3</v>
          </cell>
        </row>
        <row r="404">
          <cell r="A404">
            <v>42646</v>
          </cell>
          <cell r="C404">
            <v>19189500</v>
          </cell>
          <cell r="D404">
            <v>-3.1397412438898069E-3</v>
          </cell>
        </row>
        <row r="405">
          <cell r="A405">
            <v>42647</v>
          </cell>
          <cell r="C405">
            <v>20085900</v>
          </cell>
          <cell r="D405">
            <v>6.9638531921274319E-3</v>
          </cell>
        </row>
        <row r="406">
          <cell r="A406">
            <v>42648</v>
          </cell>
          <cell r="C406">
            <v>16726400</v>
          </cell>
          <cell r="D406">
            <v>1.7333799196320055E-3</v>
          </cell>
        </row>
        <row r="407">
          <cell r="A407">
            <v>42649</v>
          </cell>
          <cell r="C407">
            <v>16212600</v>
          </cell>
          <cell r="D407">
            <v>1.0385654519599226E-3</v>
          </cell>
        </row>
        <row r="408">
          <cell r="A408">
            <v>42650</v>
          </cell>
          <cell r="C408">
            <v>20089000</v>
          </cell>
          <cell r="D408">
            <v>4.1436743278642539E-3</v>
          </cell>
        </row>
        <row r="409">
          <cell r="A409">
            <v>42653</v>
          </cell>
          <cell r="C409">
            <v>18196500</v>
          </cell>
          <cell r="D409">
            <v>-1.475349770460437E-2</v>
          </cell>
        </row>
        <row r="410">
          <cell r="A410">
            <v>42654</v>
          </cell>
          <cell r="C410">
            <v>26497400</v>
          </cell>
          <cell r="D410">
            <v>-1.3997768802515409E-3</v>
          </cell>
        </row>
        <row r="411">
          <cell r="A411">
            <v>42655</v>
          </cell>
          <cell r="C411">
            <v>22177500</v>
          </cell>
          <cell r="D411">
            <v>-3.3322972356284561E-3</v>
          </cell>
        </row>
        <row r="412">
          <cell r="A412">
            <v>42656</v>
          </cell>
          <cell r="C412">
            <v>25313700</v>
          </cell>
          <cell r="D412">
            <v>8.7458401727908246E-3</v>
          </cell>
        </row>
        <row r="413">
          <cell r="A413">
            <v>42657</v>
          </cell>
          <cell r="C413">
            <v>27402500</v>
          </cell>
          <cell r="D413">
            <v>-3.4892148161157735E-3</v>
          </cell>
        </row>
        <row r="414">
          <cell r="A414">
            <v>42660</v>
          </cell>
          <cell r="C414">
            <v>23830000</v>
          </cell>
          <cell r="D414">
            <v>7.6601249414474928E-3</v>
          </cell>
        </row>
        <row r="415">
          <cell r="A415">
            <v>42661</v>
          </cell>
          <cell r="C415">
            <v>19149500</v>
          </cell>
          <cell r="D415">
            <v>-2.2570909921353841E-3</v>
          </cell>
        </row>
        <row r="416">
          <cell r="A416">
            <v>42662</v>
          </cell>
          <cell r="C416">
            <v>22878400</v>
          </cell>
          <cell r="D416">
            <v>-4.8788879899650016E-3</v>
          </cell>
        </row>
        <row r="417">
          <cell r="A417">
            <v>42663</v>
          </cell>
          <cell r="C417">
            <v>49455600</v>
          </cell>
          <cell r="D417">
            <v>4.1234103402741959E-2</v>
          </cell>
        </row>
        <row r="418">
          <cell r="A418">
            <v>42664</v>
          </cell>
          <cell r="C418">
            <v>80032200</v>
          </cell>
          <cell r="D418">
            <v>2.2212093319171761E-2</v>
          </cell>
        </row>
        <row r="419">
          <cell r="A419">
            <v>42667</v>
          </cell>
          <cell r="C419">
            <v>54067000</v>
          </cell>
          <cell r="D419">
            <v>-1.6391598538948899E-4</v>
          </cell>
        </row>
        <row r="420">
          <cell r="A420">
            <v>42668</v>
          </cell>
          <cell r="C420">
            <v>35137200</v>
          </cell>
          <cell r="D420">
            <v>-5.9202419412056869E-3</v>
          </cell>
        </row>
        <row r="421">
          <cell r="A421">
            <v>42669</v>
          </cell>
          <cell r="C421">
            <v>29911600</v>
          </cell>
          <cell r="D421">
            <v>-8.7798958598569749E-3</v>
          </cell>
        </row>
        <row r="422">
          <cell r="A422">
            <v>42670</v>
          </cell>
          <cell r="C422">
            <v>28479900</v>
          </cell>
          <cell r="D422">
            <v>-3.8342972020306947E-3</v>
          </cell>
        </row>
        <row r="423">
          <cell r="A423">
            <v>42671</v>
          </cell>
          <cell r="C423">
            <v>33574700</v>
          </cell>
          <cell r="D423">
            <v>8.3479208286350241E-4</v>
          </cell>
        </row>
        <row r="424">
          <cell r="A424">
            <v>42674</v>
          </cell>
          <cell r="C424">
            <v>26434700</v>
          </cell>
          <cell r="D424">
            <v>-2.0046088530261811E-3</v>
          </cell>
        </row>
        <row r="425">
          <cell r="A425">
            <v>42675</v>
          </cell>
          <cell r="C425">
            <v>24533000</v>
          </cell>
          <cell r="D425">
            <v>-6.2065557824073567E-3</v>
          </cell>
        </row>
        <row r="426">
          <cell r="A426">
            <v>42676</v>
          </cell>
          <cell r="C426">
            <v>22147000</v>
          </cell>
          <cell r="D426">
            <v>-3.7086642123059627E-3</v>
          </cell>
        </row>
        <row r="427">
          <cell r="A427">
            <v>42677</v>
          </cell>
          <cell r="C427">
            <v>21600400</v>
          </cell>
          <cell r="D427">
            <v>-8.4803898981084726E-3</v>
          </cell>
        </row>
        <row r="428">
          <cell r="A428">
            <v>42678</v>
          </cell>
          <cell r="C428">
            <v>28697000</v>
          </cell>
          <cell r="D428">
            <v>2.8710121975447467E-2</v>
          </cell>
        </row>
        <row r="429">
          <cell r="A429">
            <v>42681</v>
          </cell>
          <cell r="C429">
            <v>31664800</v>
          </cell>
          <cell r="D429">
            <v>8.2717848524831671E-4</v>
          </cell>
        </row>
        <row r="430">
          <cell r="A430">
            <v>42682</v>
          </cell>
          <cell r="C430">
            <v>22935400</v>
          </cell>
          <cell r="D430">
            <v>-4.9735957025007051E-3</v>
          </cell>
        </row>
        <row r="431">
          <cell r="A431">
            <v>42683</v>
          </cell>
          <cell r="C431">
            <v>49632500</v>
          </cell>
          <cell r="D431">
            <v>-2.4733942272061361E-2</v>
          </cell>
        </row>
        <row r="432">
          <cell r="A432">
            <v>42684</v>
          </cell>
          <cell r="C432">
            <v>57822400</v>
          </cell>
          <cell r="D432">
            <v>5.4365806884573613E-3</v>
          </cell>
        </row>
        <row r="433">
          <cell r="A433">
            <v>42685</v>
          </cell>
          <cell r="C433">
            <v>38767800</v>
          </cell>
          <cell r="D433">
            <v>-1.5366653754768322E-2</v>
          </cell>
        </row>
        <row r="434">
          <cell r="A434">
            <v>42688</v>
          </cell>
          <cell r="C434">
            <v>41328400</v>
          </cell>
          <cell r="D434">
            <v>1.9554809598097734E-2</v>
          </cell>
        </row>
        <row r="435">
          <cell r="A435">
            <v>42689</v>
          </cell>
          <cell r="C435">
            <v>35904100</v>
          </cell>
          <cell r="D435">
            <v>1.3162558527800176E-2</v>
          </cell>
        </row>
        <row r="436">
          <cell r="A436">
            <v>42690</v>
          </cell>
          <cell r="C436">
            <v>27332500</v>
          </cell>
          <cell r="D436">
            <v>1.6460452249956337E-2</v>
          </cell>
        </row>
        <row r="437">
          <cell r="A437">
            <v>42691</v>
          </cell>
          <cell r="C437">
            <v>32132700</v>
          </cell>
          <cell r="D437">
            <v>-4.7937461916815836E-3</v>
          </cell>
        </row>
        <row r="438">
          <cell r="A438">
            <v>42692</v>
          </cell>
          <cell r="C438">
            <v>27686300</v>
          </cell>
          <cell r="D438">
            <v>8.4151303087385797E-3</v>
          </cell>
        </row>
        <row r="439">
          <cell r="A439">
            <v>42695</v>
          </cell>
          <cell r="C439">
            <v>19652600</v>
          </cell>
          <cell r="D439">
            <v>4.2628962382468055E-3</v>
          </cell>
        </row>
        <row r="440">
          <cell r="A440">
            <v>42696</v>
          </cell>
          <cell r="C440">
            <v>23206700</v>
          </cell>
          <cell r="D440">
            <v>-1.1849819387498198E-2</v>
          </cell>
        </row>
        <row r="441">
          <cell r="A441">
            <v>42697</v>
          </cell>
          <cell r="C441">
            <v>21848900</v>
          </cell>
          <cell r="D441">
            <v>2.1499521296984526E-3</v>
          </cell>
        </row>
        <row r="442">
          <cell r="A442">
            <v>42699</v>
          </cell>
          <cell r="C442">
            <v>8409600</v>
          </cell>
          <cell r="D442">
            <v>1.3207536595512359E-3</v>
          </cell>
        </row>
        <row r="443">
          <cell r="A443">
            <v>42702</v>
          </cell>
          <cell r="C443">
            <v>20732600</v>
          </cell>
          <cell r="D443">
            <v>7.8883059611460603E-3</v>
          </cell>
        </row>
        <row r="444">
          <cell r="A444">
            <v>42703</v>
          </cell>
          <cell r="C444">
            <v>22366700</v>
          </cell>
          <cell r="D444">
            <v>-1.3679648770969496E-2</v>
          </cell>
        </row>
        <row r="445">
          <cell r="A445">
            <v>42704</v>
          </cell>
          <cell r="C445">
            <v>34655400</v>
          </cell>
          <cell r="D445">
            <v>-1.7747053059727808E-2</v>
          </cell>
        </row>
        <row r="446">
          <cell r="A446">
            <v>42705</v>
          </cell>
          <cell r="C446">
            <v>34542100</v>
          </cell>
          <cell r="D446">
            <v>8.4428891859689701E-4</v>
          </cell>
        </row>
        <row r="447">
          <cell r="A447">
            <v>42706</v>
          </cell>
          <cell r="C447">
            <v>25515700</v>
          </cell>
          <cell r="D447">
            <v>1.6238769788901021E-2</v>
          </cell>
        </row>
        <row r="448">
          <cell r="A448">
            <v>42709</v>
          </cell>
          <cell r="C448">
            <v>23552700</v>
          </cell>
          <cell r="D448">
            <v>-4.4936016222929835E-3</v>
          </cell>
        </row>
        <row r="449">
          <cell r="A449">
            <v>42710</v>
          </cell>
          <cell r="C449">
            <v>19907000</v>
          </cell>
          <cell r="D449">
            <v>2.3410200522157924E-2</v>
          </cell>
        </row>
        <row r="450">
          <cell r="A450">
            <v>42711</v>
          </cell>
          <cell r="C450">
            <v>30809000</v>
          </cell>
          <cell r="D450">
            <v>-5.8834638784353785E-3</v>
          </cell>
        </row>
        <row r="451">
          <cell r="A451">
            <v>42712</v>
          </cell>
          <cell r="C451">
            <v>21220800</v>
          </cell>
          <cell r="D451">
            <v>1.5612831168618254E-2</v>
          </cell>
        </row>
        <row r="452">
          <cell r="A452">
            <v>42713</v>
          </cell>
          <cell r="C452">
            <v>27349400</v>
          </cell>
          <cell r="D452">
            <v>3.2220239421265058E-3</v>
          </cell>
        </row>
        <row r="453">
          <cell r="A453">
            <v>42716</v>
          </cell>
          <cell r="C453">
            <v>20198100</v>
          </cell>
          <cell r="D453">
            <v>1.294466842241331E-2</v>
          </cell>
        </row>
        <row r="454">
          <cell r="A454">
            <v>42717</v>
          </cell>
          <cell r="C454">
            <v>35718900</v>
          </cell>
          <cell r="D454">
            <v>-4.7748159161737393E-3</v>
          </cell>
        </row>
        <row r="455">
          <cell r="A455">
            <v>42718</v>
          </cell>
          <cell r="C455">
            <v>30352700</v>
          </cell>
          <cell r="D455">
            <v>-1.596707743164903E-3</v>
          </cell>
        </row>
        <row r="456">
          <cell r="A456">
            <v>42719</v>
          </cell>
          <cell r="C456">
            <v>27669900</v>
          </cell>
          <cell r="D456">
            <v>-4.4843213778294156E-3</v>
          </cell>
        </row>
        <row r="457">
          <cell r="A457">
            <v>42720</v>
          </cell>
          <cell r="C457">
            <v>42453100</v>
          </cell>
          <cell r="D457">
            <v>2.096640213326981E-2</v>
          </cell>
        </row>
        <row r="458">
          <cell r="A458">
            <v>42723</v>
          </cell>
          <cell r="C458">
            <v>34338200</v>
          </cell>
          <cell r="D458">
            <v>-1.258160133481834E-3</v>
          </cell>
        </row>
        <row r="459">
          <cell r="A459">
            <v>42724</v>
          </cell>
          <cell r="C459">
            <v>26028400</v>
          </cell>
          <cell r="D459">
            <v>0</v>
          </cell>
        </row>
        <row r="460">
          <cell r="A460">
            <v>42725</v>
          </cell>
          <cell r="C460">
            <v>17096300</v>
          </cell>
          <cell r="D460">
            <v>1.5754811991009003E-4</v>
          </cell>
        </row>
        <row r="461">
          <cell r="A461">
            <v>42726</v>
          </cell>
          <cell r="C461">
            <v>22176600</v>
          </cell>
          <cell r="D461">
            <v>-4.8901153331598751E-3</v>
          </cell>
        </row>
        <row r="462">
          <cell r="A462">
            <v>42727</v>
          </cell>
          <cell r="C462">
            <v>12403800</v>
          </cell>
          <cell r="D462">
            <v>6.3222870462476108E-4</v>
          </cell>
        </row>
        <row r="463">
          <cell r="A463">
            <v>42731</v>
          </cell>
          <cell r="C463">
            <v>11763200</v>
          </cell>
          <cell r="D463">
            <v>-4.5932943851405188E-3</v>
          </cell>
        </row>
        <row r="464">
          <cell r="A464">
            <v>42732</v>
          </cell>
          <cell r="C464">
            <v>14653300</v>
          </cell>
          <cell r="D464">
            <v>-1.4297175542953779E-3</v>
          </cell>
        </row>
        <row r="465">
          <cell r="A465">
            <v>42733</v>
          </cell>
          <cell r="C465">
            <v>10250600</v>
          </cell>
          <cell r="D465">
            <v>-1.2156418519510815E-2</v>
          </cell>
        </row>
        <row r="466">
          <cell r="A466">
            <v>42734</v>
          </cell>
          <cell r="C466">
            <v>25579900</v>
          </cell>
          <cell r="D466">
            <v>7.0558483456131804E-3</v>
          </cell>
        </row>
        <row r="467">
          <cell r="A467">
            <v>42738</v>
          </cell>
          <cell r="C467">
            <v>20694100</v>
          </cell>
          <cell r="D467">
            <v>-4.4843213778294156E-3</v>
          </cell>
        </row>
        <row r="468">
          <cell r="A468">
            <v>42739</v>
          </cell>
          <cell r="C468">
            <v>21340000</v>
          </cell>
          <cell r="D468">
            <v>0</v>
          </cell>
        </row>
        <row r="469">
          <cell r="A469">
            <v>42740</v>
          </cell>
          <cell r="C469">
            <v>24876000</v>
          </cell>
          <cell r="D469">
            <v>8.630430007330072E-3</v>
          </cell>
        </row>
        <row r="470">
          <cell r="A470">
            <v>42741</v>
          </cell>
          <cell r="C470">
            <v>19922900</v>
          </cell>
          <cell r="D470">
            <v>-3.187751047522734E-3</v>
          </cell>
        </row>
        <row r="471">
          <cell r="A471">
            <v>42744</v>
          </cell>
          <cell r="C471">
            <v>20382700</v>
          </cell>
          <cell r="D471">
            <v>-3.1939555533410394E-4</v>
          </cell>
        </row>
        <row r="472">
          <cell r="A472">
            <v>42745</v>
          </cell>
          <cell r="C472">
            <v>18593000</v>
          </cell>
          <cell r="D472">
            <v>9.0612582788648123E-3</v>
          </cell>
        </row>
        <row r="473">
          <cell r="A473">
            <v>42746</v>
          </cell>
          <cell r="C473">
            <v>21517300</v>
          </cell>
          <cell r="D473">
            <v>-9.2209605140577203E-3</v>
          </cell>
        </row>
        <row r="474">
          <cell r="A474">
            <v>42747</v>
          </cell>
          <cell r="C474">
            <v>20968200</v>
          </cell>
          <cell r="D474">
            <v>1.436537802539763E-3</v>
          </cell>
        </row>
        <row r="475">
          <cell r="A475">
            <v>42748</v>
          </cell>
          <cell r="C475">
            <v>19422300</v>
          </cell>
          <cell r="D475">
            <v>-2.7150746887982611E-3</v>
          </cell>
        </row>
        <row r="476">
          <cell r="A476">
            <v>42752</v>
          </cell>
          <cell r="C476">
            <v>20664000</v>
          </cell>
          <cell r="D476">
            <v>-4.7987308179068324E-4</v>
          </cell>
        </row>
        <row r="477">
          <cell r="A477">
            <v>42753</v>
          </cell>
          <cell r="C477">
            <v>19670100</v>
          </cell>
          <cell r="D477">
            <v>-3.2051712012308789E-3</v>
          </cell>
        </row>
        <row r="478">
          <cell r="A478">
            <v>42754</v>
          </cell>
          <cell r="C478">
            <v>18451700</v>
          </cell>
          <cell r="D478">
            <v>7.0377909669801257E-3</v>
          </cell>
        </row>
        <row r="479">
          <cell r="A479">
            <v>42755</v>
          </cell>
          <cell r="C479">
            <v>30213500</v>
          </cell>
          <cell r="D479">
            <v>3.5005175298943986E-3</v>
          </cell>
        </row>
        <row r="480">
          <cell r="A480">
            <v>42758</v>
          </cell>
          <cell r="C480">
            <v>23097600</v>
          </cell>
          <cell r="D480">
            <v>8.855245939413052E-3</v>
          </cell>
        </row>
        <row r="481">
          <cell r="A481">
            <v>42759</v>
          </cell>
          <cell r="C481">
            <v>24672900</v>
          </cell>
          <cell r="D481">
            <v>2.5155463948327013E-3</v>
          </cell>
        </row>
        <row r="482">
          <cell r="A482">
            <v>42760</v>
          </cell>
          <cell r="C482">
            <v>23672700</v>
          </cell>
          <cell r="D482">
            <v>9.2224404235437662E-3</v>
          </cell>
        </row>
        <row r="483">
          <cell r="A483">
            <v>42761</v>
          </cell>
          <cell r="C483">
            <v>43554600</v>
          </cell>
          <cell r="D483">
            <v>2.3222882777023501E-2</v>
          </cell>
        </row>
        <row r="484">
          <cell r="A484">
            <v>42762</v>
          </cell>
          <cell r="C484">
            <v>44818000</v>
          </cell>
          <cell r="D484">
            <v>-9.9306977116690263E-3</v>
          </cell>
        </row>
        <row r="485">
          <cell r="A485">
            <v>42765</v>
          </cell>
          <cell r="C485">
            <v>31651400</v>
          </cell>
          <cell r="D485">
            <v>-7.3970520980604342E-3</v>
          </cell>
        </row>
        <row r="486">
          <cell r="A486">
            <v>42766</v>
          </cell>
          <cell r="C486">
            <v>25270500</v>
          </cell>
          <cell r="D486">
            <v>-1.6689004479861578E-2</v>
          </cell>
        </row>
        <row r="487">
          <cell r="A487">
            <v>42767</v>
          </cell>
          <cell r="C487">
            <v>39671500</v>
          </cell>
          <cell r="D487">
            <v>-6.4696762184890729E-3</v>
          </cell>
        </row>
        <row r="488">
          <cell r="A488">
            <v>42768</v>
          </cell>
          <cell r="C488">
            <v>45827000</v>
          </cell>
          <cell r="D488">
            <v>8.0411073075126009E-3</v>
          </cell>
        </row>
        <row r="489">
          <cell r="A489">
            <v>42769</v>
          </cell>
          <cell r="C489">
            <v>30301800</v>
          </cell>
          <cell r="D489">
            <v>-6.2832270117336238E-4</v>
          </cell>
        </row>
        <row r="490">
          <cell r="A490">
            <v>42772</v>
          </cell>
          <cell r="C490">
            <v>19796400</v>
          </cell>
          <cell r="D490">
            <v>-3.3052535749836876E-3</v>
          </cell>
        </row>
        <row r="491">
          <cell r="A491">
            <v>42773</v>
          </cell>
          <cell r="C491">
            <v>20277200</v>
          </cell>
          <cell r="D491">
            <v>-1.4197929252623837E-3</v>
          </cell>
        </row>
        <row r="492">
          <cell r="A492">
            <v>42774</v>
          </cell>
          <cell r="C492">
            <v>18096400</v>
          </cell>
          <cell r="D492">
            <v>1.1303008555086095E-2</v>
          </cell>
        </row>
        <row r="493">
          <cell r="A493">
            <v>42775</v>
          </cell>
          <cell r="C493">
            <v>22644400</v>
          </cell>
          <cell r="D493">
            <v>-9.3697172557742777E-4</v>
          </cell>
        </row>
        <row r="494">
          <cell r="A494">
            <v>42776</v>
          </cell>
          <cell r="C494">
            <v>18170700</v>
          </cell>
          <cell r="D494">
            <v>1.1187112251050743E-2</v>
          </cell>
        </row>
        <row r="495">
          <cell r="A495">
            <v>42779</v>
          </cell>
          <cell r="C495">
            <v>22920100</v>
          </cell>
          <cell r="D495">
            <v>3.7240262217257607E-3</v>
          </cell>
        </row>
        <row r="496">
          <cell r="A496">
            <v>42780</v>
          </cell>
          <cell r="C496">
            <v>23108400</v>
          </cell>
          <cell r="D496">
            <v>-6.1978754107283639E-4</v>
          </cell>
        </row>
        <row r="497">
          <cell r="A497">
            <v>42781</v>
          </cell>
          <cell r="C497">
            <v>17005200</v>
          </cell>
          <cell r="D497">
            <v>-1.5516588557045483E-4</v>
          </cell>
        </row>
        <row r="498">
          <cell r="A498">
            <v>42782</v>
          </cell>
          <cell r="C498">
            <v>20546300</v>
          </cell>
          <cell r="D498">
            <v>1.5489160841066958E-3</v>
          </cell>
        </row>
        <row r="499">
          <cell r="A499">
            <v>42783</v>
          </cell>
          <cell r="C499">
            <v>21248800</v>
          </cell>
          <cell r="D499">
            <v>-2.0137916247740749E-3</v>
          </cell>
        </row>
        <row r="500">
          <cell r="A500">
            <v>42787</v>
          </cell>
          <cell r="C500">
            <v>20655900</v>
          </cell>
          <cell r="D500">
            <v>-2.0179041984498907E-3</v>
          </cell>
        </row>
        <row r="501">
          <cell r="A501">
            <v>42788</v>
          </cell>
          <cell r="C501">
            <v>19292700</v>
          </cell>
          <cell r="D501">
            <v>4.0316958232240801E-3</v>
          </cell>
        </row>
        <row r="502">
          <cell r="A502">
            <v>42789</v>
          </cell>
          <cell r="C502">
            <v>20273100</v>
          </cell>
          <cell r="D502">
            <v>0</v>
          </cell>
        </row>
        <row r="503">
          <cell r="A503">
            <v>42790</v>
          </cell>
          <cell r="C503">
            <v>21796800</v>
          </cell>
          <cell r="D503">
            <v>-6.0535655531597241E-3</v>
          </cell>
        </row>
        <row r="504">
          <cell r="A504">
            <v>42793</v>
          </cell>
          <cell r="C504">
            <v>15871500</v>
          </cell>
          <cell r="D504">
            <v>-3.8999231506218835E-3</v>
          </cell>
        </row>
        <row r="505">
          <cell r="A505">
            <v>42794</v>
          </cell>
          <cell r="C505">
            <v>23239800</v>
          </cell>
          <cell r="D505">
            <v>1.4893447418472367E-2</v>
          </cell>
        </row>
        <row r="506">
          <cell r="A506">
            <v>42795</v>
          </cell>
          <cell r="C506">
            <v>26937500</v>
          </cell>
          <cell r="D506">
            <v>-1.4424620580563974E-2</v>
          </cell>
        </row>
        <row r="507">
          <cell r="A507">
            <v>42796</v>
          </cell>
          <cell r="C507">
            <v>24539600</v>
          </cell>
          <cell r="D507">
            <v>3.742280864986975E-3</v>
          </cell>
        </row>
        <row r="508">
          <cell r="A508">
            <v>42797</v>
          </cell>
          <cell r="C508">
            <v>18135900</v>
          </cell>
          <cell r="D508">
            <v>3.1130051816180966E-4</v>
          </cell>
        </row>
        <row r="509">
          <cell r="A509">
            <v>42800</v>
          </cell>
          <cell r="C509">
            <v>18750300</v>
          </cell>
          <cell r="D509">
            <v>2.020792482206804E-3</v>
          </cell>
        </row>
        <row r="510">
          <cell r="A510">
            <v>42801</v>
          </cell>
          <cell r="C510">
            <v>18521000</v>
          </cell>
          <cell r="D510">
            <v>9.1196232748189422E-3</v>
          </cell>
        </row>
        <row r="511">
          <cell r="A511">
            <v>42802</v>
          </cell>
          <cell r="C511">
            <v>21510900</v>
          </cell>
          <cell r="D511">
            <v>-4.0085182797614327E-3</v>
          </cell>
        </row>
        <row r="512">
          <cell r="A512">
            <v>42803</v>
          </cell>
          <cell r="C512">
            <v>19846800</v>
          </cell>
          <cell r="D512">
            <v>3.0847773724717903E-3</v>
          </cell>
        </row>
        <row r="513">
          <cell r="A513">
            <v>42804</v>
          </cell>
          <cell r="C513">
            <v>19538200</v>
          </cell>
          <cell r="D513">
            <v>-3.3938490277727203E-3</v>
          </cell>
        </row>
        <row r="514">
          <cell r="A514">
            <v>42807</v>
          </cell>
          <cell r="C514">
            <v>20100000</v>
          </cell>
          <cell r="D514">
            <v>-4.6468886841219432E-3</v>
          </cell>
        </row>
        <row r="515">
          <cell r="A515">
            <v>42808</v>
          </cell>
          <cell r="C515">
            <v>14280200</v>
          </cell>
          <cell r="D515">
            <v>5.2648877618172978E-3</v>
          </cell>
        </row>
        <row r="516">
          <cell r="A516">
            <v>42809</v>
          </cell>
          <cell r="C516">
            <v>24833800</v>
          </cell>
          <cell r="D516">
            <v>-1.7003725665953814E-3</v>
          </cell>
        </row>
        <row r="517">
          <cell r="A517">
            <v>42810</v>
          </cell>
          <cell r="C517">
            <v>20674300</v>
          </cell>
          <cell r="D517">
            <v>3.551870758037071E-3</v>
          </cell>
        </row>
        <row r="518">
          <cell r="A518">
            <v>42811</v>
          </cell>
          <cell r="C518">
            <v>49219700</v>
          </cell>
          <cell r="D518">
            <v>9.2435175863562764E-4</v>
          </cell>
        </row>
        <row r="519">
          <cell r="A519">
            <v>42814</v>
          </cell>
          <cell r="C519">
            <v>14598100</v>
          </cell>
          <cell r="D519">
            <v>-1.115065430877646E-2</v>
          </cell>
        </row>
        <row r="520">
          <cell r="A520">
            <v>42815</v>
          </cell>
          <cell r="C520">
            <v>26640500</v>
          </cell>
          <cell r="D520">
            <v>1.2689667895071904E-2</v>
          </cell>
        </row>
        <row r="521">
          <cell r="A521">
            <v>42816</v>
          </cell>
          <cell r="C521">
            <v>20680000</v>
          </cell>
          <cell r="D521">
            <v>-2.4633653449310784E-3</v>
          </cell>
        </row>
        <row r="522">
          <cell r="A522">
            <v>42817</v>
          </cell>
          <cell r="C522">
            <v>19269200</v>
          </cell>
          <cell r="D522">
            <v>1.6944621980806904E-3</v>
          </cell>
        </row>
        <row r="523">
          <cell r="A523">
            <v>42818</v>
          </cell>
          <cell r="C523">
            <v>22617100</v>
          </cell>
          <cell r="D523">
            <v>1.8448374119978503E-3</v>
          </cell>
        </row>
        <row r="524">
          <cell r="A524">
            <v>42821</v>
          </cell>
          <cell r="C524">
            <v>18614700</v>
          </cell>
          <cell r="D524">
            <v>2.9143707607694374E-3</v>
          </cell>
        </row>
        <row r="525">
          <cell r="A525">
            <v>42822</v>
          </cell>
          <cell r="C525">
            <v>20080400</v>
          </cell>
          <cell r="D525">
            <v>2.7531158940651006E-3</v>
          </cell>
        </row>
        <row r="526">
          <cell r="A526">
            <v>42823</v>
          </cell>
          <cell r="C526">
            <v>13618400</v>
          </cell>
          <cell r="D526">
            <v>3.6590434776777115E-3</v>
          </cell>
        </row>
        <row r="527">
          <cell r="A527">
            <v>42824</v>
          </cell>
          <cell r="C527">
            <v>15122800</v>
          </cell>
          <cell r="D527">
            <v>2.2802077289912769E-3</v>
          </cell>
        </row>
        <row r="528">
          <cell r="A528">
            <v>42825</v>
          </cell>
          <cell r="C528">
            <v>21040300</v>
          </cell>
          <cell r="D528">
            <v>-4.7180336787318181E-3</v>
          </cell>
        </row>
        <row r="529">
          <cell r="A529">
            <v>42828</v>
          </cell>
          <cell r="C529">
            <v>20400900</v>
          </cell>
          <cell r="D529">
            <v>2.7422587773322446E-3</v>
          </cell>
        </row>
        <row r="530">
          <cell r="A530">
            <v>42829</v>
          </cell>
          <cell r="C530">
            <v>12997400</v>
          </cell>
          <cell r="D530">
            <v>-2.5897234288631086E-3</v>
          </cell>
        </row>
        <row r="531">
          <cell r="A531">
            <v>42830</v>
          </cell>
          <cell r="C531">
            <v>21448600</v>
          </cell>
          <cell r="D531">
            <v>2.5897234288631194E-3</v>
          </cell>
        </row>
        <row r="532">
          <cell r="A532">
            <v>42831</v>
          </cell>
          <cell r="C532">
            <v>18103500</v>
          </cell>
          <cell r="D532">
            <v>-7.6107974082114446E-4</v>
          </cell>
        </row>
        <row r="533">
          <cell r="A533">
            <v>42832</v>
          </cell>
          <cell r="C533">
            <v>14108500</v>
          </cell>
          <cell r="D533">
            <v>-2.2867048085163585E-3</v>
          </cell>
        </row>
        <row r="534">
          <cell r="A534">
            <v>42835</v>
          </cell>
          <cell r="C534">
            <v>17952700</v>
          </cell>
          <cell r="D534">
            <v>-7.6303428745693965E-4</v>
          </cell>
        </row>
        <row r="535">
          <cell r="A535">
            <v>42836</v>
          </cell>
          <cell r="C535">
            <v>18791500</v>
          </cell>
          <cell r="D535">
            <v>-3.8252677391408746E-3</v>
          </cell>
        </row>
        <row r="536">
          <cell r="A536">
            <v>42837</v>
          </cell>
          <cell r="C536">
            <v>17108500</v>
          </cell>
          <cell r="D536">
            <v>-4.3017995836237798E-3</v>
          </cell>
        </row>
        <row r="537">
          <cell r="A537">
            <v>42838</v>
          </cell>
          <cell r="C537">
            <v>17896500</v>
          </cell>
          <cell r="D537">
            <v>8.1270673227645338E-3</v>
          </cell>
        </row>
        <row r="538">
          <cell r="A538">
            <v>42842</v>
          </cell>
          <cell r="C538">
            <v>16689300</v>
          </cell>
          <cell r="D538">
            <v>-1.3753038455331771E-3</v>
          </cell>
        </row>
        <row r="539">
          <cell r="A539">
            <v>42843</v>
          </cell>
          <cell r="C539">
            <v>15155600</v>
          </cell>
          <cell r="D539">
            <v>-5.3670195483738851E-3</v>
          </cell>
        </row>
        <row r="540">
          <cell r="A540">
            <v>42844</v>
          </cell>
          <cell r="C540">
            <v>26992800</v>
          </cell>
          <cell r="D540">
            <v>7.0478253908320557E-3</v>
          </cell>
        </row>
        <row r="541">
          <cell r="A541">
            <v>42845</v>
          </cell>
          <cell r="C541">
            <v>22299500</v>
          </cell>
          <cell r="D541">
            <v>1.364691918635037E-2</v>
          </cell>
        </row>
        <row r="542">
          <cell r="A542">
            <v>42846</v>
          </cell>
          <cell r="C542">
            <v>32522600</v>
          </cell>
          <cell r="D542">
            <v>1.6874737671429926E-2</v>
          </cell>
        </row>
        <row r="543">
          <cell r="A543">
            <v>42849</v>
          </cell>
          <cell r="C543">
            <v>29770000</v>
          </cell>
          <cell r="D543">
            <v>5.7588900915260411E-3</v>
          </cell>
        </row>
        <row r="544">
          <cell r="A544">
            <v>42850</v>
          </cell>
          <cell r="C544">
            <v>30242700</v>
          </cell>
          <cell r="D544">
            <v>-1.3261581213085385E-3</v>
          </cell>
        </row>
        <row r="545">
          <cell r="A545">
            <v>42851</v>
          </cell>
          <cell r="C545">
            <v>26190800</v>
          </cell>
          <cell r="D545">
            <v>6.4657671879984691E-3</v>
          </cell>
        </row>
        <row r="546">
          <cell r="A546">
            <v>42852</v>
          </cell>
          <cell r="C546">
            <v>34971000</v>
          </cell>
          <cell r="D546">
            <v>2.7793579830991707E-3</v>
          </cell>
        </row>
        <row r="547">
          <cell r="A547">
            <v>42853</v>
          </cell>
          <cell r="C547">
            <v>39548800</v>
          </cell>
          <cell r="D547">
            <v>1.378123628824697E-2</v>
          </cell>
        </row>
        <row r="548">
          <cell r="A548">
            <v>42856</v>
          </cell>
          <cell r="C548">
            <v>31954400</v>
          </cell>
          <cell r="D548">
            <v>-1.5861084665518377E-3</v>
          </cell>
        </row>
        <row r="549">
          <cell r="A549">
            <v>42857</v>
          </cell>
          <cell r="C549">
            <v>23906100</v>
          </cell>
          <cell r="D549">
            <v>-3.1794339326517689E-3</v>
          </cell>
        </row>
        <row r="550">
          <cell r="A550">
            <v>42858</v>
          </cell>
          <cell r="C550">
            <v>28928000</v>
          </cell>
          <cell r="D550">
            <v>-3.9165213059795421E-3</v>
          </cell>
        </row>
        <row r="551">
          <cell r="A551">
            <v>42859</v>
          </cell>
          <cell r="C551">
            <v>21749400</v>
          </cell>
          <cell r="D551">
            <v>2.7576835201142728E-3</v>
          </cell>
        </row>
        <row r="552">
          <cell r="A552">
            <v>42860</v>
          </cell>
          <cell r="C552">
            <v>19128800</v>
          </cell>
          <cell r="D552">
            <v>-8.7026223536195736E-4</v>
          </cell>
        </row>
        <row r="553">
          <cell r="A553">
            <v>42863</v>
          </cell>
          <cell r="C553">
            <v>18566100</v>
          </cell>
          <cell r="D553">
            <v>1.4499099363549479E-3</v>
          </cell>
        </row>
        <row r="554">
          <cell r="A554">
            <v>42864</v>
          </cell>
          <cell r="C554">
            <v>22858400</v>
          </cell>
          <cell r="D554">
            <v>3.903027315391187E-3</v>
          </cell>
        </row>
        <row r="555">
          <cell r="A555">
            <v>42865</v>
          </cell>
          <cell r="C555">
            <v>17977800</v>
          </cell>
          <cell r="D555">
            <v>-1.2339531119562427E-2</v>
          </cell>
        </row>
        <row r="556">
          <cell r="A556">
            <v>42866</v>
          </cell>
          <cell r="C556">
            <v>28789400</v>
          </cell>
          <cell r="D556">
            <v>-1.1692158233145044E-3</v>
          </cell>
        </row>
        <row r="557">
          <cell r="A557">
            <v>42867</v>
          </cell>
          <cell r="C557">
            <v>18714100</v>
          </cell>
          <cell r="D557">
            <v>7.3091623394578025E-4</v>
          </cell>
        </row>
        <row r="558">
          <cell r="A558">
            <v>42870</v>
          </cell>
          <cell r="C558">
            <v>31530300</v>
          </cell>
          <cell r="D558">
            <v>1.9935207611500846E-2</v>
          </cell>
        </row>
        <row r="559">
          <cell r="A559">
            <v>42871</v>
          </cell>
          <cell r="C559">
            <v>34956000</v>
          </cell>
          <cell r="D559">
            <v>-2.8199817794360427E-2</v>
          </cell>
        </row>
        <row r="560">
          <cell r="A560">
            <v>42872</v>
          </cell>
          <cell r="C560">
            <v>30548800</v>
          </cell>
          <cell r="D560">
            <v>3.4026033717746511E-3</v>
          </cell>
        </row>
        <row r="561">
          <cell r="A561">
            <v>42873</v>
          </cell>
          <cell r="C561">
            <v>25201300</v>
          </cell>
          <cell r="D561">
            <v>-2.9526620605626876E-4</v>
          </cell>
        </row>
        <row r="562">
          <cell r="A562">
            <v>42874</v>
          </cell>
          <cell r="C562">
            <v>26961100</v>
          </cell>
          <cell r="D562">
            <v>1.1164898531311139E-2</v>
          </cell>
        </row>
        <row r="563">
          <cell r="A563">
            <v>42877</v>
          </cell>
          <cell r="C563">
            <v>16237600</v>
          </cell>
          <cell r="D563">
            <v>3.3545881332865523E-3</v>
          </cell>
        </row>
        <row r="564">
          <cell r="A564">
            <v>42878</v>
          </cell>
          <cell r="C564">
            <v>15425800</v>
          </cell>
          <cell r="D564">
            <v>1.309596504494805E-3</v>
          </cell>
        </row>
        <row r="565">
          <cell r="A565">
            <v>42879</v>
          </cell>
          <cell r="C565">
            <v>14593900</v>
          </cell>
          <cell r="D565">
            <v>1.2284357492404665E-2</v>
          </cell>
        </row>
        <row r="566">
          <cell r="A566">
            <v>42880</v>
          </cell>
          <cell r="C566">
            <v>21854100</v>
          </cell>
          <cell r="D566">
            <v>4.8714188751061826E-3</v>
          </cell>
        </row>
        <row r="567">
          <cell r="A567">
            <v>42881</v>
          </cell>
          <cell r="C567">
            <v>19827900</v>
          </cell>
          <cell r="D567">
            <v>6.4120896244082995E-3</v>
          </cell>
        </row>
        <row r="568">
          <cell r="A568">
            <v>42885</v>
          </cell>
          <cell r="C568">
            <v>17072800</v>
          </cell>
          <cell r="D568">
            <v>-8.1287072548552781E-3</v>
          </cell>
        </row>
        <row r="569">
          <cell r="A569">
            <v>42886</v>
          </cell>
          <cell r="C569">
            <v>30436400</v>
          </cell>
          <cell r="D569">
            <v>3.7159242707276766E-3</v>
          </cell>
        </row>
        <row r="570">
          <cell r="A570">
            <v>42887</v>
          </cell>
          <cell r="C570">
            <v>21603600</v>
          </cell>
          <cell r="D570">
            <v>2.3404433186981079E-2</v>
          </cell>
        </row>
        <row r="571">
          <cell r="A571">
            <v>42888</v>
          </cell>
          <cell r="C571">
            <v>34770300</v>
          </cell>
          <cell r="D571">
            <v>7.2203141385030825E-3</v>
          </cell>
        </row>
        <row r="572">
          <cell r="A572">
            <v>42891</v>
          </cell>
          <cell r="C572">
            <v>33316800</v>
          </cell>
          <cell r="D572">
            <v>3.314873830460596E-3</v>
          </cell>
        </row>
        <row r="573">
          <cell r="A573">
            <v>42892</v>
          </cell>
          <cell r="C573">
            <v>31511100</v>
          </cell>
          <cell r="D573">
            <v>-1.7941726566914622E-3</v>
          </cell>
        </row>
        <row r="574">
          <cell r="A574">
            <v>42893</v>
          </cell>
          <cell r="C574">
            <v>22301800</v>
          </cell>
          <cell r="D574">
            <v>-6.0967438535315431E-3</v>
          </cell>
        </row>
        <row r="575">
          <cell r="A575">
            <v>42894</v>
          </cell>
          <cell r="C575">
            <v>24588300</v>
          </cell>
          <cell r="D575">
            <v>-2.2915128980887309E-2</v>
          </cell>
        </row>
        <row r="576">
          <cell r="A576">
            <v>42895</v>
          </cell>
          <cell r="C576">
            <v>49187400</v>
          </cell>
          <cell r="D576">
            <v>-7.7090799341699191E-3</v>
          </cell>
        </row>
        <row r="577">
          <cell r="A577">
            <v>42898</v>
          </cell>
          <cell r="C577">
            <v>47761700</v>
          </cell>
          <cell r="D577">
            <v>1.2390827542803885E-2</v>
          </cell>
        </row>
        <row r="578">
          <cell r="A578">
            <v>42899</v>
          </cell>
          <cell r="C578">
            <v>25258600</v>
          </cell>
          <cell r="D578">
            <v>-5.3930499777684725E-3</v>
          </cell>
        </row>
        <row r="579">
          <cell r="A579">
            <v>42900</v>
          </cell>
          <cell r="C579">
            <v>25510700</v>
          </cell>
          <cell r="D579">
            <v>-5.2792361069481982E-3</v>
          </cell>
        </row>
        <row r="580">
          <cell r="A580">
            <v>42901</v>
          </cell>
          <cell r="C580">
            <v>26068700</v>
          </cell>
          <cell r="D580">
            <v>1.4296212179432713E-3</v>
          </cell>
        </row>
        <row r="581">
          <cell r="A581">
            <v>42902</v>
          </cell>
          <cell r="C581">
            <v>48345100</v>
          </cell>
          <cell r="D581">
            <v>1.2351765892940254E-2</v>
          </cell>
        </row>
        <row r="582">
          <cell r="A582">
            <v>42905</v>
          </cell>
          <cell r="C582">
            <v>23798300</v>
          </cell>
          <cell r="D582">
            <v>-1.3638470622301188E-2</v>
          </cell>
        </row>
        <row r="583">
          <cell r="A583">
            <v>42906</v>
          </cell>
          <cell r="C583">
            <v>21512200</v>
          </cell>
          <cell r="D583">
            <v>5.1363196183659083E-3</v>
          </cell>
        </row>
        <row r="584">
          <cell r="A584">
            <v>42907</v>
          </cell>
          <cell r="C584">
            <v>19891100</v>
          </cell>
          <cell r="D584">
            <v>-1.4240754892722043E-4</v>
          </cell>
        </row>
        <row r="585">
          <cell r="A585">
            <v>42908</v>
          </cell>
          <cell r="C585">
            <v>22965700</v>
          </cell>
          <cell r="D585">
            <v>1.3430599637776784E-2</v>
          </cell>
        </row>
        <row r="586">
          <cell r="A586">
            <v>42909</v>
          </cell>
          <cell r="C586">
            <v>27617300</v>
          </cell>
          <cell r="D586">
            <v>-9.5952023661622192E-3</v>
          </cell>
        </row>
        <row r="587">
          <cell r="A587">
            <v>42912</v>
          </cell>
          <cell r="C587">
            <v>19607000</v>
          </cell>
          <cell r="D587">
            <v>-1.8892685268761641E-2</v>
          </cell>
        </row>
        <row r="588">
          <cell r="A588">
            <v>42913</v>
          </cell>
          <cell r="C588">
            <v>25215100</v>
          </cell>
          <cell r="D588">
            <v>8.4887914779397337E-3</v>
          </cell>
        </row>
        <row r="589">
          <cell r="A589">
            <v>42914</v>
          </cell>
          <cell r="C589">
            <v>25806200</v>
          </cell>
          <cell r="D589">
            <v>-1.8946287169094855E-2</v>
          </cell>
        </row>
        <row r="590">
          <cell r="A590">
            <v>42915</v>
          </cell>
          <cell r="C590">
            <v>28918700</v>
          </cell>
          <cell r="D590">
            <v>6.4036352340090773E-3</v>
          </cell>
        </row>
        <row r="591">
          <cell r="A591">
            <v>42916</v>
          </cell>
          <cell r="C591">
            <v>24161100</v>
          </cell>
          <cell r="D591">
            <v>-1.1086947908740097E-2</v>
          </cell>
        </row>
        <row r="592">
          <cell r="A592">
            <v>42919</v>
          </cell>
          <cell r="C592">
            <v>16165500</v>
          </cell>
          <cell r="D592">
            <v>1.32606267084719E-2</v>
          </cell>
        </row>
        <row r="593">
          <cell r="A593">
            <v>42921</v>
          </cell>
          <cell r="C593">
            <v>21176300</v>
          </cell>
          <cell r="D593">
            <v>-7.4100041005069443E-3</v>
          </cell>
        </row>
        <row r="594">
          <cell r="A594">
            <v>42922</v>
          </cell>
          <cell r="C594">
            <v>21117600</v>
          </cell>
          <cell r="D594">
            <v>1.2895929350948764E-2</v>
          </cell>
        </row>
        <row r="595">
          <cell r="A595">
            <v>42923</v>
          </cell>
          <cell r="C595">
            <v>16878300</v>
          </cell>
          <cell r="D595">
            <v>7.4585075278742301E-3</v>
          </cell>
        </row>
        <row r="596">
          <cell r="A596">
            <v>42926</v>
          </cell>
          <cell r="C596">
            <v>15014500</v>
          </cell>
          <cell r="D596">
            <v>1.4263357679557205E-4</v>
          </cell>
        </row>
        <row r="597">
          <cell r="A597">
            <v>42927</v>
          </cell>
          <cell r="C597">
            <v>17460000</v>
          </cell>
          <cell r="D597">
            <v>1.6438290699486855E-2</v>
          </cell>
        </row>
        <row r="598">
          <cell r="A598">
            <v>42928</v>
          </cell>
          <cell r="C598">
            <v>17750900</v>
          </cell>
          <cell r="D598">
            <v>8.6759944654972079E-3</v>
          </cell>
        </row>
        <row r="599">
          <cell r="A599">
            <v>42929</v>
          </cell>
          <cell r="C599">
            <v>20269800</v>
          </cell>
          <cell r="D599">
            <v>1.397483477809822E-2</v>
          </cell>
        </row>
        <row r="600">
          <cell r="A600">
            <v>42930</v>
          </cell>
          <cell r="C600">
            <v>25868100</v>
          </cell>
          <cell r="D600">
            <v>7.8011617719977496E-3</v>
          </cell>
        </row>
        <row r="601">
          <cell r="A601">
            <v>42933</v>
          </cell>
          <cell r="C601">
            <v>21803900</v>
          </cell>
          <cell r="D601">
            <v>-6.8190936229443335E-4</v>
          </cell>
        </row>
        <row r="602">
          <cell r="A602">
            <v>42934</v>
          </cell>
          <cell r="C602">
            <v>26435300</v>
          </cell>
          <cell r="D602">
            <v>7.6107939324657212E-3</v>
          </cell>
        </row>
        <row r="603">
          <cell r="A603">
            <v>42935</v>
          </cell>
          <cell r="C603">
            <v>22416200</v>
          </cell>
          <cell r="D603">
            <v>4.8622983865369779E-3</v>
          </cell>
        </row>
        <row r="604">
          <cell r="A604">
            <v>42936</v>
          </cell>
          <cell r="C604">
            <v>42361000</v>
          </cell>
          <cell r="D604">
            <v>-5.8104575728234057E-3</v>
          </cell>
        </row>
        <row r="605">
          <cell r="A605">
            <v>42937</v>
          </cell>
          <cell r="C605">
            <v>46717100</v>
          </cell>
          <cell r="D605">
            <v>-2.5781503978157031E-3</v>
          </cell>
        </row>
        <row r="606">
          <cell r="A606">
            <v>42940</v>
          </cell>
          <cell r="C606">
            <v>21394800</v>
          </cell>
          <cell r="D606">
            <v>7.9844920834341616E-3</v>
          </cell>
        </row>
        <row r="607">
          <cell r="A607">
            <v>42941</v>
          </cell>
          <cell r="C607">
            <v>22018700</v>
          </cell>
          <cell r="D607">
            <v>-1.8890957996488824E-3</v>
          </cell>
        </row>
        <row r="608">
          <cell r="A608">
            <v>42942</v>
          </cell>
          <cell r="C608">
            <v>16252200</v>
          </cell>
          <cell r="D608">
            <v>-1.2091607151406758E-2</v>
          </cell>
        </row>
        <row r="609">
          <cell r="A609">
            <v>42943</v>
          </cell>
          <cell r="C609">
            <v>36844200</v>
          </cell>
          <cell r="D609">
            <v>-1.6417861857979824E-3</v>
          </cell>
        </row>
        <row r="610">
          <cell r="A610">
            <v>42944</v>
          </cell>
          <cell r="C610">
            <v>18306700</v>
          </cell>
          <cell r="D610">
            <v>-4.6657188512514132E-3</v>
          </cell>
        </row>
        <row r="611">
          <cell r="A611">
            <v>42947</v>
          </cell>
          <cell r="C611">
            <v>23600100</v>
          </cell>
          <cell r="D611">
            <v>-1.6517507592447985E-3</v>
          </cell>
        </row>
        <row r="612">
          <cell r="A612">
            <v>42948</v>
          </cell>
          <cell r="C612">
            <v>22132300</v>
          </cell>
          <cell r="D612">
            <v>-4.4188159586316085E-3</v>
          </cell>
        </row>
        <row r="613">
          <cell r="A613">
            <v>42949</v>
          </cell>
          <cell r="C613">
            <v>26499200</v>
          </cell>
          <cell r="D613">
            <v>-1.5234390431541154E-3</v>
          </cell>
        </row>
        <row r="614">
          <cell r="A614">
            <v>42950</v>
          </cell>
          <cell r="C614">
            <v>18214400</v>
          </cell>
          <cell r="D614">
            <v>7.3190088938762778E-3</v>
          </cell>
        </row>
        <row r="615">
          <cell r="A615">
            <v>42951</v>
          </cell>
          <cell r="C615">
            <v>22579000</v>
          </cell>
          <cell r="D615">
            <v>-3.8599402404802217E-3</v>
          </cell>
        </row>
        <row r="616">
          <cell r="A616">
            <v>42954</v>
          </cell>
          <cell r="C616">
            <v>18705700</v>
          </cell>
          <cell r="D616">
            <v>5.3721777378385703E-3</v>
          </cell>
        </row>
        <row r="617">
          <cell r="A617">
            <v>42955</v>
          </cell>
          <cell r="C617">
            <v>22044600</v>
          </cell>
          <cell r="D617">
            <v>-4.4058238498586415E-3</v>
          </cell>
        </row>
        <row r="618">
          <cell r="A618">
            <v>42956</v>
          </cell>
          <cell r="C618">
            <v>22213400</v>
          </cell>
          <cell r="D618">
            <v>-1.4734972691603253E-2</v>
          </cell>
        </row>
        <row r="619">
          <cell r="A619">
            <v>42957</v>
          </cell>
          <cell r="C619">
            <v>24734500</v>
          </cell>
          <cell r="D619">
            <v>1.514879331930615E-2</v>
          </cell>
        </row>
        <row r="620">
          <cell r="A620">
            <v>42958</v>
          </cell>
          <cell r="C620">
            <v>21443700</v>
          </cell>
          <cell r="D620">
            <v>1.4922514551373891E-2</v>
          </cell>
        </row>
        <row r="621">
          <cell r="A621">
            <v>42961</v>
          </cell>
          <cell r="C621">
            <v>20096600</v>
          </cell>
          <cell r="D621">
            <v>2.7333029241064752E-4</v>
          </cell>
        </row>
        <row r="622">
          <cell r="A622">
            <v>42962</v>
          </cell>
          <cell r="C622">
            <v>19181400</v>
          </cell>
          <cell r="D622">
            <v>5.8554388606984276E-3</v>
          </cell>
        </row>
        <row r="623">
          <cell r="A623">
            <v>42963</v>
          </cell>
          <cell r="C623">
            <v>18150400</v>
          </cell>
          <cell r="D623">
            <v>-1.7117821235523693E-2</v>
          </cell>
        </row>
        <row r="624">
          <cell r="A624">
            <v>42964</v>
          </cell>
          <cell r="C624">
            <v>22977500</v>
          </cell>
          <cell r="D624">
            <v>1.2423429098293855E-3</v>
          </cell>
        </row>
        <row r="625">
          <cell r="A625">
            <v>42965</v>
          </cell>
          <cell r="C625">
            <v>18761500</v>
          </cell>
          <cell r="D625">
            <v>-4.7013179257244979E-3</v>
          </cell>
        </row>
        <row r="626">
          <cell r="A626">
            <v>42968</v>
          </cell>
          <cell r="C626">
            <v>17734800</v>
          </cell>
          <cell r="D626">
            <v>1.390169688252766E-2</v>
          </cell>
        </row>
        <row r="627">
          <cell r="A627">
            <v>42969</v>
          </cell>
          <cell r="C627">
            <v>14343700</v>
          </cell>
          <cell r="D627">
            <v>-6.0324048008673636E-3</v>
          </cell>
        </row>
        <row r="628">
          <cell r="A628">
            <v>42970</v>
          </cell>
          <cell r="C628">
            <v>13766500</v>
          </cell>
          <cell r="D628">
            <v>-4.1278594700200051E-4</v>
          </cell>
        </row>
        <row r="629">
          <cell r="A629">
            <v>42971</v>
          </cell>
          <cell r="C629">
            <v>17098300</v>
          </cell>
          <cell r="D629">
            <v>1.7865859039786481E-3</v>
          </cell>
        </row>
        <row r="630">
          <cell r="A630">
            <v>42972</v>
          </cell>
          <cell r="C630">
            <v>12794300</v>
          </cell>
          <cell r="D630">
            <v>1.3754480656608559E-4</v>
          </cell>
        </row>
        <row r="631">
          <cell r="A631">
            <v>42975</v>
          </cell>
          <cell r="C631">
            <v>14569700</v>
          </cell>
          <cell r="D631">
            <v>3.0160963633496119E-3</v>
          </cell>
        </row>
        <row r="632">
          <cell r="A632">
            <v>42976</v>
          </cell>
          <cell r="C632">
            <v>11478400</v>
          </cell>
          <cell r="D632">
            <v>1.305603893926781E-2</v>
          </cell>
        </row>
        <row r="633">
          <cell r="A633">
            <v>42977</v>
          </cell>
          <cell r="C633">
            <v>16897800</v>
          </cell>
          <cell r="D633">
            <v>1.0216724441662155E-2</v>
          </cell>
        </row>
        <row r="634">
          <cell r="A634">
            <v>42978</v>
          </cell>
          <cell r="C634">
            <v>27652800</v>
          </cell>
          <cell r="D634">
            <v>-1.1162882755511439E-2</v>
          </cell>
        </row>
        <row r="635">
          <cell r="A635">
            <v>42979</v>
          </cell>
          <cell r="C635">
            <v>21736200</v>
          </cell>
          <cell r="D635">
            <v>-4.4730349367868528E-3</v>
          </cell>
        </row>
        <row r="636">
          <cell r="A636">
            <v>42983</v>
          </cell>
          <cell r="C636">
            <v>21556000</v>
          </cell>
          <cell r="D636">
            <v>-2.8569515207526762E-3</v>
          </cell>
        </row>
        <row r="637">
          <cell r="A637">
            <v>42984</v>
          </cell>
          <cell r="C637">
            <v>16535800</v>
          </cell>
          <cell r="D637">
            <v>1.2725058725881368E-2</v>
          </cell>
        </row>
        <row r="638">
          <cell r="A638">
            <v>42985</v>
          </cell>
          <cell r="C638">
            <v>17471200</v>
          </cell>
          <cell r="D638">
            <v>-4.8541661595843041E-3</v>
          </cell>
        </row>
        <row r="639">
          <cell r="A639">
            <v>42986</v>
          </cell>
          <cell r="C639">
            <v>14703800</v>
          </cell>
          <cell r="D639">
            <v>1.0488098273365439E-2</v>
          </cell>
        </row>
        <row r="640">
          <cell r="A640">
            <v>42989</v>
          </cell>
          <cell r="C640">
            <v>17910400</v>
          </cell>
          <cell r="D640">
            <v>-1.0705721656052158E-3</v>
          </cell>
        </row>
        <row r="641">
          <cell r="A641">
            <v>42990</v>
          </cell>
          <cell r="C641">
            <v>14394900</v>
          </cell>
          <cell r="D641">
            <v>7.0719333027703651E-3</v>
          </cell>
        </row>
        <row r="642">
          <cell r="A642">
            <v>42991</v>
          </cell>
          <cell r="C642">
            <v>13380800</v>
          </cell>
          <cell r="D642">
            <v>-5.8674827637765631E-3</v>
          </cell>
        </row>
        <row r="643">
          <cell r="A643">
            <v>42992</v>
          </cell>
          <cell r="C643">
            <v>15733900</v>
          </cell>
          <cell r="D643">
            <v>7.1959407096923627E-3</v>
          </cell>
        </row>
        <row r="644">
          <cell r="A644">
            <v>42993</v>
          </cell>
          <cell r="C644">
            <v>38578400</v>
          </cell>
          <cell r="D644">
            <v>-1.9935569370974344E-3</v>
          </cell>
        </row>
        <row r="645">
          <cell r="A645">
            <v>42996</v>
          </cell>
          <cell r="C645">
            <v>23307000</v>
          </cell>
          <cell r="D645">
            <v>3.71856625252398E-3</v>
          </cell>
        </row>
        <row r="646">
          <cell r="A646">
            <v>42997</v>
          </cell>
          <cell r="C646">
            <v>16093300</v>
          </cell>
          <cell r="D646">
            <v>-6.649963036464787E-3</v>
          </cell>
        </row>
        <row r="647">
          <cell r="A647">
            <v>42998</v>
          </cell>
          <cell r="C647">
            <v>21587900</v>
          </cell>
          <cell r="D647">
            <v>-9.789031959026466E-3</v>
          </cell>
        </row>
        <row r="648">
          <cell r="A648">
            <v>42999</v>
          </cell>
          <cell r="C648">
            <v>19186100</v>
          </cell>
          <cell r="D648">
            <v>2.6915280501624084E-3</v>
          </cell>
        </row>
        <row r="649">
          <cell r="A649">
            <v>43000</v>
          </cell>
          <cell r="C649">
            <v>14111400</v>
          </cell>
          <cell r="D649">
            <v>-1.5575625953720118E-2</v>
          </cell>
        </row>
        <row r="650">
          <cell r="A650">
            <v>43003</v>
          </cell>
          <cell r="C650">
            <v>24149200</v>
          </cell>
          <cell r="D650">
            <v>0</v>
          </cell>
        </row>
        <row r="651">
          <cell r="A651">
            <v>43004</v>
          </cell>
          <cell r="C651">
            <v>18019600</v>
          </cell>
          <cell r="D651">
            <v>8.0212949664849459E-3</v>
          </cell>
        </row>
        <row r="652">
          <cell r="A652">
            <v>43005</v>
          </cell>
          <cell r="C652">
            <v>19565100</v>
          </cell>
          <cell r="D652">
            <v>2.7091077464507944E-4</v>
          </cell>
        </row>
        <row r="653">
          <cell r="A653">
            <v>43006</v>
          </cell>
          <cell r="C653">
            <v>10883800</v>
          </cell>
          <cell r="D653">
            <v>8.3579727726990072E-3</v>
          </cell>
        </row>
        <row r="654">
          <cell r="A654">
            <v>43007</v>
          </cell>
          <cell r="C654">
            <v>17079100</v>
          </cell>
          <cell r="D654">
            <v>1.609527502289455E-3</v>
          </cell>
        </row>
        <row r="655">
          <cell r="A655">
            <v>43010</v>
          </cell>
          <cell r="C655">
            <v>15304800</v>
          </cell>
          <cell r="D655">
            <v>-4.7018855267785976E-3</v>
          </cell>
        </row>
        <row r="656">
          <cell r="A656">
            <v>43011</v>
          </cell>
          <cell r="C656">
            <v>12190400</v>
          </cell>
          <cell r="D656">
            <v>5.7736707454368041E-3</v>
          </cell>
        </row>
        <row r="657">
          <cell r="A657">
            <v>43012</v>
          </cell>
          <cell r="C657">
            <v>13317700</v>
          </cell>
          <cell r="D657">
            <v>1.6992237636949112E-2</v>
          </cell>
        </row>
        <row r="658">
          <cell r="A658">
            <v>43013</v>
          </cell>
          <cell r="C658">
            <v>21195300</v>
          </cell>
          <cell r="D658">
            <v>3.9496750821699293E-4</v>
          </cell>
        </row>
        <row r="659">
          <cell r="A659">
            <v>43014</v>
          </cell>
          <cell r="C659">
            <v>13959800</v>
          </cell>
          <cell r="D659">
            <v>3.808534368775947E-3</v>
          </cell>
        </row>
        <row r="660">
          <cell r="A660">
            <v>43017</v>
          </cell>
          <cell r="C660">
            <v>11386500</v>
          </cell>
          <cell r="D660">
            <v>0</v>
          </cell>
        </row>
        <row r="661">
          <cell r="A661">
            <v>43018</v>
          </cell>
          <cell r="C661">
            <v>13944500</v>
          </cell>
          <cell r="D661">
            <v>1.7024604159661754E-3</v>
          </cell>
        </row>
        <row r="662">
          <cell r="A662">
            <v>43019</v>
          </cell>
          <cell r="C662">
            <v>15388900</v>
          </cell>
          <cell r="D662">
            <v>9.1181090710511295E-3</v>
          </cell>
        </row>
        <row r="663">
          <cell r="A663">
            <v>43020</v>
          </cell>
          <cell r="C663">
            <v>16876500</v>
          </cell>
          <cell r="D663">
            <v>4.786271818737085E-3</v>
          </cell>
        </row>
        <row r="664">
          <cell r="A664">
            <v>43021</v>
          </cell>
          <cell r="C664">
            <v>15335700</v>
          </cell>
          <cell r="D664">
            <v>2.0627857175702295E-3</v>
          </cell>
        </row>
        <row r="665">
          <cell r="A665">
            <v>43024</v>
          </cell>
          <cell r="C665">
            <v>12380100</v>
          </cell>
          <cell r="D665">
            <v>-7.7298742457087395E-4</v>
          </cell>
        </row>
        <row r="666">
          <cell r="A666">
            <v>43025</v>
          </cell>
          <cell r="C666">
            <v>16824000</v>
          </cell>
          <cell r="D666">
            <v>2.5766631325527034E-4</v>
          </cell>
        </row>
        <row r="667">
          <cell r="A667">
            <v>43026</v>
          </cell>
          <cell r="C667">
            <v>13300700</v>
          </cell>
          <cell r="D667">
            <v>3.8581571583444457E-3</v>
          </cell>
        </row>
        <row r="668">
          <cell r="A668">
            <v>43027</v>
          </cell>
          <cell r="C668">
            <v>15092800</v>
          </cell>
          <cell r="D668">
            <v>1.1485559204868811E-2</v>
          </cell>
        </row>
        <row r="669">
          <cell r="A669">
            <v>43028</v>
          </cell>
          <cell r="C669">
            <v>22866400</v>
          </cell>
          <cell r="D669">
            <v>2.5366486667373816E-4</v>
          </cell>
        </row>
        <row r="670">
          <cell r="A670">
            <v>43031</v>
          </cell>
          <cell r="C670">
            <v>20627200</v>
          </cell>
          <cell r="D670">
            <v>3.8044265552434633E-4</v>
          </cell>
        </row>
        <row r="671">
          <cell r="A671">
            <v>43032</v>
          </cell>
          <cell r="C671">
            <v>17517200</v>
          </cell>
          <cell r="D671">
            <v>-2.9206531077623382E-3</v>
          </cell>
        </row>
        <row r="672">
          <cell r="A672">
            <v>43033</v>
          </cell>
          <cell r="C672">
            <v>20410800</v>
          </cell>
          <cell r="D672">
            <v>1.6517318998436311E-3</v>
          </cell>
        </row>
        <row r="673">
          <cell r="A673">
            <v>43034</v>
          </cell>
          <cell r="C673">
            <v>32120700</v>
          </cell>
          <cell r="D673">
            <v>6.2147098317109045E-2</v>
          </cell>
        </row>
        <row r="674">
          <cell r="A674">
            <v>43035</v>
          </cell>
          <cell r="C674">
            <v>71066700</v>
          </cell>
          <cell r="D674">
            <v>9.5418916899277998E-4</v>
          </cell>
        </row>
        <row r="675">
          <cell r="A675">
            <v>43038</v>
          </cell>
          <cell r="C675">
            <v>31756700</v>
          </cell>
          <cell r="D675">
            <v>-8.4994907510489836E-3</v>
          </cell>
        </row>
        <row r="676">
          <cell r="A676">
            <v>43039</v>
          </cell>
          <cell r="C676">
            <v>27086600</v>
          </cell>
          <cell r="D676">
            <v>0</v>
          </cell>
        </row>
        <row r="677">
          <cell r="A677">
            <v>43040</v>
          </cell>
          <cell r="C677">
            <v>22307400</v>
          </cell>
          <cell r="D677">
            <v>1.0404956324170243E-2</v>
          </cell>
        </row>
        <row r="678">
          <cell r="A678">
            <v>43041</v>
          </cell>
          <cell r="C678">
            <v>23992900</v>
          </cell>
          <cell r="D678">
            <v>1.0701498256046561E-3</v>
          </cell>
        </row>
        <row r="679">
          <cell r="A679">
            <v>43042</v>
          </cell>
          <cell r="C679">
            <v>17633500</v>
          </cell>
          <cell r="D679">
            <v>3.9145324841498748E-3</v>
          </cell>
        </row>
        <row r="680">
          <cell r="A680">
            <v>43045</v>
          </cell>
          <cell r="C680">
            <v>19860900</v>
          </cell>
          <cell r="D680">
            <v>-2.3707836379158256E-3</v>
          </cell>
        </row>
        <row r="681">
          <cell r="A681">
            <v>43046</v>
          </cell>
          <cell r="C681">
            <v>17939700</v>
          </cell>
          <cell r="D681">
            <v>3.4354183579071431E-3</v>
          </cell>
        </row>
        <row r="682">
          <cell r="A682">
            <v>43047</v>
          </cell>
          <cell r="C682">
            <v>18034200</v>
          </cell>
          <cell r="D682">
            <v>-5.5737432000680272E-3</v>
          </cell>
        </row>
        <row r="683">
          <cell r="A683">
            <v>43048</v>
          </cell>
          <cell r="C683">
            <v>21178400</v>
          </cell>
          <cell r="D683">
            <v>-2.619414519376737E-3</v>
          </cell>
        </row>
        <row r="684">
          <cell r="A684">
            <v>43049</v>
          </cell>
          <cell r="C684">
            <v>19397800</v>
          </cell>
          <cell r="D684">
            <v>7.1502932359483132E-4</v>
          </cell>
        </row>
        <row r="685">
          <cell r="A685">
            <v>43052</v>
          </cell>
          <cell r="C685">
            <v>14196900</v>
          </cell>
          <cell r="D685">
            <v>1.4288113661040619E-3</v>
          </cell>
        </row>
        <row r="686">
          <cell r="A686">
            <v>43053</v>
          </cell>
          <cell r="C686">
            <v>18801300</v>
          </cell>
          <cell r="D686">
            <v>-7.8026005352264559E-3</v>
          </cell>
        </row>
        <row r="687">
          <cell r="A687">
            <v>43054</v>
          </cell>
          <cell r="C687">
            <v>19383100</v>
          </cell>
          <cell r="D687">
            <v>2.6475477411102375E-3</v>
          </cell>
        </row>
        <row r="688">
          <cell r="A688">
            <v>43055</v>
          </cell>
          <cell r="C688">
            <v>20962800</v>
          </cell>
          <cell r="D688">
            <v>-9.6617524274448773E-3</v>
          </cell>
        </row>
        <row r="689">
          <cell r="A689">
            <v>43056</v>
          </cell>
          <cell r="C689">
            <v>22079000</v>
          </cell>
          <cell r="D689">
            <v>1.5763027342826847E-3</v>
          </cell>
        </row>
        <row r="690">
          <cell r="A690">
            <v>43059</v>
          </cell>
          <cell r="C690">
            <v>16315000</v>
          </cell>
          <cell r="D690">
            <v>1.4316030973795123E-2</v>
          </cell>
        </row>
        <row r="691">
          <cell r="A691">
            <v>43060</v>
          </cell>
          <cell r="C691">
            <v>21237500</v>
          </cell>
          <cell r="D691">
            <v>-7.3126486612891698E-3</v>
          </cell>
        </row>
        <row r="692">
          <cell r="A692">
            <v>43061</v>
          </cell>
          <cell r="C692">
            <v>20553100</v>
          </cell>
          <cell r="D692">
            <v>1.8029448943927327E-3</v>
          </cell>
        </row>
        <row r="693">
          <cell r="A693">
            <v>43063</v>
          </cell>
          <cell r="C693">
            <v>7425600</v>
          </cell>
          <cell r="D693">
            <v>7.2999068165429904E-3</v>
          </cell>
        </row>
        <row r="694">
          <cell r="A694">
            <v>43066</v>
          </cell>
          <cell r="C694">
            <v>18265200</v>
          </cell>
          <cell r="D694">
            <v>1.1970447612166072E-2</v>
          </cell>
        </row>
        <row r="695">
          <cell r="A695">
            <v>43067</v>
          </cell>
          <cell r="C695">
            <v>21926000</v>
          </cell>
          <cell r="D695">
            <v>-1.8309917539179574E-2</v>
          </cell>
        </row>
        <row r="696">
          <cell r="A696">
            <v>43068</v>
          </cell>
          <cell r="C696">
            <v>27381100</v>
          </cell>
          <cell r="D696">
            <v>9.9099088807149439E-3</v>
          </cell>
        </row>
        <row r="697">
          <cell r="A697">
            <v>43069</v>
          </cell>
          <cell r="C697">
            <v>33054600</v>
          </cell>
          <cell r="D697">
            <v>1.0688163980256784E-3</v>
          </cell>
        </row>
        <row r="698">
          <cell r="A698">
            <v>43070</v>
          </cell>
          <cell r="C698">
            <v>29532100</v>
          </cell>
          <cell r="D698">
            <v>-3.8470865724226602E-2</v>
          </cell>
        </row>
        <row r="699">
          <cell r="A699">
            <v>43073</v>
          </cell>
          <cell r="C699">
            <v>39094900</v>
          </cell>
          <cell r="D699">
            <v>6.2701513148409275E-3</v>
          </cell>
        </row>
        <row r="700">
          <cell r="A700">
            <v>43074</v>
          </cell>
          <cell r="C700">
            <v>26152300</v>
          </cell>
          <cell r="D700">
            <v>1.447977880769807E-2</v>
          </cell>
        </row>
        <row r="701">
          <cell r="A701">
            <v>43075</v>
          </cell>
          <cell r="C701">
            <v>26162100</v>
          </cell>
          <cell r="D701">
            <v>-3.5094704756668317E-3</v>
          </cell>
        </row>
        <row r="702">
          <cell r="A702">
            <v>43076</v>
          </cell>
          <cell r="C702">
            <v>23184500</v>
          </cell>
          <cell r="D702">
            <v>2.0042888855096745E-2</v>
          </cell>
        </row>
        <row r="703">
          <cell r="A703">
            <v>43077</v>
          </cell>
          <cell r="C703">
            <v>24489100</v>
          </cell>
          <cell r="D703">
            <v>1.2633666485233203E-2</v>
          </cell>
        </row>
        <row r="704">
          <cell r="A704">
            <v>43080</v>
          </cell>
          <cell r="C704">
            <v>22857900</v>
          </cell>
          <cell r="D704">
            <v>4.0980814043230047E-3</v>
          </cell>
        </row>
        <row r="705">
          <cell r="A705">
            <v>43081</v>
          </cell>
          <cell r="C705">
            <v>23924100</v>
          </cell>
          <cell r="D705">
            <v>-2.6911366903609422E-3</v>
          </cell>
        </row>
        <row r="706">
          <cell r="A706">
            <v>43082</v>
          </cell>
          <cell r="C706">
            <v>22062700</v>
          </cell>
          <cell r="D706">
            <v>-7.7629971061014998E-3</v>
          </cell>
        </row>
        <row r="707">
          <cell r="A707">
            <v>43083</v>
          </cell>
          <cell r="C707">
            <v>19306000</v>
          </cell>
          <cell r="D707">
            <v>2.5185063490207805E-2</v>
          </cell>
        </row>
        <row r="708">
          <cell r="A708">
            <v>43084</v>
          </cell>
          <cell r="C708">
            <v>53936700</v>
          </cell>
          <cell r="D708">
            <v>-5.4263566232770708E-3</v>
          </cell>
        </row>
        <row r="709">
          <cell r="A709">
            <v>43087</v>
          </cell>
          <cell r="C709">
            <v>22283800</v>
          </cell>
          <cell r="D709">
            <v>-6.3874617701972867E-3</v>
          </cell>
        </row>
        <row r="710">
          <cell r="A710">
            <v>43088</v>
          </cell>
          <cell r="C710">
            <v>23524800</v>
          </cell>
          <cell r="D710">
            <v>-3.6183548440730626E-3</v>
          </cell>
        </row>
        <row r="711">
          <cell r="A711">
            <v>43089</v>
          </cell>
          <cell r="C711">
            <v>23674900</v>
          </cell>
          <cell r="D711">
            <v>-2.3386120239698803E-4</v>
          </cell>
        </row>
        <row r="712">
          <cell r="A712">
            <v>43090</v>
          </cell>
          <cell r="C712">
            <v>17990700</v>
          </cell>
          <cell r="D712">
            <v>1.1675584951109309E-4</v>
          </cell>
        </row>
        <row r="713">
          <cell r="A713">
            <v>43091</v>
          </cell>
          <cell r="C713">
            <v>14145800</v>
          </cell>
          <cell r="D713">
            <v>-1.287137482279528E-3</v>
          </cell>
        </row>
        <row r="714">
          <cell r="A714">
            <v>43095</v>
          </cell>
          <cell r="C714">
            <v>9891200</v>
          </cell>
          <cell r="D714">
            <v>3.6233457179888806E-3</v>
          </cell>
        </row>
        <row r="715">
          <cell r="A715">
            <v>43096</v>
          </cell>
          <cell r="C715">
            <v>14678000</v>
          </cell>
          <cell r="D715">
            <v>1.1673549597668408E-4</v>
          </cell>
        </row>
        <row r="716">
          <cell r="A716">
            <v>43097</v>
          </cell>
          <cell r="C716">
            <v>10594300</v>
          </cell>
          <cell r="D716">
            <v>-2.1018503303184923E-3</v>
          </cell>
        </row>
        <row r="717">
          <cell r="A717">
            <v>43098</v>
          </cell>
          <cell r="C717">
            <v>18717400</v>
          </cell>
          <cell r="D717">
            <v>4.7813865766213421E-3</v>
          </cell>
        </row>
        <row r="718">
          <cell r="A718">
            <v>43102</v>
          </cell>
          <cell r="C718">
            <v>22483800</v>
          </cell>
          <cell r="D718">
            <v>4.6429551074176458E-3</v>
          </cell>
        </row>
        <row r="719">
          <cell r="A719">
            <v>43103</v>
          </cell>
          <cell r="C719">
            <v>26061400</v>
          </cell>
          <cell r="D719">
            <v>8.763148703606987E-3</v>
          </cell>
        </row>
        <row r="720">
          <cell r="A720">
            <v>43104</v>
          </cell>
          <cell r="C720">
            <v>21912000</v>
          </cell>
          <cell r="D720">
            <v>1.2321902357049679E-2</v>
          </cell>
        </row>
        <row r="721">
          <cell r="A721">
            <v>43105</v>
          </cell>
          <cell r="C721">
            <v>23407100</v>
          </cell>
          <cell r="D721">
            <v>1.0198510834357915E-3</v>
          </cell>
        </row>
        <row r="722">
          <cell r="A722">
            <v>43108</v>
          </cell>
          <cell r="C722">
            <v>22113000</v>
          </cell>
          <cell r="D722">
            <v>-6.7978905428174574E-4</v>
          </cell>
        </row>
        <row r="723">
          <cell r="A723">
            <v>43109</v>
          </cell>
          <cell r="C723">
            <v>19484300</v>
          </cell>
          <cell r="D723">
            <v>-4.544478400571394E-3</v>
          </cell>
        </row>
        <row r="724">
          <cell r="A724">
            <v>43110</v>
          </cell>
          <cell r="C724">
            <v>18652200</v>
          </cell>
          <cell r="D724">
            <v>2.9561480261048891E-3</v>
          </cell>
        </row>
        <row r="725">
          <cell r="A725">
            <v>43111</v>
          </cell>
          <cell r="C725">
            <v>17808900</v>
          </cell>
          <cell r="D725">
            <v>1.7109833789066713E-2</v>
          </cell>
        </row>
        <row r="726">
          <cell r="A726">
            <v>43112</v>
          </cell>
          <cell r="C726">
            <v>24271500</v>
          </cell>
          <cell r="D726">
            <v>-1.4049126779318397E-2</v>
          </cell>
        </row>
        <row r="727">
          <cell r="A727">
            <v>43116</v>
          </cell>
          <cell r="C727">
            <v>36599700</v>
          </cell>
          <cell r="D727">
            <v>2.0057733441964317E-2</v>
          </cell>
        </row>
        <row r="728">
          <cell r="A728">
            <v>43117</v>
          </cell>
          <cell r="C728">
            <v>25621200</v>
          </cell>
          <cell r="D728">
            <v>-4.4361278560660247E-4</v>
          </cell>
        </row>
        <row r="729">
          <cell r="A729">
            <v>43118</v>
          </cell>
          <cell r="C729">
            <v>24159700</v>
          </cell>
          <cell r="D729">
            <v>-1.1105953120086778E-3</v>
          </cell>
        </row>
        <row r="730">
          <cell r="A730">
            <v>43119</v>
          </cell>
          <cell r="C730">
            <v>36875000</v>
          </cell>
          <cell r="D730">
            <v>1.7730703239187778E-2</v>
          </cell>
        </row>
        <row r="731">
          <cell r="A731">
            <v>43122</v>
          </cell>
          <cell r="C731">
            <v>23601600</v>
          </cell>
          <cell r="D731">
            <v>3.1607354670924628E-3</v>
          </cell>
        </row>
        <row r="732">
          <cell r="A732">
            <v>43123</v>
          </cell>
          <cell r="C732">
            <v>23412800</v>
          </cell>
          <cell r="D732">
            <v>-8.7110732160376205E-4</v>
          </cell>
        </row>
        <row r="733">
          <cell r="A733">
            <v>43124</v>
          </cell>
          <cell r="C733">
            <v>33277500</v>
          </cell>
          <cell r="D733">
            <v>5.5391991063339892E-3</v>
          </cell>
        </row>
        <row r="734">
          <cell r="A734">
            <v>43125</v>
          </cell>
          <cell r="C734">
            <v>26383200</v>
          </cell>
          <cell r="D734">
            <v>1.8563768244156693E-2</v>
          </cell>
        </row>
        <row r="735">
          <cell r="A735">
            <v>43126</v>
          </cell>
          <cell r="C735">
            <v>29172200</v>
          </cell>
          <cell r="D735">
            <v>-1.4896405549906951E-3</v>
          </cell>
        </row>
        <row r="736">
          <cell r="A736">
            <v>43129</v>
          </cell>
          <cell r="C736">
            <v>31569900</v>
          </cell>
          <cell r="D736">
            <v>-1.2643499359854113E-2</v>
          </cell>
        </row>
        <row r="737">
          <cell r="A737">
            <v>43130</v>
          </cell>
          <cell r="C737">
            <v>38635100</v>
          </cell>
          <cell r="D737">
            <v>2.4182292241189531E-2</v>
          </cell>
        </row>
        <row r="738">
          <cell r="A738">
            <v>43131</v>
          </cell>
          <cell r="C738">
            <v>48756300</v>
          </cell>
          <cell r="D738">
            <v>-7.9251669938118271E-3</v>
          </cell>
        </row>
        <row r="739">
          <cell r="A739">
            <v>43132</v>
          </cell>
          <cell r="C739">
            <v>47227900</v>
          </cell>
          <cell r="D739">
            <v>-2.6662616247432578E-2</v>
          </cell>
        </row>
        <row r="740">
          <cell r="A740">
            <v>43133</v>
          </cell>
          <cell r="C740">
            <v>47867800</v>
          </cell>
          <cell r="D740">
            <v>-4.2057439760575584E-2</v>
          </cell>
        </row>
        <row r="741">
          <cell r="A741">
            <v>43136</v>
          </cell>
          <cell r="C741">
            <v>51031500</v>
          </cell>
          <cell r="D741">
            <v>3.7142293683010259E-2</v>
          </cell>
        </row>
        <row r="742">
          <cell r="A742">
            <v>43137</v>
          </cell>
          <cell r="C742">
            <v>67998600</v>
          </cell>
          <cell r="D742">
            <v>-1.9012345040210234E-2</v>
          </cell>
        </row>
        <row r="743">
          <cell r="A743">
            <v>43138</v>
          </cell>
          <cell r="C743">
            <v>41107600</v>
          </cell>
          <cell r="D743">
            <v>-5.2697851614954216E-2</v>
          </cell>
        </row>
        <row r="744">
          <cell r="A744">
            <v>43139</v>
          </cell>
          <cell r="C744">
            <v>55628700</v>
          </cell>
          <cell r="D744">
            <v>3.6611151187977961E-2</v>
          </cell>
        </row>
        <row r="745">
          <cell r="A745">
            <v>43140</v>
          </cell>
          <cell r="C745">
            <v>63499100</v>
          </cell>
          <cell r="D745">
            <v>1.071565962354248E-2</v>
          </cell>
        </row>
        <row r="746">
          <cell r="A746">
            <v>43143</v>
          </cell>
          <cell r="C746">
            <v>35720300</v>
          </cell>
          <cell r="D746">
            <v>7.8232898594360854E-3</v>
          </cell>
        </row>
        <row r="747">
          <cell r="A747">
            <v>43144</v>
          </cell>
          <cell r="C747">
            <v>26407700</v>
          </cell>
          <cell r="D747">
            <v>1.5536833321667302E-2</v>
          </cell>
        </row>
        <row r="748">
          <cell r="A748">
            <v>43145</v>
          </cell>
          <cell r="C748">
            <v>34960900</v>
          </cell>
          <cell r="D748">
            <v>2.0167424397732146E-2</v>
          </cell>
        </row>
        <row r="749">
          <cell r="A749">
            <v>43146</v>
          </cell>
          <cell r="C749">
            <v>27823900</v>
          </cell>
          <cell r="D749">
            <v>-7.1482407500217844E-3</v>
          </cell>
        </row>
        <row r="750">
          <cell r="A750">
            <v>43147</v>
          </cell>
          <cell r="C750">
            <v>30596900</v>
          </cell>
          <cell r="D750">
            <v>7.7955753977355094E-3</v>
          </cell>
        </row>
        <row r="751">
          <cell r="A751">
            <v>43151</v>
          </cell>
          <cell r="C751">
            <v>30911700</v>
          </cell>
          <cell r="D751">
            <v>-1.3354671771375719E-2</v>
          </cell>
        </row>
        <row r="752">
          <cell r="A752">
            <v>43152</v>
          </cell>
          <cell r="C752">
            <v>26922500</v>
          </cell>
          <cell r="D752">
            <v>2.6199673629385225E-3</v>
          </cell>
        </row>
        <row r="753">
          <cell r="A753">
            <v>43153</v>
          </cell>
          <cell r="C753">
            <v>24392800</v>
          </cell>
          <cell r="D753">
            <v>2.508341119744139E-2</v>
          </cell>
        </row>
        <row r="754">
          <cell r="A754">
            <v>43154</v>
          </cell>
          <cell r="C754">
            <v>26329200</v>
          </cell>
          <cell r="D754">
            <v>1.4355155530152283E-2</v>
          </cell>
        </row>
        <row r="755">
          <cell r="A755">
            <v>43157</v>
          </cell>
          <cell r="C755">
            <v>30199800</v>
          </cell>
          <cell r="D755">
            <v>-1.2867756358039051E-2</v>
          </cell>
        </row>
        <row r="756">
          <cell r="A756">
            <v>43158</v>
          </cell>
          <cell r="C756">
            <v>25869100</v>
          </cell>
          <cell r="D756">
            <v>-4.5753179261620314E-3</v>
          </cell>
        </row>
        <row r="757">
          <cell r="A757">
            <v>43159</v>
          </cell>
          <cell r="C757">
            <v>31167300</v>
          </cell>
          <cell r="D757">
            <v>-9.8596747739874389E-3</v>
          </cell>
        </row>
        <row r="758">
          <cell r="A758">
            <v>43160</v>
          </cell>
          <cell r="C758">
            <v>37135600</v>
          </cell>
          <cell r="D758">
            <v>2.1517285797879693E-3</v>
          </cell>
        </row>
        <row r="759">
          <cell r="A759">
            <v>43161</v>
          </cell>
          <cell r="C759">
            <v>32830400</v>
          </cell>
          <cell r="D759">
            <v>6.3205891144218771E-3</v>
          </cell>
        </row>
        <row r="760">
          <cell r="A760">
            <v>43164</v>
          </cell>
          <cell r="C760">
            <v>23901600</v>
          </cell>
          <cell r="D760">
            <v>-3.4232597479467923E-3</v>
          </cell>
        </row>
        <row r="761">
          <cell r="A761">
            <v>43165</v>
          </cell>
          <cell r="C761">
            <v>22175800</v>
          </cell>
          <cell r="D761">
            <v>5.7699364384384113E-3</v>
          </cell>
        </row>
        <row r="762">
          <cell r="A762">
            <v>43166</v>
          </cell>
          <cell r="C762">
            <v>26716100</v>
          </cell>
          <cell r="D762">
            <v>6.054463453243699E-3</v>
          </cell>
        </row>
        <row r="763">
          <cell r="A763">
            <v>43167</v>
          </cell>
          <cell r="C763">
            <v>25887800</v>
          </cell>
          <cell r="D763">
            <v>2.2098702944286733E-2</v>
          </cell>
        </row>
        <row r="764">
          <cell r="A764">
            <v>43168</v>
          </cell>
          <cell r="C764">
            <v>36937300</v>
          </cell>
          <cell r="D764">
            <v>2.3794304696755429E-3</v>
          </cell>
        </row>
        <row r="765">
          <cell r="A765">
            <v>43171</v>
          </cell>
          <cell r="C765">
            <v>26073700</v>
          </cell>
          <cell r="D765">
            <v>-2.4689765256883035E-2</v>
          </cell>
        </row>
        <row r="766">
          <cell r="A766">
            <v>43172</v>
          </cell>
          <cell r="C766">
            <v>35387800</v>
          </cell>
          <cell r="D766">
            <v>-5.9494492130868709E-3</v>
          </cell>
        </row>
        <row r="767">
          <cell r="A767">
            <v>43173</v>
          </cell>
          <cell r="C767">
            <v>32132000</v>
          </cell>
          <cell r="D767">
            <v>3.5101281926800528E-3</v>
          </cell>
        </row>
        <row r="768">
          <cell r="A768">
            <v>43174</v>
          </cell>
          <cell r="C768">
            <v>27611000</v>
          </cell>
          <cell r="D768">
            <v>4.4495858771017608E-3</v>
          </cell>
        </row>
        <row r="769">
          <cell r="A769">
            <v>43175</v>
          </cell>
          <cell r="C769">
            <v>49081300</v>
          </cell>
          <cell r="D769">
            <v>-1.8241507685128906E-2</v>
          </cell>
        </row>
        <row r="770">
          <cell r="A770">
            <v>43178</v>
          </cell>
          <cell r="C770">
            <v>33344100</v>
          </cell>
          <cell r="D770">
            <v>2.5803540570126173E-3</v>
          </cell>
        </row>
        <row r="771">
          <cell r="A771">
            <v>43179</v>
          </cell>
          <cell r="C771">
            <v>23075200</v>
          </cell>
          <cell r="D771">
            <v>-7.0038291443563112E-3</v>
          </cell>
        </row>
        <row r="772">
          <cell r="A772">
            <v>43180</v>
          </cell>
          <cell r="C772">
            <v>24457100</v>
          </cell>
          <cell r="D772">
            <v>-2.9518825494487901E-2</v>
          </cell>
        </row>
        <row r="773">
          <cell r="A773">
            <v>43181</v>
          </cell>
          <cell r="C773">
            <v>38604700</v>
          </cell>
          <cell r="D773">
            <v>-2.9498528827014609E-2</v>
          </cell>
        </row>
        <row r="774">
          <cell r="A774">
            <v>43182</v>
          </cell>
          <cell r="C774">
            <v>44068900</v>
          </cell>
          <cell r="D774">
            <v>7.2976552659048302E-2</v>
          </cell>
        </row>
        <row r="775">
          <cell r="A775">
            <v>43185</v>
          </cell>
          <cell r="C775">
            <v>56396800</v>
          </cell>
          <cell r="D775">
            <v>-4.7048235732796186E-2</v>
          </cell>
        </row>
        <row r="776">
          <cell r="A776">
            <v>43186</v>
          </cell>
          <cell r="C776">
            <v>56569000</v>
          </cell>
          <cell r="D776">
            <v>-8.946374921592606E-4</v>
          </cell>
        </row>
        <row r="777">
          <cell r="A777">
            <v>43187</v>
          </cell>
          <cell r="C777">
            <v>52501100</v>
          </cell>
          <cell r="D777">
            <v>2.0813332393389908E-2</v>
          </cell>
        </row>
        <row r="778">
          <cell r="A778">
            <v>43188</v>
          </cell>
          <cell r="C778">
            <v>45867500</v>
          </cell>
          <cell r="D778">
            <v>-3.059360035516831E-2</v>
          </cell>
        </row>
        <row r="779">
          <cell r="A779">
            <v>43192</v>
          </cell>
          <cell r="C779">
            <v>48515400</v>
          </cell>
          <cell r="D779">
            <v>1.3353669634579311E-2</v>
          </cell>
        </row>
        <row r="780">
          <cell r="A780">
            <v>43193</v>
          </cell>
          <cell r="C780">
            <v>37213800</v>
          </cell>
          <cell r="D780">
            <v>2.8786984006298137E-2</v>
          </cell>
        </row>
        <row r="781">
          <cell r="A781">
            <v>43194</v>
          </cell>
          <cell r="C781">
            <v>35560000</v>
          </cell>
          <cell r="D781">
            <v>5.4133347484942537E-4</v>
          </cell>
        </row>
        <row r="782">
          <cell r="A782">
            <v>43195</v>
          </cell>
          <cell r="C782">
            <v>29771900</v>
          </cell>
          <cell r="D782">
            <v>-2.3548495658870818E-2</v>
          </cell>
        </row>
        <row r="783">
          <cell r="A783">
            <v>43196</v>
          </cell>
          <cell r="C783">
            <v>38026000</v>
          </cell>
          <cell r="D783">
            <v>5.9667621585084239E-3</v>
          </cell>
        </row>
        <row r="784">
          <cell r="A784">
            <v>43199</v>
          </cell>
          <cell r="C784">
            <v>31533900</v>
          </cell>
          <cell r="D784">
            <v>2.2979510950076019E-2</v>
          </cell>
        </row>
        <row r="785">
          <cell r="A785">
            <v>43200</v>
          </cell>
          <cell r="C785">
            <v>26812000</v>
          </cell>
          <cell r="D785">
            <v>-1.1042613083194963E-2</v>
          </cell>
        </row>
        <row r="786">
          <cell r="A786">
            <v>43201</v>
          </cell>
          <cell r="C786">
            <v>24872100</v>
          </cell>
          <cell r="D786">
            <v>1.855102833785607E-2</v>
          </cell>
        </row>
        <row r="787">
          <cell r="A787">
            <v>43202</v>
          </cell>
          <cell r="C787">
            <v>26758900</v>
          </cell>
          <cell r="D787">
            <v>-5.3573806732857476E-3</v>
          </cell>
        </row>
        <row r="788">
          <cell r="A788">
            <v>43203</v>
          </cell>
          <cell r="C788">
            <v>23346100</v>
          </cell>
          <cell r="D788">
            <v>1.1642372801169483E-2</v>
          </cell>
        </row>
        <row r="789">
          <cell r="A789">
            <v>43206</v>
          </cell>
          <cell r="C789">
            <v>20288100</v>
          </cell>
          <cell r="D789">
            <v>1.9975337717925451E-2</v>
          </cell>
        </row>
        <row r="790">
          <cell r="A790">
            <v>43207</v>
          </cell>
          <cell r="C790">
            <v>26771000</v>
          </cell>
          <cell r="D790">
            <v>3.8440555330469515E-3</v>
          </cell>
        </row>
        <row r="791">
          <cell r="A791">
            <v>43208</v>
          </cell>
          <cell r="C791">
            <v>21043300</v>
          </cell>
          <cell r="D791">
            <v>-3.4277404583833025E-3</v>
          </cell>
        </row>
        <row r="792">
          <cell r="A792">
            <v>43209</v>
          </cell>
          <cell r="C792">
            <v>23552500</v>
          </cell>
          <cell r="D792">
            <v>-1.1616504717123973E-2</v>
          </cell>
        </row>
        <row r="793">
          <cell r="A793">
            <v>43210</v>
          </cell>
          <cell r="C793">
            <v>31154400</v>
          </cell>
          <cell r="D793">
            <v>3.6773869742308457E-3</v>
          </cell>
        </row>
        <row r="794">
          <cell r="A794">
            <v>43213</v>
          </cell>
          <cell r="C794">
            <v>22331800</v>
          </cell>
          <cell r="D794">
            <v>-2.3665310934602744E-2</v>
          </cell>
        </row>
        <row r="795">
          <cell r="A795">
            <v>43214</v>
          </cell>
          <cell r="C795">
            <v>34524800</v>
          </cell>
          <cell r="D795">
            <v>-8.7364449515088538E-3</v>
          </cell>
        </row>
        <row r="796">
          <cell r="A796">
            <v>43215</v>
          </cell>
          <cell r="C796">
            <v>33729300</v>
          </cell>
          <cell r="D796">
            <v>2.0904467571739624E-2</v>
          </cell>
        </row>
        <row r="797">
          <cell r="A797">
            <v>43216</v>
          </cell>
          <cell r="C797">
            <v>42529000</v>
          </cell>
          <cell r="D797">
            <v>1.6414537118590044E-2</v>
          </cell>
        </row>
        <row r="798">
          <cell r="A798">
            <v>43217</v>
          </cell>
          <cell r="C798">
            <v>48272800</v>
          </cell>
          <cell r="D798">
            <v>-2.4296247873295505E-2</v>
          </cell>
        </row>
        <row r="799">
          <cell r="A799">
            <v>43220</v>
          </cell>
          <cell r="C799">
            <v>41523600</v>
          </cell>
          <cell r="D799">
            <v>1.5701612094846502E-2</v>
          </cell>
        </row>
        <row r="800">
          <cell r="A800">
            <v>43221</v>
          </cell>
          <cell r="C800">
            <v>31408900</v>
          </cell>
          <cell r="D800">
            <v>-1.5808363925681638E-2</v>
          </cell>
        </row>
        <row r="801">
          <cell r="A801">
            <v>43222</v>
          </cell>
          <cell r="C801">
            <v>27471000</v>
          </cell>
          <cell r="D801">
            <v>5.9706874758227446E-3</v>
          </cell>
        </row>
        <row r="802">
          <cell r="A802">
            <v>43223</v>
          </cell>
          <cell r="C802">
            <v>31142500</v>
          </cell>
          <cell r="D802">
            <v>1.1520539834581081E-2</v>
          </cell>
        </row>
        <row r="803">
          <cell r="A803">
            <v>43224</v>
          </cell>
          <cell r="C803">
            <v>22531300</v>
          </cell>
          <cell r="D803">
            <v>1.107747036153062E-2</v>
          </cell>
        </row>
        <row r="804">
          <cell r="A804">
            <v>43227</v>
          </cell>
          <cell r="C804">
            <v>24242000</v>
          </cell>
          <cell r="D804">
            <v>-4.2701345909234275E-3</v>
          </cell>
        </row>
        <row r="805">
          <cell r="A805">
            <v>43228</v>
          </cell>
          <cell r="C805">
            <v>23484600</v>
          </cell>
          <cell r="D805">
            <v>1.1725085305754364E-2</v>
          </cell>
        </row>
        <row r="806">
          <cell r="A806">
            <v>43229</v>
          </cell>
          <cell r="C806">
            <v>27327400</v>
          </cell>
          <cell r="D806">
            <v>9.9565535962856857E-3</v>
          </cell>
        </row>
        <row r="807">
          <cell r="A807">
            <v>43230</v>
          </cell>
          <cell r="C807">
            <v>22388100</v>
          </cell>
          <cell r="D807">
            <v>-2.1472296883441803E-3</v>
          </cell>
        </row>
        <row r="808">
          <cell r="A808">
            <v>43231</v>
          </cell>
          <cell r="C808">
            <v>16778300</v>
          </cell>
          <cell r="D808">
            <v>3.372134672010238E-3</v>
          </cell>
        </row>
        <row r="809">
          <cell r="A809">
            <v>43234</v>
          </cell>
          <cell r="C809">
            <v>19454100</v>
          </cell>
          <cell r="D809">
            <v>-7.2690093533620591E-3</v>
          </cell>
        </row>
        <row r="810">
          <cell r="A810">
            <v>43235</v>
          </cell>
          <cell r="C810">
            <v>24594000</v>
          </cell>
          <cell r="D810">
            <v>2.5765652720664955E-3</v>
          </cell>
        </row>
        <row r="811">
          <cell r="A811">
            <v>43236</v>
          </cell>
          <cell r="C811">
            <v>17384700</v>
          </cell>
          <cell r="D811">
            <v>-1.0034690588272267E-2</v>
          </cell>
        </row>
        <row r="812">
          <cell r="A812">
            <v>43237</v>
          </cell>
          <cell r="C812">
            <v>17246700</v>
          </cell>
          <cell r="D812">
            <v>1.8696992916524624E-3</v>
          </cell>
        </row>
        <row r="813">
          <cell r="A813">
            <v>43238</v>
          </cell>
          <cell r="C813">
            <v>17865800</v>
          </cell>
          <cell r="D813">
            <v>1.2786382648666965E-2</v>
          </cell>
        </row>
        <row r="814">
          <cell r="A814">
            <v>43241</v>
          </cell>
          <cell r="C814">
            <v>19422500</v>
          </cell>
          <cell r="D814">
            <v>-1.0250767989635806E-3</v>
          </cell>
        </row>
        <row r="815">
          <cell r="A815">
            <v>43242</v>
          </cell>
          <cell r="C815">
            <v>15441200</v>
          </cell>
          <cell r="D815">
            <v>1.1827140682334009E-2</v>
          </cell>
        </row>
        <row r="816">
          <cell r="A816">
            <v>43243</v>
          </cell>
          <cell r="C816">
            <v>21251200</v>
          </cell>
          <cell r="D816">
            <v>-3.5537992198107155E-3</v>
          </cell>
        </row>
        <row r="817">
          <cell r="A817">
            <v>43244</v>
          </cell>
          <cell r="C817">
            <v>26649300</v>
          </cell>
          <cell r="D817">
            <v>5.0845204138628324E-4</v>
          </cell>
        </row>
        <row r="818">
          <cell r="A818">
            <v>43245</v>
          </cell>
          <cell r="C818">
            <v>18363900</v>
          </cell>
          <cell r="D818">
            <v>-3.5648146173108274E-3</v>
          </cell>
        </row>
        <row r="819">
          <cell r="A819">
            <v>43249</v>
          </cell>
          <cell r="C819">
            <v>28671000</v>
          </cell>
          <cell r="D819">
            <v>9.5451827543329981E-3</v>
          </cell>
        </row>
        <row r="820">
          <cell r="A820">
            <v>43250</v>
          </cell>
          <cell r="C820">
            <v>22158500</v>
          </cell>
          <cell r="D820">
            <v>-1.1122044996743827E-3</v>
          </cell>
        </row>
        <row r="821">
          <cell r="A821">
            <v>43251</v>
          </cell>
          <cell r="C821">
            <v>34140900</v>
          </cell>
          <cell r="D821">
            <v>1.9536762710885901E-2</v>
          </cell>
        </row>
        <row r="822">
          <cell r="A822">
            <v>43252</v>
          </cell>
          <cell r="C822">
            <v>28655600</v>
          </cell>
          <cell r="D822">
            <v>8.6931330488041209E-3</v>
          </cell>
        </row>
        <row r="823">
          <cell r="A823">
            <v>43255</v>
          </cell>
          <cell r="C823">
            <v>27281600</v>
          </cell>
          <cell r="D823">
            <v>5.1015846463803366E-3</v>
          </cell>
        </row>
        <row r="824">
          <cell r="A824">
            <v>43256</v>
          </cell>
          <cell r="C824">
            <v>23514400</v>
          </cell>
          <cell r="D824">
            <v>2.9313770043711755E-3</v>
          </cell>
        </row>
        <row r="825">
          <cell r="A825">
            <v>43257</v>
          </cell>
          <cell r="C825">
            <v>21122900</v>
          </cell>
          <cell r="D825">
            <v>-1.5833537264518777E-2</v>
          </cell>
        </row>
        <row r="826">
          <cell r="A826">
            <v>43258</v>
          </cell>
          <cell r="C826">
            <v>28232200</v>
          </cell>
          <cell r="D826">
            <v>7.406964180230304E-3</v>
          </cell>
        </row>
        <row r="827">
          <cell r="A827">
            <v>43259</v>
          </cell>
          <cell r="C827">
            <v>22165100</v>
          </cell>
          <cell r="D827">
            <v>-5.7232154340835983E-3</v>
          </cell>
        </row>
        <row r="828">
          <cell r="A828">
            <v>43262</v>
          </cell>
          <cell r="C828">
            <v>23490900</v>
          </cell>
          <cell r="D828">
            <v>2.5696960061267048E-3</v>
          </cell>
        </row>
        <row r="829">
          <cell r="A829">
            <v>43263</v>
          </cell>
          <cell r="C829">
            <v>18325200</v>
          </cell>
          <cell r="D829">
            <v>-4.5508719976246241E-3</v>
          </cell>
        </row>
        <row r="830">
          <cell r="A830">
            <v>43264</v>
          </cell>
          <cell r="C830">
            <v>29492900</v>
          </cell>
          <cell r="D830">
            <v>5.6360558722543964E-3</v>
          </cell>
        </row>
        <row r="831">
          <cell r="A831">
            <v>43265</v>
          </cell>
          <cell r="C831">
            <v>25691800</v>
          </cell>
          <cell r="D831">
            <v>-1.2801019266744993E-2</v>
          </cell>
        </row>
        <row r="832">
          <cell r="A832">
            <v>43266</v>
          </cell>
          <cell r="C832">
            <v>65738600</v>
          </cell>
          <cell r="D832">
            <v>7.2641393723963102E-3</v>
          </cell>
        </row>
        <row r="833">
          <cell r="A833">
            <v>43269</v>
          </cell>
          <cell r="C833">
            <v>23586000</v>
          </cell>
          <cell r="D833">
            <v>0</v>
          </cell>
        </row>
        <row r="834">
          <cell r="A834">
            <v>43270</v>
          </cell>
          <cell r="C834">
            <v>28653100</v>
          </cell>
          <cell r="D834">
            <v>9.9640498503845969E-3</v>
          </cell>
        </row>
        <row r="835">
          <cell r="A835">
            <v>43271</v>
          </cell>
          <cell r="C835">
            <v>26180800</v>
          </cell>
          <cell r="D835">
            <v>-7.1917777782346554E-3</v>
          </cell>
        </row>
        <row r="836">
          <cell r="A836">
            <v>43272</v>
          </cell>
          <cell r="C836">
            <v>23198200</v>
          </cell>
          <cell r="D836">
            <v>-7.2438743389029109E-3</v>
          </cell>
        </row>
        <row r="837">
          <cell r="A837">
            <v>43273</v>
          </cell>
          <cell r="C837">
            <v>38923100</v>
          </cell>
          <cell r="D837">
            <v>-2.0322591313989519E-2</v>
          </cell>
        </row>
        <row r="838">
          <cell r="A838">
            <v>43276</v>
          </cell>
          <cell r="C838">
            <v>35433300</v>
          </cell>
          <cell r="D838">
            <v>6.9883791983392446E-3</v>
          </cell>
        </row>
        <row r="839">
          <cell r="A839">
            <v>43277</v>
          </cell>
          <cell r="C839">
            <v>26897200</v>
          </cell>
          <cell r="D839">
            <v>-1.566500433077286E-2</v>
          </cell>
        </row>
        <row r="840">
          <cell r="A840">
            <v>43278</v>
          </cell>
          <cell r="C840">
            <v>31298400</v>
          </cell>
          <cell r="D840">
            <v>1.1112802133667008E-2</v>
          </cell>
        </row>
        <row r="841">
          <cell r="A841">
            <v>43279</v>
          </cell>
          <cell r="C841">
            <v>26650700</v>
          </cell>
          <cell r="D841">
            <v>-2.0269112192025592E-4</v>
          </cell>
        </row>
        <row r="842">
          <cell r="A842">
            <v>43280</v>
          </cell>
          <cell r="C842">
            <v>28053200</v>
          </cell>
          <cell r="D842">
            <v>1.4097469140684207E-2</v>
          </cell>
        </row>
        <row r="843">
          <cell r="A843">
            <v>43283</v>
          </cell>
          <cell r="C843">
            <v>19564500</v>
          </cell>
          <cell r="D843">
            <v>-9.6453244224198025E-3</v>
          </cell>
        </row>
        <row r="844">
          <cell r="A844">
            <v>43284</v>
          </cell>
          <cell r="C844">
            <v>14670300</v>
          </cell>
          <cell r="D844">
            <v>7.1424518071418674E-3</v>
          </cell>
        </row>
        <row r="845">
          <cell r="A845">
            <v>43286</v>
          </cell>
          <cell r="C845">
            <v>18977400</v>
          </cell>
          <cell r="D845">
            <v>1.3936166854353785E-2</v>
          </cell>
        </row>
        <row r="846">
          <cell r="A846">
            <v>43287</v>
          </cell>
          <cell r="C846">
            <v>19234600</v>
          </cell>
          <cell r="D846">
            <v>6.7975992450344126E-3</v>
          </cell>
        </row>
        <row r="847">
          <cell r="A847">
            <v>43290</v>
          </cell>
          <cell r="C847">
            <v>18212000</v>
          </cell>
          <cell r="D847">
            <v>2.6474095435284803E-3</v>
          </cell>
        </row>
        <row r="848">
          <cell r="A848">
            <v>43291</v>
          </cell>
          <cell r="C848">
            <v>19293100</v>
          </cell>
          <cell r="D848">
            <v>-1.3717929845316567E-3</v>
          </cell>
        </row>
        <row r="849">
          <cell r="A849">
            <v>43292</v>
          </cell>
          <cell r="C849">
            <v>19644600</v>
          </cell>
          <cell r="D849">
            <v>2.1439524420459689E-2</v>
          </cell>
        </row>
        <row r="850">
          <cell r="A850">
            <v>43293</v>
          </cell>
          <cell r="C850">
            <v>24335900</v>
          </cell>
          <cell r="D850">
            <v>1.1830984444107696E-2</v>
          </cell>
        </row>
        <row r="851">
          <cell r="A851">
            <v>43294</v>
          </cell>
          <cell r="C851">
            <v>24635200</v>
          </cell>
          <cell r="D851">
            <v>-4.9444085017315391E-3</v>
          </cell>
        </row>
        <row r="852">
          <cell r="A852">
            <v>43297</v>
          </cell>
          <cell r="C852">
            <v>21786900</v>
          </cell>
          <cell r="D852">
            <v>9.8644997437968406E-3</v>
          </cell>
        </row>
        <row r="853">
          <cell r="A853">
            <v>43298</v>
          </cell>
          <cell r="C853">
            <v>25901700</v>
          </cell>
          <cell r="D853">
            <v>-7.8648335663995296E-3</v>
          </cell>
        </row>
        <row r="854">
          <cell r="A854">
            <v>43299</v>
          </cell>
          <cell r="C854">
            <v>29493900</v>
          </cell>
          <cell r="D854">
            <v>-6.8727616389907984E-3</v>
          </cell>
        </row>
        <row r="855">
          <cell r="A855">
            <v>43300</v>
          </cell>
          <cell r="C855">
            <v>40171600</v>
          </cell>
          <cell r="D855">
            <v>1.7753216620420443E-2</v>
          </cell>
        </row>
        <row r="856">
          <cell r="A856">
            <v>43301</v>
          </cell>
          <cell r="C856">
            <v>56004000</v>
          </cell>
          <cell r="D856">
            <v>1.5870535093981054E-2</v>
          </cell>
        </row>
        <row r="857">
          <cell r="A857">
            <v>43304</v>
          </cell>
          <cell r="C857">
            <v>29707000</v>
          </cell>
          <cell r="D857">
            <v>-2.8753672315931559E-3</v>
          </cell>
        </row>
        <row r="858">
          <cell r="A858">
            <v>43305</v>
          </cell>
          <cell r="C858">
            <v>26316600</v>
          </cell>
          <cell r="D858">
            <v>2.901932330409801E-2</v>
          </cell>
        </row>
        <row r="859">
          <cell r="A859">
            <v>43306</v>
          </cell>
          <cell r="C859">
            <v>30702100</v>
          </cell>
          <cell r="D859">
            <v>-1.0977566078042929E-2</v>
          </cell>
        </row>
        <row r="860">
          <cell r="A860">
            <v>43307</v>
          </cell>
          <cell r="C860">
            <v>31372100</v>
          </cell>
          <cell r="D860">
            <v>-1.7856026697250182E-2</v>
          </cell>
        </row>
        <row r="861">
          <cell r="A861">
            <v>43308</v>
          </cell>
          <cell r="C861">
            <v>37005300</v>
          </cell>
          <cell r="D861">
            <v>-2.16858807432809E-2</v>
          </cell>
        </row>
        <row r="862">
          <cell r="A862">
            <v>43311</v>
          </cell>
          <cell r="C862">
            <v>34668300</v>
          </cell>
          <cell r="D862">
            <v>6.7155767921931809E-3</v>
          </cell>
        </row>
        <row r="863">
          <cell r="A863">
            <v>43312</v>
          </cell>
          <cell r="C863">
            <v>27655200</v>
          </cell>
          <cell r="D863">
            <v>1.8836008163829845E-3</v>
          </cell>
        </row>
        <row r="864">
          <cell r="A864">
            <v>43313</v>
          </cell>
          <cell r="C864">
            <v>23628700</v>
          </cell>
          <cell r="D864">
            <v>1.2064648401342554E-2</v>
          </cell>
        </row>
        <row r="865">
          <cell r="A865">
            <v>43314</v>
          </cell>
          <cell r="C865">
            <v>26104300</v>
          </cell>
          <cell r="D865">
            <v>4.3597747233712235E-3</v>
          </cell>
        </row>
        <row r="866">
          <cell r="A866">
            <v>43315</v>
          </cell>
          <cell r="C866">
            <v>18659600</v>
          </cell>
          <cell r="D866">
            <v>8.3262105780279908E-4</v>
          </cell>
        </row>
        <row r="867">
          <cell r="A867">
            <v>43318</v>
          </cell>
          <cell r="C867">
            <v>20265900</v>
          </cell>
          <cell r="D867">
            <v>6.912189052684258E-3</v>
          </cell>
        </row>
        <row r="868">
          <cell r="A868">
            <v>43319</v>
          </cell>
          <cell r="C868">
            <v>16080200</v>
          </cell>
          <cell r="D868">
            <v>5.5868279591489104E-3</v>
          </cell>
        </row>
        <row r="869">
          <cell r="A869">
            <v>43320</v>
          </cell>
          <cell r="C869">
            <v>15487500</v>
          </cell>
          <cell r="D869">
            <v>1.6425984593147688E-3</v>
          </cell>
        </row>
        <row r="870">
          <cell r="A870">
            <v>43321</v>
          </cell>
          <cell r="C870">
            <v>13677200</v>
          </cell>
          <cell r="D870">
            <v>-6.1278837538750021E-3</v>
          </cell>
        </row>
        <row r="871">
          <cell r="A871">
            <v>43322</v>
          </cell>
          <cell r="C871">
            <v>18183700</v>
          </cell>
          <cell r="D871">
            <v>-7.2741677341858985E-3</v>
          </cell>
        </row>
        <row r="872">
          <cell r="A872">
            <v>43325</v>
          </cell>
          <cell r="C872">
            <v>18472500</v>
          </cell>
          <cell r="D872">
            <v>1.2398617110314208E-2</v>
          </cell>
        </row>
        <row r="873">
          <cell r="A873">
            <v>43326</v>
          </cell>
          <cell r="C873">
            <v>16788300</v>
          </cell>
          <cell r="D873">
            <v>-1.365332530561985E-2</v>
          </cell>
        </row>
        <row r="874">
          <cell r="A874">
            <v>43327</v>
          </cell>
          <cell r="C874">
            <v>29982800</v>
          </cell>
          <cell r="D874">
            <v>-1.8585033466391143E-4</v>
          </cell>
        </row>
        <row r="875">
          <cell r="A875">
            <v>43328</v>
          </cell>
          <cell r="C875">
            <v>21384300</v>
          </cell>
          <cell r="D875">
            <v>-5.5747335165187684E-4</v>
          </cell>
        </row>
        <row r="876">
          <cell r="A876">
            <v>43329</v>
          </cell>
          <cell r="C876">
            <v>18061500</v>
          </cell>
          <cell r="D876">
            <v>-6.6215403809092395E-3</v>
          </cell>
        </row>
        <row r="877">
          <cell r="A877">
            <v>43332</v>
          </cell>
          <cell r="C877">
            <v>17914200</v>
          </cell>
          <cell r="D877">
            <v>-8.3628127522681495E-3</v>
          </cell>
        </row>
        <row r="878">
          <cell r="A878">
            <v>43333</v>
          </cell>
          <cell r="C878">
            <v>22881900</v>
          </cell>
          <cell r="D878">
            <v>1.0138900253438771E-2</v>
          </cell>
        </row>
        <row r="879">
          <cell r="A879">
            <v>43334</v>
          </cell>
          <cell r="C879">
            <v>18000600</v>
          </cell>
          <cell r="D879">
            <v>4.6593883239595766E-3</v>
          </cell>
        </row>
        <row r="880">
          <cell r="A880">
            <v>43335</v>
          </cell>
          <cell r="C880">
            <v>18167700</v>
          </cell>
          <cell r="D880">
            <v>7.7793146649352092E-3</v>
          </cell>
        </row>
        <row r="881">
          <cell r="A881">
            <v>43336</v>
          </cell>
          <cell r="C881">
            <v>17234000</v>
          </cell>
          <cell r="D881">
            <v>1.1009244288346369E-2</v>
          </cell>
        </row>
        <row r="882">
          <cell r="A882">
            <v>43339</v>
          </cell>
          <cell r="C882">
            <v>19662300</v>
          </cell>
          <cell r="D882">
            <v>6.003970680926278E-3</v>
          </cell>
        </row>
        <row r="883">
          <cell r="A883">
            <v>43340</v>
          </cell>
          <cell r="C883">
            <v>19151500</v>
          </cell>
          <cell r="D883">
            <v>1.5836135405639055E-2</v>
          </cell>
        </row>
        <row r="884">
          <cell r="A884">
            <v>43341</v>
          </cell>
          <cell r="C884">
            <v>20818000</v>
          </cell>
          <cell r="D884">
            <v>-6.2509057975203091E-4</v>
          </cell>
        </row>
        <row r="885">
          <cell r="A885">
            <v>43342</v>
          </cell>
          <cell r="C885">
            <v>22798700</v>
          </cell>
          <cell r="D885">
            <v>3.3886720504518854E-3</v>
          </cell>
        </row>
        <row r="886">
          <cell r="A886">
            <v>43343</v>
          </cell>
          <cell r="C886">
            <v>23222700</v>
          </cell>
          <cell r="D886">
            <v>-5.5347483076697316E-3</v>
          </cell>
        </row>
        <row r="887">
          <cell r="A887">
            <v>43347</v>
          </cell>
          <cell r="C887">
            <v>22634600</v>
          </cell>
          <cell r="D887">
            <v>-2.9248275422704469E-2</v>
          </cell>
        </row>
        <row r="888">
          <cell r="A888">
            <v>43348</v>
          </cell>
          <cell r="C888">
            <v>32872400</v>
          </cell>
          <cell r="D888">
            <v>2.3017045486107544E-3</v>
          </cell>
        </row>
        <row r="889">
          <cell r="A889">
            <v>43349</v>
          </cell>
          <cell r="C889">
            <v>23477600</v>
          </cell>
          <cell r="D889">
            <v>-4.8858671665959266E-3</v>
          </cell>
        </row>
        <row r="890">
          <cell r="A890">
            <v>43350</v>
          </cell>
          <cell r="C890">
            <v>22498600</v>
          </cell>
          <cell r="D890">
            <v>1.0754284206636652E-2</v>
          </cell>
        </row>
        <row r="891">
          <cell r="A891">
            <v>43353</v>
          </cell>
          <cell r="C891">
            <v>20727900</v>
          </cell>
          <cell r="D891">
            <v>1.6861849144596479E-2</v>
          </cell>
        </row>
        <row r="892">
          <cell r="A892">
            <v>43354</v>
          </cell>
          <cell r="C892">
            <v>24301800</v>
          </cell>
          <cell r="D892">
            <v>4.2163046894565549E-3</v>
          </cell>
        </row>
        <row r="893">
          <cell r="A893">
            <v>43355</v>
          </cell>
          <cell r="C893">
            <v>18891100</v>
          </cell>
          <cell r="D893">
            <v>1.0684773120193945E-2</v>
          </cell>
        </row>
        <row r="894">
          <cell r="A894">
            <v>43356</v>
          </cell>
          <cell r="C894">
            <v>26055600</v>
          </cell>
          <cell r="D894">
            <v>4.065771928939717E-3</v>
          </cell>
        </row>
        <row r="895">
          <cell r="A895">
            <v>43357</v>
          </cell>
          <cell r="C895">
            <v>19122300</v>
          </cell>
          <cell r="D895">
            <v>-1.0908697380093419E-2</v>
          </cell>
        </row>
        <row r="896">
          <cell r="A896">
            <v>43360</v>
          </cell>
          <cell r="C896">
            <v>20736500</v>
          </cell>
          <cell r="D896">
            <v>9.4964001849114198E-3</v>
          </cell>
        </row>
        <row r="897">
          <cell r="A897">
            <v>43361</v>
          </cell>
          <cell r="C897">
            <v>22170900</v>
          </cell>
          <cell r="D897">
            <v>-1.3427868364395301E-2</v>
          </cell>
        </row>
        <row r="898">
          <cell r="A898">
            <v>43362</v>
          </cell>
          <cell r="C898">
            <v>21728400</v>
          </cell>
          <cell r="D898">
            <v>1.6602804272285554E-2</v>
          </cell>
        </row>
        <row r="899">
          <cell r="A899">
            <v>43363</v>
          </cell>
          <cell r="C899">
            <v>23714500</v>
          </cell>
          <cell r="D899">
            <v>6.0572436363902438E-3</v>
          </cell>
        </row>
        <row r="900">
          <cell r="A900">
            <v>43364</v>
          </cell>
          <cell r="C900">
            <v>71229700</v>
          </cell>
          <cell r="D900">
            <v>3.581738794990135E-3</v>
          </cell>
        </row>
        <row r="901">
          <cell r="A901">
            <v>43367</v>
          </cell>
          <cell r="C901">
            <v>27334500</v>
          </cell>
          <cell r="D901">
            <v>-1.9204994521875415E-3</v>
          </cell>
        </row>
        <row r="902">
          <cell r="A902">
            <v>43368</v>
          </cell>
          <cell r="C902">
            <v>22668000</v>
          </cell>
          <cell r="D902">
            <v>-4.1148158207202218E-3</v>
          </cell>
        </row>
        <row r="903">
          <cell r="A903">
            <v>43369</v>
          </cell>
          <cell r="C903">
            <v>19352000</v>
          </cell>
          <cell r="D903">
            <v>3.7654063935742112E-3</v>
          </cell>
        </row>
        <row r="904">
          <cell r="A904">
            <v>43370</v>
          </cell>
          <cell r="C904">
            <v>19091300</v>
          </cell>
          <cell r="D904">
            <v>-3.4972813787071034E-4</v>
          </cell>
        </row>
        <row r="905">
          <cell r="A905">
            <v>43371</v>
          </cell>
          <cell r="C905">
            <v>21647800</v>
          </cell>
          <cell r="D905">
            <v>1.0783729314930279E-2</v>
          </cell>
        </row>
        <row r="906">
          <cell r="A906">
            <v>43374</v>
          </cell>
          <cell r="C906">
            <v>18883100</v>
          </cell>
          <cell r="D906">
            <v>-3.9868381276272121E-3</v>
          </cell>
        </row>
        <row r="907">
          <cell r="A907">
            <v>43375</v>
          </cell>
          <cell r="C907">
            <v>20787200</v>
          </cell>
          <cell r="D907">
            <v>1.7359724713847301E-4</v>
          </cell>
        </row>
        <row r="908">
          <cell r="A908">
            <v>43376</v>
          </cell>
          <cell r="C908">
            <v>16648000</v>
          </cell>
          <cell r="D908">
            <v>-2.0881619860250271E-2</v>
          </cell>
        </row>
        <row r="909">
          <cell r="A909">
            <v>43377</v>
          </cell>
          <cell r="C909">
            <v>34821700</v>
          </cell>
          <cell r="D909">
            <v>-5.8687540163977151E-3</v>
          </cell>
        </row>
        <row r="910">
          <cell r="A910">
            <v>43378</v>
          </cell>
          <cell r="C910">
            <v>29068900</v>
          </cell>
          <cell r="D910">
            <v>-1.148097776133182E-2</v>
          </cell>
        </row>
        <row r="911">
          <cell r="A911">
            <v>43381</v>
          </cell>
          <cell r="C911">
            <v>29640600</v>
          </cell>
          <cell r="D911">
            <v>1.2639717397147721E-2</v>
          </cell>
        </row>
        <row r="912">
          <cell r="A912">
            <v>43382</v>
          </cell>
          <cell r="C912">
            <v>26198600</v>
          </cell>
          <cell r="D912">
            <v>-5.5870189018914301E-2</v>
          </cell>
        </row>
        <row r="913">
          <cell r="A913">
            <v>43383</v>
          </cell>
          <cell r="C913">
            <v>61376300</v>
          </cell>
          <cell r="D913">
            <v>-2.3577760676608459E-3</v>
          </cell>
        </row>
        <row r="914">
          <cell r="A914">
            <v>43384</v>
          </cell>
          <cell r="C914">
            <v>63904300</v>
          </cell>
          <cell r="D914">
            <v>3.397393398893301E-2</v>
          </cell>
        </row>
        <row r="915">
          <cell r="A915">
            <v>43385</v>
          </cell>
          <cell r="C915">
            <v>47742100</v>
          </cell>
          <cell r="D915">
            <v>-1.8143050405919143E-2</v>
          </cell>
        </row>
        <row r="916">
          <cell r="A916">
            <v>43388</v>
          </cell>
          <cell r="C916">
            <v>32068100</v>
          </cell>
          <cell r="D916">
            <v>3.1109669148699119E-2</v>
          </cell>
        </row>
        <row r="917">
          <cell r="A917">
            <v>43389</v>
          </cell>
          <cell r="C917">
            <v>31610200</v>
          </cell>
          <cell r="D917">
            <v>-2.6160758540968556E-3</v>
          </cell>
        </row>
        <row r="918">
          <cell r="A918">
            <v>43390</v>
          </cell>
          <cell r="C918">
            <v>26548200</v>
          </cell>
          <cell r="D918">
            <v>-2.0163973861236126E-2</v>
          </cell>
        </row>
        <row r="919">
          <cell r="A919">
            <v>43391</v>
          </cell>
          <cell r="C919">
            <v>32506200</v>
          </cell>
          <cell r="D919">
            <v>1.4736447061101646E-3</v>
          </cell>
        </row>
        <row r="920">
          <cell r="A920">
            <v>43392</v>
          </cell>
          <cell r="C920">
            <v>32785500</v>
          </cell>
          <cell r="D920">
            <v>8.8871283274494402E-3</v>
          </cell>
        </row>
        <row r="921">
          <cell r="A921">
            <v>43395</v>
          </cell>
          <cell r="C921">
            <v>26545600</v>
          </cell>
          <cell r="D921">
            <v>-1.4054248327436097E-2</v>
          </cell>
        </row>
        <row r="922">
          <cell r="A922">
            <v>43396</v>
          </cell>
          <cell r="C922">
            <v>43770400</v>
          </cell>
          <cell r="D922">
            <v>-5.4951545983454766E-2</v>
          </cell>
        </row>
        <row r="923">
          <cell r="A923">
            <v>43397</v>
          </cell>
          <cell r="C923">
            <v>63897800</v>
          </cell>
          <cell r="D923">
            <v>5.6800092648937026E-2</v>
          </cell>
        </row>
        <row r="924">
          <cell r="A924">
            <v>43398</v>
          </cell>
          <cell r="C924">
            <v>61646800</v>
          </cell>
          <cell r="D924">
            <v>-1.2450258805037169E-2</v>
          </cell>
        </row>
        <row r="925">
          <cell r="A925">
            <v>43399</v>
          </cell>
          <cell r="C925">
            <v>55523100</v>
          </cell>
          <cell r="D925">
            <v>-2.9507522806942476E-2</v>
          </cell>
        </row>
        <row r="926">
          <cell r="A926">
            <v>43402</v>
          </cell>
          <cell r="C926">
            <v>55162000</v>
          </cell>
          <cell r="D926">
            <v>-1.1561204435849954E-3</v>
          </cell>
        </row>
        <row r="927">
          <cell r="A927">
            <v>43403</v>
          </cell>
          <cell r="C927">
            <v>65350900</v>
          </cell>
          <cell r="D927">
            <v>2.9260157329401192E-2</v>
          </cell>
        </row>
        <row r="928">
          <cell r="A928">
            <v>43404</v>
          </cell>
          <cell r="C928">
            <v>51062400</v>
          </cell>
          <cell r="D928">
            <v>-8.3674546457261356E-3</v>
          </cell>
        </row>
        <row r="929">
          <cell r="A929">
            <v>43405</v>
          </cell>
          <cell r="C929">
            <v>33384200</v>
          </cell>
          <cell r="D929">
            <v>2.2634010515646475E-3</v>
          </cell>
        </row>
        <row r="930">
          <cell r="A930">
            <v>43406</v>
          </cell>
          <cell r="C930">
            <v>37680200</v>
          </cell>
          <cell r="D930">
            <v>1.2636474574022092E-2</v>
          </cell>
        </row>
        <row r="931">
          <cell r="A931">
            <v>43409</v>
          </cell>
          <cell r="C931">
            <v>27922100</v>
          </cell>
          <cell r="D931">
            <v>1.9513467622321314E-3</v>
          </cell>
        </row>
        <row r="932">
          <cell r="A932">
            <v>43410</v>
          </cell>
          <cell r="C932">
            <v>24340200</v>
          </cell>
          <cell r="D932">
            <v>3.860634403146497E-2</v>
          </cell>
        </row>
        <row r="933">
          <cell r="A933">
            <v>43411</v>
          </cell>
          <cell r="C933">
            <v>37901700</v>
          </cell>
          <cell r="D933">
            <v>-1.8773694983364915E-3</v>
          </cell>
        </row>
        <row r="934">
          <cell r="A934">
            <v>43412</v>
          </cell>
          <cell r="C934">
            <v>25644100</v>
          </cell>
          <cell r="D934">
            <v>-1.9700637948110757E-2</v>
          </cell>
        </row>
        <row r="935">
          <cell r="A935">
            <v>43413</v>
          </cell>
          <cell r="C935">
            <v>32039200</v>
          </cell>
          <cell r="D935">
            <v>-2.4950326299992418E-2</v>
          </cell>
        </row>
        <row r="936">
          <cell r="A936">
            <v>43416</v>
          </cell>
          <cell r="C936">
            <v>33621800</v>
          </cell>
          <cell r="D936">
            <v>6.5457425779129504E-4</v>
          </cell>
        </row>
        <row r="937">
          <cell r="A937">
            <v>43417</v>
          </cell>
          <cell r="C937">
            <v>35374600</v>
          </cell>
          <cell r="D937">
            <v>-1.4282540006321565E-2</v>
          </cell>
        </row>
        <row r="938">
          <cell r="A938">
            <v>43418</v>
          </cell>
          <cell r="C938">
            <v>39495100</v>
          </cell>
          <cell r="D938">
            <v>2.1767651933400065E-2</v>
          </cell>
        </row>
        <row r="939">
          <cell r="A939">
            <v>43419</v>
          </cell>
          <cell r="C939">
            <v>38505200</v>
          </cell>
          <cell r="D939">
            <v>9.370616501356014E-3</v>
          </cell>
        </row>
        <row r="940">
          <cell r="A940">
            <v>43420</v>
          </cell>
          <cell r="C940">
            <v>33502100</v>
          </cell>
          <cell r="D940">
            <v>-3.4478079037199662E-2</v>
          </cell>
        </row>
        <row r="941">
          <cell r="A941">
            <v>43423</v>
          </cell>
          <cell r="C941">
            <v>44773900</v>
          </cell>
          <cell r="D941">
            <v>-2.8209097877010866E-2</v>
          </cell>
        </row>
        <row r="942">
          <cell r="A942">
            <v>43424</v>
          </cell>
          <cell r="C942">
            <v>64052500</v>
          </cell>
          <cell r="D942">
            <v>1.3670721241990334E-2</v>
          </cell>
        </row>
        <row r="943">
          <cell r="A943">
            <v>43425</v>
          </cell>
          <cell r="C943">
            <v>28130600</v>
          </cell>
          <cell r="D943">
            <v>-3.8798279202098909E-4</v>
          </cell>
        </row>
        <row r="944">
          <cell r="A944">
            <v>43427</v>
          </cell>
          <cell r="C944">
            <v>13823100</v>
          </cell>
          <cell r="D944">
            <v>3.2454938939451269E-2</v>
          </cell>
        </row>
        <row r="945">
          <cell r="A945">
            <v>43430</v>
          </cell>
          <cell r="C945">
            <v>32336200</v>
          </cell>
          <cell r="D945">
            <v>6.2731419530162496E-3</v>
          </cell>
        </row>
        <row r="946">
          <cell r="A946">
            <v>43431</v>
          </cell>
          <cell r="C946">
            <v>29124500</v>
          </cell>
          <cell r="D946">
            <v>3.6474281381243256E-2</v>
          </cell>
        </row>
        <row r="947">
          <cell r="A947">
            <v>43432</v>
          </cell>
          <cell r="C947">
            <v>46788500</v>
          </cell>
          <cell r="D947">
            <v>-8.404568285909143E-3</v>
          </cell>
        </row>
        <row r="948">
          <cell r="A948">
            <v>43433</v>
          </cell>
          <cell r="C948">
            <v>28123200</v>
          </cell>
          <cell r="D948">
            <v>6.3326199177558551E-3</v>
          </cell>
        </row>
        <row r="949">
          <cell r="A949">
            <v>43434</v>
          </cell>
          <cell r="C949">
            <v>33665600</v>
          </cell>
          <cell r="D949">
            <v>1.0763371579182401E-2</v>
          </cell>
        </row>
        <row r="950">
          <cell r="A950">
            <v>43437</v>
          </cell>
          <cell r="C950">
            <v>34732800</v>
          </cell>
          <cell r="D950">
            <v>-3.2367704579684811E-2</v>
          </cell>
        </row>
        <row r="951">
          <cell r="A951">
            <v>43438</v>
          </cell>
          <cell r="C951">
            <v>45197000</v>
          </cell>
          <cell r="D951">
            <v>6.1550687231390101E-3</v>
          </cell>
        </row>
        <row r="952">
          <cell r="A952">
            <v>43440</v>
          </cell>
          <cell r="C952">
            <v>49107400</v>
          </cell>
          <cell r="D952">
            <v>-4.0844935031264365E-2</v>
          </cell>
        </row>
        <row r="953">
          <cell r="A953">
            <v>43441</v>
          </cell>
          <cell r="C953">
            <v>45044900</v>
          </cell>
          <cell r="D953">
            <v>2.6082990067379987E-2</v>
          </cell>
        </row>
        <row r="954">
          <cell r="A954">
            <v>43444</v>
          </cell>
          <cell r="C954">
            <v>40801500</v>
          </cell>
          <cell r="D954">
            <v>9.251662349908164E-3</v>
          </cell>
        </row>
        <row r="955">
          <cell r="A955">
            <v>43445</v>
          </cell>
          <cell r="C955">
            <v>42381900</v>
          </cell>
          <cell r="D955">
            <v>4.5023656102938557E-3</v>
          </cell>
        </row>
        <row r="956">
          <cell r="A956">
            <v>43446</v>
          </cell>
          <cell r="C956">
            <v>36183000</v>
          </cell>
          <cell r="D956">
            <v>3.3861384439619431E-3</v>
          </cell>
        </row>
        <row r="957">
          <cell r="A957">
            <v>43447</v>
          </cell>
          <cell r="C957">
            <v>31333400</v>
          </cell>
          <cell r="D957">
            <v>-3.1745644400947216E-2</v>
          </cell>
        </row>
        <row r="958">
          <cell r="A958">
            <v>43448</v>
          </cell>
          <cell r="C958">
            <v>47043100</v>
          </cell>
          <cell r="D958">
            <v>-3.0061647972816852E-2</v>
          </cell>
        </row>
        <row r="959">
          <cell r="A959">
            <v>43451</v>
          </cell>
          <cell r="C959">
            <v>56957300</v>
          </cell>
          <cell r="D959">
            <v>1.0441922509809165E-2</v>
          </cell>
        </row>
        <row r="960">
          <cell r="A960">
            <v>43452</v>
          </cell>
          <cell r="C960">
            <v>49319200</v>
          </cell>
          <cell r="D960">
            <v>-2.6966523244555704E-3</v>
          </cell>
        </row>
        <row r="961">
          <cell r="A961">
            <v>43453</v>
          </cell>
          <cell r="C961">
            <v>68198200</v>
          </cell>
          <cell r="D961">
            <v>-2.124838785032904E-2</v>
          </cell>
        </row>
        <row r="962">
          <cell r="A962">
            <v>43454</v>
          </cell>
          <cell r="C962">
            <v>70334200</v>
          </cell>
          <cell r="D962">
            <v>-3.2845729752350873E-2</v>
          </cell>
        </row>
        <row r="963">
          <cell r="A963">
            <v>43455</v>
          </cell>
          <cell r="C963">
            <v>111242100</v>
          </cell>
          <cell r="D963">
            <v>-4.2634820840488967E-2</v>
          </cell>
        </row>
        <row r="964">
          <cell r="A964">
            <v>43458</v>
          </cell>
          <cell r="C964">
            <v>43935200</v>
          </cell>
          <cell r="D964">
            <v>6.6077787949782293E-2</v>
          </cell>
        </row>
        <row r="965">
          <cell r="A965">
            <v>43460</v>
          </cell>
          <cell r="C965">
            <v>51634800</v>
          </cell>
          <cell r="D965">
            <v>6.1466653526778391E-3</v>
          </cell>
        </row>
        <row r="966">
          <cell r="A966">
            <v>43461</v>
          </cell>
          <cell r="C966">
            <v>49498500</v>
          </cell>
          <cell r="D966">
            <v>-7.83864236129613E-3</v>
          </cell>
        </row>
        <row r="967">
          <cell r="A967">
            <v>43462</v>
          </cell>
          <cell r="C967">
            <v>38196300</v>
          </cell>
          <cell r="D967">
            <v>1.1685592625736952E-2</v>
          </cell>
        </row>
        <row r="968">
          <cell r="A968">
            <v>43465</v>
          </cell>
          <cell r="C968">
            <v>33173800</v>
          </cell>
          <cell r="D968">
            <v>-4.4402322167570183E-3</v>
          </cell>
        </row>
        <row r="969">
          <cell r="A969">
            <v>43467</v>
          </cell>
          <cell r="C969">
            <v>35329300</v>
          </cell>
          <cell r="D969">
            <v>-3.7481750980094063E-2</v>
          </cell>
        </row>
        <row r="970">
          <cell r="A970">
            <v>43468</v>
          </cell>
          <cell r="C970">
            <v>42579100</v>
          </cell>
          <cell r="D970">
            <v>4.5460087993401177E-2</v>
          </cell>
        </row>
        <row r="971">
          <cell r="A971">
            <v>43469</v>
          </cell>
          <cell r="C971">
            <v>44060600</v>
          </cell>
          <cell r="D971">
            <v>1.274543873242099E-3</v>
          </cell>
        </row>
        <row r="972">
          <cell r="A972">
            <v>43472</v>
          </cell>
          <cell r="C972">
            <v>35656100</v>
          </cell>
          <cell r="D972">
            <v>7.2245033717509002E-3</v>
          </cell>
        </row>
        <row r="973">
          <cell r="A973">
            <v>43473</v>
          </cell>
          <cell r="C973">
            <v>31514400</v>
          </cell>
          <cell r="D973">
            <v>1.4198244672606806E-2</v>
          </cell>
        </row>
        <row r="974">
          <cell r="A974">
            <v>43474</v>
          </cell>
          <cell r="C974">
            <v>32280800</v>
          </cell>
          <cell r="D974">
            <v>-6.4462099300339618E-3</v>
          </cell>
        </row>
        <row r="975">
          <cell r="A975">
            <v>43475</v>
          </cell>
          <cell r="C975">
            <v>30067600</v>
          </cell>
          <cell r="D975">
            <v>-7.7520347425728865E-3</v>
          </cell>
        </row>
        <row r="976">
          <cell r="A976">
            <v>43476</v>
          </cell>
          <cell r="C976">
            <v>28314200</v>
          </cell>
          <cell r="D976">
            <v>-7.3224054852797649E-3</v>
          </cell>
        </row>
        <row r="977">
          <cell r="A977">
            <v>43479</v>
          </cell>
          <cell r="C977">
            <v>28437100</v>
          </cell>
          <cell r="D977">
            <v>2.8592648493639232E-2</v>
          </cell>
        </row>
        <row r="978">
          <cell r="A978">
            <v>43480</v>
          </cell>
          <cell r="C978">
            <v>31587600</v>
          </cell>
          <cell r="D978">
            <v>3.5172936039132427E-3</v>
          </cell>
        </row>
        <row r="979">
          <cell r="A979">
            <v>43481</v>
          </cell>
          <cell r="C979">
            <v>29853900</v>
          </cell>
          <cell r="D979">
            <v>6.9976893074021815E-3</v>
          </cell>
        </row>
        <row r="980">
          <cell r="A980">
            <v>43482</v>
          </cell>
          <cell r="C980">
            <v>28393000</v>
          </cell>
          <cell r="D980">
            <v>1.4871864922795644E-2</v>
          </cell>
        </row>
        <row r="981">
          <cell r="A981">
            <v>43483</v>
          </cell>
          <cell r="C981">
            <v>37427600</v>
          </cell>
          <cell r="D981">
            <v>-1.9026773676111629E-2</v>
          </cell>
        </row>
        <row r="982">
          <cell r="A982">
            <v>43487</v>
          </cell>
          <cell r="C982">
            <v>32371300</v>
          </cell>
          <cell r="D982">
            <v>9.6991715956513992E-3</v>
          </cell>
        </row>
        <row r="983">
          <cell r="A983">
            <v>43488</v>
          </cell>
          <cell r="C983">
            <v>25874300</v>
          </cell>
          <cell r="D983">
            <v>-4.7907466764429401E-3</v>
          </cell>
        </row>
        <row r="984">
          <cell r="A984">
            <v>43489</v>
          </cell>
          <cell r="C984">
            <v>23164800</v>
          </cell>
          <cell r="D984">
            <v>9.0922427047733356E-3</v>
          </cell>
        </row>
        <row r="985">
          <cell r="A985">
            <v>43490</v>
          </cell>
          <cell r="C985">
            <v>31225600</v>
          </cell>
          <cell r="D985">
            <v>-1.9694342861716216E-2</v>
          </cell>
        </row>
        <row r="986">
          <cell r="A986">
            <v>43493</v>
          </cell>
          <cell r="C986">
            <v>29476700</v>
          </cell>
          <cell r="D986">
            <v>-2.0575654440773642E-2</v>
          </cell>
        </row>
        <row r="987">
          <cell r="A987">
            <v>43494</v>
          </cell>
          <cell r="C987">
            <v>31490500</v>
          </cell>
          <cell r="D987">
            <v>3.2871243518281357E-2</v>
          </cell>
        </row>
        <row r="988">
          <cell r="A988">
            <v>43495</v>
          </cell>
          <cell r="C988">
            <v>49471900</v>
          </cell>
          <cell r="D988">
            <v>-1.8500579466766764E-2</v>
          </cell>
        </row>
        <row r="989">
          <cell r="A989">
            <v>43496</v>
          </cell>
          <cell r="C989">
            <v>55636400</v>
          </cell>
          <cell r="D989">
            <v>-1.5926204160644563E-2</v>
          </cell>
        </row>
        <row r="990">
          <cell r="A990">
            <v>43497</v>
          </cell>
          <cell r="C990">
            <v>35535700</v>
          </cell>
          <cell r="D990">
            <v>2.8392415073126512E-2</v>
          </cell>
        </row>
        <row r="991">
          <cell r="A991">
            <v>43500</v>
          </cell>
          <cell r="C991">
            <v>31315100</v>
          </cell>
          <cell r="D991">
            <v>1.3899597551624867E-2</v>
          </cell>
        </row>
        <row r="992">
          <cell r="A992">
            <v>43501</v>
          </cell>
          <cell r="C992">
            <v>27325400</v>
          </cell>
          <cell r="D992">
            <v>-1.1160699381283926E-2</v>
          </cell>
        </row>
        <row r="993">
          <cell r="A993">
            <v>43502</v>
          </cell>
          <cell r="C993">
            <v>20609800</v>
          </cell>
          <cell r="D993">
            <v>-7.1936785138986417E-3</v>
          </cell>
        </row>
        <row r="994">
          <cell r="A994">
            <v>43503</v>
          </cell>
          <cell r="C994">
            <v>29760700</v>
          </cell>
          <cell r="D994">
            <v>3.7926192729524424E-3</v>
          </cell>
        </row>
        <row r="995">
          <cell r="A995">
            <v>43504</v>
          </cell>
          <cell r="C995">
            <v>21461100</v>
          </cell>
          <cell r="D995">
            <v>-3.9826065882237801E-3</v>
          </cell>
        </row>
        <row r="996">
          <cell r="A996">
            <v>43507</v>
          </cell>
          <cell r="C996">
            <v>18914100</v>
          </cell>
          <cell r="D996">
            <v>1.5461862670405948E-2</v>
          </cell>
        </row>
        <row r="997">
          <cell r="A997">
            <v>43508</v>
          </cell>
          <cell r="C997">
            <v>25056600</v>
          </cell>
          <cell r="D997">
            <v>-7.4879308140887257E-4</v>
          </cell>
        </row>
        <row r="998">
          <cell r="A998">
            <v>43509</v>
          </cell>
          <cell r="C998">
            <v>18394900</v>
          </cell>
          <cell r="D998">
            <v>8.4226237685855378E-4</v>
          </cell>
        </row>
        <row r="999">
          <cell r="A999">
            <v>43510</v>
          </cell>
          <cell r="C999">
            <v>21784700</v>
          </cell>
          <cell r="D999">
            <v>1.2272397527564004E-2</v>
          </cell>
        </row>
        <row r="1000">
          <cell r="A1000">
            <v>43511</v>
          </cell>
          <cell r="C1000">
            <v>26606900</v>
          </cell>
          <cell r="D1000">
            <v>-4.6208853994775045E-4</v>
          </cell>
        </row>
        <row r="1001">
          <cell r="A1001">
            <v>43515</v>
          </cell>
          <cell r="C1001">
            <v>18038500</v>
          </cell>
          <cell r="D1001">
            <v>-5.2127214461200038E-3</v>
          </cell>
        </row>
        <row r="1002">
          <cell r="A1002">
            <v>43516</v>
          </cell>
          <cell r="C1002">
            <v>21607700</v>
          </cell>
          <cell r="D1002">
            <v>2.0872670526766661E-2</v>
          </cell>
        </row>
        <row r="1003">
          <cell r="A1003">
            <v>43517</v>
          </cell>
          <cell r="C1003">
            <v>29063200</v>
          </cell>
          <cell r="D1003">
            <v>1.4157501092124533E-2</v>
          </cell>
        </row>
        <row r="1004">
          <cell r="A1004">
            <v>43518</v>
          </cell>
          <cell r="C1004">
            <v>27763200</v>
          </cell>
          <cell r="D1004">
            <v>5.5715171050478617E-3</v>
          </cell>
        </row>
        <row r="1005">
          <cell r="A1005">
            <v>43521</v>
          </cell>
          <cell r="C1005">
            <v>23750600</v>
          </cell>
          <cell r="D1005">
            <v>6.8765850162755653E-3</v>
          </cell>
        </row>
        <row r="1006">
          <cell r="A1006">
            <v>43522</v>
          </cell>
          <cell r="C1006">
            <v>21536700</v>
          </cell>
          <cell r="D1006">
            <v>-1.6924606031482603E-3</v>
          </cell>
        </row>
        <row r="1007">
          <cell r="A1007">
            <v>43523</v>
          </cell>
          <cell r="C1007">
            <v>21487100</v>
          </cell>
          <cell r="D1007">
            <v>-1.248849826953407E-3</v>
          </cell>
        </row>
        <row r="1008">
          <cell r="A1008">
            <v>43524</v>
          </cell>
          <cell r="C1008">
            <v>29083900</v>
          </cell>
          <cell r="D1008">
            <v>4.4532134627436543E-3</v>
          </cell>
        </row>
        <row r="1009">
          <cell r="A1009">
            <v>43525</v>
          </cell>
          <cell r="C1009">
            <v>23501200</v>
          </cell>
          <cell r="D1009">
            <v>-2.40229379782103E-3</v>
          </cell>
        </row>
        <row r="1010">
          <cell r="A1010">
            <v>43528</v>
          </cell>
          <cell r="C1010">
            <v>26608000</v>
          </cell>
          <cell r="D1010">
            <v>-5.0009794976038704E-3</v>
          </cell>
        </row>
        <row r="1011">
          <cell r="A1011">
            <v>43529</v>
          </cell>
          <cell r="C1011">
            <v>19538300</v>
          </cell>
          <cell r="D1011">
            <v>4.4759900433401554E-4</v>
          </cell>
        </row>
        <row r="1012">
          <cell r="A1012">
            <v>43530</v>
          </cell>
          <cell r="C1012">
            <v>17687000</v>
          </cell>
          <cell r="D1012">
            <v>-1.22447353673208E-2</v>
          </cell>
        </row>
        <row r="1013">
          <cell r="A1013">
            <v>43531</v>
          </cell>
          <cell r="C1013">
            <v>25339000</v>
          </cell>
          <cell r="D1013">
            <v>1.0865099212928439E-3</v>
          </cell>
        </row>
        <row r="1014">
          <cell r="A1014">
            <v>43532</v>
          </cell>
          <cell r="C1014">
            <v>22818400</v>
          </cell>
          <cell r="D1014">
            <v>2.0776293165032076E-2</v>
          </cell>
        </row>
        <row r="1015">
          <cell r="A1015">
            <v>43535</v>
          </cell>
          <cell r="C1015">
            <v>26491600</v>
          </cell>
          <cell r="D1015">
            <v>6.9772383400327183E-3</v>
          </cell>
        </row>
        <row r="1016">
          <cell r="A1016">
            <v>43536</v>
          </cell>
          <cell r="C1016">
            <v>26132700</v>
          </cell>
          <cell r="D1016">
            <v>7.7152572899886187E-3</v>
          </cell>
        </row>
        <row r="1017">
          <cell r="A1017">
            <v>43537</v>
          </cell>
          <cell r="C1017">
            <v>35513800</v>
          </cell>
          <cell r="D1017">
            <v>7.8569275147172355E-4</v>
          </cell>
        </row>
        <row r="1018">
          <cell r="A1018">
            <v>43538</v>
          </cell>
          <cell r="C1018">
            <v>30763400</v>
          </cell>
          <cell r="D1018">
            <v>1.145356095857537E-2</v>
          </cell>
        </row>
        <row r="1019">
          <cell r="A1019">
            <v>43539</v>
          </cell>
          <cell r="C1019">
            <v>54681100</v>
          </cell>
          <cell r="D1019">
            <v>1.4219777904738324E-2</v>
          </cell>
        </row>
        <row r="1020">
          <cell r="A1020">
            <v>43542</v>
          </cell>
          <cell r="C1020">
            <v>31207600</v>
          </cell>
          <cell r="D1020">
            <v>6.8029725095035778E-4</v>
          </cell>
        </row>
        <row r="1021">
          <cell r="A1021">
            <v>43543</v>
          </cell>
          <cell r="C1021">
            <v>37588700</v>
          </cell>
          <cell r="D1021">
            <v>-1.1055963880726226E-3</v>
          </cell>
        </row>
        <row r="1022">
          <cell r="A1022">
            <v>43544</v>
          </cell>
          <cell r="C1022">
            <v>28113300</v>
          </cell>
          <cell r="D1022">
            <v>2.2714909232914884E-2</v>
          </cell>
        </row>
        <row r="1023">
          <cell r="A1023">
            <v>43545</v>
          </cell>
          <cell r="C1023">
            <v>29854400</v>
          </cell>
          <cell r="D1023">
            <v>-2.6722283374531801E-2</v>
          </cell>
        </row>
        <row r="1024">
          <cell r="A1024">
            <v>43546</v>
          </cell>
          <cell r="C1024">
            <v>33624500</v>
          </cell>
          <cell r="D1024">
            <v>5.1980558872766263E-3</v>
          </cell>
        </row>
        <row r="1025">
          <cell r="A1025">
            <v>43549</v>
          </cell>
          <cell r="C1025">
            <v>27067100</v>
          </cell>
          <cell r="D1025">
            <v>2.1223697924520526E-3</v>
          </cell>
        </row>
        <row r="1026">
          <cell r="A1026">
            <v>43550</v>
          </cell>
          <cell r="C1026">
            <v>26097700</v>
          </cell>
          <cell r="D1026">
            <v>-9.7155027194529512E-3</v>
          </cell>
        </row>
        <row r="1027">
          <cell r="A1027">
            <v>43551</v>
          </cell>
          <cell r="C1027">
            <v>22733400</v>
          </cell>
          <cell r="D1027">
            <v>1.3693660645596433E-3</v>
          </cell>
        </row>
        <row r="1028">
          <cell r="A1028">
            <v>43552</v>
          </cell>
          <cell r="C1028">
            <v>18334800</v>
          </cell>
          <cell r="D1028">
            <v>8.6006106923002344E-3</v>
          </cell>
        </row>
        <row r="1029">
          <cell r="A1029">
            <v>43553</v>
          </cell>
          <cell r="C1029">
            <v>25399800</v>
          </cell>
          <cell r="D1029">
            <v>9.1155037198726897E-3</v>
          </cell>
        </row>
        <row r="1030">
          <cell r="A1030">
            <v>43556</v>
          </cell>
          <cell r="C1030">
            <v>22789100</v>
          </cell>
          <cell r="D1030">
            <v>1.4272938289068599E-3</v>
          </cell>
        </row>
        <row r="1031">
          <cell r="A1031">
            <v>43557</v>
          </cell>
          <cell r="C1031">
            <v>18142300</v>
          </cell>
          <cell r="D1031">
            <v>6.5229131278463992E-3</v>
          </cell>
        </row>
        <row r="1032">
          <cell r="A1032">
            <v>43558</v>
          </cell>
          <cell r="C1032">
            <v>22860700</v>
          </cell>
          <cell r="D1032">
            <v>-5.097585652567912E-3</v>
          </cell>
        </row>
        <row r="1033">
          <cell r="A1033">
            <v>43559</v>
          </cell>
          <cell r="C1033">
            <v>20112800</v>
          </cell>
          <cell r="D1033">
            <v>4.4304485224133374E-3</v>
          </cell>
        </row>
        <row r="1034">
          <cell r="A1034">
            <v>43560</v>
          </cell>
          <cell r="C1034">
            <v>15826200</v>
          </cell>
          <cell r="D1034">
            <v>3.3356083519422633E-4</v>
          </cell>
        </row>
        <row r="1035">
          <cell r="A1035">
            <v>43563</v>
          </cell>
          <cell r="C1035">
            <v>15116200</v>
          </cell>
          <cell r="D1035">
            <v>-5.4346165643333619E-3</v>
          </cell>
        </row>
        <row r="1036">
          <cell r="A1036">
            <v>43564</v>
          </cell>
          <cell r="C1036">
            <v>17612000</v>
          </cell>
          <cell r="D1036">
            <v>7.6002860074552434E-3</v>
          </cell>
        </row>
        <row r="1037">
          <cell r="A1037">
            <v>43565</v>
          </cell>
          <cell r="C1037">
            <v>16477200</v>
          </cell>
          <cell r="D1037">
            <v>1.1641115785022439E-3</v>
          </cell>
        </row>
        <row r="1038">
          <cell r="A1038">
            <v>43566</v>
          </cell>
          <cell r="C1038">
            <v>14209100</v>
          </cell>
          <cell r="D1038">
            <v>5.139233892480599E-3</v>
          </cell>
        </row>
        <row r="1039">
          <cell r="A1039">
            <v>43567</v>
          </cell>
          <cell r="C1039">
            <v>19745100</v>
          </cell>
          <cell r="D1039">
            <v>8.2651150532387166E-4</v>
          </cell>
        </row>
        <row r="1040">
          <cell r="A1040">
            <v>43570</v>
          </cell>
          <cell r="C1040">
            <v>15792600</v>
          </cell>
          <cell r="D1040">
            <v>-2.3158417645469166E-3</v>
          </cell>
        </row>
        <row r="1041">
          <cell r="A1041">
            <v>43571</v>
          </cell>
          <cell r="C1041">
            <v>14071800</v>
          </cell>
          <cell r="D1041">
            <v>8.2461414361071957E-3</v>
          </cell>
        </row>
        <row r="1042">
          <cell r="A1042">
            <v>43572</v>
          </cell>
          <cell r="C1042">
            <v>19300900</v>
          </cell>
          <cell r="D1042">
            <v>1.3053963226159674E-2</v>
          </cell>
        </row>
        <row r="1043">
          <cell r="A1043">
            <v>43573</v>
          </cell>
          <cell r="C1043">
            <v>27991000</v>
          </cell>
          <cell r="D1043">
            <v>3.1561997667035576E-3</v>
          </cell>
        </row>
        <row r="1044">
          <cell r="A1044">
            <v>43577</v>
          </cell>
          <cell r="C1044">
            <v>15648700</v>
          </cell>
          <cell r="D1044">
            <v>1.3483432792680057E-2</v>
          </cell>
        </row>
        <row r="1045">
          <cell r="A1045">
            <v>43578</v>
          </cell>
          <cell r="C1045">
            <v>24025500</v>
          </cell>
          <cell r="D1045">
            <v>-3.4338212486964871E-3</v>
          </cell>
        </row>
        <row r="1046">
          <cell r="A1046">
            <v>43579</v>
          </cell>
          <cell r="C1046">
            <v>31257000</v>
          </cell>
          <cell r="D1046">
            <v>3.2580700761257748E-2</v>
          </cell>
        </row>
        <row r="1047">
          <cell r="A1047">
            <v>43580</v>
          </cell>
          <cell r="C1047">
            <v>38033900</v>
          </cell>
          <cell r="D1047">
            <v>5.7133784587545793E-3</v>
          </cell>
        </row>
        <row r="1048">
          <cell r="A1048">
            <v>43581</v>
          </cell>
          <cell r="C1048">
            <v>23654900</v>
          </cell>
          <cell r="D1048">
            <v>-9.2421499564292165E-4</v>
          </cell>
        </row>
        <row r="1049">
          <cell r="A1049">
            <v>43584</v>
          </cell>
          <cell r="C1049">
            <v>16324200</v>
          </cell>
          <cell r="D1049">
            <v>6.3756106541942789E-3</v>
          </cell>
        </row>
        <row r="1050">
          <cell r="A1050">
            <v>43585</v>
          </cell>
          <cell r="C1050">
            <v>24166500</v>
          </cell>
          <cell r="D1050">
            <v>-2.1046981241103924E-2</v>
          </cell>
        </row>
        <row r="1051">
          <cell r="A1051">
            <v>43586</v>
          </cell>
          <cell r="C1051">
            <v>26821700</v>
          </cell>
          <cell r="D1051">
            <v>-1.3145135115523997E-2</v>
          </cell>
        </row>
        <row r="1052">
          <cell r="A1052">
            <v>43587</v>
          </cell>
          <cell r="C1052">
            <v>27350200</v>
          </cell>
          <cell r="D1052">
            <v>2.1089744702829198E-2</v>
          </cell>
        </row>
        <row r="1053">
          <cell r="A1053">
            <v>43588</v>
          </cell>
          <cell r="C1053">
            <v>24911100</v>
          </cell>
          <cell r="D1053">
            <v>-5.8355550842674594E-3</v>
          </cell>
        </row>
        <row r="1054">
          <cell r="A1054">
            <v>43591</v>
          </cell>
          <cell r="C1054">
            <v>24239800</v>
          </cell>
          <cell r="D1054">
            <v>-2.0736347634366017E-2</v>
          </cell>
        </row>
        <row r="1055">
          <cell r="A1055">
            <v>43592</v>
          </cell>
          <cell r="C1055">
            <v>36017700</v>
          </cell>
          <cell r="D1055">
            <v>-7.9506899687271685E-5</v>
          </cell>
        </row>
        <row r="1056">
          <cell r="A1056">
            <v>43593</v>
          </cell>
          <cell r="C1056">
            <v>28419000</v>
          </cell>
          <cell r="D1056">
            <v>-7.9706986728520667E-5</v>
          </cell>
        </row>
        <row r="1057">
          <cell r="A1057">
            <v>43594</v>
          </cell>
          <cell r="C1057">
            <v>27235800</v>
          </cell>
          <cell r="D1057">
            <v>1.2904388462985064E-2</v>
          </cell>
        </row>
        <row r="1058">
          <cell r="A1058">
            <v>43595</v>
          </cell>
          <cell r="C1058">
            <v>30915100</v>
          </cell>
          <cell r="D1058">
            <v>-3.0184364072742182E-2</v>
          </cell>
        </row>
        <row r="1059">
          <cell r="A1059">
            <v>43598</v>
          </cell>
          <cell r="C1059">
            <v>33944900</v>
          </cell>
          <cell r="D1059">
            <v>1.1125654577390022E-2</v>
          </cell>
        </row>
        <row r="1060">
          <cell r="A1060">
            <v>43599</v>
          </cell>
          <cell r="C1060">
            <v>25266300</v>
          </cell>
          <cell r="D1060">
            <v>1.3983957606925085E-2</v>
          </cell>
        </row>
        <row r="1061">
          <cell r="A1061">
            <v>43600</v>
          </cell>
          <cell r="C1061">
            <v>24722700</v>
          </cell>
          <cell r="D1061">
            <v>2.2828967402076236E-2</v>
          </cell>
        </row>
        <row r="1062">
          <cell r="A1062">
            <v>43601</v>
          </cell>
          <cell r="C1062">
            <v>30112200</v>
          </cell>
          <cell r="D1062">
            <v>-6.6925211230724167E-3</v>
          </cell>
        </row>
        <row r="1063">
          <cell r="A1063">
            <v>43602</v>
          </cell>
          <cell r="C1063">
            <v>25770500</v>
          </cell>
          <cell r="D1063">
            <v>-1.4550583380574343E-2</v>
          </cell>
        </row>
        <row r="1064">
          <cell r="A1064">
            <v>43605</v>
          </cell>
          <cell r="C1064">
            <v>23706900</v>
          </cell>
          <cell r="D1064">
            <v>5.3729668684414532E-3</v>
          </cell>
        </row>
        <row r="1065">
          <cell r="A1065">
            <v>43606</v>
          </cell>
          <cell r="C1065">
            <v>15293300</v>
          </cell>
          <cell r="D1065">
            <v>6.0493595238305456E-3</v>
          </cell>
        </row>
        <row r="1066">
          <cell r="A1066">
            <v>43607</v>
          </cell>
          <cell r="C1066">
            <v>15396500</v>
          </cell>
          <cell r="D1066">
            <v>-1.1739309039476349E-2</v>
          </cell>
        </row>
        <row r="1067">
          <cell r="A1067">
            <v>43608</v>
          </cell>
          <cell r="C1067">
            <v>23603800</v>
          </cell>
          <cell r="D1067">
            <v>4.7531235184630771E-4</v>
          </cell>
        </row>
        <row r="1068">
          <cell r="A1068">
            <v>43609</v>
          </cell>
          <cell r="C1068">
            <v>14123400</v>
          </cell>
          <cell r="D1068">
            <v>-6.3378134995398358E-4</v>
          </cell>
        </row>
        <row r="1069">
          <cell r="A1069">
            <v>43613</v>
          </cell>
          <cell r="C1069">
            <v>23128400</v>
          </cell>
          <cell r="D1069">
            <v>-9.7173887401762887E-3</v>
          </cell>
        </row>
        <row r="1070">
          <cell r="A1070">
            <v>43614</v>
          </cell>
          <cell r="C1070">
            <v>22763100</v>
          </cell>
          <cell r="D1070">
            <v>6.3030689039343148E-3</v>
          </cell>
        </row>
        <row r="1071">
          <cell r="A1071">
            <v>43615</v>
          </cell>
          <cell r="C1071">
            <v>16829600</v>
          </cell>
          <cell r="D1071">
            <v>-1.6439128151177158E-2</v>
          </cell>
        </row>
        <row r="1072">
          <cell r="A1072">
            <v>43616</v>
          </cell>
          <cell r="C1072">
            <v>26646800</v>
          </cell>
          <cell r="D1072">
            <v>-3.1540127817358807E-2</v>
          </cell>
        </row>
        <row r="1073">
          <cell r="A1073">
            <v>43619</v>
          </cell>
          <cell r="C1073">
            <v>37983600</v>
          </cell>
          <cell r="D1073">
            <v>2.7326895846647003E-2</v>
          </cell>
        </row>
        <row r="1074">
          <cell r="A1074">
            <v>43620</v>
          </cell>
          <cell r="C1074">
            <v>29382600</v>
          </cell>
          <cell r="D1074">
            <v>2.144745895482322E-2</v>
          </cell>
        </row>
        <row r="1075">
          <cell r="A1075">
            <v>43621</v>
          </cell>
          <cell r="C1075">
            <v>24926100</v>
          </cell>
          <cell r="D1075">
            <v>1.5691218812663298E-2</v>
          </cell>
        </row>
        <row r="1076">
          <cell r="A1076">
            <v>43622</v>
          </cell>
          <cell r="C1076">
            <v>21459000</v>
          </cell>
          <cell r="D1076">
            <v>2.7622976152028994E-2</v>
          </cell>
        </row>
        <row r="1077">
          <cell r="A1077">
            <v>43623</v>
          </cell>
          <cell r="C1077">
            <v>33885600</v>
          </cell>
          <cell r="D1077">
            <v>9.0911359212059711E-3</v>
          </cell>
        </row>
        <row r="1078">
          <cell r="A1078">
            <v>43626</v>
          </cell>
          <cell r="C1078">
            <v>26477100</v>
          </cell>
          <cell r="D1078">
            <v>-3.7778833399348564E-3</v>
          </cell>
        </row>
        <row r="1079">
          <cell r="A1079">
            <v>43627</v>
          </cell>
          <cell r="C1079">
            <v>23913700</v>
          </cell>
          <cell r="D1079">
            <v>-4.6284064557764451E-3</v>
          </cell>
        </row>
        <row r="1080">
          <cell r="A1080">
            <v>43628</v>
          </cell>
          <cell r="C1080">
            <v>17084700</v>
          </cell>
          <cell r="D1080">
            <v>6.2923879749420689E-3</v>
          </cell>
        </row>
        <row r="1081">
          <cell r="A1081">
            <v>43629</v>
          </cell>
          <cell r="C1081">
            <v>17200800</v>
          </cell>
          <cell r="D1081">
            <v>9.8203466571918432E-4</v>
          </cell>
        </row>
        <row r="1082">
          <cell r="A1082">
            <v>43630</v>
          </cell>
          <cell r="C1082">
            <v>17821700</v>
          </cell>
          <cell r="D1082">
            <v>3.0154701190211919E-3</v>
          </cell>
        </row>
        <row r="1083">
          <cell r="A1083">
            <v>43633</v>
          </cell>
          <cell r="C1083">
            <v>14517800</v>
          </cell>
          <cell r="D1083">
            <v>1.7238539811566735E-2</v>
          </cell>
        </row>
        <row r="1084">
          <cell r="A1084">
            <v>43634</v>
          </cell>
          <cell r="C1084">
            <v>25934500</v>
          </cell>
          <cell r="D1084">
            <v>3.9136802145187527E-3</v>
          </cell>
        </row>
        <row r="1085">
          <cell r="A1085">
            <v>43635</v>
          </cell>
          <cell r="C1085">
            <v>23744400</v>
          </cell>
          <cell r="D1085">
            <v>9.2428216426312989E-3</v>
          </cell>
        </row>
        <row r="1086">
          <cell r="A1086">
            <v>43636</v>
          </cell>
          <cell r="C1086">
            <v>33042600</v>
          </cell>
          <cell r="D1086">
            <v>1.4621297781900058E-4</v>
          </cell>
        </row>
        <row r="1087">
          <cell r="A1087">
            <v>43637</v>
          </cell>
          <cell r="C1087">
            <v>36727900</v>
          </cell>
          <cell r="D1087">
            <v>5.8961810522148812E-3</v>
          </cell>
        </row>
        <row r="1088">
          <cell r="A1088">
            <v>43640</v>
          </cell>
          <cell r="C1088">
            <v>20628800</v>
          </cell>
          <cell r="D1088">
            <v>-3.2081274107307677E-2</v>
          </cell>
        </row>
        <row r="1089">
          <cell r="A1089">
            <v>43641</v>
          </cell>
          <cell r="C1089">
            <v>33327400</v>
          </cell>
          <cell r="D1089">
            <v>3.7403046376165709E-3</v>
          </cell>
        </row>
        <row r="1090">
          <cell r="A1090">
            <v>43642</v>
          </cell>
          <cell r="C1090">
            <v>23657700</v>
          </cell>
          <cell r="D1090">
            <v>1.6412639487353505E-3</v>
          </cell>
        </row>
        <row r="1091">
          <cell r="A1091">
            <v>43643</v>
          </cell>
          <cell r="C1091">
            <v>16557500</v>
          </cell>
          <cell r="D1091">
            <v>-1.4171321287742933E-3</v>
          </cell>
        </row>
        <row r="1092">
          <cell r="A1092">
            <v>43644</v>
          </cell>
          <cell r="C1092">
            <v>30043000</v>
          </cell>
          <cell r="D1092">
            <v>1.2757832248548064E-2</v>
          </cell>
        </row>
        <row r="1093">
          <cell r="A1093">
            <v>43647</v>
          </cell>
          <cell r="C1093">
            <v>22654200</v>
          </cell>
          <cell r="D1093">
            <v>6.6112708221197705E-3</v>
          </cell>
        </row>
        <row r="1094">
          <cell r="A1094">
            <v>43648</v>
          </cell>
          <cell r="C1094">
            <v>15237800</v>
          </cell>
          <cell r="D1094">
            <v>6.4225234253051941E-3</v>
          </cell>
        </row>
        <row r="1095">
          <cell r="A1095">
            <v>43649</v>
          </cell>
          <cell r="C1095">
            <v>13629300</v>
          </cell>
          <cell r="D1095">
            <v>-2.9142002751199204E-3</v>
          </cell>
        </row>
        <row r="1096">
          <cell r="A1096">
            <v>43651</v>
          </cell>
          <cell r="C1096">
            <v>18141100</v>
          </cell>
          <cell r="D1096">
            <v>-7.2987712532836333E-4</v>
          </cell>
        </row>
        <row r="1097">
          <cell r="A1097">
            <v>43654</v>
          </cell>
          <cell r="C1097">
            <v>16779700</v>
          </cell>
          <cell r="D1097">
            <v>-3.6572869195572772E-3</v>
          </cell>
        </row>
        <row r="1098">
          <cell r="A1098">
            <v>43655</v>
          </cell>
          <cell r="C1098">
            <v>19953100</v>
          </cell>
          <cell r="D1098">
            <v>1.0134680877645375E-2</v>
          </cell>
        </row>
        <row r="1099">
          <cell r="A1099">
            <v>43656</v>
          </cell>
          <cell r="C1099">
            <v>24204400</v>
          </cell>
          <cell r="D1099">
            <v>3.9817045286952507E-3</v>
          </cell>
        </row>
        <row r="1100">
          <cell r="A1100">
            <v>43657</v>
          </cell>
          <cell r="C1100">
            <v>22327900</v>
          </cell>
          <cell r="D1100">
            <v>3.606223275806248E-3</v>
          </cell>
        </row>
        <row r="1101">
          <cell r="A1101">
            <v>43658</v>
          </cell>
          <cell r="C1101">
            <v>18936800</v>
          </cell>
          <cell r="D1101">
            <v>0</v>
          </cell>
        </row>
        <row r="1102">
          <cell r="A1102">
            <v>43661</v>
          </cell>
          <cell r="C1102">
            <v>16651500</v>
          </cell>
          <cell r="D1102">
            <v>-1.3189577302510797E-2</v>
          </cell>
        </row>
        <row r="1103">
          <cell r="A1103">
            <v>43662</v>
          </cell>
          <cell r="C1103">
            <v>22726100</v>
          </cell>
          <cell r="D1103">
            <v>-5.9263795212024751E-3</v>
          </cell>
        </row>
        <row r="1104">
          <cell r="A1104">
            <v>43663</v>
          </cell>
          <cell r="C1104">
            <v>20211000</v>
          </cell>
          <cell r="D1104">
            <v>1.1001554580221467E-3</v>
          </cell>
        </row>
        <row r="1105">
          <cell r="A1105">
            <v>43664</v>
          </cell>
          <cell r="C1105">
            <v>30808700</v>
          </cell>
          <cell r="D1105">
            <v>1.4648828816962373E-3</v>
          </cell>
        </row>
        <row r="1106">
          <cell r="A1106">
            <v>43665</v>
          </cell>
          <cell r="C1106">
            <v>48992400</v>
          </cell>
          <cell r="D1106">
            <v>1.3161370097555955E-2</v>
          </cell>
        </row>
        <row r="1107">
          <cell r="A1107">
            <v>43668</v>
          </cell>
          <cell r="C1107">
            <v>25074900</v>
          </cell>
          <cell r="D1107">
            <v>6.1934312578354874E-3</v>
          </cell>
        </row>
        <row r="1108">
          <cell r="A1108">
            <v>43669</v>
          </cell>
          <cell r="C1108">
            <v>18034600</v>
          </cell>
          <cell r="D1108">
            <v>1.0213991711230035E-2</v>
          </cell>
        </row>
        <row r="1109">
          <cell r="A1109">
            <v>43670</v>
          </cell>
          <cell r="C1109">
            <v>20738300</v>
          </cell>
          <cell r="D1109">
            <v>-3.7734076253810246E-3</v>
          </cell>
        </row>
        <row r="1110">
          <cell r="A1110">
            <v>43671</v>
          </cell>
          <cell r="C1110">
            <v>18356900</v>
          </cell>
          <cell r="D1110">
            <v>8.169619776171597E-3</v>
          </cell>
        </row>
        <row r="1111">
          <cell r="A1111">
            <v>43672</v>
          </cell>
          <cell r="C1111">
            <v>19037600</v>
          </cell>
          <cell r="D1111">
            <v>-2.195690242181427E-3</v>
          </cell>
        </row>
        <row r="1112">
          <cell r="A1112">
            <v>43675</v>
          </cell>
          <cell r="C1112">
            <v>16605900</v>
          </cell>
          <cell r="D1112">
            <v>-4.8332884964730214E-3</v>
          </cell>
        </row>
        <row r="1113">
          <cell r="A1113">
            <v>43676</v>
          </cell>
          <cell r="C1113">
            <v>16846500</v>
          </cell>
          <cell r="D1113">
            <v>-2.9501064818475982E-2</v>
          </cell>
        </row>
        <row r="1114">
          <cell r="A1114">
            <v>43677</v>
          </cell>
          <cell r="C1114">
            <v>38598800</v>
          </cell>
          <cell r="D1114">
            <v>1.3050030279222963E-2</v>
          </cell>
        </row>
        <row r="1115">
          <cell r="A1115">
            <v>43678</v>
          </cell>
          <cell r="C1115">
            <v>40557500</v>
          </cell>
          <cell r="D1115">
            <v>-8.4376658235469134E-3</v>
          </cell>
        </row>
        <row r="1116">
          <cell r="A1116">
            <v>43679</v>
          </cell>
          <cell r="C1116">
            <v>30791600</v>
          </cell>
          <cell r="D1116">
            <v>-3.4859025979148826E-2</v>
          </cell>
        </row>
        <row r="1117">
          <cell r="A1117">
            <v>43682</v>
          </cell>
          <cell r="C1117">
            <v>42749600</v>
          </cell>
          <cell r="D1117">
            <v>1.8584298061649206E-2</v>
          </cell>
        </row>
        <row r="1118">
          <cell r="A1118">
            <v>43683</v>
          </cell>
          <cell r="C1118">
            <v>32696700</v>
          </cell>
          <cell r="D1118">
            <v>4.3706812748813889E-3</v>
          </cell>
        </row>
        <row r="1119">
          <cell r="A1119">
            <v>43684</v>
          </cell>
          <cell r="C1119">
            <v>33414500</v>
          </cell>
          <cell r="D1119">
            <v>2.6335663650574683E-2</v>
          </cell>
        </row>
        <row r="1120">
          <cell r="A1120">
            <v>43685</v>
          </cell>
          <cell r="C1120">
            <v>27496500</v>
          </cell>
          <cell r="D1120">
            <v>-8.5320916785360801E-3</v>
          </cell>
        </row>
        <row r="1121">
          <cell r="A1121">
            <v>43686</v>
          </cell>
          <cell r="C1121">
            <v>23466700</v>
          </cell>
          <cell r="D1121">
            <v>-1.4040706441450161E-2</v>
          </cell>
        </row>
        <row r="1122">
          <cell r="A1122">
            <v>43689</v>
          </cell>
          <cell r="C1122">
            <v>20476600</v>
          </cell>
          <cell r="D1122">
            <v>2.0482709723161616E-2</v>
          </cell>
        </row>
        <row r="1123">
          <cell r="A1123">
            <v>43690</v>
          </cell>
          <cell r="C1123">
            <v>25154600</v>
          </cell>
          <cell r="D1123">
            <v>-3.0577228476386817E-2</v>
          </cell>
        </row>
        <row r="1124">
          <cell r="A1124">
            <v>43691</v>
          </cell>
          <cell r="C1124">
            <v>32527300</v>
          </cell>
          <cell r="D1124">
            <v>-2.2416792609092394E-3</v>
          </cell>
        </row>
        <row r="1125">
          <cell r="A1125">
            <v>43692</v>
          </cell>
          <cell r="C1125">
            <v>28074400</v>
          </cell>
          <cell r="D1125">
            <v>1.8161564897177736E-2</v>
          </cell>
        </row>
        <row r="1126">
          <cell r="A1126">
            <v>43693</v>
          </cell>
          <cell r="C1126">
            <v>24449100</v>
          </cell>
          <cell r="D1126">
            <v>1.6610014631043231E-2</v>
          </cell>
        </row>
        <row r="1127">
          <cell r="A1127">
            <v>43696</v>
          </cell>
          <cell r="C1127">
            <v>24355700</v>
          </cell>
          <cell r="D1127">
            <v>-8.3434429850853149E-3</v>
          </cell>
        </row>
        <row r="1128">
          <cell r="A1128">
            <v>43697</v>
          </cell>
          <cell r="C1128">
            <v>21170800</v>
          </cell>
          <cell r="D1128">
            <v>1.1084967692666628E-2</v>
          </cell>
        </row>
        <row r="1129">
          <cell r="A1129">
            <v>43698</v>
          </cell>
          <cell r="C1129">
            <v>14970300</v>
          </cell>
          <cell r="D1129">
            <v>-7.3037675876326301E-3</v>
          </cell>
        </row>
        <row r="1130">
          <cell r="A1130">
            <v>43699</v>
          </cell>
          <cell r="C1130">
            <v>18697000</v>
          </cell>
          <cell r="D1130">
            <v>-3.2381005497225591E-2</v>
          </cell>
        </row>
        <row r="1131">
          <cell r="A1131">
            <v>43700</v>
          </cell>
          <cell r="C1131">
            <v>38508600</v>
          </cell>
          <cell r="D1131">
            <v>1.5325416722428349E-2</v>
          </cell>
        </row>
        <row r="1132">
          <cell r="A1132">
            <v>43703</v>
          </cell>
          <cell r="C1132">
            <v>20312600</v>
          </cell>
          <cell r="D1132">
            <v>2.1386835543478629E-3</v>
          </cell>
        </row>
        <row r="1133">
          <cell r="A1133">
            <v>43704</v>
          </cell>
          <cell r="C1133">
            <v>23102100</v>
          </cell>
          <cell r="D1133">
            <v>-1.3270118564456959E-3</v>
          </cell>
        </row>
        <row r="1134">
          <cell r="A1134">
            <v>43705</v>
          </cell>
          <cell r="C1134">
            <v>17393300</v>
          </cell>
          <cell r="D1134">
            <v>1.870855776923383E-2</v>
          </cell>
        </row>
        <row r="1135">
          <cell r="A1135">
            <v>43706</v>
          </cell>
          <cell r="C1135">
            <v>20168700</v>
          </cell>
          <cell r="D1135">
            <v>-1.8840458496979643E-3</v>
          </cell>
        </row>
        <row r="1136">
          <cell r="A1136">
            <v>43707</v>
          </cell>
          <cell r="C1136">
            <v>23940100</v>
          </cell>
          <cell r="D1136">
            <v>-1.3289803216755127E-2</v>
          </cell>
        </row>
        <row r="1137">
          <cell r="A1137">
            <v>43711</v>
          </cell>
          <cell r="C1137">
            <v>18869300</v>
          </cell>
          <cell r="D1137">
            <v>1.1620077497151595E-2</v>
          </cell>
        </row>
        <row r="1138">
          <cell r="A1138">
            <v>43712</v>
          </cell>
          <cell r="C1138">
            <v>17995900</v>
          </cell>
          <cell r="D1138">
            <v>1.7430490857472798E-2</v>
          </cell>
        </row>
        <row r="1139">
          <cell r="A1139">
            <v>43713</v>
          </cell>
          <cell r="C1139">
            <v>26101800</v>
          </cell>
          <cell r="D1139">
            <v>-6.8063998560519388E-3</v>
          </cell>
        </row>
        <row r="1140">
          <cell r="A1140">
            <v>43714</v>
          </cell>
          <cell r="C1140">
            <v>20824500</v>
          </cell>
          <cell r="D1140">
            <v>-1.1423666906798429E-2</v>
          </cell>
        </row>
        <row r="1141">
          <cell r="A1141">
            <v>43717</v>
          </cell>
          <cell r="C1141">
            <v>25773900</v>
          </cell>
          <cell r="D1141">
            <v>-1.0526452742983378E-2</v>
          </cell>
        </row>
        <row r="1142">
          <cell r="A1142">
            <v>43718</v>
          </cell>
          <cell r="C1142">
            <v>28903400</v>
          </cell>
          <cell r="D1142">
            <v>2.9374066174103313E-4</v>
          </cell>
        </row>
        <row r="1143">
          <cell r="A1143">
            <v>43719</v>
          </cell>
          <cell r="C1143">
            <v>24726100</v>
          </cell>
          <cell r="D1143">
            <v>1.023271208124244E-2</v>
          </cell>
        </row>
        <row r="1144">
          <cell r="A1144">
            <v>43720</v>
          </cell>
          <cell r="C1144">
            <v>27010000</v>
          </cell>
          <cell r="D1144">
            <v>-1.4554816068024299E-3</v>
          </cell>
        </row>
        <row r="1145">
          <cell r="A1145">
            <v>43721</v>
          </cell>
          <cell r="C1145">
            <v>23363100</v>
          </cell>
          <cell r="D1145">
            <v>-7.2354985997673685E-3</v>
          </cell>
        </row>
        <row r="1146">
          <cell r="A1146">
            <v>43724</v>
          </cell>
          <cell r="C1146">
            <v>16731400</v>
          </cell>
          <cell r="D1146">
            <v>7.745181236528227E-3</v>
          </cell>
        </row>
        <row r="1147">
          <cell r="A1147">
            <v>43725</v>
          </cell>
          <cell r="C1147">
            <v>17814200</v>
          </cell>
          <cell r="D1147">
            <v>8.1910689405916021E-3</v>
          </cell>
        </row>
        <row r="1148">
          <cell r="A1148">
            <v>43726</v>
          </cell>
          <cell r="C1148">
            <v>23982100</v>
          </cell>
          <cell r="D1148">
            <v>1.824156615929997E-2</v>
          </cell>
        </row>
        <row r="1149">
          <cell r="A1149">
            <v>43727</v>
          </cell>
          <cell r="C1149">
            <v>35772100</v>
          </cell>
          <cell r="D1149">
            <v>-1.1621881358398253E-2</v>
          </cell>
        </row>
        <row r="1150">
          <cell r="A1150">
            <v>43728</v>
          </cell>
          <cell r="C1150">
            <v>39167300</v>
          </cell>
          <cell r="D1150">
            <v>-2.1538079824681118E-3</v>
          </cell>
        </row>
        <row r="1151">
          <cell r="A1151">
            <v>43731</v>
          </cell>
          <cell r="C1151">
            <v>17139300</v>
          </cell>
          <cell r="D1151">
            <v>-1.2729697718742765E-2</v>
          </cell>
        </row>
        <row r="1152">
          <cell r="A1152">
            <v>43732</v>
          </cell>
          <cell r="C1152">
            <v>29773200</v>
          </cell>
          <cell r="D1152">
            <v>1.4309599745173587E-2</v>
          </cell>
        </row>
        <row r="1153">
          <cell r="A1153">
            <v>43733</v>
          </cell>
          <cell r="C1153">
            <v>21382000</v>
          </cell>
          <cell r="D1153">
            <v>1.2907354067850506E-3</v>
          </cell>
        </row>
        <row r="1154">
          <cell r="A1154">
            <v>43734</v>
          </cell>
          <cell r="C1154">
            <v>17456600</v>
          </cell>
          <cell r="D1154">
            <v>-1.3056064767729428E-2</v>
          </cell>
        </row>
        <row r="1155">
          <cell r="A1155">
            <v>43735</v>
          </cell>
          <cell r="C1155">
            <v>22477700</v>
          </cell>
          <cell r="D1155">
            <v>9.3945320635464534E-3</v>
          </cell>
        </row>
        <row r="1156">
          <cell r="A1156">
            <v>43738</v>
          </cell>
          <cell r="C1156">
            <v>17280900</v>
          </cell>
          <cell r="D1156">
            <v>-1.4197850863119466E-2</v>
          </cell>
        </row>
        <row r="1157">
          <cell r="A1157">
            <v>43739</v>
          </cell>
          <cell r="C1157">
            <v>21466600</v>
          </cell>
          <cell r="D1157">
            <v>-1.7813067227336814E-2</v>
          </cell>
        </row>
        <row r="1158">
          <cell r="A1158">
            <v>43740</v>
          </cell>
          <cell r="C1158">
            <v>30521700</v>
          </cell>
          <cell r="D1158">
            <v>1.2032837651085471E-2</v>
          </cell>
        </row>
        <row r="1159">
          <cell r="A1159">
            <v>43741</v>
          </cell>
          <cell r="C1159">
            <v>24132900</v>
          </cell>
          <cell r="D1159">
            <v>1.3411176396033458E-2</v>
          </cell>
        </row>
        <row r="1160">
          <cell r="A1160">
            <v>43742</v>
          </cell>
          <cell r="C1160">
            <v>22897700</v>
          </cell>
          <cell r="D1160">
            <v>-7.2663221379085357E-3</v>
          </cell>
        </row>
        <row r="1161">
          <cell r="A1161">
            <v>43745</v>
          </cell>
          <cell r="C1161">
            <v>15303700</v>
          </cell>
          <cell r="D1161">
            <v>-1.0630992310719137E-2</v>
          </cell>
        </row>
        <row r="1162">
          <cell r="A1162">
            <v>43746</v>
          </cell>
          <cell r="C1162">
            <v>25550500</v>
          </cell>
          <cell r="D1162">
            <v>1.8765824988080101E-2</v>
          </cell>
        </row>
        <row r="1163">
          <cell r="A1163">
            <v>43747</v>
          </cell>
          <cell r="C1163">
            <v>19749900</v>
          </cell>
          <cell r="D1163">
            <v>6.2018088926669339E-3</v>
          </cell>
        </row>
        <row r="1164">
          <cell r="A1164">
            <v>43748</v>
          </cell>
          <cell r="C1164">
            <v>17654600</v>
          </cell>
          <cell r="D1164">
            <v>4.160909712447698E-3</v>
          </cell>
        </row>
        <row r="1165">
          <cell r="A1165">
            <v>43749</v>
          </cell>
          <cell r="C1165">
            <v>25446000</v>
          </cell>
          <cell r="D1165">
            <v>-9.3105839626591734E-4</v>
          </cell>
        </row>
        <row r="1166">
          <cell r="A1166">
            <v>43752</v>
          </cell>
          <cell r="C1166">
            <v>13304300</v>
          </cell>
          <cell r="D1166">
            <v>1.4371397769148182E-2</v>
          </cell>
        </row>
        <row r="1167">
          <cell r="A1167">
            <v>43753</v>
          </cell>
          <cell r="C1167">
            <v>19695700</v>
          </cell>
          <cell r="D1167">
            <v>-8.2276287783917112E-3</v>
          </cell>
        </row>
        <row r="1168">
          <cell r="A1168">
            <v>43754</v>
          </cell>
          <cell r="C1168">
            <v>20751600</v>
          </cell>
          <cell r="D1168">
            <v>-5.1410484893887323E-3</v>
          </cell>
        </row>
        <row r="1169">
          <cell r="A1169">
            <v>43755</v>
          </cell>
          <cell r="C1169">
            <v>21460600</v>
          </cell>
          <cell r="D1169">
            <v>-1.645655697377179E-2</v>
          </cell>
        </row>
        <row r="1170">
          <cell r="A1170">
            <v>43756</v>
          </cell>
          <cell r="C1170">
            <v>32273500</v>
          </cell>
          <cell r="D1170">
            <v>7.3955603035338159E-3</v>
          </cell>
        </row>
        <row r="1171">
          <cell r="A1171">
            <v>43759</v>
          </cell>
          <cell r="C1171">
            <v>20078200</v>
          </cell>
          <cell r="D1171">
            <v>-1.4992909507781323E-2</v>
          </cell>
        </row>
        <row r="1172">
          <cell r="A1172">
            <v>43760</v>
          </cell>
          <cell r="C1172">
            <v>27431000</v>
          </cell>
          <cell r="D1172">
            <v>6.3595344215664953E-3</v>
          </cell>
        </row>
        <row r="1173">
          <cell r="A1173">
            <v>43761</v>
          </cell>
          <cell r="C1173">
            <v>29844600</v>
          </cell>
          <cell r="D1173">
            <v>1.9482560595001766E-2</v>
          </cell>
        </row>
        <row r="1174">
          <cell r="A1174">
            <v>43762</v>
          </cell>
          <cell r="C1174">
            <v>37029300</v>
          </cell>
          <cell r="D1174">
            <v>5.6292556463950795E-3</v>
          </cell>
        </row>
        <row r="1175">
          <cell r="A1175">
            <v>43763</v>
          </cell>
          <cell r="C1175">
            <v>25959700</v>
          </cell>
          <cell r="D1175">
            <v>2.4288821672556096E-2</v>
          </cell>
        </row>
        <row r="1176">
          <cell r="A1176">
            <v>43766</v>
          </cell>
          <cell r="C1176">
            <v>35280100</v>
          </cell>
          <cell r="D1176">
            <v>-9.4767900781229687E-3</v>
          </cell>
        </row>
        <row r="1177">
          <cell r="A1177">
            <v>43767</v>
          </cell>
          <cell r="C1177">
            <v>20589500</v>
          </cell>
          <cell r="D1177">
            <v>1.2385375537108192E-2</v>
          </cell>
        </row>
        <row r="1178">
          <cell r="A1178">
            <v>43768</v>
          </cell>
          <cell r="C1178">
            <v>18496600</v>
          </cell>
          <cell r="D1178">
            <v>-8.6119323998556981E-3</v>
          </cell>
        </row>
        <row r="1179">
          <cell r="A1179">
            <v>43769</v>
          </cell>
          <cell r="C1179">
            <v>24605100</v>
          </cell>
          <cell r="D1179">
            <v>2.438415699286595E-3</v>
          </cell>
        </row>
        <row r="1180">
          <cell r="A1180">
            <v>43770</v>
          </cell>
          <cell r="C1180">
            <v>33128400</v>
          </cell>
          <cell r="D1180">
            <v>5.7585330226960357E-3</v>
          </cell>
        </row>
        <row r="1181">
          <cell r="A1181">
            <v>43773</v>
          </cell>
          <cell r="C1181">
            <v>16912000</v>
          </cell>
          <cell r="D1181">
            <v>-6.2279162719817277E-4</v>
          </cell>
        </row>
        <row r="1182">
          <cell r="A1182">
            <v>43774</v>
          </cell>
          <cell r="C1182">
            <v>18250200</v>
          </cell>
          <cell r="D1182">
            <v>-2.772949984561103E-3</v>
          </cell>
        </row>
        <row r="1183">
          <cell r="A1183">
            <v>43775</v>
          </cell>
          <cell r="C1183">
            <v>16575800</v>
          </cell>
          <cell r="D1183">
            <v>1.3873280434516886E-3</v>
          </cell>
        </row>
        <row r="1184">
          <cell r="A1184">
            <v>43776</v>
          </cell>
          <cell r="C1184">
            <v>17786700</v>
          </cell>
          <cell r="D1184">
            <v>1.1715502930448258E-2</v>
          </cell>
        </row>
        <row r="1185">
          <cell r="A1185">
            <v>43777</v>
          </cell>
          <cell r="C1185">
            <v>16732700</v>
          </cell>
          <cell r="D1185">
            <v>1.0271089771352639E-3</v>
          </cell>
        </row>
        <row r="1186">
          <cell r="A1186">
            <v>43780</v>
          </cell>
          <cell r="C1186">
            <v>14362600</v>
          </cell>
          <cell r="D1186">
            <v>6.548960588560848E-3</v>
          </cell>
        </row>
        <row r="1187">
          <cell r="A1187">
            <v>43781</v>
          </cell>
          <cell r="C1187">
            <v>18641600</v>
          </cell>
          <cell r="D1187">
            <v>1.630487210144381E-3</v>
          </cell>
        </row>
        <row r="1188">
          <cell r="A1188">
            <v>43782</v>
          </cell>
          <cell r="C1188">
            <v>16919200</v>
          </cell>
          <cell r="D1188">
            <v>5.0783969364418188E-3</v>
          </cell>
        </row>
        <row r="1189">
          <cell r="A1189">
            <v>43783</v>
          </cell>
          <cell r="C1189">
            <v>19729800</v>
          </cell>
          <cell r="D1189">
            <v>1.2817732593662708E-2</v>
          </cell>
        </row>
        <row r="1190">
          <cell r="A1190">
            <v>43784</v>
          </cell>
          <cell r="C1190">
            <v>23485700</v>
          </cell>
          <cell r="D1190">
            <v>2.4640959814730651E-3</v>
          </cell>
        </row>
        <row r="1191">
          <cell r="A1191">
            <v>43787</v>
          </cell>
          <cell r="C1191">
            <v>21534000</v>
          </cell>
          <cell r="D1191">
            <v>3.3243918593543536E-4</v>
          </cell>
        </row>
        <row r="1192">
          <cell r="A1192">
            <v>43788</v>
          </cell>
          <cell r="C1192">
            <v>23935700</v>
          </cell>
          <cell r="D1192">
            <v>-1.736229111529297E-3</v>
          </cell>
        </row>
        <row r="1193">
          <cell r="A1193">
            <v>43789</v>
          </cell>
          <cell r="C1193">
            <v>25696800</v>
          </cell>
          <cell r="D1193">
            <v>-9.361375470787165E-4</v>
          </cell>
        </row>
        <row r="1194">
          <cell r="A1194">
            <v>43790</v>
          </cell>
          <cell r="C1194">
            <v>18576100</v>
          </cell>
          <cell r="D1194">
            <v>7.3568509841542807E-4</v>
          </cell>
        </row>
        <row r="1195">
          <cell r="A1195">
            <v>43791</v>
          </cell>
          <cell r="C1195">
            <v>15901800</v>
          </cell>
          <cell r="D1195">
            <v>1.0903606944871795E-2</v>
          </cell>
        </row>
        <row r="1196">
          <cell r="A1196">
            <v>43794</v>
          </cell>
          <cell r="C1196">
            <v>22420900</v>
          </cell>
          <cell r="D1196">
            <v>5.2760141915134283E-3</v>
          </cell>
        </row>
        <row r="1197">
          <cell r="A1197">
            <v>43795</v>
          </cell>
          <cell r="C1197">
            <v>24620100</v>
          </cell>
          <cell r="D1197">
            <v>1.905733843007715E-3</v>
          </cell>
        </row>
        <row r="1198">
          <cell r="A1198">
            <v>43796</v>
          </cell>
          <cell r="C1198">
            <v>15184400</v>
          </cell>
          <cell r="D1198">
            <v>-6.1903358518056034E-3</v>
          </cell>
        </row>
        <row r="1199">
          <cell r="A1199">
            <v>43798</v>
          </cell>
          <cell r="C1199">
            <v>11977300</v>
          </cell>
          <cell r="D1199">
            <v>-1.2162425333414374E-2</v>
          </cell>
        </row>
        <row r="1200">
          <cell r="A1200">
            <v>43801</v>
          </cell>
          <cell r="C1200">
            <v>27418400</v>
          </cell>
          <cell r="D1200">
            <v>-1.6061219306411558E-3</v>
          </cell>
        </row>
        <row r="1201">
          <cell r="A1201">
            <v>43802</v>
          </cell>
          <cell r="C1201">
            <v>24066000</v>
          </cell>
          <cell r="D1201">
            <v>3.6101050122116563E-3</v>
          </cell>
        </row>
        <row r="1202">
          <cell r="A1202">
            <v>43803</v>
          </cell>
          <cell r="C1202">
            <v>17574700</v>
          </cell>
          <cell r="D1202">
            <v>5.3366398356303633E-4</v>
          </cell>
        </row>
        <row r="1203">
          <cell r="A1203">
            <v>43804</v>
          </cell>
          <cell r="C1203">
            <v>17869100</v>
          </cell>
          <cell r="D1203">
            <v>1.2065948939348536E-2</v>
          </cell>
        </row>
        <row r="1204">
          <cell r="A1204">
            <v>43805</v>
          </cell>
          <cell r="C1204">
            <v>16403500</v>
          </cell>
          <cell r="D1204">
            <v>-2.5732805451397288E-3</v>
          </cell>
        </row>
        <row r="1205">
          <cell r="A1205">
            <v>43808</v>
          </cell>
          <cell r="C1205">
            <v>16687400</v>
          </cell>
          <cell r="D1205">
            <v>-1.5206885046745193E-3</v>
          </cell>
        </row>
        <row r="1206">
          <cell r="A1206">
            <v>43809</v>
          </cell>
          <cell r="C1206">
            <v>16476100</v>
          </cell>
          <cell r="D1206">
            <v>3.7644175458049255E-3</v>
          </cell>
        </row>
        <row r="1207">
          <cell r="A1207">
            <v>43810</v>
          </cell>
          <cell r="C1207">
            <v>18856600</v>
          </cell>
          <cell r="D1207">
            <v>1.0100478702117228E-2</v>
          </cell>
        </row>
        <row r="1208">
          <cell r="A1208">
            <v>43811</v>
          </cell>
          <cell r="C1208">
            <v>24612100</v>
          </cell>
          <cell r="D1208">
            <v>8.3829185333905345E-3</v>
          </cell>
        </row>
        <row r="1209">
          <cell r="A1209">
            <v>43812</v>
          </cell>
          <cell r="C1209">
            <v>23845400</v>
          </cell>
          <cell r="D1209">
            <v>6.450341275007012E-3</v>
          </cell>
        </row>
        <row r="1210">
          <cell r="A1210">
            <v>43815</v>
          </cell>
          <cell r="C1210">
            <v>24144200</v>
          </cell>
          <cell r="D1210">
            <v>-5.415499821023578E-3</v>
          </cell>
        </row>
        <row r="1211">
          <cell r="A1211">
            <v>43816</v>
          </cell>
          <cell r="C1211">
            <v>25425600</v>
          </cell>
          <cell r="D1211">
            <v>-2.0707549142539067E-3</v>
          </cell>
        </row>
        <row r="1212">
          <cell r="A1212">
            <v>43817</v>
          </cell>
          <cell r="C1212">
            <v>24129200</v>
          </cell>
          <cell r="D1212">
            <v>8.6429785302158009E-3</v>
          </cell>
        </row>
        <row r="1213">
          <cell r="A1213">
            <v>43818</v>
          </cell>
          <cell r="C1213">
            <v>24958900</v>
          </cell>
          <cell r="D1213">
            <v>1.0858593252942904E-2</v>
          </cell>
        </row>
        <row r="1214">
          <cell r="A1214">
            <v>43819</v>
          </cell>
          <cell r="C1214">
            <v>53477500</v>
          </cell>
          <cell r="D1214">
            <v>0</v>
          </cell>
        </row>
        <row r="1215">
          <cell r="A1215">
            <v>43822</v>
          </cell>
          <cell r="C1215">
            <v>17718200</v>
          </cell>
          <cell r="D1215">
            <v>-1.9063331246448623E-4</v>
          </cell>
        </row>
        <row r="1216">
          <cell r="A1216">
            <v>43823</v>
          </cell>
          <cell r="C1216">
            <v>8989200</v>
          </cell>
          <cell r="D1216">
            <v>8.163297119355083E-3</v>
          </cell>
        </row>
        <row r="1217">
          <cell r="A1217">
            <v>43825</v>
          </cell>
          <cell r="C1217">
            <v>14520600</v>
          </cell>
          <cell r="D1217">
            <v>1.8260556693930486E-3</v>
          </cell>
        </row>
        <row r="1218">
          <cell r="A1218">
            <v>43826</v>
          </cell>
          <cell r="C1218">
            <v>18412800</v>
          </cell>
          <cell r="D1218">
            <v>-8.6558984729044851E-3</v>
          </cell>
        </row>
        <row r="1219">
          <cell r="A1219">
            <v>43829</v>
          </cell>
          <cell r="C1219">
            <v>16348400</v>
          </cell>
          <cell r="D1219">
            <v>6.9774256253380318E-4</v>
          </cell>
        </row>
        <row r="1220">
          <cell r="A1220">
            <v>43830</v>
          </cell>
          <cell r="C1220">
            <v>18369400</v>
          </cell>
          <cell r="D1220">
            <v>1.8346844990473156E-2</v>
          </cell>
        </row>
        <row r="1221">
          <cell r="A1221">
            <v>43832</v>
          </cell>
          <cell r="C1221">
            <v>22622100</v>
          </cell>
          <cell r="D1221">
            <v>-1.2529927727749029E-2</v>
          </cell>
        </row>
        <row r="1222">
          <cell r="A1222">
            <v>43833</v>
          </cell>
          <cell r="C1222">
            <v>21116200</v>
          </cell>
          <cell r="D1222">
            <v>2.5815020124543373E-3</v>
          </cell>
        </row>
        <row r="1223">
          <cell r="A1223">
            <v>43836</v>
          </cell>
          <cell r="C1223">
            <v>20813700</v>
          </cell>
          <cell r="D1223">
            <v>-9.1595639069953546E-3</v>
          </cell>
        </row>
        <row r="1224">
          <cell r="A1224">
            <v>43837</v>
          </cell>
          <cell r="C1224">
            <v>21634100</v>
          </cell>
          <cell r="D1224">
            <v>1.5802765517368859E-2</v>
          </cell>
        </row>
        <row r="1225">
          <cell r="A1225">
            <v>43838</v>
          </cell>
          <cell r="C1225">
            <v>27746500</v>
          </cell>
          <cell r="D1225">
            <v>1.2415585607978811E-2</v>
          </cell>
        </row>
        <row r="1226">
          <cell r="A1226">
            <v>43839</v>
          </cell>
          <cell r="C1226">
            <v>21385000</v>
          </cell>
          <cell r="D1226">
            <v>-4.6377845518562029E-3</v>
          </cell>
        </row>
        <row r="1227">
          <cell r="A1227">
            <v>43840</v>
          </cell>
          <cell r="C1227">
            <v>20725900</v>
          </cell>
          <cell r="D1227">
            <v>1.1952625186715126E-2</v>
          </cell>
        </row>
        <row r="1228">
          <cell r="A1228">
            <v>43843</v>
          </cell>
          <cell r="C1228">
            <v>21626500</v>
          </cell>
          <cell r="D1228">
            <v>-7.0680268140189597E-3</v>
          </cell>
        </row>
        <row r="1229">
          <cell r="A1229">
            <v>43844</v>
          </cell>
          <cell r="C1229">
            <v>23477400</v>
          </cell>
          <cell r="D1229">
            <v>6.4553673156894781E-3</v>
          </cell>
        </row>
        <row r="1230">
          <cell r="A1230">
            <v>43845</v>
          </cell>
          <cell r="C1230">
            <v>21417900</v>
          </cell>
          <cell r="D1230">
            <v>1.8157484634160032E-2</v>
          </cell>
        </row>
        <row r="1231">
          <cell r="A1231">
            <v>43846</v>
          </cell>
          <cell r="C1231">
            <v>23865400</v>
          </cell>
          <cell r="D1231">
            <v>5.5811245434041392E-3</v>
          </cell>
        </row>
        <row r="1232">
          <cell r="A1232">
            <v>43847</v>
          </cell>
          <cell r="C1232">
            <v>34371700</v>
          </cell>
          <cell r="D1232">
            <v>-3.597170392046932E-3</v>
          </cell>
        </row>
        <row r="1233">
          <cell r="A1233">
            <v>43851</v>
          </cell>
          <cell r="C1233">
            <v>29517200</v>
          </cell>
          <cell r="D1233">
            <v>-4.8163859365927099E-3</v>
          </cell>
        </row>
        <row r="1234">
          <cell r="A1234">
            <v>43852</v>
          </cell>
          <cell r="C1234">
            <v>24138800</v>
          </cell>
          <cell r="D1234">
            <v>6.1368667659409144E-3</v>
          </cell>
        </row>
        <row r="1235">
          <cell r="A1235">
            <v>43853</v>
          </cell>
          <cell r="C1235">
            <v>19680800</v>
          </cell>
          <cell r="D1235">
            <v>-1.0127927326078045E-2</v>
          </cell>
        </row>
        <row r="1236">
          <cell r="A1236">
            <v>43854</v>
          </cell>
          <cell r="C1236">
            <v>24918100</v>
          </cell>
          <cell r="D1236">
            <v>-1.68646619802846E-2</v>
          </cell>
        </row>
        <row r="1237">
          <cell r="A1237">
            <v>43857</v>
          </cell>
          <cell r="C1237">
            <v>32078100</v>
          </cell>
          <cell r="D1237">
            <v>1.9406346124821613E-2</v>
          </cell>
        </row>
        <row r="1238">
          <cell r="A1238">
            <v>43858</v>
          </cell>
          <cell r="C1238">
            <v>24899900</v>
          </cell>
          <cell r="D1238">
            <v>1.5472450759707724E-2</v>
          </cell>
        </row>
        <row r="1239">
          <cell r="A1239">
            <v>43859</v>
          </cell>
          <cell r="C1239">
            <v>34754500</v>
          </cell>
          <cell r="D1239">
            <v>2.7817113311197877E-2</v>
          </cell>
        </row>
        <row r="1240">
          <cell r="A1240">
            <v>43860</v>
          </cell>
          <cell r="C1240">
            <v>51597500</v>
          </cell>
          <cell r="D1240">
            <v>-1.4868686670493932E-2</v>
          </cell>
        </row>
        <row r="1241">
          <cell r="A1241">
            <v>43861</v>
          </cell>
          <cell r="C1241">
            <v>36142700</v>
          </cell>
          <cell r="D1241">
            <v>2.4086405521947303E-2</v>
          </cell>
        </row>
        <row r="1242">
          <cell r="A1242">
            <v>43864</v>
          </cell>
          <cell r="C1242">
            <v>30149100</v>
          </cell>
          <cell r="D1242">
            <v>3.2386471810172041E-2</v>
          </cell>
        </row>
        <row r="1243">
          <cell r="A1243">
            <v>43865</v>
          </cell>
          <cell r="C1243">
            <v>36433300</v>
          </cell>
          <cell r="D1243">
            <v>-1.2221838326176451E-3</v>
          </cell>
        </row>
        <row r="1244">
          <cell r="A1244">
            <v>43866</v>
          </cell>
          <cell r="C1244">
            <v>39186300</v>
          </cell>
          <cell r="D1244">
            <v>2.0521773925560313E-2</v>
          </cell>
        </row>
        <row r="1245">
          <cell r="A1245">
            <v>43867</v>
          </cell>
          <cell r="C1245">
            <v>27751400</v>
          </cell>
          <cell r="D1245">
            <v>1.4148904136295636E-3</v>
          </cell>
        </row>
        <row r="1246">
          <cell r="A1246">
            <v>43868</v>
          </cell>
          <cell r="C1246">
            <v>33529100</v>
          </cell>
          <cell r="D1246">
            <v>2.5820657313755321E-2</v>
          </cell>
        </row>
        <row r="1247">
          <cell r="A1247">
            <v>43871</v>
          </cell>
          <cell r="C1247">
            <v>35844300</v>
          </cell>
          <cell r="D1247">
            <v>-2.2834169270691044E-2</v>
          </cell>
        </row>
        <row r="1248">
          <cell r="A1248">
            <v>43872</v>
          </cell>
          <cell r="C1248">
            <v>53159900</v>
          </cell>
          <cell r="D1248">
            <v>1.4627738290391454E-3</v>
          </cell>
        </row>
        <row r="1249">
          <cell r="A1249">
            <v>43873</v>
          </cell>
          <cell r="C1249">
            <v>47062900</v>
          </cell>
          <cell r="D1249">
            <v>-5.4285562192109456E-3</v>
          </cell>
        </row>
        <row r="1250">
          <cell r="A1250">
            <v>43874</v>
          </cell>
          <cell r="C1250">
            <v>35295800</v>
          </cell>
          <cell r="D1250">
            <v>8.8874761576710985E-3</v>
          </cell>
        </row>
        <row r="1251">
          <cell r="A1251">
            <v>43875</v>
          </cell>
          <cell r="C1251">
            <v>23149500</v>
          </cell>
          <cell r="D1251">
            <v>1.0091872413502859E-2</v>
          </cell>
        </row>
        <row r="1252">
          <cell r="A1252">
            <v>43879</v>
          </cell>
          <cell r="C1252">
            <v>27792200</v>
          </cell>
          <cell r="D1252">
            <v>2.9946439491984286E-3</v>
          </cell>
        </row>
        <row r="1253">
          <cell r="A1253">
            <v>43880</v>
          </cell>
          <cell r="C1253">
            <v>29997500</v>
          </cell>
          <cell r="D1253">
            <v>-1.5389063576872562E-2</v>
          </cell>
        </row>
        <row r="1254">
          <cell r="A1254">
            <v>43881</v>
          </cell>
          <cell r="C1254">
            <v>36862400</v>
          </cell>
          <cell r="D1254">
            <v>-3.2123100830446727E-2</v>
          </cell>
        </row>
        <row r="1255">
          <cell r="A1255">
            <v>43882</v>
          </cell>
          <cell r="C1255">
            <v>48572600</v>
          </cell>
          <cell r="D1255">
            <v>-4.407258462863764E-2</v>
          </cell>
        </row>
        <row r="1256">
          <cell r="A1256">
            <v>43885</v>
          </cell>
          <cell r="C1256">
            <v>68311100</v>
          </cell>
          <cell r="D1256">
            <v>-1.663946786931287E-2</v>
          </cell>
        </row>
        <row r="1257">
          <cell r="A1257">
            <v>43886</v>
          </cell>
          <cell r="C1257">
            <v>68073300</v>
          </cell>
          <cell r="D1257">
            <v>1.241732469260521E-2</v>
          </cell>
        </row>
        <row r="1258">
          <cell r="A1258">
            <v>43887</v>
          </cell>
          <cell r="C1258">
            <v>56206100</v>
          </cell>
          <cell r="D1258">
            <v>-7.3064344792504315E-2</v>
          </cell>
        </row>
        <row r="1259">
          <cell r="A1259">
            <v>43888</v>
          </cell>
          <cell r="C1259">
            <v>93174900</v>
          </cell>
          <cell r="D1259">
            <v>2.3924450022145893E-2</v>
          </cell>
        </row>
        <row r="1260">
          <cell r="A1260">
            <v>43889</v>
          </cell>
          <cell r="C1260">
            <v>97073600</v>
          </cell>
          <cell r="D1260">
            <v>6.4418912953391971E-2</v>
          </cell>
        </row>
        <row r="1261">
          <cell r="A1261">
            <v>43892</v>
          </cell>
          <cell r="C1261">
            <v>71030800</v>
          </cell>
          <cell r="D1261">
            <v>-4.9105615575386584E-2</v>
          </cell>
        </row>
        <row r="1262">
          <cell r="A1262">
            <v>43893</v>
          </cell>
          <cell r="C1262">
            <v>71677000</v>
          </cell>
          <cell r="D1262">
            <v>3.6057198216764667E-2</v>
          </cell>
        </row>
        <row r="1263">
          <cell r="A1263">
            <v>43894</v>
          </cell>
          <cell r="C1263">
            <v>49814400</v>
          </cell>
          <cell r="D1263">
            <v>-2.541552934526008E-2</v>
          </cell>
        </row>
        <row r="1264">
          <cell r="A1264">
            <v>43895</v>
          </cell>
          <cell r="C1264">
            <v>47817300</v>
          </cell>
          <cell r="D1264">
            <v>-2.8674468495931204E-2</v>
          </cell>
        </row>
        <row r="1265">
          <cell r="A1265">
            <v>43896</v>
          </cell>
          <cell r="C1265">
            <v>72821100</v>
          </cell>
          <cell r="D1265">
            <v>-7.0178453136530497E-2</v>
          </cell>
        </row>
        <row r="1266">
          <cell r="A1266">
            <v>43899</v>
          </cell>
          <cell r="C1266">
            <v>70419300</v>
          </cell>
          <cell r="D1266">
            <v>6.6147259175969017E-2</v>
          </cell>
        </row>
        <row r="1267">
          <cell r="A1267">
            <v>43900</v>
          </cell>
          <cell r="C1267">
            <v>65354400</v>
          </cell>
          <cell r="D1267">
            <v>-4.636018796475655E-2</v>
          </cell>
        </row>
        <row r="1268">
          <cell r="A1268">
            <v>43901</v>
          </cell>
          <cell r="C1268">
            <v>56371600</v>
          </cell>
          <cell r="D1268">
            <v>-9.9641666399704232E-2</v>
          </cell>
        </row>
        <row r="1269">
          <cell r="A1269">
            <v>43902</v>
          </cell>
          <cell r="C1269">
            <v>93226400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A5A8538-60EF-4179-A497-0A95D8EB448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CCD6A5-28F6-421D-8F4C-1CE6176A0645}" name="S_P_500" displayName="S_P_500" ref="A1:G1269" tableType="queryTable" totalsRowShown="0">
  <autoFilter ref="A1:G1269" xr:uid="{D4B7E616-9165-4789-8FB4-EF69D00761A8}"/>
  <tableColumns count="7">
    <tableColumn id="1" xr3:uid="{A15762FE-5E86-447E-BB33-BEAB7C323DE6}" uniqueName="1" name="Date" queryTableFieldId="1" dataDxfId="5"/>
    <tableColumn id="2" xr3:uid="{3EE2821A-BD1B-4972-93A4-7394DCAF453A}" uniqueName="2" name="Open" queryTableFieldId="2" dataDxfId="4"/>
    <tableColumn id="3" xr3:uid="{74D36D38-F9E0-41E1-BF08-9ED54131CAE8}" uniqueName="3" name="High" queryTableFieldId="3" dataDxfId="3"/>
    <tableColumn id="4" xr3:uid="{DF0F53F3-D316-4F35-8C0F-D80AF1E636B3}" uniqueName="4" name="Low" queryTableFieldId="4" dataDxfId="2"/>
    <tableColumn id="5" xr3:uid="{02BB4AE5-0940-460B-A13F-B58CC525BDDB}" uniqueName="5" name="Close" queryTableFieldId="5" dataDxfId="1"/>
    <tableColumn id="6" xr3:uid="{14A02AEF-3ECD-4520-86F7-5EC9D5DD2837}" uniqueName="6" name="Adj Close" queryTableFieldId="6" dataDxfId="0"/>
    <tableColumn id="7" xr3:uid="{FABFFE38-F8FF-4653-B3D6-9F7BC6A117F6}" uniqueName="7" name="Volu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L28"/>
  <sheetViews>
    <sheetView workbookViewId="0">
      <selection activeCell="D9" sqref="D9:J20"/>
    </sheetView>
  </sheetViews>
  <sheetFormatPr baseColWidth="10" defaultColWidth="11.1640625" defaultRowHeight="16"/>
  <cols>
    <col min="2" max="2" width="12.6640625" bestFit="1" customWidth="1"/>
  </cols>
  <sheetData>
    <row r="1" spans="1:12">
      <c r="A1" s="5" t="s">
        <v>4</v>
      </c>
      <c r="B1" s="5" t="s">
        <v>5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>
      <c r="A2" s="5" t="s">
        <v>6</v>
      </c>
      <c r="B2" s="5" t="s">
        <v>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>
      <c r="A3" s="5" t="s">
        <v>8</v>
      </c>
      <c r="B3" s="5" t="s">
        <v>9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F20" sqref="F20"/>
    </sheetView>
  </sheetViews>
  <sheetFormatPr baseColWidth="10" defaultColWidth="11.1640625" defaultRowHeight="16"/>
  <cols>
    <col min="1" max="1" width="22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10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27</v>
      </c>
    </row>
    <row r="17" spans="1:9">
      <c r="A17" t="s">
        <v>11</v>
      </c>
    </row>
    <row r="18" spans="1:9">
      <c r="A18" t="s">
        <v>22</v>
      </c>
      <c r="B18">
        <v>50</v>
      </c>
    </row>
    <row r="19" spans="1:9">
      <c r="A19" t="s">
        <v>23</v>
      </c>
      <c r="B19" s="1">
        <v>0.1</v>
      </c>
    </row>
    <row r="20" spans="1:9">
      <c r="A20" t="s">
        <v>24</v>
      </c>
      <c r="B20">
        <f>B18*(1+B19)^5</f>
        <v>80.525500000000022</v>
      </c>
    </row>
    <row r="23" spans="1:9">
      <c r="A23" t="s">
        <v>25</v>
      </c>
      <c r="B23" s="1">
        <v>0.04</v>
      </c>
    </row>
    <row r="24" spans="1:9">
      <c r="A24" t="s">
        <v>26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topLeftCell="A2" workbookViewId="0">
      <selection activeCell="M6" sqref="M6:M7"/>
    </sheetView>
  </sheetViews>
  <sheetFormatPr baseColWidth="10" defaultColWidth="11.1640625" defaultRowHeight="16"/>
  <cols>
    <col min="3" max="3" width="15.1640625" bestFit="1" customWidth="1"/>
    <col min="8" max="8" width="12.6640625" bestFit="1" customWidth="1"/>
    <col min="14" max="14" width="11.6640625" bestFit="1" customWidth="1"/>
    <col min="15" max="24" width="12.6640625" bestFit="1" customWidth="1"/>
  </cols>
  <sheetData>
    <row r="2" spans="2:24">
      <c r="B2" t="s">
        <v>40</v>
      </c>
      <c r="C2" s="11">
        <v>10000</v>
      </c>
      <c r="F2" t="s">
        <v>41</v>
      </c>
      <c r="G2" s="11">
        <f>NPV(C4,C11:C30)+C10</f>
        <v>-706376.13439756352</v>
      </c>
    </row>
    <row r="3" spans="2:24">
      <c r="B3" t="s">
        <v>42</v>
      </c>
      <c r="C3" s="2">
        <v>0.05</v>
      </c>
      <c r="F3" t="s">
        <v>43</v>
      </c>
      <c r="G3" s="12">
        <f>IRR(C10:C30)</f>
        <v>-7.9699820715329772E-2</v>
      </c>
    </row>
    <row r="4" spans="2:24">
      <c r="B4" t="s">
        <v>44</v>
      </c>
      <c r="C4" s="2">
        <v>0.01</v>
      </c>
    </row>
    <row r="5" spans="2:24" ht="15.5" customHeight="1">
      <c r="B5" t="s">
        <v>45</v>
      </c>
      <c r="C5">
        <v>20</v>
      </c>
    </row>
    <row r="6" spans="2:24" ht="15.5" customHeight="1">
      <c r="B6" t="s">
        <v>46</v>
      </c>
      <c r="C6" s="11">
        <v>1000000</v>
      </c>
      <c r="F6" s="19" t="s">
        <v>47</v>
      </c>
      <c r="M6" s="19" t="s">
        <v>48</v>
      </c>
    </row>
    <row r="7" spans="2:24">
      <c r="F7" s="19"/>
      <c r="H7" t="s">
        <v>41</v>
      </c>
      <c r="I7" t="s">
        <v>43</v>
      </c>
      <c r="M7" s="19"/>
      <c r="O7" t="s">
        <v>49</v>
      </c>
    </row>
    <row r="8" spans="2:24">
      <c r="H8" s="13">
        <f>G2</f>
        <v>-706376.13439756352</v>
      </c>
      <c r="I8" s="14">
        <f>G3</f>
        <v>-7.9699820715329772E-2</v>
      </c>
      <c r="N8" s="11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50</v>
      </c>
      <c r="C9" t="s">
        <v>51</v>
      </c>
      <c r="F9" t="s">
        <v>23</v>
      </c>
      <c r="G9" s="2">
        <v>0.01</v>
      </c>
      <c r="H9" s="11">
        <f t="dataTable" ref="H9:I18" dt2D="0" dtr="0" r1="C3" ca="1"/>
        <v>-801980.19801980199</v>
      </c>
      <c r="I9" s="15">
        <v>-0.11237023581907013</v>
      </c>
      <c r="M9" t="s">
        <v>23</v>
      </c>
      <c r="N9" s="2">
        <v>0.01</v>
      </c>
      <c r="O9" s="11">
        <f t="dataTable" ref="O9:X18" dt2D="1" dtr="1" r1="C4" r2="C3"/>
        <v>-801980.19801980199</v>
      </c>
      <c r="P9" s="11">
        <v>-821152.91782895732</v>
      </c>
      <c r="Q9" s="11">
        <v>-837794.82030942221</v>
      </c>
      <c r="R9" s="11">
        <v>-852292.93537236191</v>
      </c>
      <c r="S9" s="11">
        <v>-864969.19829069381</v>
      </c>
      <c r="T9" s="11">
        <v>-876092.20443101926</v>
      </c>
      <c r="U9" s="11">
        <v>-885886.71556112811</v>
      </c>
      <c r="V9" s="11">
        <v>-894541.36939473159</v>
      </c>
      <c r="W9" s="11">
        <v>-902214.94931642199</v>
      </c>
      <c r="X9" s="11">
        <v>-909041.4971574212</v>
      </c>
    </row>
    <row r="10" spans="2:24">
      <c r="B10">
        <v>0</v>
      </c>
      <c r="C10" s="11">
        <f>-C6</f>
        <v>-1000000</v>
      </c>
      <c r="G10" s="2">
        <v>0.02</v>
      </c>
      <c r="H10" s="11">
        <v>-782200.02841383603</v>
      </c>
      <c r="I10" s="15">
        <v>-0.10419539360566998</v>
      </c>
      <c r="N10" s="2">
        <v>0.02</v>
      </c>
      <c r="O10" s="11">
        <v>-782200.02841383603</v>
      </c>
      <c r="P10" s="11">
        <v>-803921.56862745096</v>
      </c>
      <c r="Q10" s="11">
        <v>-822733.04514953564</v>
      </c>
      <c r="R10" s="11">
        <v>-839083.49713316187</v>
      </c>
      <c r="S10" s="11">
        <v>-853345.98188225471</v>
      </c>
      <c r="T10" s="11">
        <v>-865831.35549252992</v>
      </c>
      <c r="U10" s="11">
        <v>-876799.40886051836</v>
      </c>
      <c r="V10" s="11">
        <v>-886467.89168398036</v>
      </c>
      <c r="W10" s="11">
        <v>-895019.8451477231</v>
      </c>
      <c r="X10" s="11">
        <v>-902609.57649890648</v>
      </c>
    </row>
    <row r="11" spans="2:24">
      <c r="B11">
        <v>1</v>
      </c>
      <c r="C11" s="11">
        <f>C2</f>
        <v>10000</v>
      </c>
      <c r="G11" s="2">
        <v>0.03</v>
      </c>
      <c r="H11" s="11">
        <v>-759905.7624063082</v>
      </c>
      <c r="I11" s="15">
        <v>-9.6025411411535644E-2</v>
      </c>
      <c r="N11" s="2">
        <v>0.03</v>
      </c>
      <c r="O11" s="11">
        <v>-759905.7624063082</v>
      </c>
      <c r="P11" s="11">
        <v>-784538.91466308455</v>
      </c>
      <c r="Q11" s="11">
        <v>-805825.24271844665</v>
      </c>
      <c r="R11" s="11">
        <v>-824285.59089061967</v>
      </c>
      <c r="S11" s="11">
        <v>-840352.16462283616</v>
      </c>
      <c r="T11" s="11">
        <v>-854384.67341732862</v>
      </c>
      <c r="U11" s="11">
        <v>-866683.36605854891</v>
      </c>
      <c r="V11" s="11">
        <v>-877499.58555413014</v>
      </c>
      <c r="W11" s="11">
        <v>-887044.33910796884</v>
      </c>
      <c r="X11" s="11">
        <v>-895495.2752194897</v>
      </c>
    </row>
    <row r="12" spans="2:24">
      <c r="B12">
        <v>2</v>
      </c>
      <c r="C12" s="11">
        <f>C11*(1+$C$3)</f>
        <v>10500</v>
      </c>
      <c r="G12" s="2">
        <v>0.04</v>
      </c>
      <c r="H12" s="11">
        <v>-734759.04809962853</v>
      </c>
      <c r="I12" s="15">
        <v>-8.7860237382852757E-2</v>
      </c>
      <c r="N12" s="2">
        <v>0.04</v>
      </c>
      <c r="O12" s="11">
        <v>-734759.04809962853</v>
      </c>
      <c r="P12" s="11">
        <v>-762718.46871444117</v>
      </c>
      <c r="Q12" s="11">
        <v>-786828.2412658392</v>
      </c>
      <c r="R12" s="11">
        <v>-807692.30769230775</v>
      </c>
      <c r="S12" s="11">
        <v>-825811.26828892948</v>
      </c>
      <c r="T12" s="11">
        <v>-841601.27659365733</v>
      </c>
      <c r="U12" s="11">
        <v>-855409.28588836209</v>
      </c>
      <c r="V12" s="11">
        <v>-867525.3856348407</v>
      </c>
      <c r="W12" s="11">
        <v>-878192.81040679419</v>
      </c>
      <c r="X12" s="11">
        <v>-887616.08223802538</v>
      </c>
    </row>
    <row r="13" spans="2:24">
      <c r="B13">
        <v>3</v>
      </c>
      <c r="C13" s="11">
        <f t="shared" ref="C13:C30" si="0">C12*(1+$C$3)</f>
        <v>11025</v>
      </c>
      <c r="G13" s="2">
        <v>0.05</v>
      </c>
      <c r="H13" s="11">
        <v>-706376.13439756352</v>
      </c>
      <c r="I13" s="15">
        <v>-7.9699820715329772E-2</v>
      </c>
      <c r="N13" s="2">
        <v>0.05</v>
      </c>
      <c r="O13" s="11">
        <v>-706376.13439756352</v>
      </c>
      <c r="P13" s="11">
        <v>-738135.56874546979</v>
      </c>
      <c r="Q13" s="11">
        <v>-765466.69601164595</v>
      </c>
      <c r="R13" s="11">
        <v>-789069.56298624084</v>
      </c>
      <c r="S13" s="11">
        <v>-809523.80952380947</v>
      </c>
      <c r="T13" s="11">
        <v>-827310.76630003098</v>
      </c>
      <c r="U13" s="11">
        <v>-842831.27356587374</v>
      </c>
      <c r="V13" s="11">
        <v>-856420.08878267766</v>
      </c>
      <c r="W13" s="11">
        <v>-868357.56759654172</v>
      </c>
      <c r="X13" s="11">
        <v>-878879.15942416037</v>
      </c>
    </row>
    <row r="14" spans="2:24">
      <c r="B14">
        <v>4</v>
      </c>
      <c r="C14" s="11">
        <f t="shared" si="0"/>
        <v>11576.25</v>
      </c>
      <c r="G14" s="2">
        <v>0.06</v>
      </c>
      <c r="H14" s="11">
        <v>-674321.97162507428</v>
      </c>
      <c r="I14" s="15">
        <v>-7.1544111623177975E-2</v>
      </c>
      <c r="N14" s="2">
        <v>0.06</v>
      </c>
      <c r="O14" s="11">
        <v>-674321.97162507428</v>
      </c>
      <c r="P14" s="11">
        <v>-710422.4414516954</v>
      </c>
      <c r="Q14" s="11">
        <v>-741428.94954826869</v>
      </c>
      <c r="R14" s="11">
        <v>-768152.61789146985</v>
      </c>
      <c r="S14" s="11">
        <v>-791264.37037404405</v>
      </c>
      <c r="T14" s="11">
        <v>-811320.7547169812</v>
      </c>
      <c r="U14" s="11">
        <v>-828784.75061822939</v>
      </c>
      <c r="V14" s="11">
        <v>-844042.58323261444</v>
      </c>
      <c r="W14" s="11">
        <v>-857417.34531973663</v>
      </c>
      <c r="X14" s="11">
        <v>-869180.06303866068</v>
      </c>
    </row>
    <row r="15" spans="2:24">
      <c r="B15">
        <v>5</v>
      </c>
      <c r="C15" s="11">
        <f t="shared" si="0"/>
        <v>12155.0625</v>
      </c>
      <c r="G15" s="2">
        <v>7.0000000000000007E-2</v>
      </c>
      <c r="H15" s="11">
        <v>-638103.58280321676</v>
      </c>
      <c r="I15" s="15">
        <v>-6.3393061309288901E-2</v>
      </c>
      <c r="N15" s="2">
        <v>7.0000000000000007E-2</v>
      </c>
      <c r="O15" s="11">
        <v>-638103.58280321676</v>
      </c>
      <c r="P15" s="11">
        <v>-679162.65771462757</v>
      </c>
      <c r="Q15" s="11">
        <v>-714362.38419245579</v>
      </c>
      <c r="R15" s="11">
        <v>-744642.17513444752</v>
      </c>
      <c r="S15" s="11">
        <v>-770778.31202594913</v>
      </c>
      <c r="T15" s="11">
        <v>-793414.09303917189</v>
      </c>
      <c r="U15" s="11">
        <v>-813084.11214953265</v>
      </c>
      <c r="V15" s="11">
        <v>-830233.8646457406</v>
      </c>
      <c r="W15" s="11">
        <v>-845235.62090901169</v>
      </c>
      <c r="X15" s="11">
        <v>-858401.31260420138</v>
      </c>
    </row>
    <row r="16" spans="2:24">
      <c r="B16">
        <v>6</v>
      </c>
      <c r="C16" s="11">
        <f t="shared" si="0"/>
        <v>12762.815625000001</v>
      </c>
      <c r="G16" s="2">
        <v>0.08</v>
      </c>
      <c r="H16" s="11">
        <v>-597162.62089702673</v>
      </c>
      <c r="I16" s="15">
        <v>-5.5246621936554829E-2</v>
      </c>
      <c r="N16" s="2">
        <v>0.08</v>
      </c>
      <c r="O16" s="11">
        <v>-597162.62089702673</v>
      </c>
      <c r="P16" s="11">
        <v>-643884.90955736814</v>
      </c>
      <c r="Q16" s="11">
        <v>-683868.20762981032</v>
      </c>
      <c r="R16" s="11">
        <v>-718200.00068587973</v>
      </c>
      <c r="S16" s="11">
        <v>-747778.09078713937</v>
      </c>
      <c r="T16" s="11">
        <v>-773345.76536716172</v>
      </c>
      <c r="U16" s="11">
        <v>-795520.10272828571</v>
      </c>
      <c r="V16" s="11">
        <v>-814814.81481481483</v>
      </c>
      <c r="W16" s="11">
        <v>-831658.73041404586</v>
      </c>
      <c r="X16" s="11">
        <v>-846410.78996340546</v>
      </c>
    </row>
    <row r="17" spans="2:24">
      <c r="B17">
        <v>7</v>
      </c>
      <c r="C17" s="11">
        <f t="shared" si="0"/>
        <v>13400.956406250001</v>
      </c>
      <c r="G17" s="2">
        <v>0.09</v>
      </c>
      <c r="H17" s="11">
        <v>-550867.01822106261</v>
      </c>
      <c r="I17" s="15">
        <v>-4.7104746600277525E-2</v>
      </c>
      <c r="N17" s="2">
        <v>0.09</v>
      </c>
      <c r="O17" s="11">
        <v>-550867.01822106261</v>
      </c>
      <c r="P17" s="11">
        <v>-604056.03061758401</v>
      </c>
      <c r="Q17" s="11">
        <v>-649495.60689672292</v>
      </c>
      <c r="R17" s="11">
        <v>-688444.01688720484</v>
      </c>
      <c r="S17" s="11">
        <v>-721939.13098104065</v>
      </c>
      <c r="T17" s="11">
        <v>-750839.41039848607</v>
      </c>
      <c r="U17" s="11">
        <v>-775856.87901571277</v>
      </c>
      <c r="V17" s="11">
        <v>-797583.71621717419</v>
      </c>
      <c r="W17" s="11">
        <v>-816513.76146788988</v>
      </c>
      <c r="X17" s="11">
        <v>-833059.94946014206</v>
      </c>
    </row>
    <row r="18" spans="2:24">
      <c r="B18">
        <v>8</v>
      </c>
      <c r="C18" s="11">
        <f t="shared" si="0"/>
        <v>14071.004226562502</v>
      </c>
      <c r="G18" s="2">
        <v>0.1</v>
      </c>
      <c r="H18" s="11">
        <v>-498501.6241484182</v>
      </c>
      <c r="I18" s="15">
        <v>-3.8967389301613364E-2</v>
      </c>
      <c r="N18" s="2">
        <v>0.1</v>
      </c>
      <c r="O18" s="11">
        <v>-498501.6241484182</v>
      </c>
      <c r="P18" s="11">
        <v>-559073.17382724467</v>
      </c>
      <c r="Q18" s="11">
        <v>-610735.19882408821</v>
      </c>
      <c r="R18" s="11">
        <v>-654942.80709298979</v>
      </c>
      <c r="S18" s="11">
        <v>-692895.20461410703</v>
      </c>
      <c r="T18" s="11">
        <v>-725583.42891859566</v>
      </c>
      <c r="U18" s="11">
        <v>-753828.72388830862</v>
      </c>
      <c r="V18" s="11">
        <v>-778313.47278065491</v>
      </c>
      <c r="W18" s="11">
        <v>-799606.19803167554</v>
      </c>
      <c r="X18" s="11">
        <v>-818181.81818181823</v>
      </c>
    </row>
    <row r="19" spans="2:24">
      <c r="B19">
        <v>9</v>
      </c>
      <c r="C19" s="11">
        <f t="shared" si="0"/>
        <v>14774.554437890627</v>
      </c>
    </row>
    <row r="20" spans="2:24">
      <c r="B20">
        <v>10</v>
      </c>
      <c r="C20" s="11">
        <f t="shared" si="0"/>
        <v>15513.28215978516</v>
      </c>
    </row>
    <row r="21" spans="2:24">
      <c r="B21">
        <v>11</v>
      </c>
      <c r="C21" s="11">
        <f t="shared" si="0"/>
        <v>16288.946267774418</v>
      </c>
    </row>
    <row r="22" spans="2:24">
      <c r="B22">
        <v>12</v>
      </c>
      <c r="C22" s="11">
        <f t="shared" si="0"/>
        <v>17103.393581163138</v>
      </c>
    </row>
    <row r="23" spans="2:24">
      <c r="B23">
        <v>13</v>
      </c>
      <c r="C23" s="11">
        <f t="shared" si="0"/>
        <v>17958.563260221297</v>
      </c>
    </row>
    <row r="24" spans="2:24">
      <c r="B24">
        <v>14</v>
      </c>
      <c r="C24" s="11">
        <f t="shared" si="0"/>
        <v>18856.491423232364</v>
      </c>
    </row>
    <row r="25" spans="2:24">
      <c r="B25">
        <v>15</v>
      </c>
      <c r="C25" s="11">
        <f t="shared" si="0"/>
        <v>19799.315994393983</v>
      </c>
    </row>
    <row r="26" spans="2:24">
      <c r="B26">
        <v>16</v>
      </c>
      <c r="C26" s="11">
        <f t="shared" si="0"/>
        <v>20789.281794113682</v>
      </c>
    </row>
    <row r="27" spans="2:24">
      <c r="B27">
        <v>17</v>
      </c>
      <c r="C27" s="11">
        <f t="shared" si="0"/>
        <v>21828.745883819367</v>
      </c>
    </row>
    <row r="28" spans="2:24">
      <c r="B28">
        <v>18</v>
      </c>
      <c r="C28" s="11">
        <f t="shared" si="0"/>
        <v>22920.183178010335</v>
      </c>
    </row>
    <row r="29" spans="2:24">
      <c r="B29">
        <v>19</v>
      </c>
      <c r="C29" s="11">
        <f t="shared" si="0"/>
        <v>24066.192336910852</v>
      </c>
    </row>
    <row r="30" spans="2:24">
      <c r="B30">
        <v>20</v>
      </c>
      <c r="C30" s="11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2" sqref="B2"/>
    </sheetView>
  </sheetViews>
  <sheetFormatPr baseColWidth="10" defaultColWidth="11.1640625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14</v>
      </c>
      <c r="B1" t="s">
        <v>15</v>
      </c>
      <c r="C1" t="s">
        <v>16</v>
      </c>
    </row>
    <row r="2" spans="1:3">
      <c r="A2" t="s">
        <v>17</v>
      </c>
      <c r="B2" s="2">
        <v>0.35</v>
      </c>
      <c r="C2">
        <v>8</v>
      </c>
    </row>
    <row r="3" spans="1:3">
      <c r="A3" t="s">
        <v>18</v>
      </c>
      <c r="B3" s="2">
        <v>0.3</v>
      </c>
      <c r="C3">
        <v>4</v>
      </c>
    </row>
    <row r="4" spans="1:3">
      <c r="A4" t="s">
        <v>19</v>
      </c>
      <c r="B4" s="2">
        <v>0.35</v>
      </c>
      <c r="C4">
        <v>3</v>
      </c>
    </row>
    <row r="5" spans="1:3">
      <c r="B5" s="2"/>
    </row>
    <row r="6" spans="1:3">
      <c r="A6" t="s">
        <v>20</v>
      </c>
      <c r="B6" s="2">
        <v>0.02</v>
      </c>
    </row>
    <row r="8" spans="1:3">
      <c r="A8" t="s">
        <v>21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82F3-825B-497F-A6F1-203F827D0A70}">
  <sheetPr codeName="Sheet6"/>
  <dimension ref="A1:Q1275"/>
  <sheetViews>
    <sheetView workbookViewId="0">
      <selection activeCell="B7" sqref="B7"/>
    </sheetView>
  </sheetViews>
  <sheetFormatPr baseColWidth="10" defaultColWidth="8.83203125" defaultRowHeight="16"/>
  <cols>
    <col min="1" max="1" width="16.1640625" customWidth="1"/>
    <col min="2" max="2" width="11.33203125" bestFit="1" customWidth="1"/>
    <col min="3" max="3" width="9.83203125" bestFit="1" customWidth="1"/>
    <col min="4" max="6" width="9.83203125" customWidth="1"/>
    <col min="7" max="7" width="11.33203125" bestFit="1" customWidth="1"/>
    <col min="8" max="8" width="10.83203125" bestFit="1" customWidth="1"/>
    <col min="9" max="9" width="9.83203125" customWidth="1"/>
    <col min="17" max="17" width="12.5" bestFit="1" customWidth="1"/>
  </cols>
  <sheetData>
    <row r="1" spans="1:17">
      <c r="A1" t="s">
        <v>1265</v>
      </c>
      <c r="G1" t="s">
        <v>5928</v>
      </c>
    </row>
    <row r="2" spans="1:17">
      <c r="A2" t="s">
        <v>52</v>
      </c>
      <c r="B2" t="s">
        <v>57</v>
      </c>
      <c r="C2" t="s">
        <v>58</v>
      </c>
      <c r="D2" t="s">
        <v>1266</v>
      </c>
      <c r="G2" t="s">
        <v>57</v>
      </c>
      <c r="H2" t="s">
        <v>58</v>
      </c>
      <c r="J2" t="s">
        <v>1266</v>
      </c>
      <c r="K2" t="s">
        <v>5929</v>
      </c>
      <c r="N2" t="s">
        <v>1268</v>
      </c>
      <c r="O2" t="s">
        <v>1269</v>
      </c>
      <c r="P2" t="s">
        <v>1270</v>
      </c>
      <c r="Q2" t="s">
        <v>5930</v>
      </c>
    </row>
    <row r="3" spans="1:17">
      <c r="A3" s="16">
        <v>42065</v>
      </c>
      <c r="B3" s="17" t="s">
        <v>59</v>
      </c>
      <c r="C3">
        <v>31924000</v>
      </c>
      <c r="G3" s="17" t="s">
        <v>1274</v>
      </c>
      <c r="H3">
        <v>3409490000</v>
      </c>
      <c r="M3" t="s">
        <v>1267</v>
      </c>
      <c r="N3">
        <f>COVAR(lnM,lnSP)/VAR(lnSP)</f>
        <v>1.2587857978515968</v>
      </c>
      <c r="O3">
        <f>SLOPE(lnM,lnSP)</f>
        <v>1.2597793146612655</v>
      </c>
      <c r="P3">
        <f>INTERCEPT(lnM,lnSP)</f>
        <v>8.5057035809936953E-4</v>
      </c>
      <c r="Q3">
        <f t="array" ref="Q3">MMULT(MINVERSE(MMULT(TRANSPOSE(lnSP),lnSP)),MMULT(TRANSPOSE(lnSP),lnM))</f>
        <v>1.261415646625935</v>
      </c>
    </row>
    <row r="4" spans="1:17">
      <c r="A4" s="16">
        <v>42066</v>
      </c>
      <c r="B4" s="17" t="s">
        <v>60</v>
      </c>
      <c r="C4">
        <v>31748600</v>
      </c>
      <c r="D4">
        <f>LN(B4/B3)</f>
        <v>-1.3768311448059681E-2</v>
      </c>
      <c r="G4" s="17" t="s">
        <v>1277</v>
      </c>
      <c r="H4">
        <v>3262300000</v>
      </c>
      <c r="J4">
        <f>LN(G4/G3)</f>
        <v>-4.5488729439078276E-3</v>
      </c>
      <c r="K4">
        <v>1</v>
      </c>
    </row>
    <row r="5" spans="1:17">
      <c r="A5" s="16">
        <v>42067</v>
      </c>
      <c r="B5" s="17" t="s">
        <v>61</v>
      </c>
      <c r="C5">
        <v>25748700</v>
      </c>
      <c r="D5">
        <f t="shared" ref="D5:D68" si="0">LN(B5/B4)</f>
        <v>-5.0961788074067507E-3</v>
      </c>
      <c r="G5" s="17" t="s">
        <v>1280</v>
      </c>
      <c r="H5">
        <v>3421110000</v>
      </c>
      <c r="J5">
        <f t="shared" ref="J5:J68" si="1">LN(G5/G4)</f>
        <v>-4.3981612307754693E-3</v>
      </c>
      <c r="K5">
        <v>1</v>
      </c>
    </row>
    <row r="6" spans="1:17">
      <c r="A6" s="16">
        <v>42068</v>
      </c>
      <c r="B6" s="17" t="s">
        <v>62</v>
      </c>
      <c r="C6">
        <v>23193500</v>
      </c>
      <c r="D6">
        <f t="shared" si="0"/>
        <v>1.1607483086424407E-3</v>
      </c>
      <c r="G6" s="17" t="s">
        <v>1284</v>
      </c>
      <c r="H6">
        <v>3103030000</v>
      </c>
      <c r="J6">
        <f t="shared" si="1"/>
        <v>1.1953653627569873E-3</v>
      </c>
      <c r="K6">
        <v>1</v>
      </c>
      <c r="M6" t="s">
        <v>5931</v>
      </c>
      <c r="N6">
        <f>STDEV(lnM)</f>
        <v>1.5832425750335565E-2</v>
      </c>
    </row>
    <row r="7" spans="1:17">
      <c r="A7" s="16">
        <v>42069</v>
      </c>
      <c r="B7" s="17" t="s">
        <v>63</v>
      </c>
      <c r="C7">
        <v>36248800</v>
      </c>
      <c r="D7">
        <f t="shared" si="0"/>
        <v>-1.7550532558731884E-2</v>
      </c>
      <c r="G7" s="17" t="s">
        <v>1287</v>
      </c>
      <c r="H7">
        <v>3853570000</v>
      </c>
      <c r="J7">
        <f t="shared" si="1"/>
        <v>-1.4275356219564148E-2</v>
      </c>
      <c r="K7">
        <v>1</v>
      </c>
    </row>
    <row r="8" spans="1:17">
      <c r="A8" s="16">
        <v>42072</v>
      </c>
      <c r="B8" s="17" t="s">
        <v>64</v>
      </c>
      <c r="C8">
        <v>32108000</v>
      </c>
      <c r="D8">
        <f t="shared" si="0"/>
        <v>1.1501137740280422E-2</v>
      </c>
      <c r="G8" s="17" t="s">
        <v>1291</v>
      </c>
      <c r="H8">
        <v>3349090000</v>
      </c>
      <c r="J8">
        <f t="shared" si="1"/>
        <v>3.9366624176442495E-3</v>
      </c>
      <c r="K8">
        <v>1</v>
      </c>
    </row>
    <row r="9" spans="1:17">
      <c r="A9" s="16">
        <v>42073</v>
      </c>
      <c r="B9" s="17" t="s">
        <v>65</v>
      </c>
      <c r="C9">
        <v>39159700</v>
      </c>
      <c r="D9">
        <f t="shared" si="0"/>
        <v>-1.9322169458859333E-2</v>
      </c>
      <c r="G9" s="17" t="s">
        <v>1293</v>
      </c>
      <c r="H9">
        <v>3668900000</v>
      </c>
      <c r="J9">
        <f t="shared" si="1"/>
        <v>-1.7106821197868119E-2</v>
      </c>
      <c r="K9">
        <v>1</v>
      </c>
    </row>
    <row r="10" spans="1:17">
      <c r="A10" s="16">
        <v>42074</v>
      </c>
      <c r="B10" s="17" t="s">
        <v>66</v>
      </c>
      <c r="C10">
        <v>32215300</v>
      </c>
      <c r="D10">
        <f t="shared" si="0"/>
        <v>-1.1902758294672618E-3</v>
      </c>
      <c r="G10" s="17" t="s">
        <v>1297</v>
      </c>
      <c r="H10">
        <v>3406570000</v>
      </c>
      <c r="J10">
        <f t="shared" si="1"/>
        <v>-1.9195207034580692E-3</v>
      </c>
      <c r="K10">
        <v>1</v>
      </c>
    </row>
    <row r="11" spans="1:17">
      <c r="A11" s="16">
        <v>42075</v>
      </c>
      <c r="B11" s="17" t="s">
        <v>67</v>
      </c>
      <c r="C11">
        <v>59992500</v>
      </c>
      <c r="D11">
        <f t="shared" si="0"/>
        <v>-2.3133421658477208E-2</v>
      </c>
      <c r="G11" s="17" t="s">
        <v>1300</v>
      </c>
      <c r="H11">
        <v>3405860000</v>
      </c>
      <c r="J11">
        <f t="shared" si="1"/>
        <v>1.2522702237719055E-2</v>
      </c>
      <c r="K11">
        <v>1</v>
      </c>
    </row>
    <row r="12" spans="1:17">
      <c r="A12" s="16">
        <v>42076</v>
      </c>
      <c r="B12" s="17" t="s">
        <v>68</v>
      </c>
      <c r="C12">
        <v>58007700</v>
      </c>
      <c r="D12">
        <f t="shared" si="0"/>
        <v>8.7379601820990593E-3</v>
      </c>
      <c r="G12" s="17" t="s">
        <v>1303</v>
      </c>
      <c r="H12">
        <v>3498560000</v>
      </c>
      <c r="J12">
        <f t="shared" si="1"/>
        <v>-6.0932371744078879E-3</v>
      </c>
      <c r="K12">
        <v>1</v>
      </c>
    </row>
    <row r="13" spans="1:17">
      <c r="A13" s="16">
        <v>42079</v>
      </c>
      <c r="B13" s="17" t="s">
        <v>69</v>
      </c>
      <c r="C13">
        <v>35273500</v>
      </c>
      <c r="D13">
        <f t="shared" si="0"/>
        <v>4.3403004236584374E-3</v>
      </c>
      <c r="G13" s="17" t="s">
        <v>1306</v>
      </c>
      <c r="H13">
        <v>3295600000</v>
      </c>
      <c r="J13">
        <f t="shared" si="1"/>
        <v>1.3442908996060394E-2</v>
      </c>
      <c r="K13">
        <v>1</v>
      </c>
    </row>
    <row r="14" spans="1:17">
      <c r="A14" s="16">
        <v>42080</v>
      </c>
      <c r="B14" s="17" t="s">
        <v>70</v>
      </c>
      <c r="C14">
        <v>31673400</v>
      </c>
      <c r="D14">
        <f t="shared" si="0"/>
        <v>3.3629668996688635E-3</v>
      </c>
      <c r="G14" s="17" t="s">
        <v>1309</v>
      </c>
      <c r="H14">
        <v>3221840000</v>
      </c>
      <c r="J14">
        <f t="shared" si="1"/>
        <v>-3.3256976557031678E-3</v>
      </c>
      <c r="K14">
        <v>1</v>
      </c>
    </row>
    <row r="15" spans="1:17">
      <c r="A15" s="16">
        <v>42081</v>
      </c>
      <c r="B15" s="17" t="s">
        <v>71</v>
      </c>
      <c r="C15">
        <v>44194800</v>
      </c>
      <c r="D15">
        <f t="shared" si="0"/>
        <v>1.9002956387131672E-2</v>
      </c>
      <c r="G15" s="17" t="s">
        <v>1313</v>
      </c>
      <c r="H15">
        <v>4128210000</v>
      </c>
      <c r="J15">
        <f t="shared" si="1"/>
        <v>1.2085101644750693E-2</v>
      </c>
      <c r="K15">
        <v>1</v>
      </c>
    </row>
    <row r="16" spans="1:17">
      <c r="A16" s="16">
        <v>42082</v>
      </c>
      <c r="B16" s="17" t="s">
        <v>72</v>
      </c>
      <c r="C16">
        <v>33879100</v>
      </c>
      <c r="D16">
        <f t="shared" si="0"/>
        <v>-4.9532209806805788E-3</v>
      </c>
      <c r="G16" s="17" t="s">
        <v>1316</v>
      </c>
      <c r="H16">
        <v>3305220000</v>
      </c>
      <c r="J16">
        <f t="shared" si="1"/>
        <v>-4.8844889025895554E-3</v>
      </c>
      <c r="K16">
        <v>1</v>
      </c>
    </row>
    <row r="17" spans="1:11">
      <c r="A17" s="16">
        <v>42083</v>
      </c>
      <c r="B17" s="17" t="s">
        <v>73</v>
      </c>
      <c r="C17">
        <v>71904500</v>
      </c>
      <c r="D17">
        <f t="shared" si="0"/>
        <v>1.3854865241454638E-2</v>
      </c>
      <c r="G17" s="17" t="s">
        <v>1319</v>
      </c>
      <c r="H17">
        <v>5554120000</v>
      </c>
      <c r="J17">
        <f t="shared" si="1"/>
        <v>8.9723821319605199E-3</v>
      </c>
      <c r="K17">
        <v>1</v>
      </c>
    </row>
    <row r="18" spans="1:11">
      <c r="A18" s="16">
        <v>42086</v>
      </c>
      <c r="B18" s="17" t="s">
        <v>74</v>
      </c>
      <c r="C18">
        <v>26246100</v>
      </c>
      <c r="D18">
        <f t="shared" si="0"/>
        <v>-4.6648285866928959E-4</v>
      </c>
      <c r="G18" s="17" t="s">
        <v>1322</v>
      </c>
      <c r="H18">
        <v>3267960000</v>
      </c>
      <c r="J18">
        <f t="shared" si="1"/>
        <v>-1.7472567103759362E-3</v>
      </c>
      <c r="K18">
        <v>1</v>
      </c>
    </row>
    <row r="19" spans="1:11">
      <c r="A19" s="16">
        <v>42087</v>
      </c>
      <c r="B19" s="17" t="s">
        <v>75</v>
      </c>
      <c r="C19">
        <v>25513300</v>
      </c>
      <c r="D19">
        <f t="shared" si="0"/>
        <v>9.3264480599716479E-4</v>
      </c>
      <c r="G19" s="17" t="s">
        <v>1325</v>
      </c>
      <c r="H19">
        <v>3189820000</v>
      </c>
      <c r="J19">
        <f t="shared" si="1"/>
        <v>-6.1583457609898215E-3</v>
      </c>
      <c r="K19">
        <v>1</v>
      </c>
    </row>
    <row r="20" spans="1:11">
      <c r="A20" s="16">
        <v>42088</v>
      </c>
      <c r="B20" s="17" t="s">
        <v>76</v>
      </c>
      <c r="C20">
        <v>43469900</v>
      </c>
      <c r="D20">
        <f t="shared" si="0"/>
        <v>-3.4142669542604226E-2</v>
      </c>
      <c r="G20" s="17" t="s">
        <v>1328</v>
      </c>
      <c r="H20">
        <v>3521140000</v>
      </c>
      <c r="J20">
        <f t="shared" si="1"/>
        <v>-1.4665926443847035E-2</v>
      </c>
      <c r="K20">
        <v>1</v>
      </c>
    </row>
    <row r="21" spans="1:11">
      <c r="A21" s="16">
        <v>42089</v>
      </c>
      <c r="B21" s="17" t="s">
        <v>77</v>
      </c>
      <c r="C21">
        <v>37495600</v>
      </c>
      <c r="D21">
        <f t="shared" si="0"/>
        <v>-6.0482648642400192E-3</v>
      </c>
      <c r="G21" s="17" t="s">
        <v>1332</v>
      </c>
      <c r="H21">
        <v>3510670000</v>
      </c>
      <c r="J21">
        <f t="shared" si="1"/>
        <v>-2.3803309880471176E-3</v>
      </c>
      <c r="K21">
        <v>1</v>
      </c>
    </row>
    <row r="22" spans="1:11">
      <c r="A22" s="16">
        <v>42090</v>
      </c>
      <c r="B22" s="17" t="s">
        <v>78</v>
      </c>
      <c r="C22">
        <v>34401400</v>
      </c>
      <c r="D22">
        <f t="shared" si="0"/>
        <v>-5.8405480142997793E-3</v>
      </c>
      <c r="G22" s="17" t="s">
        <v>1336</v>
      </c>
      <c r="H22">
        <v>3008550000</v>
      </c>
      <c r="J22">
        <f t="shared" si="1"/>
        <v>2.3657611241204987E-3</v>
      </c>
      <c r="K22">
        <v>1</v>
      </c>
    </row>
    <row r="23" spans="1:11">
      <c r="A23" s="16">
        <v>42093</v>
      </c>
      <c r="B23" s="17" t="s">
        <v>79</v>
      </c>
      <c r="C23">
        <v>35049700</v>
      </c>
      <c r="D23">
        <f t="shared" si="0"/>
        <v>-2.4414200760991864E-4</v>
      </c>
      <c r="G23" s="17" t="s">
        <v>1339</v>
      </c>
      <c r="H23">
        <v>2917690000</v>
      </c>
      <c r="J23">
        <f t="shared" si="1"/>
        <v>1.2162382307370311E-2</v>
      </c>
      <c r="K23">
        <v>1</v>
      </c>
    </row>
    <row r="24" spans="1:11">
      <c r="A24" s="16">
        <v>42094</v>
      </c>
      <c r="B24" s="17" t="s">
        <v>80</v>
      </c>
      <c r="C24">
        <v>34887200</v>
      </c>
      <c r="D24">
        <f t="shared" si="0"/>
        <v>-7.3514331696913965E-3</v>
      </c>
      <c r="G24" s="17" t="s">
        <v>1342</v>
      </c>
      <c r="H24">
        <v>3376550000</v>
      </c>
      <c r="J24">
        <f t="shared" si="1"/>
        <v>-8.834685901175145E-3</v>
      </c>
      <c r="K24">
        <v>1</v>
      </c>
    </row>
    <row r="25" spans="1:11">
      <c r="A25" s="16">
        <v>42095</v>
      </c>
      <c r="B25" s="17" t="s">
        <v>81</v>
      </c>
      <c r="C25">
        <v>36865300</v>
      </c>
      <c r="D25">
        <f t="shared" si="0"/>
        <v>1.4747254195854192E-3</v>
      </c>
      <c r="G25" s="17" t="s">
        <v>1345</v>
      </c>
      <c r="H25">
        <v>3543270000</v>
      </c>
      <c r="J25">
        <f t="shared" si="1"/>
        <v>-3.9732546030981607E-3</v>
      </c>
      <c r="K25">
        <v>1</v>
      </c>
    </row>
    <row r="26" spans="1:11">
      <c r="A26" s="16">
        <v>42096</v>
      </c>
      <c r="B26" s="17" t="s">
        <v>82</v>
      </c>
      <c r="C26">
        <v>37487500</v>
      </c>
      <c r="D26">
        <f t="shared" si="0"/>
        <v>-1.0615895997254489E-2</v>
      </c>
      <c r="G26" s="17" t="s">
        <v>1349</v>
      </c>
      <c r="H26">
        <v>3095960000</v>
      </c>
      <c r="J26">
        <f t="shared" si="1"/>
        <v>3.5234525311901902E-3</v>
      </c>
      <c r="K26">
        <v>1</v>
      </c>
    </row>
    <row r="27" spans="1:11">
      <c r="A27" s="16">
        <v>42100</v>
      </c>
      <c r="B27" s="17" t="s">
        <v>83</v>
      </c>
      <c r="C27">
        <v>39223700</v>
      </c>
      <c r="D27">
        <f t="shared" si="0"/>
        <v>3.0793849628447816E-2</v>
      </c>
      <c r="G27" s="17" t="s">
        <v>1353</v>
      </c>
      <c r="H27">
        <v>3302970000</v>
      </c>
      <c r="J27">
        <f t="shared" si="1"/>
        <v>6.5870725268106249E-3</v>
      </c>
      <c r="K27">
        <v>1</v>
      </c>
    </row>
    <row r="28" spans="1:11">
      <c r="A28" s="16">
        <v>42101</v>
      </c>
      <c r="B28" s="17" t="s">
        <v>84</v>
      </c>
      <c r="C28">
        <v>28809400</v>
      </c>
      <c r="D28">
        <f t="shared" si="0"/>
        <v>-4.8152532001892679E-4</v>
      </c>
      <c r="G28" s="17" t="s">
        <v>1357</v>
      </c>
      <c r="H28">
        <v>3065510000</v>
      </c>
      <c r="J28">
        <f t="shared" si="1"/>
        <v>-2.0640326786721432E-3</v>
      </c>
      <c r="K28">
        <v>1</v>
      </c>
    </row>
    <row r="29" spans="1:11">
      <c r="A29" s="16">
        <v>42102</v>
      </c>
      <c r="B29" s="17" t="s">
        <v>85</v>
      </c>
      <c r="C29">
        <v>24753400</v>
      </c>
      <c r="D29">
        <f t="shared" si="0"/>
        <v>-2.652220572064361E-3</v>
      </c>
      <c r="G29" s="17" t="s">
        <v>1361</v>
      </c>
      <c r="H29">
        <v>3265330000</v>
      </c>
      <c r="J29">
        <f t="shared" si="1"/>
        <v>2.6789414524361062E-3</v>
      </c>
      <c r="K29">
        <v>1</v>
      </c>
    </row>
    <row r="30" spans="1:11">
      <c r="A30" s="16">
        <v>42103</v>
      </c>
      <c r="B30" s="17" t="s">
        <v>86</v>
      </c>
      <c r="C30">
        <v>25723900</v>
      </c>
      <c r="D30">
        <f t="shared" si="0"/>
        <v>1.4478998734120689E-3</v>
      </c>
      <c r="G30" s="17" t="s">
        <v>1365</v>
      </c>
      <c r="H30">
        <v>3172360000</v>
      </c>
      <c r="J30">
        <f t="shared" si="1"/>
        <v>4.4475762105921478E-3</v>
      </c>
      <c r="K30">
        <v>1</v>
      </c>
    </row>
    <row r="31" spans="1:11">
      <c r="A31" s="16">
        <v>42104</v>
      </c>
      <c r="B31" s="17" t="s">
        <v>87</v>
      </c>
      <c r="C31">
        <v>28022000</v>
      </c>
      <c r="D31">
        <f t="shared" si="0"/>
        <v>5.7690246752736766E-3</v>
      </c>
      <c r="G31" s="17" t="s">
        <v>1368</v>
      </c>
      <c r="H31">
        <v>3156200000</v>
      </c>
      <c r="J31">
        <f t="shared" si="1"/>
        <v>5.1893769208662789E-3</v>
      </c>
      <c r="K31">
        <v>1</v>
      </c>
    </row>
    <row r="32" spans="1:11">
      <c r="A32" s="16">
        <v>42107</v>
      </c>
      <c r="B32" s="17" t="s">
        <v>88</v>
      </c>
      <c r="C32">
        <v>30276700</v>
      </c>
      <c r="D32">
        <f t="shared" si="0"/>
        <v>9.5843601813830727E-4</v>
      </c>
      <c r="G32" s="17" t="s">
        <v>1372</v>
      </c>
      <c r="H32">
        <v>2908420000</v>
      </c>
      <c r="J32">
        <f t="shared" si="1"/>
        <v>-4.5918068424737933E-3</v>
      </c>
      <c r="K32">
        <v>1</v>
      </c>
    </row>
    <row r="33" spans="1:11">
      <c r="A33" s="16">
        <v>42108</v>
      </c>
      <c r="B33" s="17" t="s">
        <v>89</v>
      </c>
      <c r="C33">
        <v>24244400</v>
      </c>
      <c r="D33">
        <f t="shared" si="0"/>
        <v>-2.6374865730509718E-3</v>
      </c>
      <c r="G33" s="17" t="s">
        <v>1376</v>
      </c>
      <c r="H33">
        <v>3301270000</v>
      </c>
      <c r="J33">
        <f t="shared" si="1"/>
        <v>1.6284321389502543E-3</v>
      </c>
      <c r="K33">
        <v>1</v>
      </c>
    </row>
    <row r="34" spans="1:11">
      <c r="A34" s="16">
        <v>42109</v>
      </c>
      <c r="B34" s="17" t="s">
        <v>90</v>
      </c>
      <c r="C34">
        <v>27343600</v>
      </c>
      <c r="D34">
        <f t="shared" si="0"/>
        <v>1.453938825103551E-2</v>
      </c>
      <c r="G34" s="17" t="s">
        <v>1379</v>
      </c>
      <c r="H34">
        <v>4013760000</v>
      </c>
      <c r="J34">
        <f t="shared" si="1"/>
        <v>5.134989081813774E-3</v>
      </c>
      <c r="K34">
        <v>1</v>
      </c>
    </row>
    <row r="35" spans="1:11">
      <c r="A35" s="16">
        <v>42110</v>
      </c>
      <c r="B35" s="17" t="s">
        <v>91</v>
      </c>
      <c r="C35">
        <v>22509700</v>
      </c>
      <c r="D35">
        <f t="shared" si="0"/>
        <v>-2.368885485668657E-3</v>
      </c>
      <c r="G35" s="17" t="s">
        <v>1383</v>
      </c>
      <c r="H35">
        <v>3434120000</v>
      </c>
      <c r="J35">
        <f t="shared" si="1"/>
        <v>-7.7874695833246642E-4</v>
      </c>
      <c r="K35">
        <v>1</v>
      </c>
    </row>
    <row r="36" spans="1:11">
      <c r="A36" s="16">
        <v>42111</v>
      </c>
      <c r="B36" s="17" t="s">
        <v>92</v>
      </c>
      <c r="C36">
        <v>42387600</v>
      </c>
      <c r="D36">
        <f t="shared" si="0"/>
        <v>-1.2891249088891527E-2</v>
      </c>
      <c r="G36" s="17" t="s">
        <v>1386</v>
      </c>
      <c r="H36">
        <v>3627600000</v>
      </c>
      <c r="J36">
        <f t="shared" si="1"/>
        <v>-1.1375703905032222E-2</v>
      </c>
      <c r="K36">
        <v>1</v>
      </c>
    </row>
    <row r="37" spans="1:11">
      <c r="A37" s="16">
        <v>42114</v>
      </c>
      <c r="B37" s="17" t="s">
        <v>93</v>
      </c>
      <c r="C37">
        <v>46057700</v>
      </c>
      <c r="D37">
        <f t="shared" si="0"/>
        <v>3.0523996278372018E-2</v>
      </c>
      <c r="G37" s="17" t="s">
        <v>1388</v>
      </c>
      <c r="H37">
        <v>3000160000</v>
      </c>
      <c r="J37">
        <f t="shared" si="1"/>
        <v>9.1927482501988188E-3</v>
      </c>
      <c r="K37">
        <v>1</v>
      </c>
    </row>
    <row r="38" spans="1:11">
      <c r="A38" s="16">
        <v>42115</v>
      </c>
      <c r="B38" s="17" t="s">
        <v>94</v>
      </c>
      <c r="C38">
        <v>26013800</v>
      </c>
      <c r="D38">
        <f t="shared" si="0"/>
        <v>-6.3117854925977988E-3</v>
      </c>
      <c r="G38" s="17" t="s">
        <v>1392</v>
      </c>
      <c r="H38">
        <v>3243410000</v>
      </c>
      <c r="J38">
        <f t="shared" si="1"/>
        <v>-1.4817023709090096E-3</v>
      </c>
      <c r="K38">
        <v>1</v>
      </c>
    </row>
    <row r="39" spans="1:11">
      <c r="A39" s="16">
        <v>42116</v>
      </c>
      <c r="B39" s="17" t="s">
        <v>95</v>
      </c>
      <c r="C39">
        <v>25064300</v>
      </c>
      <c r="D39">
        <f t="shared" si="0"/>
        <v>8.1746552651517698E-3</v>
      </c>
      <c r="G39" s="17" t="s">
        <v>1396</v>
      </c>
      <c r="H39">
        <v>3348480000</v>
      </c>
      <c r="J39">
        <f t="shared" si="1"/>
        <v>5.0745829128360466E-3</v>
      </c>
      <c r="K39">
        <v>1</v>
      </c>
    </row>
    <row r="40" spans="1:11">
      <c r="A40" s="16">
        <v>42117</v>
      </c>
      <c r="B40" s="17" t="s">
        <v>96</v>
      </c>
      <c r="C40">
        <v>46309500</v>
      </c>
      <c r="D40">
        <f t="shared" si="0"/>
        <v>8.1083717551697441E-3</v>
      </c>
      <c r="G40" s="17" t="s">
        <v>1400</v>
      </c>
      <c r="H40">
        <v>3636670000</v>
      </c>
      <c r="J40">
        <f t="shared" si="1"/>
        <v>2.3549409829866624E-3</v>
      </c>
      <c r="K40">
        <v>1</v>
      </c>
    </row>
    <row r="41" spans="1:11">
      <c r="A41" s="16">
        <v>42118</v>
      </c>
      <c r="B41" s="17" t="s">
        <v>97</v>
      </c>
      <c r="C41">
        <v>130933700</v>
      </c>
      <c r="D41">
        <f t="shared" si="0"/>
        <v>9.941303979719146E-2</v>
      </c>
      <c r="G41" s="17" t="s">
        <v>1403</v>
      </c>
      <c r="H41">
        <v>3375780000</v>
      </c>
      <c r="J41">
        <f t="shared" si="1"/>
        <v>2.2502664628334234E-3</v>
      </c>
      <c r="K41">
        <v>1</v>
      </c>
    </row>
    <row r="42" spans="1:11">
      <c r="A42" s="16">
        <v>42121</v>
      </c>
      <c r="B42" s="17" t="s">
        <v>98</v>
      </c>
      <c r="C42">
        <v>59248200</v>
      </c>
      <c r="D42">
        <f t="shared" si="0"/>
        <v>3.3367764041909065E-3</v>
      </c>
      <c r="G42" s="17" t="s">
        <v>1407</v>
      </c>
      <c r="H42">
        <v>3438750000</v>
      </c>
      <c r="J42">
        <f t="shared" si="1"/>
        <v>-4.1499129896262112E-3</v>
      </c>
      <c r="K42">
        <v>1</v>
      </c>
    </row>
    <row r="43" spans="1:11">
      <c r="A43" s="16">
        <v>42122</v>
      </c>
      <c r="B43" s="17" t="s">
        <v>99</v>
      </c>
      <c r="C43">
        <v>60730800</v>
      </c>
      <c r="D43">
        <f t="shared" si="0"/>
        <v>2.3254588944977974E-2</v>
      </c>
      <c r="G43" s="17" t="s">
        <v>1411</v>
      </c>
      <c r="H43">
        <v>3546270000</v>
      </c>
      <c r="J43">
        <f t="shared" si="1"/>
        <v>2.7654044889026041E-3</v>
      </c>
      <c r="K43">
        <v>1</v>
      </c>
    </row>
    <row r="44" spans="1:11">
      <c r="A44" s="16">
        <v>42123</v>
      </c>
      <c r="B44" s="17" t="s">
        <v>100</v>
      </c>
      <c r="C44">
        <v>47804600</v>
      </c>
      <c r="D44">
        <f t="shared" si="0"/>
        <v>-2.0363932918983029E-3</v>
      </c>
      <c r="G44" s="17" t="s">
        <v>1311</v>
      </c>
      <c r="H44">
        <v>4074970000</v>
      </c>
      <c r="J44">
        <f t="shared" si="1"/>
        <v>-3.7473480752430819E-3</v>
      </c>
      <c r="K44">
        <v>1</v>
      </c>
    </row>
    <row r="45" spans="1:11">
      <c r="A45" s="16">
        <v>42124</v>
      </c>
      <c r="B45" s="17" t="s">
        <v>101</v>
      </c>
      <c r="C45">
        <v>64725500</v>
      </c>
      <c r="D45">
        <f t="shared" si="0"/>
        <v>-8.5978113505696466E-3</v>
      </c>
      <c r="G45" s="17" t="s">
        <v>1417</v>
      </c>
      <c r="H45">
        <v>4509680000</v>
      </c>
      <c r="J45">
        <f t="shared" si="1"/>
        <v>-1.0180553084023857E-2</v>
      </c>
      <c r="K45">
        <v>1</v>
      </c>
    </row>
    <row r="46" spans="1:11">
      <c r="A46" s="16">
        <v>42125</v>
      </c>
      <c r="B46" s="17" t="s">
        <v>102</v>
      </c>
      <c r="C46">
        <v>38937300</v>
      </c>
      <c r="D46">
        <f t="shared" si="0"/>
        <v>4.1131182161018557E-4</v>
      </c>
      <c r="G46" s="17" t="s">
        <v>1420</v>
      </c>
      <c r="H46">
        <v>3379390000</v>
      </c>
      <c r="J46">
        <f t="shared" si="1"/>
        <v>1.0863776421427699E-2</v>
      </c>
      <c r="K46">
        <v>1</v>
      </c>
    </row>
    <row r="47" spans="1:11">
      <c r="A47" s="16">
        <v>42128</v>
      </c>
      <c r="B47" s="17" t="s">
        <v>103</v>
      </c>
      <c r="C47">
        <v>34039500</v>
      </c>
      <c r="D47">
        <f t="shared" si="0"/>
        <v>-8.6688854005277684E-3</v>
      </c>
      <c r="G47" s="17" t="s">
        <v>1423</v>
      </c>
      <c r="H47">
        <v>3091580000</v>
      </c>
      <c r="J47">
        <f t="shared" si="1"/>
        <v>2.9364330665656102E-3</v>
      </c>
      <c r="K47">
        <v>1</v>
      </c>
    </row>
    <row r="48" spans="1:11">
      <c r="A48" s="16">
        <v>42129</v>
      </c>
      <c r="B48" s="17" t="s">
        <v>104</v>
      </c>
      <c r="C48">
        <v>50369200</v>
      </c>
      <c r="D48">
        <f t="shared" si="0"/>
        <v>-1.3355902190165577E-2</v>
      </c>
      <c r="G48" s="17" t="s">
        <v>1427</v>
      </c>
      <c r="H48">
        <v>3793950000</v>
      </c>
      <c r="J48">
        <f t="shared" si="1"/>
        <v>-1.1908003217775753E-2</v>
      </c>
      <c r="K48">
        <v>1</v>
      </c>
    </row>
    <row r="49" spans="1:11">
      <c r="A49" s="16">
        <v>42130</v>
      </c>
      <c r="B49" s="17" t="s">
        <v>105</v>
      </c>
      <c r="C49">
        <v>52433000</v>
      </c>
      <c r="D49">
        <f t="shared" si="0"/>
        <v>-2.8122769561925828E-2</v>
      </c>
      <c r="G49" s="17" t="s">
        <v>1431</v>
      </c>
      <c r="H49">
        <v>3792210000</v>
      </c>
      <c r="J49">
        <f t="shared" si="1"/>
        <v>-4.46568133609649E-3</v>
      </c>
      <c r="K49">
        <v>1</v>
      </c>
    </row>
    <row r="50" spans="1:11">
      <c r="A50" s="16">
        <v>42131</v>
      </c>
      <c r="B50" s="17" t="s">
        <v>106</v>
      </c>
      <c r="C50">
        <v>32971700</v>
      </c>
      <c r="D50">
        <f t="shared" si="0"/>
        <v>9.0342722324336534E-3</v>
      </c>
      <c r="G50" s="17" t="s">
        <v>1435</v>
      </c>
      <c r="H50">
        <v>3676640000</v>
      </c>
      <c r="J50">
        <f t="shared" si="1"/>
        <v>3.7667106347277534E-3</v>
      </c>
      <c r="K50">
        <v>1</v>
      </c>
    </row>
    <row r="51" spans="1:11">
      <c r="A51" s="16">
        <v>42132</v>
      </c>
      <c r="B51" s="17" t="s">
        <v>107</v>
      </c>
      <c r="C51">
        <v>35364900</v>
      </c>
      <c r="D51">
        <f t="shared" si="0"/>
        <v>2.2234926198898688E-2</v>
      </c>
      <c r="G51" s="17" t="s">
        <v>1438</v>
      </c>
      <c r="H51">
        <v>3399440000</v>
      </c>
      <c r="J51">
        <f t="shared" si="1"/>
        <v>1.3368148149806192E-2</v>
      </c>
      <c r="K51">
        <v>1</v>
      </c>
    </row>
    <row r="52" spans="1:11">
      <c r="A52" s="16">
        <v>42135</v>
      </c>
      <c r="B52" s="17" t="s">
        <v>108</v>
      </c>
      <c r="C52">
        <v>24609400</v>
      </c>
      <c r="D52">
        <f t="shared" si="0"/>
        <v>-7.9901324541186824E-3</v>
      </c>
      <c r="G52" s="17" t="s">
        <v>1441</v>
      </c>
      <c r="H52">
        <v>2992670000</v>
      </c>
      <c r="J52">
        <f t="shared" si="1"/>
        <v>-5.1025566779002406E-3</v>
      </c>
      <c r="K52">
        <v>1</v>
      </c>
    </row>
    <row r="53" spans="1:11">
      <c r="A53" s="16">
        <v>42136</v>
      </c>
      <c r="B53" s="17" t="s">
        <v>109</v>
      </c>
      <c r="C53">
        <v>29928300</v>
      </c>
      <c r="D53">
        <f t="shared" si="0"/>
        <v>-4.2200003560420883E-4</v>
      </c>
      <c r="G53" s="17" t="s">
        <v>1445</v>
      </c>
      <c r="H53">
        <v>3139520000</v>
      </c>
      <c r="J53">
        <f t="shared" si="1"/>
        <v>-2.9539964693172764E-3</v>
      </c>
      <c r="K53">
        <v>1</v>
      </c>
    </row>
    <row r="54" spans="1:11">
      <c r="A54" s="16">
        <v>42137</v>
      </c>
      <c r="B54" s="17" t="s">
        <v>110</v>
      </c>
      <c r="C54">
        <v>34184600</v>
      </c>
      <c r="D54">
        <f t="shared" si="0"/>
        <v>5.8958377763066649E-3</v>
      </c>
      <c r="G54" s="17" t="s">
        <v>1449</v>
      </c>
      <c r="H54">
        <v>3374260000</v>
      </c>
      <c r="J54">
        <f t="shared" si="1"/>
        <v>-3.0500142470446046E-4</v>
      </c>
      <c r="K54">
        <v>1</v>
      </c>
    </row>
    <row r="55" spans="1:11">
      <c r="A55" s="16">
        <v>42138</v>
      </c>
      <c r="B55" s="17" t="s">
        <v>111</v>
      </c>
      <c r="C55">
        <v>32980900</v>
      </c>
      <c r="D55">
        <f t="shared" si="0"/>
        <v>2.2626823614754207E-2</v>
      </c>
      <c r="G55" s="17" t="s">
        <v>1452</v>
      </c>
      <c r="H55">
        <v>3225740000</v>
      </c>
      <c r="J55">
        <f t="shared" si="1"/>
        <v>1.0721604647198088E-2</v>
      </c>
      <c r="K55">
        <v>1</v>
      </c>
    </row>
    <row r="56" spans="1:11">
      <c r="A56" s="16">
        <v>42139</v>
      </c>
      <c r="B56" s="17" t="s">
        <v>112</v>
      </c>
      <c r="C56">
        <v>28642700</v>
      </c>
      <c r="D56">
        <f t="shared" si="0"/>
        <v>-8.6582329741158419E-3</v>
      </c>
      <c r="G56" s="17" t="s">
        <v>1456</v>
      </c>
      <c r="H56">
        <v>3092080000</v>
      </c>
      <c r="J56">
        <f t="shared" si="1"/>
        <v>7.6811844498031457E-4</v>
      </c>
      <c r="K56">
        <v>1</v>
      </c>
    </row>
    <row r="57" spans="1:11">
      <c r="A57" s="16">
        <v>42142</v>
      </c>
      <c r="B57" s="17" t="s">
        <v>113</v>
      </c>
      <c r="C57">
        <v>24136500</v>
      </c>
      <c r="D57">
        <f t="shared" si="0"/>
        <v>-6.0220873433690612E-3</v>
      </c>
      <c r="G57" s="17" t="s">
        <v>1460</v>
      </c>
      <c r="H57">
        <v>2888190000</v>
      </c>
      <c r="J57">
        <f t="shared" si="1"/>
        <v>3.0433126126717365E-3</v>
      </c>
      <c r="K57">
        <v>1</v>
      </c>
    </row>
    <row r="58" spans="1:11">
      <c r="A58" s="16">
        <v>42143</v>
      </c>
      <c r="B58" s="17" t="s">
        <v>114</v>
      </c>
      <c r="C58">
        <v>28574800</v>
      </c>
      <c r="D58">
        <f t="shared" si="0"/>
        <v>-2.5189077010013151E-3</v>
      </c>
      <c r="G58" s="17" t="s">
        <v>1464</v>
      </c>
      <c r="H58">
        <v>3296030000</v>
      </c>
      <c r="J58">
        <f t="shared" si="1"/>
        <v>-6.4358157586455564E-4</v>
      </c>
      <c r="K58">
        <v>1</v>
      </c>
    </row>
    <row r="59" spans="1:11">
      <c r="A59" s="16">
        <v>42144</v>
      </c>
      <c r="B59" s="17" t="s">
        <v>114</v>
      </c>
      <c r="C59">
        <v>25047900</v>
      </c>
      <c r="D59">
        <f t="shared" si="0"/>
        <v>0</v>
      </c>
      <c r="G59" s="17" t="s">
        <v>1468</v>
      </c>
      <c r="H59">
        <v>3025880000</v>
      </c>
      <c r="J59">
        <f t="shared" si="1"/>
        <v>-9.3094923034876148E-4</v>
      </c>
      <c r="K59">
        <v>1</v>
      </c>
    </row>
    <row r="60" spans="1:11">
      <c r="A60" s="16">
        <v>42145</v>
      </c>
      <c r="B60" s="17" t="s">
        <v>115</v>
      </c>
      <c r="C60">
        <v>22410700</v>
      </c>
      <c r="D60">
        <f t="shared" si="0"/>
        <v>-3.3684904014661416E-3</v>
      </c>
      <c r="G60" s="17" t="s">
        <v>1472</v>
      </c>
      <c r="H60">
        <v>3070460000</v>
      </c>
      <c r="J60">
        <f t="shared" si="1"/>
        <v>2.3351455783891246E-3</v>
      </c>
      <c r="K60">
        <v>1</v>
      </c>
    </row>
    <row r="61" spans="1:11">
      <c r="A61" s="16">
        <v>42146</v>
      </c>
      <c r="B61" s="17" t="s">
        <v>116</v>
      </c>
      <c r="C61">
        <v>25720600</v>
      </c>
      <c r="D61">
        <f t="shared" si="0"/>
        <v>-1.1026517611970578E-2</v>
      </c>
      <c r="G61" s="17" t="s">
        <v>1475</v>
      </c>
      <c r="H61">
        <v>2571860000</v>
      </c>
      <c r="J61">
        <f t="shared" si="1"/>
        <v>-2.2363847897467698E-3</v>
      </c>
      <c r="K61">
        <v>1</v>
      </c>
    </row>
    <row r="62" spans="1:11">
      <c r="A62" s="16">
        <v>42150</v>
      </c>
      <c r="B62" s="17" t="s">
        <v>117</v>
      </c>
      <c r="C62">
        <v>29581900</v>
      </c>
      <c r="D62">
        <f t="shared" si="0"/>
        <v>-6.6314467112802396E-3</v>
      </c>
      <c r="G62" s="17" t="s">
        <v>1478</v>
      </c>
      <c r="H62">
        <v>3342130000</v>
      </c>
      <c r="J62">
        <f t="shared" si="1"/>
        <v>-1.0335205180265266E-2</v>
      </c>
      <c r="K62">
        <v>1</v>
      </c>
    </row>
    <row r="63" spans="1:11">
      <c r="A63" s="16">
        <v>42151</v>
      </c>
      <c r="B63" s="17" t="s">
        <v>118</v>
      </c>
      <c r="C63">
        <v>27335600</v>
      </c>
      <c r="D63">
        <f t="shared" si="0"/>
        <v>2.1656742018019877E-2</v>
      </c>
      <c r="G63" s="17" t="s">
        <v>1481</v>
      </c>
      <c r="H63">
        <v>3127960000</v>
      </c>
      <c r="J63">
        <f t="shared" si="1"/>
        <v>9.1209187900458677E-3</v>
      </c>
      <c r="K63">
        <v>1</v>
      </c>
    </row>
    <row r="64" spans="1:11">
      <c r="A64" s="16">
        <v>42152</v>
      </c>
      <c r="B64" s="17" t="s">
        <v>119</v>
      </c>
      <c r="C64">
        <v>19283700</v>
      </c>
      <c r="D64">
        <f t="shared" si="0"/>
        <v>-3.3662714900568437E-3</v>
      </c>
      <c r="G64" s="17" t="s">
        <v>1484</v>
      </c>
      <c r="H64">
        <v>2980350000</v>
      </c>
      <c r="J64">
        <f t="shared" si="1"/>
        <v>-1.2675637262110088E-3</v>
      </c>
      <c r="K64">
        <v>1</v>
      </c>
    </row>
    <row r="65" spans="1:11">
      <c r="A65" s="16">
        <v>42153</v>
      </c>
      <c r="B65" s="17" t="s">
        <v>120</v>
      </c>
      <c r="C65">
        <v>36519600</v>
      </c>
      <c r="D65">
        <f t="shared" si="0"/>
        <v>-1.2512059695715226E-2</v>
      </c>
      <c r="G65" s="17" t="s">
        <v>1487</v>
      </c>
      <c r="H65">
        <v>3927390000</v>
      </c>
      <c r="J65">
        <f t="shared" si="1"/>
        <v>-6.3385149544391154E-3</v>
      </c>
      <c r="K65">
        <v>1</v>
      </c>
    </row>
    <row r="66" spans="1:11">
      <c r="A66" s="16">
        <v>42156</v>
      </c>
      <c r="B66" s="17" t="s">
        <v>121</v>
      </c>
      <c r="C66">
        <v>28837300</v>
      </c>
      <c r="D66">
        <f t="shared" si="0"/>
        <v>7.8646980235912729E-3</v>
      </c>
      <c r="G66" s="17" t="s">
        <v>1491</v>
      </c>
      <c r="H66">
        <v>3011710000</v>
      </c>
      <c r="J66">
        <f t="shared" si="1"/>
        <v>2.0573430769848127E-3</v>
      </c>
      <c r="K66">
        <v>1</v>
      </c>
    </row>
    <row r="67" spans="1:11">
      <c r="A67" s="16">
        <v>42157</v>
      </c>
      <c r="B67" s="17" t="s">
        <v>122</v>
      </c>
      <c r="C67">
        <v>21498300</v>
      </c>
      <c r="D67">
        <f t="shared" si="0"/>
        <v>-6.5852407954766334E-3</v>
      </c>
      <c r="G67" s="17" t="s">
        <v>1495</v>
      </c>
      <c r="H67">
        <v>3049350000</v>
      </c>
      <c r="J67">
        <f t="shared" si="1"/>
        <v>-1.0091047804279632E-3</v>
      </c>
      <c r="K67">
        <v>1</v>
      </c>
    </row>
    <row r="68" spans="1:11">
      <c r="A68" s="16">
        <v>42158</v>
      </c>
      <c r="B68" s="17" t="s">
        <v>123</v>
      </c>
      <c r="C68">
        <v>28002200</v>
      </c>
      <c r="D68">
        <f t="shared" si="0"/>
        <v>-1.4930592569772619E-3</v>
      </c>
      <c r="G68" s="17" t="s">
        <v>1499</v>
      </c>
      <c r="H68">
        <v>3099980000</v>
      </c>
      <c r="J68">
        <f t="shared" si="1"/>
        <v>2.116629136818338E-3</v>
      </c>
      <c r="K68">
        <v>1</v>
      </c>
    </row>
    <row r="69" spans="1:11">
      <c r="A69" s="16">
        <v>42159</v>
      </c>
      <c r="B69" s="17" t="s">
        <v>124</v>
      </c>
      <c r="C69">
        <v>27745500</v>
      </c>
      <c r="D69">
        <f t="shared" ref="D69:D132" si="2">LN(B69/B68)</f>
        <v>-1.0513851451671684E-2</v>
      </c>
      <c r="G69" s="17" t="s">
        <v>1376</v>
      </c>
      <c r="H69">
        <v>3200050000</v>
      </c>
      <c r="J69">
        <f t="shared" ref="J69:J132" si="3">LN(G69/G68)</f>
        <v>-8.6605619929224897E-3</v>
      </c>
      <c r="K69">
        <v>1</v>
      </c>
    </row>
    <row r="70" spans="1:11">
      <c r="A70" s="16">
        <v>42160</v>
      </c>
      <c r="B70" s="17" t="s">
        <v>125</v>
      </c>
      <c r="C70">
        <v>25438100</v>
      </c>
      <c r="D70">
        <f t="shared" si="2"/>
        <v>-4.7568891288222084E-3</v>
      </c>
      <c r="G70" s="17" t="s">
        <v>1506</v>
      </c>
      <c r="H70">
        <v>3243690000</v>
      </c>
      <c r="J70">
        <f t="shared" si="3"/>
        <v>-1.4372153446468713E-3</v>
      </c>
      <c r="K70">
        <v>1</v>
      </c>
    </row>
    <row r="71" spans="1:11">
      <c r="A71" s="16">
        <v>42163</v>
      </c>
      <c r="B71" s="17" t="s">
        <v>126</v>
      </c>
      <c r="C71">
        <v>22121600</v>
      </c>
      <c r="D71">
        <f t="shared" si="2"/>
        <v>-8.9256119842607388E-3</v>
      </c>
      <c r="G71" s="17" t="s">
        <v>1510</v>
      </c>
      <c r="H71">
        <v>2917150000</v>
      </c>
      <c r="J71">
        <f t="shared" si="3"/>
        <v>-6.4955604213555807E-3</v>
      </c>
      <c r="K71">
        <v>1</v>
      </c>
    </row>
    <row r="72" spans="1:11">
      <c r="A72" s="16">
        <v>42164</v>
      </c>
      <c r="B72" s="17" t="s">
        <v>127</v>
      </c>
      <c r="C72">
        <v>24406100</v>
      </c>
      <c r="D72">
        <f t="shared" si="2"/>
        <v>-1.7509650484590067E-3</v>
      </c>
      <c r="G72" s="17" t="s">
        <v>1431</v>
      </c>
      <c r="H72">
        <v>3034580000</v>
      </c>
      <c r="J72">
        <f t="shared" si="3"/>
        <v>4.1826549652815233E-4</v>
      </c>
      <c r="K72">
        <v>1</v>
      </c>
    </row>
    <row r="73" spans="1:11">
      <c r="A73" s="16">
        <v>42165</v>
      </c>
      <c r="B73" s="17" t="s">
        <v>128</v>
      </c>
      <c r="C73">
        <v>28417400</v>
      </c>
      <c r="D73">
        <f t="shared" si="2"/>
        <v>2.0811483053928825E-2</v>
      </c>
      <c r="G73" s="17" t="s">
        <v>1516</v>
      </c>
      <c r="H73">
        <v>3414320000</v>
      </c>
      <c r="J73">
        <f t="shared" si="3"/>
        <v>1.1970491836123859E-2</v>
      </c>
      <c r="K73">
        <v>1</v>
      </c>
    </row>
    <row r="74" spans="1:11">
      <c r="A74" s="16">
        <v>42166</v>
      </c>
      <c r="B74" s="17" t="s">
        <v>129</v>
      </c>
      <c r="C74">
        <v>27347800</v>
      </c>
      <c r="D74">
        <f t="shared" si="2"/>
        <v>-3.6540108231191107E-3</v>
      </c>
      <c r="G74" s="17" t="s">
        <v>1519</v>
      </c>
      <c r="H74">
        <v>3128600000</v>
      </c>
      <c r="J74">
        <f t="shared" si="3"/>
        <v>1.7371166381222091E-3</v>
      </c>
      <c r="K74">
        <v>1</v>
      </c>
    </row>
    <row r="75" spans="1:11">
      <c r="A75" s="16">
        <v>42167</v>
      </c>
      <c r="B75" s="17" t="s">
        <v>130</v>
      </c>
      <c r="C75">
        <v>23931000</v>
      </c>
      <c r="D75">
        <f t="shared" si="2"/>
        <v>-1.017200440280357E-2</v>
      </c>
      <c r="G75" s="17" t="s">
        <v>1522</v>
      </c>
      <c r="H75">
        <v>2719400000</v>
      </c>
      <c r="J75">
        <f t="shared" si="3"/>
        <v>-7.0188746545117725E-3</v>
      </c>
      <c r="K75">
        <v>1</v>
      </c>
    </row>
    <row r="76" spans="1:11">
      <c r="A76" s="16">
        <v>42170</v>
      </c>
      <c r="B76" s="17" t="s">
        <v>131</v>
      </c>
      <c r="C76">
        <v>33254500</v>
      </c>
      <c r="D76">
        <f t="shared" si="2"/>
        <v>-1.0716488615458807E-2</v>
      </c>
      <c r="G76" s="17" t="s">
        <v>1525</v>
      </c>
      <c r="H76">
        <v>3061570000</v>
      </c>
      <c r="J76">
        <f t="shared" si="3"/>
        <v>-4.6332892479042445E-3</v>
      </c>
      <c r="K76">
        <v>1</v>
      </c>
    </row>
    <row r="77" spans="1:11">
      <c r="A77" s="16">
        <v>42171</v>
      </c>
      <c r="B77" s="17" t="s">
        <v>132</v>
      </c>
      <c r="C77">
        <v>27070300</v>
      </c>
      <c r="D77">
        <f t="shared" si="2"/>
        <v>7.6664556595903155E-3</v>
      </c>
      <c r="G77" s="17" t="s">
        <v>1529</v>
      </c>
      <c r="H77">
        <v>2919900000</v>
      </c>
      <c r="J77">
        <f t="shared" si="3"/>
        <v>5.6737303135299989E-3</v>
      </c>
      <c r="K77">
        <v>1</v>
      </c>
    </row>
    <row r="78" spans="1:11">
      <c r="A78" s="16">
        <v>42172</v>
      </c>
      <c r="B78" s="17" t="s">
        <v>130</v>
      </c>
      <c r="C78">
        <v>28704100</v>
      </c>
      <c r="D78">
        <f t="shared" si="2"/>
        <v>3.050032955868595E-3</v>
      </c>
      <c r="G78" s="17" t="s">
        <v>1532</v>
      </c>
      <c r="H78">
        <v>3222240000</v>
      </c>
      <c r="J78">
        <f t="shared" si="3"/>
        <v>1.9776842314756056E-3</v>
      </c>
      <c r="K78">
        <v>1</v>
      </c>
    </row>
    <row r="79" spans="1:11">
      <c r="A79" s="16">
        <v>42173</v>
      </c>
      <c r="B79" s="17" t="s">
        <v>133</v>
      </c>
      <c r="C79">
        <v>32658300</v>
      </c>
      <c r="D79">
        <f t="shared" si="2"/>
        <v>1.6183269096378152E-2</v>
      </c>
      <c r="G79" s="17" t="s">
        <v>1535</v>
      </c>
      <c r="H79">
        <v>3520360000</v>
      </c>
      <c r="J79">
        <f t="shared" si="3"/>
        <v>9.8540001369309162E-3</v>
      </c>
      <c r="K79">
        <v>1</v>
      </c>
    </row>
    <row r="80" spans="1:11">
      <c r="A80" s="16">
        <v>42174</v>
      </c>
      <c r="B80" s="17" t="s">
        <v>134</v>
      </c>
      <c r="C80">
        <v>63837000</v>
      </c>
      <c r="D80">
        <f t="shared" si="2"/>
        <v>-1.3359324403997673E-2</v>
      </c>
      <c r="G80" s="17" t="s">
        <v>1539</v>
      </c>
      <c r="H80">
        <v>4449810000</v>
      </c>
      <c r="J80">
        <f t="shared" si="3"/>
        <v>-5.3176152385387195E-3</v>
      </c>
      <c r="K80">
        <v>1</v>
      </c>
    </row>
    <row r="81" spans="1:11">
      <c r="A81" s="16">
        <v>42177</v>
      </c>
      <c r="B81" s="17" t="s">
        <v>135</v>
      </c>
      <c r="C81">
        <v>20318100</v>
      </c>
      <c r="D81">
        <f t="shared" si="2"/>
        <v>2.8159686454809012E-3</v>
      </c>
      <c r="G81" s="17" t="s">
        <v>1542</v>
      </c>
      <c r="H81">
        <v>3030020000</v>
      </c>
      <c r="J81">
        <f t="shared" si="3"/>
        <v>6.0763682545493542E-3</v>
      </c>
      <c r="K81">
        <v>1</v>
      </c>
    </row>
    <row r="82" spans="1:11">
      <c r="A82" s="16">
        <v>42178</v>
      </c>
      <c r="B82" s="17" t="s">
        <v>136</v>
      </c>
      <c r="C82">
        <v>25896500</v>
      </c>
      <c r="D82">
        <f t="shared" si="2"/>
        <v>-6.9458525189793358E-3</v>
      </c>
      <c r="G82" s="17" t="s">
        <v>1546</v>
      </c>
      <c r="H82">
        <v>3091190000</v>
      </c>
      <c r="J82">
        <f t="shared" si="3"/>
        <v>6.356661823521784E-4</v>
      </c>
      <c r="K82">
        <v>1</v>
      </c>
    </row>
    <row r="83" spans="1:11">
      <c r="A83" s="16">
        <v>42179</v>
      </c>
      <c r="B83" s="17" t="s">
        <v>137</v>
      </c>
      <c r="C83">
        <v>34890900</v>
      </c>
      <c r="D83">
        <f t="shared" si="2"/>
        <v>-5.8984309166137611E-3</v>
      </c>
      <c r="G83" s="17" t="s">
        <v>1549</v>
      </c>
      <c r="H83">
        <v>3102480000</v>
      </c>
      <c r="J83">
        <f t="shared" si="3"/>
        <v>-7.3804656966740398E-3</v>
      </c>
      <c r="K83">
        <v>1</v>
      </c>
    </row>
    <row r="84" spans="1:11">
      <c r="A84" s="16">
        <v>42180</v>
      </c>
      <c r="B84" s="17" t="s">
        <v>127</v>
      </c>
      <c r="C84">
        <v>20616000</v>
      </c>
      <c r="D84">
        <f t="shared" si="2"/>
        <v>2.1890226972566925E-4</v>
      </c>
      <c r="G84" s="17" t="s">
        <v>1552</v>
      </c>
      <c r="H84">
        <v>3214610000</v>
      </c>
      <c r="J84">
        <f t="shared" si="3"/>
        <v>-2.9780039040750291E-3</v>
      </c>
      <c r="K84">
        <v>1</v>
      </c>
    </row>
    <row r="85" spans="1:11">
      <c r="A85" s="16">
        <v>42181</v>
      </c>
      <c r="B85" s="17" t="s">
        <v>138</v>
      </c>
      <c r="C85">
        <v>49835300</v>
      </c>
      <c r="D85">
        <f t="shared" si="2"/>
        <v>-8.5800785525848716E-3</v>
      </c>
      <c r="G85" s="17" t="s">
        <v>1555</v>
      </c>
      <c r="H85">
        <v>5025470000</v>
      </c>
      <c r="J85">
        <f t="shared" si="3"/>
        <v>-3.9015604969013028E-4</v>
      </c>
      <c r="K85">
        <v>1</v>
      </c>
    </row>
    <row r="86" spans="1:11">
      <c r="A86" s="16">
        <v>42184</v>
      </c>
      <c r="B86" s="17" t="s">
        <v>139</v>
      </c>
      <c r="C86">
        <v>34081700</v>
      </c>
      <c r="D86">
        <f t="shared" si="2"/>
        <v>-1.9860009180122394E-2</v>
      </c>
      <c r="G86" s="17" t="s">
        <v>1558</v>
      </c>
      <c r="H86">
        <v>3678960000</v>
      </c>
      <c r="J86">
        <f t="shared" si="3"/>
        <v>-2.1086969192055022E-2</v>
      </c>
      <c r="K86">
        <v>1</v>
      </c>
    </row>
    <row r="87" spans="1:11">
      <c r="A87" s="16">
        <v>42185</v>
      </c>
      <c r="B87" s="17" t="s">
        <v>140</v>
      </c>
      <c r="C87">
        <v>35945400</v>
      </c>
      <c r="D87">
        <f t="shared" si="2"/>
        <v>-4.9704932756641299E-3</v>
      </c>
      <c r="G87" s="17" t="s">
        <v>1561</v>
      </c>
      <c r="H87">
        <v>4078540000</v>
      </c>
      <c r="J87">
        <f t="shared" si="3"/>
        <v>2.6549619429538794E-3</v>
      </c>
      <c r="K87">
        <v>1</v>
      </c>
    </row>
    <row r="88" spans="1:11">
      <c r="A88" s="16">
        <v>42186</v>
      </c>
      <c r="B88" s="17" t="s">
        <v>141</v>
      </c>
      <c r="C88">
        <v>28343900</v>
      </c>
      <c r="D88">
        <f t="shared" si="2"/>
        <v>6.7719253383289732E-3</v>
      </c>
      <c r="G88" s="17" t="s">
        <v>1564</v>
      </c>
      <c r="H88">
        <v>3727260000</v>
      </c>
      <c r="J88">
        <f t="shared" si="3"/>
        <v>6.9120966992928731E-3</v>
      </c>
      <c r="K88">
        <v>1</v>
      </c>
    </row>
    <row r="89" spans="1:11">
      <c r="A89" s="16">
        <v>42187</v>
      </c>
      <c r="B89" s="17" t="s">
        <v>142</v>
      </c>
      <c r="C89">
        <v>21752000</v>
      </c>
      <c r="D89">
        <f t="shared" si="2"/>
        <v>-1.1257597579990846E-3</v>
      </c>
      <c r="G89" s="17" t="s">
        <v>1568</v>
      </c>
      <c r="H89">
        <v>2996540000</v>
      </c>
      <c r="J89">
        <f t="shared" si="3"/>
        <v>-3.0807039266700365E-4</v>
      </c>
      <c r="K89">
        <v>1</v>
      </c>
    </row>
    <row r="90" spans="1:11">
      <c r="A90" s="16">
        <v>42191</v>
      </c>
      <c r="B90" s="17" t="s">
        <v>143</v>
      </c>
      <c r="C90">
        <v>23034000</v>
      </c>
      <c r="D90">
        <f t="shared" si="2"/>
        <v>-2.251402826934709E-4</v>
      </c>
      <c r="G90" s="17" t="s">
        <v>1572</v>
      </c>
      <c r="H90">
        <v>3486360000</v>
      </c>
      <c r="J90">
        <f t="shared" si="3"/>
        <v>-3.8692324426552824E-3</v>
      </c>
      <c r="K90">
        <v>1</v>
      </c>
    </row>
    <row r="91" spans="1:11">
      <c r="A91" s="16">
        <v>42192</v>
      </c>
      <c r="B91" s="17" t="s">
        <v>144</v>
      </c>
      <c r="C91">
        <v>36435800</v>
      </c>
      <c r="D91">
        <f t="shared" si="2"/>
        <v>-2.0293924503410219E-3</v>
      </c>
      <c r="G91" s="17" t="s">
        <v>1576</v>
      </c>
      <c r="H91">
        <v>4458660000</v>
      </c>
      <c r="J91">
        <f t="shared" si="3"/>
        <v>6.0625605331265549E-3</v>
      </c>
      <c r="K91">
        <v>1</v>
      </c>
    </row>
    <row r="92" spans="1:11">
      <c r="A92" s="16">
        <v>42193</v>
      </c>
      <c r="B92" s="17" t="s">
        <v>145</v>
      </c>
      <c r="C92">
        <v>39785900</v>
      </c>
      <c r="D92">
        <f t="shared" si="2"/>
        <v>-1.35527805215972E-3</v>
      </c>
      <c r="G92" s="17" t="s">
        <v>1579</v>
      </c>
      <c r="H92">
        <v>3608780000</v>
      </c>
      <c r="J92">
        <f t="shared" si="3"/>
        <v>-1.6792964823456991E-2</v>
      </c>
      <c r="K92">
        <v>1</v>
      </c>
    </row>
    <row r="93" spans="1:11">
      <c r="A93" s="16">
        <v>42194</v>
      </c>
      <c r="B93" s="17" t="s">
        <v>146</v>
      </c>
      <c r="C93">
        <v>32424700</v>
      </c>
      <c r="D93">
        <f t="shared" si="2"/>
        <v>6.3092804120309619E-3</v>
      </c>
      <c r="G93" s="17" t="s">
        <v>1581</v>
      </c>
      <c r="H93">
        <v>3446810000</v>
      </c>
      <c r="J93">
        <f t="shared" si="3"/>
        <v>2.259647701629263E-3</v>
      </c>
      <c r="K93">
        <v>1</v>
      </c>
    </row>
    <row r="94" spans="1:11">
      <c r="A94" s="16">
        <v>42195</v>
      </c>
      <c r="B94" s="17" t="s">
        <v>147</v>
      </c>
      <c r="C94">
        <v>25465800</v>
      </c>
      <c r="D94">
        <f t="shared" si="2"/>
        <v>2.0194479166491183E-3</v>
      </c>
      <c r="G94" s="17" t="s">
        <v>1584</v>
      </c>
      <c r="H94">
        <v>3065070000</v>
      </c>
      <c r="J94">
        <f t="shared" si="3"/>
        <v>1.2262986096672604E-2</v>
      </c>
      <c r="K94">
        <v>1</v>
      </c>
    </row>
    <row r="95" spans="1:11">
      <c r="A95" s="16">
        <v>42198</v>
      </c>
      <c r="B95" s="17" t="s">
        <v>148</v>
      </c>
      <c r="C95">
        <v>28178300</v>
      </c>
      <c r="D95">
        <f t="shared" si="2"/>
        <v>2.0633118692152942E-2</v>
      </c>
      <c r="G95" s="17" t="s">
        <v>1587</v>
      </c>
      <c r="H95">
        <v>3096730000</v>
      </c>
      <c r="J95">
        <f t="shared" si="3"/>
        <v>1.1005268761367724E-2</v>
      </c>
      <c r="K95">
        <v>1</v>
      </c>
    </row>
    <row r="96" spans="1:11">
      <c r="A96" s="16">
        <v>42199</v>
      </c>
      <c r="B96" s="17" t="s">
        <v>149</v>
      </c>
      <c r="C96">
        <v>22880300</v>
      </c>
      <c r="D96">
        <f t="shared" si="2"/>
        <v>1.7548281301833419E-3</v>
      </c>
      <c r="G96" s="17" t="s">
        <v>1591</v>
      </c>
      <c r="H96">
        <v>3002120000</v>
      </c>
      <c r="J96">
        <f t="shared" si="3"/>
        <v>4.4432729912807552E-3</v>
      </c>
      <c r="K96">
        <v>1</v>
      </c>
    </row>
    <row r="97" spans="1:11">
      <c r="A97" s="16">
        <v>42200</v>
      </c>
      <c r="B97" s="17" t="s">
        <v>150</v>
      </c>
      <c r="C97">
        <v>26629600</v>
      </c>
      <c r="D97">
        <f t="shared" si="2"/>
        <v>3.0642932396240247E-3</v>
      </c>
      <c r="G97" s="17" t="s">
        <v>1595</v>
      </c>
      <c r="H97">
        <v>3261810000</v>
      </c>
      <c r="J97">
        <f t="shared" si="3"/>
        <v>-7.35256382355035E-4</v>
      </c>
      <c r="K97">
        <v>1</v>
      </c>
    </row>
    <row r="98" spans="1:11">
      <c r="A98" s="16">
        <v>42201</v>
      </c>
      <c r="B98" s="17" t="s">
        <v>151</v>
      </c>
      <c r="C98">
        <v>26271700</v>
      </c>
      <c r="D98">
        <f t="shared" si="2"/>
        <v>1.9476962468357735E-2</v>
      </c>
      <c r="G98" s="17" t="s">
        <v>1598</v>
      </c>
      <c r="H98">
        <v>3227080000</v>
      </c>
      <c r="J98">
        <f t="shared" si="3"/>
        <v>7.9827335781697557E-3</v>
      </c>
      <c r="K98">
        <v>1</v>
      </c>
    </row>
    <row r="99" spans="1:11">
      <c r="A99" s="16">
        <v>42202</v>
      </c>
      <c r="B99" s="17" t="s">
        <v>152</v>
      </c>
      <c r="C99">
        <v>29467100</v>
      </c>
      <c r="D99">
        <f t="shared" si="2"/>
        <v>-8.5761437534061572E-4</v>
      </c>
      <c r="G99" s="17" t="s">
        <v>1602</v>
      </c>
      <c r="H99">
        <v>3362750000</v>
      </c>
      <c r="J99">
        <f t="shared" si="3"/>
        <v>1.1055718522485251E-3</v>
      </c>
      <c r="K99">
        <v>1</v>
      </c>
    </row>
    <row r="100" spans="1:11">
      <c r="A100" s="16">
        <v>42205</v>
      </c>
      <c r="B100" s="17" t="s">
        <v>122</v>
      </c>
      <c r="C100">
        <v>30631900</v>
      </c>
      <c r="D100">
        <f t="shared" si="2"/>
        <v>6.4142865997689532E-3</v>
      </c>
      <c r="G100" s="17" t="s">
        <v>1606</v>
      </c>
      <c r="H100">
        <v>3245870000</v>
      </c>
      <c r="J100">
        <f t="shared" si="3"/>
        <v>7.7093628613465076E-4</v>
      </c>
      <c r="K100">
        <v>1</v>
      </c>
    </row>
    <row r="101" spans="1:11">
      <c r="A101" s="16">
        <v>42206</v>
      </c>
      <c r="B101" s="17" t="s">
        <v>153</v>
      </c>
      <c r="C101">
        <v>42781900</v>
      </c>
      <c r="D101">
        <f t="shared" si="2"/>
        <v>7.6433712469604889E-3</v>
      </c>
      <c r="G101" s="17" t="s">
        <v>1610</v>
      </c>
      <c r="H101">
        <v>3343690000</v>
      </c>
      <c r="J101">
        <f t="shared" si="3"/>
        <v>-4.2707960737403163E-3</v>
      </c>
      <c r="K101">
        <v>1</v>
      </c>
    </row>
    <row r="102" spans="1:11">
      <c r="A102" s="16">
        <v>42207</v>
      </c>
      <c r="B102" s="17" t="s">
        <v>148</v>
      </c>
      <c r="C102">
        <v>59152400</v>
      </c>
      <c r="D102">
        <f t="shared" si="2"/>
        <v>-3.7496127309554039E-2</v>
      </c>
      <c r="G102" s="17" t="s">
        <v>1614</v>
      </c>
      <c r="H102">
        <v>3694070000</v>
      </c>
      <c r="J102">
        <f t="shared" si="3"/>
        <v>-2.3905652122773076E-3</v>
      </c>
      <c r="K102">
        <v>1</v>
      </c>
    </row>
    <row r="103" spans="1:11">
      <c r="A103" s="16">
        <v>42208</v>
      </c>
      <c r="B103" s="17" t="s">
        <v>154</v>
      </c>
      <c r="C103">
        <v>33934000</v>
      </c>
      <c r="D103">
        <f t="shared" si="2"/>
        <v>1.2438581658724265E-2</v>
      </c>
      <c r="G103" s="17" t="s">
        <v>1617</v>
      </c>
      <c r="H103">
        <v>3772810000</v>
      </c>
      <c r="J103">
        <f t="shared" si="3"/>
        <v>-5.6922102123075392E-3</v>
      </c>
      <c r="K103">
        <v>1</v>
      </c>
    </row>
    <row r="104" spans="1:11">
      <c r="A104" s="16">
        <v>42209</v>
      </c>
      <c r="B104" s="17" t="s">
        <v>155</v>
      </c>
      <c r="C104">
        <v>32333200</v>
      </c>
      <c r="D104">
        <f t="shared" si="2"/>
        <v>-3.6936349546662331E-3</v>
      </c>
      <c r="G104" s="17" t="s">
        <v>1621</v>
      </c>
      <c r="H104">
        <v>3870040000</v>
      </c>
      <c r="J104">
        <f t="shared" si="3"/>
        <v>-1.0761020698430391E-2</v>
      </c>
      <c r="K104">
        <v>1</v>
      </c>
    </row>
    <row r="105" spans="1:11">
      <c r="A105" s="16">
        <v>42212</v>
      </c>
      <c r="B105" s="17" t="s">
        <v>156</v>
      </c>
      <c r="C105">
        <v>39701400</v>
      </c>
      <c r="D105">
        <f t="shared" si="2"/>
        <v>-1.2926158517456295E-2</v>
      </c>
      <c r="G105" s="17" t="s">
        <v>1624</v>
      </c>
      <c r="H105">
        <v>3836750000</v>
      </c>
      <c r="J105">
        <f t="shared" si="3"/>
        <v>-5.7917546957350231E-3</v>
      </c>
      <c r="K105">
        <v>1</v>
      </c>
    </row>
    <row r="106" spans="1:11">
      <c r="A106" s="16">
        <v>42213</v>
      </c>
      <c r="B106" s="17" t="s">
        <v>157</v>
      </c>
      <c r="C106">
        <v>34328900</v>
      </c>
      <c r="D106">
        <f t="shared" si="2"/>
        <v>-2.2044776013179648E-4</v>
      </c>
      <c r="G106" s="17" t="s">
        <v>1628</v>
      </c>
      <c r="H106">
        <v>4117740000</v>
      </c>
      <c r="J106">
        <f t="shared" si="3"/>
        <v>1.2310073597852267E-2</v>
      </c>
      <c r="K106">
        <v>1</v>
      </c>
    </row>
    <row r="107" spans="1:11">
      <c r="A107" s="16">
        <v>42214</v>
      </c>
      <c r="B107" s="17" t="s">
        <v>158</v>
      </c>
      <c r="C107">
        <v>40945900</v>
      </c>
      <c r="D107">
        <f t="shared" si="2"/>
        <v>2.0736325540690864E-2</v>
      </c>
      <c r="G107" s="17" t="s">
        <v>1632</v>
      </c>
      <c r="H107">
        <v>4038900000</v>
      </c>
      <c r="J107">
        <f t="shared" si="3"/>
        <v>7.2921427569481731E-3</v>
      </c>
      <c r="K107">
        <v>1</v>
      </c>
    </row>
    <row r="108" spans="1:11">
      <c r="A108" s="16">
        <v>42215</v>
      </c>
      <c r="B108" s="17" t="s">
        <v>159</v>
      </c>
      <c r="C108">
        <v>39777900</v>
      </c>
      <c r="D108">
        <f t="shared" si="2"/>
        <v>1.2665230013537171E-2</v>
      </c>
      <c r="G108" s="17" t="s">
        <v>1636</v>
      </c>
      <c r="H108">
        <v>3579410000</v>
      </c>
      <c r="J108">
        <f t="shared" si="3"/>
        <v>2.8367163378208414E-5</v>
      </c>
      <c r="K108">
        <v>1</v>
      </c>
    </row>
    <row r="109" spans="1:11">
      <c r="A109" s="16">
        <v>42216</v>
      </c>
      <c r="B109" s="17" t="s">
        <v>160</v>
      </c>
      <c r="C109">
        <v>31201500</v>
      </c>
      <c r="D109">
        <f t="shared" si="2"/>
        <v>-3.846861855213368E-3</v>
      </c>
      <c r="G109" s="17" t="s">
        <v>1640</v>
      </c>
      <c r="H109">
        <v>3681340000</v>
      </c>
      <c r="J109">
        <f t="shared" si="3"/>
        <v>-2.2741038379837917E-3</v>
      </c>
      <c r="K109">
        <v>1</v>
      </c>
    </row>
    <row r="110" spans="1:11">
      <c r="A110" s="16">
        <v>42219</v>
      </c>
      <c r="B110" s="17" t="s">
        <v>161</v>
      </c>
      <c r="C110">
        <v>24125900</v>
      </c>
      <c r="D110">
        <f t="shared" si="2"/>
        <v>2.352527732137536E-3</v>
      </c>
      <c r="G110" s="17" t="s">
        <v>1644</v>
      </c>
      <c r="H110">
        <v>3476770000</v>
      </c>
      <c r="J110">
        <f t="shared" si="3"/>
        <v>-2.7606940266825457E-3</v>
      </c>
      <c r="K110">
        <v>1</v>
      </c>
    </row>
    <row r="111" spans="1:11">
      <c r="A111" s="16">
        <v>42220</v>
      </c>
      <c r="B111" s="17" t="s">
        <v>162</v>
      </c>
      <c r="C111">
        <v>33403900</v>
      </c>
      <c r="D111">
        <f t="shared" si="2"/>
        <v>1.5474593949255053E-2</v>
      </c>
      <c r="G111" s="17" t="s">
        <v>1648</v>
      </c>
      <c r="H111">
        <v>3546710000</v>
      </c>
      <c r="J111">
        <f t="shared" si="3"/>
        <v>-2.2522393088201631E-3</v>
      </c>
      <c r="K111">
        <v>1</v>
      </c>
    </row>
    <row r="112" spans="1:11">
      <c r="A112" s="16">
        <v>42221</v>
      </c>
      <c r="B112" s="17" t="s">
        <v>114</v>
      </c>
      <c r="C112">
        <v>26959700</v>
      </c>
      <c r="D112">
        <f t="shared" si="2"/>
        <v>8.4118692007114574E-4</v>
      </c>
      <c r="G112" s="17" t="s">
        <v>1651</v>
      </c>
      <c r="H112">
        <v>3968680000</v>
      </c>
      <c r="J112">
        <f t="shared" si="3"/>
        <v>3.1098384092550632E-3</v>
      </c>
      <c r="K112">
        <v>1</v>
      </c>
    </row>
    <row r="113" spans="1:11">
      <c r="A113" s="16">
        <v>42222</v>
      </c>
      <c r="B113" s="17" t="s">
        <v>152</v>
      </c>
      <c r="C113">
        <v>27368000</v>
      </c>
      <c r="D113">
        <f t="shared" si="2"/>
        <v>-2.0382873264123535E-2</v>
      </c>
      <c r="G113" s="17" t="s">
        <v>1655</v>
      </c>
      <c r="H113">
        <v>4246570000</v>
      </c>
      <c r="J113">
        <f t="shared" si="3"/>
        <v>-7.7831957796706099E-3</v>
      </c>
      <c r="K113">
        <v>1</v>
      </c>
    </row>
    <row r="114" spans="1:11">
      <c r="A114" s="16">
        <v>42223</v>
      </c>
      <c r="B114" s="17" t="s">
        <v>163</v>
      </c>
      <c r="C114">
        <v>19163000</v>
      </c>
      <c r="D114">
        <f t="shared" si="2"/>
        <v>2.5708047894536057E-3</v>
      </c>
      <c r="G114" s="17" t="s">
        <v>1658</v>
      </c>
      <c r="H114">
        <v>3602320000</v>
      </c>
      <c r="J114">
        <f t="shared" si="3"/>
        <v>-2.8790232242949477E-3</v>
      </c>
      <c r="K114">
        <v>1</v>
      </c>
    </row>
    <row r="115" spans="1:11">
      <c r="A115" s="16">
        <v>42226</v>
      </c>
      <c r="B115" s="17" t="s">
        <v>164</v>
      </c>
      <c r="C115">
        <v>23079900</v>
      </c>
      <c r="D115">
        <f t="shared" si="2"/>
        <v>1.2543702087368323E-2</v>
      </c>
      <c r="G115" s="17" t="s">
        <v>1661</v>
      </c>
      <c r="H115">
        <v>3514460000</v>
      </c>
      <c r="J115">
        <f t="shared" si="3"/>
        <v>1.2726835975794628E-2</v>
      </c>
      <c r="K115">
        <v>1</v>
      </c>
    </row>
    <row r="116" spans="1:11">
      <c r="A116" s="16">
        <v>42227</v>
      </c>
      <c r="B116" s="17" t="s">
        <v>165</v>
      </c>
      <c r="C116">
        <v>29237400</v>
      </c>
      <c r="D116">
        <f t="shared" si="2"/>
        <v>-1.9629225518271561E-2</v>
      </c>
      <c r="G116" s="17" t="s">
        <v>1664</v>
      </c>
      <c r="H116">
        <v>3708880000</v>
      </c>
      <c r="J116">
        <f t="shared" si="3"/>
        <v>-9.6030650234122886E-3</v>
      </c>
      <c r="K116">
        <v>1</v>
      </c>
    </row>
    <row r="117" spans="1:11">
      <c r="A117" s="16">
        <v>42228</v>
      </c>
      <c r="B117" s="17" t="s">
        <v>163</v>
      </c>
      <c r="C117">
        <v>30181400</v>
      </c>
      <c r="D117">
        <f t="shared" si="2"/>
        <v>7.0855234309032877E-3</v>
      </c>
      <c r="G117" s="17" t="s">
        <v>1668</v>
      </c>
      <c r="H117">
        <v>4269130000</v>
      </c>
      <c r="J117">
        <f t="shared" si="3"/>
        <v>9.4960389304633061E-4</v>
      </c>
      <c r="K117">
        <v>1</v>
      </c>
    </row>
    <row r="118" spans="1:11">
      <c r="A118" s="16">
        <v>42229</v>
      </c>
      <c r="B118" s="17" t="s">
        <v>166</v>
      </c>
      <c r="C118">
        <v>22627200</v>
      </c>
      <c r="D118">
        <f t="shared" si="2"/>
        <v>-2.1396183448128971E-4</v>
      </c>
      <c r="G118" s="17" t="s">
        <v>1672</v>
      </c>
      <c r="H118">
        <v>3221300000</v>
      </c>
      <c r="J118">
        <f t="shared" si="3"/>
        <v>-1.2760257482792195E-3</v>
      </c>
      <c r="K118">
        <v>1</v>
      </c>
    </row>
    <row r="119" spans="1:11">
      <c r="A119" s="16">
        <v>42230</v>
      </c>
      <c r="B119" s="17" t="s">
        <v>167</v>
      </c>
      <c r="C119">
        <v>21473400</v>
      </c>
      <c r="D119">
        <f t="shared" si="2"/>
        <v>5.76124267990092E-3</v>
      </c>
      <c r="G119" s="17" t="s">
        <v>1676</v>
      </c>
      <c r="H119">
        <v>2795590000</v>
      </c>
      <c r="J119">
        <f t="shared" si="3"/>
        <v>3.904332041982352E-3</v>
      </c>
      <c r="K119">
        <v>1</v>
      </c>
    </row>
    <row r="120" spans="1:11">
      <c r="A120" s="16">
        <v>42233</v>
      </c>
      <c r="B120" s="17" t="s">
        <v>168</v>
      </c>
      <c r="C120">
        <v>21099700</v>
      </c>
      <c r="D120">
        <f t="shared" si="2"/>
        <v>6.7852199424491399E-3</v>
      </c>
      <c r="G120" s="17" t="s">
        <v>1679</v>
      </c>
      <c r="H120">
        <v>2867690000</v>
      </c>
      <c r="J120">
        <f t="shared" si="3"/>
        <v>5.1978915460573353E-3</v>
      </c>
      <c r="K120">
        <v>1</v>
      </c>
    </row>
    <row r="121" spans="1:11">
      <c r="A121" s="16">
        <v>42234</v>
      </c>
      <c r="B121" s="17" t="s">
        <v>169</v>
      </c>
      <c r="C121">
        <v>23574100</v>
      </c>
      <c r="D121">
        <f t="shared" si="2"/>
        <v>5.5155087936888609E-3</v>
      </c>
      <c r="G121" s="17" t="s">
        <v>1683</v>
      </c>
      <c r="H121">
        <v>2949990000</v>
      </c>
      <c r="J121">
        <f t="shared" si="3"/>
        <v>-2.628982682793983E-3</v>
      </c>
      <c r="K121">
        <v>1</v>
      </c>
    </row>
    <row r="122" spans="1:11">
      <c r="A122" s="16">
        <v>42235</v>
      </c>
      <c r="B122" s="17" t="s">
        <v>170</v>
      </c>
      <c r="C122">
        <v>31485500</v>
      </c>
      <c r="D122">
        <f t="shared" si="2"/>
        <v>-1.4060797270217718E-2</v>
      </c>
      <c r="G122" s="17" t="s">
        <v>1687</v>
      </c>
      <c r="H122">
        <v>3512920000</v>
      </c>
      <c r="J122">
        <f t="shared" si="3"/>
        <v>-8.2891366720709101E-3</v>
      </c>
      <c r="K122">
        <v>1</v>
      </c>
    </row>
    <row r="123" spans="1:11">
      <c r="A123" s="16">
        <v>42236</v>
      </c>
      <c r="B123" s="17" t="s">
        <v>171</v>
      </c>
      <c r="C123">
        <v>36238200</v>
      </c>
      <c r="D123">
        <f t="shared" si="2"/>
        <v>-2.0592235292877046E-2</v>
      </c>
      <c r="G123" s="17" t="s">
        <v>1689</v>
      </c>
      <c r="H123">
        <v>3922470000</v>
      </c>
      <c r="J123">
        <f t="shared" si="3"/>
        <v>-2.1325960481545045E-2</v>
      </c>
      <c r="K123">
        <v>1</v>
      </c>
    </row>
    <row r="124" spans="1:11">
      <c r="A124" s="16">
        <v>42237</v>
      </c>
      <c r="B124" s="17" t="s">
        <v>172</v>
      </c>
      <c r="C124">
        <v>70053100</v>
      </c>
      <c r="D124">
        <f t="shared" si="2"/>
        <v>-5.8395986855485658E-2</v>
      </c>
      <c r="G124" s="17" t="s">
        <v>1691</v>
      </c>
      <c r="H124">
        <v>5018240000</v>
      </c>
      <c r="J124">
        <f t="shared" si="3"/>
        <v>-3.236924211323932E-2</v>
      </c>
      <c r="K124">
        <v>1</v>
      </c>
    </row>
    <row r="125" spans="1:11">
      <c r="A125" s="16">
        <v>42240</v>
      </c>
      <c r="B125" s="17" t="s">
        <v>173</v>
      </c>
      <c r="C125">
        <v>88753700</v>
      </c>
      <c r="D125">
        <f t="shared" si="2"/>
        <v>-3.280551546552387E-2</v>
      </c>
      <c r="G125" s="17" t="s">
        <v>1694</v>
      </c>
      <c r="H125">
        <v>6612690000</v>
      </c>
      <c r="J125">
        <f t="shared" si="3"/>
        <v>-4.0211444491884053E-2</v>
      </c>
      <c r="K125">
        <v>1</v>
      </c>
    </row>
    <row r="126" spans="1:11">
      <c r="A126" s="16">
        <v>42241</v>
      </c>
      <c r="B126" s="17" t="s">
        <v>174</v>
      </c>
      <c r="C126">
        <v>70616600</v>
      </c>
      <c r="D126">
        <f t="shared" si="2"/>
        <v>-2.9460321426897956E-2</v>
      </c>
      <c r="G126" s="17" t="s">
        <v>1698</v>
      </c>
      <c r="H126">
        <v>5183560000</v>
      </c>
      <c r="J126">
        <f t="shared" si="3"/>
        <v>-1.3614249963910554E-2</v>
      </c>
      <c r="K126">
        <v>1</v>
      </c>
    </row>
    <row r="127" spans="1:11">
      <c r="A127" s="16">
        <v>42242</v>
      </c>
      <c r="B127" s="17" t="s">
        <v>175</v>
      </c>
      <c r="C127">
        <v>63408000</v>
      </c>
      <c r="D127">
        <f t="shared" si="2"/>
        <v>5.3872263222360363E-2</v>
      </c>
      <c r="G127" s="17" t="s">
        <v>1701</v>
      </c>
      <c r="H127">
        <v>5338250000</v>
      </c>
      <c r="J127">
        <f t="shared" si="3"/>
        <v>3.8291299743553803E-2</v>
      </c>
      <c r="K127">
        <v>1</v>
      </c>
    </row>
    <row r="128" spans="1:11">
      <c r="A128" s="16">
        <v>42243</v>
      </c>
      <c r="B128" s="17" t="s">
        <v>176</v>
      </c>
      <c r="C128">
        <v>50943200</v>
      </c>
      <c r="D128">
        <f t="shared" si="2"/>
        <v>2.7481060109153684E-2</v>
      </c>
      <c r="G128" s="17" t="s">
        <v>1704</v>
      </c>
      <c r="H128">
        <v>5006390000</v>
      </c>
      <c r="J128">
        <f t="shared" si="3"/>
        <v>2.4007254278508312E-2</v>
      </c>
      <c r="K128">
        <v>1</v>
      </c>
    </row>
    <row r="129" spans="1:11">
      <c r="A129" s="16">
        <v>42244</v>
      </c>
      <c r="B129" s="17" t="s">
        <v>177</v>
      </c>
      <c r="C129">
        <v>28246700</v>
      </c>
      <c r="D129">
        <f t="shared" si="2"/>
        <v>6.8331537053691234E-4</v>
      </c>
      <c r="G129" s="17" t="s">
        <v>1708</v>
      </c>
      <c r="H129">
        <v>3949080000</v>
      </c>
      <c r="J129">
        <f t="shared" si="3"/>
        <v>6.0855118835607827E-4</v>
      </c>
      <c r="K129">
        <v>1</v>
      </c>
    </row>
    <row r="130" spans="1:11">
      <c r="A130" s="16">
        <v>42247</v>
      </c>
      <c r="B130" s="17" t="s">
        <v>178</v>
      </c>
      <c r="C130">
        <v>34441700</v>
      </c>
      <c r="D130">
        <f t="shared" si="2"/>
        <v>-9.3771304217321917E-3</v>
      </c>
      <c r="G130" s="17" t="s">
        <v>1711</v>
      </c>
      <c r="H130">
        <v>3915100000</v>
      </c>
      <c r="J130">
        <f t="shared" si="3"/>
        <v>-8.4270784584924117E-3</v>
      </c>
      <c r="K130">
        <v>1</v>
      </c>
    </row>
    <row r="131" spans="1:11">
      <c r="A131" s="16">
        <v>42248</v>
      </c>
      <c r="B131" s="17" t="s">
        <v>179</v>
      </c>
      <c r="C131">
        <v>49688900</v>
      </c>
      <c r="D131">
        <f t="shared" si="2"/>
        <v>-3.9845761719502097E-2</v>
      </c>
      <c r="G131" s="17" t="s">
        <v>1714</v>
      </c>
      <c r="H131">
        <v>4371850000</v>
      </c>
      <c r="J131">
        <f t="shared" si="3"/>
        <v>-3.0022649772647417E-2</v>
      </c>
      <c r="K131">
        <v>1</v>
      </c>
    </row>
    <row r="132" spans="1:11">
      <c r="A132" s="16">
        <v>42249</v>
      </c>
      <c r="B132" s="17" t="s">
        <v>180</v>
      </c>
      <c r="C132">
        <v>37671500</v>
      </c>
      <c r="D132">
        <f t="shared" si="2"/>
        <v>3.6162533195583275E-2</v>
      </c>
      <c r="G132" s="17" t="s">
        <v>1717</v>
      </c>
      <c r="H132">
        <v>3742620000</v>
      </c>
      <c r="J132">
        <f t="shared" si="3"/>
        <v>1.8127671026470109E-2</v>
      </c>
      <c r="K132">
        <v>1</v>
      </c>
    </row>
    <row r="133" spans="1:11">
      <c r="A133" s="16">
        <v>42250</v>
      </c>
      <c r="B133" s="17" t="s">
        <v>181</v>
      </c>
      <c r="C133">
        <v>28285200</v>
      </c>
      <c r="D133">
        <f t="shared" ref="D133:D196" si="4">LN(B133/B132)</f>
        <v>3.223629086871108E-3</v>
      </c>
      <c r="G133" s="17" t="s">
        <v>1721</v>
      </c>
      <c r="H133">
        <v>3520700000</v>
      </c>
      <c r="J133">
        <f t="shared" ref="J133:J196" si="5">LN(G133/G132)</f>
        <v>1.1641159398742432E-3</v>
      </c>
      <c r="K133">
        <v>1</v>
      </c>
    </row>
    <row r="134" spans="1:11">
      <c r="A134" s="16">
        <v>42251</v>
      </c>
      <c r="B134" s="17" t="s">
        <v>182</v>
      </c>
      <c r="C134">
        <v>37138800</v>
      </c>
      <c r="D134">
        <f t="shared" si="4"/>
        <v>-2.0671713043898698E-2</v>
      </c>
      <c r="G134" s="17" t="s">
        <v>1724</v>
      </c>
      <c r="H134">
        <v>3167090000</v>
      </c>
      <c r="J134">
        <f t="shared" si="5"/>
        <v>-1.5448308659813455E-2</v>
      </c>
      <c r="K134">
        <v>1</v>
      </c>
    </row>
    <row r="135" spans="1:11">
      <c r="A135" s="16">
        <v>42255</v>
      </c>
      <c r="B135" s="17" t="s">
        <v>183</v>
      </c>
      <c r="C135">
        <v>32469800</v>
      </c>
      <c r="D135">
        <f t="shared" si="4"/>
        <v>2.9597293510733837E-2</v>
      </c>
      <c r="G135" s="17" t="s">
        <v>1727</v>
      </c>
      <c r="H135">
        <v>3548650000</v>
      </c>
      <c r="J135">
        <f t="shared" si="5"/>
        <v>2.477363695127497E-2</v>
      </c>
      <c r="K135">
        <v>1</v>
      </c>
    </row>
    <row r="136" spans="1:11">
      <c r="A136" s="16">
        <v>42256</v>
      </c>
      <c r="B136" s="17" t="s">
        <v>172</v>
      </c>
      <c r="C136">
        <v>33469500</v>
      </c>
      <c r="D136">
        <f t="shared" si="4"/>
        <v>-1.885965241768427E-2</v>
      </c>
      <c r="G136" s="17" t="s">
        <v>1731</v>
      </c>
      <c r="H136">
        <v>3652120000</v>
      </c>
      <c r="J136">
        <f t="shared" si="5"/>
        <v>-1.3995035710028114E-2</v>
      </c>
      <c r="K136">
        <v>1</v>
      </c>
    </row>
    <row r="137" spans="1:11">
      <c r="A137" s="16">
        <v>42257</v>
      </c>
      <c r="B137" s="17" t="s">
        <v>184</v>
      </c>
      <c r="C137">
        <v>31366600</v>
      </c>
      <c r="D137">
        <f t="shared" si="4"/>
        <v>5.0947735810866245E-3</v>
      </c>
      <c r="G137" s="17" t="s">
        <v>1735</v>
      </c>
      <c r="H137">
        <v>3626320000</v>
      </c>
      <c r="J137">
        <f t="shared" si="5"/>
        <v>5.2640754451046302E-3</v>
      </c>
      <c r="K137">
        <v>1</v>
      </c>
    </row>
    <row r="138" spans="1:11">
      <c r="A138" s="16">
        <v>42258</v>
      </c>
      <c r="B138" s="17" t="s">
        <v>185</v>
      </c>
      <c r="C138">
        <v>27132500</v>
      </c>
      <c r="D138">
        <f t="shared" si="4"/>
        <v>4.3795631321570079E-3</v>
      </c>
      <c r="G138" s="17" t="s">
        <v>1737</v>
      </c>
      <c r="H138">
        <v>3218590000</v>
      </c>
      <c r="J138">
        <f t="shared" si="5"/>
        <v>4.4770065646443351E-3</v>
      </c>
      <c r="K138">
        <v>1</v>
      </c>
    </row>
    <row r="139" spans="1:11">
      <c r="A139" s="16">
        <v>42261</v>
      </c>
      <c r="B139" s="17" t="s">
        <v>186</v>
      </c>
      <c r="C139">
        <v>23656000</v>
      </c>
      <c r="D139">
        <f t="shared" si="4"/>
        <v>-1.0171199231793002E-2</v>
      </c>
      <c r="G139" s="17" t="s">
        <v>1741</v>
      </c>
      <c r="H139">
        <v>3000200000</v>
      </c>
      <c r="J139">
        <f t="shared" si="5"/>
        <v>-4.0980414626955409E-3</v>
      </c>
      <c r="K139">
        <v>1</v>
      </c>
    </row>
    <row r="140" spans="1:11">
      <c r="A140" s="16">
        <v>42262</v>
      </c>
      <c r="B140" s="17" t="s">
        <v>187</v>
      </c>
      <c r="C140">
        <v>28882200</v>
      </c>
      <c r="D140">
        <f t="shared" si="4"/>
        <v>2.160510505802829E-2</v>
      </c>
      <c r="G140" s="17" t="s">
        <v>1745</v>
      </c>
      <c r="H140">
        <v>3239860000</v>
      </c>
      <c r="J140">
        <f t="shared" si="5"/>
        <v>1.2749687874278685E-2</v>
      </c>
      <c r="K140">
        <v>1</v>
      </c>
    </row>
    <row r="141" spans="1:11">
      <c r="A141" s="16">
        <v>42263</v>
      </c>
      <c r="B141" s="17" t="s">
        <v>188</v>
      </c>
      <c r="C141">
        <v>23372200</v>
      </c>
      <c r="D141">
        <f t="shared" si="4"/>
        <v>7.2495586542115813E-3</v>
      </c>
      <c r="G141" s="17" t="s">
        <v>1749</v>
      </c>
      <c r="H141">
        <v>3630680000</v>
      </c>
      <c r="J141">
        <f t="shared" si="5"/>
        <v>8.6677408281392605E-3</v>
      </c>
      <c r="K141">
        <v>1</v>
      </c>
    </row>
    <row r="142" spans="1:11">
      <c r="A142" s="16">
        <v>42264</v>
      </c>
      <c r="B142" s="17" t="s">
        <v>189</v>
      </c>
      <c r="C142">
        <v>32768200</v>
      </c>
      <c r="D142">
        <f t="shared" si="4"/>
        <v>-1.129417867391361E-3</v>
      </c>
      <c r="G142" s="17" t="s">
        <v>1752</v>
      </c>
      <c r="H142">
        <v>4183790000</v>
      </c>
      <c r="J142">
        <f t="shared" si="5"/>
        <v>-2.5643447325231369E-3</v>
      </c>
      <c r="K142">
        <v>1</v>
      </c>
    </row>
    <row r="143" spans="1:11">
      <c r="A143" s="16">
        <v>42265</v>
      </c>
      <c r="B143" s="17" t="s">
        <v>185</v>
      </c>
      <c r="C143">
        <v>63143700</v>
      </c>
      <c r="D143">
        <f t="shared" si="4"/>
        <v>-1.755404661305528E-2</v>
      </c>
      <c r="G143" s="17" t="s">
        <v>1755</v>
      </c>
      <c r="H143">
        <v>6021240000</v>
      </c>
      <c r="J143">
        <f t="shared" si="5"/>
        <v>-1.6296231019642143E-2</v>
      </c>
      <c r="K143">
        <v>1</v>
      </c>
    </row>
    <row r="144" spans="1:11">
      <c r="A144" s="16">
        <v>42268</v>
      </c>
      <c r="B144" s="17" t="s">
        <v>190</v>
      </c>
      <c r="C144">
        <v>26177200</v>
      </c>
      <c r="D144">
        <f t="shared" si="4"/>
        <v>1.4385538647366958E-2</v>
      </c>
      <c r="G144" s="17" t="s">
        <v>1759</v>
      </c>
      <c r="H144">
        <v>3269350000</v>
      </c>
      <c r="J144">
        <f t="shared" si="5"/>
        <v>4.5553923362219801E-3</v>
      </c>
      <c r="K144">
        <v>1</v>
      </c>
    </row>
    <row r="145" spans="1:11">
      <c r="A145" s="16">
        <v>42269</v>
      </c>
      <c r="B145" s="17" t="s">
        <v>176</v>
      </c>
      <c r="C145">
        <v>28085900</v>
      </c>
      <c r="D145">
        <f t="shared" si="4"/>
        <v>-4.7723889215184846E-3</v>
      </c>
      <c r="G145" s="17" t="s">
        <v>1762</v>
      </c>
      <c r="H145">
        <v>3808260000</v>
      </c>
      <c r="J145">
        <f t="shared" si="5"/>
        <v>-1.2394930290949867E-2</v>
      </c>
      <c r="K145">
        <v>1</v>
      </c>
    </row>
    <row r="146" spans="1:11">
      <c r="A146" s="16">
        <v>42270</v>
      </c>
      <c r="B146" s="17" t="s">
        <v>191</v>
      </c>
      <c r="C146">
        <v>17145200</v>
      </c>
      <c r="D146">
        <f t="shared" si="4"/>
        <v>-6.8365784840493079E-4</v>
      </c>
      <c r="G146" s="17" t="s">
        <v>1766</v>
      </c>
      <c r="H146">
        <v>3190530000</v>
      </c>
      <c r="J146">
        <f t="shared" si="5"/>
        <v>-2.0507439880633901E-3</v>
      </c>
      <c r="K146">
        <v>1</v>
      </c>
    </row>
    <row r="147" spans="1:11">
      <c r="A147" s="16">
        <v>42271</v>
      </c>
      <c r="B147" s="17" t="s">
        <v>192</v>
      </c>
      <c r="C147">
        <v>27905600</v>
      </c>
      <c r="D147">
        <f t="shared" si="4"/>
        <v>9.1143997329487265E-4</v>
      </c>
      <c r="G147" s="17" t="s">
        <v>1770</v>
      </c>
      <c r="H147">
        <v>4091530000</v>
      </c>
      <c r="J147">
        <f t="shared" si="5"/>
        <v>-3.3686521134926087E-3</v>
      </c>
      <c r="K147">
        <v>1</v>
      </c>
    </row>
    <row r="148" spans="1:11">
      <c r="A148" s="16">
        <v>42272</v>
      </c>
      <c r="B148" s="17" t="s">
        <v>193</v>
      </c>
      <c r="C148">
        <v>29384600</v>
      </c>
      <c r="D148">
        <f t="shared" si="4"/>
        <v>6.8296049432493464E-4</v>
      </c>
      <c r="G148" s="17" t="s">
        <v>1774</v>
      </c>
      <c r="H148">
        <v>3721870000</v>
      </c>
      <c r="J148">
        <f t="shared" si="5"/>
        <v>-4.6590158688575067E-4</v>
      </c>
      <c r="K148">
        <v>1</v>
      </c>
    </row>
    <row r="149" spans="1:11">
      <c r="A149" s="16">
        <v>42275</v>
      </c>
      <c r="B149" s="17" t="s">
        <v>184</v>
      </c>
      <c r="C149">
        <v>27613800</v>
      </c>
      <c r="D149">
        <f t="shared" si="4"/>
        <v>-1.4903455477220384E-2</v>
      </c>
      <c r="G149" s="17" t="s">
        <v>1777</v>
      </c>
      <c r="H149">
        <v>4326660000</v>
      </c>
      <c r="J149">
        <f t="shared" si="5"/>
        <v>-2.6001211006746214E-2</v>
      </c>
      <c r="K149">
        <v>1</v>
      </c>
    </row>
    <row r="150" spans="1:11">
      <c r="A150" s="16">
        <v>42276</v>
      </c>
      <c r="B150" s="17" t="s">
        <v>194</v>
      </c>
      <c r="C150">
        <v>32763600</v>
      </c>
      <c r="D150">
        <f t="shared" si="4"/>
        <v>3.4592817064886105E-3</v>
      </c>
      <c r="G150" s="17" t="s">
        <v>1781</v>
      </c>
      <c r="H150">
        <v>4132390000</v>
      </c>
      <c r="J150">
        <f t="shared" si="5"/>
        <v>1.2320937592521393E-3</v>
      </c>
      <c r="K150">
        <v>1</v>
      </c>
    </row>
    <row r="151" spans="1:11">
      <c r="A151" s="16">
        <v>42277</v>
      </c>
      <c r="B151" s="17" t="s">
        <v>195</v>
      </c>
      <c r="C151">
        <v>34958900</v>
      </c>
      <c r="D151">
        <f t="shared" si="4"/>
        <v>1.8700506594695895E-2</v>
      </c>
      <c r="G151" s="17" t="s">
        <v>1784</v>
      </c>
      <c r="H151">
        <v>4525070000</v>
      </c>
      <c r="J151">
        <f t="shared" si="5"/>
        <v>1.8895898353574289E-2</v>
      </c>
      <c r="K151">
        <v>1</v>
      </c>
    </row>
    <row r="152" spans="1:11">
      <c r="A152" s="16">
        <v>42278</v>
      </c>
      <c r="B152" s="17" t="s">
        <v>196</v>
      </c>
      <c r="C152">
        <v>28657900</v>
      </c>
      <c r="D152">
        <f t="shared" si="4"/>
        <v>7.8766589539375625E-3</v>
      </c>
      <c r="G152" s="17" t="s">
        <v>1788</v>
      </c>
      <c r="H152">
        <v>3983600000</v>
      </c>
      <c r="J152">
        <f t="shared" si="5"/>
        <v>1.9719386827028343E-3</v>
      </c>
      <c r="K152">
        <v>1</v>
      </c>
    </row>
    <row r="153" spans="1:11">
      <c r="A153" s="16">
        <v>42279</v>
      </c>
      <c r="B153" s="17" t="s">
        <v>197</v>
      </c>
      <c r="C153">
        <v>41839000</v>
      </c>
      <c r="D153">
        <f t="shared" si="4"/>
        <v>2.1291721765409038E-2</v>
      </c>
      <c r="G153" s="17" t="s">
        <v>1790</v>
      </c>
      <c r="H153">
        <v>4378570000</v>
      </c>
      <c r="J153">
        <f t="shared" si="5"/>
        <v>1.4213792986497257E-2</v>
      </c>
      <c r="K153">
        <v>1</v>
      </c>
    </row>
    <row r="154" spans="1:11">
      <c r="A154" s="16">
        <v>42282</v>
      </c>
      <c r="B154" s="17" t="s">
        <v>198</v>
      </c>
      <c r="C154">
        <v>34369300</v>
      </c>
      <c r="D154">
        <f t="shared" si="4"/>
        <v>2.2994524491624951E-2</v>
      </c>
      <c r="G154" s="17" t="s">
        <v>1794</v>
      </c>
      <c r="H154">
        <v>4334490000</v>
      </c>
      <c r="J154">
        <f t="shared" si="5"/>
        <v>1.8124593785162658E-2</v>
      </c>
      <c r="K154">
        <v>1</v>
      </c>
    </row>
    <row r="155" spans="1:11">
      <c r="A155" s="16">
        <v>42283</v>
      </c>
      <c r="B155" s="17" t="s">
        <v>199</v>
      </c>
      <c r="C155">
        <v>27017200</v>
      </c>
      <c r="D155">
        <f t="shared" si="4"/>
        <v>2.5699451053421739E-3</v>
      </c>
      <c r="G155" s="17" t="s">
        <v>1798</v>
      </c>
      <c r="H155">
        <v>4202400000</v>
      </c>
      <c r="J155">
        <f t="shared" si="5"/>
        <v>-3.5946894030197459E-3</v>
      </c>
      <c r="K155">
        <v>1</v>
      </c>
    </row>
    <row r="156" spans="1:11">
      <c r="A156" s="16">
        <v>42284</v>
      </c>
      <c r="B156" s="17" t="s">
        <v>200</v>
      </c>
      <c r="C156">
        <v>27711500</v>
      </c>
      <c r="D156">
        <f t="shared" si="4"/>
        <v>1.0688661866825508E-3</v>
      </c>
      <c r="G156" s="17" t="s">
        <v>1802</v>
      </c>
      <c r="H156">
        <v>4666470000</v>
      </c>
      <c r="J156">
        <f t="shared" si="5"/>
        <v>8.0035198025308167E-3</v>
      </c>
      <c r="K156">
        <v>1</v>
      </c>
    </row>
    <row r="157" spans="1:11">
      <c r="A157" s="16">
        <v>42285</v>
      </c>
      <c r="B157" s="17" t="s">
        <v>201</v>
      </c>
      <c r="C157">
        <v>33772700</v>
      </c>
      <c r="D157">
        <f t="shared" si="4"/>
        <v>1.3793461191161781E-2</v>
      </c>
      <c r="G157" s="17" t="s">
        <v>1806</v>
      </c>
      <c r="H157">
        <v>3939140000</v>
      </c>
      <c r="J157">
        <f t="shared" si="5"/>
        <v>8.7797803155266266E-3</v>
      </c>
      <c r="K157">
        <v>1</v>
      </c>
    </row>
    <row r="158" spans="1:11">
      <c r="A158" s="16">
        <v>42286</v>
      </c>
      <c r="B158" s="17" t="s">
        <v>202</v>
      </c>
      <c r="C158">
        <v>28600600</v>
      </c>
      <c r="D158">
        <f t="shared" si="4"/>
        <v>-7.1909775101593161E-3</v>
      </c>
      <c r="G158" s="17" t="s">
        <v>1810</v>
      </c>
      <c r="H158">
        <v>3706900000</v>
      </c>
      <c r="J158">
        <f t="shared" si="5"/>
        <v>7.2484859143041565E-4</v>
      </c>
      <c r="K158">
        <v>1</v>
      </c>
    </row>
    <row r="159" spans="1:11">
      <c r="A159" s="16">
        <v>42289</v>
      </c>
      <c r="B159" s="17" t="s">
        <v>203</v>
      </c>
      <c r="C159">
        <v>19769100</v>
      </c>
      <c r="D159">
        <f t="shared" si="4"/>
        <v>-2.3379180784943777E-3</v>
      </c>
      <c r="G159" s="17" t="s">
        <v>1814</v>
      </c>
      <c r="H159">
        <v>2893250000</v>
      </c>
      <c r="J159">
        <f t="shared" si="5"/>
        <v>1.2746643338301428E-3</v>
      </c>
      <c r="K159">
        <v>1</v>
      </c>
    </row>
    <row r="160" spans="1:11">
      <c r="A160" s="16">
        <v>42290</v>
      </c>
      <c r="B160" s="17" t="s">
        <v>204</v>
      </c>
      <c r="C160">
        <v>19987800</v>
      </c>
      <c r="D160">
        <f t="shared" si="4"/>
        <v>-2.3433267150641123E-3</v>
      </c>
      <c r="G160" s="17" t="s">
        <v>1818</v>
      </c>
      <c r="H160">
        <v>3401920000</v>
      </c>
      <c r="J160">
        <f t="shared" si="5"/>
        <v>-6.8488239238575872E-3</v>
      </c>
      <c r="K160">
        <v>1</v>
      </c>
    </row>
    <row r="161" spans="1:11">
      <c r="A161" s="16">
        <v>42291</v>
      </c>
      <c r="B161" s="17" t="s">
        <v>205</v>
      </c>
      <c r="C161">
        <v>24697800</v>
      </c>
      <c r="D161">
        <f t="shared" si="4"/>
        <v>-4.4883412049868711E-3</v>
      </c>
      <c r="G161" s="17" t="s">
        <v>1822</v>
      </c>
      <c r="H161">
        <v>3644590000</v>
      </c>
      <c r="J161">
        <f t="shared" si="5"/>
        <v>-4.7274308267142729E-3</v>
      </c>
      <c r="K161">
        <v>1</v>
      </c>
    </row>
    <row r="162" spans="1:11">
      <c r="A162" s="16">
        <v>42292</v>
      </c>
      <c r="B162" s="17" t="s">
        <v>206</v>
      </c>
      <c r="C162">
        <v>27189400</v>
      </c>
      <c r="D162">
        <f t="shared" si="4"/>
        <v>7.0444276995301732E-3</v>
      </c>
      <c r="G162" s="17" t="s">
        <v>1825</v>
      </c>
      <c r="H162">
        <v>3746290000</v>
      </c>
      <c r="J162">
        <f t="shared" si="5"/>
        <v>1.474355129517228E-2</v>
      </c>
      <c r="K162">
        <v>1</v>
      </c>
    </row>
    <row r="163" spans="1:11">
      <c r="A163" s="16">
        <v>42293</v>
      </c>
      <c r="B163" s="17" t="s">
        <v>207</v>
      </c>
      <c r="C163">
        <v>26450300</v>
      </c>
      <c r="D163">
        <f t="shared" si="4"/>
        <v>1.0579854547575101E-2</v>
      </c>
      <c r="G163" s="17" t="s">
        <v>1829</v>
      </c>
      <c r="H163">
        <v>3595430000</v>
      </c>
      <c r="J163">
        <f t="shared" si="5"/>
        <v>4.5600613744872197E-3</v>
      </c>
      <c r="K163">
        <v>1</v>
      </c>
    </row>
    <row r="164" spans="1:11">
      <c r="A164" s="16">
        <v>42296</v>
      </c>
      <c r="B164" s="17" t="s">
        <v>208</v>
      </c>
      <c r="C164">
        <v>29387600</v>
      </c>
      <c r="D164">
        <f t="shared" si="4"/>
        <v>2.3125056930151954E-3</v>
      </c>
      <c r="G164" s="17" t="s">
        <v>1833</v>
      </c>
      <c r="H164">
        <v>3287320000</v>
      </c>
      <c r="J164">
        <f t="shared" si="5"/>
        <v>2.7050902843496526E-4</v>
      </c>
      <c r="K164">
        <v>1</v>
      </c>
    </row>
    <row r="165" spans="1:11">
      <c r="A165" s="16">
        <v>42297</v>
      </c>
      <c r="B165" s="17" t="s">
        <v>209</v>
      </c>
      <c r="C165">
        <v>30802200</v>
      </c>
      <c r="D165">
        <f t="shared" si="4"/>
        <v>3.1450462728073413E-3</v>
      </c>
      <c r="G165" s="17" t="s">
        <v>1837</v>
      </c>
      <c r="H165">
        <v>3331500000</v>
      </c>
      <c r="J165">
        <f t="shared" si="5"/>
        <v>-1.4221007367133545E-3</v>
      </c>
      <c r="K165">
        <v>1</v>
      </c>
    </row>
    <row r="166" spans="1:11">
      <c r="A166" s="16">
        <v>42298</v>
      </c>
      <c r="B166" s="17" t="s">
        <v>210</v>
      </c>
      <c r="C166">
        <v>25144300</v>
      </c>
      <c r="D166">
        <f t="shared" si="4"/>
        <v>-1.2003895543930682E-2</v>
      </c>
      <c r="G166" s="17" t="s">
        <v>1841</v>
      </c>
      <c r="H166">
        <v>3627790000</v>
      </c>
      <c r="J166">
        <f t="shared" si="5"/>
        <v>-5.8424493431773871E-3</v>
      </c>
      <c r="K166">
        <v>1</v>
      </c>
    </row>
    <row r="167" spans="1:11">
      <c r="A167" s="16">
        <v>42299</v>
      </c>
      <c r="B167" s="17" t="s">
        <v>211</v>
      </c>
      <c r="C167">
        <v>56637100</v>
      </c>
      <c r="D167">
        <f t="shared" si="4"/>
        <v>1.7431892606980873E-2</v>
      </c>
      <c r="G167" s="17" t="s">
        <v>1844</v>
      </c>
      <c r="H167">
        <v>4430850000</v>
      </c>
      <c r="J167">
        <f t="shared" si="5"/>
        <v>1.6490847328002923E-2</v>
      </c>
      <c r="K167">
        <v>1</v>
      </c>
    </row>
    <row r="168" spans="1:11">
      <c r="A168" s="16">
        <v>42300</v>
      </c>
      <c r="B168" s="17" t="s">
        <v>212</v>
      </c>
      <c r="C168">
        <v>135227100</v>
      </c>
      <c r="D168">
        <f t="shared" si="4"/>
        <v>9.6010341863869891E-2</v>
      </c>
      <c r="G168" s="17" t="s">
        <v>1847</v>
      </c>
      <c r="H168">
        <v>4108460000</v>
      </c>
      <c r="J168">
        <f t="shared" si="5"/>
        <v>1.0969953689202727E-2</v>
      </c>
      <c r="K168">
        <v>1</v>
      </c>
    </row>
    <row r="169" spans="1:11">
      <c r="A169" s="16">
        <v>42303</v>
      </c>
      <c r="B169" s="17" t="s">
        <v>213</v>
      </c>
      <c r="C169">
        <v>64633300</v>
      </c>
      <c r="D169">
        <f t="shared" si="4"/>
        <v>2.5766749933295443E-2</v>
      </c>
      <c r="G169" s="17" t="s">
        <v>1851</v>
      </c>
      <c r="H169">
        <v>3385800000</v>
      </c>
      <c r="J169">
        <f t="shared" si="5"/>
        <v>-1.9149326619372631E-3</v>
      </c>
      <c r="K169">
        <v>1</v>
      </c>
    </row>
    <row r="170" spans="1:11">
      <c r="A170" s="16">
        <v>42304</v>
      </c>
      <c r="B170" s="17" t="s">
        <v>214</v>
      </c>
      <c r="C170">
        <v>50999900</v>
      </c>
      <c r="D170">
        <f t="shared" si="4"/>
        <v>-1.0376261396837363E-2</v>
      </c>
      <c r="G170" s="17" t="s">
        <v>1855</v>
      </c>
      <c r="H170">
        <v>4216880000</v>
      </c>
      <c r="J170">
        <f t="shared" si="5"/>
        <v>-2.5573858343901608E-3</v>
      </c>
      <c r="K170">
        <v>1</v>
      </c>
    </row>
    <row r="171" spans="1:11">
      <c r="A171" s="16">
        <v>42305</v>
      </c>
      <c r="B171" s="17" t="s">
        <v>215</v>
      </c>
      <c r="C171">
        <v>47000800</v>
      </c>
      <c r="D171">
        <f t="shared" si="4"/>
        <v>5.3869148624334628E-3</v>
      </c>
      <c r="G171" s="17" t="s">
        <v>1857</v>
      </c>
      <c r="H171">
        <v>4698110000</v>
      </c>
      <c r="J171">
        <f t="shared" si="5"/>
        <v>1.1770488448379798E-2</v>
      </c>
      <c r="K171">
        <v>1</v>
      </c>
    </row>
    <row r="172" spans="1:11">
      <c r="A172" s="16">
        <v>42306</v>
      </c>
      <c r="B172" s="17" t="s">
        <v>216</v>
      </c>
      <c r="C172">
        <v>30202100</v>
      </c>
      <c r="D172">
        <f t="shared" si="4"/>
        <v>-1.1552182678462914E-2</v>
      </c>
      <c r="G172" s="17" t="s">
        <v>1861</v>
      </c>
      <c r="H172">
        <v>4008940000</v>
      </c>
      <c r="J172">
        <f t="shared" si="5"/>
        <v>-4.4987559745411469E-4</v>
      </c>
      <c r="K172">
        <v>1</v>
      </c>
    </row>
    <row r="173" spans="1:11">
      <c r="A173" s="16">
        <v>42307</v>
      </c>
      <c r="B173" s="17" t="s">
        <v>217</v>
      </c>
      <c r="C173">
        <v>46619800</v>
      </c>
      <c r="D173">
        <f t="shared" si="4"/>
        <v>-1.3585196180799525E-2</v>
      </c>
      <c r="G173" s="17" t="s">
        <v>1865</v>
      </c>
      <c r="H173">
        <v>4256200000</v>
      </c>
      <c r="J173">
        <f t="shared" si="5"/>
        <v>-4.8214818389651134E-3</v>
      </c>
      <c r="K173">
        <v>1</v>
      </c>
    </row>
    <row r="174" spans="1:11">
      <c r="A174" s="16">
        <v>42310</v>
      </c>
      <c r="B174" s="17" t="s">
        <v>218</v>
      </c>
      <c r="C174">
        <v>30285000</v>
      </c>
      <c r="D174">
        <f t="shared" si="4"/>
        <v>1.1333716399645224E-2</v>
      </c>
      <c r="G174" s="17" t="s">
        <v>1868</v>
      </c>
      <c r="H174">
        <v>3760020000</v>
      </c>
      <c r="J174">
        <f t="shared" si="5"/>
        <v>1.1803876623389281E-2</v>
      </c>
      <c r="K174">
        <v>1</v>
      </c>
    </row>
    <row r="175" spans="1:11">
      <c r="A175" s="16">
        <v>42311</v>
      </c>
      <c r="B175" s="17" t="s">
        <v>219</v>
      </c>
      <c r="C175">
        <v>36596900</v>
      </c>
      <c r="D175">
        <f t="shared" si="4"/>
        <v>1.694827145021682E-2</v>
      </c>
      <c r="G175" s="17" t="s">
        <v>1872</v>
      </c>
      <c r="H175">
        <v>4272060000</v>
      </c>
      <c r="J175">
        <f t="shared" si="5"/>
        <v>2.7243528137560241E-3</v>
      </c>
      <c r="K175">
        <v>1</v>
      </c>
    </row>
    <row r="176" spans="1:11">
      <c r="A176" s="16">
        <v>42312</v>
      </c>
      <c r="B176" s="17" t="s">
        <v>220</v>
      </c>
      <c r="C176">
        <v>37087800</v>
      </c>
      <c r="D176">
        <f t="shared" si="4"/>
        <v>4.6060120226487462E-3</v>
      </c>
      <c r="G176" s="17" t="s">
        <v>1552</v>
      </c>
      <c r="H176">
        <v>4078870000</v>
      </c>
      <c r="J176">
        <f t="shared" si="5"/>
        <v>-3.5516667167835828E-3</v>
      </c>
      <c r="K176">
        <v>1</v>
      </c>
    </row>
    <row r="177" spans="1:11">
      <c r="A177" s="16">
        <v>42313</v>
      </c>
      <c r="B177" s="17" t="s">
        <v>221</v>
      </c>
      <c r="C177">
        <v>31468500</v>
      </c>
      <c r="D177">
        <f t="shared" si="4"/>
        <v>-3.6782363203320413E-4</v>
      </c>
      <c r="G177" s="17" t="s">
        <v>1878</v>
      </c>
      <c r="H177">
        <v>4051890000</v>
      </c>
      <c r="J177">
        <f t="shared" si="5"/>
        <v>-1.1327897786013324E-3</v>
      </c>
      <c r="K177">
        <v>1</v>
      </c>
    </row>
    <row r="178" spans="1:11">
      <c r="A178" s="16">
        <v>42314</v>
      </c>
      <c r="B178" s="17" t="s">
        <v>222</v>
      </c>
      <c r="C178">
        <v>32851200</v>
      </c>
      <c r="D178">
        <f t="shared" si="4"/>
        <v>9.8811261692956214E-3</v>
      </c>
      <c r="G178" s="17" t="s">
        <v>1881</v>
      </c>
      <c r="H178">
        <v>4369020000</v>
      </c>
      <c r="J178">
        <f t="shared" si="5"/>
        <v>-3.4768203303673869E-4</v>
      </c>
      <c r="K178">
        <v>1</v>
      </c>
    </row>
    <row r="179" spans="1:11">
      <c r="A179" s="16">
        <v>42317</v>
      </c>
      <c r="B179" s="17" t="s">
        <v>223</v>
      </c>
      <c r="C179">
        <v>32513100</v>
      </c>
      <c r="D179">
        <f t="shared" si="4"/>
        <v>-1.3934806840555409E-2</v>
      </c>
      <c r="G179" s="17" t="s">
        <v>1884</v>
      </c>
      <c r="H179">
        <v>3882350000</v>
      </c>
      <c r="J179">
        <f t="shared" si="5"/>
        <v>-9.871290634763304E-3</v>
      </c>
      <c r="K179">
        <v>1</v>
      </c>
    </row>
    <row r="180" spans="1:11">
      <c r="A180" s="16">
        <v>42318</v>
      </c>
      <c r="B180" s="17" t="s">
        <v>224</v>
      </c>
      <c r="C180">
        <v>55283700</v>
      </c>
      <c r="D180">
        <f t="shared" si="4"/>
        <v>-1.2074177126860566E-2</v>
      </c>
      <c r="G180" s="17" t="s">
        <v>1888</v>
      </c>
      <c r="H180">
        <v>3821440000</v>
      </c>
      <c r="J180">
        <f t="shared" si="5"/>
        <v>1.5094553561973928E-3</v>
      </c>
      <c r="K180">
        <v>1</v>
      </c>
    </row>
    <row r="181" spans="1:11">
      <c r="A181" s="16">
        <v>42319</v>
      </c>
      <c r="B181" s="17" t="s">
        <v>225</v>
      </c>
      <c r="C181">
        <v>36516300</v>
      </c>
      <c r="D181">
        <f t="shared" si="4"/>
        <v>2.6130984569026319E-3</v>
      </c>
      <c r="G181" s="17" t="s">
        <v>1892</v>
      </c>
      <c r="H181">
        <v>3692410000</v>
      </c>
      <c r="J181">
        <f t="shared" si="5"/>
        <v>-3.2333074641793741E-3</v>
      </c>
      <c r="K181">
        <v>1</v>
      </c>
    </row>
    <row r="182" spans="1:11">
      <c r="A182" s="16">
        <v>42320</v>
      </c>
      <c r="B182" s="17" t="s">
        <v>226</v>
      </c>
      <c r="C182">
        <v>35361100</v>
      </c>
      <c r="D182">
        <f t="shared" si="4"/>
        <v>-6.1702056261658854E-3</v>
      </c>
      <c r="G182" s="17" t="s">
        <v>1895</v>
      </c>
      <c r="H182">
        <v>4016370000</v>
      </c>
      <c r="J182">
        <f t="shared" si="5"/>
        <v>-1.4089163191530417E-2</v>
      </c>
      <c r="K182">
        <v>1</v>
      </c>
    </row>
    <row r="183" spans="1:11">
      <c r="A183" s="16">
        <v>42321</v>
      </c>
      <c r="B183" s="17" t="s">
        <v>227</v>
      </c>
      <c r="C183">
        <v>36848200</v>
      </c>
      <c r="D183">
        <f t="shared" si="4"/>
        <v>-9.0428081502747573E-3</v>
      </c>
      <c r="G183" s="17" t="s">
        <v>1898</v>
      </c>
      <c r="H183">
        <v>4278750000</v>
      </c>
      <c r="J183">
        <f t="shared" si="5"/>
        <v>-1.1270640608151911E-2</v>
      </c>
      <c r="K183">
        <v>1</v>
      </c>
    </row>
    <row r="184" spans="1:11">
      <c r="A184" s="16">
        <v>42324</v>
      </c>
      <c r="B184" s="17" t="s">
        <v>228</v>
      </c>
      <c r="C184">
        <v>32165200</v>
      </c>
      <c r="D184">
        <f t="shared" si="4"/>
        <v>1.7446980443482234E-2</v>
      </c>
      <c r="G184" s="17" t="s">
        <v>1902</v>
      </c>
      <c r="H184">
        <v>3741240000</v>
      </c>
      <c r="J184">
        <f t="shared" si="5"/>
        <v>1.4793302627265626E-2</v>
      </c>
      <c r="K184">
        <v>1</v>
      </c>
    </row>
    <row r="185" spans="1:11">
      <c r="A185" s="16">
        <v>42325</v>
      </c>
      <c r="B185" s="17" t="s">
        <v>229</v>
      </c>
      <c r="C185">
        <v>31551300</v>
      </c>
      <c r="D185">
        <f t="shared" si="4"/>
        <v>-8.2719888237969014E-3</v>
      </c>
      <c r="G185" s="17" t="s">
        <v>1906</v>
      </c>
      <c r="H185">
        <v>4427350000</v>
      </c>
      <c r="J185">
        <f t="shared" si="5"/>
        <v>-1.3402770185119402E-3</v>
      </c>
      <c r="K185">
        <v>1</v>
      </c>
    </row>
    <row r="186" spans="1:11">
      <c r="A186" s="16">
        <v>42326</v>
      </c>
      <c r="B186" s="17" t="s">
        <v>230</v>
      </c>
      <c r="C186">
        <v>29710000</v>
      </c>
      <c r="D186">
        <f t="shared" si="4"/>
        <v>1.6476577252365367E-2</v>
      </c>
      <c r="G186" s="17" t="s">
        <v>1909</v>
      </c>
      <c r="H186">
        <v>3926390000</v>
      </c>
      <c r="J186">
        <f t="shared" si="5"/>
        <v>1.6033230015307577E-2</v>
      </c>
      <c r="K186">
        <v>1</v>
      </c>
    </row>
    <row r="187" spans="1:11">
      <c r="A187" s="16">
        <v>42327</v>
      </c>
      <c r="B187" s="17" t="s">
        <v>231</v>
      </c>
      <c r="C187">
        <v>28149200</v>
      </c>
      <c r="D187">
        <f t="shared" si="4"/>
        <v>1.6699783455071612E-3</v>
      </c>
      <c r="G187" s="17" t="s">
        <v>1913</v>
      </c>
      <c r="H187">
        <v>3628110000</v>
      </c>
      <c r="J187">
        <f t="shared" si="5"/>
        <v>-1.1237403815994775E-3</v>
      </c>
      <c r="K187">
        <v>1</v>
      </c>
    </row>
    <row r="188" spans="1:11">
      <c r="A188" s="16">
        <v>42328</v>
      </c>
      <c r="B188" s="17" t="s">
        <v>232</v>
      </c>
      <c r="C188">
        <v>37147600</v>
      </c>
      <c r="D188">
        <f t="shared" si="4"/>
        <v>4.6238768624269743E-3</v>
      </c>
      <c r="G188" s="17" t="s">
        <v>1916</v>
      </c>
      <c r="H188">
        <v>3929600000</v>
      </c>
      <c r="J188">
        <f t="shared" si="5"/>
        <v>3.8029554525950086E-3</v>
      </c>
      <c r="K188">
        <v>1</v>
      </c>
    </row>
    <row r="189" spans="1:11">
      <c r="A189" s="16">
        <v>42331</v>
      </c>
      <c r="B189" s="17" t="s">
        <v>232</v>
      </c>
      <c r="C189">
        <v>28235900</v>
      </c>
      <c r="D189">
        <f t="shared" si="4"/>
        <v>0</v>
      </c>
      <c r="G189" s="17" t="s">
        <v>1919</v>
      </c>
      <c r="H189">
        <v>3587980000</v>
      </c>
      <c r="J189">
        <f t="shared" si="5"/>
        <v>-1.2356238490984315E-3</v>
      </c>
      <c r="K189">
        <v>1</v>
      </c>
    </row>
    <row r="190" spans="1:11">
      <c r="A190" s="16">
        <v>42332</v>
      </c>
      <c r="B190" s="17" t="s">
        <v>233</v>
      </c>
      <c r="C190">
        <v>24600000</v>
      </c>
      <c r="D190">
        <f t="shared" si="4"/>
        <v>1.1066388857208221E-3</v>
      </c>
      <c r="G190" s="17" t="s">
        <v>1923</v>
      </c>
      <c r="H190">
        <v>3884930000</v>
      </c>
      <c r="J190">
        <f t="shared" si="5"/>
        <v>1.2212500944798874E-3</v>
      </c>
      <c r="K190">
        <v>1</v>
      </c>
    </row>
    <row r="191" spans="1:11">
      <c r="A191" s="16">
        <v>42333</v>
      </c>
      <c r="B191" s="17" t="s">
        <v>234</v>
      </c>
      <c r="C191">
        <v>21005100</v>
      </c>
      <c r="D191">
        <f t="shared" si="4"/>
        <v>-1.0376094976570433E-2</v>
      </c>
      <c r="G191" s="17" t="s">
        <v>1927</v>
      </c>
      <c r="H191">
        <v>2852940000</v>
      </c>
      <c r="J191">
        <f t="shared" si="5"/>
        <v>-1.2914090666574113E-4</v>
      </c>
      <c r="K191">
        <v>1</v>
      </c>
    </row>
    <row r="192" spans="1:11">
      <c r="A192" s="16">
        <v>42335</v>
      </c>
      <c r="B192" s="17" t="s">
        <v>235</v>
      </c>
      <c r="C192">
        <v>9009100</v>
      </c>
      <c r="D192">
        <f t="shared" si="4"/>
        <v>4.4599262778052592E-3</v>
      </c>
      <c r="G192" s="17" t="s">
        <v>1931</v>
      </c>
      <c r="H192">
        <v>1466840000</v>
      </c>
      <c r="J192">
        <f t="shared" si="5"/>
        <v>5.934414473988609E-4</v>
      </c>
      <c r="K192">
        <v>1</v>
      </c>
    </row>
    <row r="193" spans="1:11">
      <c r="A193" s="16">
        <v>42338</v>
      </c>
      <c r="B193" s="17" t="s">
        <v>236</v>
      </c>
      <c r="C193">
        <v>56241400</v>
      </c>
      <c r="D193">
        <f t="shared" si="4"/>
        <v>7.7579564392454784E-3</v>
      </c>
      <c r="G193" s="17" t="s">
        <v>1934</v>
      </c>
      <c r="H193">
        <v>4275030000</v>
      </c>
      <c r="J193">
        <f t="shared" si="5"/>
        <v>-4.6517999903487525E-3</v>
      </c>
      <c r="K193">
        <v>1</v>
      </c>
    </row>
    <row r="194" spans="1:11">
      <c r="A194" s="16">
        <v>42339</v>
      </c>
      <c r="B194" s="17" t="s">
        <v>237</v>
      </c>
      <c r="C194">
        <v>39952800</v>
      </c>
      <c r="D194">
        <f t="shared" si="4"/>
        <v>1.5880541999533173E-2</v>
      </c>
      <c r="G194" s="17" t="s">
        <v>1869</v>
      </c>
      <c r="H194">
        <v>3712120000</v>
      </c>
      <c r="J194">
        <f t="shared" si="5"/>
        <v>1.0623939088487118E-2</v>
      </c>
      <c r="K194">
        <v>1</v>
      </c>
    </row>
    <row r="195" spans="1:11">
      <c r="A195" s="16">
        <v>42340</v>
      </c>
      <c r="B195" s="17" t="s">
        <v>238</v>
      </c>
      <c r="C195">
        <v>47274900</v>
      </c>
      <c r="D195">
        <f t="shared" si="4"/>
        <v>-1.8119157644044503E-4</v>
      </c>
      <c r="G195" s="17" t="s">
        <v>1940</v>
      </c>
      <c r="H195">
        <v>3950640000</v>
      </c>
      <c r="J195">
        <f t="shared" si="5"/>
        <v>-1.1056592615916112E-2</v>
      </c>
      <c r="K195">
        <v>1</v>
      </c>
    </row>
    <row r="196" spans="1:11">
      <c r="A196" s="16">
        <v>42341</v>
      </c>
      <c r="B196" s="17" t="s">
        <v>239</v>
      </c>
      <c r="C196">
        <v>38627800</v>
      </c>
      <c r="D196">
        <f t="shared" si="4"/>
        <v>-1.8463095021513502E-2</v>
      </c>
      <c r="G196" s="17" t="s">
        <v>1944</v>
      </c>
      <c r="H196">
        <v>4306490000</v>
      </c>
      <c r="J196">
        <f t="shared" si="5"/>
        <v>-1.4477826648337327E-2</v>
      </c>
      <c r="K196">
        <v>1</v>
      </c>
    </row>
    <row r="197" spans="1:11">
      <c r="A197" s="16">
        <v>42342</v>
      </c>
      <c r="B197" s="17" t="s">
        <v>240</v>
      </c>
      <c r="C197">
        <v>43963700</v>
      </c>
      <c r="D197">
        <f t="shared" ref="D197:D260" si="6">LN(B197/B196)</f>
        <v>3.1062297876566062E-2</v>
      </c>
      <c r="G197" s="17" t="s">
        <v>1947</v>
      </c>
      <c r="H197">
        <v>4214910000</v>
      </c>
      <c r="J197">
        <f t="shared" ref="J197:J260" si="7">LN(G197/G196)</f>
        <v>2.0317856261110587E-2</v>
      </c>
      <c r="K197">
        <v>1</v>
      </c>
    </row>
    <row r="198" spans="1:11">
      <c r="A198" s="16">
        <v>42345</v>
      </c>
      <c r="B198" s="17" t="s">
        <v>241</v>
      </c>
      <c r="C198">
        <v>30709800</v>
      </c>
      <c r="D198">
        <f t="shared" si="6"/>
        <v>-1.7900406110543203E-3</v>
      </c>
      <c r="G198" s="17" t="s">
        <v>1950</v>
      </c>
      <c r="H198">
        <v>4043820000</v>
      </c>
      <c r="J198">
        <f t="shared" si="7"/>
        <v>-7.0140439391970736E-3</v>
      </c>
      <c r="K198">
        <v>1</v>
      </c>
    </row>
    <row r="199" spans="1:11">
      <c r="A199" s="16">
        <v>42346</v>
      </c>
      <c r="B199" s="17" t="s">
        <v>242</v>
      </c>
      <c r="C199">
        <v>32878000</v>
      </c>
      <c r="D199">
        <f t="shared" si="6"/>
        <v>-3.5858395150707842E-4</v>
      </c>
      <c r="G199" s="17" t="s">
        <v>1954</v>
      </c>
      <c r="H199">
        <v>4173570000</v>
      </c>
      <c r="J199">
        <f t="shared" si="7"/>
        <v>-6.5110523995720879E-3</v>
      </c>
      <c r="K199">
        <v>1</v>
      </c>
    </row>
    <row r="200" spans="1:11">
      <c r="A200" s="16">
        <v>42347</v>
      </c>
      <c r="B200" s="17" t="s">
        <v>243</v>
      </c>
      <c r="C200">
        <v>36373200</v>
      </c>
      <c r="D200">
        <f t="shared" si="6"/>
        <v>-1.4625133416565681E-2</v>
      </c>
      <c r="G200" s="17" t="s">
        <v>1958</v>
      </c>
      <c r="H200">
        <v>4385250000</v>
      </c>
      <c r="J200">
        <f t="shared" si="7"/>
        <v>-7.769086475925991E-3</v>
      </c>
      <c r="K200">
        <v>1</v>
      </c>
    </row>
    <row r="201" spans="1:11">
      <c r="A201" s="16">
        <v>42348</v>
      </c>
      <c r="B201" s="17" t="s">
        <v>244</v>
      </c>
      <c r="C201">
        <v>31775800</v>
      </c>
      <c r="D201">
        <f t="shared" si="6"/>
        <v>5.2608386669390798E-3</v>
      </c>
      <c r="G201" s="17" t="s">
        <v>1962</v>
      </c>
      <c r="H201">
        <v>3715150000</v>
      </c>
      <c r="J201">
        <f t="shared" si="7"/>
        <v>2.2488564074157492E-3</v>
      </c>
      <c r="K201">
        <v>1</v>
      </c>
    </row>
    <row r="202" spans="1:11">
      <c r="A202" s="16">
        <v>42349</v>
      </c>
      <c r="B202" s="17" t="s">
        <v>245</v>
      </c>
      <c r="C202">
        <v>39549500</v>
      </c>
      <c r="D202">
        <f t="shared" si="6"/>
        <v>-2.213578320434605E-2</v>
      </c>
      <c r="G202" s="17" t="s">
        <v>1965</v>
      </c>
      <c r="H202">
        <v>4301060000</v>
      </c>
      <c r="J202">
        <f t="shared" si="7"/>
        <v>-1.961386758563884E-2</v>
      </c>
      <c r="K202">
        <v>1</v>
      </c>
    </row>
    <row r="203" spans="1:11">
      <c r="A203" s="16">
        <v>42352</v>
      </c>
      <c r="B203" s="17" t="s">
        <v>246</v>
      </c>
      <c r="C203">
        <v>46768900</v>
      </c>
      <c r="D203">
        <f t="shared" si="6"/>
        <v>1.9780968159192374E-2</v>
      </c>
      <c r="G203" s="17" t="s">
        <v>1969</v>
      </c>
      <c r="H203">
        <v>4612440000</v>
      </c>
      <c r="J203">
        <f t="shared" si="7"/>
        <v>4.7442879213808178E-3</v>
      </c>
      <c r="K203">
        <v>1</v>
      </c>
    </row>
    <row r="204" spans="1:11">
      <c r="A204" s="16">
        <v>42353</v>
      </c>
      <c r="B204" s="17" t="s">
        <v>247</v>
      </c>
      <c r="C204">
        <v>39843000</v>
      </c>
      <c r="D204">
        <f t="shared" si="6"/>
        <v>1.0875237669344189E-3</v>
      </c>
      <c r="G204" s="17" t="s">
        <v>1972</v>
      </c>
      <c r="H204">
        <v>4353540000</v>
      </c>
      <c r="J204">
        <f t="shared" si="7"/>
        <v>1.0562580218900188E-2</v>
      </c>
      <c r="K204">
        <v>1</v>
      </c>
    </row>
    <row r="205" spans="1:11">
      <c r="A205" s="16">
        <v>42354</v>
      </c>
      <c r="B205" s="17" t="s">
        <v>248</v>
      </c>
      <c r="C205">
        <v>37503300</v>
      </c>
      <c r="D205">
        <f t="shared" si="6"/>
        <v>1.6707402016952855E-2</v>
      </c>
      <c r="G205" s="17" t="s">
        <v>1976</v>
      </c>
      <c r="H205">
        <v>4635450000</v>
      </c>
      <c r="J205">
        <f t="shared" si="7"/>
        <v>1.4410635565352437E-2</v>
      </c>
      <c r="K205">
        <v>1</v>
      </c>
    </row>
    <row r="206" spans="1:11">
      <c r="A206" s="16">
        <v>42355</v>
      </c>
      <c r="B206" s="17" t="s">
        <v>249</v>
      </c>
      <c r="C206">
        <v>41280900</v>
      </c>
      <c r="D206">
        <f t="shared" si="6"/>
        <v>-7.6903731646692525E-3</v>
      </c>
      <c r="G206" s="17" t="s">
        <v>1980</v>
      </c>
      <c r="H206">
        <v>4327390000</v>
      </c>
      <c r="J206">
        <f t="shared" si="7"/>
        <v>-1.5154776290347281E-2</v>
      </c>
      <c r="K206">
        <v>1</v>
      </c>
    </row>
    <row r="207" spans="1:11">
      <c r="A207" s="16">
        <v>42356</v>
      </c>
      <c r="B207" s="17" t="s">
        <v>250</v>
      </c>
      <c r="C207">
        <v>84684200</v>
      </c>
      <c r="D207">
        <f t="shared" si="6"/>
        <v>-2.8591602796468902E-2</v>
      </c>
      <c r="G207" s="17" t="s">
        <v>1983</v>
      </c>
      <c r="H207">
        <v>6683070000</v>
      </c>
      <c r="J207">
        <f t="shared" si="7"/>
        <v>-1.7957495093582236E-2</v>
      </c>
      <c r="K207">
        <v>1</v>
      </c>
    </row>
    <row r="208" spans="1:11">
      <c r="A208" s="16">
        <v>42359</v>
      </c>
      <c r="B208" s="17" t="s">
        <v>251</v>
      </c>
      <c r="C208">
        <v>37246300</v>
      </c>
      <c r="D208">
        <f t="shared" si="6"/>
        <v>1.2849152655981E-2</v>
      </c>
      <c r="G208" s="17" t="s">
        <v>1987</v>
      </c>
      <c r="H208">
        <v>3760280000</v>
      </c>
      <c r="J208">
        <f t="shared" si="7"/>
        <v>7.7483064365918945E-3</v>
      </c>
      <c r="K208">
        <v>1</v>
      </c>
    </row>
    <row r="209" spans="1:11">
      <c r="A209" s="16">
        <v>42360</v>
      </c>
      <c r="B209" s="17" t="s">
        <v>252</v>
      </c>
      <c r="C209">
        <v>28322200</v>
      </c>
      <c r="D209">
        <f t="shared" si="6"/>
        <v>9.4388514952909626E-3</v>
      </c>
      <c r="G209" s="17" t="s">
        <v>1991</v>
      </c>
      <c r="H209">
        <v>3520860000</v>
      </c>
      <c r="J209">
        <f t="shared" si="7"/>
        <v>8.7780959420341153E-3</v>
      </c>
      <c r="K209">
        <v>1</v>
      </c>
    </row>
    <row r="210" spans="1:11">
      <c r="A210" s="16">
        <v>42361</v>
      </c>
      <c r="B210" s="17" t="s">
        <v>253</v>
      </c>
      <c r="C210">
        <v>27279800</v>
      </c>
      <c r="D210">
        <f t="shared" si="6"/>
        <v>8.4556134371104943E-3</v>
      </c>
      <c r="G210" s="17" t="s">
        <v>1994</v>
      </c>
      <c r="H210">
        <v>3484090000</v>
      </c>
      <c r="J210">
        <f t="shared" si="7"/>
        <v>1.2341596351676601E-2</v>
      </c>
      <c r="K210">
        <v>1</v>
      </c>
    </row>
    <row r="211" spans="1:11">
      <c r="A211" s="16">
        <v>42362</v>
      </c>
      <c r="B211" s="17" t="s">
        <v>254</v>
      </c>
      <c r="C211">
        <v>9558500</v>
      </c>
      <c r="D211">
        <f t="shared" si="6"/>
        <v>-2.6907087088831896E-3</v>
      </c>
      <c r="G211" s="17" t="s">
        <v>1997</v>
      </c>
      <c r="H211">
        <v>1411860000</v>
      </c>
      <c r="J211">
        <f t="shared" si="7"/>
        <v>-1.5999154873061849E-3</v>
      </c>
      <c r="K211">
        <v>1</v>
      </c>
    </row>
    <row r="212" spans="1:11">
      <c r="A212" s="16">
        <v>42366</v>
      </c>
      <c r="B212" s="17" t="s">
        <v>255</v>
      </c>
      <c r="C212">
        <v>22458300</v>
      </c>
      <c r="D212">
        <f t="shared" si="6"/>
        <v>5.0171628048982777E-3</v>
      </c>
      <c r="G212" s="17" t="s">
        <v>2000</v>
      </c>
      <c r="H212">
        <v>2492510000</v>
      </c>
      <c r="J212">
        <f t="shared" si="7"/>
        <v>-2.1809363425864849E-3</v>
      </c>
      <c r="K212">
        <v>1</v>
      </c>
    </row>
    <row r="213" spans="1:11">
      <c r="A213" s="16">
        <v>42367</v>
      </c>
      <c r="B213" s="17" t="s">
        <v>256</v>
      </c>
      <c r="C213">
        <v>27731400</v>
      </c>
      <c r="D213">
        <f t="shared" si="6"/>
        <v>1.0666668985140803E-2</v>
      </c>
      <c r="G213" s="17" t="s">
        <v>2003</v>
      </c>
      <c r="H213">
        <v>2542000000</v>
      </c>
      <c r="J213">
        <f t="shared" si="7"/>
        <v>1.0573663970038498E-2</v>
      </c>
      <c r="K213">
        <v>1</v>
      </c>
    </row>
    <row r="214" spans="1:11">
      <c r="A214" s="16">
        <v>42368</v>
      </c>
      <c r="B214" s="17" t="s">
        <v>257</v>
      </c>
      <c r="C214">
        <v>21704500</v>
      </c>
      <c r="D214">
        <f t="shared" si="6"/>
        <v>-4.2531437405504552E-3</v>
      </c>
      <c r="G214" s="17" t="s">
        <v>2006</v>
      </c>
      <c r="H214">
        <v>2367430000</v>
      </c>
      <c r="J214">
        <f t="shared" si="7"/>
        <v>-7.2433987852541376E-3</v>
      </c>
      <c r="K214">
        <v>1</v>
      </c>
    </row>
    <row r="215" spans="1:11">
      <c r="A215" s="16">
        <v>42369</v>
      </c>
      <c r="B215" s="17" t="s">
        <v>258</v>
      </c>
      <c r="C215">
        <v>27334100</v>
      </c>
      <c r="D215">
        <f t="shared" si="6"/>
        <v>-1.4849406838983623E-2</v>
      </c>
      <c r="G215" s="17" t="s">
        <v>2010</v>
      </c>
      <c r="H215">
        <v>2655330000</v>
      </c>
      <c r="J215">
        <f t="shared" si="7"/>
        <v>-9.4564850357659186E-3</v>
      </c>
      <c r="K215">
        <v>1</v>
      </c>
    </row>
    <row r="216" spans="1:11">
      <c r="A216" s="16">
        <v>42373</v>
      </c>
      <c r="B216" s="17" t="s">
        <v>259</v>
      </c>
      <c r="C216">
        <v>53778000</v>
      </c>
      <c r="D216">
        <f t="shared" si="6"/>
        <v>-1.2332519255532371E-2</v>
      </c>
      <c r="G216" s="17" t="s">
        <v>2013</v>
      </c>
      <c r="H216">
        <v>4304880000</v>
      </c>
      <c r="J216">
        <f t="shared" si="7"/>
        <v>-1.5422041688326272E-2</v>
      </c>
      <c r="K216">
        <v>1</v>
      </c>
    </row>
    <row r="217" spans="1:11">
      <c r="A217" s="16">
        <v>42374</v>
      </c>
      <c r="B217" s="17" t="s">
        <v>260</v>
      </c>
      <c r="C217">
        <v>34079700</v>
      </c>
      <c r="D217">
        <f t="shared" si="6"/>
        <v>4.5517741361898482E-3</v>
      </c>
      <c r="G217" s="17" t="s">
        <v>2016</v>
      </c>
      <c r="H217">
        <v>3706620000</v>
      </c>
      <c r="J217">
        <f t="shared" si="7"/>
        <v>2.0102042596295308E-3</v>
      </c>
      <c r="K217">
        <v>1</v>
      </c>
    </row>
    <row r="218" spans="1:11">
      <c r="A218" s="16">
        <v>42375</v>
      </c>
      <c r="B218" s="17" t="s">
        <v>261</v>
      </c>
      <c r="C218">
        <v>39518900</v>
      </c>
      <c r="D218">
        <f t="shared" si="6"/>
        <v>-1.8332362368935567E-2</v>
      </c>
      <c r="G218" s="17" t="s">
        <v>2019</v>
      </c>
      <c r="H218">
        <v>4336660000</v>
      </c>
      <c r="J218">
        <f t="shared" si="7"/>
        <v>-1.3202162915856163E-2</v>
      </c>
      <c r="K218">
        <v>1</v>
      </c>
    </row>
    <row r="219" spans="1:11">
      <c r="A219" s="16">
        <v>42376</v>
      </c>
      <c r="B219" s="17" t="s">
        <v>262</v>
      </c>
      <c r="C219">
        <v>56564900</v>
      </c>
      <c r="D219">
        <f t="shared" si="6"/>
        <v>-3.5402006250485209E-2</v>
      </c>
      <c r="G219" s="17" t="s">
        <v>1700</v>
      </c>
      <c r="H219">
        <v>5076590000</v>
      </c>
      <c r="J219">
        <f t="shared" si="7"/>
        <v>-2.3985816544630535E-2</v>
      </c>
      <c r="K219">
        <v>1</v>
      </c>
    </row>
    <row r="220" spans="1:11">
      <c r="A220" s="16">
        <v>42377</v>
      </c>
      <c r="B220" s="17" t="s">
        <v>263</v>
      </c>
      <c r="C220">
        <v>48754000</v>
      </c>
      <c r="D220">
        <f t="shared" si="6"/>
        <v>3.0623928952350295E-3</v>
      </c>
      <c r="G220" s="17" t="s">
        <v>2025</v>
      </c>
      <c r="H220">
        <v>4664940000</v>
      </c>
      <c r="J220">
        <f t="shared" si="7"/>
        <v>-1.0897537692782108E-2</v>
      </c>
      <c r="K220">
        <v>1</v>
      </c>
    </row>
    <row r="221" spans="1:11">
      <c r="A221" s="16">
        <v>42380</v>
      </c>
      <c r="B221" s="17" t="s">
        <v>264</v>
      </c>
      <c r="C221">
        <v>36943800</v>
      </c>
      <c r="D221">
        <f t="shared" si="6"/>
        <v>-5.7362379902426894E-4</v>
      </c>
      <c r="G221" s="17" t="s">
        <v>2029</v>
      </c>
      <c r="H221">
        <v>4607290000</v>
      </c>
      <c r="J221">
        <f t="shared" si="7"/>
        <v>8.529084787104222E-4</v>
      </c>
      <c r="K221">
        <v>1</v>
      </c>
    </row>
    <row r="222" spans="1:11">
      <c r="A222" s="16">
        <v>42381</v>
      </c>
      <c r="B222" s="17" t="s">
        <v>265</v>
      </c>
      <c r="C222">
        <v>36095500</v>
      </c>
      <c r="D222">
        <f t="shared" si="6"/>
        <v>9.1360910320976776E-3</v>
      </c>
      <c r="G222" s="17" t="s">
        <v>2033</v>
      </c>
      <c r="H222">
        <v>4887260000</v>
      </c>
      <c r="J222">
        <f t="shared" si="7"/>
        <v>7.7725142384488712E-3</v>
      </c>
      <c r="K222">
        <v>1</v>
      </c>
    </row>
    <row r="223" spans="1:11">
      <c r="A223" s="16">
        <v>42382</v>
      </c>
      <c r="B223" s="17" t="s">
        <v>266</v>
      </c>
      <c r="C223">
        <v>66883600</v>
      </c>
      <c r="D223">
        <f t="shared" si="6"/>
        <v>-2.1835764426521929E-2</v>
      </c>
      <c r="G223" s="17" t="s">
        <v>2037</v>
      </c>
      <c r="H223">
        <v>5087030000</v>
      </c>
      <c r="J223">
        <f t="shared" si="7"/>
        <v>-2.5282375384065234E-2</v>
      </c>
      <c r="K223">
        <v>1</v>
      </c>
    </row>
    <row r="224" spans="1:11">
      <c r="A224" s="16">
        <v>42383</v>
      </c>
      <c r="B224" s="17" t="s">
        <v>267</v>
      </c>
      <c r="C224">
        <v>52381900</v>
      </c>
      <c r="D224">
        <f t="shared" si="6"/>
        <v>2.8068674600969207E-2</v>
      </c>
      <c r="G224" s="17" t="s">
        <v>2041</v>
      </c>
      <c r="H224">
        <v>5241110000</v>
      </c>
      <c r="J224">
        <f t="shared" si="7"/>
        <v>1.6558061184935031E-2</v>
      </c>
      <c r="K224">
        <v>1</v>
      </c>
    </row>
    <row r="225" spans="1:11">
      <c r="A225" s="16">
        <v>42384</v>
      </c>
      <c r="B225" s="17" t="s">
        <v>268</v>
      </c>
      <c r="C225">
        <v>71820700</v>
      </c>
      <c r="D225">
        <f t="shared" si="6"/>
        <v>-4.0735652928348666E-2</v>
      </c>
      <c r="G225" s="17" t="s">
        <v>2044</v>
      </c>
      <c r="H225">
        <v>5468460000</v>
      </c>
      <c r="J225">
        <f t="shared" si="7"/>
        <v>-2.183577282074398E-2</v>
      </c>
      <c r="K225">
        <v>1</v>
      </c>
    </row>
    <row r="226" spans="1:11">
      <c r="A226" s="16">
        <v>42388</v>
      </c>
      <c r="B226" s="17" t="s">
        <v>269</v>
      </c>
      <c r="C226">
        <v>43564500</v>
      </c>
      <c r="D226">
        <f t="shared" si="6"/>
        <v>-8.4687771601467694E-3</v>
      </c>
      <c r="G226" s="17" t="s">
        <v>2048</v>
      </c>
      <c r="H226">
        <v>4928350000</v>
      </c>
      <c r="J226">
        <f t="shared" si="7"/>
        <v>5.316801874443635E-4</v>
      </c>
      <c r="K226">
        <v>1</v>
      </c>
    </row>
    <row r="227" spans="1:11">
      <c r="A227" s="16">
        <v>42389</v>
      </c>
      <c r="B227" s="17" t="s">
        <v>270</v>
      </c>
      <c r="C227">
        <v>63273000</v>
      </c>
      <c r="D227">
        <f t="shared" si="6"/>
        <v>4.5386708979081591E-3</v>
      </c>
      <c r="G227" s="17" t="s">
        <v>2051</v>
      </c>
      <c r="H227">
        <v>6416070000</v>
      </c>
      <c r="J227">
        <f t="shared" si="7"/>
        <v>-1.1762766026242346E-2</v>
      </c>
      <c r="K227">
        <v>1</v>
      </c>
    </row>
    <row r="228" spans="1:11">
      <c r="A228" s="16">
        <v>42390</v>
      </c>
      <c r="B228" s="17" t="s">
        <v>271</v>
      </c>
      <c r="C228">
        <v>40191200</v>
      </c>
      <c r="D228">
        <f t="shared" si="6"/>
        <v>-6.1224404291956372E-3</v>
      </c>
      <c r="G228" s="17" t="s">
        <v>2055</v>
      </c>
      <c r="H228">
        <v>5078810000</v>
      </c>
      <c r="J228">
        <f t="shared" si="7"/>
        <v>5.1819885399586188E-3</v>
      </c>
      <c r="K228">
        <v>1</v>
      </c>
    </row>
    <row r="229" spans="1:11">
      <c r="A229" s="16">
        <v>42391</v>
      </c>
      <c r="B229" s="17" t="s">
        <v>272</v>
      </c>
      <c r="C229">
        <v>37555800</v>
      </c>
      <c r="D229">
        <f t="shared" si="6"/>
        <v>3.5227889610421302E-2</v>
      </c>
      <c r="G229" s="17" t="s">
        <v>2058</v>
      </c>
      <c r="H229">
        <v>4901760000</v>
      </c>
      <c r="J229">
        <f t="shared" si="7"/>
        <v>2.0080726790476438E-2</v>
      </c>
      <c r="K229">
        <v>1</v>
      </c>
    </row>
    <row r="230" spans="1:11">
      <c r="A230" s="16">
        <v>42394</v>
      </c>
      <c r="B230" s="17" t="s">
        <v>273</v>
      </c>
      <c r="C230">
        <v>34707700</v>
      </c>
      <c r="D230">
        <f t="shared" si="6"/>
        <v>-9.6079767461112586E-3</v>
      </c>
      <c r="G230" s="17" t="s">
        <v>2061</v>
      </c>
      <c r="H230">
        <v>4401380000</v>
      </c>
      <c r="J230">
        <f t="shared" si="7"/>
        <v>-1.5761544984816713E-2</v>
      </c>
      <c r="K230">
        <v>1</v>
      </c>
    </row>
    <row r="231" spans="1:11">
      <c r="A231" s="16">
        <v>42395</v>
      </c>
      <c r="B231" s="17" t="s">
        <v>262</v>
      </c>
      <c r="C231">
        <v>28900800</v>
      </c>
      <c r="D231">
        <f t="shared" si="6"/>
        <v>7.3105164527174395E-3</v>
      </c>
      <c r="G231" s="17" t="s">
        <v>2064</v>
      </c>
      <c r="H231">
        <v>4357940000</v>
      </c>
      <c r="J231">
        <f t="shared" si="7"/>
        <v>1.4045237921062189E-2</v>
      </c>
      <c r="K231">
        <v>1</v>
      </c>
    </row>
    <row r="232" spans="1:11">
      <c r="A232" s="16">
        <v>42396</v>
      </c>
      <c r="B232" s="17" t="s">
        <v>274</v>
      </c>
      <c r="C232">
        <v>36775200</v>
      </c>
      <c r="D232">
        <f t="shared" si="6"/>
        <v>-1.8377464109427085E-2</v>
      </c>
      <c r="G232" s="17" t="s">
        <v>2068</v>
      </c>
      <c r="H232">
        <v>4754040000</v>
      </c>
      <c r="J232">
        <f t="shared" si="7"/>
        <v>-1.0922922453367977E-2</v>
      </c>
      <c r="K232">
        <v>1</v>
      </c>
    </row>
    <row r="233" spans="1:11">
      <c r="A233" s="16">
        <v>42397</v>
      </c>
      <c r="B233" s="17" t="s">
        <v>275</v>
      </c>
      <c r="C233">
        <v>62513800</v>
      </c>
      <c r="D233">
        <f t="shared" si="6"/>
        <v>1.6266737053267588E-2</v>
      </c>
      <c r="G233" s="17" t="s">
        <v>2072</v>
      </c>
      <c r="H233">
        <v>4693010000</v>
      </c>
      <c r="J233">
        <f t="shared" si="7"/>
        <v>5.5133506231893649E-3</v>
      </c>
      <c r="K233">
        <v>1</v>
      </c>
    </row>
    <row r="234" spans="1:11">
      <c r="A234" s="16">
        <v>42398</v>
      </c>
      <c r="B234" s="17" t="s">
        <v>276</v>
      </c>
      <c r="C234">
        <v>83611700</v>
      </c>
      <c r="D234">
        <f t="shared" si="6"/>
        <v>5.6571335950979185E-2</v>
      </c>
      <c r="G234" s="17" t="s">
        <v>2074</v>
      </c>
      <c r="H234">
        <v>5497570000</v>
      </c>
      <c r="J234">
        <f t="shared" si="7"/>
        <v>2.4458651059441346E-2</v>
      </c>
      <c r="K234">
        <v>1</v>
      </c>
    </row>
    <row r="235" spans="1:11">
      <c r="A235" s="16">
        <v>42401</v>
      </c>
      <c r="B235" s="17" t="s">
        <v>277</v>
      </c>
      <c r="C235">
        <v>44208500</v>
      </c>
      <c r="D235">
        <f t="shared" si="6"/>
        <v>-6.9216842380070516E-3</v>
      </c>
      <c r="G235" s="17" t="s">
        <v>2078</v>
      </c>
      <c r="H235">
        <v>4322530000</v>
      </c>
      <c r="J235">
        <f t="shared" si="7"/>
        <v>-4.433346643196018E-4</v>
      </c>
      <c r="K235">
        <v>1</v>
      </c>
    </row>
    <row r="236" spans="1:11">
      <c r="A236" s="16">
        <v>42402</v>
      </c>
      <c r="B236" s="17" t="s">
        <v>278</v>
      </c>
      <c r="C236">
        <v>56313800</v>
      </c>
      <c r="D236">
        <f t="shared" si="6"/>
        <v>-3.1754484337117479E-2</v>
      </c>
      <c r="G236" s="17" t="s">
        <v>2081</v>
      </c>
      <c r="H236">
        <v>4463190000</v>
      </c>
      <c r="J236">
        <f t="shared" si="7"/>
        <v>-1.8920968934657827E-2</v>
      </c>
      <c r="K236">
        <v>1</v>
      </c>
    </row>
    <row r="237" spans="1:11">
      <c r="A237" s="16">
        <v>42403</v>
      </c>
      <c r="B237" s="17" t="s">
        <v>279</v>
      </c>
      <c r="C237">
        <v>57559800</v>
      </c>
      <c r="D237">
        <f t="shared" si="6"/>
        <v>-1.5976142500679243E-2</v>
      </c>
      <c r="G237" s="17" t="s">
        <v>2085</v>
      </c>
      <c r="H237">
        <v>5172950000</v>
      </c>
      <c r="J237">
        <f t="shared" si="7"/>
        <v>4.9796200223488655E-3</v>
      </c>
      <c r="K237">
        <v>1</v>
      </c>
    </row>
    <row r="238" spans="1:11">
      <c r="A238" s="16">
        <v>42404</v>
      </c>
      <c r="B238" s="17" t="s">
        <v>280</v>
      </c>
      <c r="C238">
        <v>46987100</v>
      </c>
      <c r="D238">
        <f t="shared" si="6"/>
        <v>-3.0720134114768575E-3</v>
      </c>
      <c r="G238" s="17" t="s">
        <v>2089</v>
      </c>
      <c r="H238">
        <v>5193320000</v>
      </c>
      <c r="J238">
        <f t="shared" si="7"/>
        <v>1.5255683580189725E-3</v>
      </c>
      <c r="K238">
        <v>1</v>
      </c>
    </row>
    <row r="239" spans="1:11">
      <c r="A239" s="16">
        <v>42405</v>
      </c>
      <c r="B239" s="17" t="s">
        <v>281</v>
      </c>
      <c r="C239">
        <v>62009000</v>
      </c>
      <c r="D239">
        <f t="shared" si="6"/>
        <v>-3.6025802680615358E-2</v>
      </c>
      <c r="G239" s="17" t="s">
        <v>2092</v>
      </c>
      <c r="H239">
        <v>4929940000</v>
      </c>
      <c r="J239">
        <f t="shared" si="7"/>
        <v>-1.8654158095200504E-2</v>
      </c>
      <c r="K239">
        <v>1</v>
      </c>
    </row>
    <row r="240" spans="1:11">
      <c r="A240" s="16">
        <v>42408</v>
      </c>
      <c r="B240" s="17" t="s">
        <v>282</v>
      </c>
      <c r="C240">
        <v>59290500</v>
      </c>
      <c r="D240">
        <f t="shared" si="6"/>
        <v>-1.5065499379468647E-2</v>
      </c>
      <c r="G240" s="17" t="s">
        <v>2095</v>
      </c>
      <c r="H240">
        <v>5636460000</v>
      </c>
      <c r="J240">
        <f t="shared" si="7"/>
        <v>-1.4255058233664721E-2</v>
      </c>
      <c r="K240">
        <v>1</v>
      </c>
    </row>
    <row r="241" spans="1:11">
      <c r="A241" s="16">
        <v>42409</v>
      </c>
      <c r="B241" s="17" t="s">
        <v>283</v>
      </c>
      <c r="C241">
        <v>46740500</v>
      </c>
      <c r="D241">
        <f t="shared" si="6"/>
        <v>-2.6342654596727974E-3</v>
      </c>
      <c r="G241" s="17" t="s">
        <v>2099</v>
      </c>
      <c r="H241">
        <v>5183220000</v>
      </c>
      <c r="J241">
        <f t="shared" si="7"/>
        <v>-6.638403938297871E-4</v>
      </c>
      <c r="K241">
        <v>1</v>
      </c>
    </row>
    <row r="242" spans="1:11">
      <c r="A242" s="16">
        <v>42410</v>
      </c>
      <c r="B242" s="17" t="s">
        <v>284</v>
      </c>
      <c r="C242">
        <v>38237000</v>
      </c>
      <c r="D242">
        <f t="shared" si="6"/>
        <v>8.6878817658467278E-3</v>
      </c>
      <c r="G242" s="17" t="s">
        <v>2103</v>
      </c>
      <c r="H242">
        <v>4471170000</v>
      </c>
      <c r="J242">
        <f t="shared" si="7"/>
        <v>-1.8896835434723531E-4</v>
      </c>
      <c r="K242">
        <v>1</v>
      </c>
    </row>
    <row r="243" spans="1:11">
      <c r="A243" s="16">
        <v>42411</v>
      </c>
      <c r="B243" s="17" t="s">
        <v>285</v>
      </c>
      <c r="C243">
        <v>48878600</v>
      </c>
      <c r="D243">
        <f t="shared" si="6"/>
        <v>-4.025077877510556E-4</v>
      </c>
      <c r="G243" s="17" t="s">
        <v>2106</v>
      </c>
      <c r="H243">
        <v>5500800000</v>
      </c>
      <c r="J243">
        <f t="shared" si="7"/>
        <v>-1.2377447169312198E-2</v>
      </c>
      <c r="K243">
        <v>1</v>
      </c>
    </row>
    <row r="244" spans="1:11">
      <c r="A244" s="16">
        <v>42412</v>
      </c>
      <c r="B244" s="17" t="s">
        <v>286</v>
      </c>
      <c r="C244">
        <v>34243300</v>
      </c>
      <c r="D244">
        <f t="shared" si="6"/>
        <v>1.616977583925451E-2</v>
      </c>
      <c r="G244" s="17" t="s">
        <v>2108</v>
      </c>
      <c r="H244">
        <v>4696920000</v>
      </c>
      <c r="J244">
        <f t="shared" si="7"/>
        <v>1.933001507774379E-2</v>
      </c>
      <c r="K244">
        <v>1</v>
      </c>
    </row>
    <row r="245" spans="1:11">
      <c r="A245" s="16">
        <v>42416</v>
      </c>
      <c r="B245" s="17" t="s">
        <v>287</v>
      </c>
      <c r="C245">
        <v>37291200</v>
      </c>
      <c r="D245">
        <f t="shared" si="6"/>
        <v>1.8769677484794516E-2</v>
      </c>
      <c r="G245" s="17" t="s">
        <v>2111</v>
      </c>
      <c r="H245">
        <v>4570670000</v>
      </c>
      <c r="J245">
        <f t="shared" si="7"/>
        <v>1.638173787203618E-2</v>
      </c>
      <c r="K245">
        <v>1</v>
      </c>
    </row>
    <row r="246" spans="1:11">
      <c r="A246" s="16">
        <v>42417</v>
      </c>
      <c r="B246" s="17" t="s">
        <v>288</v>
      </c>
      <c r="C246">
        <v>40789000</v>
      </c>
      <c r="D246">
        <f t="shared" si="6"/>
        <v>2.5699376378345323E-2</v>
      </c>
      <c r="G246" s="17" t="s">
        <v>2114</v>
      </c>
      <c r="H246">
        <v>5011540000</v>
      </c>
      <c r="J246">
        <f t="shared" si="7"/>
        <v>1.6346110504470802E-2</v>
      </c>
      <c r="K246">
        <v>1</v>
      </c>
    </row>
    <row r="247" spans="1:11">
      <c r="A247" s="16">
        <v>42418</v>
      </c>
      <c r="B247" s="17" t="s">
        <v>289</v>
      </c>
      <c r="C247">
        <v>27176000</v>
      </c>
      <c r="D247">
        <f t="shared" si="6"/>
        <v>-4.3973808063303647E-3</v>
      </c>
      <c r="G247" s="17" t="s">
        <v>2118</v>
      </c>
      <c r="H247">
        <v>4436490000</v>
      </c>
      <c r="J247">
        <f t="shared" si="7"/>
        <v>-4.6766320024294265E-3</v>
      </c>
      <c r="K247">
        <v>1</v>
      </c>
    </row>
    <row r="248" spans="1:11">
      <c r="A248" s="16">
        <v>42419</v>
      </c>
      <c r="B248" s="17" t="s">
        <v>290</v>
      </c>
      <c r="C248">
        <v>33559100</v>
      </c>
      <c r="D248">
        <f t="shared" si="6"/>
        <v>-7.1148909516451017E-3</v>
      </c>
      <c r="G248" s="17" t="s">
        <v>2122</v>
      </c>
      <c r="H248">
        <v>4142850000</v>
      </c>
      <c r="J248">
        <f t="shared" si="7"/>
        <v>-2.6033408087892532E-5</v>
      </c>
      <c r="K248">
        <v>1</v>
      </c>
    </row>
    <row r="249" spans="1:11">
      <c r="A249" s="16">
        <v>42422</v>
      </c>
      <c r="B249" s="17" t="s">
        <v>291</v>
      </c>
      <c r="C249">
        <v>25008300</v>
      </c>
      <c r="D249">
        <f t="shared" si="6"/>
        <v>1.589031821626324E-2</v>
      </c>
      <c r="G249" s="17" t="s">
        <v>2125</v>
      </c>
      <c r="H249">
        <v>4054710000</v>
      </c>
      <c r="J249">
        <f t="shared" si="7"/>
        <v>1.43507312538776E-2</v>
      </c>
      <c r="K249">
        <v>1</v>
      </c>
    </row>
    <row r="250" spans="1:11">
      <c r="A250" s="16">
        <v>42423</v>
      </c>
      <c r="B250" s="17" t="s">
        <v>292</v>
      </c>
      <c r="C250">
        <v>28895300</v>
      </c>
      <c r="D250">
        <f t="shared" si="6"/>
        <v>-2.8317462151091363E-2</v>
      </c>
      <c r="G250" s="17" t="s">
        <v>2128</v>
      </c>
      <c r="H250">
        <v>3890650000</v>
      </c>
      <c r="J250">
        <f t="shared" si="7"/>
        <v>-1.2532577326809282E-2</v>
      </c>
      <c r="K250">
        <v>1</v>
      </c>
    </row>
    <row r="251" spans="1:11">
      <c r="A251" s="16">
        <v>42424</v>
      </c>
      <c r="B251" s="17" t="s">
        <v>293</v>
      </c>
      <c r="C251">
        <v>33014500</v>
      </c>
      <c r="D251">
        <f t="shared" si="6"/>
        <v>3.5108453328123639E-3</v>
      </c>
      <c r="G251" s="17" t="s">
        <v>2132</v>
      </c>
      <c r="H251">
        <v>4317250000</v>
      </c>
      <c r="J251">
        <f t="shared" si="7"/>
        <v>4.4299598797164323E-3</v>
      </c>
      <c r="K251">
        <v>1</v>
      </c>
    </row>
    <row r="252" spans="1:11">
      <c r="A252" s="16">
        <v>42425</v>
      </c>
      <c r="B252" s="17" t="s">
        <v>294</v>
      </c>
      <c r="C252">
        <v>26939500</v>
      </c>
      <c r="D252">
        <f t="shared" si="6"/>
        <v>1.4305462659591844E-2</v>
      </c>
      <c r="G252" s="17" t="s">
        <v>2136</v>
      </c>
      <c r="H252">
        <v>4118210000</v>
      </c>
      <c r="J252">
        <f t="shared" si="7"/>
        <v>1.1284366553322904E-2</v>
      </c>
      <c r="K252">
        <v>1</v>
      </c>
    </row>
    <row r="253" spans="1:11">
      <c r="A253" s="16">
        <v>42426</v>
      </c>
      <c r="B253" s="17" t="s">
        <v>295</v>
      </c>
      <c r="C253">
        <v>35975900</v>
      </c>
      <c r="D253">
        <f t="shared" si="6"/>
        <v>-1.5474508693411999E-2</v>
      </c>
      <c r="G253" s="17" t="s">
        <v>2140</v>
      </c>
      <c r="H253">
        <v>4348510000</v>
      </c>
      <c r="J253">
        <f t="shared" si="7"/>
        <v>-1.8718651532711654E-3</v>
      </c>
      <c r="K253">
        <v>1</v>
      </c>
    </row>
    <row r="254" spans="1:11">
      <c r="A254" s="16">
        <v>42429</v>
      </c>
      <c r="B254" s="17" t="s">
        <v>296</v>
      </c>
      <c r="C254">
        <v>31654000</v>
      </c>
      <c r="D254">
        <f t="shared" si="6"/>
        <v>-8.2206046845456557E-3</v>
      </c>
      <c r="G254" s="17" t="s">
        <v>2144</v>
      </c>
      <c r="H254">
        <v>4588180000</v>
      </c>
      <c r="J254">
        <f t="shared" si="7"/>
        <v>-8.1541314223962831E-3</v>
      </c>
      <c r="K254">
        <v>1</v>
      </c>
    </row>
    <row r="255" spans="1:11">
      <c r="A255" s="16">
        <v>42430</v>
      </c>
      <c r="B255" s="17" t="s">
        <v>297</v>
      </c>
      <c r="C255">
        <v>33024500</v>
      </c>
      <c r="D255">
        <f t="shared" si="6"/>
        <v>3.2865957201118103E-2</v>
      </c>
      <c r="G255" s="17" t="s">
        <v>2146</v>
      </c>
      <c r="H255">
        <v>4819750000</v>
      </c>
      <c r="J255">
        <f t="shared" si="7"/>
        <v>2.3588385853510946E-2</v>
      </c>
      <c r="K255">
        <v>1</v>
      </c>
    </row>
    <row r="256" spans="1:11">
      <c r="A256" s="16">
        <v>42431</v>
      </c>
      <c r="B256" s="17" t="s">
        <v>298</v>
      </c>
      <c r="C256">
        <v>29289900</v>
      </c>
      <c r="D256">
        <f t="shared" si="6"/>
        <v>7.0122656116572511E-3</v>
      </c>
      <c r="G256" s="17" t="s">
        <v>2150</v>
      </c>
      <c r="H256">
        <v>4666610000</v>
      </c>
      <c r="J256">
        <f t="shared" si="7"/>
        <v>4.0859495652811485E-3</v>
      </c>
      <c r="K256">
        <v>1</v>
      </c>
    </row>
    <row r="257" spans="1:11">
      <c r="A257" s="16">
        <v>42432</v>
      </c>
      <c r="B257" s="17" t="s">
        <v>299</v>
      </c>
      <c r="C257">
        <v>24427800</v>
      </c>
      <c r="D257">
        <f t="shared" si="6"/>
        <v>-1.1396317877581009E-2</v>
      </c>
      <c r="G257" s="17" t="s">
        <v>2154</v>
      </c>
      <c r="H257">
        <v>5081700000</v>
      </c>
      <c r="J257">
        <f t="shared" si="7"/>
        <v>3.4926341991238E-3</v>
      </c>
      <c r="K257">
        <v>1</v>
      </c>
    </row>
    <row r="258" spans="1:11">
      <c r="A258" s="16">
        <v>42433</v>
      </c>
      <c r="B258" s="17" t="s">
        <v>300</v>
      </c>
      <c r="C258">
        <v>33034200</v>
      </c>
      <c r="D258">
        <f t="shared" si="6"/>
        <v>-6.1314659739033677E-3</v>
      </c>
      <c r="G258" s="17" t="s">
        <v>2157</v>
      </c>
      <c r="H258">
        <v>6049930000</v>
      </c>
      <c r="J258">
        <f t="shared" si="7"/>
        <v>3.300439956470432E-3</v>
      </c>
      <c r="K258">
        <v>1</v>
      </c>
    </row>
    <row r="259" spans="1:11">
      <c r="A259" s="16">
        <v>42436</v>
      </c>
      <c r="B259" s="17" t="s">
        <v>301</v>
      </c>
      <c r="C259">
        <v>38407800</v>
      </c>
      <c r="D259">
        <f t="shared" si="6"/>
        <v>-1.940675854204265E-2</v>
      </c>
      <c r="G259" s="17" t="s">
        <v>2161</v>
      </c>
      <c r="H259">
        <v>4968180000</v>
      </c>
      <c r="J259">
        <f t="shared" si="7"/>
        <v>8.8462303513638313E-4</v>
      </c>
      <c r="K259">
        <v>1</v>
      </c>
    </row>
    <row r="260" spans="1:11">
      <c r="A260" s="16">
        <v>42437</v>
      </c>
      <c r="B260" s="17" t="s">
        <v>302</v>
      </c>
      <c r="C260">
        <v>33835100</v>
      </c>
      <c r="D260">
        <f t="shared" si="6"/>
        <v>1.2076483184280604E-2</v>
      </c>
      <c r="G260" s="17" t="s">
        <v>2164</v>
      </c>
      <c r="H260">
        <v>4641650000</v>
      </c>
      <c r="J260">
        <f t="shared" si="7"/>
        <v>-1.1303756054675167E-2</v>
      </c>
      <c r="K260">
        <v>1</v>
      </c>
    </row>
    <row r="261" spans="1:11">
      <c r="A261" s="16">
        <v>42438</v>
      </c>
      <c r="B261" s="17" t="s">
        <v>303</v>
      </c>
      <c r="C261">
        <v>28251600</v>
      </c>
      <c r="D261">
        <f t="shared" ref="D261:D324" si="8">LN(B261/B260)</f>
        <v>2.2778485649539042E-2</v>
      </c>
      <c r="G261" s="17" t="s">
        <v>2168</v>
      </c>
      <c r="H261">
        <v>4038120000</v>
      </c>
      <c r="J261">
        <f t="shared" ref="J261:J324" si="9">LN(G261/G260)</f>
        <v>5.0396727822188481E-3</v>
      </c>
      <c r="K261">
        <v>1</v>
      </c>
    </row>
    <row r="262" spans="1:11">
      <c r="A262" s="16">
        <v>42439</v>
      </c>
      <c r="B262" s="17" t="s">
        <v>304</v>
      </c>
      <c r="C262">
        <v>38387800</v>
      </c>
      <c r="D262">
        <f t="shared" si="8"/>
        <v>-1.5063678983937869E-2</v>
      </c>
      <c r="G262" s="17" t="s">
        <v>2172</v>
      </c>
      <c r="H262">
        <v>4376790000</v>
      </c>
      <c r="J262">
        <f t="shared" si="9"/>
        <v>1.557925340134523E-4</v>
      </c>
      <c r="K262">
        <v>1</v>
      </c>
    </row>
    <row r="263" spans="1:11">
      <c r="A263" s="16">
        <v>42440</v>
      </c>
      <c r="B263" s="17" t="s">
        <v>305</v>
      </c>
      <c r="C263">
        <v>32275700</v>
      </c>
      <c r="D263">
        <f t="shared" si="8"/>
        <v>1.9406777495663809E-2</v>
      </c>
      <c r="G263" s="17" t="s">
        <v>2175</v>
      </c>
      <c r="H263">
        <v>4078620000</v>
      </c>
      <c r="J263">
        <f t="shared" si="9"/>
        <v>1.6262545533244185E-2</v>
      </c>
      <c r="K263">
        <v>1</v>
      </c>
    </row>
    <row r="264" spans="1:11">
      <c r="A264" s="16">
        <v>42443</v>
      </c>
      <c r="B264" s="17" t="s">
        <v>306</v>
      </c>
      <c r="C264">
        <v>24083600</v>
      </c>
      <c r="D264">
        <f t="shared" si="8"/>
        <v>1.8825103454395121E-3</v>
      </c>
      <c r="G264" s="17" t="s">
        <v>2179</v>
      </c>
      <c r="H264">
        <v>3487850000</v>
      </c>
      <c r="J264">
        <f t="shared" si="9"/>
        <v>-1.261768241643932E-3</v>
      </c>
      <c r="K264">
        <v>1</v>
      </c>
    </row>
    <row r="265" spans="1:11">
      <c r="A265" s="16">
        <v>42444</v>
      </c>
      <c r="B265" s="17" t="s">
        <v>307</v>
      </c>
      <c r="C265">
        <v>21104800</v>
      </c>
      <c r="D265">
        <f t="shared" si="8"/>
        <v>7.8680794868955101E-3</v>
      </c>
      <c r="G265" s="17" t="s">
        <v>2183</v>
      </c>
      <c r="H265">
        <v>3560280000</v>
      </c>
      <c r="J265">
        <f t="shared" si="9"/>
        <v>-1.8386309650007115E-3</v>
      </c>
      <c r="K265">
        <v>1</v>
      </c>
    </row>
    <row r="266" spans="1:11">
      <c r="A266" s="16">
        <v>42445</v>
      </c>
      <c r="B266" s="17" t="s">
        <v>308</v>
      </c>
      <c r="C266">
        <v>31691700</v>
      </c>
      <c r="D266">
        <f t="shared" si="8"/>
        <v>1.4082262313828465E-2</v>
      </c>
      <c r="G266" s="17" t="s">
        <v>2187</v>
      </c>
      <c r="H266">
        <v>4057020000</v>
      </c>
      <c r="J266">
        <f t="shared" si="9"/>
        <v>5.584727884835018E-3</v>
      </c>
      <c r="K266">
        <v>1</v>
      </c>
    </row>
    <row r="267" spans="1:11">
      <c r="A267" s="16">
        <v>42446</v>
      </c>
      <c r="B267" s="17" t="s">
        <v>309</v>
      </c>
      <c r="C267">
        <v>28223900</v>
      </c>
      <c r="D267">
        <f t="shared" si="8"/>
        <v>5.6875291246620665E-3</v>
      </c>
      <c r="G267" s="17" t="s">
        <v>2191</v>
      </c>
      <c r="H267">
        <v>4530480000</v>
      </c>
      <c r="J267">
        <f t="shared" si="9"/>
        <v>6.5735830102084192E-3</v>
      </c>
      <c r="K267">
        <v>1</v>
      </c>
    </row>
    <row r="268" spans="1:11">
      <c r="A268" s="16">
        <v>42447</v>
      </c>
      <c r="B268" s="17" t="s">
        <v>310</v>
      </c>
      <c r="C268">
        <v>67625500</v>
      </c>
      <c r="D268">
        <f t="shared" si="8"/>
        <v>-2.1637453642729433E-2</v>
      </c>
      <c r="G268" s="17" t="s">
        <v>2194</v>
      </c>
      <c r="H268">
        <v>6503140000</v>
      </c>
      <c r="J268">
        <f t="shared" si="9"/>
        <v>4.3959671019814534E-3</v>
      </c>
      <c r="K268">
        <v>1</v>
      </c>
    </row>
    <row r="269" spans="1:11">
      <c r="A269" s="16">
        <v>42450</v>
      </c>
      <c r="B269" s="17" t="s">
        <v>311</v>
      </c>
      <c r="C269">
        <v>23925700</v>
      </c>
      <c r="D269">
        <f t="shared" si="8"/>
        <v>6.8933607022788959E-3</v>
      </c>
      <c r="G269" s="17" t="s">
        <v>2198</v>
      </c>
      <c r="H269">
        <v>3376600000</v>
      </c>
      <c r="J269">
        <f t="shared" si="9"/>
        <v>9.8509213283250836E-4</v>
      </c>
      <c r="K269">
        <v>1</v>
      </c>
    </row>
    <row r="270" spans="1:11">
      <c r="A270" s="16">
        <v>42451</v>
      </c>
      <c r="B270" s="17" t="s">
        <v>312</v>
      </c>
      <c r="C270">
        <v>23124100</v>
      </c>
      <c r="D270">
        <f t="shared" si="8"/>
        <v>3.8914578928896711E-3</v>
      </c>
      <c r="G270" s="17" t="s">
        <v>2202</v>
      </c>
      <c r="H270">
        <v>3418460000</v>
      </c>
      <c r="J270">
        <f t="shared" si="9"/>
        <v>-8.7777298047479432E-4</v>
      </c>
      <c r="K270">
        <v>1</v>
      </c>
    </row>
    <row r="271" spans="1:11">
      <c r="A271" s="16">
        <v>42452</v>
      </c>
      <c r="B271" s="17" t="s">
        <v>313</v>
      </c>
      <c r="C271">
        <v>20129000</v>
      </c>
      <c r="D271">
        <f t="shared" si="8"/>
        <v>-1.8510666472256489E-3</v>
      </c>
      <c r="G271" s="17" t="s">
        <v>2205</v>
      </c>
      <c r="H271">
        <v>3639510000</v>
      </c>
      <c r="J271">
        <f t="shared" si="9"/>
        <v>-6.4065095838299205E-3</v>
      </c>
      <c r="K271">
        <v>1</v>
      </c>
    </row>
    <row r="272" spans="1:11">
      <c r="A272" s="16">
        <v>42453</v>
      </c>
      <c r="B272" s="17" t="s">
        <v>314</v>
      </c>
      <c r="C272">
        <v>19950000</v>
      </c>
      <c r="D272">
        <f t="shared" si="8"/>
        <v>4.4370440109774804E-3</v>
      </c>
      <c r="G272" s="17" t="s">
        <v>2209</v>
      </c>
      <c r="H272">
        <v>3407720000</v>
      </c>
      <c r="J272">
        <f t="shared" si="9"/>
        <v>-3.7814200960276936E-4</v>
      </c>
      <c r="K272">
        <v>1</v>
      </c>
    </row>
    <row r="273" spans="1:11">
      <c r="A273" s="16">
        <v>42457</v>
      </c>
      <c r="B273" s="17" t="s">
        <v>315</v>
      </c>
      <c r="C273">
        <v>17025100</v>
      </c>
      <c r="D273">
        <f t="shared" si="8"/>
        <v>-1.2436569164414211E-2</v>
      </c>
      <c r="G273" s="17" t="s">
        <v>2213</v>
      </c>
      <c r="H273">
        <v>2809090000</v>
      </c>
      <c r="J273">
        <f t="shared" si="9"/>
        <v>5.4510717198609884E-4</v>
      </c>
      <c r="K273">
        <v>1</v>
      </c>
    </row>
    <row r="274" spans="1:11">
      <c r="A274" s="16">
        <v>42458</v>
      </c>
      <c r="B274" s="17" t="s">
        <v>316</v>
      </c>
      <c r="C274">
        <v>23924300</v>
      </c>
      <c r="D274">
        <f t="shared" si="8"/>
        <v>2.1617544546860264E-2</v>
      </c>
      <c r="G274" s="17" t="s">
        <v>2217</v>
      </c>
      <c r="H274">
        <v>3822330000</v>
      </c>
      <c r="J274">
        <f t="shared" si="9"/>
        <v>8.7780120839133745E-3</v>
      </c>
      <c r="K274">
        <v>1</v>
      </c>
    </row>
    <row r="275" spans="1:11">
      <c r="A275" s="16">
        <v>42459</v>
      </c>
      <c r="B275" s="17" t="s">
        <v>317</v>
      </c>
      <c r="C275">
        <v>23008300</v>
      </c>
      <c r="D275">
        <f t="shared" si="8"/>
        <v>6.1954805899919509E-3</v>
      </c>
      <c r="G275" s="17" t="s">
        <v>2219</v>
      </c>
      <c r="H275">
        <v>3590310000</v>
      </c>
      <c r="J275">
        <f t="shared" si="9"/>
        <v>4.3408797962407337E-3</v>
      </c>
      <c r="K275">
        <v>1</v>
      </c>
    </row>
    <row r="276" spans="1:11">
      <c r="A276" s="16">
        <v>42460</v>
      </c>
      <c r="B276" s="17" t="s">
        <v>318</v>
      </c>
      <c r="C276">
        <v>26360500</v>
      </c>
      <c r="D276">
        <f t="shared" si="8"/>
        <v>3.26422095055301E-3</v>
      </c>
      <c r="G276" s="17" t="s">
        <v>2223</v>
      </c>
      <c r="H276">
        <v>3715280000</v>
      </c>
      <c r="J276">
        <f t="shared" si="9"/>
        <v>-2.0418423901345938E-3</v>
      </c>
      <c r="K276">
        <v>1</v>
      </c>
    </row>
    <row r="277" spans="1:11">
      <c r="A277" s="16">
        <v>42461</v>
      </c>
      <c r="B277" s="17" t="s">
        <v>319</v>
      </c>
      <c r="C277">
        <v>24399200</v>
      </c>
      <c r="D277">
        <f t="shared" si="8"/>
        <v>6.1374835744563063E-3</v>
      </c>
      <c r="G277" s="17" t="s">
        <v>2227</v>
      </c>
      <c r="H277">
        <v>3749990000</v>
      </c>
      <c r="J277">
        <f t="shared" si="9"/>
        <v>6.310959037162926E-3</v>
      </c>
      <c r="K277">
        <v>1</v>
      </c>
    </row>
    <row r="278" spans="1:11">
      <c r="A278" s="16">
        <v>42464</v>
      </c>
      <c r="B278" s="17" t="s">
        <v>320</v>
      </c>
      <c r="C278">
        <v>18928800</v>
      </c>
      <c r="D278">
        <f t="shared" si="8"/>
        <v>-2.522531125640872E-3</v>
      </c>
      <c r="G278" s="17" t="s">
        <v>2231</v>
      </c>
      <c r="H278">
        <v>3485710000</v>
      </c>
      <c r="J278">
        <f t="shared" si="9"/>
        <v>-3.2134798118797336E-3</v>
      </c>
      <c r="K278">
        <v>1</v>
      </c>
    </row>
    <row r="279" spans="1:11">
      <c r="A279" s="16">
        <v>42465</v>
      </c>
      <c r="B279" s="17" t="s">
        <v>321</v>
      </c>
      <c r="C279">
        <v>19272300</v>
      </c>
      <c r="D279">
        <f t="shared" si="8"/>
        <v>-1.5819980335477723E-2</v>
      </c>
      <c r="G279" s="17" t="s">
        <v>2234</v>
      </c>
      <c r="H279">
        <v>4154920000</v>
      </c>
      <c r="J279">
        <f t="shared" si="9"/>
        <v>-1.019629847580408E-2</v>
      </c>
      <c r="K279">
        <v>1</v>
      </c>
    </row>
    <row r="280" spans="1:11">
      <c r="A280" s="16">
        <v>42466</v>
      </c>
      <c r="B280" s="17" t="s">
        <v>322</v>
      </c>
      <c r="C280">
        <v>21188700</v>
      </c>
      <c r="D280">
        <f t="shared" si="8"/>
        <v>1.0211388161959581E-2</v>
      </c>
      <c r="G280" s="17" t="s">
        <v>2238</v>
      </c>
      <c r="H280">
        <v>3750800000</v>
      </c>
      <c r="J280">
        <f t="shared" si="9"/>
        <v>1.0452797852349736E-2</v>
      </c>
      <c r="K280">
        <v>1</v>
      </c>
    </row>
    <row r="281" spans="1:11">
      <c r="A281" s="16">
        <v>42467</v>
      </c>
      <c r="B281" s="17" t="s">
        <v>323</v>
      </c>
      <c r="C281">
        <v>19225100</v>
      </c>
      <c r="D281">
        <f t="shared" si="8"/>
        <v>-1.2045894315818513E-2</v>
      </c>
      <c r="G281" s="17" t="s">
        <v>2241</v>
      </c>
      <c r="H281">
        <v>3801250000</v>
      </c>
      <c r="J281">
        <f t="shared" si="9"/>
        <v>-1.2048074005081098E-2</v>
      </c>
      <c r="K281">
        <v>1</v>
      </c>
    </row>
    <row r="282" spans="1:11">
      <c r="A282" s="16">
        <v>42468</v>
      </c>
      <c r="B282" s="17" t="s">
        <v>324</v>
      </c>
      <c r="C282">
        <v>22167200</v>
      </c>
      <c r="D282">
        <f t="shared" si="8"/>
        <v>-7.3484103713979132E-4</v>
      </c>
      <c r="G282" s="17" t="s">
        <v>2245</v>
      </c>
      <c r="H282">
        <v>3359530000</v>
      </c>
      <c r="J282">
        <f t="shared" si="9"/>
        <v>2.7827028948345474E-3</v>
      </c>
      <c r="K282">
        <v>1</v>
      </c>
    </row>
    <row r="283" spans="1:11">
      <c r="A283" s="16">
        <v>42471</v>
      </c>
      <c r="B283" s="17" t="s">
        <v>325</v>
      </c>
      <c r="C283">
        <v>21414200</v>
      </c>
      <c r="D283">
        <f t="shared" si="8"/>
        <v>-2.0233432091915828E-3</v>
      </c>
      <c r="G283" s="17" t="s">
        <v>2249</v>
      </c>
      <c r="H283">
        <v>3567840000</v>
      </c>
      <c r="J283">
        <f t="shared" si="9"/>
        <v>-2.7435462066001262E-3</v>
      </c>
      <c r="K283">
        <v>1</v>
      </c>
    </row>
    <row r="284" spans="1:11">
      <c r="A284" s="16">
        <v>42472</v>
      </c>
      <c r="B284" s="17" t="s">
        <v>326</v>
      </c>
      <c r="C284">
        <v>24944300</v>
      </c>
      <c r="D284">
        <f t="shared" si="8"/>
        <v>6.2408299687991952E-3</v>
      </c>
      <c r="G284" s="17" t="s">
        <v>2253</v>
      </c>
      <c r="H284">
        <v>4239740000</v>
      </c>
      <c r="J284">
        <f t="shared" si="9"/>
        <v>9.6157541401615809E-3</v>
      </c>
      <c r="K284">
        <v>1</v>
      </c>
    </row>
    <row r="285" spans="1:11">
      <c r="A285" s="16">
        <v>42473</v>
      </c>
      <c r="B285" s="17" t="s">
        <v>327</v>
      </c>
      <c r="C285">
        <v>20818000</v>
      </c>
      <c r="D285">
        <f t="shared" si="8"/>
        <v>1.2727287121834725E-2</v>
      </c>
      <c r="G285" s="17" t="s">
        <v>2256</v>
      </c>
      <c r="H285">
        <v>4191830000</v>
      </c>
      <c r="J285">
        <f t="shared" si="9"/>
        <v>9.9900696845903383E-3</v>
      </c>
      <c r="K285">
        <v>1</v>
      </c>
    </row>
    <row r="286" spans="1:11">
      <c r="A286" s="16">
        <v>42474</v>
      </c>
      <c r="B286" s="17" t="s">
        <v>328</v>
      </c>
      <c r="C286">
        <v>20877100</v>
      </c>
      <c r="D286">
        <f t="shared" si="8"/>
        <v>1.8071261668581466E-4</v>
      </c>
      <c r="G286" s="17" t="s">
        <v>1563</v>
      </c>
      <c r="H286">
        <v>3765870000</v>
      </c>
      <c r="J286">
        <f t="shared" si="9"/>
        <v>1.7291222756818405E-4</v>
      </c>
      <c r="K286">
        <v>1</v>
      </c>
    </row>
    <row r="287" spans="1:11">
      <c r="A287" s="16">
        <v>42475</v>
      </c>
      <c r="B287" s="17" t="s">
        <v>329</v>
      </c>
      <c r="C287">
        <v>28793800</v>
      </c>
      <c r="D287">
        <f t="shared" si="8"/>
        <v>5.2248226093667329E-3</v>
      </c>
      <c r="G287" s="17" t="s">
        <v>2263</v>
      </c>
      <c r="H287">
        <v>3701450000</v>
      </c>
      <c r="J287">
        <f t="shared" si="9"/>
        <v>-9.8476965888961271E-4</v>
      </c>
      <c r="K287">
        <v>1</v>
      </c>
    </row>
    <row r="288" spans="1:11">
      <c r="A288" s="16">
        <v>42478</v>
      </c>
      <c r="B288" s="17" t="s">
        <v>330</v>
      </c>
      <c r="C288">
        <v>23786000</v>
      </c>
      <c r="D288">
        <f t="shared" si="8"/>
        <v>1.4450326920736856E-2</v>
      </c>
      <c r="G288" s="17" t="s">
        <v>2267</v>
      </c>
      <c r="H288">
        <v>3316880000</v>
      </c>
      <c r="J288">
        <f t="shared" si="9"/>
        <v>6.5197258913036061E-3</v>
      </c>
      <c r="K288">
        <v>1</v>
      </c>
    </row>
    <row r="289" spans="1:11">
      <c r="A289" s="16">
        <v>42479</v>
      </c>
      <c r="B289" s="17" t="s">
        <v>331</v>
      </c>
      <c r="C289">
        <v>29596800</v>
      </c>
      <c r="D289">
        <f t="shared" si="8"/>
        <v>-1.2406174907049132E-3</v>
      </c>
      <c r="G289" s="17" t="s">
        <v>2270</v>
      </c>
      <c r="H289">
        <v>3896830000</v>
      </c>
      <c r="J289">
        <f t="shared" si="9"/>
        <v>3.0797379324564098E-3</v>
      </c>
      <c r="K289">
        <v>1</v>
      </c>
    </row>
    <row r="290" spans="1:11">
      <c r="A290" s="16">
        <v>42480</v>
      </c>
      <c r="B290" s="17" t="s">
        <v>332</v>
      </c>
      <c r="C290">
        <v>36195700</v>
      </c>
      <c r="D290">
        <f t="shared" si="8"/>
        <v>-1.4288430924479692E-2</v>
      </c>
      <c r="G290" s="17" t="s">
        <v>2274</v>
      </c>
      <c r="H290">
        <v>4184880000</v>
      </c>
      <c r="J290">
        <f t="shared" si="9"/>
        <v>7.6125480391681512E-4</v>
      </c>
      <c r="K290">
        <v>1</v>
      </c>
    </row>
    <row r="291" spans="1:11">
      <c r="A291" s="16">
        <v>42481</v>
      </c>
      <c r="B291" s="17" t="s">
        <v>333</v>
      </c>
      <c r="C291">
        <v>38909100</v>
      </c>
      <c r="D291">
        <f t="shared" si="8"/>
        <v>3.4120509744119841E-3</v>
      </c>
      <c r="G291" s="17" t="s">
        <v>2278</v>
      </c>
      <c r="H291">
        <v>4175290000</v>
      </c>
      <c r="J291">
        <f t="shared" si="9"/>
        <v>-5.2075629179119901E-3</v>
      </c>
      <c r="K291">
        <v>1</v>
      </c>
    </row>
    <row r="292" spans="1:11">
      <c r="A292" s="16">
        <v>42482</v>
      </c>
      <c r="B292" s="17" t="s">
        <v>334</v>
      </c>
      <c r="C292">
        <v>126834100</v>
      </c>
      <c r="D292">
        <f t="shared" si="8"/>
        <v>-7.4411442397984112E-2</v>
      </c>
      <c r="G292" s="17" t="s">
        <v>2281</v>
      </c>
      <c r="H292">
        <v>3790580000</v>
      </c>
      <c r="J292">
        <f t="shared" si="9"/>
        <v>4.7858743900950742E-5</v>
      </c>
      <c r="K292">
        <v>1</v>
      </c>
    </row>
    <row r="293" spans="1:11">
      <c r="A293" s="16">
        <v>42485</v>
      </c>
      <c r="B293" s="17" t="s">
        <v>335</v>
      </c>
      <c r="C293">
        <v>33226900</v>
      </c>
      <c r="D293">
        <f t="shared" si="8"/>
        <v>6.3529625949324065E-3</v>
      </c>
      <c r="G293" s="17" t="s">
        <v>2284</v>
      </c>
      <c r="H293">
        <v>3319740000</v>
      </c>
      <c r="J293">
        <f t="shared" si="9"/>
        <v>-1.8136895909355406E-3</v>
      </c>
      <c r="K293">
        <v>1</v>
      </c>
    </row>
    <row r="294" spans="1:11">
      <c r="A294" s="16">
        <v>42486</v>
      </c>
      <c r="B294" s="17" t="s">
        <v>336</v>
      </c>
      <c r="C294">
        <v>33532600</v>
      </c>
      <c r="D294">
        <f t="shared" si="8"/>
        <v>-1.2940844010853879E-2</v>
      </c>
      <c r="G294" s="17" t="s">
        <v>2288</v>
      </c>
      <c r="H294">
        <v>3557190000</v>
      </c>
      <c r="J294">
        <f t="shared" si="9"/>
        <v>1.8710001220028356E-3</v>
      </c>
      <c r="K294">
        <v>1</v>
      </c>
    </row>
    <row r="295" spans="1:11">
      <c r="A295" s="16">
        <v>42487</v>
      </c>
      <c r="B295" s="17" t="s">
        <v>337</v>
      </c>
      <c r="C295">
        <v>43369300</v>
      </c>
      <c r="D295">
        <f t="shared" si="8"/>
        <v>-9.7676308707387426E-3</v>
      </c>
      <c r="G295" s="17" t="s">
        <v>2291</v>
      </c>
      <c r="H295">
        <v>4100110000</v>
      </c>
      <c r="J295">
        <f t="shared" si="9"/>
        <v>1.64799402984732E-3</v>
      </c>
      <c r="K295">
        <v>1</v>
      </c>
    </row>
    <row r="296" spans="1:11">
      <c r="A296" s="16">
        <v>42488</v>
      </c>
      <c r="B296" s="17" t="s">
        <v>338</v>
      </c>
      <c r="C296">
        <v>43134800</v>
      </c>
      <c r="D296">
        <f t="shared" si="8"/>
        <v>-2.0627452752892229E-2</v>
      </c>
      <c r="G296" s="17" t="s">
        <v>2295</v>
      </c>
      <c r="H296">
        <v>4309840000</v>
      </c>
      <c r="J296">
        <f t="shared" si="9"/>
        <v>-9.2736357017856857E-3</v>
      </c>
      <c r="K296">
        <v>1</v>
      </c>
    </row>
    <row r="297" spans="1:11">
      <c r="A297" s="16">
        <v>42489</v>
      </c>
      <c r="B297" s="17" t="s">
        <v>339</v>
      </c>
      <c r="C297">
        <v>48411700</v>
      </c>
      <c r="D297">
        <f t="shared" si="8"/>
        <v>-6.0149789370757181E-4</v>
      </c>
      <c r="G297" s="17" t="s">
        <v>2298</v>
      </c>
      <c r="H297">
        <v>4704720000</v>
      </c>
      <c r="J297">
        <f t="shared" si="9"/>
        <v>-5.0759493430435152E-3</v>
      </c>
      <c r="K297">
        <v>1</v>
      </c>
    </row>
    <row r="298" spans="1:11">
      <c r="A298" s="16">
        <v>42492</v>
      </c>
      <c r="B298" s="17" t="s">
        <v>340</v>
      </c>
      <c r="C298">
        <v>33114500</v>
      </c>
      <c r="D298">
        <f t="shared" si="8"/>
        <v>1.4729745578614725E-2</v>
      </c>
      <c r="G298" s="17" t="s">
        <v>2302</v>
      </c>
      <c r="H298">
        <v>3841110000</v>
      </c>
      <c r="J298">
        <f t="shared" si="9"/>
        <v>7.7796067866815026E-3</v>
      </c>
      <c r="K298">
        <v>1</v>
      </c>
    </row>
    <row r="299" spans="1:11">
      <c r="A299" s="16">
        <v>42493</v>
      </c>
      <c r="B299" s="17" t="s">
        <v>341</v>
      </c>
      <c r="C299">
        <v>26460200</v>
      </c>
      <c r="D299">
        <f t="shared" si="8"/>
        <v>-1.6535979370793395E-2</v>
      </c>
      <c r="G299" s="17" t="s">
        <v>2305</v>
      </c>
      <c r="H299">
        <v>4173390000</v>
      </c>
      <c r="J299">
        <f t="shared" si="9"/>
        <v>-8.7144996519244577E-3</v>
      </c>
      <c r="K299">
        <v>1</v>
      </c>
    </row>
    <row r="300" spans="1:11">
      <c r="A300" s="16">
        <v>42494</v>
      </c>
      <c r="B300" s="17" t="s">
        <v>339</v>
      </c>
      <c r="C300">
        <v>24257600</v>
      </c>
      <c r="D300">
        <f t="shared" si="8"/>
        <v>1.8062337921786256E-3</v>
      </c>
      <c r="G300" s="17" t="s">
        <v>2308</v>
      </c>
      <c r="H300">
        <v>4058560000</v>
      </c>
      <c r="J300">
        <f t="shared" si="9"/>
        <v>-5.9545827060152288E-3</v>
      </c>
      <c r="K300">
        <v>1</v>
      </c>
    </row>
    <row r="301" spans="1:11">
      <c r="A301" s="16">
        <v>42495</v>
      </c>
      <c r="B301" s="17" t="s">
        <v>342</v>
      </c>
      <c r="C301">
        <v>25390700</v>
      </c>
      <c r="D301">
        <f t="shared" si="8"/>
        <v>1.4027237305049337E-3</v>
      </c>
      <c r="G301" s="17" t="s">
        <v>2312</v>
      </c>
      <c r="H301">
        <v>4008530000</v>
      </c>
      <c r="J301">
        <f t="shared" si="9"/>
        <v>-2.3903650994534542E-4</v>
      </c>
      <c r="K301">
        <v>1</v>
      </c>
    </row>
    <row r="302" spans="1:11">
      <c r="A302" s="16">
        <v>42496</v>
      </c>
      <c r="B302" s="17" t="s">
        <v>343</v>
      </c>
      <c r="C302">
        <v>24787300</v>
      </c>
      <c r="D302">
        <f t="shared" si="8"/>
        <v>8.9704899002581908E-3</v>
      </c>
      <c r="G302" s="17" t="s">
        <v>2316</v>
      </c>
      <c r="H302">
        <v>3796350000</v>
      </c>
      <c r="J302">
        <f t="shared" si="9"/>
        <v>3.1696106671955265E-3</v>
      </c>
      <c r="K302">
        <v>1</v>
      </c>
    </row>
    <row r="303" spans="1:11">
      <c r="A303" s="16">
        <v>42499</v>
      </c>
      <c r="B303" s="17" t="s">
        <v>344</v>
      </c>
      <c r="C303">
        <v>17951600</v>
      </c>
      <c r="D303">
        <f t="shared" si="8"/>
        <v>-6.3706557187930063E-3</v>
      </c>
      <c r="G303" s="17" t="s">
        <v>2320</v>
      </c>
      <c r="H303">
        <v>3788620000</v>
      </c>
      <c r="J303">
        <f t="shared" si="9"/>
        <v>7.532129051973039E-4</v>
      </c>
      <c r="K303">
        <v>1</v>
      </c>
    </row>
    <row r="304" spans="1:11">
      <c r="A304" s="16">
        <v>42500</v>
      </c>
      <c r="B304" s="17" t="s">
        <v>345</v>
      </c>
      <c r="C304">
        <v>22891000</v>
      </c>
      <c r="D304">
        <f t="shared" si="8"/>
        <v>1.8795652745107989E-2</v>
      </c>
      <c r="G304" s="17" t="s">
        <v>2323</v>
      </c>
      <c r="H304">
        <v>3600200000</v>
      </c>
      <c r="J304">
        <f t="shared" si="9"/>
        <v>1.2406365635768817E-2</v>
      </c>
      <c r="K304">
        <v>1</v>
      </c>
    </row>
    <row r="305" spans="1:11">
      <c r="A305" s="16">
        <v>42501</v>
      </c>
      <c r="B305" s="17" t="s">
        <v>346</v>
      </c>
      <c r="C305">
        <v>24039100</v>
      </c>
      <c r="D305">
        <f t="shared" si="8"/>
        <v>5.8785934885470124E-4</v>
      </c>
      <c r="G305" s="17" t="s">
        <v>2325</v>
      </c>
      <c r="H305">
        <v>3821980000</v>
      </c>
      <c r="J305">
        <f t="shared" si="9"/>
        <v>-9.6075230499917813E-3</v>
      </c>
      <c r="K305">
        <v>1</v>
      </c>
    </row>
    <row r="306" spans="1:11">
      <c r="A306" s="16">
        <v>42502</v>
      </c>
      <c r="B306" s="17" t="s">
        <v>347</v>
      </c>
      <c r="C306">
        <v>24102800</v>
      </c>
      <c r="D306">
        <f t="shared" si="8"/>
        <v>8.9703678164369041E-3</v>
      </c>
      <c r="G306" s="17" t="s">
        <v>1337</v>
      </c>
      <c r="H306">
        <v>3782390000</v>
      </c>
      <c r="J306">
        <f t="shared" si="9"/>
        <v>-1.6947950262444553E-4</v>
      </c>
      <c r="K306">
        <v>1</v>
      </c>
    </row>
    <row r="307" spans="1:11">
      <c r="A307" s="16">
        <v>42503</v>
      </c>
      <c r="B307" s="17" t="s">
        <v>348</v>
      </c>
      <c r="C307">
        <v>22592300</v>
      </c>
      <c r="D307">
        <f t="shared" si="8"/>
        <v>-8.3827693032107343E-3</v>
      </c>
      <c r="G307" s="17" t="s">
        <v>2330</v>
      </c>
      <c r="H307">
        <v>3579880000</v>
      </c>
      <c r="J307">
        <f t="shared" si="9"/>
        <v>-8.514434129144554E-3</v>
      </c>
      <c r="K307">
        <v>1</v>
      </c>
    </row>
    <row r="308" spans="1:11">
      <c r="A308" s="16">
        <v>42506</v>
      </c>
      <c r="B308" s="17" t="s">
        <v>349</v>
      </c>
      <c r="C308">
        <v>20032000</v>
      </c>
      <c r="D308">
        <f t="shared" si="8"/>
        <v>1.4576025138070815E-2</v>
      </c>
      <c r="G308" s="17" t="s">
        <v>2238</v>
      </c>
      <c r="H308">
        <v>3501360000</v>
      </c>
      <c r="J308">
        <f t="shared" si="9"/>
        <v>9.7489765084672747E-3</v>
      </c>
      <c r="K308">
        <v>1</v>
      </c>
    </row>
    <row r="309" spans="1:11">
      <c r="A309" s="16">
        <v>42507</v>
      </c>
      <c r="B309" s="17" t="s">
        <v>350</v>
      </c>
      <c r="C309">
        <v>27803500</v>
      </c>
      <c r="D309">
        <f t="shared" si="8"/>
        <v>-1.8827943248916488E-2</v>
      </c>
      <c r="G309" s="17" t="s">
        <v>2336</v>
      </c>
      <c r="H309">
        <v>4108960000</v>
      </c>
      <c r="J309">
        <f t="shared" si="9"/>
        <v>-9.4558634687098679E-3</v>
      </c>
      <c r="K309">
        <v>1</v>
      </c>
    </row>
    <row r="310" spans="1:11">
      <c r="A310" s="16">
        <v>42508</v>
      </c>
      <c r="B310" s="17" t="s">
        <v>351</v>
      </c>
      <c r="C310">
        <v>24907500</v>
      </c>
      <c r="D310">
        <f t="shared" si="8"/>
        <v>5.9218568579288301E-3</v>
      </c>
      <c r="G310" s="17" t="s">
        <v>2340</v>
      </c>
      <c r="H310">
        <v>4101320000</v>
      </c>
      <c r="J310">
        <f t="shared" si="9"/>
        <v>2.0515771310288176E-4</v>
      </c>
      <c r="K310">
        <v>1</v>
      </c>
    </row>
    <row r="311" spans="1:11">
      <c r="A311" s="16">
        <v>42509</v>
      </c>
      <c r="B311" s="17" t="s">
        <v>352</v>
      </c>
      <c r="C311">
        <v>23842400</v>
      </c>
      <c r="D311">
        <f t="shared" si="8"/>
        <v>-9.6906008041141543E-3</v>
      </c>
      <c r="G311" s="17" t="s">
        <v>2343</v>
      </c>
      <c r="H311">
        <v>3846770000</v>
      </c>
      <c r="J311">
        <f t="shared" si="9"/>
        <v>-3.7135946105880755E-3</v>
      </c>
      <c r="K311">
        <v>1</v>
      </c>
    </row>
    <row r="312" spans="1:11">
      <c r="A312" s="16">
        <v>42510</v>
      </c>
      <c r="B312" s="17" t="s">
        <v>353</v>
      </c>
      <c r="C312">
        <v>23905800</v>
      </c>
      <c r="D312">
        <f t="shared" si="8"/>
        <v>5.944150603756285E-3</v>
      </c>
      <c r="G312" s="17" t="s">
        <v>1953</v>
      </c>
      <c r="H312">
        <v>3507650000</v>
      </c>
      <c r="J312">
        <f t="shared" si="9"/>
        <v>6.0014590783345695E-3</v>
      </c>
      <c r="K312">
        <v>1</v>
      </c>
    </row>
    <row r="313" spans="1:11">
      <c r="A313" s="16">
        <v>42513</v>
      </c>
      <c r="B313" s="17" t="s">
        <v>354</v>
      </c>
      <c r="C313">
        <v>26118700</v>
      </c>
      <c r="D313">
        <f t="shared" si="8"/>
        <v>-1.1723638771838109E-2</v>
      </c>
      <c r="G313" s="17" t="s">
        <v>2347</v>
      </c>
      <c r="H313">
        <v>3055480000</v>
      </c>
      <c r="J313">
        <f t="shared" si="9"/>
        <v>-2.0876364235120157E-3</v>
      </c>
      <c r="K313">
        <v>1</v>
      </c>
    </row>
    <row r="314" spans="1:11">
      <c r="A314" s="16">
        <v>42514</v>
      </c>
      <c r="B314" s="17" t="s">
        <v>355</v>
      </c>
      <c r="C314">
        <v>34757900</v>
      </c>
      <c r="D314">
        <f t="shared" si="8"/>
        <v>3.0704973644792227E-2</v>
      </c>
      <c r="G314" s="17" t="s">
        <v>2350</v>
      </c>
      <c r="H314">
        <v>3627340000</v>
      </c>
      <c r="J314">
        <f t="shared" si="9"/>
        <v>1.3588637760190403E-2</v>
      </c>
      <c r="K314">
        <v>1</v>
      </c>
    </row>
    <row r="315" spans="1:11">
      <c r="A315" s="16">
        <v>42515</v>
      </c>
      <c r="B315" s="17" t="s">
        <v>356</v>
      </c>
      <c r="C315">
        <v>24040200</v>
      </c>
      <c r="D315">
        <f t="shared" si="8"/>
        <v>1.0220762009192735E-2</v>
      </c>
      <c r="G315" s="17" t="s">
        <v>2353</v>
      </c>
      <c r="H315">
        <v>3859160000</v>
      </c>
      <c r="J315">
        <f t="shared" si="9"/>
        <v>6.9505294260036226E-3</v>
      </c>
      <c r="K315">
        <v>1</v>
      </c>
    </row>
    <row r="316" spans="1:11">
      <c r="A316" s="16">
        <v>42516</v>
      </c>
      <c r="B316" s="17" t="s">
        <v>357</v>
      </c>
      <c r="C316">
        <v>24335200</v>
      </c>
      <c r="D316">
        <f t="shared" si="8"/>
        <v>-4.4227655294624343E-3</v>
      </c>
      <c r="G316" s="17" t="s">
        <v>2357</v>
      </c>
      <c r="H316">
        <v>3230990000</v>
      </c>
      <c r="J316">
        <f t="shared" si="9"/>
        <v>-2.1046585556623991E-4</v>
      </c>
      <c r="K316">
        <v>1</v>
      </c>
    </row>
    <row r="317" spans="1:11">
      <c r="A317" s="16">
        <v>42517</v>
      </c>
      <c r="B317" s="17" t="s">
        <v>358</v>
      </c>
      <c r="C317">
        <v>17721400</v>
      </c>
      <c r="D317">
        <f t="shared" si="8"/>
        <v>8.252807055401476E-3</v>
      </c>
      <c r="G317" s="17" t="s">
        <v>2359</v>
      </c>
      <c r="H317">
        <v>3079150000</v>
      </c>
      <c r="J317">
        <f t="shared" si="9"/>
        <v>4.2776949685127815E-3</v>
      </c>
      <c r="K317">
        <v>1</v>
      </c>
    </row>
    <row r="318" spans="1:11">
      <c r="A318" s="16">
        <v>42521</v>
      </c>
      <c r="B318" s="17" t="s">
        <v>359</v>
      </c>
      <c r="C318">
        <v>37653100</v>
      </c>
      <c r="D318">
        <f t="shared" si="8"/>
        <v>1.2913330198325404E-2</v>
      </c>
      <c r="G318" s="17" t="s">
        <v>2363</v>
      </c>
      <c r="H318">
        <v>4514410000</v>
      </c>
      <c r="J318">
        <f t="shared" si="9"/>
        <v>-1.0057688960932291E-3</v>
      </c>
      <c r="K318">
        <v>1</v>
      </c>
    </row>
    <row r="319" spans="1:11">
      <c r="A319" s="16">
        <v>42522</v>
      </c>
      <c r="B319" s="17" t="s">
        <v>360</v>
      </c>
      <c r="C319">
        <v>25324800</v>
      </c>
      <c r="D319">
        <f t="shared" si="8"/>
        <v>-2.8345185282298716E-3</v>
      </c>
      <c r="G319" s="17" t="s">
        <v>2367</v>
      </c>
      <c r="H319">
        <v>3525170000</v>
      </c>
      <c r="J319">
        <f t="shared" si="9"/>
        <v>1.1343986763476727E-3</v>
      </c>
      <c r="K319">
        <v>1</v>
      </c>
    </row>
    <row r="320" spans="1:11">
      <c r="A320" s="16">
        <v>42523</v>
      </c>
      <c r="B320" s="17" t="s">
        <v>361</v>
      </c>
      <c r="C320">
        <v>22840800</v>
      </c>
      <c r="D320">
        <f t="shared" si="8"/>
        <v>-7.0252318098765962E-3</v>
      </c>
      <c r="G320" s="17" t="s">
        <v>2369</v>
      </c>
      <c r="H320">
        <v>3632720000</v>
      </c>
      <c r="J320">
        <f t="shared" si="9"/>
        <v>2.820696337857359E-3</v>
      </c>
      <c r="K320">
        <v>1</v>
      </c>
    </row>
    <row r="321" spans="1:11">
      <c r="A321" s="16">
        <v>42524</v>
      </c>
      <c r="B321" s="17" t="s">
        <v>362</v>
      </c>
      <c r="C321">
        <v>23368300</v>
      </c>
      <c r="D321">
        <f t="shared" si="8"/>
        <v>-1.3235402424586963E-2</v>
      </c>
      <c r="G321" s="17" t="s">
        <v>2373</v>
      </c>
      <c r="H321">
        <v>3627780000</v>
      </c>
      <c r="J321">
        <f t="shared" si="9"/>
        <v>-2.9160622587003754E-3</v>
      </c>
      <c r="K321">
        <v>1</v>
      </c>
    </row>
    <row r="322" spans="1:11">
      <c r="A322" s="16">
        <v>42527</v>
      </c>
      <c r="B322" s="17" t="s">
        <v>363</v>
      </c>
      <c r="C322">
        <v>18243300</v>
      </c>
      <c r="D322">
        <f t="shared" si="8"/>
        <v>6.5438601857471454E-3</v>
      </c>
      <c r="G322" s="17" t="s">
        <v>2376</v>
      </c>
      <c r="H322">
        <v>3442020000</v>
      </c>
      <c r="J322">
        <f t="shared" si="9"/>
        <v>4.8853283781898054E-3</v>
      </c>
      <c r="K322">
        <v>1</v>
      </c>
    </row>
    <row r="323" spans="1:11">
      <c r="A323" s="16">
        <v>42528</v>
      </c>
      <c r="B323" s="17" t="s">
        <v>364</v>
      </c>
      <c r="C323">
        <v>20866800</v>
      </c>
      <c r="D323">
        <f t="shared" si="8"/>
        <v>-5.7577199629593007E-4</v>
      </c>
      <c r="G323" s="17" t="s">
        <v>2379</v>
      </c>
      <c r="H323">
        <v>3534730000</v>
      </c>
      <c r="J323">
        <f t="shared" si="9"/>
        <v>1.2886157698214313E-3</v>
      </c>
      <c r="K323">
        <v>1</v>
      </c>
    </row>
    <row r="324" spans="1:11">
      <c r="A324" s="16">
        <v>42529</v>
      </c>
      <c r="B324" s="17" t="s">
        <v>365</v>
      </c>
      <c r="C324">
        <v>21149400</v>
      </c>
      <c r="D324">
        <f t="shared" si="8"/>
        <v>-1.1525188871450748E-3</v>
      </c>
      <c r="G324" s="17" t="s">
        <v>2382</v>
      </c>
      <c r="H324">
        <v>3562060000</v>
      </c>
      <c r="J324">
        <f t="shared" si="9"/>
        <v>3.3041017947016116E-3</v>
      </c>
      <c r="K324">
        <v>1</v>
      </c>
    </row>
    <row r="325" spans="1:11">
      <c r="A325" s="16">
        <v>42530</v>
      </c>
      <c r="B325" s="17" t="s">
        <v>366</v>
      </c>
      <c r="C325">
        <v>20305700</v>
      </c>
      <c r="D325">
        <f t="shared" ref="D325:D388" si="10">LN(B325/B324)</f>
        <v>-8.1035034452882713E-3</v>
      </c>
      <c r="G325" s="17" t="s">
        <v>2386</v>
      </c>
      <c r="H325">
        <v>3290320000</v>
      </c>
      <c r="J325">
        <f t="shared" ref="J325:J388" si="11">LN(G325/G324)</f>
        <v>-1.7192357309944891E-3</v>
      </c>
      <c r="K325">
        <v>1</v>
      </c>
    </row>
    <row r="326" spans="1:11">
      <c r="A326" s="16">
        <v>42531</v>
      </c>
      <c r="B326" s="17" t="s">
        <v>367</v>
      </c>
      <c r="C326">
        <v>25833200</v>
      </c>
      <c r="D326">
        <f t="shared" si="10"/>
        <v>-2.7156737020389175E-3</v>
      </c>
      <c r="G326" s="17" t="s">
        <v>2389</v>
      </c>
      <c r="H326">
        <v>3515010000</v>
      </c>
      <c r="J326">
        <f t="shared" si="11"/>
        <v>-9.2175323600370163E-3</v>
      </c>
      <c r="K326">
        <v>1</v>
      </c>
    </row>
    <row r="327" spans="1:11">
      <c r="A327" s="16">
        <v>42534</v>
      </c>
      <c r="B327" s="17" t="s">
        <v>368</v>
      </c>
      <c r="C327">
        <v>83217800</v>
      </c>
      <c r="D327">
        <f t="shared" si="10"/>
        <v>-2.6374412971467271E-2</v>
      </c>
      <c r="G327" s="17" t="s">
        <v>2393</v>
      </c>
      <c r="H327">
        <v>3392030000</v>
      </c>
      <c r="J327">
        <f t="shared" si="11"/>
        <v>-8.1482984228569144E-3</v>
      </c>
      <c r="K327">
        <v>1</v>
      </c>
    </row>
    <row r="328" spans="1:11">
      <c r="A328" s="16">
        <v>42535</v>
      </c>
      <c r="B328" s="17" t="s">
        <v>369</v>
      </c>
      <c r="C328">
        <v>42577100</v>
      </c>
      <c r="D328">
        <f t="shared" si="10"/>
        <v>-6.2017017456178014E-3</v>
      </c>
      <c r="G328" s="17" t="s">
        <v>2397</v>
      </c>
      <c r="H328">
        <v>3759770000</v>
      </c>
      <c r="J328">
        <f t="shared" si="11"/>
        <v>-1.8005054405386205E-3</v>
      </c>
      <c r="K328">
        <v>1</v>
      </c>
    </row>
    <row r="329" spans="1:11">
      <c r="A329" s="16">
        <v>42536</v>
      </c>
      <c r="B329" s="17" t="s">
        <v>370</v>
      </c>
      <c r="C329">
        <v>33757600</v>
      </c>
      <c r="D329">
        <f t="shared" si="10"/>
        <v>-2.813535909444778E-3</v>
      </c>
      <c r="G329" s="17" t="s">
        <v>2401</v>
      </c>
      <c r="H329">
        <v>3544720000</v>
      </c>
      <c r="J329">
        <f t="shared" si="11"/>
        <v>-1.8424088906440429E-3</v>
      </c>
      <c r="K329">
        <v>1</v>
      </c>
    </row>
    <row r="330" spans="1:11">
      <c r="A330" s="16">
        <v>42537</v>
      </c>
      <c r="B330" s="17" t="s">
        <v>371</v>
      </c>
      <c r="C330">
        <v>31188600</v>
      </c>
      <c r="D330">
        <f t="shared" si="10"/>
        <v>1.3989053952315877E-2</v>
      </c>
      <c r="G330" s="17" t="s">
        <v>2405</v>
      </c>
      <c r="H330">
        <v>3628280000</v>
      </c>
      <c r="J330">
        <f t="shared" si="11"/>
        <v>3.1280929982563338E-3</v>
      </c>
      <c r="K330">
        <v>1</v>
      </c>
    </row>
    <row r="331" spans="1:11">
      <c r="A331" s="16">
        <v>42538</v>
      </c>
      <c r="B331" s="17" t="s">
        <v>372</v>
      </c>
      <c r="C331">
        <v>45710500</v>
      </c>
      <c r="D331">
        <f t="shared" si="10"/>
        <v>-5.1730919664616862E-3</v>
      </c>
      <c r="G331" s="17" t="s">
        <v>2408</v>
      </c>
      <c r="H331">
        <v>4952630000</v>
      </c>
      <c r="J331">
        <f t="shared" si="11"/>
        <v>-3.2632838884862482E-3</v>
      </c>
      <c r="K331">
        <v>1</v>
      </c>
    </row>
    <row r="332" spans="1:11">
      <c r="A332" s="16">
        <v>42541</v>
      </c>
      <c r="B332" s="17" t="s">
        <v>373</v>
      </c>
      <c r="C332">
        <v>35607900</v>
      </c>
      <c r="D332">
        <f t="shared" si="10"/>
        <v>-1.1975164170631382E-3</v>
      </c>
      <c r="G332" s="17" t="s">
        <v>2411</v>
      </c>
      <c r="H332">
        <v>3467440000</v>
      </c>
      <c r="J332">
        <f t="shared" si="11"/>
        <v>5.7913826350895967E-3</v>
      </c>
      <c r="K332">
        <v>1</v>
      </c>
    </row>
    <row r="333" spans="1:11">
      <c r="A333" s="16">
        <v>42542</v>
      </c>
      <c r="B333" s="17" t="s">
        <v>374</v>
      </c>
      <c r="C333">
        <v>34097800</v>
      </c>
      <c r="D333">
        <f t="shared" si="10"/>
        <v>2.2122001107661764E-2</v>
      </c>
      <c r="G333" s="17" t="s">
        <v>2415</v>
      </c>
      <c r="H333">
        <v>3232880000</v>
      </c>
      <c r="J333">
        <f t="shared" si="11"/>
        <v>2.7083904396495474E-3</v>
      </c>
      <c r="K333">
        <v>1</v>
      </c>
    </row>
    <row r="334" spans="1:11">
      <c r="A334" s="16">
        <v>42543</v>
      </c>
      <c r="B334" s="17" t="s">
        <v>375</v>
      </c>
      <c r="C334">
        <v>28816800</v>
      </c>
      <c r="D334">
        <f t="shared" si="10"/>
        <v>-3.9144390782076535E-3</v>
      </c>
      <c r="G334" s="17" t="s">
        <v>2419</v>
      </c>
      <c r="H334">
        <v>3168160000</v>
      </c>
      <c r="J334">
        <f t="shared" si="11"/>
        <v>-1.6529289144317837E-3</v>
      </c>
      <c r="K334">
        <v>1</v>
      </c>
    </row>
    <row r="335" spans="1:11">
      <c r="A335" s="16">
        <v>42544</v>
      </c>
      <c r="B335" s="17" t="s">
        <v>376</v>
      </c>
      <c r="C335">
        <v>29028800</v>
      </c>
      <c r="D335">
        <f t="shared" si="10"/>
        <v>1.7881759660826769E-2</v>
      </c>
      <c r="G335" s="17" t="s">
        <v>2421</v>
      </c>
      <c r="H335">
        <v>3297940000</v>
      </c>
      <c r="J335">
        <f t="shared" si="11"/>
        <v>1.3275566984318879E-2</v>
      </c>
      <c r="K335">
        <v>1</v>
      </c>
    </row>
    <row r="336" spans="1:11">
      <c r="A336" s="16">
        <v>42545</v>
      </c>
      <c r="B336" s="17" t="s">
        <v>369</v>
      </c>
      <c r="C336">
        <v>133503000</v>
      </c>
      <c r="D336">
        <f t="shared" si="10"/>
        <v>-4.0894231349627289E-2</v>
      </c>
      <c r="G336" s="17" t="s">
        <v>2424</v>
      </c>
      <c r="H336">
        <v>7597450000</v>
      </c>
      <c r="J336">
        <f t="shared" si="11"/>
        <v>-3.6580792723724311E-2</v>
      </c>
      <c r="K336">
        <v>1</v>
      </c>
    </row>
    <row r="337" spans="1:11">
      <c r="A337" s="16">
        <v>42548</v>
      </c>
      <c r="B337" s="17" t="s">
        <v>377</v>
      </c>
      <c r="C337">
        <v>50216300</v>
      </c>
      <c r="D337">
        <f t="shared" si="10"/>
        <v>-2.8497790147080718E-2</v>
      </c>
      <c r="G337" s="17" t="s">
        <v>2427</v>
      </c>
      <c r="H337">
        <v>5431220000</v>
      </c>
      <c r="J337">
        <f t="shared" si="11"/>
        <v>-1.8262246454750181E-2</v>
      </c>
      <c r="K337">
        <v>1</v>
      </c>
    </row>
    <row r="338" spans="1:11">
      <c r="A338" s="16">
        <v>42549</v>
      </c>
      <c r="B338" s="17" t="s">
        <v>378</v>
      </c>
      <c r="C338">
        <v>38140700</v>
      </c>
      <c r="D338">
        <f t="shared" si="10"/>
        <v>2.0640279735181927E-2</v>
      </c>
      <c r="G338" s="17" t="s">
        <v>2429</v>
      </c>
      <c r="H338">
        <v>4385810000</v>
      </c>
      <c r="J338">
        <f t="shared" si="11"/>
        <v>1.7614121723580567E-2</v>
      </c>
      <c r="K338">
        <v>1</v>
      </c>
    </row>
    <row r="339" spans="1:11">
      <c r="A339" s="16">
        <v>42550</v>
      </c>
      <c r="B339" s="17" t="s">
        <v>379</v>
      </c>
      <c r="C339">
        <v>31304000</v>
      </c>
      <c r="D339">
        <f t="shared" si="10"/>
        <v>2.2005317033806541E-2</v>
      </c>
      <c r="G339" s="17" t="s">
        <v>2432</v>
      </c>
      <c r="H339">
        <v>4241740000</v>
      </c>
      <c r="J339">
        <f t="shared" si="11"/>
        <v>1.6889243109367773E-2</v>
      </c>
      <c r="K339">
        <v>1</v>
      </c>
    </row>
    <row r="340" spans="1:11">
      <c r="A340" s="16">
        <v>42551</v>
      </c>
      <c r="B340" s="17" t="s">
        <v>380</v>
      </c>
      <c r="C340">
        <v>28527800</v>
      </c>
      <c r="D340">
        <f t="shared" si="10"/>
        <v>1.2388355330803137E-2</v>
      </c>
      <c r="G340" s="17" t="s">
        <v>2436</v>
      </c>
      <c r="H340">
        <v>4622820000</v>
      </c>
      <c r="J340">
        <f t="shared" si="11"/>
        <v>1.3473862722098988E-2</v>
      </c>
      <c r="K340">
        <v>1</v>
      </c>
    </row>
    <row r="341" spans="1:11">
      <c r="A341" s="16">
        <v>42552</v>
      </c>
      <c r="B341" s="17" t="s">
        <v>381</v>
      </c>
      <c r="C341">
        <v>21400400</v>
      </c>
      <c r="D341">
        <f t="shared" si="10"/>
        <v>-1.9543167880627156E-4</v>
      </c>
      <c r="G341" s="17" t="s">
        <v>2440</v>
      </c>
      <c r="H341">
        <v>3458890000</v>
      </c>
      <c r="J341">
        <f t="shared" si="11"/>
        <v>1.9467064123035718E-3</v>
      </c>
      <c r="K341">
        <v>1</v>
      </c>
    </row>
    <row r="342" spans="1:11">
      <c r="A342" s="16">
        <v>42556</v>
      </c>
      <c r="B342" s="17" t="s">
        <v>380</v>
      </c>
      <c r="C342">
        <v>24806400</v>
      </c>
      <c r="D342">
        <f t="shared" si="10"/>
        <v>1.9543167880628753E-4</v>
      </c>
      <c r="G342" s="17" t="s">
        <v>2443</v>
      </c>
      <c r="H342">
        <v>3658380000</v>
      </c>
      <c r="J342">
        <f t="shared" si="11"/>
        <v>-6.8710288215743185E-3</v>
      </c>
      <c r="K342">
        <v>1</v>
      </c>
    </row>
    <row r="343" spans="1:11">
      <c r="A343" s="16">
        <v>42557</v>
      </c>
      <c r="B343" s="17" t="s">
        <v>382</v>
      </c>
      <c r="C343">
        <v>28167500</v>
      </c>
      <c r="D343">
        <f t="shared" si="10"/>
        <v>4.0956427650919499E-3</v>
      </c>
      <c r="G343" s="17" t="s">
        <v>2445</v>
      </c>
      <c r="H343">
        <v>3909380000</v>
      </c>
      <c r="J343">
        <f t="shared" si="11"/>
        <v>5.3386867527391987E-3</v>
      </c>
      <c r="K343">
        <v>1</v>
      </c>
    </row>
    <row r="344" spans="1:11">
      <c r="A344" s="16">
        <v>42558</v>
      </c>
      <c r="B344" s="17" t="s">
        <v>382</v>
      </c>
      <c r="C344">
        <v>19585200</v>
      </c>
      <c r="D344">
        <f t="shared" si="10"/>
        <v>0</v>
      </c>
      <c r="G344" s="17" t="s">
        <v>2439</v>
      </c>
      <c r="H344">
        <v>3604550000</v>
      </c>
      <c r="J344">
        <f t="shared" si="11"/>
        <v>-8.7195782734437023E-4</v>
      </c>
      <c r="K344">
        <v>1</v>
      </c>
    </row>
    <row r="345" spans="1:11">
      <c r="A345" s="16">
        <v>42559</v>
      </c>
      <c r="B345" s="17" t="s">
        <v>383</v>
      </c>
      <c r="C345">
        <v>28391000</v>
      </c>
      <c r="D345">
        <f t="shared" si="10"/>
        <v>1.7747289104323494E-2</v>
      </c>
      <c r="G345" s="17" t="s">
        <v>2451</v>
      </c>
      <c r="H345">
        <v>3607500000</v>
      </c>
      <c r="J345">
        <f t="shared" si="11"/>
        <v>1.5138186568454184E-2</v>
      </c>
      <c r="K345">
        <v>1</v>
      </c>
    </row>
    <row r="346" spans="1:11">
      <c r="A346" s="16">
        <v>42562</v>
      </c>
      <c r="B346" s="17" t="s">
        <v>384</v>
      </c>
      <c r="C346">
        <v>22269200</v>
      </c>
      <c r="D346">
        <f t="shared" si="10"/>
        <v>5.5297803944637236E-3</v>
      </c>
      <c r="G346" s="17" t="s">
        <v>2454</v>
      </c>
      <c r="H346">
        <v>3253340000</v>
      </c>
      <c r="J346">
        <f t="shared" si="11"/>
        <v>3.4028194222132059E-3</v>
      </c>
      <c r="K346">
        <v>1</v>
      </c>
    </row>
    <row r="347" spans="1:11">
      <c r="A347" s="16">
        <v>42563</v>
      </c>
      <c r="B347" s="17" t="s">
        <v>385</v>
      </c>
      <c r="C347">
        <v>27317600</v>
      </c>
      <c r="D347">
        <f t="shared" si="10"/>
        <v>1.1720264868072225E-2</v>
      </c>
      <c r="G347" s="17" t="s">
        <v>2457</v>
      </c>
      <c r="H347">
        <v>4097820000</v>
      </c>
      <c r="J347">
        <f t="shared" si="11"/>
        <v>6.9848425545492024E-3</v>
      </c>
      <c r="K347">
        <v>1</v>
      </c>
    </row>
    <row r="348" spans="1:11">
      <c r="A348" s="16">
        <v>42564</v>
      </c>
      <c r="B348" s="17" t="s">
        <v>386</v>
      </c>
      <c r="C348">
        <v>25356800</v>
      </c>
      <c r="D348">
        <f t="shared" si="10"/>
        <v>5.6220701000599558E-3</v>
      </c>
      <c r="G348" s="17" t="s">
        <v>2461</v>
      </c>
      <c r="H348">
        <v>3502320000</v>
      </c>
      <c r="J348">
        <f t="shared" si="11"/>
        <v>1.3475864591820549E-4</v>
      </c>
      <c r="K348">
        <v>1</v>
      </c>
    </row>
    <row r="349" spans="1:11">
      <c r="A349" s="16">
        <v>42565</v>
      </c>
      <c r="B349" s="17" t="s">
        <v>387</v>
      </c>
      <c r="C349">
        <v>24545500</v>
      </c>
      <c r="D349">
        <f t="shared" si="10"/>
        <v>4.2892340467701991E-3</v>
      </c>
      <c r="G349" s="17" t="s">
        <v>2464</v>
      </c>
      <c r="H349">
        <v>3465610000</v>
      </c>
      <c r="J349">
        <f t="shared" si="11"/>
        <v>5.2454226347346793E-3</v>
      </c>
      <c r="K349">
        <v>1</v>
      </c>
    </row>
    <row r="350" spans="1:11">
      <c r="A350" s="16">
        <v>42566</v>
      </c>
      <c r="B350" s="17" t="s">
        <v>388</v>
      </c>
      <c r="C350">
        <v>32024400</v>
      </c>
      <c r="D350">
        <f t="shared" si="10"/>
        <v>-7.4454661684181028E-4</v>
      </c>
      <c r="G350" s="17" t="s">
        <v>2468</v>
      </c>
      <c r="H350">
        <v>3122600000</v>
      </c>
      <c r="J350">
        <f t="shared" si="11"/>
        <v>-9.2937916829076938E-4</v>
      </c>
      <c r="K350">
        <v>1</v>
      </c>
    </row>
    <row r="351" spans="1:11">
      <c r="A351" s="16">
        <v>42569</v>
      </c>
      <c r="B351" s="17" t="s">
        <v>389</v>
      </c>
      <c r="C351">
        <v>31433900</v>
      </c>
      <c r="D351">
        <f t="shared" si="10"/>
        <v>4.8299515737065526E-3</v>
      </c>
      <c r="G351" s="17" t="s">
        <v>2472</v>
      </c>
      <c r="H351">
        <v>3009310000</v>
      </c>
      <c r="J351">
        <f t="shared" si="11"/>
        <v>2.3794621249798175E-3</v>
      </c>
      <c r="K351">
        <v>1</v>
      </c>
    </row>
    <row r="352" spans="1:11">
      <c r="A352" s="16">
        <v>42570</v>
      </c>
      <c r="B352" s="17" t="s">
        <v>390</v>
      </c>
      <c r="C352">
        <v>53336500</v>
      </c>
      <c r="D352">
        <f t="shared" si="10"/>
        <v>-1.625444551863587E-2</v>
      </c>
      <c r="G352" s="17" t="s">
        <v>2476</v>
      </c>
      <c r="H352">
        <v>2968340000</v>
      </c>
      <c r="J352">
        <f t="shared" si="11"/>
        <v>-1.4362048323089381E-3</v>
      </c>
      <c r="K352">
        <v>1</v>
      </c>
    </row>
    <row r="353" spans="1:11">
      <c r="A353" s="16">
        <v>42571</v>
      </c>
      <c r="B353" s="17" t="s">
        <v>391</v>
      </c>
      <c r="C353">
        <v>89893300</v>
      </c>
      <c r="D353">
        <f t="shared" si="10"/>
        <v>5.175462325935256E-2</v>
      </c>
      <c r="G353" s="17" t="s">
        <v>2480</v>
      </c>
      <c r="H353">
        <v>3211860000</v>
      </c>
      <c r="J353">
        <f t="shared" si="11"/>
        <v>4.2612086686796488E-3</v>
      </c>
      <c r="K353">
        <v>1</v>
      </c>
    </row>
    <row r="354" spans="1:11">
      <c r="A354" s="16">
        <v>42572</v>
      </c>
      <c r="B354" s="17" t="s">
        <v>392</v>
      </c>
      <c r="C354">
        <v>32776700</v>
      </c>
      <c r="D354">
        <f t="shared" si="10"/>
        <v>-1.9692977209827857E-3</v>
      </c>
      <c r="G354" s="17" t="s">
        <v>2484</v>
      </c>
      <c r="H354">
        <v>3438900000</v>
      </c>
      <c r="J354">
        <f t="shared" si="11"/>
        <v>-3.6190700145063283E-3</v>
      </c>
      <c r="K354">
        <v>1</v>
      </c>
    </row>
    <row r="355" spans="1:11">
      <c r="A355" s="16">
        <v>42573</v>
      </c>
      <c r="B355" s="17" t="s">
        <v>393</v>
      </c>
      <c r="C355">
        <v>32157200</v>
      </c>
      <c r="D355">
        <f t="shared" si="10"/>
        <v>1.3704994933452414E-2</v>
      </c>
      <c r="G355" s="17" t="s">
        <v>2488</v>
      </c>
      <c r="H355">
        <v>3023280000</v>
      </c>
      <c r="J355">
        <f t="shared" si="11"/>
        <v>4.543626595285696E-3</v>
      </c>
      <c r="K355">
        <v>1</v>
      </c>
    </row>
    <row r="356" spans="1:11">
      <c r="A356" s="16">
        <v>42576</v>
      </c>
      <c r="B356" s="17" t="s">
        <v>394</v>
      </c>
      <c r="C356">
        <v>25610600</v>
      </c>
      <c r="D356">
        <f t="shared" si="10"/>
        <v>2.8240588255450281E-3</v>
      </c>
      <c r="G356" s="17" t="s">
        <v>2491</v>
      </c>
      <c r="H356">
        <v>3057240000</v>
      </c>
      <c r="J356">
        <f t="shared" si="11"/>
        <v>-3.0160188196025378E-3</v>
      </c>
      <c r="K356">
        <v>1</v>
      </c>
    </row>
    <row r="357" spans="1:11">
      <c r="A357" s="16">
        <v>42577</v>
      </c>
      <c r="B357" s="17" t="s">
        <v>395</v>
      </c>
      <c r="C357">
        <v>28079000</v>
      </c>
      <c r="D357">
        <f t="shared" si="10"/>
        <v>5.2869867263157747E-4</v>
      </c>
      <c r="G357" s="17" t="s">
        <v>2495</v>
      </c>
      <c r="H357">
        <v>3442350000</v>
      </c>
      <c r="J357">
        <f t="shared" si="11"/>
        <v>3.2273254255773474E-4</v>
      </c>
      <c r="K357">
        <v>1</v>
      </c>
    </row>
    <row r="358" spans="1:11">
      <c r="A358" s="16">
        <v>42578</v>
      </c>
      <c r="B358" s="17" t="s">
        <v>396</v>
      </c>
      <c r="C358">
        <v>32327500</v>
      </c>
      <c r="D358">
        <f t="shared" si="10"/>
        <v>-1.0092948240735753E-2</v>
      </c>
      <c r="G358" s="17" t="s">
        <v>2499</v>
      </c>
      <c r="H358">
        <v>3995500000</v>
      </c>
      <c r="J358">
        <f t="shared" si="11"/>
        <v>-1.1992611701764468E-3</v>
      </c>
      <c r="K358">
        <v>1</v>
      </c>
    </row>
    <row r="359" spans="1:11">
      <c r="A359" s="16">
        <v>42579</v>
      </c>
      <c r="B359" s="17" t="s">
        <v>397</v>
      </c>
      <c r="C359">
        <v>37550400</v>
      </c>
      <c r="D359">
        <f t="shared" si="10"/>
        <v>3.5592192221810135E-4</v>
      </c>
      <c r="G359" s="17" t="s">
        <v>2503</v>
      </c>
      <c r="H359">
        <v>3664240000</v>
      </c>
      <c r="J359">
        <f t="shared" si="11"/>
        <v>1.6049206929937636E-3</v>
      </c>
      <c r="K359">
        <v>1</v>
      </c>
    </row>
    <row r="360" spans="1:11">
      <c r="A360" s="16">
        <v>42580</v>
      </c>
      <c r="B360" s="17" t="s">
        <v>398</v>
      </c>
      <c r="C360">
        <v>30558700</v>
      </c>
      <c r="D360">
        <f t="shared" si="10"/>
        <v>8.3266361288818636E-3</v>
      </c>
      <c r="G360" s="17" t="s">
        <v>2507</v>
      </c>
      <c r="H360">
        <v>4038840000</v>
      </c>
      <c r="J360">
        <f t="shared" si="11"/>
        <v>1.6299800885987742E-3</v>
      </c>
      <c r="K360">
        <v>1</v>
      </c>
    </row>
    <row r="361" spans="1:11">
      <c r="A361" s="16">
        <v>42583</v>
      </c>
      <c r="B361" s="17" t="s">
        <v>399</v>
      </c>
      <c r="C361">
        <v>26003400</v>
      </c>
      <c r="D361">
        <f t="shared" si="10"/>
        <v>-1.7657754503992279E-3</v>
      </c>
      <c r="G361" s="17" t="s">
        <v>2511</v>
      </c>
      <c r="H361">
        <v>3505990000</v>
      </c>
      <c r="J361">
        <f t="shared" si="11"/>
        <v>-1.2705942552551364E-3</v>
      </c>
      <c r="K361">
        <v>1</v>
      </c>
    </row>
    <row r="362" spans="1:11">
      <c r="A362" s="16">
        <v>42584</v>
      </c>
      <c r="B362" s="17" t="s">
        <v>399</v>
      </c>
      <c r="C362">
        <v>35122000</v>
      </c>
      <c r="D362">
        <f t="shared" si="10"/>
        <v>0</v>
      </c>
      <c r="G362" s="17" t="s">
        <v>2515</v>
      </c>
      <c r="H362">
        <v>3848750000</v>
      </c>
      <c r="J362">
        <f t="shared" si="11"/>
        <v>-6.3819410006827546E-3</v>
      </c>
      <c r="K362">
        <v>1</v>
      </c>
    </row>
    <row r="363" spans="1:11">
      <c r="A363" s="16">
        <v>42585</v>
      </c>
      <c r="B363" s="17" t="s">
        <v>400</v>
      </c>
      <c r="C363">
        <v>22075600</v>
      </c>
      <c r="D363">
        <f t="shared" si="10"/>
        <v>6.8693444441762881E-3</v>
      </c>
      <c r="G363" s="17" t="s">
        <v>2473</v>
      </c>
      <c r="H363">
        <v>3786530000</v>
      </c>
      <c r="J363">
        <f t="shared" si="11"/>
        <v>3.1290428248181399E-3</v>
      </c>
      <c r="K363">
        <v>1</v>
      </c>
    </row>
    <row r="364" spans="1:11">
      <c r="A364" s="16">
        <v>42586</v>
      </c>
      <c r="B364" s="17" t="s">
        <v>401</v>
      </c>
      <c r="C364">
        <v>26587700</v>
      </c>
      <c r="D364">
        <f t="shared" si="10"/>
        <v>7.3451660023315596E-3</v>
      </c>
      <c r="G364" s="17" t="s">
        <v>2520</v>
      </c>
      <c r="H364">
        <v>3709200000</v>
      </c>
      <c r="J364">
        <f t="shared" si="11"/>
        <v>2.1254932837361468E-4</v>
      </c>
      <c r="K364">
        <v>1</v>
      </c>
    </row>
    <row r="365" spans="1:11">
      <c r="A365" s="16">
        <v>42587</v>
      </c>
      <c r="B365" s="17" t="s">
        <v>402</v>
      </c>
      <c r="C365">
        <v>29335200</v>
      </c>
      <c r="D365">
        <f t="shared" si="10"/>
        <v>9.8829481971962167E-3</v>
      </c>
      <c r="G365" s="17" t="s">
        <v>2522</v>
      </c>
      <c r="H365">
        <v>3663070000</v>
      </c>
      <c r="J365">
        <f t="shared" si="11"/>
        <v>8.566697203483924E-3</v>
      </c>
      <c r="K365">
        <v>1</v>
      </c>
    </row>
    <row r="366" spans="1:11">
      <c r="A366" s="16">
        <v>42590</v>
      </c>
      <c r="B366" s="17" t="s">
        <v>403</v>
      </c>
      <c r="C366">
        <v>19473500</v>
      </c>
      <c r="D366">
        <f t="shared" si="10"/>
        <v>1.7239911321753341E-3</v>
      </c>
      <c r="G366" s="17" t="s">
        <v>2526</v>
      </c>
      <c r="H366">
        <v>3327550000</v>
      </c>
      <c r="J366">
        <f t="shared" si="11"/>
        <v>-9.0757701220377175E-4</v>
      </c>
      <c r="K366">
        <v>1</v>
      </c>
    </row>
    <row r="367" spans="1:11">
      <c r="A367" s="16">
        <v>42591</v>
      </c>
      <c r="B367" s="17" t="s">
        <v>404</v>
      </c>
      <c r="C367">
        <v>16920700</v>
      </c>
      <c r="D367">
        <f t="shared" si="10"/>
        <v>2.4082736882421628E-3</v>
      </c>
      <c r="G367" s="17" t="s">
        <v>2530</v>
      </c>
      <c r="H367">
        <v>3334300000</v>
      </c>
      <c r="J367">
        <f t="shared" si="11"/>
        <v>3.8971768568868799E-4</v>
      </c>
      <c r="K367">
        <v>1</v>
      </c>
    </row>
    <row r="368" spans="1:11">
      <c r="A368" s="16">
        <v>42592</v>
      </c>
      <c r="B368" s="17" t="s">
        <v>405</v>
      </c>
      <c r="C368">
        <v>15756900</v>
      </c>
      <c r="D368">
        <f t="shared" si="10"/>
        <v>-3.0973287475699112E-3</v>
      </c>
      <c r="G368" s="17" t="s">
        <v>2534</v>
      </c>
      <c r="H368">
        <v>3254950000</v>
      </c>
      <c r="J368">
        <f t="shared" si="11"/>
        <v>-2.8687970637969228E-3</v>
      </c>
      <c r="K368">
        <v>1</v>
      </c>
    </row>
    <row r="369" spans="1:11">
      <c r="A369" s="16">
        <v>42593</v>
      </c>
      <c r="B369" s="17" t="s">
        <v>406</v>
      </c>
      <c r="C369">
        <v>18162300</v>
      </c>
      <c r="D369">
        <f t="shared" si="10"/>
        <v>4.8141247452686354E-3</v>
      </c>
      <c r="G369" s="17" t="s">
        <v>2537</v>
      </c>
      <c r="H369">
        <v>3423160000</v>
      </c>
      <c r="J369">
        <f t="shared" si="11"/>
        <v>4.7234151815842293E-3</v>
      </c>
      <c r="K369">
        <v>1</v>
      </c>
    </row>
    <row r="370" spans="1:11">
      <c r="A370" s="16">
        <v>42594</v>
      </c>
      <c r="B370" s="17" t="s">
        <v>407</v>
      </c>
      <c r="C370">
        <v>21655200</v>
      </c>
      <c r="D370">
        <f t="shared" si="10"/>
        <v>-6.1940124536607908E-3</v>
      </c>
      <c r="G370" s="17" t="s">
        <v>2541</v>
      </c>
      <c r="H370">
        <v>3000660000</v>
      </c>
      <c r="J370">
        <f t="shared" si="11"/>
        <v>-7.9636327962473777E-4</v>
      </c>
      <c r="K370">
        <v>1</v>
      </c>
    </row>
    <row r="371" spans="1:11">
      <c r="A371" s="16">
        <v>42597</v>
      </c>
      <c r="B371" s="17" t="s">
        <v>408</v>
      </c>
      <c r="C371">
        <v>19283900</v>
      </c>
      <c r="D371">
        <f t="shared" si="10"/>
        <v>3.1017281592625717E-3</v>
      </c>
      <c r="G371" s="17" t="s">
        <v>2544</v>
      </c>
      <c r="H371">
        <v>3078530000</v>
      </c>
      <c r="J371">
        <f t="shared" si="11"/>
        <v>2.7890160588736079E-3</v>
      </c>
      <c r="K371">
        <v>1</v>
      </c>
    </row>
    <row r="372" spans="1:11">
      <c r="A372" s="16">
        <v>42598</v>
      </c>
      <c r="B372" s="17" t="s">
        <v>409</v>
      </c>
      <c r="C372">
        <v>20523500</v>
      </c>
      <c r="D372">
        <f t="shared" si="10"/>
        <v>-5.555636743185639E-3</v>
      </c>
      <c r="G372" s="17" t="s">
        <v>2547</v>
      </c>
      <c r="H372">
        <v>3196400000</v>
      </c>
      <c r="J372">
        <f t="shared" si="11"/>
        <v>-5.4941422173428317E-3</v>
      </c>
      <c r="K372">
        <v>1</v>
      </c>
    </row>
    <row r="373" spans="1:11">
      <c r="A373" s="16">
        <v>42599</v>
      </c>
      <c r="B373" s="17" t="s">
        <v>410</v>
      </c>
      <c r="C373">
        <v>18856400</v>
      </c>
      <c r="D373">
        <f t="shared" si="10"/>
        <v>2.086940805799332E-3</v>
      </c>
      <c r="G373" s="17" t="s">
        <v>2551</v>
      </c>
      <c r="H373">
        <v>3388910000</v>
      </c>
      <c r="J373">
        <f t="shared" si="11"/>
        <v>1.8668463000156262E-3</v>
      </c>
      <c r="K373">
        <v>1</v>
      </c>
    </row>
    <row r="374" spans="1:11">
      <c r="A374" s="16">
        <v>42600</v>
      </c>
      <c r="B374" s="17" t="s">
        <v>411</v>
      </c>
      <c r="C374">
        <v>14214300</v>
      </c>
      <c r="D374">
        <f t="shared" si="10"/>
        <v>6.9484668124726741E-4</v>
      </c>
      <c r="G374" s="17" t="s">
        <v>2555</v>
      </c>
      <c r="H374">
        <v>3300570000</v>
      </c>
      <c r="J374">
        <f t="shared" si="11"/>
        <v>2.1972017746725615E-3</v>
      </c>
      <c r="K374">
        <v>1</v>
      </c>
    </row>
    <row r="375" spans="1:11">
      <c r="A375" s="16">
        <v>42601</v>
      </c>
      <c r="B375" s="17" t="s">
        <v>412</v>
      </c>
      <c r="C375">
        <v>17271000</v>
      </c>
      <c r="D375">
        <f t="shared" si="10"/>
        <v>3.4709444407597043E-4</v>
      </c>
      <c r="G375" s="17" t="s">
        <v>2559</v>
      </c>
      <c r="H375">
        <v>3084800000</v>
      </c>
      <c r="J375">
        <f t="shared" si="11"/>
        <v>-1.4413098689576487E-3</v>
      </c>
      <c r="K375">
        <v>1</v>
      </c>
    </row>
    <row r="376" spans="1:11">
      <c r="A376" s="16">
        <v>42604</v>
      </c>
      <c r="B376" s="17" t="s">
        <v>413</v>
      </c>
      <c r="C376">
        <v>15221900</v>
      </c>
      <c r="D376">
        <f t="shared" si="10"/>
        <v>8.6737567202079598E-4</v>
      </c>
      <c r="G376" s="17" t="s">
        <v>2563</v>
      </c>
      <c r="H376">
        <v>2777550000</v>
      </c>
      <c r="J376">
        <f t="shared" si="11"/>
        <v>-5.6348160417969207E-4</v>
      </c>
      <c r="K376">
        <v>1</v>
      </c>
    </row>
    <row r="377" spans="1:11">
      <c r="A377" s="16">
        <v>42605</v>
      </c>
      <c r="B377" s="17" t="s">
        <v>414</v>
      </c>
      <c r="C377">
        <v>18732400</v>
      </c>
      <c r="D377">
        <f t="shared" si="10"/>
        <v>3.8075661618286456E-3</v>
      </c>
      <c r="G377" s="17" t="s">
        <v>2567</v>
      </c>
      <c r="H377">
        <v>3041490000</v>
      </c>
      <c r="J377">
        <f t="shared" si="11"/>
        <v>1.9498668278891155E-3</v>
      </c>
      <c r="K377">
        <v>1</v>
      </c>
    </row>
    <row r="378" spans="1:11">
      <c r="A378" s="16">
        <v>42606</v>
      </c>
      <c r="B378" s="17" t="s">
        <v>415</v>
      </c>
      <c r="C378">
        <v>18151500</v>
      </c>
      <c r="D378">
        <f t="shared" si="10"/>
        <v>1.0359493835763183E-3</v>
      </c>
      <c r="G378" s="17" t="s">
        <v>2571</v>
      </c>
      <c r="H378">
        <v>3148280000</v>
      </c>
      <c r="J378">
        <f t="shared" si="11"/>
        <v>-5.2540552892296902E-3</v>
      </c>
      <c r="K378">
        <v>1</v>
      </c>
    </row>
    <row r="379" spans="1:11">
      <c r="A379" s="16">
        <v>42607</v>
      </c>
      <c r="B379" s="17" t="s">
        <v>416</v>
      </c>
      <c r="C379">
        <v>18552600</v>
      </c>
      <c r="D379">
        <f t="shared" si="10"/>
        <v>3.7891302940359474E-3</v>
      </c>
      <c r="G379" s="17" t="s">
        <v>2575</v>
      </c>
      <c r="H379">
        <v>2969310000</v>
      </c>
      <c r="J379">
        <f t="shared" si="11"/>
        <v>-1.3661600732483932E-3</v>
      </c>
      <c r="K379">
        <v>1</v>
      </c>
    </row>
    <row r="380" spans="1:11">
      <c r="A380" s="16">
        <v>42608</v>
      </c>
      <c r="B380" s="17" t="s">
        <v>417</v>
      </c>
      <c r="C380">
        <v>20971200</v>
      </c>
      <c r="D380">
        <f t="shared" si="10"/>
        <v>-2.40968474768598E-3</v>
      </c>
      <c r="G380" s="17" t="s">
        <v>2579</v>
      </c>
      <c r="H380">
        <v>3342340000</v>
      </c>
      <c r="J380">
        <f t="shared" si="11"/>
        <v>-1.5800644041810373E-3</v>
      </c>
      <c r="K380">
        <v>1</v>
      </c>
    </row>
    <row r="381" spans="1:11">
      <c r="A381" s="16">
        <v>42611</v>
      </c>
      <c r="B381" s="17" t="s">
        <v>418</v>
      </c>
      <c r="C381">
        <v>16417200</v>
      </c>
      <c r="D381">
        <f t="shared" si="10"/>
        <v>1.2056048721944494E-3</v>
      </c>
      <c r="G381" s="17" t="s">
        <v>2582</v>
      </c>
      <c r="H381">
        <v>2654780000</v>
      </c>
      <c r="J381">
        <f t="shared" si="11"/>
        <v>5.2144285434831354E-3</v>
      </c>
      <c r="K381">
        <v>1</v>
      </c>
    </row>
    <row r="382" spans="1:11">
      <c r="A382" s="16">
        <v>42612</v>
      </c>
      <c r="B382" s="17" t="s">
        <v>414</v>
      </c>
      <c r="C382">
        <v>16930200</v>
      </c>
      <c r="D382">
        <f t="shared" si="10"/>
        <v>-3.6209998021206934E-3</v>
      </c>
      <c r="G382" s="17" t="s">
        <v>2586</v>
      </c>
      <c r="H382">
        <v>3006800000</v>
      </c>
      <c r="J382">
        <f t="shared" si="11"/>
        <v>-1.9555915792795644E-3</v>
      </c>
      <c r="K382">
        <v>1</v>
      </c>
    </row>
    <row r="383" spans="1:11">
      <c r="A383" s="16">
        <v>42613</v>
      </c>
      <c r="B383" s="17" t="s">
        <v>419</v>
      </c>
      <c r="C383">
        <v>20860300</v>
      </c>
      <c r="D383">
        <f t="shared" si="10"/>
        <v>-7.4555400951986485E-3</v>
      </c>
      <c r="G383" s="17" t="s">
        <v>2590</v>
      </c>
      <c r="H383">
        <v>3766390000</v>
      </c>
      <c r="J383">
        <f t="shared" si="11"/>
        <v>-2.3786910985704626E-3</v>
      </c>
      <c r="K383">
        <v>1</v>
      </c>
    </row>
    <row r="384" spans="1:11">
      <c r="A384" s="16">
        <v>42614</v>
      </c>
      <c r="B384" s="17" t="s">
        <v>420</v>
      </c>
      <c r="C384">
        <v>26075400</v>
      </c>
      <c r="D384">
        <f t="shared" si="10"/>
        <v>2.2598374053360059E-3</v>
      </c>
      <c r="G384" s="17" t="s">
        <v>2593</v>
      </c>
      <c r="H384">
        <v>3392120000</v>
      </c>
      <c r="J384">
        <f t="shared" si="11"/>
        <v>-4.1385504576534266E-5</v>
      </c>
      <c r="K384">
        <v>1</v>
      </c>
    </row>
    <row r="385" spans="1:11">
      <c r="A385" s="16">
        <v>42615</v>
      </c>
      <c r="B385" s="17" t="s">
        <v>413</v>
      </c>
      <c r="C385">
        <v>18900500</v>
      </c>
      <c r="D385">
        <f t="shared" si="10"/>
        <v>1.3881365280338648E-3</v>
      </c>
      <c r="G385" s="17" t="s">
        <v>2597</v>
      </c>
      <c r="H385">
        <v>3091120000</v>
      </c>
      <c r="J385">
        <f t="shared" si="11"/>
        <v>4.1922415783452651E-3</v>
      </c>
      <c r="K385">
        <v>1</v>
      </c>
    </row>
    <row r="386" spans="1:11">
      <c r="A386" s="16">
        <v>42619</v>
      </c>
      <c r="B386" s="17" t="s">
        <v>421</v>
      </c>
      <c r="C386">
        <v>16278400</v>
      </c>
      <c r="D386">
        <f t="shared" si="10"/>
        <v>-1.0408338589450485E-3</v>
      </c>
      <c r="G386" s="17" t="s">
        <v>2600</v>
      </c>
      <c r="H386">
        <v>3447650000</v>
      </c>
      <c r="J386">
        <f t="shared" si="11"/>
        <v>2.9772423706444862E-3</v>
      </c>
      <c r="K386">
        <v>1</v>
      </c>
    </row>
    <row r="387" spans="1:11">
      <c r="A387" s="16">
        <v>42620</v>
      </c>
      <c r="B387" s="17" t="s">
        <v>422</v>
      </c>
      <c r="C387">
        <v>17493400</v>
      </c>
      <c r="D387">
        <f t="shared" si="10"/>
        <v>8.6737824993545008E-4</v>
      </c>
      <c r="G387" s="17" t="s">
        <v>2604</v>
      </c>
      <c r="H387">
        <v>3319420000</v>
      </c>
      <c r="J387">
        <f t="shared" si="11"/>
        <v>-1.4639577393839857E-4</v>
      </c>
      <c r="K387">
        <v>1</v>
      </c>
    </row>
    <row r="388" spans="1:11">
      <c r="A388" s="16">
        <v>42621</v>
      </c>
      <c r="B388" s="17" t="s">
        <v>423</v>
      </c>
      <c r="C388">
        <v>20146100</v>
      </c>
      <c r="D388">
        <f t="shared" si="10"/>
        <v>-3.9968780161540032E-3</v>
      </c>
      <c r="G388" s="17" t="s">
        <v>2607</v>
      </c>
      <c r="H388">
        <v>3727840000</v>
      </c>
      <c r="J388">
        <f t="shared" si="11"/>
        <v>-2.2254880636449503E-3</v>
      </c>
      <c r="K388">
        <v>1</v>
      </c>
    </row>
    <row r="389" spans="1:11">
      <c r="A389" s="16">
        <v>42622</v>
      </c>
      <c r="B389" s="17" t="s">
        <v>424</v>
      </c>
      <c r="C389">
        <v>35113900</v>
      </c>
      <c r="D389">
        <f t="shared" ref="D389:D452" si="12">LN(B389/B388)</f>
        <v>-2.147203196679838E-2</v>
      </c>
      <c r="G389" s="17" t="s">
        <v>2609</v>
      </c>
      <c r="H389">
        <v>4233960000</v>
      </c>
      <c r="J389">
        <f t="shared" ref="J389:J452" si="13">LN(G389/G388)</f>
        <v>-2.482774229870716E-2</v>
      </c>
      <c r="K389">
        <v>1</v>
      </c>
    </row>
    <row r="390" spans="1:11">
      <c r="A390" s="16">
        <v>42625</v>
      </c>
      <c r="B390" s="17" t="s">
        <v>425</v>
      </c>
      <c r="C390">
        <v>29303000</v>
      </c>
      <c r="D390">
        <f t="shared" si="12"/>
        <v>1.4833411620385931E-2</v>
      </c>
      <c r="G390" s="17" t="s">
        <v>2612</v>
      </c>
      <c r="H390">
        <v>4010480000</v>
      </c>
      <c r="J390">
        <f t="shared" si="13"/>
        <v>1.4570387013562412E-2</v>
      </c>
      <c r="K390">
        <v>1</v>
      </c>
    </row>
    <row r="391" spans="1:11">
      <c r="A391" s="16">
        <v>42626</v>
      </c>
      <c r="B391" s="17" t="s">
        <v>426</v>
      </c>
      <c r="C391">
        <v>30130200</v>
      </c>
      <c r="D391">
        <f t="shared" si="12"/>
        <v>-9.1565503840041976E-3</v>
      </c>
      <c r="G391" s="17" t="s">
        <v>2615</v>
      </c>
      <c r="H391">
        <v>4141670000</v>
      </c>
      <c r="J391">
        <f t="shared" si="13"/>
        <v>-1.4941748028884077E-2</v>
      </c>
      <c r="K391">
        <v>1</v>
      </c>
    </row>
    <row r="392" spans="1:11">
      <c r="A392" s="16">
        <v>42627</v>
      </c>
      <c r="B392" s="17" t="s">
        <v>427</v>
      </c>
      <c r="C392">
        <v>24062500</v>
      </c>
      <c r="D392">
        <f t="shared" si="12"/>
        <v>-4.787889102740815E-3</v>
      </c>
      <c r="G392" s="17" t="s">
        <v>2619</v>
      </c>
      <c r="H392">
        <v>3664100000</v>
      </c>
      <c r="J392">
        <f t="shared" si="13"/>
        <v>-5.8784939968330771E-4</v>
      </c>
      <c r="K392">
        <v>1</v>
      </c>
    </row>
    <row r="393" spans="1:11">
      <c r="A393" s="16">
        <v>42628</v>
      </c>
      <c r="B393" s="17" t="s">
        <v>428</v>
      </c>
      <c r="C393">
        <v>26847000</v>
      </c>
      <c r="D393">
        <f t="shared" si="12"/>
        <v>1.6395261667068891E-2</v>
      </c>
      <c r="G393" s="17" t="s">
        <v>2623</v>
      </c>
      <c r="H393">
        <v>3373720000</v>
      </c>
      <c r="J393">
        <f t="shared" si="13"/>
        <v>1.0058516338082277E-2</v>
      </c>
      <c r="K393">
        <v>1</v>
      </c>
    </row>
    <row r="394" spans="1:11">
      <c r="A394" s="16">
        <v>42629</v>
      </c>
      <c r="B394" s="17" t="s">
        <v>429</v>
      </c>
      <c r="C394">
        <v>44607000</v>
      </c>
      <c r="D394">
        <f t="shared" si="12"/>
        <v>1.0486972001422087E-3</v>
      </c>
      <c r="G394" s="17" t="s">
        <v>2626</v>
      </c>
      <c r="H394">
        <v>5014360000</v>
      </c>
      <c r="J394">
        <f t="shared" si="13"/>
        <v>-3.7794279558526649E-3</v>
      </c>
      <c r="K394">
        <v>1</v>
      </c>
    </row>
    <row r="395" spans="1:11">
      <c r="A395" s="16">
        <v>42632</v>
      </c>
      <c r="B395" s="17" t="s">
        <v>430</v>
      </c>
      <c r="C395">
        <v>20937100</v>
      </c>
      <c r="D395">
        <f t="shared" si="12"/>
        <v>-5.6051357493384765E-3</v>
      </c>
      <c r="G395" s="17" t="s">
        <v>2630</v>
      </c>
      <c r="H395">
        <v>3163000000</v>
      </c>
      <c r="J395">
        <f t="shared" si="13"/>
        <v>-1.8603270347706181E-5</v>
      </c>
      <c r="K395">
        <v>1</v>
      </c>
    </row>
    <row r="396" spans="1:11">
      <c r="A396" s="16">
        <v>42633</v>
      </c>
      <c r="B396" s="17" t="s">
        <v>431</v>
      </c>
      <c r="C396">
        <v>17384000</v>
      </c>
      <c r="D396">
        <f t="shared" si="12"/>
        <v>-2.1102093810686047E-3</v>
      </c>
      <c r="G396" s="17" t="s">
        <v>2634</v>
      </c>
      <c r="H396">
        <v>3140730000</v>
      </c>
      <c r="J396">
        <f t="shared" si="13"/>
        <v>2.9909368142030094E-4</v>
      </c>
      <c r="K396">
        <v>1</v>
      </c>
    </row>
    <row r="397" spans="1:11">
      <c r="A397" s="16">
        <v>42634</v>
      </c>
      <c r="B397" s="17" t="s">
        <v>432</v>
      </c>
      <c r="C397">
        <v>33707300</v>
      </c>
      <c r="D397">
        <f t="shared" si="12"/>
        <v>1.6584103523791315E-2</v>
      </c>
      <c r="G397" s="17" t="s">
        <v>2638</v>
      </c>
      <c r="H397">
        <v>3712090000</v>
      </c>
      <c r="J397">
        <f t="shared" si="13"/>
        <v>1.0858000137422273E-2</v>
      </c>
      <c r="K397">
        <v>1</v>
      </c>
    </row>
    <row r="398" spans="1:11">
      <c r="A398" s="16">
        <v>42635</v>
      </c>
      <c r="B398" s="17" t="s">
        <v>433</v>
      </c>
      <c r="C398">
        <v>19822200</v>
      </c>
      <c r="D398">
        <f t="shared" si="12"/>
        <v>1.0384088463847056E-3</v>
      </c>
      <c r="G398" s="17" t="s">
        <v>2641</v>
      </c>
      <c r="H398">
        <v>3552830000</v>
      </c>
      <c r="J398">
        <f t="shared" si="13"/>
        <v>6.478752169386928E-3</v>
      </c>
      <c r="K398">
        <v>1</v>
      </c>
    </row>
    <row r="399" spans="1:11">
      <c r="A399" s="16">
        <v>42636</v>
      </c>
      <c r="B399" s="17" t="s">
        <v>423</v>
      </c>
      <c r="C399">
        <v>19955300</v>
      </c>
      <c r="D399">
        <f t="shared" si="12"/>
        <v>-6.7680662738225624E-3</v>
      </c>
      <c r="G399" s="17" t="s">
        <v>2644</v>
      </c>
      <c r="H399">
        <v>3317190000</v>
      </c>
      <c r="J399">
        <f t="shared" si="13"/>
        <v>-5.7532933124543554E-3</v>
      </c>
      <c r="K399">
        <v>1</v>
      </c>
    </row>
    <row r="400" spans="1:11">
      <c r="A400" s="16">
        <v>42639</v>
      </c>
      <c r="B400" s="17" t="s">
        <v>434</v>
      </c>
      <c r="C400">
        <v>21688700</v>
      </c>
      <c r="D400">
        <f t="shared" si="12"/>
        <v>-9.2712359859912375E-3</v>
      </c>
      <c r="G400" s="17" t="s">
        <v>2647</v>
      </c>
      <c r="H400">
        <v>3216170000</v>
      </c>
      <c r="J400">
        <f t="shared" si="13"/>
        <v>-8.6248497700706916E-3</v>
      </c>
      <c r="K400">
        <v>1</v>
      </c>
    </row>
    <row r="401" spans="1:11">
      <c r="A401" s="16">
        <v>42640</v>
      </c>
      <c r="B401" s="17" t="s">
        <v>415</v>
      </c>
      <c r="C401">
        <v>28065100</v>
      </c>
      <c r="D401">
        <f t="shared" si="12"/>
        <v>1.8285085156559942E-2</v>
      </c>
      <c r="G401" s="17" t="s">
        <v>2651</v>
      </c>
      <c r="H401">
        <v>3437770000</v>
      </c>
      <c r="J401">
        <f t="shared" si="13"/>
        <v>6.4234951715066626E-3</v>
      </c>
      <c r="K401">
        <v>1</v>
      </c>
    </row>
    <row r="402" spans="1:11">
      <c r="A402" s="16">
        <v>42641</v>
      </c>
      <c r="B402" s="17" t="s">
        <v>417</v>
      </c>
      <c r="C402">
        <v>20536400</v>
      </c>
      <c r="D402">
        <f t="shared" si="12"/>
        <v>1.3794455463499158E-3</v>
      </c>
      <c r="G402" s="17" t="s">
        <v>2655</v>
      </c>
      <c r="H402">
        <v>3891460000</v>
      </c>
      <c r="J402">
        <f t="shared" si="13"/>
        <v>5.2825763509087575E-3</v>
      </c>
      <c r="K402">
        <v>1</v>
      </c>
    </row>
    <row r="403" spans="1:11">
      <c r="A403" s="16">
        <v>42642</v>
      </c>
      <c r="B403" s="17" t="s">
        <v>435</v>
      </c>
      <c r="C403">
        <v>25463500</v>
      </c>
      <c r="D403">
        <f t="shared" si="12"/>
        <v>-1.0915648986803698E-2</v>
      </c>
      <c r="G403" s="17" t="s">
        <v>2659</v>
      </c>
      <c r="H403">
        <v>4249220000</v>
      </c>
      <c r="J403">
        <f t="shared" si="13"/>
        <v>-9.3651275565667449E-3</v>
      </c>
      <c r="K403">
        <v>1</v>
      </c>
    </row>
    <row r="404" spans="1:11">
      <c r="A404" s="16">
        <v>42643</v>
      </c>
      <c r="B404" s="17" t="s">
        <v>411</v>
      </c>
      <c r="C404">
        <v>29910800</v>
      </c>
      <c r="D404">
        <f t="shared" si="12"/>
        <v>3.4782177789520227E-3</v>
      </c>
      <c r="G404" s="17" t="s">
        <v>2662</v>
      </c>
      <c r="H404">
        <v>4173340000</v>
      </c>
      <c r="J404">
        <f t="shared" si="13"/>
        <v>7.9363927170502876E-3</v>
      </c>
      <c r="K404">
        <v>1</v>
      </c>
    </row>
    <row r="405" spans="1:11">
      <c r="A405" s="16">
        <v>42646</v>
      </c>
      <c r="B405" s="17" t="s">
        <v>436</v>
      </c>
      <c r="C405">
        <v>19189500</v>
      </c>
      <c r="D405">
        <f t="shared" si="12"/>
        <v>-3.129895618244664E-3</v>
      </c>
      <c r="G405" s="17" t="s">
        <v>2666</v>
      </c>
      <c r="H405">
        <v>3137550000</v>
      </c>
      <c r="J405">
        <f t="shared" si="13"/>
        <v>-3.2660234772408018E-3</v>
      </c>
      <c r="K405">
        <v>1</v>
      </c>
    </row>
    <row r="406" spans="1:11">
      <c r="A406" s="16">
        <v>42647</v>
      </c>
      <c r="B406" s="17" t="s">
        <v>437</v>
      </c>
      <c r="C406">
        <v>20085900</v>
      </c>
      <c r="D406">
        <f t="shared" si="12"/>
        <v>-3.1397412438898069E-3</v>
      </c>
      <c r="G406" s="17" t="s">
        <v>2670</v>
      </c>
      <c r="H406">
        <v>3750890000</v>
      </c>
      <c r="J406">
        <f t="shared" si="13"/>
        <v>-4.9678818158212078E-3</v>
      </c>
      <c r="K406">
        <v>1</v>
      </c>
    </row>
    <row r="407" spans="1:11">
      <c r="A407" s="16">
        <v>42648</v>
      </c>
      <c r="B407" s="17" t="s">
        <v>438</v>
      </c>
      <c r="C407">
        <v>16726400</v>
      </c>
      <c r="D407">
        <f t="shared" si="12"/>
        <v>6.9638531921274319E-3</v>
      </c>
      <c r="G407" s="17" t="s">
        <v>2673</v>
      </c>
      <c r="H407">
        <v>3906550000</v>
      </c>
      <c r="J407">
        <f t="shared" si="13"/>
        <v>4.2874861231427417E-3</v>
      </c>
      <c r="K407">
        <v>1</v>
      </c>
    </row>
    <row r="408" spans="1:11">
      <c r="A408" s="16">
        <v>42649</v>
      </c>
      <c r="B408" s="17" t="s">
        <v>439</v>
      </c>
      <c r="C408">
        <v>16212600</v>
      </c>
      <c r="D408">
        <f t="shared" si="12"/>
        <v>1.7333799196320055E-3</v>
      </c>
      <c r="G408" s="17" t="s">
        <v>2677</v>
      </c>
      <c r="H408">
        <v>3461550000</v>
      </c>
      <c r="J408">
        <f t="shared" si="13"/>
        <v>4.8144428658220277E-4</v>
      </c>
      <c r="K408">
        <v>1</v>
      </c>
    </row>
    <row r="409" spans="1:11">
      <c r="A409" s="16">
        <v>42650</v>
      </c>
      <c r="B409" s="17" t="s">
        <v>440</v>
      </c>
      <c r="C409">
        <v>20089000</v>
      </c>
      <c r="D409">
        <f t="shared" si="12"/>
        <v>1.0385654519599226E-3</v>
      </c>
      <c r="G409" s="17" t="s">
        <v>2681</v>
      </c>
      <c r="H409">
        <v>3619890000</v>
      </c>
      <c r="J409">
        <f t="shared" si="13"/>
        <v>-3.2587877673729898E-3</v>
      </c>
      <c r="K409">
        <v>1</v>
      </c>
    </row>
    <row r="410" spans="1:11">
      <c r="A410" s="16">
        <v>42653</v>
      </c>
      <c r="B410" s="17" t="s">
        <v>441</v>
      </c>
      <c r="C410">
        <v>18196500</v>
      </c>
      <c r="D410">
        <f t="shared" si="12"/>
        <v>4.1436743278642539E-3</v>
      </c>
      <c r="G410" s="17" t="s">
        <v>2683</v>
      </c>
      <c r="H410">
        <v>2916550000</v>
      </c>
      <c r="J410">
        <f t="shared" si="13"/>
        <v>4.5953303755956135E-3</v>
      </c>
      <c r="K410">
        <v>1</v>
      </c>
    </row>
    <row r="411" spans="1:11">
      <c r="A411" s="16">
        <v>42654</v>
      </c>
      <c r="B411" s="17" t="s">
        <v>428</v>
      </c>
      <c r="C411">
        <v>26497400</v>
      </c>
      <c r="D411">
        <f t="shared" si="12"/>
        <v>-1.475349770460437E-2</v>
      </c>
      <c r="G411" s="17" t="s">
        <v>2686</v>
      </c>
      <c r="H411">
        <v>3438270000</v>
      </c>
      <c r="J411">
        <f t="shared" si="13"/>
        <v>-1.2524577866582336E-2</v>
      </c>
      <c r="K411">
        <v>1</v>
      </c>
    </row>
    <row r="412" spans="1:11">
      <c r="A412" s="16">
        <v>42655</v>
      </c>
      <c r="B412" s="17" t="s">
        <v>442</v>
      </c>
      <c r="C412">
        <v>22177500</v>
      </c>
      <c r="D412">
        <f t="shared" si="12"/>
        <v>-1.3997768802515409E-3</v>
      </c>
      <c r="G412" s="17" t="s">
        <v>2690</v>
      </c>
      <c r="H412">
        <v>2977100000</v>
      </c>
      <c r="J412">
        <f t="shared" si="13"/>
        <v>1.1459325937728834E-3</v>
      </c>
      <c r="K412">
        <v>1</v>
      </c>
    </row>
    <row r="413" spans="1:11">
      <c r="A413" s="16">
        <v>42656</v>
      </c>
      <c r="B413" s="17" t="s">
        <v>443</v>
      </c>
      <c r="C413">
        <v>25313700</v>
      </c>
      <c r="D413">
        <f t="shared" si="12"/>
        <v>-3.3322972356284561E-3</v>
      </c>
      <c r="G413" s="17" t="s">
        <v>2694</v>
      </c>
      <c r="H413">
        <v>3580450000</v>
      </c>
      <c r="J413">
        <f t="shared" si="13"/>
        <v>-3.104076499634731E-3</v>
      </c>
      <c r="K413">
        <v>1</v>
      </c>
    </row>
    <row r="414" spans="1:11">
      <c r="A414" s="16">
        <v>42657</v>
      </c>
      <c r="B414" s="17" t="s">
        <v>436</v>
      </c>
      <c r="C414">
        <v>27402500</v>
      </c>
      <c r="D414">
        <f t="shared" si="12"/>
        <v>8.7458401727908246E-3</v>
      </c>
      <c r="G414" s="17" t="s">
        <v>2697</v>
      </c>
      <c r="H414">
        <v>3228150000</v>
      </c>
      <c r="J414">
        <f t="shared" si="13"/>
        <v>2.0158385876223729E-4</v>
      </c>
      <c r="K414">
        <v>1</v>
      </c>
    </row>
    <row r="415" spans="1:11">
      <c r="A415" s="16">
        <v>42660</v>
      </c>
      <c r="B415" s="17" t="s">
        <v>444</v>
      </c>
      <c r="C415">
        <v>23830000</v>
      </c>
      <c r="D415">
        <f t="shared" si="12"/>
        <v>-3.4892148161157735E-3</v>
      </c>
      <c r="G415" s="17" t="s">
        <v>2701</v>
      </c>
      <c r="H415">
        <v>2830390000</v>
      </c>
      <c r="J415">
        <f t="shared" si="13"/>
        <v>-3.0426178920773266E-3</v>
      </c>
      <c r="K415">
        <v>1</v>
      </c>
    </row>
    <row r="416" spans="1:11">
      <c r="A416" s="16">
        <v>42661</v>
      </c>
      <c r="B416" s="17" t="s">
        <v>422</v>
      </c>
      <c r="C416">
        <v>19149500</v>
      </c>
      <c r="D416">
        <f t="shared" si="12"/>
        <v>7.6601249414474928E-3</v>
      </c>
      <c r="G416" s="17" t="s">
        <v>2705</v>
      </c>
      <c r="H416">
        <v>3170000000</v>
      </c>
      <c r="J416">
        <f t="shared" si="13"/>
        <v>6.1415057663595871E-3</v>
      </c>
      <c r="K416">
        <v>1</v>
      </c>
    </row>
    <row r="417" spans="1:11">
      <c r="A417" s="16">
        <v>42662</v>
      </c>
      <c r="B417" s="17" t="s">
        <v>445</v>
      </c>
      <c r="C417">
        <v>22878400</v>
      </c>
      <c r="D417">
        <f t="shared" si="12"/>
        <v>-2.2570909921353841E-3</v>
      </c>
      <c r="G417" s="17" t="s">
        <v>2709</v>
      </c>
      <c r="H417">
        <v>3362670000</v>
      </c>
      <c r="J417">
        <f t="shared" si="13"/>
        <v>2.1895719655424944E-3</v>
      </c>
      <c r="K417">
        <v>1</v>
      </c>
    </row>
    <row r="418" spans="1:11">
      <c r="A418" s="16">
        <v>42663</v>
      </c>
      <c r="B418" s="17" t="s">
        <v>429</v>
      </c>
      <c r="C418">
        <v>49455600</v>
      </c>
      <c r="D418">
        <f t="shared" si="12"/>
        <v>-4.8788879899650016E-3</v>
      </c>
      <c r="G418" s="17" t="s">
        <v>2713</v>
      </c>
      <c r="H418">
        <v>3337170000</v>
      </c>
      <c r="J418">
        <f t="shared" si="13"/>
        <v>-1.3766710511558952E-3</v>
      </c>
      <c r="K418">
        <v>1</v>
      </c>
    </row>
    <row r="419" spans="1:11">
      <c r="A419" s="16">
        <v>42664</v>
      </c>
      <c r="B419" s="17" t="s">
        <v>446</v>
      </c>
      <c r="C419">
        <v>80032200</v>
      </c>
      <c r="D419">
        <f t="shared" si="12"/>
        <v>4.1234103402741959E-2</v>
      </c>
      <c r="G419" s="17" t="s">
        <v>2717</v>
      </c>
      <c r="H419">
        <v>3448850000</v>
      </c>
      <c r="J419">
        <f t="shared" si="13"/>
        <v>-8.4145242314662383E-5</v>
      </c>
      <c r="K419">
        <v>1</v>
      </c>
    </row>
    <row r="420" spans="1:11">
      <c r="A420" s="16">
        <v>42667</v>
      </c>
      <c r="B420" s="17" t="s">
        <v>447</v>
      </c>
      <c r="C420">
        <v>54067000</v>
      </c>
      <c r="D420">
        <f t="shared" si="12"/>
        <v>2.2212093319171761E-2</v>
      </c>
      <c r="G420" s="17" t="s">
        <v>2721</v>
      </c>
      <c r="H420">
        <v>3357320000</v>
      </c>
      <c r="J420">
        <f t="shared" si="13"/>
        <v>4.7385946404059154E-3</v>
      </c>
      <c r="K420">
        <v>1</v>
      </c>
    </row>
    <row r="421" spans="1:11">
      <c r="A421" s="16">
        <v>42668</v>
      </c>
      <c r="B421" s="17" t="s">
        <v>448</v>
      </c>
      <c r="C421">
        <v>35137200</v>
      </c>
      <c r="D421">
        <f t="shared" si="12"/>
        <v>-1.6391598538948899E-4</v>
      </c>
      <c r="G421" s="17" t="s">
        <v>2453</v>
      </c>
      <c r="H421">
        <v>3751340000</v>
      </c>
      <c r="J421">
        <f t="shared" si="13"/>
        <v>-3.8049574576371451E-3</v>
      </c>
      <c r="K421">
        <v>1</v>
      </c>
    </row>
    <row r="422" spans="1:11">
      <c r="A422" s="16">
        <v>42669</v>
      </c>
      <c r="B422" s="17" t="s">
        <v>449</v>
      </c>
      <c r="C422">
        <v>29911600</v>
      </c>
      <c r="D422">
        <f t="shared" si="12"/>
        <v>-5.9202419412056869E-3</v>
      </c>
      <c r="G422" s="17" t="s">
        <v>2714</v>
      </c>
      <c r="H422">
        <v>3775200000</v>
      </c>
      <c r="J422">
        <f t="shared" si="13"/>
        <v>-1.741927702175836E-3</v>
      </c>
      <c r="K422">
        <v>1</v>
      </c>
    </row>
    <row r="423" spans="1:11">
      <c r="A423" s="16">
        <v>42670</v>
      </c>
      <c r="B423" s="17" t="s">
        <v>450</v>
      </c>
      <c r="C423">
        <v>28479900</v>
      </c>
      <c r="D423">
        <f t="shared" si="12"/>
        <v>-8.7798958598569749E-3</v>
      </c>
      <c r="G423" s="17" t="s">
        <v>2731</v>
      </c>
      <c r="H423">
        <v>4204830000</v>
      </c>
      <c r="J423">
        <f t="shared" si="13"/>
        <v>-2.991196103286747E-3</v>
      </c>
      <c r="K423">
        <v>1</v>
      </c>
    </row>
    <row r="424" spans="1:11">
      <c r="A424" s="16">
        <v>42671</v>
      </c>
      <c r="B424" s="17" t="s">
        <v>451</v>
      </c>
      <c r="C424">
        <v>33574700</v>
      </c>
      <c r="D424">
        <f t="shared" si="12"/>
        <v>-3.8342972020306947E-3</v>
      </c>
      <c r="G424" s="17" t="s">
        <v>2735</v>
      </c>
      <c r="H424">
        <v>4019510000</v>
      </c>
      <c r="J424">
        <f t="shared" si="13"/>
        <v>-3.1131401617605554E-3</v>
      </c>
      <c r="K424">
        <v>1</v>
      </c>
    </row>
    <row r="425" spans="1:11">
      <c r="A425" s="16">
        <v>42674</v>
      </c>
      <c r="B425" s="17" t="s">
        <v>452</v>
      </c>
      <c r="C425">
        <v>26434700</v>
      </c>
      <c r="D425">
        <f t="shared" si="12"/>
        <v>8.3479208286350241E-4</v>
      </c>
      <c r="G425" s="17" t="s">
        <v>2739</v>
      </c>
      <c r="H425">
        <v>3922400000</v>
      </c>
      <c r="J425">
        <f t="shared" si="13"/>
        <v>-1.2228399443930542E-4</v>
      </c>
      <c r="K425">
        <v>1</v>
      </c>
    </row>
    <row r="426" spans="1:11">
      <c r="A426" s="16">
        <v>42675</v>
      </c>
      <c r="B426" s="17" t="s">
        <v>453</v>
      </c>
      <c r="C426">
        <v>24533000</v>
      </c>
      <c r="D426">
        <f t="shared" si="12"/>
        <v>-2.0046088530261811E-3</v>
      </c>
      <c r="G426" s="17" t="s">
        <v>2743</v>
      </c>
      <c r="H426">
        <v>4532160000</v>
      </c>
      <c r="J426">
        <f t="shared" si="13"/>
        <v>-6.810018806473475E-3</v>
      </c>
      <c r="K426">
        <v>1</v>
      </c>
    </row>
    <row r="427" spans="1:11">
      <c r="A427" s="16">
        <v>42676</v>
      </c>
      <c r="B427" s="17" t="s">
        <v>454</v>
      </c>
      <c r="C427">
        <v>22147000</v>
      </c>
      <c r="D427">
        <f t="shared" si="12"/>
        <v>-6.2065557824073567E-3</v>
      </c>
      <c r="G427" s="17" t="s">
        <v>2747</v>
      </c>
      <c r="H427">
        <v>4248580000</v>
      </c>
      <c r="J427">
        <f t="shared" si="13"/>
        <v>-6.5468847876808331E-3</v>
      </c>
      <c r="K427">
        <v>1</v>
      </c>
    </row>
    <row r="428" spans="1:11">
      <c r="A428" s="16">
        <v>42677</v>
      </c>
      <c r="B428" s="17" t="s">
        <v>455</v>
      </c>
      <c r="C428">
        <v>21600400</v>
      </c>
      <c r="D428">
        <f t="shared" si="12"/>
        <v>-3.7086642123059627E-3</v>
      </c>
      <c r="G428" s="17" t="s">
        <v>2362</v>
      </c>
      <c r="H428">
        <v>3886740000</v>
      </c>
      <c r="J428">
        <f t="shared" si="13"/>
        <v>-4.4332128813332093E-3</v>
      </c>
      <c r="K428">
        <v>1</v>
      </c>
    </row>
    <row r="429" spans="1:11">
      <c r="A429" s="16">
        <v>42678</v>
      </c>
      <c r="B429" s="17" t="s">
        <v>456</v>
      </c>
      <c r="C429">
        <v>28697000</v>
      </c>
      <c r="D429">
        <f t="shared" si="12"/>
        <v>-8.4803898981084726E-3</v>
      </c>
      <c r="G429" s="17" t="s">
        <v>2753</v>
      </c>
      <c r="H429">
        <v>3837860000</v>
      </c>
      <c r="J429">
        <f t="shared" si="13"/>
        <v>-1.667520046979567E-3</v>
      </c>
      <c r="K429">
        <v>1</v>
      </c>
    </row>
    <row r="430" spans="1:11">
      <c r="A430" s="16">
        <v>42681</v>
      </c>
      <c r="B430" s="17" t="s">
        <v>457</v>
      </c>
      <c r="C430">
        <v>31664800</v>
      </c>
      <c r="D430">
        <f t="shared" si="12"/>
        <v>2.8710121975447467E-2</v>
      </c>
      <c r="G430" s="17" t="s">
        <v>2756</v>
      </c>
      <c r="H430">
        <v>3736060000</v>
      </c>
      <c r="J430">
        <f t="shared" si="13"/>
        <v>2.198019977703114E-2</v>
      </c>
      <c r="K430">
        <v>1</v>
      </c>
    </row>
    <row r="431" spans="1:11">
      <c r="A431" s="16">
        <v>42682</v>
      </c>
      <c r="B431" s="17" t="s">
        <v>458</v>
      </c>
      <c r="C431">
        <v>22935400</v>
      </c>
      <c r="D431">
        <f t="shared" si="12"/>
        <v>8.2717848524831671E-4</v>
      </c>
      <c r="G431" s="17" t="s">
        <v>2760</v>
      </c>
      <c r="H431">
        <v>3916930000</v>
      </c>
      <c r="J431">
        <f t="shared" si="13"/>
        <v>3.7648783671193967E-3</v>
      </c>
      <c r="K431">
        <v>1</v>
      </c>
    </row>
    <row r="432" spans="1:11">
      <c r="A432" s="16">
        <v>42683</v>
      </c>
      <c r="B432" s="17" t="s">
        <v>459</v>
      </c>
      <c r="C432">
        <v>49632500</v>
      </c>
      <c r="D432">
        <f t="shared" si="12"/>
        <v>-4.9735957025007051E-3</v>
      </c>
      <c r="G432" s="17" t="s">
        <v>2764</v>
      </c>
      <c r="H432">
        <v>6264150000</v>
      </c>
      <c r="J432">
        <f t="shared" si="13"/>
        <v>1.1016119798123997E-2</v>
      </c>
      <c r="K432">
        <v>1</v>
      </c>
    </row>
    <row r="433" spans="1:11">
      <c r="A433" s="16">
        <v>42684</v>
      </c>
      <c r="B433" s="17" t="s">
        <v>460</v>
      </c>
      <c r="C433">
        <v>57822400</v>
      </c>
      <c r="D433">
        <f t="shared" si="12"/>
        <v>-2.4733942272061361E-2</v>
      </c>
      <c r="G433" s="17" t="s">
        <v>2768</v>
      </c>
      <c r="H433">
        <v>6451640000</v>
      </c>
      <c r="J433">
        <f t="shared" si="13"/>
        <v>1.948845391487013E-3</v>
      </c>
      <c r="K433">
        <v>1</v>
      </c>
    </row>
    <row r="434" spans="1:11">
      <c r="A434" s="16">
        <v>42685</v>
      </c>
      <c r="B434" s="17" t="s">
        <v>461</v>
      </c>
      <c r="C434">
        <v>38767800</v>
      </c>
      <c r="D434">
        <f t="shared" si="12"/>
        <v>5.4365806884573613E-3</v>
      </c>
      <c r="G434" s="17" t="s">
        <v>2772</v>
      </c>
      <c r="H434">
        <v>4988050000</v>
      </c>
      <c r="J434">
        <f t="shared" si="13"/>
        <v>-1.3989282109407189E-3</v>
      </c>
      <c r="K434">
        <v>1</v>
      </c>
    </row>
    <row r="435" spans="1:11">
      <c r="A435" s="16">
        <v>42688</v>
      </c>
      <c r="B435" s="17" t="s">
        <v>462</v>
      </c>
      <c r="C435">
        <v>41328400</v>
      </c>
      <c r="D435">
        <f t="shared" si="12"/>
        <v>-1.5366653754768322E-2</v>
      </c>
      <c r="G435" s="17" t="s">
        <v>2776</v>
      </c>
      <c r="H435">
        <v>5367200000</v>
      </c>
      <c r="J435">
        <f t="shared" si="13"/>
        <v>-1.1550945719234191E-4</v>
      </c>
      <c r="K435">
        <v>1</v>
      </c>
    </row>
    <row r="436" spans="1:11">
      <c r="A436" s="16">
        <v>42689</v>
      </c>
      <c r="B436" s="17" t="s">
        <v>463</v>
      </c>
      <c r="C436">
        <v>35904100</v>
      </c>
      <c r="D436">
        <f t="shared" si="12"/>
        <v>1.9554809598097734E-2</v>
      </c>
      <c r="G436" s="17" t="s">
        <v>2780</v>
      </c>
      <c r="H436">
        <v>4543860000</v>
      </c>
      <c r="J436">
        <f t="shared" si="13"/>
        <v>7.4529552949928806E-3</v>
      </c>
      <c r="K436">
        <v>1</v>
      </c>
    </row>
    <row r="437" spans="1:11">
      <c r="A437" s="16">
        <v>42690</v>
      </c>
      <c r="B437" s="17" t="s">
        <v>464</v>
      </c>
      <c r="C437">
        <v>27332500</v>
      </c>
      <c r="D437">
        <f t="shared" si="12"/>
        <v>1.3162558527800176E-2</v>
      </c>
      <c r="G437" s="17" t="s">
        <v>2784</v>
      </c>
      <c r="H437">
        <v>3830590000</v>
      </c>
      <c r="J437">
        <f t="shared" si="13"/>
        <v>-1.5835169024771387E-3</v>
      </c>
      <c r="K437">
        <v>1</v>
      </c>
    </row>
    <row r="438" spans="1:11">
      <c r="A438" s="16">
        <v>42691</v>
      </c>
      <c r="B438" s="17" t="s">
        <v>465</v>
      </c>
      <c r="C438">
        <v>32132700</v>
      </c>
      <c r="D438">
        <f t="shared" si="12"/>
        <v>1.6460452249956337E-2</v>
      </c>
      <c r="G438" s="17" t="s">
        <v>2787</v>
      </c>
      <c r="H438">
        <v>3809160000</v>
      </c>
      <c r="J438">
        <f t="shared" si="13"/>
        <v>4.6654694620837109E-3</v>
      </c>
      <c r="K438">
        <v>1</v>
      </c>
    </row>
    <row r="439" spans="1:11">
      <c r="A439" s="16">
        <v>42692</v>
      </c>
      <c r="B439" s="17" t="s">
        <v>466</v>
      </c>
      <c r="C439">
        <v>27686300</v>
      </c>
      <c r="D439">
        <f t="shared" si="12"/>
        <v>-4.7937461916815836E-3</v>
      </c>
      <c r="G439" s="17" t="s">
        <v>2552</v>
      </c>
      <c r="H439">
        <v>3572400000</v>
      </c>
      <c r="J439">
        <f t="shared" si="13"/>
        <v>-2.3896514373653198E-3</v>
      </c>
      <c r="K439">
        <v>1</v>
      </c>
    </row>
    <row r="440" spans="1:11">
      <c r="A440" s="16">
        <v>42695</v>
      </c>
      <c r="B440" s="17" t="s">
        <v>467</v>
      </c>
      <c r="C440">
        <v>19652600</v>
      </c>
      <c r="D440">
        <f t="shared" si="12"/>
        <v>8.4151303087385797E-3</v>
      </c>
      <c r="G440" s="17" t="s">
        <v>2792</v>
      </c>
      <c r="H440">
        <v>3607010000</v>
      </c>
      <c r="J440">
        <f t="shared" si="13"/>
        <v>7.4337023919075753E-3</v>
      </c>
      <c r="K440">
        <v>1</v>
      </c>
    </row>
    <row r="441" spans="1:11">
      <c r="A441" s="16">
        <v>42696</v>
      </c>
      <c r="B441" s="17" t="s">
        <v>468</v>
      </c>
      <c r="C441">
        <v>23206700</v>
      </c>
      <c r="D441">
        <f t="shared" si="12"/>
        <v>4.2628962382468055E-3</v>
      </c>
      <c r="G441" s="17" t="s">
        <v>2796</v>
      </c>
      <c r="H441">
        <v>3957940000</v>
      </c>
      <c r="J441">
        <f t="shared" si="13"/>
        <v>2.1630907556930735E-3</v>
      </c>
      <c r="K441">
        <v>1</v>
      </c>
    </row>
    <row r="442" spans="1:11">
      <c r="A442" s="16">
        <v>42697</v>
      </c>
      <c r="B442" s="17" t="s">
        <v>469</v>
      </c>
      <c r="C442">
        <v>21848900</v>
      </c>
      <c r="D442">
        <f t="shared" si="12"/>
        <v>-1.1849819387498198E-2</v>
      </c>
      <c r="G442" s="17" t="s">
        <v>2798</v>
      </c>
      <c r="H442">
        <v>3418640000</v>
      </c>
      <c r="J442">
        <f t="shared" si="13"/>
        <v>8.0769847597577586E-4</v>
      </c>
      <c r="K442">
        <v>1</v>
      </c>
    </row>
    <row r="443" spans="1:11">
      <c r="A443" s="16">
        <v>42699</v>
      </c>
      <c r="B443" s="17" t="s">
        <v>470</v>
      </c>
      <c r="C443">
        <v>8409600</v>
      </c>
      <c r="D443">
        <f t="shared" si="12"/>
        <v>2.1499521296984526E-3</v>
      </c>
      <c r="G443" s="17" t="s">
        <v>2800</v>
      </c>
      <c r="H443">
        <v>1584600000</v>
      </c>
      <c r="J443">
        <f t="shared" si="13"/>
        <v>3.9067456340769443E-3</v>
      </c>
      <c r="K443">
        <v>1</v>
      </c>
    </row>
    <row r="444" spans="1:11">
      <c r="A444" s="16">
        <v>42702</v>
      </c>
      <c r="B444" s="17" t="s">
        <v>471</v>
      </c>
      <c r="C444">
        <v>20732600</v>
      </c>
      <c r="D444">
        <f t="shared" si="12"/>
        <v>1.3207536595512359E-3</v>
      </c>
      <c r="G444" s="17" t="s">
        <v>2804</v>
      </c>
      <c r="H444">
        <v>3505650000</v>
      </c>
      <c r="J444">
        <f t="shared" si="13"/>
        <v>-5.2683892752049318E-3</v>
      </c>
      <c r="K444">
        <v>1</v>
      </c>
    </row>
    <row r="445" spans="1:11">
      <c r="A445" s="16">
        <v>42703</v>
      </c>
      <c r="B445" s="17" t="s">
        <v>472</v>
      </c>
      <c r="C445">
        <v>22366700</v>
      </c>
      <c r="D445">
        <f t="shared" si="12"/>
        <v>7.8883059611460603E-3</v>
      </c>
      <c r="G445" s="17" t="s">
        <v>2808</v>
      </c>
      <c r="H445">
        <v>3706560000</v>
      </c>
      <c r="J445">
        <f t="shared" si="13"/>
        <v>1.3344021688134898E-3</v>
      </c>
      <c r="K445">
        <v>1</v>
      </c>
    </row>
    <row r="446" spans="1:11">
      <c r="A446" s="16">
        <v>42704</v>
      </c>
      <c r="B446" s="17" t="s">
        <v>473</v>
      </c>
      <c r="C446">
        <v>34655400</v>
      </c>
      <c r="D446">
        <f t="shared" si="12"/>
        <v>-1.3679648770969496E-2</v>
      </c>
      <c r="G446" s="17" t="s">
        <v>2811</v>
      </c>
      <c r="H446">
        <v>5533980000</v>
      </c>
      <c r="J446">
        <f t="shared" si="13"/>
        <v>-2.6569303207866061E-3</v>
      </c>
      <c r="K446">
        <v>1</v>
      </c>
    </row>
    <row r="447" spans="1:11">
      <c r="A447" s="16">
        <v>42705</v>
      </c>
      <c r="B447" s="17" t="s">
        <v>474</v>
      </c>
      <c r="C447">
        <v>34542100</v>
      </c>
      <c r="D447">
        <f t="shared" si="12"/>
        <v>-1.7747053059727808E-2</v>
      </c>
      <c r="G447" s="17" t="s">
        <v>2815</v>
      </c>
      <c r="H447">
        <v>5063740000</v>
      </c>
      <c r="J447">
        <f t="shared" si="13"/>
        <v>-3.5217232085723734E-3</v>
      </c>
      <c r="K447">
        <v>1</v>
      </c>
    </row>
    <row r="448" spans="1:11">
      <c r="A448" s="16">
        <v>42706</v>
      </c>
      <c r="B448" s="17" t="s">
        <v>475</v>
      </c>
      <c r="C448">
        <v>25515700</v>
      </c>
      <c r="D448">
        <f t="shared" si="12"/>
        <v>8.4428891859689701E-4</v>
      </c>
      <c r="G448" s="17" t="s">
        <v>2819</v>
      </c>
      <c r="H448">
        <v>3779500000</v>
      </c>
      <c r="J448">
        <f t="shared" si="13"/>
        <v>3.9692769872242176E-4</v>
      </c>
      <c r="K448">
        <v>1</v>
      </c>
    </row>
    <row r="449" spans="1:11">
      <c r="A449" s="16">
        <v>42709</v>
      </c>
      <c r="B449" s="17" t="s">
        <v>476</v>
      </c>
      <c r="C449">
        <v>23552700</v>
      </c>
      <c r="D449">
        <f t="shared" si="12"/>
        <v>1.6238769788901021E-2</v>
      </c>
      <c r="G449" s="17" t="s">
        <v>2823</v>
      </c>
      <c r="H449">
        <v>3895230000</v>
      </c>
      <c r="J449">
        <f t="shared" si="13"/>
        <v>5.8044270335040676E-3</v>
      </c>
      <c r="K449">
        <v>1</v>
      </c>
    </row>
    <row r="450" spans="1:11">
      <c r="A450" s="16">
        <v>42710</v>
      </c>
      <c r="B450" s="17" t="s">
        <v>477</v>
      </c>
      <c r="C450">
        <v>19907000</v>
      </c>
      <c r="D450">
        <f t="shared" si="12"/>
        <v>-4.4936016222929835E-3</v>
      </c>
      <c r="G450" s="17" t="s">
        <v>2827</v>
      </c>
      <c r="H450">
        <v>3855320000</v>
      </c>
      <c r="J450">
        <f t="shared" si="13"/>
        <v>3.4050842286357528E-3</v>
      </c>
      <c r="K450">
        <v>1</v>
      </c>
    </row>
    <row r="451" spans="1:11">
      <c r="A451" s="16">
        <v>42711</v>
      </c>
      <c r="B451" s="17" t="s">
        <v>478</v>
      </c>
      <c r="C451">
        <v>30809000</v>
      </c>
      <c r="D451">
        <f t="shared" si="12"/>
        <v>2.3410200522157924E-2</v>
      </c>
      <c r="G451" s="17" t="s">
        <v>2831</v>
      </c>
      <c r="H451">
        <v>4501820000</v>
      </c>
      <c r="J451">
        <f t="shared" si="13"/>
        <v>1.3077359109980912E-2</v>
      </c>
      <c r="K451">
        <v>1</v>
      </c>
    </row>
    <row r="452" spans="1:11">
      <c r="A452" s="16">
        <v>42712</v>
      </c>
      <c r="B452" s="17" t="s">
        <v>479</v>
      </c>
      <c r="C452">
        <v>21220800</v>
      </c>
      <c r="D452">
        <f t="shared" si="12"/>
        <v>-5.8834638784353785E-3</v>
      </c>
      <c r="G452" s="17" t="s">
        <v>2835</v>
      </c>
      <c r="H452">
        <v>4200580000</v>
      </c>
      <c r="J452">
        <f t="shared" si="13"/>
        <v>2.1570146826418611E-3</v>
      </c>
      <c r="K452">
        <v>1</v>
      </c>
    </row>
    <row r="453" spans="1:11">
      <c r="A453" s="16">
        <v>42713</v>
      </c>
      <c r="B453" s="17" t="s">
        <v>480</v>
      </c>
      <c r="C453">
        <v>27349400</v>
      </c>
      <c r="D453">
        <f t="shared" ref="D453:D516" si="14">LN(B453/B452)</f>
        <v>1.5612831168618254E-2</v>
      </c>
      <c r="G453" s="17" t="s">
        <v>2839</v>
      </c>
      <c r="H453">
        <v>3884480000</v>
      </c>
      <c r="J453">
        <f t="shared" ref="J453:J516" si="15">LN(G453/G452)</f>
        <v>5.9214185824436353E-3</v>
      </c>
      <c r="K453">
        <v>1</v>
      </c>
    </row>
    <row r="454" spans="1:11">
      <c r="A454" s="16">
        <v>42716</v>
      </c>
      <c r="B454" s="17" t="s">
        <v>481</v>
      </c>
      <c r="C454">
        <v>20198100</v>
      </c>
      <c r="D454">
        <f t="shared" si="14"/>
        <v>3.2220239421265058E-3</v>
      </c>
      <c r="G454" s="17" t="s">
        <v>2843</v>
      </c>
      <c r="H454">
        <v>4034510000</v>
      </c>
      <c r="J454">
        <f t="shared" si="15"/>
        <v>-1.1380821315193454E-3</v>
      </c>
      <c r="K454">
        <v>1</v>
      </c>
    </row>
    <row r="455" spans="1:11">
      <c r="A455" s="16">
        <v>42717</v>
      </c>
      <c r="B455" s="17" t="s">
        <v>482</v>
      </c>
      <c r="C455">
        <v>35718900</v>
      </c>
      <c r="D455">
        <f t="shared" si="14"/>
        <v>1.294466842241331E-2</v>
      </c>
      <c r="G455" s="17" t="s">
        <v>2846</v>
      </c>
      <c r="H455">
        <v>3857590000</v>
      </c>
      <c r="J455">
        <f t="shared" si="15"/>
        <v>6.5184833042276425E-3</v>
      </c>
      <c r="K455">
        <v>1</v>
      </c>
    </row>
    <row r="456" spans="1:11">
      <c r="A456" s="16">
        <v>42718</v>
      </c>
      <c r="B456" s="17" t="s">
        <v>483</v>
      </c>
      <c r="C456">
        <v>30352700</v>
      </c>
      <c r="D456">
        <f t="shared" si="14"/>
        <v>-4.7748159161737393E-3</v>
      </c>
      <c r="G456" s="17" t="s">
        <v>2850</v>
      </c>
      <c r="H456">
        <v>4406970000</v>
      </c>
      <c r="J456">
        <f t="shared" si="15"/>
        <v>-8.1502957242938472E-3</v>
      </c>
      <c r="K456">
        <v>1</v>
      </c>
    </row>
    <row r="457" spans="1:11">
      <c r="A457" s="16">
        <v>42719</v>
      </c>
      <c r="B457" s="17" t="s">
        <v>484</v>
      </c>
      <c r="C457">
        <v>27669900</v>
      </c>
      <c r="D457">
        <f t="shared" si="14"/>
        <v>-1.596707743164903E-3</v>
      </c>
      <c r="G457" s="17" t="s">
        <v>2853</v>
      </c>
      <c r="H457">
        <v>4168200000</v>
      </c>
      <c r="J457">
        <f t="shared" si="15"/>
        <v>3.8757076880631845E-3</v>
      </c>
      <c r="K457">
        <v>1</v>
      </c>
    </row>
    <row r="458" spans="1:11">
      <c r="A458" s="16">
        <v>42720</v>
      </c>
      <c r="B458" s="17" t="s">
        <v>485</v>
      </c>
      <c r="C458">
        <v>42453100</v>
      </c>
      <c r="D458">
        <f t="shared" si="14"/>
        <v>-4.4843213778294156E-3</v>
      </c>
      <c r="G458" s="17" t="s">
        <v>2857</v>
      </c>
      <c r="H458">
        <v>5920340000</v>
      </c>
      <c r="J458">
        <f t="shared" si="15"/>
        <v>-1.7521567788889247E-3</v>
      </c>
      <c r="K458">
        <v>1</v>
      </c>
    </row>
    <row r="459" spans="1:11">
      <c r="A459" s="16">
        <v>42723</v>
      </c>
      <c r="B459" s="17" t="s">
        <v>486</v>
      </c>
      <c r="C459">
        <v>34338200</v>
      </c>
      <c r="D459">
        <f t="shared" si="14"/>
        <v>2.096640213326981E-2</v>
      </c>
      <c r="G459" s="17" t="s">
        <v>2861</v>
      </c>
      <c r="H459">
        <v>3248370000</v>
      </c>
      <c r="J459">
        <f t="shared" si="15"/>
        <v>1.9731727431487977E-3</v>
      </c>
      <c r="K459">
        <v>1</v>
      </c>
    </row>
    <row r="460" spans="1:11">
      <c r="A460" s="16">
        <v>42724</v>
      </c>
      <c r="B460" s="17" t="s">
        <v>487</v>
      </c>
      <c r="C460">
        <v>26028400</v>
      </c>
      <c r="D460">
        <f t="shared" si="14"/>
        <v>-1.258160133481834E-3</v>
      </c>
      <c r="G460" s="17" t="s">
        <v>2865</v>
      </c>
      <c r="H460">
        <v>3298780000</v>
      </c>
      <c r="J460">
        <f t="shared" si="15"/>
        <v>3.6309126355809252E-3</v>
      </c>
      <c r="K460">
        <v>1</v>
      </c>
    </row>
    <row r="461" spans="1:11">
      <c r="A461" s="16">
        <v>42725</v>
      </c>
      <c r="B461" s="17" t="s">
        <v>487</v>
      </c>
      <c r="C461">
        <v>17096300</v>
      </c>
      <c r="D461">
        <f t="shared" si="14"/>
        <v>0</v>
      </c>
      <c r="G461" s="17" t="s">
        <v>2869</v>
      </c>
      <c r="H461">
        <v>2852230000</v>
      </c>
      <c r="J461">
        <f t="shared" si="15"/>
        <v>-2.4603856692401176E-3</v>
      </c>
      <c r="K461">
        <v>1</v>
      </c>
    </row>
    <row r="462" spans="1:11">
      <c r="A462" s="16">
        <v>42726</v>
      </c>
      <c r="B462" s="17" t="s">
        <v>488</v>
      </c>
      <c r="C462">
        <v>22176600</v>
      </c>
      <c r="D462">
        <f t="shared" si="14"/>
        <v>1.5754811991009003E-4</v>
      </c>
      <c r="G462" s="17" t="s">
        <v>2873</v>
      </c>
      <c r="H462">
        <v>2876320000</v>
      </c>
      <c r="J462">
        <f t="shared" si="15"/>
        <v>-1.8647113534051916E-3</v>
      </c>
      <c r="K462">
        <v>1</v>
      </c>
    </row>
    <row r="463" spans="1:11">
      <c r="A463" s="16">
        <v>42727</v>
      </c>
      <c r="B463" s="17" t="s">
        <v>489</v>
      </c>
      <c r="C463">
        <v>12403800</v>
      </c>
      <c r="D463">
        <f t="shared" si="14"/>
        <v>-4.8901153331598751E-3</v>
      </c>
      <c r="G463" s="17" t="s">
        <v>2875</v>
      </c>
      <c r="H463">
        <v>2020550000</v>
      </c>
      <c r="J463">
        <f t="shared" si="15"/>
        <v>1.2509324798275364E-3</v>
      </c>
      <c r="K463">
        <v>1</v>
      </c>
    </row>
    <row r="464" spans="1:11">
      <c r="A464" s="16">
        <v>42731</v>
      </c>
      <c r="B464" s="17" t="s">
        <v>490</v>
      </c>
      <c r="C464">
        <v>11763200</v>
      </c>
      <c r="D464">
        <f t="shared" si="14"/>
        <v>6.3222870462476108E-4</v>
      </c>
      <c r="G464" s="17" t="s">
        <v>2880</v>
      </c>
      <c r="H464">
        <v>1987080000</v>
      </c>
      <c r="J464">
        <f t="shared" si="15"/>
        <v>2.2458490147972553E-3</v>
      </c>
      <c r="K464">
        <v>1</v>
      </c>
    </row>
    <row r="465" spans="1:11">
      <c r="A465" s="16">
        <v>42732</v>
      </c>
      <c r="B465" s="17" t="s">
        <v>491</v>
      </c>
      <c r="C465">
        <v>14653300</v>
      </c>
      <c r="D465">
        <f t="shared" si="14"/>
        <v>-4.5932943851405188E-3</v>
      </c>
      <c r="G465" s="17" t="s">
        <v>2884</v>
      </c>
      <c r="H465">
        <v>2392360000</v>
      </c>
      <c r="J465">
        <f t="shared" si="15"/>
        <v>-8.3916407368539048E-3</v>
      </c>
      <c r="K465">
        <v>1</v>
      </c>
    </row>
    <row r="466" spans="1:11">
      <c r="A466" s="16">
        <v>42733</v>
      </c>
      <c r="B466" s="17" t="s">
        <v>492</v>
      </c>
      <c r="C466">
        <v>10250600</v>
      </c>
      <c r="D466">
        <f t="shared" si="14"/>
        <v>-1.4297175542953779E-3</v>
      </c>
      <c r="G466" s="17" t="s">
        <v>2888</v>
      </c>
      <c r="H466">
        <v>2336370000</v>
      </c>
      <c r="J466">
        <f t="shared" si="15"/>
        <v>-2.9334768322500485E-4</v>
      </c>
      <c r="K466">
        <v>1</v>
      </c>
    </row>
    <row r="467" spans="1:11">
      <c r="A467" s="16">
        <v>42734</v>
      </c>
      <c r="B467" s="17" t="s">
        <v>493</v>
      </c>
      <c r="C467">
        <v>25579900</v>
      </c>
      <c r="D467">
        <f t="shared" si="14"/>
        <v>-1.2156418519510815E-2</v>
      </c>
      <c r="G467" s="17" t="s">
        <v>2892</v>
      </c>
      <c r="H467">
        <v>2670900000</v>
      </c>
      <c r="J467">
        <f t="shared" si="15"/>
        <v>-4.6478348568878983E-3</v>
      </c>
      <c r="K467">
        <v>1</v>
      </c>
    </row>
    <row r="468" spans="1:11">
      <c r="A468" s="16">
        <v>42738</v>
      </c>
      <c r="B468" s="17" t="s">
        <v>484</v>
      </c>
      <c r="C468">
        <v>20694100</v>
      </c>
      <c r="D468">
        <f t="shared" si="14"/>
        <v>7.0558483456131804E-3</v>
      </c>
      <c r="G468" s="17" t="s">
        <v>2896</v>
      </c>
      <c r="H468">
        <v>3770530000</v>
      </c>
      <c r="J468">
        <f t="shared" si="15"/>
        <v>8.4507667536269683E-3</v>
      </c>
      <c r="K468">
        <v>1</v>
      </c>
    </row>
    <row r="469" spans="1:11">
      <c r="A469" s="16">
        <v>42739</v>
      </c>
      <c r="B469" s="17" t="s">
        <v>485</v>
      </c>
      <c r="C469">
        <v>21340000</v>
      </c>
      <c r="D469">
        <f t="shared" si="14"/>
        <v>-4.4843213778294156E-3</v>
      </c>
      <c r="G469" s="17" t="s">
        <v>2899</v>
      </c>
      <c r="H469">
        <v>3764890000</v>
      </c>
      <c r="J469">
        <f t="shared" si="15"/>
        <v>5.70596382591232E-3</v>
      </c>
      <c r="K469">
        <v>1</v>
      </c>
    </row>
    <row r="470" spans="1:11">
      <c r="A470" s="16">
        <v>42740</v>
      </c>
      <c r="B470" s="17" t="s">
        <v>485</v>
      </c>
      <c r="C470">
        <v>24876000</v>
      </c>
      <c r="D470">
        <f t="shared" si="14"/>
        <v>0</v>
      </c>
      <c r="G470" s="17" t="s">
        <v>2903</v>
      </c>
      <c r="H470">
        <v>3761820000</v>
      </c>
      <c r="J470">
        <f t="shared" si="15"/>
        <v>-7.7096760248118474E-4</v>
      </c>
      <c r="K470">
        <v>1</v>
      </c>
    </row>
    <row r="471" spans="1:11">
      <c r="A471" s="16">
        <v>42741</v>
      </c>
      <c r="B471" s="17" t="s">
        <v>494</v>
      </c>
      <c r="C471">
        <v>19922900</v>
      </c>
      <c r="D471">
        <f t="shared" si="14"/>
        <v>8.630430007330072E-3</v>
      </c>
      <c r="G471" s="17" t="s">
        <v>2907</v>
      </c>
      <c r="H471">
        <v>3339890000</v>
      </c>
      <c r="J471">
        <f t="shared" si="15"/>
        <v>3.5107889747143313E-3</v>
      </c>
      <c r="K471">
        <v>1</v>
      </c>
    </row>
    <row r="472" spans="1:11">
      <c r="A472" s="16">
        <v>42744</v>
      </c>
      <c r="B472" s="17" t="s">
        <v>495</v>
      </c>
      <c r="C472">
        <v>20382700</v>
      </c>
      <c r="D472">
        <f t="shared" si="14"/>
        <v>-3.187751047522734E-3</v>
      </c>
      <c r="G472" s="17" t="s">
        <v>2910</v>
      </c>
      <c r="H472">
        <v>3217610000</v>
      </c>
      <c r="J472">
        <f t="shared" si="15"/>
        <v>-3.5549054171999466E-3</v>
      </c>
      <c r="K472">
        <v>1</v>
      </c>
    </row>
    <row r="473" spans="1:11">
      <c r="A473" s="16">
        <v>42745</v>
      </c>
      <c r="B473" s="17" t="s">
        <v>496</v>
      </c>
      <c r="C473">
        <v>18593000</v>
      </c>
      <c r="D473">
        <f t="shared" si="14"/>
        <v>-3.1939555533410394E-4</v>
      </c>
      <c r="G473" s="17" t="s">
        <v>2910</v>
      </c>
      <c r="H473">
        <v>3638790000</v>
      </c>
      <c r="J473">
        <f t="shared" si="15"/>
        <v>0</v>
      </c>
      <c r="K473">
        <v>1</v>
      </c>
    </row>
    <row r="474" spans="1:11">
      <c r="A474" s="16">
        <v>42746</v>
      </c>
      <c r="B474" s="17" t="s">
        <v>497</v>
      </c>
      <c r="C474">
        <v>21517300</v>
      </c>
      <c r="D474">
        <f t="shared" si="14"/>
        <v>9.0612582788648123E-3</v>
      </c>
      <c r="G474" s="17" t="s">
        <v>2915</v>
      </c>
      <c r="H474">
        <v>3620410000</v>
      </c>
      <c r="J474">
        <f t="shared" si="15"/>
        <v>2.825642382662228E-3</v>
      </c>
      <c r="K474">
        <v>1</v>
      </c>
    </row>
    <row r="475" spans="1:11">
      <c r="A475" s="16">
        <v>42747</v>
      </c>
      <c r="B475" s="17" t="s">
        <v>498</v>
      </c>
      <c r="C475">
        <v>20968200</v>
      </c>
      <c r="D475">
        <f t="shared" si="14"/>
        <v>-9.2209605140577203E-3</v>
      </c>
      <c r="G475" s="17" t="s">
        <v>2919</v>
      </c>
      <c r="H475">
        <v>3462130000</v>
      </c>
      <c r="J475">
        <f t="shared" si="15"/>
        <v>-2.1471124147148762E-3</v>
      </c>
      <c r="K475">
        <v>1</v>
      </c>
    </row>
    <row r="476" spans="1:11">
      <c r="A476" s="16">
        <v>42748</v>
      </c>
      <c r="B476" s="17" t="s">
        <v>499</v>
      </c>
      <c r="C476">
        <v>19422300</v>
      </c>
      <c r="D476">
        <f t="shared" si="14"/>
        <v>1.436537802539763E-3</v>
      </c>
      <c r="G476" s="17" t="s">
        <v>2923</v>
      </c>
      <c r="H476">
        <v>3081270000</v>
      </c>
      <c r="J476">
        <f t="shared" si="15"/>
        <v>1.8481317595456588E-3</v>
      </c>
      <c r="K476">
        <v>1</v>
      </c>
    </row>
    <row r="477" spans="1:11">
      <c r="A477" s="16">
        <v>42752</v>
      </c>
      <c r="B477" s="17" t="s">
        <v>500</v>
      </c>
      <c r="C477">
        <v>20664000</v>
      </c>
      <c r="D477">
        <f t="shared" si="14"/>
        <v>-2.7150746887982611E-3</v>
      </c>
      <c r="G477" s="17" t="s">
        <v>2927</v>
      </c>
      <c r="H477">
        <v>3584990000</v>
      </c>
      <c r="J477">
        <f t="shared" si="15"/>
        <v>-2.9719144556663584E-3</v>
      </c>
      <c r="K477">
        <v>1</v>
      </c>
    </row>
    <row r="478" spans="1:11">
      <c r="A478" s="16">
        <v>42753</v>
      </c>
      <c r="B478" s="17" t="s">
        <v>501</v>
      </c>
      <c r="C478">
        <v>19670100</v>
      </c>
      <c r="D478">
        <f t="shared" si="14"/>
        <v>-4.7987308179068324E-4</v>
      </c>
      <c r="G478" s="17" t="s">
        <v>2930</v>
      </c>
      <c r="H478">
        <v>3315250000</v>
      </c>
      <c r="J478">
        <f t="shared" si="15"/>
        <v>1.7622004694819377E-3</v>
      </c>
      <c r="K478">
        <v>1</v>
      </c>
    </row>
    <row r="479" spans="1:11">
      <c r="A479" s="16">
        <v>42754</v>
      </c>
      <c r="B479" s="17" t="s">
        <v>485</v>
      </c>
      <c r="C479">
        <v>18451700</v>
      </c>
      <c r="D479">
        <f t="shared" si="14"/>
        <v>-3.2051712012308789E-3</v>
      </c>
      <c r="G479" s="17" t="s">
        <v>2934</v>
      </c>
      <c r="H479">
        <v>3165970000</v>
      </c>
      <c r="J479">
        <f t="shared" si="15"/>
        <v>-3.6158379894762971E-3</v>
      </c>
      <c r="K479">
        <v>1</v>
      </c>
    </row>
    <row r="480" spans="1:11">
      <c r="A480" s="16">
        <v>42755</v>
      </c>
      <c r="B480" s="17" t="s">
        <v>502</v>
      </c>
      <c r="C480">
        <v>30213500</v>
      </c>
      <c r="D480">
        <f t="shared" si="14"/>
        <v>7.0377909669801257E-3</v>
      </c>
      <c r="G480" s="17" t="s">
        <v>2882</v>
      </c>
      <c r="H480">
        <v>3524970000</v>
      </c>
      <c r="J480">
        <f t="shared" si="15"/>
        <v>3.360584419625029E-3</v>
      </c>
      <c r="K480">
        <v>1</v>
      </c>
    </row>
    <row r="481" spans="1:11">
      <c r="A481" s="16">
        <v>42758</v>
      </c>
      <c r="B481" s="17" t="s">
        <v>503</v>
      </c>
      <c r="C481">
        <v>23097600</v>
      </c>
      <c r="D481">
        <f t="shared" si="14"/>
        <v>3.5005175298943986E-3</v>
      </c>
      <c r="G481" s="17" t="s">
        <v>2940</v>
      </c>
      <c r="H481">
        <v>3152710000</v>
      </c>
      <c r="J481">
        <f t="shared" si="15"/>
        <v>-2.6937499008075371E-3</v>
      </c>
      <c r="K481">
        <v>1</v>
      </c>
    </row>
    <row r="482" spans="1:11">
      <c r="A482" s="16">
        <v>42759</v>
      </c>
      <c r="B482" s="17" t="s">
        <v>504</v>
      </c>
      <c r="C482">
        <v>24672900</v>
      </c>
      <c r="D482">
        <f t="shared" si="14"/>
        <v>8.855245939413052E-3</v>
      </c>
      <c r="G482" s="17" t="s">
        <v>2944</v>
      </c>
      <c r="H482">
        <v>3810960000</v>
      </c>
      <c r="J482">
        <f t="shared" si="15"/>
        <v>6.5431404472227183E-3</v>
      </c>
      <c r="K482">
        <v>1</v>
      </c>
    </row>
    <row r="483" spans="1:11">
      <c r="A483" s="16">
        <v>42760</v>
      </c>
      <c r="B483" s="17" t="s">
        <v>505</v>
      </c>
      <c r="C483">
        <v>23672700</v>
      </c>
      <c r="D483">
        <f t="shared" si="14"/>
        <v>2.5155463948327013E-3</v>
      </c>
      <c r="G483" s="17" t="s">
        <v>2947</v>
      </c>
      <c r="H483">
        <v>3846020000</v>
      </c>
      <c r="J483">
        <f t="shared" si="15"/>
        <v>7.9940528720048743E-3</v>
      </c>
      <c r="K483">
        <v>1</v>
      </c>
    </row>
    <row r="484" spans="1:11">
      <c r="A484" s="16">
        <v>42761</v>
      </c>
      <c r="B484" s="17" t="s">
        <v>506</v>
      </c>
      <c r="C484">
        <v>43554600</v>
      </c>
      <c r="D484">
        <f t="shared" si="14"/>
        <v>9.2224404235437662E-3</v>
      </c>
      <c r="G484" s="17" t="s">
        <v>2951</v>
      </c>
      <c r="H484">
        <v>3610360000</v>
      </c>
      <c r="J484">
        <f t="shared" si="15"/>
        <v>-7.3565469720765909E-4</v>
      </c>
      <c r="K484">
        <v>1</v>
      </c>
    </row>
    <row r="485" spans="1:11">
      <c r="A485" s="16">
        <v>42762</v>
      </c>
      <c r="B485" s="17" t="s">
        <v>507</v>
      </c>
      <c r="C485">
        <v>44818000</v>
      </c>
      <c r="D485">
        <f t="shared" si="14"/>
        <v>2.3222882777023501E-2</v>
      </c>
      <c r="G485" s="17" t="s">
        <v>2954</v>
      </c>
      <c r="H485">
        <v>3135890000</v>
      </c>
      <c r="J485">
        <f t="shared" si="15"/>
        <v>-8.668398232565737E-4</v>
      </c>
      <c r="K485">
        <v>1</v>
      </c>
    </row>
    <row r="486" spans="1:11">
      <c r="A486" s="16">
        <v>42765</v>
      </c>
      <c r="B486" s="17" t="s">
        <v>508</v>
      </c>
      <c r="C486">
        <v>31651400</v>
      </c>
      <c r="D486">
        <f t="shared" si="14"/>
        <v>-9.9306977116690263E-3</v>
      </c>
      <c r="G486" s="17" t="s">
        <v>2957</v>
      </c>
      <c r="H486">
        <v>3591270000</v>
      </c>
      <c r="J486">
        <f t="shared" si="15"/>
        <v>-6.0276734697655744E-3</v>
      </c>
      <c r="K486">
        <v>1</v>
      </c>
    </row>
    <row r="487" spans="1:11">
      <c r="A487" s="16">
        <v>42766</v>
      </c>
      <c r="B487" s="17" t="s">
        <v>509</v>
      </c>
      <c r="C487">
        <v>25270500</v>
      </c>
      <c r="D487">
        <f t="shared" si="14"/>
        <v>-7.3970520980604342E-3</v>
      </c>
      <c r="G487" s="17" t="s">
        <v>2961</v>
      </c>
      <c r="H487">
        <v>4087450000</v>
      </c>
      <c r="J487">
        <f t="shared" si="15"/>
        <v>-8.9030153960211638E-4</v>
      </c>
      <c r="K487">
        <v>1</v>
      </c>
    </row>
    <row r="488" spans="1:11">
      <c r="A488" s="16">
        <v>42767</v>
      </c>
      <c r="B488" s="17" t="s">
        <v>510</v>
      </c>
      <c r="C488">
        <v>39671500</v>
      </c>
      <c r="D488">
        <f t="shared" si="14"/>
        <v>-1.6689004479861578E-2</v>
      </c>
      <c r="G488" s="17" t="s">
        <v>2965</v>
      </c>
      <c r="H488">
        <v>3916610000</v>
      </c>
      <c r="J488">
        <f t="shared" si="15"/>
        <v>2.9831914579263465E-4</v>
      </c>
      <c r="K488">
        <v>1</v>
      </c>
    </row>
    <row r="489" spans="1:11">
      <c r="A489" s="16">
        <v>42768</v>
      </c>
      <c r="B489" s="17" t="s">
        <v>511</v>
      </c>
      <c r="C489">
        <v>45827000</v>
      </c>
      <c r="D489">
        <f t="shared" si="14"/>
        <v>-6.4696762184890729E-3</v>
      </c>
      <c r="G489" s="17" t="s">
        <v>2969</v>
      </c>
      <c r="H489">
        <v>3807710000</v>
      </c>
      <c r="J489">
        <f t="shared" si="15"/>
        <v>5.7014691400356185E-4</v>
      </c>
      <c r="K489">
        <v>1</v>
      </c>
    </row>
    <row r="490" spans="1:11">
      <c r="A490" s="16">
        <v>42769</v>
      </c>
      <c r="B490" s="17" t="s">
        <v>505</v>
      </c>
      <c r="C490">
        <v>30301800</v>
      </c>
      <c r="D490">
        <f t="shared" si="14"/>
        <v>8.0411073075126009E-3</v>
      </c>
      <c r="G490" s="17" t="s">
        <v>2973</v>
      </c>
      <c r="H490">
        <v>3597970000</v>
      </c>
      <c r="J490">
        <f t="shared" si="15"/>
        <v>7.23849675825126E-3</v>
      </c>
      <c r="K490">
        <v>1</v>
      </c>
    </row>
    <row r="491" spans="1:11">
      <c r="A491" s="16">
        <v>42772</v>
      </c>
      <c r="B491" s="17" t="s">
        <v>512</v>
      </c>
      <c r="C491">
        <v>19796400</v>
      </c>
      <c r="D491">
        <f t="shared" si="14"/>
        <v>-6.2832270117336238E-4</v>
      </c>
      <c r="G491" s="17" t="s">
        <v>2977</v>
      </c>
      <c r="H491">
        <v>3109050000</v>
      </c>
      <c r="J491">
        <f t="shared" si="15"/>
        <v>-2.1175973909143666E-3</v>
      </c>
      <c r="K491">
        <v>1</v>
      </c>
    </row>
    <row r="492" spans="1:11">
      <c r="A492" s="16">
        <v>42773</v>
      </c>
      <c r="B492" s="17" t="s">
        <v>513</v>
      </c>
      <c r="C492">
        <v>20277200</v>
      </c>
      <c r="D492">
        <f t="shared" si="14"/>
        <v>-3.3052535749836876E-3</v>
      </c>
      <c r="G492" s="17" t="s">
        <v>2981</v>
      </c>
      <c r="H492">
        <v>3448690000</v>
      </c>
      <c r="J492">
        <f t="shared" si="15"/>
        <v>2.2680323213039314E-4</v>
      </c>
      <c r="K492">
        <v>1</v>
      </c>
    </row>
    <row r="493" spans="1:11">
      <c r="A493" s="16">
        <v>42774</v>
      </c>
      <c r="B493" s="17" t="s">
        <v>514</v>
      </c>
      <c r="C493">
        <v>18096400</v>
      </c>
      <c r="D493">
        <f t="shared" si="14"/>
        <v>-1.4197929252623837E-3</v>
      </c>
      <c r="G493" s="17" t="s">
        <v>2985</v>
      </c>
      <c r="H493">
        <v>3609740000</v>
      </c>
      <c r="J493">
        <f t="shared" si="15"/>
        <v>6.9308225759549607E-4</v>
      </c>
      <c r="K493">
        <v>1</v>
      </c>
    </row>
    <row r="494" spans="1:11">
      <c r="A494" s="16">
        <v>42775</v>
      </c>
      <c r="B494" s="17" t="s">
        <v>515</v>
      </c>
      <c r="C494">
        <v>22644400</v>
      </c>
      <c r="D494">
        <f t="shared" si="14"/>
        <v>1.1303008555086095E-2</v>
      </c>
      <c r="G494" s="17" t="s">
        <v>2989</v>
      </c>
      <c r="H494">
        <v>3677940000</v>
      </c>
      <c r="J494">
        <f t="shared" si="15"/>
        <v>5.7360636002423832E-3</v>
      </c>
      <c r="K494">
        <v>1</v>
      </c>
    </row>
    <row r="495" spans="1:11">
      <c r="A495" s="16">
        <v>42776</v>
      </c>
      <c r="B495" s="17" t="s">
        <v>516</v>
      </c>
      <c r="C495">
        <v>18170700</v>
      </c>
      <c r="D495">
        <f t="shared" si="14"/>
        <v>-9.3697172557742777E-4</v>
      </c>
      <c r="G495" s="17" t="s">
        <v>2993</v>
      </c>
      <c r="H495">
        <v>3475020000</v>
      </c>
      <c r="J495">
        <f t="shared" si="15"/>
        <v>3.5597070516704093E-3</v>
      </c>
      <c r="K495">
        <v>1</v>
      </c>
    </row>
    <row r="496" spans="1:11">
      <c r="A496" s="16">
        <v>42779</v>
      </c>
      <c r="B496" s="17" t="s">
        <v>517</v>
      </c>
      <c r="C496">
        <v>22920100</v>
      </c>
      <c r="D496">
        <f t="shared" si="14"/>
        <v>1.1187112251050743E-2</v>
      </c>
      <c r="G496" s="17" t="s">
        <v>2997</v>
      </c>
      <c r="H496">
        <v>3349730000</v>
      </c>
      <c r="J496">
        <f t="shared" si="15"/>
        <v>5.2321334355937893E-3</v>
      </c>
      <c r="K496">
        <v>1</v>
      </c>
    </row>
    <row r="497" spans="1:11">
      <c r="A497" s="16">
        <v>42780</v>
      </c>
      <c r="B497" s="17" t="s">
        <v>518</v>
      </c>
      <c r="C497">
        <v>23108400</v>
      </c>
      <c r="D497">
        <f t="shared" si="14"/>
        <v>3.7240262217257607E-3</v>
      </c>
      <c r="G497" s="17" t="s">
        <v>2999</v>
      </c>
      <c r="H497">
        <v>3520910000</v>
      </c>
      <c r="J497">
        <f t="shared" si="15"/>
        <v>3.9993271421984809E-3</v>
      </c>
      <c r="K497">
        <v>1</v>
      </c>
    </row>
    <row r="498" spans="1:11">
      <c r="A498" s="16">
        <v>42781</v>
      </c>
      <c r="B498" s="17" t="s">
        <v>519</v>
      </c>
      <c r="C498">
        <v>17005200</v>
      </c>
      <c r="D498">
        <f t="shared" si="14"/>
        <v>-6.1978754107283639E-4</v>
      </c>
      <c r="G498" s="17" t="s">
        <v>3004</v>
      </c>
      <c r="H498">
        <v>3775590000</v>
      </c>
      <c r="J498">
        <f t="shared" si="15"/>
        <v>4.9798887192087238E-3</v>
      </c>
      <c r="K498">
        <v>1</v>
      </c>
    </row>
    <row r="499" spans="1:11">
      <c r="A499" s="16">
        <v>42782</v>
      </c>
      <c r="B499" s="17" t="s">
        <v>520</v>
      </c>
      <c r="C499">
        <v>20546300</v>
      </c>
      <c r="D499">
        <f t="shared" si="14"/>
        <v>-1.5516588557045483E-4</v>
      </c>
      <c r="G499" s="17" t="s">
        <v>3008</v>
      </c>
      <c r="H499">
        <v>3672370000</v>
      </c>
      <c r="J499">
        <f t="shared" si="15"/>
        <v>-8.6449147507085061E-4</v>
      </c>
      <c r="K499">
        <v>1</v>
      </c>
    </row>
    <row r="500" spans="1:11">
      <c r="A500" s="16">
        <v>42783</v>
      </c>
      <c r="B500" s="17" t="s">
        <v>521</v>
      </c>
      <c r="C500">
        <v>21248800</v>
      </c>
      <c r="D500">
        <f t="shared" si="14"/>
        <v>1.5489160841066958E-3</v>
      </c>
      <c r="G500" s="17" t="s">
        <v>3010</v>
      </c>
      <c r="H500">
        <v>3513060000</v>
      </c>
      <c r="J500">
        <f t="shared" si="15"/>
        <v>1.6771491542383855E-3</v>
      </c>
      <c r="K500">
        <v>1</v>
      </c>
    </row>
    <row r="501" spans="1:11">
      <c r="A501" s="16">
        <v>42787</v>
      </c>
      <c r="B501" s="17" t="s">
        <v>522</v>
      </c>
      <c r="C501">
        <v>20655900</v>
      </c>
      <c r="D501">
        <f t="shared" si="14"/>
        <v>-2.0137916247740749E-3</v>
      </c>
      <c r="G501" s="17" t="s">
        <v>3014</v>
      </c>
      <c r="H501">
        <v>3579780000</v>
      </c>
      <c r="J501">
        <f t="shared" si="15"/>
        <v>6.0298501458571517E-3</v>
      </c>
      <c r="K501">
        <v>1</v>
      </c>
    </row>
    <row r="502" spans="1:11">
      <c r="A502" s="16">
        <v>42788</v>
      </c>
      <c r="B502" s="17" t="s">
        <v>523</v>
      </c>
      <c r="C502">
        <v>19292700</v>
      </c>
      <c r="D502">
        <f t="shared" si="14"/>
        <v>-2.0179041984498907E-3</v>
      </c>
      <c r="G502" s="17" t="s">
        <v>3018</v>
      </c>
      <c r="H502">
        <v>3468670000</v>
      </c>
      <c r="J502">
        <f t="shared" si="15"/>
        <v>-1.0827863781683815E-3</v>
      </c>
      <c r="K502">
        <v>1</v>
      </c>
    </row>
    <row r="503" spans="1:11">
      <c r="A503" s="16">
        <v>42789</v>
      </c>
      <c r="B503" s="17" t="s">
        <v>521</v>
      </c>
      <c r="C503">
        <v>20273100</v>
      </c>
      <c r="D503">
        <f t="shared" si="14"/>
        <v>4.0316958232240801E-3</v>
      </c>
      <c r="G503" s="17" t="s">
        <v>3022</v>
      </c>
      <c r="H503">
        <v>4015260000</v>
      </c>
      <c r="J503">
        <f t="shared" si="15"/>
        <v>4.188992952173622E-4</v>
      </c>
      <c r="K503">
        <v>1</v>
      </c>
    </row>
    <row r="504" spans="1:11">
      <c r="A504" s="16">
        <v>42790</v>
      </c>
      <c r="B504" s="17" t="s">
        <v>521</v>
      </c>
      <c r="C504">
        <v>21796800</v>
      </c>
      <c r="D504">
        <f t="shared" si="14"/>
        <v>0</v>
      </c>
      <c r="G504" s="17" t="s">
        <v>3024</v>
      </c>
      <c r="H504">
        <v>3831570000</v>
      </c>
      <c r="J504">
        <f t="shared" si="15"/>
        <v>1.4922501063708675E-3</v>
      </c>
      <c r="K504">
        <v>1</v>
      </c>
    </row>
    <row r="505" spans="1:11">
      <c r="A505" s="16">
        <v>42793</v>
      </c>
      <c r="B505" s="17" t="s">
        <v>524</v>
      </c>
      <c r="C505">
        <v>15871500</v>
      </c>
      <c r="D505">
        <f t="shared" si="14"/>
        <v>-6.0535655531597241E-3</v>
      </c>
      <c r="G505" s="17" t="s">
        <v>3029</v>
      </c>
      <c r="H505">
        <v>3582610000</v>
      </c>
      <c r="J505">
        <f t="shared" si="15"/>
        <v>1.0174652215321359E-3</v>
      </c>
      <c r="K505">
        <v>1</v>
      </c>
    </row>
    <row r="506" spans="1:11">
      <c r="A506" s="16">
        <v>42794</v>
      </c>
      <c r="B506" s="17" t="s">
        <v>525</v>
      </c>
      <c r="C506">
        <v>23239800</v>
      </c>
      <c r="D506">
        <f t="shared" si="14"/>
        <v>-3.8999231506218835E-3</v>
      </c>
      <c r="G506" s="17" t="s">
        <v>3033</v>
      </c>
      <c r="H506">
        <v>4210140000</v>
      </c>
      <c r="J506">
        <f t="shared" si="15"/>
        <v>-2.581705936709556E-3</v>
      </c>
      <c r="K506">
        <v>1</v>
      </c>
    </row>
    <row r="507" spans="1:11">
      <c r="A507" s="16">
        <v>42795</v>
      </c>
      <c r="B507" s="17" t="s">
        <v>526</v>
      </c>
      <c r="C507">
        <v>26937500</v>
      </c>
      <c r="D507">
        <f t="shared" si="14"/>
        <v>1.4893447418472367E-2</v>
      </c>
      <c r="G507" s="17" t="s">
        <v>3036</v>
      </c>
      <c r="H507">
        <v>4345180000</v>
      </c>
      <c r="J507">
        <f t="shared" si="15"/>
        <v>1.3581210931325458E-2</v>
      </c>
      <c r="K507">
        <v>1</v>
      </c>
    </row>
    <row r="508" spans="1:11">
      <c r="A508" s="16">
        <v>42796</v>
      </c>
      <c r="B508" s="17" t="s">
        <v>527</v>
      </c>
      <c r="C508">
        <v>24539600</v>
      </c>
      <c r="D508">
        <f t="shared" si="14"/>
        <v>-1.4424620580563974E-2</v>
      </c>
      <c r="G508" s="17" t="s">
        <v>3039</v>
      </c>
      <c r="H508">
        <v>3821320000</v>
      </c>
      <c r="J508">
        <f t="shared" si="15"/>
        <v>-5.8771169457121526E-3</v>
      </c>
      <c r="K508">
        <v>1</v>
      </c>
    </row>
    <row r="509" spans="1:11">
      <c r="A509" s="16">
        <v>42797</v>
      </c>
      <c r="B509" s="17" t="s">
        <v>528</v>
      </c>
      <c r="C509">
        <v>18135900</v>
      </c>
      <c r="D509">
        <f t="shared" si="14"/>
        <v>3.742280864986975E-3</v>
      </c>
      <c r="G509" s="17" t="s">
        <v>3043</v>
      </c>
      <c r="H509">
        <v>3555260000</v>
      </c>
      <c r="J509">
        <f t="shared" si="15"/>
        <v>5.0375023737784424E-4</v>
      </c>
      <c r="K509">
        <v>1</v>
      </c>
    </row>
    <row r="510" spans="1:11">
      <c r="A510" s="16">
        <v>42800</v>
      </c>
      <c r="B510" s="17" t="s">
        <v>529</v>
      </c>
      <c r="C510">
        <v>18750300</v>
      </c>
      <c r="D510">
        <f t="shared" si="14"/>
        <v>3.1130051816180966E-4</v>
      </c>
      <c r="G510" s="17" t="s">
        <v>3047</v>
      </c>
      <c r="H510">
        <v>3232700000</v>
      </c>
      <c r="J510">
        <f t="shared" si="15"/>
        <v>-3.2826225138571038E-3</v>
      </c>
      <c r="K510">
        <v>1</v>
      </c>
    </row>
    <row r="511" spans="1:11">
      <c r="A511" s="16">
        <v>42801</v>
      </c>
      <c r="B511" s="17" t="s">
        <v>530</v>
      </c>
      <c r="C511">
        <v>18521000</v>
      </c>
      <c r="D511">
        <f t="shared" si="14"/>
        <v>2.020792482206804E-3</v>
      </c>
      <c r="G511" s="17" t="s">
        <v>3051</v>
      </c>
      <c r="H511">
        <v>3518390000</v>
      </c>
      <c r="J511">
        <f t="shared" si="15"/>
        <v>-2.9176258949927506E-3</v>
      </c>
      <c r="K511">
        <v>1</v>
      </c>
    </row>
    <row r="512" spans="1:11">
      <c r="A512" s="16">
        <v>42802</v>
      </c>
      <c r="B512" s="17" t="s">
        <v>531</v>
      </c>
      <c r="C512">
        <v>21510900</v>
      </c>
      <c r="D512">
        <f t="shared" si="14"/>
        <v>9.1196232748189422E-3</v>
      </c>
      <c r="G512" s="17" t="s">
        <v>3055</v>
      </c>
      <c r="H512">
        <v>3812100000</v>
      </c>
      <c r="J512">
        <f t="shared" si="15"/>
        <v>-2.2868283405635356E-3</v>
      </c>
      <c r="K512">
        <v>1</v>
      </c>
    </row>
    <row r="513" spans="1:11">
      <c r="A513" s="16">
        <v>42803</v>
      </c>
      <c r="B513" s="17" t="s">
        <v>532</v>
      </c>
      <c r="C513">
        <v>19846800</v>
      </c>
      <c r="D513">
        <f t="shared" si="14"/>
        <v>-4.0085182797614327E-3</v>
      </c>
      <c r="G513" s="17" t="s">
        <v>3059</v>
      </c>
      <c r="H513">
        <v>3716340000</v>
      </c>
      <c r="J513">
        <f t="shared" si="15"/>
        <v>7.9957573185312732E-4</v>
      </c>
      <c r="K513">
        <v>1</v>
      </c>
    </row>
    <row r="514" spans="1:11">
      <c r="A514" s="16">
        <v>42804</v>
      </c>
      <c r="B514" s="17" t="s">
        <v>533</v>
      </c>
      <c r="C514">
        <v>19538200</v>
      </c>
      <c r="D514">
        <f t="shared" si="14"/>
        <v>3.0847773724717903E-3</v>
      </c>
      <c r="G514" s="17" t="s">
        <v>3063</v>
      </c>
      <c r="H514">
        <v>3432950000</v>
      </c>
      <c r="J514">
        <f t="shared" si="15"/>
        <v>3.2633399300272393E-3</v>
      </c>
      <c r="K514">
        <v>1</v>
      </c>
    </row>
    <row r="515" spans="1:11">
      <c r="A515" s="16">
        <v>42807</v>
      </c>
      <c r="B515" s="17" t="s">
        <v>534</v>
      </c>
      <c r="C515">
        <v>20100000</v>
      </c>
      <c r="D515">
        <f t="shared" si="14"/>
        <v>-3.3938490277727203E-3</v>
      </c>
      <c r="G515" s="17" t="s">
        <v>3067</v>
      </c>
      <c r="H515">
        <v>3133900000</v>
      </c>
      <c r="J515">
        <f t="shared" si="15"/>
        <v>3.6656559936696162E-4</v>
      </c>
      <c r="K515">
        <v>1</v>
      </c>
    </row>
    <row r="516" spans="1:11">
      <c r="A516" s="16">
        <v>42808</v>
      </c>
      <c r="B516" s="17" t="s">
        <v>535</v>
      </c>
      <c r="C516">
        <v>14280200</v>
      </c>
      <c r="D516">
        <f t="shared" si="14"/>
        <v>-4.6468886841219432E-3</v>
      </c>
      <c r="G516" s="17" t="s">
        <v>3070</v>
      </c>
      <c r="H516">
        <v>3172630000</v>
      </c>
      <c r="J516">
        <f t="shared" si="15"/>
        <v>-3.3847491786320912E-3</v>
      </c>
      <c r="K516">
        <v>1</v>
      </c>
    </row>
    <row r="517" spans="1:11">
      <c r="A517" s="16">
        <v>42809</v>
      </c>
      <c r="B517" s="17" t="s">
        <v>536</v>
      </c>
      <c r="C517">
        <v>24833800</v>
      </c>
      <c r="D517">
        <f t="shared" ref="D517:D580" si="16">LN(B517/B516)</f>
        <v>5.2648877618172978E-3</v>
      </c>
      <c r="G517" s="17" t="s">
        <v>3074</v>
      </c>
      <c r="H517">
        <v>3906840000</v>
      </c>
      <c r="J517">
        <f t="shared" ref="J517:J580" si="17">LN(G517/G516)</f>
        <v>8.3398792956066378E-3</v>
      </c>
      <c r="K517">
        <v>1</v>
      </c>
    </row>
    <row r="518" spans="1:11">
      <c r="A518" s="16">
        <v>42810</v>
      </c>
      <c r="B518" s="17" t="s">
        <v>537</v>
      </c>
      <c r="C518">
        <v>20674300</v>
      </c>
      <c r="D518">
        <f t="shared" si="16"/>
        <v>-1.7003725665953814E-3</v>
      </c>
      <c r="G518" s="17" t="s">
        <v>3078</v>
      </c>
      <c r="H518">
        <v>3365660000</v>
      </c>
      <c r="J518">
        <f t="shared" si="17"/>
        <v>-1.6280348187074486E-3</v>
      </c>
      <c r="K518">
        <v>1</v>
      </c>
    </row>
    <row r="519" spans="1:11">
      <c r="A519" s="16">
        <v>42811</v>
      </c>
      <c r="B519" s="17" t="s">
        <v>538</v>
      </c>
      <c r="C519">
        <v>49219700</v>
      </c>
      <c r="D519">
        <f t="shared" si="16"/>
        <v>3.551870758037071E-3</v>
      </c>
      <c r="G519" s="17" t="s">
        <v>3082</v>
      </c>
      <c r="H519">
        <v>5178040000</v>
      </c>
      <c r="J519">
        <f t="shared" si="17"/>
        <v>-1.3151793429673527E-3</v>
      </c>
      <c r="K519">
        <v>1</v>
      </c>
    </row>
    <row r="520" spans="1:11">
      <c r="A520" s="16">
        <v>42814</v>
      </c>
      <c r="B520" s="17" t="s">
        <v>533</v>
      </c>
      <c r="C520">
        <v>14598100</v>
      </c>
      <c r="D520">
        <f t="shared" si="16"/>
        <v>9.2435175863562764E-4</v>
      </c>
      <c r="G520" s="17" t="s">
        <v>3067</v>
      </c>
      <c r="H520">
        <v>3054930000</v>
      </c>
      <c r="J520">
        <f t="shared" si="17"/>
        <v>-2.0119159552997494E-3</v>
      </c>
      <c r="K520">
        <v>1</v>
      </c>
    </row>
    <row r="521" spans="1:11">
      <c r="A521" s="16">
        <v>42815</v>
      </c>
      <c r="B521" s="17" t="s">
        <v>539</v>
      </c>
      <c r="C521">
        <v>26640500</v>
      </c>
      <c r="D521">
        <f t="shared" si="16"/>
        <v>-1.115065430877646E-2</v>
      </c>
      <c r="G521" s="17" t="s">
        <v>3089</v>
      </c>
      <c r="H521">
        <v>4265590000</v>
      </c>
      <c r="J521">
        <f t="shared" si="17"/>
        <v>-1.2485594515205749E-2</v>
      </c>
      <c r="K521">
        <v>1</v>
      </c>
    </row>
    <row r="522" spans="1:11">
      <c r="A522" s="16">
        <v>42816</v>
      </c>
      <c r="B522" s="17" t="s">
        <v>540</v>
      </c>
      <c r="C522">
        <v>20680000</v>
      </c>
      <c r="D522">
        <f t="shared" si="16"/>
        <v>1.2689667895071904E-2</v>
      </c>
      <c r="G522" s="17" t="s">
        <v>3093</v>
      </c>
      <c r="H522">
        <v>3572730000</v>
      </c>
      <c r="J522">
        <f t="shared" si="17"/>
        <v>1.8881025742991701E-3</v>
      </c>
      <c r="K522">
        <v>1</v>
      </c>
    </row>
    <row r="523" spans="1:11">
      <c r="A523" s="16">
        <v>42817</v>
      </c>
      <c r="B523" s="17" t="s">
        <v>538</v>
      </c>
      <c r="C523">
        <v>19269200</v>
      </c>
      <c r="D523">
        <f t="shared" si="16"/>
        <v>-2.4633653449310784E-3</v>
      </c>
      <c r="G523" s="17" t="s">
        <v>3097</v>
      </c>
      <c r="H523">
        <v>3260600000</v>
      </c>
      <c r="J523">
        <f t="shared" si="17"/>
        <v>-1.0608320450020078E-3</v>
      </c>
      <c r="K523">
        <v>1</v>
      </c>
    </row>
    <row r="524" spans="1:11">
      <c r="A524" s="16">
        <v>42818</v>
      </c>
      <c r="B524" s="17" t="s">
        <v>541</v>
      </c>
      <c r="C524">
        <v>22617100</v>
      </c>
      <c r="D524">
        <f t="shared" si="16"/>
        <v>1.6944621980806904E-3</v>
      </c>
      <c r="G524" s="17" t="s">
        <v>3101</v>
      </c>
      <c r="H524">
        <v>2975130000</v>
      </c>
      <c r="J524">
        <f t="shared" si="17"/>
        <v>-8.4435244056040287E-4</v>
      </c>
      <c r="K524">
        <v>1</v>
      </c>
    </row>
    <row r="525" spans="1:11">
      <c r="A525" s="16">
        <v>42821</v>
      </c>
      <c r="B525" s="17" t="s">
        <v>542</v>
      </c>
      <c r="C525">
        <v>18614700</v>
      </c>
      <c r="D525">
        <f t="shared" si="16"/>
        <v>1.8448374119978503E-3</v>
      </c>
      <c r="G525" s="17" t="s">
        <v>3105</v>
      </c>
      <c r="H525">
        <v>3240230000</v>
      </c>
      <c r="J525">
        <f t="shared" si="17"/>
        <v>-1.0201073391556828E-3</v>
      </c>
      <c r="K525">
        <v>1</v>
      </c>
    </row>
    <row r="526" spans="1:11">
      <c r="A526" s="16">
        <v>42822</v>
      </c>
      <c r="B526" s="17" t="s">
        <v>543</v>
      </c>
      <c r="C526">
        <v>20080400</v>
      </c>
      <c r="D526">
        <f t="shared" si="16"/>
        <v>2.9143707607694374E-3</v>
      </c>
      <c r="G526" s="17" t="s">
        <v>3109</v>
      </c>
      <c r="H526">
        <v>3367780000</v>
      </c>
      <c r="J526">
        <f t="shared" si="17"/>
        <v>7.2253086305444176E-3</v>
      </c>
      <c r="K526">
        <v>1</v>
      </c>
    </row>
    <row r="527" spans="1:11">
      <c r="A527" s="16">
        <v>42823</v>
      </c>
      <c r="B527" s="17" t="s">
        <v>544</v>
      </c>
      <c r="C527">
        <v>13618400</v>
      </c>
      <c r="D527">
        <f t="shared" si="16"/>
        <v>2.7531158940651006E-3</v>
      </c>
      <c r="G527" s="17" t="s">
        <v>3113</v>
      </c>
      <c r="H527">
        <v>3106940000</v>
      </c>
      <c r="J527">
        <f t="shared" si="17"/>
        <v>1.0847364356112272E-3</v>
      </c>
      <c r="K527">
        <v>1</v>
      </c>
    </row>
    <row r="528" spans="1:11">
      <c r="A528" s="16">
        <v>42824</v>
      </c>
      <c r="B528" s="17" t="s">
        <v>545</v>
      </c>
      <c r="C528">
        <v>15122800</v>
      </c>
      <c r="D528">
        <f t="shared" si="16"/>
        <v>3.6590434776777115E-3</v>
      </c>
      <c r="G528" s="17" t="s">
        <v>3117</v>
      </c>
      <c r="H528">
        <v>3158420000</v>
      </c>
      <c r="J528">
        <f t="shared" si="17"/>
        <v>2.9308110038477526E-3</v>
      </c>
      <c r="K528">
        <v>1</v>
      </c>
    </row>
    <row r="529" spans="1:11">
      <c r="A529" s="16">
        <v>42825</v>
      </c>
      <c r="B529" s="17" t="s">
        <v>546</v>
      </c>
      <c r="C529">
        <v>21040300</v>
      </c>
      <c r="D529">
        <f t="shared" si="16"/>
        <v>2.2802077289912769E-3</v>
      </c>
      <c r="G529" s="17" t="s">
        <v>3121</v>
      </c>
      <c r="H529">
        <v>3354110000</v>
      </c>
      <c r="J529">
        <f t="shared" si="17"/>
        <v>-2.2575939841710303E-3</v>
      </c>
      <c r="K529">
        <v>1</v>
      </c>
    </row>
    <row r="530" spans="1:11">
      <c r="A530" s="16">
        <v>42828</v>
      </c>
      <c r="B530" s="17" t="s">
        <v>547</v>
      </c>
      <c r="C530">
        <v>20400900</v>
      </c>
      <c r="D530">
        <f t="shared" si="16"/>
        <v>-4.7180336787318181E-3</v>
      </c>
      <c r="G530" s="17" t="s">
        <v>3125</v>
      </c>
      <c r="H530">
        <v>3416400000</v>
      </c>
      <c r="J530">
        <f t="shared" si="17"/>
        <v>-1.6434753872949851E-3</v>
      </c>
      <c r="K530">
        <v>1</v>
      </c>
    </row>
    <row r="531" spans="1:11">
      <c r="A531" s="16">
        <v>42829</v>
      </c>
      <c r="B531" s="17" t="s">
        <v>548</v>
      </c>
      <c r="C531">
        <v>12997400</v>
      </c>
      <c r="D531">
        <f t="shared" si="16"/>
        <v>2.7422587773322446E-3</v>
      </c>
      <c r="G531" s="17" t="s">
        <v>3129</v>
      </c>
      <c r="H531">
        <v>3206240000</v>
      </c>
      <c r="J531">
        <f t="shared" si="17"/>
        <v>5.5936598195100253E-4</v>
      </c>
      <c r="K531">
        <v>1</v>
      </c>
    </row>
    <row r="532" spans="1:11">
      <c r="A532" s="16">
        <v>42830</v>
      </c>
      <c r="B532" s="17" t="s">
        <v>549</v>
      </c>
      <c r="C532">
        <v>21448600</v>
      </c>
      <c r="D532">
        <f t="shared" si="16"/>
        <v>-2.5897234288631086E-3</v>
      </c>
      <c r="G532" s="17" t="s">
        <v>3133</v>
      </c>
      <c r="H532">
        <v>3770520000</v>
      </c>
      <c r="J532">
        <f t="shared" si="17"/>
        <v>-3.0595368382266273E-3</v>
      </c>
      <c r="K532">
        <v>1</v>
      </c>
    </row>
    <row r="533" spans="1:11">
      <c r="A533" s="16">
        <v>42831</v>
      </c>
      <c r="B533" s="17" t="s">
        <v>548</v>
      </c>
      <c r="C533">
        <v>18103500</v>
      </c>
      <c r="D533">
        <f t="shared" si="16"/>
        <v>2.5897234288631194E-3</v>
      </c>
      <c r="G533" s="17" t="s">
        <v>3137</v>
      </c>
      <c r="H533">
        <v>3201920000</v>
      </c>
      <c r="J533">
        <f t="shared" si="17"/>
        <v>1.9276502673643437E-3</v>
      </c>
      <c r="K533">
        <v>1</v>
      </c>
    </row>
    <row r="534" spans="1:11">
      <c r="A534" s="16">
        <v>42832</v>
      </c>
      <c r="B534" s="17" t="s">
        <v>550</v>
      </c>
      <c r="C534">
        <v>14108500</v>
      </c>
      <c r="D534">
        <f t="shared" si="16"/>
        <v>-7.6107974082114446E-4</v>
      </c>
      <c r="G534" s="17" t="s">
        <v>3141</v>
      </c>
      <c r="H534">
        <v>3053150000</v>
      </c>
      <c r="J534">
        <f t="shared" si="17"/>
        <v>-8.2747239006095098E-4</v>
      </c>
      <c r="K534">
        <v>1</v>
      </c>
    </row>
    <row r="535" spans="1:11">
      <c r="A535" s="16">
        <v>42835</v>
      </c>
      <c r="B535" s="17" t="s">
        <v>551</v>
      </c>
      <c r="C535">
        <v>17952700</v>
      </c>
      <c r="D535">
        <f t="shared" si="16"/>
        <v>-2.2867048085163585E-3</v>
      </c>
      <c r="G535" s="17" t="s">
        <v>3142</v>
      </c>
      <c r="H535">
        <v>2785410000</v>
      </c>
      <c r="J535">
        <f t="shared" si="17"/>
        <v>6.8745011591528707E-4</v>
      </c>
      <c r="K535">
        <v>1</v>
      </c>
    </row>
    <row r="536" spans="1:11">
      <c r="A536" s="16">
        <v>42836</v>
      </c>
      <c r="B536" s="17" t="s">
        <v>552</v>
      </c>
      <c r="C536">
        <v>18791500</v>
      </c>
      <c r="D536">
        <f t="shared" si="16"/>
        <v>-7.6303428745693965E-4</v>
      </c>
      <c r="G536" s="17" t="s">
        <v>3148</v>
      </c>
      <c r="H536">
        <v>3117420000</v>
      </c>
      <c r="J536">
        <f t="shared" si="17"/>
        <v>-1.4349083716841415E-3</v>
      </c>
      <c r="K536">
        <v>1</v>
      </c>
    </row>
    <row r="537" spans="1:11">
      <c r="A537" s="16">
        <v>42837</v>
      </c>
      <c r="B537" s="17" t="s">
        <v>553</v>
      </c>
      <c r="C537">
        <v>17108500</v>
      </c>
      <c r="D537">
        <f t="shared" si="16"/>
        <v>-3.8252677391408746E-3</v>
      </c>
      <c r="G537" s="17" t="s">
        <v>3152</v>
      </c>
      <c r="H537">
        <v>3196950000</v>
      </c>
      <c r="J537">
        <f t="shared" si="17"/>
        <v>-3.7670371396038606E-3</v>
      </c>
      <c r="K537">
        <v>1</v>
      </c>
    </row>
    <row r="538" spans="1:11">
      <c r="A538" s="16">
        <v>42838</v>
      </c>
      <c r="B538" s="17" t="s">
        <v>554</v>
      </c>
      <c r="C538">
        <v>17896500</v>
      </c>
      <c r="D538">
        <f t="shared" si="16"/>
        <v>-4.3017995836237798E-3</v>
      </c>
      <c r="G538" s="17" t="s">
        <v>3155</v>
      </c>
      <c r="H538">
        <v>3143890000</v>
      </c>
      <c r="J538">
        <f t="shared" si="17"/>
        <v>-6.8380205168596985E-3</v>
      </c>
      <c r="K538">
        <v>1</v>
      </c>
    </row>
    <row r="539" spans="1:11">
      <c r="A539" s="16">
        <v>42842</v>
      </c>
      <c r="B539" s="17" t="s">
        <v>552</v>
      </c>
      <c r="C539">
        <v>16689300</v>
      </c>
      <c r="D539">
        <f t="shared" si="16"/>
        <v>8.1270673227645338E-3</v>
      </c>
      <c r="G539" s="17" t="s">
        <v>3159</v>
      </c>
      <c r="H539">
        <v>2824710000</v>
      </c>
      <c r="J539">
        <f t="shared" si="17"/>
        <v>8.5764658646826294E-3</v>
      </c>
      <c r="K539">
        <v>1</v>
      </c>
    </row>
    <row r="540" spans="1:11">
      <c r="A540" s="16">
        <v>42843</v>
      </c>
      <c r="B540" s="17" t="s">
        <v>555</v>
      </c>
      <c r="C540">
        <v>15155600</v>
      </c>
      <c r="D540">
        <f t="shared" si="16"/>
        <v>-1.3753038455331771E-3</v>
      </c>
      <c r="G540" s="17" t="s">
        <v>3163</v>
      </c>
      <c r="H540">
        <v>3269840000</v>
      </c>
      <c r="J540">
        <f t="shared" si="17"/>
        <v>-2.907603119058052E-3</v>
      </c>
      <c r="K540">
        <v>1</v>
      </c>
    </row>
    <row r="541" spans="1:11">
      <c r="A541" s="16">
        <v>42844</v>
      </c>
      <c r="B541" s="17" t="s">
        <v>556</v>
      </c>
      <c r="C541">
        <v>26992800</v>
      </c>
      <c r="D541">
        <f t="shared" si="16"/>
        <v>-5.3670195483738851E-3</v>
      </c>
      <c r="G541" s="17" t="s">
        <v>3167</v>
      </c>
      <c r="H541">
        <v>3519900000</v>
      </c>
      <c r="J541">
        <f t="shared" si="17"/>
        <v>-1.7178251699592046E-3</v>
      </c>
      <c r="K541">
        <v>1</v>
      </c>
    </row>
    <row r="542" spans="1:11">
      <c r="A542" s="16">
        <v>42845</v>
      </c>
      <c r="B542" s="17" t="s">
        <v>557</v>
      </c>
      <c r="C542">
        <v>22299500</v>
      </c>
      <c r="D542">
        <f t="shared" si="16"/>
        <v>7.0478253908320557E-3</v>
      </c>
      <c r="G542" s="17" t="s">
        <v>3171</v>
      </c>
      <c r="H542">
        <v>3647420000</v>
      </c>
      <c r="J542">
        <f t="shared" si="17"/>
        <v>7.5288503559402323E-3</v>
      </c>
      <c r="K542">
        <v>1</v>
      </c>
    </row>
    <row r="543" spans="1:11">
      <c r="A543" s="16">
        <v>42846</v>
      </c>
      <c r="B543" s="17" t="s">
        <v>558</v>
      </c>
      <c r="C543">
        <v>32522600</v>
      </c>
      <c r="D543">
        <f t="shared" si="16"/>
        <v>1.364691918635037E-2</v>
      </c>
      <c r="G543" s="17" t="s">
        <v>3175</v>
      </c>
      <c r="H543">
        <v>3503360000</v>
      </c>
      <c r="J543">
        <f t="shared" si="17"/>
        <v>-3.039688326511295E-3</v>
      </c>
      <c r="K543">
        <v>1</v>
      </c>
    </row>
    <row r="544" spans="1:11">
      <c r="A544" s="16">
        <v>42849</v>
      </c>
      <c r="B544" s="17" t="s">
        <v>559</v>
      </c>
      <c r="C544">
        <v>29770000</v>
      </c>
      <c r="D544">
        <f t="shared" si="16"/>
        <v>1.6874737671429926E-2</v>
      </c>
      <c r="G544" s="17" t="s">
        <v>3179</v>
      </c>
      <c r="H544">
        <v>3690650000</v>
      </c>
      <c r="J544">
        <f t="shared" si="17"/>
        <v>1.0781736616292011E-2</v>
      </c>
      <c r="K544">
        <v>1</v>
      </c>
    </row>
    <row r="545" spans="1:11">
      <c r="A545" s="16">
        <v>42850</v>
      </c>
      <c r="B545" s="17" t="s">
        <v>560</v>
      </c>
      <c r="C545">
        <v>30242700</v>
      </c>
      <c r="D545">
        <f t="shared" si="16"/>
        <v>5.7588900915260411E-3</v>
      </c>
      <c r="G545" s="17" t="s">
        <v>3183</v>
      </c>
      <c r="H545">
        <v>3995240000</v>
      </c>
      <c r="J545">
        <f t="shared" si="17"/>
        <v>6.0722141799202222E-3</v>
      </c>
      <c r="K545">
        <v>1</v>
      </c>
    </row>
    <row r="546" spans="1:11">
      <c r="A546" s="16">
        <v>42851</v>
      </c>
      <c r="B546" s="17" t="s">
        <v>561</v>
      </c>
      <c r="C546">
        <v>26190800</v>
      </c>
      <c r="D546">
        <f t="shared" si="16"/>
        <v>-1.3261581213085385E-3</v>
      </c>
      <c r="G546" s="17" t="s">
        <v>3187</v>
      </c>
      <c r="H546">
        <v>4105920000</v>
      </c>
      <c r="J546">
        <f t="shared" si="17"/>
        <v>-4.8582137105885161E-4</v>
      </c>
      <c r="K546">
        <v>1</v>
      </c>
    </row>
    <row r="547" spans="1:11">
      <c r="A547" s="16">
        <v>42852</v>
      </c>
      <c r="B547" s="17" t="s">
        <v>562</v>
      </c>
      <c r="C547">
        <v>34971000</v>
      </c>
      <c r="D547">
        <f t="shared" si="16"/>
        <v>6.4657671879984691E-3</v>
      </c>
      <c r="G547" s="17" t="s">
        <v>3191</v>
      </c>
      <c r="H547">
        <v>4098460000</v>
      </c>
      <c r="J547">
        <f t="shared" si="17"/>
        <v>5.5276726852089401E-4</v>
      </c>
      <c r="K547">
        <v>1</v>
      </c>
    </row>
    <row r="548" spans="1:11">
      <c r="A548" s="16">
        <v>42853</v>
      </c>
      <c r="B548" s="17" t="s">
        <v>563</v>
      </c>
      <c r="C548">
        <v>39548800</v>
      </c>
      <c r="D548">
        <f t="shared" si="16"/>
        <v>2.7793579830991707E-3</v>
      </c>
      <c r="G548" s="17" t="s">
        <v>3194</v>
      </c>
      <c r="H548">
        <v>3718270000</v>
      </c>
      <c r="J548">
        <f t="shared" si="17"/>
        <v>-1.9149797398098202E-3</v>
      </c>
      <c r="K548">
        <v>1</v>
      </c>
    </row>
    <row r="549" spans="1:11">
      <c r="A549" s="16">
        <v>42856</v>
      </c>
      <c r="B549" s="17" t="s">
        <v>564</v>
      </c>
      <c r="C549">
        <v>31954400</v>
      </c>
      <c r="D549">
        <f t="shared" si="16"/>
        <v>1.378123628824697E-2</v>
      </c>
      <c r="G549" s="17" t="s">
        <v>3198</v>
      </c>
      <c r="H549">
        <v>3199240000</v>
      </c>
      <c r="J549">
        <f t="shared" si="17"/>
        <v>1.7307918466451173E-3</v>
      </c>
      <c r="K549">
        <v>1</v>
      </c>
    </row>
    <row r="550" spans="1:11">
      <c r="A550" s="16">
        <v>42857</v>
      </c>
      <c r="B550" s="17" t="s">
        <v>565</v>
      </c>
      <c r="C550">
        <v>23906100</v>
      </c>
      <c r="D550">
        <f t="shared" si="16"/>
        <v>-1.5861084665518377E-3</v>
      </c>
      <c r="G550" s="17" t="s">
        <v>3202</v>
      </c>
      <c r="H550">
        <v>3813680000</v>
      </c>
      <c r="J550">
        <f t="shared" si="17"/>
        <v>1.1883436904249129E-3</v>
      </c>
      <c r="K550">
        <v>1</v>
      </c>
    </row>
    <row r="551" spans="1:11">
      <c r="A551" s="16">
        <v>42858</v>
      </c>
      <c r="B551" s="17" t="s">
        <v>566</v>
      </c>
      <c r="C551">
        <v>28928000</v>
      </c>
      <c r="D551">
        <f t="shared" si="16"/>
        <v>-3.1794339326517689E-3</v>
      </c>
      <c r="G551" s="17" t="s">
        <v>3206</v>
      </c>
      <c r="H551">
        <v>3893990000</v>
      </c>
      <c r="J551">
        <f t="shared" si="17"/>
        <v>-1.2721693695897679E-3</v>
      </c>
      <c r="K551">
        <v>1</v>
      </c>
    </row>
    <row r="552" spans="1:11">
      <c r="A552" s="16">
        <v>42859</v>
      </c>
      <c r="B552" s="17" t="s">
        <v>567</v>
      </c>
      <c r="C552">
        <v>21749400</v>
      </c>
      <c r="D552">
        <f t="shared" si="16"/>
        <v>-3.9165213059795421E-3</v>
      </c>
      <c r="G552" s="17" t="s">
        <v>3210</v>
      </c>
      <c r="H552">
        <v>4362540000</v>
      </c>
      <c r="J552">
        <f t="shared" si="17"/>
        <v>5.8193340552533356E-4</v>
      </c>
      <c r="K552">
        <v>1</v>
      </c>
    </row>
    <row r="553" spans="1:11">
      <c r="A553" s="16">
        <v>42860</v>
      </c>
      <c r="B553" s="17" t="s">
        <v>568</v>
      </c>
      <c r="C553">
        <v>19128800</v>
      </c>
      <c r="D553">
        <f t="shared" si="16"/>
        <v>2.7576835201142728E-3</v>
      </c>
      <c r="G553" s="17" t="s">
        <v>3212</v>
      </c>
      <c r="H553">
        <v>3540140000</v>
      </c>
      <c r="J553">
        <f t="shared" si="17"/>
        <v>4.0803591852600924E-3</v>
      </c>
      <c r="K553">
        <v>1</v>
      </c>
    </row>
    <row r="554" spans="1:11">
      <c r="A554" s="16">
        <v>42863</v>
      </c>
      <c r="B554" s="17" t="s">
        <v>569</v>
      </c>
      <c r="C554">
        <v>18566100</v>
      </c>
      <c r="D554">
        <f t="shared" si="16"/>
        <v>-8.7026223536195736E-4</v>
      </c>
      <c r="G554" s="17" t="s">
        <v>3217</v>
      </c>
      <c r="H554">
        <v>3429440000</v>
      </c>
      <c r="J554">
        <f t="shared" si="17"/>
        <v>3.744537610262704E-5</v>
      </c>
      <c r="K554">
        <v>1</v>
      </c>
    </row>
    <row r="555" spans="1:11">
      <c r="A555" s="16">
        <v>42864</v>
      </c>
      <c r="B555" s="17" t="s">
        <v>570</v>
      </c>
      <c r="C555">
        <v>22858400</v>
      </c>
      <c r="D555">
        <f t="shared" si="16"/>
        <v>1.4499099363549479E-3</v>
      </c>
      <c r="G555" s="17" t="s">
        <v>3221</v>
      </c>
      <c r="H555">
        <v>3653590000</v>
      </c>
      <c r="J555">
        <f t="shared" si="17"/>
        <v>-1.0257745827880963E-3</v>
      </c>
      <c r="K555">
        <v>1</v>
      </c>
    </row>
    <row r="556" spans="1:11">
      <c r="A556" s="16">
        <v>42865</v>
      </c>
      <c r="B556" s="17" t="s">
        <v>571</v>
      </c>
      <c r="C556">
        <v>17977800</v>
      </c>
      <c r="D556">
        <f t="shared" si="16"/>
        <v>3.903027315391187E-3</v>
      </c>
      <c r="G556" s="17" t="s">
        <v>3225</v>
      </c>
      <c r="H556">
        <v>3643530000</v>
      </c>
      <c r="J556">
        <f t="shared" si="17"/>
        <v>1.1299627434363934E-3</v>
      </c>
      <c r="K556">
        <v>1</v>
      </c>
    </row>
    <row r="557" spans="1:11">
      <c r="A557" s="16">
        <v>42866</v>
      </c>
      <c r="B557" s="17" t="s">
        <v>563</v>
      </c>
      <c r="C557">
        <v>28789400</v>
      </c>
      <c r="D557">
        <f t="shared" si="16"/>
        <v>-1.2339531119562427E-2</v>
      </c>
      <c r="G557" s="17" t="s">
        <v>3229</v>
      </c>
      <c r="H557">
        <v>3727420000</v>
      </c>
      <c r="J557">
        <f t="shared" si="17"/>
        <v>-2.1651516219075512E-3</v>
      </c>
      <c r="K557">
        <v>1</v>
      </c>
    </row>
    <row r="558" spans="1:11">
      <c r="A558" s="16">
        <v>42867</v>
      </c>
      <c r="B558" s="17" t="s">
        <v>572</v>
      </c>
      <c r="C558">
        <v>18714100</v>
      </c>
      <c r="D558">
        <f t="shared" si="16"/>
        <v>-1.1692158233145044E-3</v>
      </c>
      <c r="G558" s="17" t="s">
        <v>3231</v>
      </c>
      <c r="H558">
        <v>3305630000</v>
      </c>
      <c r="J558">
        <f t="shared" si="17"/>
        <v>-1.4795353149046619E-3</v>
      </c>
      <c r="K558">
        <v>1</v>
      </c>
    </row>
    <row r="559" spans="1:11">
      <c r="A559" s="16">
        <v>42870</v>
      </c>
      <c r="B559" s="17" t="s">
        <v>573</v>
      </c>
      <c r="C559">
        <v>31530300</v>
      </c>
      <c r="D559">
        <f t="shared" si="16"/>
        <v>7.3091623394578025E-4</v>
      </c>
      <c r="G559" s="17" t="s">
        <v>3235</v>
      </c>
      <c r="H559">
        <v>3473600000</v>
      </c>
      <c r="J559">
        <f t="shared" si="17"/>
        <v>4.7651422971946031E-3</v>
      </c>
      <c r="K559">
        <v>1</v>
      </c>
    </row>
    <row r="560" spans="1:11">
      <c r="A560" s="16">
        <v>42871</v>
      </c>
      <c r="B560" s="17" t="s">
        <v>574</v>
      </c>
      <c r="C560">
        <v>34956000</v>
      </c>
      <c r="D560">
        <f t="shared" si="16"/>
        <v>1.9935207611500846E-2</v>
      </c>
      <c r="G560" s="17" t="s">
        <v>3239</v>
      </c>
      <c r="H560">
        <v>3420790000</v>
      </c>
      <c r="J560">
        <f t="shared" si="17"/>
        <v>-6.871328353222825E-4</v>
      </c>
      <c r="K560">
        <v>1</v>
      </c>
    </row>
    <row r="561" spans="1:11">
      <c r="A561" s="16">
        <v>42872</v>
      </c>
      <c r="B561" s="17" t="s">
        <v>575</v>
      </c>
      <c r="C561">
        <v>30548800</v>
      </c>
      <c r="D561">
        <f t="shared" si="16"/>
        <v>-2.8199817794360427E-2</v>
      </c>
      <c r="G561" s="17" t="s">
        <v>3243</v>
      </c>
      <c r="H561">
        <v>4163000000</v>
      </c>
      <c r="J561">
        <f t="shared" si="17"/>
        <v>-1.8345468349136904E-2</v>
      </c>
      <c r="K561">
        <v>1</v>
      </c>
    </row>
    <row r="562" spans="1:11">
      <c r="A562" s="16">
        <v>42873</v>
      </c>
      <c r="B562" s="17" t="s">
        <v>576</v>
      </c>
      <c r="C562">
        <v>25201300</v>
      </c>
      <c r="D562">
        <f t="shared" si="16"/>
        <v>3.4026033717746511E-3</v>
      </c>
      <c r="G562" s="17" t="s">
        <v>3246</v>
      </c>
      <c r="H562">
        <v>4319420000</v>
      </c>
      <c r="J562">
        <f t="shared" si="17"/>
        <v>3.6800388786592721E-3</v>
      </c>
      <c r="K562">
        <v>1</v>
      </c>
    </row>
    <row r="563" spans="1:11">
      <c r="A563" s="16">
        <v>42874</v>
      </c>
      <c r="B563" s="17" t="s">
        <v>577</v>
      </c>
      <c r="C563">
        <v>26961100</v>
      </c>
      <c r="D563">
        <f t="shared" si="16"/>
        <v>-2.9526620605626876E-4</v>
      </c>
      <c r="G563" s="17" t="s">
        <v>3250</v>
      </c>
      <c r="H563">
        <v>3825160000</v>
      </c>
      <c r="J563">
        <f t="shared" si="17"/>
        <v>6.744702885899654E-3</v>
      </c>
      <c r="K563">
        <v>1</v>
      </c>
    </row>
    <row r="564" spans="1:11">
      <c r="A564" s="16">
        <v>42877</v>
      </c>
      <c r="B564" s="17" t="s">
        <v>578</v>
      </c>
      <c r="C564">
        <v>16237600</v>
      </c>
      <c r="D564">
        <f t="shared" si="16"/>
        <v>1.1164898531311139E-2</v>
      </c>
      <c r="G564" s="17" t="s">
        <v>3254</v>
      </c>
      <c r="H564">
        <v>3172830000</v>
      </c>
      <c r="J564">
        <f t="shared" si="17"/>
        <v>5.1468636886192742E-3</v>
      </c>
      <c r="K564">
        <v>1</v>
      </c>
    </row>
    <row r="565" spans="1:11">
      <c r="A565" s="16">
        <v>42878</v>
      </c>
      <c r="B565" s="17" t="s">
        <v>579</v>
      </c>
      <c r="C565">
        <v>15425800</v>
      </c>
      <c r="D565">
        <f t="shared" si="16"/>
        <v>3.3545881332865523E-3</v>
      </c>
      <c r="G565" s="17" t="s">
        <v>3258</v>
      </c>
      <c r="H565">
        <v>3213570000</v>
      </c>
      <c r="J565">
        <f t="shared" si="17"/>
        <v>1.8361850286978481E-3</v>
      </c>
      <c r="K565">
        <v>1</v>
      </c>
    </row>
    <row r="566" spans="1:11">
      <c r="A566" s="16">
        <v>42879</v>
      </c>
      <c r="B566" s="17" t="s">
        <v>580</v>
      </c>
      <c r="C566">
        <v>14593900</v>
      </c>
      <c r="D566">
        <f t="shared" si="16"/>
        <v>1.309596504494805E-3</v>
      </c>
      <c r="G566" s="17" t="s">
        <v>3262</v>
      </c>
      <c r="H566">
        <v>3389900000</v>
      </c>
      <c r="J566">
        <f t="shared" si="17"/>
        <v>2.4860339279190358E-3</v>
      </c>
      <c r="K566">
        <v>1</v>
      </c>
    </row>
    <row r="567" spans="1:11">
      <c r="A567" s="16">
        <v>42880</v>
      </c>
      <c r="B567" s="17" t="s">
        <v>581</v>
      </c>
      <c r="C567">
        <v>21854100</v>
      </c>
      <c r="D567">
        <f t="shared" si="16"/>
        <v>1.2284357492404665E-2</v>
      </c>
      <c r="G567" s="17" t="s">
        <v>3266</v>
      </c>
      <c r="H567">
        <v>3535390000</v>
      </c>
      <c r="J567">
        <f t="shared" si="17"/>
        <v>4.4321117177126383E-3</v>
      </c>
      <c r="K567">
        <v>1</v>
      </c>
    </row>
    <row r="568" spans="1:11">
      <c r="A568" s="16">
        <v>42881</v>
      </c>
      <c r="B568" s="17" t="s">
        <v>582</v>
      </c>
      <c r="C568">
        <v>19827900</v>
      </c>
      <c r="D568">
        <f t="shared" si="16"/>
        <v>4.8714188751061826E-3</v>
      </c>
      <c r="G568" s="17" t="s">
        <v>3270</v>
      </c>
      <c r="H568">
        <v>2805040000</v>
      </c>
      <c r="J568">
        <f t="shared" si="17"/>
        <v>3.105017853485944E-4</v>
      </c>
      <c r="K568">
        <v>1</v>
      </c>
    </row>
    <row r="569" spans="1:11">
      <c r="A569" s="16">
        <v>42885</v>
      </c>
      <c r="B569" s="17" t="s">
        <v>583</v>
      </c>
      <c r="C569">
        <v>17072800</v>
      </c>
      <c r="D569">
        <f t="shared" si="16"/>
        <v>6.4120896244082995E-3</v>
      </c>
      <c r="G569" s="17" t="s">
        <v>3274</v>
      </c>
      <c r="H569">
        <v>3203160000</v>
      </c>
      <c r="J569">
        <f t="shared" si="17"/>
        <v>-1.2053506261038615E-3</v>
      </c>
      <c r="K569">
        <v>1</v>
      </c>
    </row>
    <row r="570" spans="1:11">
      <c r="A570" s="16">
        <v>42886</v>
      </c>
      <c r="B570" s="17" t="s">
        <v>584</v>
      </c>
      <c r="C570">
        <v>30436400</v>
      </c>
      <c r="D570">
        <f t="shared" si="16"/>
        <v>-8.1287072548552781E-3</v>
      </c>
      <c r="G570" s="17" t="s">
        <v>3278</v>
      </c>
      <c r="H570">
        <v>4516110000</v>
      </c>
      <c r="J570">
        <f t="shared" si="17"/>
        <v>-4.6007450335814259E-4</v>
      </c>
      <c r="K570">
        <v>1</v>
      </c>
    </row>
    <row r="571" spans="1:11">
      <c r="A571" s="16">
        <v>42887</v>
      </c>
      <c r="B571" s="17" t="s">
        <v>585</v>
      </c>
      <c r="C571">
        <v>21603600</v>
      </c>
      <c r="D571">
        <f t="shared" si="16"/>
        <v>3.7159242707276766E-3</v>
      </c>
      <c r="G571" s="17" t="s">
        <v>3280</v>
      </c>
      <c r="H571">
        <v>3857140000</v>
      </c>
      <c r="J571">
        <f t="shared" si="17"/>
        <v>7.5425956807599771E-3</v>
      </c>
      <c r="K571">
        <v>1</v>
      </c>
    </row>
    <row r="572" spans="1:11">
      <c r="A572" s="16">
        <v>42888</v>
      </c>
      <c r="B572" s="17" t="s">
        <v>586</v>
      </c>
      <c r="C572">
        <v>34770300</v>
      </c>
      <c r="D572">
        <f t="shared" si="16"/>
        <v>2.3404433186981079E-2</v>
      </c>
      <c r="G572" s="17" t="s">
        <v>3285</v>
      </c>
      <c r="H572">
        <v>3461680000</v>
      </c>
      <c r="J572">
        <f t="shared" si="17"/>
        <v>3.7008743035282436E-3</v>
      </c>
      <c r="K572">
        <v>1</v>
      </c>
    </row>
    <row r="573" spans="1:11">
      <c r="A573" s="16">
        <v>42891</v>
      </c>
      <c r="B573" s="17" t="s">
        <v>587</v>
      </c>
      <c r="C573">
        <v>33316800</v>
      </c>
      <c r="D573">
        <f t="shared" si="16"/>
        <v>7.2203141385030825E-3</v>
      </c>
      <c r="G573" s="17" t="s">
        <v>3289</v>
      </c>
      <c r="H573">
        <v>2912600000</v>
      </c>
      <c r="J573">
        <f t="shared" si="17"/>
        <v>-1.2184068519809704E-3</v>
      </c>
      <c r="K573">
        <v>1</v>
      </c>
    </row>
    <row r="574" spans="1:11">
      <c r="A574" s="16">
        <v>42892</v>
      </c>
      <c r="B574" s="17" t="s">
        <v>588</v>
      </c>
      <c r="C574">
        <v>31511100</v>
      </c>
      <c r="D574">
        <f t="shared" si="16"/>
        <v>3.314873830460596E-3</v>
      </c>
      <c r="G574" s="17" t="s">
        <v>3293</v>
      </c>
      <c r="H574">
        <v>3357840000</v>
      </c>
      <c r="J574">
        <f t="shared" si="17"/>
        <v>-2.7829088587652804E-3</v>
      </c>
      <c r="K574">
        <v>1</v>
      </c>
    </row>
    <row r="575" spans="1:11">
      <c r="A575" s="16">
        <v>42893</v>
      </c>
      <c r="B575" s="17" t="s">
        <v>589</v>
      </c>
      <c r="C575">
        <v>22301800</v>
      </c>
      <c r="D575">
        <f t="shared" si="16"/>
        <v>-1.7941726566914622E-3</v>
      </c>
      <c r="G575" s="17" t="s">
        <v>3297</v>
      </c>
      <c r="H575">
        <v>3572300000</v>
      </c>
      <c r="J575">
        <f t="shared" si="17"/>
        <v>1.5670290211890142E-3</v>
      </c>
      <c r="K575">
        <v>1</v>
      </c>
    </row>
    <row r="576" spans="1:11">
      <c r="A576" s="16">
        <v>42894</v>
      </c>
      <c r="B576" s="17" t="s">
        <v>590</v>
      </c>
      <c r="C576">
        <v>24588300</v>
      </c>
      <c r="D576">
        <f t="shared" si="16"/>
        <v>-6.0967438535315431E-3</v>
      </c>
      <c r="G576" s="17" t="s">
        <v>3301</v>
      </c>
      <c r="H576">
        <v>3728860000</v>
      </c>
      <c r="J576">
        <f t="shared" si="17"/>
        <v>2.6716883659768292E-4</v>
      </c>
      <c r="K576">
        <v>1</v>
      </c>
    </row>
    <row r="577" spans="1:11">
      <c r="A577" s="16">
        <v>42895</v>
      </c>
      <c r="B577" s="17" t="s">
        <v>591</v>
      </c>
      <c r="C577">
        <v>49187400</v>
      </c>
      <c r="D577">
        <f t="shared" si="16"/>
        <v>-2.2915128980887309E-2</v>
      </c>
      <c r="G577" s="17" t="s">
        <v>3305</v>
      </c>
      <c r="H577">
        <v>4027340000</v>
      </c>
      <c r="J577">
        <f t="shared" si="17"/>
        <v>-8.3033364774634012E-4</v>
      </c>
      <c r="K577">
        <v>1</v>
      </c>
    </row>
    <row r="578" spans="1:11">
      <c r="A578" s="16">
        <v>42898</v>
      </c>
      <c r="B578" s="17" t="s">
        <v>592</v>
      </c>
      <c r="C578">
        <v>47761700</v>
      </c>
      <c r="D578">
        <f t="shared" si="16"/>
        <v>-7.7090799341699191E-3</v>
      </c>
      <c r="G578" s="17" t="s">
        <v>3309</v>
      </c>
      <c r="H578">
        <v>4027750000</v>
      </c>
      <c r="J578">
        <f t="shared" si="17"/>
        <v>-9.7924249882421236E-4</v>
      </c>
      <c r="K578">
        <v>1</v>
      </c>
    </row>
    <row r="579" spans="1:11">
      <c r="A579" s="16">
        <v>42899</v>
      </c>
      <c r="B579" s="17" t="s">
        <v>593</v>
      </c>
      <c r="C579">
        <v>25258600</v>
      </c>
      <c r="D579">
        <f t="shared" si="16"/>
        <v>1.2390827542803885E-2</v>
      </c>
      <c r="G579" s="17" t="s">
        <v>3312</v>
      </c>
      <c r="H579">
        <v>3275500000</v>
      </c>
      <c r="J579">
        <f t="shared" si="17"/>
        <v>4.5013588104362186E-3</v>
      </c>
      <c r="K579">
        <v>1</v>
      </c>
    </row>
    <row r="580" spans="1:11">
      <c r="A580" s="16">
        <v>42900</v>
      </c>
      <c r="B580" s="17" t="s">
        <v>594</v>
      </c>
      <c r="C580">
        <v>25510700</v>
      </c>
      <c r="D580">
        <f t="shared" si="16"/>
        <v>-5.3930499777684725E-3</v>
      </c>
      <c r="G580" s="17" t="s">
        <v>3315</v>
      </c>
      <c r="H580">
        <v>3555590000</v>
      </c>
      <c r="J580">
        <f t="shared" si="17"/>
        <v>-9.9632705490522574E-4</v>
      </c>
      <c r="K580">
        <v>1</v>
      </c>
    </row>
    <row r="581" spans="1:11">
      <c r="A581" s="16">
        <v>42901</v>
      </c>
      <c r="B581" s="17" t="s">
        <v>595</v>
      </c>
      <c r="C581">
        <v>26068700</v>
      </c>
      <c r="D581">
        <f t="shared" ref="D581:D644" si="18">LN(B581/B580)</f>
        <v>-5.2792361069481982E-3</v>
      </c>
      <c r="G581" s="17" t="s">
        <v>3319</v>
      </c>
      <c r="H581">
        <v>3353050000</v>
      </c>
      <c r="J581">
        <f t="shared" ref="J581:J644" si="19">LN(G581/G580)</f>
        <v>-2.242109822419468E-3</v>
      </c>
      <c r="K581">
        <v>1</v>
      </c>
    </row>
    <row r="582" spans="1:11">
      <c r="A582" s="16">
        <v>42902</v>
      </c>
      <c r="B582" s="17" t="s">
        <v>596</v>
      </c>
      <c r="C582">
        <v>48345100</v>
      </c>
      <c r="D582">
        <f t="shared" si="18"/>
        <v>1.4296212179432713E-3</v>
      </c>
      <c r="G582" s="17" t="s">
        <v>3321</v>
      </c>
      <c r="H582">
        <v>5284720000</v>
      </c>
      <c r="J582">
        <f t="shared" si="19"/>
        <v>2.8359898308776774E-4</v>
      </c>
      <c r="K582">
        <v>1</v>
      </c>
    </row>
    <row r="583" spans="1:11">
      <c r="A583" s="16">
        <v>42905</v>
      </c>
      <c r="B583" s="17" t="s">
        <v>597</v>
      </c>
      <c r="C583">
        <v>23798300</v>
      </c>
      <c r="D583">
        <f t="shared" si="18"/>
        <v>1.2351765892940254E-2</v>
      </c>
      <c r="G583" s="17" t="s">
        <v>3326</v>
      </c>
      <c r="H583">
        <v>3264700000</v>
      </c>
      <c r="J583">
        <f t="shared" si="19"/>
        <v>8.3125833736460205E-3</v>
      </c>
      <c r="K583">
        <v>1</v>
      </c>
    </row>
    <row r="584" spans="1:11">
      <c r="A584" s="16">
        <v>42906</v>
      </c>
      <c r="B584" s="17" t="s">
        <v>598</v>
      </c>
      <c r="C584">
        <v>21512200</v>
      </c>
      <c r="D584">
        <f t="shared" si="18"/>
        <v>-1.3638470622301188E-2</v>
      </c>
      <c r="G584" s="17" t="s">
        <v>3329</v>
      </c>
      <c r="H584">
        <v>3416510000</v>
      </c>
      <c r="J584">
        <f t="shared" si="19"/>
        <v>-6.7191605942243304E-3</v>
      </c>
      <c r="K584">
        <v>1</v>
      </c>
    </row>
    <row r="585" spans="1:11">
      <c r="A585" s="16">
        <v>42907</v>
      </c>
      <c r="B585" s="17" t="s">
        <v>594</v>
      </c>
      <c r="C585">
        <v>19891100</v>
      </c>
      <c r="D585">
        <f t="shared" si="18"/>
        <v>5.1363196183659083E-3</v>
      </c>
      <c r="G585" s="17" t="s">
        <v>3333</v>
      </c>
      <c r="H585">
        <v>3594820000</v>
      </c>
      <c r="J585">
        <f t="shared" si="19"/>
        <v>-5.8281424466445424E-4</v>
      </c>
      <c r="K585">
        <v>1</v>
      </c>
    </row>
    <row r="586" spans="1:11">
      <c r="A586" s="16">
        <v>42908</v>
      </c>
      <c r="B586" s="17" t="s">
        <v>599</v>
      </c>
      <c r="C586">
        <v>22965700</v>
      </c>
      <c r="D586">
        <f t="shared" si="18"/>
        <v>-1.4240754892722043E-4</v>
      </c>
      <c r="G586" s="17" t="s">
        <v>3337</v>
      </c>
      <c r="H586">
        <v>3468210000</v>
      </c>
      <c r="J586">
        <f t="shared" si="19"/>
        <v>-4.5588579922685235E-4</v>
      </c>
      <c r="K586">
        <v>1</v>
      </c>
    </row>
    <row r="587" spans="1:11">
      <c r="A587" s="16">
        <v>42909</v>
      </c>
      <c r="B587" s="17" t="s">
        <v>600</v>
      </c>
      <c r="C587">
        <v>27617300</v>
      </c>
      <c r="D587">
        <f t="shared" si="18"/>
        <v>1.3430599637776784E-2</v>
      </c>
      <c r="G587" s="17" t="s">
        <v>3341</v>
      </c>
      <c r="H587">
        <v>5278330000</v>
      </c>
      <c r="J587">
        <f t="shared" si="19"/>
        <v>1.5596986258985955E-3</v>
      </c>
      <c r="K587">
        <v>1</v>
      </c>
    </row>
    <row r="588" spans="1:11">
      <c r="A588" s="16">
        <v>42912</v>
      </c>
      <c r="B588" s="17" t="s">
        <v>601</v>
      </c>
      <c r="C588">
        <v>19607000</v>
      </c>
      <c r="D588">
        <f t="shared" si="18"/>
        <v>-9.5952023661622192E-3</v>
      </c>
      <c r="G588" s="17" t="s">
        <v>3285</v>
      </c>
      <c r="H588">
        <v>3238970000</v>
      </c>
      <c r="J588">
        <f t="shared" si="19"/>
        <v>3.1575172190189825E-4</v>
      </c>
      <c r="K588">
        <v>1</v>
      </c>
    </row>
    <row r="589" spans="1:11">
      <c r="A589" s="16">
        <v>42913</v>
      </c>
      <c r="B589" s="17" t="s">
        <v>602</v>
      </c>
      <c r="C589">
        <v>25215100</v>
      </c>
      <c r="D589">
        <f t="shared" si="18"/>
        <v>-1.8892685268761641E-2</v>
      </c>
      <c r="G589" s="17" t="s">
        <v>3346</v>
      </c>
      <c r="H589">
        <v>3563910000</v>
      </c>
      <c r="J589">
        <f t="shared" si="19"/>
        <v>-8.1055863508326578E-3</v>
      </c>
      <c r="K589">
        <v>1</v>
      </c>
    </row>
    <row r="590" spans="1:11">
      <c r="A590" s="16">
        <v>42914</v>
      </c>
      <c r="B590" s="17" t="s">
        <v>603</v>
      </c>
      <c r="C590">
        <v>25806200</v>
      </c>
      <c r="D590">
        <f t="shared" si="18"/>
        <v>8.4887914779397337E-3</v>
      </c>
      <c r="G590" s="17" t="s">
        <v>3350</v>
      </c>
      <c r="H590">
        <v>3500800000</v>
      </c>
      <c r="J590">
        <f t="shared" si="19"/>
        <v>8.7695014026030957E-3</v>
      </c>
      <c r="K590">
        <v>1</v>
      </c>
    </row>
    <row r="591" spans="1:11">
      <c r="A591" s="16">
        <v>42915</v>
      </c>
      <c r="B591" s="17" t="s">
        <v>604</v>
      </c>
      <c r="C591">
        <v>28918700</v>
      </c>
      <c r="D591">
        <f t="shared" si="18"/>
        <v>-1.8946287169094855E-2</v>
      </c>
      <c r="G591" s="17" t="s">
        <v>3354</v>
      </c>
      <c r="H591">
        <v>3900280000</v>
      </c>
      <c r="J591">
        <f t="shared" si="19"/>
        <v>-8.6372167487240945E-3</v>
      </c>
      <c r="K591">
        <v>1</v>
      </c>
    </row>
    <row r="592" spans="1:11">
      <c r="A592" s="16">
        <v>42916</v>
      </c>
      <c r="B592" s="17" t="s">
        <v>605</v>
      </c>
      <c r="C592">
        <v>24161100</v>
      </c>
      <c r="D592">
        <f t="shared" si="18"/>
        <v>6.4036352340090773E-3</v>
      </c>
      <c r="G592" s="17" t="s">
        <v>3358</v>
      </c>
      <c r="H592">
        <v>3361590000</v>
      </c>
      <c r="J592">
        <f t="shared" si="19"/>
        <v>1.532057636772409E-3</v>
      </c>
      <c r="K592">
        <v>1</v>
      </c>
    </row>
    <row r="593" spans="1:11">
      <c r="A593" s="16">
        <v>42919</v>
      </c>
      <c r="B593" s="17" t="s">
        <v>606</v>
      </c>
      <c r="C593">
        <v>16165500</v>
      </c>
      <c r="D593">
        <f t="shared" si="18"/>
        <v>-1.1086947908740097E-2</v>
      </c>
      <c r="G593" s="17" t="s">
        <v>3362</v>
      </c>
      <c r="H593">
        <v>1962290000</v>
      </c>
      <c r="J593">
        <f t="shared" si="19"/>
        <v>2.3081681207700998E-3</v>
      </c>
      <c r="K593">
        <v>1</v>
      </c>
    </row>
    <row r="594" spans="1:11">
      <c r="A594" s="16">
        <v>42921</v>
      </c>
      <c r="B594" s="17" t="s">
        <v>607</v>
      </c>
      <c r="C594">
        <v>21176300</v>
      </c>
      <c r="D594">
        <f t="shared" si="18"/>
        <v>1.32606267084719E-2</v>
      </c>
      <c r="G594" s="17" t="s">
        <v>3366</v>
      </c>
      <c r="H594">
        <v>3367220000</v>
      </c>
      <c r="J594">
        <f t="shared" si="19"/>
        <v>1.4522239141054789E-3</v>
      </c>
      <c r="K594">
        <v>1</v>
      </c>
    </row>
    <row r="595" spans="1:11">
      <c r="A595" s="16">
        <v>42922</v>
      </c>
      <c r="B595" s="17" t="s">
        <v>608</v>
      </c>
      <c r="C595">
        <v>21117600</v>
      </c>
      <c r="D595">
        <f t="shared" si="18"/>
        <v>-7.4100041005069443E-3</v>
      </c>
      <c r="G595" s="17" t="s">
        <v>3370</v>
      </c>
      <c r="H595">
        <v>3364520000</v>
      </c>
      <c r="J595">
        <f t="shared" si="19"/>
        <v>-9.4129872811729385E-3</v>
      </c>
      <c r="K595">
        <v>1</v>
      </c>
    </row>
    <row r="596" spans="1:11">
      <c r="A596" s="16">
        <v>42923</v>
      </c>
      <c r="B596" s="17" t="s">
        <v>609</v>
      </c>
      <c r="C596">
        <v>16878300</v>
      </c>
      <c r="D596">
        <f t="shared" si="18"/>
        <v>1.2895929350948764E-2</v>
      </c>
      <c r="G596" s="17" t="s">
        <v>3373</v>
      </c>
      <c r="H596">
        <v>2901330000</v>
      </c>
      <c r="J596">
        <f t="shared" si="19"/>
        <v>6.3827127178005495E-3</v>
      </c>
      <c r="K596">
        <v>1</v>
      </c>
    </row>
    <row r="597" spans="1:11">
      <c r="A597" s="16">
        <v>42926</v>
      </c>
      <c r="B597" s="17" t="s">
        <v>610</v>
      </c>
      <c r="C597">
        <v>15014500</v>
      </c>
      <c r="D597">
        <f t="shared" si="18"/>
        <v>7.4585075278742301E-3</v>
      </c>
      <c r="G597" s="17" t="s">
        <v>3377</v>
      </c>
      <c r="H597">
        <v>2999130000</v>
      </c>
      <c r="J597">
        <f t="shared" si="19"/>
        <v>9.2733610337524723E-4</v>
      </c>
      <c r="K597">
        <v>1</v>
      </c>
    </row>
    <row r="598" spans="1:11">
      <c r="A598" s="16">
        <v>42927</v>
      </c>
      <c r="B598" s="17" t="s">
        <v>611</v>
      </c>
      <c r="C598">
        <v>17460000</v>
      </c>
      <c r="D598">
        <f t="shared" si="18"/>
        <v>1.4263357679557205E-4</v>
      </c>
      <c r="G598" s="17" t="s">
        <v>3381</v>
      </c>
      <c r="H598">
        <v>3106750000</v>
      </c>
      <c r="J598">
        <f t="shared" si="19"/>
        <v>-7.8298733652557018E-4</v>
      </c>
      <c r="K598">
        <v>1</v>
      </c>
    </row>
    <row r="599" spans="1:11">
      <c r="A599" s="16">
        <v>42928</v>
      </c>
      <c r="B599" s="17" t="s">
        <v>612</v>
      </c>
      <c r="C599">
        <v>17750900</v>
      </c>
      <c r="D599">
        <f t="shared" si="18"/>
        <v>1.6438290699486855E-2</v>
      </c>
      <c r="G599" s="17" t="s">
        <v>3384</v>
      </c>
      <c r="H599">
        <v>3171620000</v>
      </c>
      <c r="J599">
        <f t="shared" si="19"/>
        <v>7.2790510702173033E-3</v>
      </c>
      <c r="K599">
        <v>1</v>
      </c>
    </row>
    <row r="600" spans="1:11">
      <c r="A600" s="16">
        <v>42929</v>
      </c>
      <c r="B600" s="17" t="s">
        <v>613</v>
      </c>
      <c r="C600">
        <v>20269800</v>
      </c>
      <c r="D600">
        <f t="shared" si="18"/>
        <v>8.6759944654972079E-3</v>
      </c>
      <c r="G600" s="17" t="s">
        <v>3388</v>
      </c>
      <c r="H600">
        <v>3067670000</v>
      </c>
      <c r="J600">
        <f t="shared" si="19"/>
        <v>1.8728294224074943E-3</v>
      </c>
      <c r="K600">
        <v>1</v>
      </c>
    </row>
    <row r="601" spans="1:11">
      <c r="A601" s="16">
        <v>42930</v>
      </c>
      <c r="B601" s="17" t="s">
        <v>614</v>
      </c>
      <c r="C601">
        <v>25868100</v>
      </c>
      <c r="D601">
        <f t="shared" si="18"/>
        <v>1.397483477809822E-2</v>
      </c>
      <c r="G601" s="17" t="s">
        <v>3392</v>
      </c>
      <c r="H601">
        <v>2736640000</v>
      </c>
      <c r="J601">
        <f t="shared" si="19"/>
        <v>4.6626164116802295E-3</v>
      </c>
      <c r="K601">
        <v>1</v>
      </c>
    </row>
    <row r="602" spans="1:11">
      <c r="A602" s="16">
        <v>42933</v>
      </c>
      <c r="B602" s="17" t="s">
        <v>615</v>
      </c>
      <c r="C602">
        <v>21803900</v>
      </c>
      <c r="D602">
        <f t="shared" si="18"/>
        <v>7.8011617719977496E-3</v>
      </c>
      <c r="G602" s="17" t="s">
        <v>3396</v>
      </c>
      <c r="H602">
        <v>2793170000</v>
      </c>
      <c r="J602">
        <f t="shared" si="19"/>
        <v>-5.2914255758300215E-5</v>
      </c>
      <c r="K602">
        <v>1</v>
      </c>
    </row>
    <row r="603" spans="1:11">
      <c r="A603" s="16">
        <v>42934</v>
      </c>
      <c r="B603" s="17" t="s">
        <v>616</v>
      </c>
      <c r="C603">
        <v>26435300</v>
      </c>
      <c r="D603">
        <f t="shared" si="18"/>
        <v>-6.8190936229443335E-4</v>
      </c>
      <c r="G603" s="17" t="s">
        <v>3400</v>
      </c>
      <c r="H603">
        <v>2962130000</v>
      </c>
      <c r="J603">
        <f t="shared" si="19"/>
        <v>5.9767835510570659E-4</v>
      </c>
      <c r="K603">
        <v>1</v>
      </c>
    </row>
    <row r="604" spans="1:11">
      <c r="A604" s="16">
        <v>42935</v>
      </c>
      <c r="B604" s="17" t="s">
        <v>617</v>
      </c>
      <c r="C604">
        <v>22416200</v>
      </c>
      <c r="D604">
        <f t="shared" si="18"/>
        <v>7.6107939324657212E-3</v>
      </c>
      <c r="G604" s="17" t="s">
        <v>3402</v>
      </c>
      <c r="H604">
        <v>3059760000</v>
      </c>
      <c r="J604">
        <f t="shared" si="19"/>
        <v>5.3582583369758633E-3</v>
      </c>
      <c r="K604">
        <v>1</v>
      </c>
    </row>
    <row r="605" spans="1:11">
      <c r="A605" s="16">
        <v>42936</v>
      </c>
      <c r="B605" s="17" t="s">
        <v>618</v>
      </c>
      <c r="C605">
        <v>42361000</v>
      </c>
      <c r="D605">
        <f t="shared" si="18"/>
        <v>4.8622983865369779E-3</v>
      </c>
      <c r="G605" s="17" t="s">
        <v>3406</v>
      </c>
      <c r="H605">
        <v>3182780000</v>
      </c>
      <c r="J605">
        <f t="shared" si="19"/>
        <v>-1.5367110756601694E-4</v>
      </c>
      <c r="K605">
        <v>1</v>
      </c>
    </row>
    <row r="606" spans="1:11">
      <c r="A606" s="16">
        <v>42937</v>
      </c>
      <c r="B606" s="17" t="s">
        <v>619</v>
      </c>
      <c r="C606">
        <v>46717100</v>
      </c>
      <c r="D606">
        <f t="shared" si="18"/>
        <v>-5.8104575728234057E-3</v>
      </c>
      <c r="G606" s="17" t="s">
        <v>3408</v>
      </c>
      <c r="H606">
        <v>3059570000</v>
      </c>
      <c r="J606">
        <f t="shared" si="19"/>
        <v>-3.6793928499852593E-4</v>
      </c>
      <c r="K606">
        <v>1</v>
      </c>
    </row>
    <row r="607" spans="1:11">
      <c r="A607" s="16">
        <v>42940</v>
      </c>
      <c r="B607" s="17" t="s">
        <v>620</v>
      </c>
      <c r="C607">
        <v>21394800</v>
      </c>
      <c r="D607">
        <f t="shared" si="18"/>
        <v>-2.5781503978157031E-3</v>
      </c>
      <c r="G607" s="17" t="s">
        <v>3413</v>
      </c>
      <c r="H607">
        <v>3010240000</v>
      </c>
      <c r="J607">
        <f t="shared" si="19"/>
        <v>-1.0643010144140571E-3</v>
      </c>
      <c r="K607">
        <v>1</v>
      </c>
    </row>
    <row r="608" spans="1:11">
      <c r="A608" s="16">
        <v>42941</v>
      </c>
      <c r="B608" s="17" t="s">
        <v>621</v>
      </c>
      <c r="C608">
        <v>22018700</v>
      </c>
      <c r="D608">
        <f t="shared" si="18"/>
        <v>7.9844920834341616E-3</v>
      </c>
      <c r="G608" s="17" t="s">
        <v>3417</v>
      </c>
      <c r="H608">
        <v>4108060000</v>
      </c>
      <c r="J608">
        <f t="shared" si="19"/>
        <v>2.9189076398735176E-3</v>
      </c>
      <c r="K608">
        <v>1</v>
      </c>
    </row>
    <row r="609" spans="1:11">
      <c r="A609" s="16">
        <v>42942</v>
      </c>
      <c r="B609" s="17" t="s">
        <v>622</v>
      </c>
      <c r="C609">
        <v>16252200</v>
      </c>
      <c r="D609">
        <f t="shared" si="18"/>
        <v>-1.8890957996488824E-3</v>
      </c>
      <c r="G609" s="17" t="s">
        <v>3421</v>
      </c>
      <c r="H609">
        <v>3557020000</v>
      </c>
      <c r="J609">
        <f t="shared" si="19"/>
        <v>2.8262387997962017E-4</v>
      </c>
      <c r="K609">
        <v>1</v>
      </c>
    </row>
    <row r="610" spans="1:11">
      <c r="A610" s="16">
        <v>42943</v>
      </c>
      <c r="B610" s="17" t="s">
        <v>623</v>
      </c>
      <c r="C610">
        <v>36844200</v>
      </c>
      <c r="D610">
        <f t="shared" si="18"/>
        <v>-1.2091607151406758E-2</v>
      </c>
      <c r="G610" s="17" t="s">
        <v>3425</v>
      </c>
      <c r="H610">
        <v>3995520000</v>
      </c>
      <c r="J610">
        <f t="shared" si="19"/>
        <v>-9.7316153644986159E-4</v>
      </c>
      <c r="K610">
        <v>1</v>
      </c>
    </row>
    <row r="611" spans="1:11">
      <c r="A611" s="16">
        <v>42944</v>
      </c>
      <c r="B611" s="17" t="s">
        <v>624</v>
      </c>
      <c r="C611">
        <v>18306700</v>
      </c>
      <c r="D611">
        <f t="shared" si="18"/>
        <v>-1.6417861857979824E-3</v>
      </c>
      <c r="G611" s="17" t="s">
        <v>3429</v>
      </c>
      <c r="H611">
        <v>3294770000</v>
      </c>
      <c r="J611">
        <f t="shared" si="19"/>
        <v>-1.3420155895607954E-3</v>
      </c>
      <c r="K611">
        <v>1</v>
      </c>
    </row>
    <row r="612" spans="1:11">
      <c r="A612" s="16">
        <v>42947</v>
      </c>
      <c r="B612" s="17" t="s">
        <v>625</v>
      </c>
      <c r="C612">
        <v>23600100</v>
      </c>
      <c r="D612">
        <f t="shared" si="18"/>
        <v>-4.6657188512514132E-3</v>
      </c>
      <c r="G612" s="17" t="s">
        <v>3433</v>
      </c>
      <c r="H612">
        <v>3469210000</v>
      </c>
      <c r="J612">
        <f t="shared" si="19"/>
        <v>-7.2841090403496719E-4</v>
      </c>
      <c r="K612">
        <v>1</v>
      </c>
    </row>
    <row r="613" spans="1:11">
      <c r="A613" s="16">
        <v>42948</v>
      </c>
      <c r="B613" s="17" t="s">
        <v>626</v>
      </c>
      <c r="C613">
        <v>22132300</v>
      </c>
      <c r="D613">
        <f t="shared" si="18"/>
        <v>-1.6517507592447985E-3</v>
      </c>
      <c r="G613" s="17" t="s">
        <v>3437</v>
      </c>
      <c r="H613">
        <v>3460860000</v>
      </c>
      <c r="J613">
        <f t="shared" si="19"/>
        <v>2.4461208441749348E-3</v>
      </c>
      <c r="K613">
        <v>1</v>
      </c>
    </row>
    <row r="614" spans="1:11">
      <c r="A614" s="16">
        <v>42949</v>
      </c>
      <c r="B614" s="17" t="s">
        <v>627</v>
      </c>
      <c r="C614">
        <v>26499200</v>
      </c>
      <c r="D614">
        <f t="shared" si="18"/>
        <v>-4.4188159586316085E-3</v>
      </c>
      <c r="G614" s="17" t="s">
        <v>3440</v>
      </c>
      <c r="H614">
        <v>3478580000</v>
      </c>
      <c r="J614">
        <f t="shared" si="19"/>
        <v>4.9252712348291973E-4</v>
      </c>
      <c r="K614">
        <v>1</v>
      </c>
    </row>
    <row r="615" spans="1:11">
      <c r="A615" s="16">
        <v>42950</v>
      </c>
      <c r="B615" s="17" t="s">
        <v>628</v>
      </c>
      <c r="C615">
        <v>18214400</v>
      </c>
      <c r="D615">
        <f t="shared" si="18"/>
        <v>-1.5234390431541154E-3</v>
      </c>
      <c r="G615" s="17" t="s">
        <v>3443</v>
      </c>
      <c r="H615">
        <v>3645020000</v>
      </c>
      <c r="J615">
        <f t="shared" si="19"/>
        <v>-2.1860417341370017E-3</v>
      </c>
      <c r="K615">
        <v>1</v>
      </c>
    </row>
    <row r="616" spans="1:11">
      <c r="A616" s="16">
        <v>42951</v>
      </c>
      <c r="B616" s="17" t="s">
        <v>629</v>
      </c>
      <c r="C616">
        <v>22579000</v>
      </c>
      <c r="D616">
        <f t="shared" si="18"/>
        <v>7.3190088938762778E-3</v>
      </c>
      <c r="G616" s="17" t="s">
        <v>3447</v>
      </c>
      <c r="H616">
        <v>3235140000</v>
      </c>
      <c r="J616">
        <f t="shared" si="19"/>
        <v>1.8873214113143176E-3</v>
      </c>
      <c r="K616">
        <v>1</v>
      </c>
    </row>
    <row r="617" spans="1:11">
      <c r="A617" s="16">
        <v>42954</v>
      </c>
      <c r="B617" s="17" t="s">
        <v>630</v>
      </c>
      <c r="C617">
        <v>18705700</v>
      </c>
      <c r="D617">
        <f t="shared" si="18"/>
        <v>-3.8599402404802217E-3</v>
      </c>
      <c r="G617" s="17" t="s">
        <v>3451</v>
      </c>
      <c r="H617">
        <v>2931780000</v>
      </c>
      <c r="J617">
        <f t="shared" si="19"/>
        <v>1.6458446506615104E-3</v>
      </c>
      <c r="K617">
        <v>1</v>
      </c>
    </row>
    <row r="618" spans="1:11">
      <c r="A618" s="16">
        <v>42955</v>
      </c>
      <c r="B618" s="17" t="s">
        <v>631</v>
      </c>
      <c r="C618">
        <v>22044600</v>
      </c>
      <c r="D618">
        <f t="shared" si="18"/>
        <v>5.3721777378385703E-3</v>
      </c>
      <c r="G618" s="17" t="s">
        <v>3455</v>
      </c>
      <c r="H618">
        <v>3344640000</v>
      </c>
      <c r="J618">
        <f t="shared" si="19"/>
        <v>-2.4173521357919855E-3</v>
      </c>
      <c r="K618">
        <v>1</v>
      </c>
    </row>
    <row r="619" spans="1:11">
      <c r="A619" s="16">
        <v>42956</v>
      </c>
      <c r="B619" s="17" t="s">
        <v>632</v>
      </c>
      <c r="C619">
        <v>22213400</v>
      </c>
      <c r="D619">
        <f t="shared" si="18"/>
        <v>-4.4058238498586415E-3</v>
      </c>
      <c r="G619" s="17" t="s">
        <v>3459</v>
      </c>
      <c r="H619">
        <v>3308060000</v>
      </c>
      <c r="J619">
        <f t="shared" si="19"/>
        <v>-3.6367465375007732E-4</v>
      </c>
      <c r="K619">
        <v>1</v>
      </c>
    </row>
    <row r="620" spans="1:11">
      <c r="A620" s="16">
        <v>42957</v>
      </c>
      <c r="B620" s="17" t="s">
        <v>633</v>
      </c>
      <c r="C620">
        <v>24734500</v>
      </c>
      <c r="D620">
        <f t="shared" si="18"/>
        <v>-1.4734972691603253E-2</v>
      </c>
      <c r="G620" s="17" t="s">
        <v>3462</v>
      </c>
      <c r="H620">
        <v>3621070000</v>
      </c>
      <c r="J620">
        <f t="shared" si="19"/>
        <v>-1.4580218564576908E-2</v>
      </c>
      <c r="K620">
        <v>1</v>
      </c>
    </row>
    <row r="621" spans="1:11">
      <c r="A621" s="16">
        <v>42958</v>
      </c>
      <c r="B621" s="17" t="s">
        <v>634</v>
      </c>
      <c r="C621">
        <v>21443700</v>
      </c>
      <c r="D621">
        <f t="shared" si="18"/>
        <v>1.514879331930615E-2</v>
      </c>
      <c r="G621" s="17" t="s">
        <v>3466</v>
      </c>
      <c r="H621">
        <v>3159930000</v>
      </c>
      <c r="J621">
        <f t="shared" si="19"/>
        <v>1.2747569551484817E-3</v>
      </c>
      <c r="K621">
        <v>1</v>
      </c>
    </row>
    <row r="622" spans="1:11">
      <c r="A622" s="16">
        <v>42961</v>
      </c>
      <c r="B622" s="17" t="s">
        <v>635</v>
      </c>
      <c r="C622">
        <v>20096600</v>
      </c>
      <c r="D622">
        <f t="shared" si="18"/>
        <v>1.4922514551373891E-2</v>
      </c>
      <c r="G622" s="17" t="s">
        <v>3469</v>
      </c>
      <c r="H622">
        <v>2822550000</v>
      </c>
      <c r="J622">
        <f t="shared" si="19"/>
        <v>9.9936514376108582E-3</v>
      </c>
      <c r="K622">
        <v>1</v>
      </c>
    </row>
    <row r="623" spans="1:11">
      <c r="A623" s="16">
        <v>42962</v>
      </c>
      <c r="B623" s="17" t="s">
        <v>636</v>
      </c>
      <c r="C623">
        <v>19181400</v>
      </c>
      <c r="D623">
        <f t="shared" si="18"/>
        <v>2.7333029241064752E-4</v>
      </c>
      <c r="G623" s="17" t="s">
        <v>3473</v>
      </c>
      <c r="H623">
        <v>2913100000</v>
      </c>
      <c r="J623">
        <f t="shared" si="19"/>
        <v>-4.9893254241267825E-4</v>
      </c>
      <c r="K623">
        <v>1</v>
      </c>
    </row>
    <row r="624" spans="1:11">
      <c r="A624" s="16">
        <v>42963</v>
      </c>
      <c r="B624" s="17" t="s">
        <v>637</v>
      </c>
      <c r="C624">
        <v>18150400</v>
      </c>
      <c r="D624">
        <f t="shared" si="18"/>
        <v>5.8554388606984276E-3</v>
      </c>
      <c r="G624" s="17" t="s">
        <v>3477</v>
      </c>
      <c r="H624">
        <v>2953650000</v>
      </c>
      <c r="J624">
        <f t="shared" si="19"/>
        <v>1.4190955235749438E-3</v>
      </c>
      <c r="K624">
        <v>1</v>
      </c>
    </row>
    <row r="625" spans="1:11">
      <c r="A625" s="16">
        <v>42964</v>
      </c>
      <c r="B625" s="17" t="s">
        <v>638</v>
      </c>
      <c r="C625">
        <v>22977500</v>
      </c>
      <c r="D625">
        <f t="shared" si="18"/>
        <v>-1.7117821235523693E-2</v>
      </c>
      <c r="G625" s="17" t="s">
        <v>3480</v>
      </c>
      <c r="H625">
        <v>3142620000</v>
      </c>
      <c r="J625">
        <f t="shared" si="19"/>
        <v>-1.5557342219810788E-2</v>
      </c>
      <c r="K625">
        <v>1</v>
      </c>
    </row>
    <row r="626" spans="1:11">
      <c r="A626" s="16">
        <v>42965</v>
      </c>
      <c r="B626" s="17" t="s">
        <v>639</v>
      </c>
      <c r="C626">
        <v>18761500</v>
      </c>
      <c r="D626">
        <f t="shared" si="18"/>
        <v>1.2423429098293855E-3</v>
      </c>
      <c r="G626" s="17" t="s">
        <v>3484</v>
      </c>
      <c r="H626">
        <v>3415680000</v>
      </c>
      <c r="J626">
        <f t="shared" si="19"/>
        <v>-1.8370536869419727E-3</v>
      </c>
      <c r="K626">
        <v>1</v>
      </c>
    </row>
    <row r="627" spans="1:11">
      <c r="A627" s="16">
        <v>42968</v>
      </c>
      <c r="B627" s="17" t="s">
        <v>640</v>
      </c>
      <c r="C627">
        <v>17734800</v>
      </c>
      <c r="D627">
        <f t="shared" si="18"/>
        <v>-4.7013179257244979E-3</v>
      </c>
      <c r="G627" s="17" t="s">
        <v>3488</v>
      </c>
      <c r="H627">
        <v>2788150000</v>
      </c>
      <c r="J627">
        <f t="shared" si="19"/>
        <v>1.1619755664938251E-3</v>
      </c>
      <c r="K627">
        <v>1</v>
      </c>
    </row>
    <row r="628" spans="1:11">
      <c r="A628" s="16">
        <v>42969</v>
      </c>
      <c r="B628" s="17" t="s">
        <v>641</v>
      </c>
      <c r="C628">
        <v>14343700</v>
      </c>
      <c r="D628">
        <f t="shared" si="18"/>
        <v>1.390169688252766E-2</v>
      </c>
      <c r="G628" s="17" t="s">
        <v>3492</v>
      </c>
      <c r="H628">
        <v>2777490000</v>
      </c>
      <c r="J628">
        <f t="shared" si="19"/>
        <v>9.8916954334028386E-3</v>
      </c>
      <c r="K628">
        <v>1</v>
      </c>
    </row>
    <row r="629" spans="1:11">
      <c r="A629" s="16">
        <v>42970</v>
      </c>
      <c r="B629" s="17" t="s">
        <v>642</v>
      </c>
      <c r="C629">
        <v>13766500</v>
      </c>
      <c r="D629">
        <f t="shared" si="18"/>
        <v>-6.0324048008673636E-3</v>
      </c>
      <c r="G629" s="17" t="s">
        <v>3496</v>
      </c>
      <c r="H629">
        <v>2785290000</v>
      </c>
      <c r="J629">
        <f t="shared" si="19"/>
        <v>-3.4595702537768024E-3</v>
      </c>
      <c r="K629">
        <v>1</v>
      </c>
    </row>
    <row r="630" spans="1:11">
      <c r="A630" s="16">
        <v>42971</v>
      </c>
      <c r="B630" s="17" t="s">
        <v>643</v>
      </c>
      <c r="C630">
        <v>17098300</v>
      </c>
      <c r="D630">
        <f t="shared" si="18"/>
        <v>-4.1278594700200051E-4</v>
      </c>
      <c r="G630" s="17" t="s">
        <v>3500</v>
      </c>
      <c r="H630">
        <v>2846590000</v>
      </c>
      <c r="J630">
        <f t="shared" si="19"/>
        <v>-2.0766165998444643E-3</v>
      </c>
      <c r="K630">
        <v>1</v>
      </c>
    </row>
    <row r="631" spans="1:11">
      <c r="A631" s="16">
        <v>42972</v>
      </c>
      <c r="B631" s="17" t="s">
        <v>644</v>
      </c>
      <c r="C631">
        <v>12794300</v>
      </c>
      <c r="D631">
        <f t="shared" si="18"/>
        <v>1.7865859039786481E-3</v>
      </c>
      <c r="G631" s="17" t="s">
        <v>3504</v>
      </c>
      <c r="H631">
        <v>2588780000</v>
      </c>
      <c r="J631">
        <f t="shared" si="19"/>
        <v>1.6714716175687365E-3</v>
      </c>
      <c r="K631">
        <v>1</v>
      </c>
    </row>
    <row r="632" spans="1:11">
      <c r="A632" s="16">
        <v>42975</v>
      </c>
      <c r="B632" s="17" t="s">
        <v>645</v>
      </c>
      <c r="C632">
        <v>14569700</v>
      </c>
      <c r="D632">
        <f t="shared" si="18"/>
        <v>1.3754480656608559E-4</v>
      </c>
      <c r="G632" s="17" t="s">
        <v>3508</v>
      </c>
      <c r="H632">
        <v>2677700000</v>
      </c>
      <c r="J632">
        <f t="shared" si="19"/>
        <v>4.8695330705475671E-4</v>
      </c>
      <c r="K632">
        <v>1</v>
      </c>
    </row>
    <row r="633" spans="1:11">
      <c r="A633" s="16">
        <v>42976</v>
      </c>
      <c r="B633" s="17" t="s">
        <v>646</v>
      </c>
      <c r="C633">
        <v>11478400</v>
      </c>
      <c r="D633">
        <f t="shared" si="18"/>
        <v>3.0160963633496119E-3</v>
      </c>
      <c r="G633" s="17" t="s">
        <v>3512</v>
      </c>
      <c r="H633">
        <v>2737580000</v>
      </c>
      <c r="J633">
        <f t="shared" si="19"/>
        <v>8.4246692815763099E-4</v>
      </c>
      <c r="K633">
        <v>1</v>
      </c>
    </row>
    <row r="634" spans="1:11">
      <c r="A634" s="16">
        <v>42977</v>
      </c>
      <c r="B634" s="17" t="s">
        <v>647</v>
      </c>
      <c r="C634">
        <v>16897800</v>
      </c>
      <c r="D634">
        <f t="shared" si="18"/>
        <v>1.305603893926781E-2</v>
      </c>
      <c r="G634" s="17" t="s">
        <v>3516</v>
      </c>
      <c r="H634">
        <v>2633660000</v>
      </c>
      <c r="J634">
        <f t="shared" si="19"/>
        <v>4.6045317623068212E-3</v>
      </c>
      <c r="K634">
        <v>1</v>
      </c>
    </row>
    <row r="635" spans="1:11">
      <c r="A635" s="16">
        <v>42978</v>
      </c>
      <c r="B635" s="17" t="s">
        <v>648</v>
      </c>
      <c r="C635">
        <v>27652800</v>
      </c>
      <c r="D635">
        <f t="shared" si="18"/>
        <v>1.0216724441662155E-2</v>
      </c>
      <c r="G635" s="17" t="s">
        <v>3519</v>
      </c>
      <c r="H635">
        <v>3348110000</v>
      </c>
      <c r="J635">
        <f t="shared" si="19"/>
        <v>5.7046734011315034E-3</v>
      </c>
      <c r="K635">
        <v>1</v>
      </c>
    </row>
    <row r="636" spans="1:11">
      <c r="A636" s="16">
        <v>42979</v>
      </c>
      <c r="B636" s="17" t="s">
        <v>649</v>
      </c>
      <c r="C636">
        <v>21736200</v>
      </c>
      <c r="D636">
        <f t="shared" si="18"/>
        <v>-1.1162882755511439E-2</v>
      </c>
      <c r="G636" s="17" t="s">
        <v>3522</v>
      </c>
      <c r="H636">
        <v>2710730000</v>
      </c>
      <c r="J636">
        <f t="shared" si="19"/>
        <v>1.9805782508132293E-3</v>
      </c>
      <c r="K636">
        <v>1</v>
      </c>
    </row>
    <row r="637" spans="1:11">
      <c r="A637" s="16">
        <v>42983</v>
      </c>
      <c r="B637" s="17" t="s">
        <v>650</v>
      </c>
      <c r="C637">
        <v>21556000</v>
      </c>
      <c r="D637">
        <f t="shared" si="18"/>
        <v>-4.4730349367868528E-3</v>
      </c>
      <c r="G637" s="17" t="s">
        <v>3526</v>
      </c>
      <c r="H637">
        <v>3490260000</v>
      </c>
      <c r="J637">
        <f t="shared" si="19"/>
        <v>-7.5794584816878553E-3</v>
      </c>
      <c r="K637">
        <v>1</v>
      </c>
    </row>
    <row r="638" spans="1:11">
      <c r="A638" s="16">
        <v>42984</v>
      </c>
      <c r="B638" s="17" t="s">
        <v>651</v>
      </c>
      <c r="C638">
        <v>16535800</v>
      </c>
      <c r="D638">
        <f t="shared" si="18"/>
        <v>-2.8569515207526762E-3</v>
      </c>
      <c r="G638" s="17" t="s">
        <v>3530</v>
      </c>
      <c r="H638">
        <v>3374410000</v>
      </c>
      <c r="J638">
        <f t="shared" si="19"/>
        <v>3.123842327936699E-3</v>
      </c>
      <c r="K638">
        <v>1</v>
      </c>
    </row>
    <row r="639" spans="1:11">
      <c r="A639" s="16">
        <v>42985</v>
      </c>
      <c r="B639" s="17" t="s">
        <v>652</v>
      </c>
      <c r="C639">
        <v>17471200</v>
      </c>
      <c r="D639">
        <f t="shared" si="18"/>
        <v>1.2725058725881368E-2</v>
      </c>
      <c r="G639" s="17" t="s">
        <v>3534</v>
      </c>
      <c r="H639">
        <v>3353930000</v>
      </c>
      <c r="J639">
        <f t="shared" si="19"/>
        <v>-1.7845188005765874E-4</v>
      </c>
      <c r="K639">
        <v>1</v>
      </c>
    </row>
    <row r="640" spans="1:11">
      <c r="A640" s="16">
        <v>42986</v>
      </c>
      <c r="B640" s="17" t="s">
        <v>653</v>
      </c>
      <c r="C640">
        <v>14703800</v>
      </c>
      <c r="D640">
        <f t="shared" si="18"/>
        <v>-4.8541661595843041E-3</v>
      </c>
      <c r="G640" s="17" t="s">
        <v>3538</v>
      </c>
      <c r="H640">
        <v>3302490000</v>
      </c>
      <c r="J640">
        <f t="shared" si="19"/>
        <v>-1.4899601369018473E-3</v>
      </c>
      <c r="K640">
        <v>1</v>
      </c>
    </row>
    <row r="641" spans="1:11">
      <c r="A641" s="16">
        <v>42989</v>
      </c>
      <c r="B641" s="17" t="s">
        <v>654</v>
      </c>
      <c r="C641">
        <v>17910400</v>
      </c>
      <c r="D641">
        <f t="shared" si="18"/>
        <v>1.0488098273365439E-2</v>
      </c>
      <c r="G641" s="17" t="s">
        <v>3541</v>
      </c>
      <c r="H641">
        <v>3291760000</v>
      </c>
      <c r="J641">
        <f t="shared" si="19"/>
        <v>1.0780974881588173E-2</v>
      </c>
      <c r="K641">
        <v>1</v>
      </c>
    </row>
    <row r="642" spans="1:11">
      <c r="A642" s="16">
        <v>42990</v>
      </c>
      <c r="B642" s="17" t="s">
        <v>655</v>
      </c>
      <c r="C642">
        <v>14394900</v>
      </c>
      <c r="D642">
        <f t="shared" si="18"/>
        <v>-1.0705721656052158E-3</v>
      </c>
      <c r="G642" s="17" t="s">
        <v>3545</v>
      </c>
      <c r="H642">
        <v>3230920000</v>
      </c>
      <c r="J642">
        <f t="shared" si="19"/>
        <v>3.3583025766751994E-3</v>
      </c>
      <c r="K642">
        <v>1</v>
      </c>
    </row>
    <row r="643" spans="1:11">
      <c r="A643" s="16">
        <v>42991</v>
      </c>
      <c r="B643" s="17" t="s">
        <v>656</v>
      </c>
      <c r="C643">
        <v>13380800</v>
      </c>
      <c r="D643">
        <f t="shared" si="18"/>
        <v>7.0719333027703651E-3</v>
      </c>
      <c r="G643" s="17" t="s">
        <v>3547</v>
      </c>
      <c r="H643">
        <v>3368050000</v>
      </c>
      <c r="J643">
        <f t="shared" si="19"/>
        <v>7.5683436079784804E-4</v>
      </c>
      <c r="K643">
        <v>1</v>
      </c>
    </row>
    <row r="644" spans="1:11">
      <c r="A644" s="16">
        <v>42992</v>
      </c>
      <c r="B644" s="17" t="s">
        <v>648</v>
      </c>
      <c r="C644">
        <v>15733900</v>
      </c>
      <c r="D644">
        <f t="shared" si="18"/>
        <v>-5.8674827637765631E-3</v>
      </c>
      <c r="G644" s="17" t="s">
        <v>3552</v>
      </c>
      <c r="H644">
        <v>3414460000</v>
      </c>
      <c r="J644">
        <f t="shared" si="19"/>
        <v>-1.101323850910665E-3</v>
      </c>
      <c r="K644">
        <v>1</v>
      </c>
    </row>
    <row r="645" spans="1:11">
      <c r="A645" s="16">
        <v>42993</v>
      </c>
      <c r="B645" s="17" t="s">
        <v>657</v>
      </c>
      <c r="C645">
        <v>38578400</v>
      </c>
      <c r="D645">
        <f t="shared" ref="D645:D708" si="20">LN(B645/B644)</f>
        <v>7.1959407096923627E-3</v>
      </c>
      <c r="G645" s="17" t="s">
        <v>3554</v>
      </c>
      <c r="H645">
        <v>4853170000</v>
      </c>
      <c r="J645">
        <f t="shared" ref="J645:J708" si="21">LN(G645/G644)</f>
        <v>1.8454774338082527E-3</v>
      </c>
      <c r="K645">
        <v>1</v>
      </c>
    </row>
    <row r="646" spans="1:11">
      <c r="A646" s="16">
        <v>42996</v>
      </c>
      <c r="B646" s="17" t="s">
        <v>658</v>
      </c>
      <c r="C646">
        <v>23307000</v>
      </c>
      <c r="D646">
        <f t="shared" si="20"/>
        <v>-1.9935569370974344E-3</v>
      </c>
      <c r="G646" s="17" t="s">
        <v>3559</v>
      </c>
      <c r="H646">
        <v>3194300000</v>
      </c>
      <c r="J646">
        <f t="shared" si="21"/>
        <v>1.4548620417280834E-3</v>
      </c>
      <c r="K646">
        <v>1</v>
      </c>
    </row>
    <row r="647" spans="1:11">
      <c r="A647" s="16">
        <v>42997</v>
      </c>
      <c r="B647" s="17" t="s">
        <v>659</v>
      </c>
      <c r="C647">
        <v>16093300</v>
      </c>
      <c r="D647">
        <f t="shared" si="20"/>
        <v>3.71856625252398E-3</v>
      </c>
      <c r="G647" s="17" t="s">
        <v>3563</v>
      </c>
      <c r="H647">
        <v>3249100000</v>
      </c>
      <c r="J647">
        <f t="shared" si="21"/>
        <v>1.1095795544803473E-3</v>
      </c>
      <c r="K647">
        <v>1</v>
      </c>
    </row>
    <row r="648" spans="1:11">
      <c r="A648" s="16">
        <v>42998</v>
      </c>
      <c r="B648" s="17" t="s">
        <v>660</v>
      </c>
      <c r="C648">
        <v>21587900</v>
      </c>
      <c r="D648">
        <f t="shared" si="20"/>
        <v>-6.649963036464787E-3</v>
      </c>
      <c r="G648" s="17" t="s">
        <v>3567</v>
      </c>
      <c r="H648">
        <v>3530010000</v>
      </c>
      <c r="J648">
        <f t="shared" si="21"/>
        <v>6.3414674600274703E-4</v>
      </c>
      <c r="K648">
        <v>1</v>
      </c>
    </row>
    <row r="649" spans="1:11">
      <c r="A649" s="16">
        <v>42999</v>
      </c>
      <c r="B649" s="17" t="s">
        <v>661</v>
      </c>
      <c r="C649">
        <v>19186100</v>
      </c>
      <c r="D649">
        <f t="shared" si="20"/>
        <v>-9.789031959026466E-3</v>
      </c>
      <c r="G649" s="17" t="s">
        <v>3570</v>
      </c>
      <c r="H649">
        <v>2930860000</v>
      </c>
      <c r="J649">
        <f t="shared" si="21"/>
        <v>-3.0505657160058717E-3</v>
      </c>
      <c r="K649">
        <v>1</v>
      </c>
    </row>
    <row r="650" spans="1:11">
      <c r="A650" s="16">
        <v>43000</v>
      </c>
      <c r="B650" s="17" t="s">
        <v>662</v>
      </c>
      <c r="C650">
        <v>14111400</v>
      </c>
      <c r="D650">
        <f t="shared" si="20"/>
        <v>2.6915280501624084E-3</v>
      </c>
      <c r="G650" s="17" t="s">
        <v>3574</v>
      </c>
      <c r="H650">
        <v>2865960000</v>
      </c>
      <c r="J650">
        <f t="shared" si="21"/>
        <v>6.4758397634472411E-4</v>
      </c>
      <c r="K650">
        <v>1</v>
      </c>
    </row>
    <row r="651" spans="1:11">
      <c r="A651" s="16">
        <v>43003</v>
      </c>
      <c r="B651" s="17" t="s">
        <v>663</v>
      </c>
      <c r="C651">
        <v>24149200</v>
      </c>
      <c r="D651">
        <f t="shared" si="20"/>
        <v>-1.5575625953720118E-2</v>
      </c>
      <c r="G651" s="17" t="s">
        <v>3578</v>
      </c>
      <c r="H651">
        <v>3297890000</v>
      </c>
      <c r="J651">
        <f t="shared" si="21"/>
        <v>-2.2245228623069533E-3</v>
      </c>
      <c r="K651">
        <v>1</v>
      </c>
    </row>
    <row r="652" spans="1:11">
      <c r="A652" s="16">
        <v>43004</v>
      </c>
      <c r="B652" s="17" t="s">
        <v>663</v>
      </c>
      <c r="C652">
        <v>18019600</v>
      </c>
      <c r="D652">
        <f t="shared" si="20"/>
        <v>0</v>
      </c>
      <c r="G652" s="17" t="s">
        <v>3582</v>
      </c>
      <c r="H652">
        <v>3043110000</v>
      </c>
      <c r="J652">
        <f t="shared" si="21"/>
        <v>7.2164213508689904E-5</v>
      </c>
      <c r="K652">
        <v>1</v>
      </c>
    </row>
    <row r="653" spans="1:11">
      <c r="A653" s="16">
        <v>43005</v>
      </c>
      <c r="B653" s="17" t="s">
        <v>664</v>
      </c>
      <c r="C653">
        <v>19565100</v>
      </c>
      <c r="D653">
        <f t="shared" si="20"/>
        <v>8.0212949664849459E-3</v>
      </c>
      <c r="G653" s="17" t="s">
        <v>3586</v>
      </c>
      <c r="H653">
        <v>3456030000</v>
      </c>
      <c r="J653">
        <f t="shared" si="21"/>
        <v>4.0768223332528133E-3</v>
      </c>
      <c r="K653">
        <v>1</v>
      </c>
    </row>
    <row r="654" spans="1:11">
      <c r="A654" s="16">
        <v>43006</v>
      </c>
      <c r="B654" s="17" t="s">
        <v>665</v>
      </c>
      <c r="C654">
        <v>10883800</v>
      </c>
      <c r="D654">
        <f t="shared" si="20"/>
        <v>2.7091077464507944E-4</v>
      </c>
      <c r="G654" s="17" t="s">
        <v>3590</v>
      </c>
      <c r="H654">
        <v>3168620000</v>
      </c>
      <c r="J654">
        <f t="shared" si="21"/>
        <v>1.2038908157165553E-3</v>
      </c>
      <c r="K654">
        <v>1</v>
      </c>
    </row>
    <row r="655" spans="1:11">
      <c r="A655" s="16">
        <v>43007</v>
      </c>
      <c r="B655" s="17" t="s">
        <v>666</v>
      </c>
      <c r="C655">
        <v>17079100</v>
      </c>
      <c r="D655">
        <f t="shared" si="20"/>
        <v>8.3579727726990072E-3</v>
      </c>
      <c r="G655" s="17" t="s">
        <v>3594</v>
      </c>
      <c r="H655">
        <v>3211920000</v>
      </c>
      <c r="J655">
        <f t="shared" si="21"/>
        <v>3.6982627391968716E-3</v>
      </c>
      <c r="K655">
        <v>1</v>
      </c>
    </row>
    <row r="656" spans="1:11">
      <c r="A656" s="16">
        <v>43010</v>
      </c>
      <c r="B656" s="17" t="s">
        <v>667</v>
      </c>
      <c r="C656">
        <v>15304800</v>
      </c>
      <c r="D656">
        <f t="shared" si="20"/>
        <v>1.609527502289455E-3</v>
      </c>
      <c r="G656" s="17" t="s">
        <v>3598</v>
      </c>
      <c r="H656">
        <v>3199730000</v>
      </c>
      <c r="J656">
        <f t="shared" si="21"/>
        <v>3.8665189230292019E-3</v>
      </c>
      <c r="K656">
        <v>1</v>
      </c>
    </row>
    <row r="657" spans="1:11">
      <c r="A657" s="16">
        <v>43011</v>
      </c>
      <c r="B657" s="17" t="s">
        <v>668</v>
      </c>
      <c r="C657">
        <v>12190400</v>
      </c>
      <c r="D657">
        <f t="shared" si="20"/>
        <v>-4.7018855267785976E-3</v>
      </c>
      <c r="G657" s="17" t="s">
        <v>3602</v>
      </c>
      <c r="H657">
        <v>3068850000</v>
      </c>
      <c r="J657">
        <f t="shared" si="21"/>
        <v>2.1565112094796657E-3</v>
      </c>
      <c r="K657">
        <v>1</v>
      </c>
    </row>
    <row r="658" spans="1:11">
      <c r="A658" s="16">
        <v>43012</v>
      </c>
      <c r="B658" s="17" t="s">
        <v>669</v>
      </c>
      <c r="C658">
        <v>13317700</v>
      </c>
      <c r="D658">
        <f t="shared" si="20"/>
        <v>5.7736707454368041E-3</v>
      </c>
      <c r="G658" s="17" t="s">
        <v>3606</v>
      </c>
      <c r="H658">
        <v>3017120000</v>
      </c>
      <c r="J658">
        <f t="shared" si="21"/>
        <v>1.2459436180757644E-3</v>
      </c>
      <c r="K658">
        <v>1</v>
      </c>
    </row>
    <row r="659" spans="1:11">
      <c r="A659" s="16">
        <v>43013</v>
      </c>
      <c r="B659" s="17" t="s">
        <v>670</v>
      </c>
      <c r="C659">
        <v>21195300</v>
      </c>
      <c r="D659">
        <f t="shared" si="20"/>
        <v>1.6992237636949112E-2</v>
      </c>
      <c r="G659" s="17" t="s">
        <v>3610</v>
      </c>
      <c r="H659">
        <v>3045120000</v>
      </c>
      <c r="J659">
        <f t="shared" si="21"/>
        <v>5.6309039828313749E-3</v>
      </c>
      <c r="K659">
        <v>1</v>
      </c>
    </row>
    <row r="660" spans="1:11">
      <c r="A660" s="16">
        <v>43014</v>
      </c>
      <c r="B660" s="17" t="s">
        <v>671</v>
      </c>
      <c r="C660">
        <v>13959800</v>
      </c>
      <c r="D660">
        <f t="shared" si="20"/>
        <v>3.9496750821699293E-4</v>
      </c>
      <c r="G660" s="17" t="s">
        <v>3614</v>
      </c>
      <c r="H660">
        <v>2884570000</v>
      </c>
      <c r="J660">
        <f t="shared" si="21"/>
        <v>-1.0742110734551899E-3</v>
      </c>
      <c r="K660">
        <v>1</v>
      </c>
    </row>
    <row r="661" spans="1:11">
      <c r="A661" s="16">
        <v>43017</v>
      </c>
      <c r="B661" s="17" t="s">
        <v>672</v>
      </c>
      <c r="C661">
        <v>11386500</v>
      </c>
      <c r="D661">
        <f t="shared" si="20"/>
        <v>3.808534368775947E-3</v>
      </c>
      <c r="G661" s="17" t="s">
        <v>3618</v>
      </c>
      <c r="H661">
        <v>2483970000</v>
      </c>
      <c r="J661">
        <f t="shared" si="21"/>
        <v>-1.8060640031853121E-3</v>
      </c>
      <c r="K661">
        <v>1</v>
      </c>
    </row>
    <row r="662" spans="1:11">
      <c r="A662" s="16">
        <v>43018</v>
      </c>
      <c r="B662" s="17" t="s">
        <v>672</v>
      </c>
      <c r="C662">
        <v>13944500</v>
      </c>
      <c r="D662">
        <f t="shared" si="20"/>
        <v>0</v>
      </c>
      <c r="G662" s="17" t="s">
        <v>3622</v>
      </c>
      <c r="H662">
        <v>2960500000</v>
      </c>
      <c r="J662">
        <f t="shared" si="21"/>
        <v>2.3197199800818369E-3</v>
      </c>
      <c r="K662">
        <v>1</v>
      </c>
    </row>
    <row r="663" spans="1:11">
      <c r="A663" s="16">
        <v>43019</v>
      </c>
      <c r="B663" s="17" t="s">
        <v>673</v>
      </c>
      <c r="C663">
        <v>15388900</v>
      </c>
      <c r="D663">
        <f t="shared" si="20"/>
        <v>1.7024604159661754E-3</v>
      </c>
      <c r="G663" s="17" t="s">
        <v>3624</v>
      </c>
      <c r="H663">
        <v>2976090000</v>
      </c>
      <c r="J663">
        <f t="shared" si="21"/>
        <v>1.8018826725406682E-3</v>
      </c>
      <c r="K663">
        <v>1</v>
      </c>
    </row>
    <row r="664" spans="1:11">
      <c r="A664" s="16">
        <v>43020</v>
      </c>
      <c r="B664" s="17" t="s">
        <v>674</v>
      </c>
      <c r="C664">
        <v>16876500</v>
      </c>
      <c r="D664">
        <f t="shared" si="20"/>
        <v>9.1181090710511295E-3</v>
      </c>
      <c r="G664" s="17" t="s">
        <v>3629</v>
      </c>
      <c r="H664">
        <v>3151510000</v>
      </c>
      <c r="J664">
        <f t="shared" si="21"/>
        <v>-1.688176887748127E-3</v>
      </c>
      <c r="K664">
        <v>1</v>
      </c>
    </row>
    <row r="665" spans="1:11">
      <c r="A665" s="16">
        <v>43021</v>
      </c>
      <c r="B665" s="17" t="s">
        <v>675</v>
      </c>
      <c r="C665">
        <v>15335700</v>
      </c>
      <c r="D665">
        <f t="shared" si="20"/>
        <v>4.786271818737085E-3</v>
      </c>
      <c r="G665" s="17" t="s">
        <v>3633</v>
      </c>
      <c r="H665">
        <v>3149440000</v>
      </c>
      <c r="J665">
        <f t="shared" si="21"/>
        <v>8.7772191292505937E-4</v>
      </c>
      <c r="K665">
        <v>1</v>
      </c>
    </row>
    <row r="666" spans="1:11">
      <c r="A666" s="16">
        <v>43024</v>
      </c>
      <c r="B666" s="17" t="s">
        <v>676</v>
      </c>
      <c r="C666">
        <v>12380100</v>
      </c>
      <c r="D666">
        <f t="shared" si="20"/>
        <v>2.0627857175702295E-3</v>
      </c>
      <c r="G666" s="17" t="s">
        <v>3637</v>
      </c>
      <c r="H666">
        <v>2916020000</v>
      </c>
      <c r="J666">
        <f t="shared" si="21"/>
        <v>1.7492226482939653E-3</v>
      </c>
      <c r="K666">
        <v>1</v>
      </c>
    </row>
    <row r="667" spans="1:11">
      <c r="A667" s="16">
        <v>43025</v>
      </c>
      <c r="B667" s="17" t="s">
        <v>677</v>
      </c>
      <c r="C667">
        <v>16824000</v>
      </c>
      <c r="D667">
        <f t="shared" si="20"/>
        <v>-7.7298742457087395E-4</v>
      </c>
      <c r="G667" s="17" t="s">
        <v>3641</v>
      </c>
      <c r="H667">
        <v>2889390000</v>
      </c>
      <c r="J667">
        <f t="shared" si="21"/>
        <v>6.7235257565088588E-4</v>
      </c>
      <c r="K667">
        <v>1</v>
      </c>
    </row>
    <row r="668" spans="1:11">
      <c r="A668" s="16">
        <v>43026</v>
      </c>
      <c r="B668" s="17" t="s">
        <v>678</v>
      </c>
      <c r="C668">
        <v>13300700</v>
      </c>
      <c r="D668">
        <f t="shared" si="20"/>
        <v>2.5766631325527034E-4</v>
      </c>
      <c r="G668" s="17" t="s">
        <v>3645</v>
      </c>
      <c r="H668">
        <v>2998090000</v>
      </c>
      <c r="J668">
        <f t="shared" si="21"/>
        <v>7.4205976767338102E-4</v>
      </c>
      <c r="K668">
        <v>1</v>
      </c>
    </row>
    <row r="669" spans="1:11">
      <c r="A669" s="16">
        <v>43027</v>
      </c>
      <c r="B669" s="17" t="s">
        <v>679</v>
      </c>
      <c r="C669">
        <v>15092800</v>
      </c>
      <c r="D669">
        <f t="shared" si="20"/>
        <v>3.8581571583444457E-3</v>
      </c>
      <c r="G669" s="17" t="s">
        <v>3649</v>
      </c>
      <c r="H669">
        <v>2990710000</v>
      </c>
      <c r="J669">
        <f t="shared" si="21"/>
        <v>3.2794415766991368E-4</v>
      </c>
      <c r="K669">
        <v>1</v>
      </c>
    </row>
    <row r="670" spans="1:11">
      <c r="A670" s="16">
        <v>43028</v>
      </c>
      <c r="B670" s="17" t="s">
        <v>680</v>
      </c>
      <c r="C670">
        <v>22866400</v>
      </c>
      <c r="D670">
        <f t="shared" si="20"/>
        <v>1.1485559204868811E-2</v>
      </c>
      <c r="G670" s="17" t="s">
        <v>3652</v>
      </c>
      <c r="H670">
        <v>3384650000</v>
      </c>
      <c r="J670">
        <f t="shared" si="21"/>
        <v>5.1037960751330715E-3</v>
      </c>
      <c r="K670">
        <v>1</v>
      </c>
    </row>
    <row r="671" spans="1:11">
      <c r="A671" s="16">
        <v>43031</v>
      </c>
      <c r="B671" s="17" t="s">
        <v>681</v>
      </c>
      <c r="C671">
        <v>20627200</v>
      </c>
      <c r="D671">
        <f t="shared" si="20"/>
        <v>2.5366486667373816E-4</v>
      </c>
      <c r="G671" s="17" t="s">
        <v>3656</v>
      </c>
      <c r="H671">
        <v>3211710000</v>
      </c>
      <c r="J671">
        <f t="shared" si="21"/>
        <v>-3.9803955200169707E-3</v>
      </c>
      <c r="K671">
        <v>1</v>
      </c>
    </row>
    <row r="672" spans="1:11">
      <c r="A672" s="16">
        <v>43032</v>
      </c>
      <c r="B672" s="17" t="s">
        <v>682</v>
      </c>
      <c r="C672">
        <v>17517200</v>
      </c>
      <c r="D672">
        <f t="shared" si="20"/>
        <v>3.8044265552434633E-4</v>
      </c>
      <c r="G672" s="17" t="s">
        <v>3660</v>
      </c>
      <c r="H672">
        <v>3427330000</v>
      </c>
      <c r="J672">
        <f t="shared" si="21"/>
        <v>1.6166011302900614E-3</v>
      </c>
      <c r="K672">
        <v>1</v>
      </c>
    </row>
    <row r="673" spans="1:11">
      <c r="A673" s="16">
        <v>43033</v>
      </c>
      <c r="B673" s="17" t="s">
        <v>683</v>
      </c>
      <c r="C673">
        <v>20410800</v>
      </c>
      <c r="D673">
        <f t="shared" si="20"/>
        <v>-2.9206531077623382E-3</v>
      </c>
      <c r="G673" s="17" t="s">
        <v>3664</v>
      </c>
      <c r="H673">
        <v>3874510000</v>
      </c>
      <c r="J673">
        <f t="shared" si="21"/>
        <v>-4.673955894668895E-3</v>
      </c>
      <c r="K673">
        <v>1</v>
      </c>
    </row>
    <row r="674" spans="1:11">
      <c r="A674" s="16">
        <v>43034</v>
      </c>
      <c r="B674" s="17" t="s">
        <v>684</v>
      </c>
      <c r="C674">
        <v>32120700</v>
      </c>
      <c r="D674">
        <f t="shared" si="20"/>
        <v>1.6517318998436311E-3</v>
      </c>
      <c r="G674" s="17" t="s">
        <v>3668</v>
      </c>
      <c r="H674">
        <v>3869050000</v>
      </c>
      <c r="J674">
        <f t="shared" si="21"/>
        <v>1.270139250772935E-3</v>
      </c>
      <c r="K674">
        <v>1</v>
      </c>
    </row>
    <row r="675" spans="1:11">
      <c r="A675" s="16">
        <v>43035</v>
      </c>
      <c r="B675" s="17" t="s">
        <v>685</v>
      </c>
      <c r="C675">
        <v>71066700</v>
      </c>
      <c r="D675">
        <f t="shared" si="20"/>
        <v>6.2147098317109045E-2</v>
      </c>
      <c r="G675" s="17" t="s">
        <v>3672</v>
      </c>
      <c r="H675">
        <v>3887110000</v>
      </c>
      <c r="J675">
        <f t="shared" si="21"/>
        <v>8.040609974748418E-3</v>
      </c>
      <c r="K675">
        <v>1</v>
      </c>
    </row>
    <row r="676" spans="1:11">
      <c r="A676" s="16">
        <v>43038</v>
      </c>
      <c r="B676" s="17" t="s">
        <v>686</v>
      </c>
      <c r="C676">
        <v>31756700</v>
      </c>
      <c r="D676">
        <f t="shared" si="20"/>
        <v>9.5418916899277998E-4</v>
      </c>
      <c r="G676" s="17" t="s">
        <v>3676</v>
      </c>
      <c r="H676">
        <v>3658870000</v>
      </c>
      <c r="J676">
        <f t="shared" si="21"/>
        <v>-3.1975772860904912E-3</v>
      </c>
      <c r="K676">
        <v>1</v>
      </c>
    </row>
    <row r="677" spans="1:11">
      <c r="A677" s="16">
        <v>43039</v>
      </c>
      <c r="B677" s="17" t="s">
        <v>687</v>
      </c>
      <c r="C677">
        <v>27086600</v>
      </c>
      <c r="D677">
        <f t="shared" si="20"/>
        <v>-8.4994907510489836E-3</v>
      </c>
      <c r="G677" s="17" t="s">
        <v>3679</v>
      </c>
      <c r="H677">
        <v>3827230000</v>
      </c>
      <c r="J677">
        <f t="shared" si="21"/>
        <v>9.4401307627437045E-4</v>
      </c>
      <c r="K677">
        <v>1</v>
      </c>
    </row>
    <row r="678" spans="1:11">
      <c r="A678" s="16">
        <v>43040</v>
      </c>
      <c r="B678" s="17" t="s">
        <v>687</v>
      </c>
      <c r="C678">
        <v>22307400</v>
      </c>
      <c r="D678">
        <f t="shared" si="20"/>
        <v>0</v>
      </c>
      <c r="G678" s="17" t="s">
        <v>3683</v>
      </c>
      <c r="H678">
        <v>3813180000</v>
      </c>
      <c r="J678">
        <f t="shared" si="21"/>
        <v>1.5908438533357942E-3</v>
      </c>
      <c r="K678">
        <v>1</v>
      </c>
    </row>
    <row r="679" spans="1:11">
      <c r="A679" s="16">
        <v>43041</v>
      </c>
      <c r="B679" s="17" t="s">
        <v>688</v>
      </c>
      <c r="C679">
        <v>23992900</v>
      </c>
      <c r="D679">
        <f t="shared" si="20"/>
        <v>1.0404956324170243E-2</v>
      </c>
      <c r="G679" s="17" t="s">
        <v>3687</v>
      </c>
      <c r="H679">
        <v>4048270000</v>
      </c>
      <c r="J679">
        <f t="shared" si="21"/>
        <v>1.8994806646887061E-4</v>
      </c>
      <c r="K679">
        <v>1</v>
      </c>
    </row>
    <row r="680" spans="1:11">
      <c r="A680" s="16">
        <v>43042</v>
      </c>
      <c r="B680" s="17" t="s">
        <v>689</v>
      </c>
      <c r="C680">
        <v>17633500</v>
      </c>
      <c r="D680">
        <f t="shared" si="20"/>
        <v>1.0701498256046561E-3</v>
      </c>
      <c r="G680" s="17" t="s">
        <v>3691</v>
      </c>
      <c r="H680">
        <v>3567710000</v>
      </c>
      <c r="J680">
        <f t="shared" si="21"/>
        <v>3.0922892353351652E-3</v>
      </c>
      <c r="K680">
        <v>1</v>
      </c>
    </row>
    <row r="681" spans="1:11">
      <c r="A681" s="16">
        <v>43045</v>
      </c>
      <c r="B681" s="17" t="s">
        <v>690</v>
      </c>
      <c r="C681">
        <v>19860900</v>
      </c>
      <c r="D681">
        <f t="shared" si="20"/>
        <v>3.9145324841498748E-3</v>
      </c>
      <c r="G681" s="17" t="s">
        <v>3695</v>
      </c>
      <c r="H681">
        <v>3539080000</v>
      </c>
      <c r="J681">
        <f t="shared" si="21"/>
        <v>1.2704439148736187E-3</v>
      </c>
      <c r="K681">
        <v>1</v>
      </c>
    </row>
    <row r="682" spans="1:11">
      <c r="A682" s="16">
        <v>43046</v>
      </c>
      <c r="B682" s="17" t="s">
        <v>691</v>
      </c>
      <c r="C682">
        <v>17939700</v>
      </c>
      <c r="D682">
        <f t="shared" si="20"/>
        <v>-2.3707836379158256E-3</v>
      </c>
      <c r="G682" s="17" t="s">
        <v>3699</v>
      </c>
      <c r="H682">
        <v>3809650000</v>
      </c>
      <c r="J682">
        <f t="shared" si="21"/>
        <v>-1.8912071459828347E-4</v>
      </c>
      <c r="K682">
        <v>1</v>
      </c>
    </row>
    <row r="683" spans="1:11">
      <c r="A683" s="16">
        <v>43047</v>
      </c>
      <c r="B683" s="17" t="s">
        <v>692</v>
      </c>
      <c r="C683">
        <v>18034200</v>
      </c>
      <c r="D683">
        <f t="shared" si="20"/>
        <v>3.4354183579071431E-3</v>
      </c>
      <c r="G683" s="17" t="s">
        <v>3703</v>
      </c>
      <c r="H683">
        <v>3899360000</v>
      </c>
      <c r="J683">
        <f t="shared" si="21"/>
        <v>1.4426138414861736E-3</v>
      </c>
      <c r="K683">
        <v>1</v>
      </c>
    </row>
    <row r="684" spans="1:11">
      <c r="A684" s="16">
        <v>43048</v>
      </c>
      <c r="B684" s="17" t="s">
        <v>693</v>
      </c>
      <c r="C684">
        <v>21178400</v>
      </c>
      <c r="D684">
        <f t="shared" si="20"/>
        <v>-5.5737432000680272E-3</v>
      </c>
      <c r="G684" s="17" t="s">
        <v>3707</v>
      </c>
      <c r="H684">
        <v>3831610000</v>
      </c>
      <c r="J684">
        <f t="shared" si="21"/>
        <v>-3.7689814841862911E-3</v>
      </c>
      <c r="K684">
        <v>1</v>
      </c>
    </row>
    <row r="685" spans="1:11">
      <c r="A685" s="16">
        <v>43049</v>
      </c>
      <c r="B685" s="17" t="s">
        <v>694</v>
      </c>
      <c r="C685">
        <v>19397800</v>
      </c>
      <c r="D685">
        <f t="shared" si="20"/>
        <v>-2.619414519376737E-3</v>
      </c>
      <c r="G685" s="17" t="s">
        <v>3711</v>
      </c>
      <c r="H685">
        <v>3486910000</v>
      </c>
      <c r="J685">
        <f t="shared" si="21"/>
        <v>-8.9804683695034952E-4</v>
      </c>
      <c r="K685">
        <v>1</v>
      </c>
    </row>
    <row r="686" spans="1:11">
      <c r="A686" s="16">
        <v>43052</v>
      </c>
      <c r="B686" s="17" t="s">
        <v>695</v>
      </c>
      <c r="C686">
        <v>14196900</v>
      </c>
      <c r="D686">
        <f t="shared" si="20"/>
        <v>7.1502932359483132E-4</v>
      </c>
      <c r="G686" s="17" t="s">
        <v>3715</v>
      </c>
      <c r="H686">
        <v>3402930000</v>
      </c>
      <c r="J686">
        <f t="shared" si="21"/>
        <v>9.831508870482928E-4</v>
      </c>
      <c r="K686">
        <v>1</v>
      </c>
    </row>
    <row r="687" spans="1:11">
      <c r="A687" s="16">
        <v>43053</v>
      </c>
      <c r="B687" s="17" t="s">
        <v>688</v>
      </c>
      <c r="C687">
        <v>18801300</v>
      </c>
      <c r="D687">
        <f t="shared" si="20"/>
        <v>1.4288113661040619E-3</v>
      </c>
      <c r="G687" s="17" t="s">
        <v>3718</v>
      </c>
      <c r="H687">
        <v>3641760000</v>
      </c>
      <c r="J687">
        <f t="shared" si="21"/>
        <v>-2.3122806753022251E-3</v>
      </c>
      <c r="K687">
        <v>1</v>
      </c>
    </row>
    <row r="688" spans="1:11">
      <c r="A688" s="16">
        <v>43054</v>
      </c>
      <c r="B688" s="17" t="s">
        <v>696</v>
      </c>
      <c r="C688">
        <v>19383100</v>
      </c>
      <c r="D688">
        <f t="shared" si="20"/>
        <v>-7.8026005352264559E-3</v>
      </c>
      <c r="G688" s="17" t="s">
        <v>3722</v>
      </c>
      <c r="H688">
        <v>3558890000</v>
      </c>
      <c r="J688">
        <f t="shared" si="21"/>
        <v>-5.5409987425276332E-3</v>
      </c>
      <c r="K688">
        <v>1</v>
      </c>
    </row>
    <row r="689" spans="1:11">
      <c r="A689" s="16">
        <v>43055</v>
      </c>
      <c r="B689" s="17" t="s">
        <v>697</v>
      </c>
      <c r="C689">
        <v>20962800</v>
      </c>
      <c r="D689">
        <f t="shared" si="20"/>
        <v>2.6475477411102375E-3</v>
      </c>
      <c r="G689" s="17" t="s">
        <v>3725</v>
      </c>
      <c r="H689">
        <v>3312710000</v>
      </c>
      <c r="J689">
        <f t="shared" si="21"/>
        <v>8.1626530192433662E-3</v>
      </c>
      <c r="K689">
        <v>1</v>
      </c>
    </row>
    <row r="690" spans="1:11">
      <c r="A690" s="16">
        <v>43056</v>
      </c>
      <c r="B690" s="17" t="s">
        <v>698</v>
      </c>
      <c r="C690">
        <v>22079000</v>
      </c>
      <c r="D690">
        <f t="shared" si="20"/>
        <v>-9.6617524274448773E-3</v>
      </c>
      <c r="G690" s="17" t="s">
        <v>3729</v>
      </c>
      <c r="H690">
        <v>3300160000</v>
      </c>
      <c r="J690">
        <f t="shared" si="21"/>
        <v>-2.6294170087623257E-3</v>
      </c>
      <c r="K690">
        <v>1</v>
      </c>
    </row>
    <row r="691" spans="1:11">
      <c r="A691" s="16">
        <v>43059</v>
      </c>
      <c r="B691" s="17" t="s">
        <v>699</v>
      </c>
      <c r="C691">
        <v>16315000</v>
      </c>
      <c r="D691">
        <f t="shared" si="20"/>
        <v>1.5763027342826847E-3</v>
      </c>
      <c r="G691" s="17" t="s">
        <v>3733</v>
      </c>
      <c r="H691">
        <v>3003540000</v>
      </c>
      <c r="J691">
        <f t="shared" si="21"/>
        <v>1.2748699188762996E-3</v>
      </c>
      <c r="K691">
        <v>1</v>
      </c>
    </row>
    <row r="692" spans="1:11">
      <c r="A692" s="16">
        <v>43060</v>
      </c>
      <c r="B692" s="17" t="s">
        <v>700</v>
      </c>
      <c r="C692">
        <v>21237500</v>
      </c>
      <c r="D692">
        <f t="shared" si="20"/>
        <v>1.4316030973795123E-2</v>
      </c>
      <c r="G692" s="17" t="s">
        <v>3736</v>
      </c>
      <c r="H692">
        <v>3332720000</v>
      </c>
      <c r="J692">
        <f t="shared" si="21"/>
        <v>6.5198386021454125E-3</v>
      </c>
      <c r="K692">
        <v>1</v>
      </c>
    </row>
    <row r="693" spans="1:11">
      <c r="A693" s="16">
        <v>43061</v>
      </c>
      <c r="B693" s="17" t="s">
        <v>701</v>
      </c>
      <c r="C693">
        <v>20553100</v>
      </c>
      <c r="D693">
        <f t="shared" si="20"/>
        <v>-7.3126486612891698E-3</v>
      </c>
      <c r="G693" s="17" t="s">
        <v>3740</v>
      </c>
      <c r="H693">
        <v>2762950000</v>
      </c>
      <c r="J693">
        <f t="shared" si="21"/>
        <v>-7.5054263723523104E-4</v>
      </c>
      <c r="K693">
        <v>1</v>
      </c>
    </row>
    <row r="694" spans="1:11">
      <c r="A694" s="16">
        <v>43063</v>
      </c>
      <c r="B694" s="17" t="s">
        <v>702</v>
      </c>
      <c r="C694">
        <v>7425600</v>
      </c>
      <c r="D694">
        <f t="shared" si="20"/>
        <v>1.8029448943927327E-3</v>
      </c>
      <c r="G694" s="17" t="s">
        <v>3743</v>
      </c>
      <c r="H694">
        <v>1349780000</v>
      </c>
      <c r="J694">
        <f t="shared" si="21"/>
        <v>2.0539843743953862E-3</v>
      </c>
      <c r="K694">
        <v>1</v>
      </c>
    </row>
    <row r="695" spans="1:11">
      <c r="A695" s="16">
        <v>43066</v>
      </c>
      <c r="B695" s="17" t="s">
        <v>703</v>
      </c>
      <c r="C695">
        <v>18265200</v>
      </c>
      <c r="D695">
        <f t="shared" si="20"/>
        <v>7.2999068165429904E-3</v>
      </c>
      <c r="G695" s="17" t="s">
        <v>3747</v>
      </c>
      <c r="H695">
        <v>3006860000</v>
      </c>
      <c r="J695">
        <f t="shared" si="21"/>
        <v>-3.8433158678481715E-4</v>
      </c>
      <c r="K695">
        <v>1</v>
      </c>
    </row>
    <row r="696" spans="1:11">
      <c r="A696" s="16">
        <v>43067</v>
      </c>
      <c r="B696" s="17" t="s">
        <v>704</v>
      </c>
      <c r="C696">
        <v>21926000</v>
      </c>
      <c r="D696">
        <f t="shared" si="20"/>
        <v>1.1970447612166072E-2</v>
      </c>
      <c r="G696" s="17" t="s">
        <v>3751</v>
      </c>
      <c r="H696">
        <v>3488420000</v>
      </c>
      <c r="J696">
        <f t="shared" si="21"/>
        <v>9.8003321249518788E-3</v>
      </c>
      <c r="K696">
        <v>1</v>
      </c>
    </row>
    <row r="697" spans="1:11">
      <c r="A697" s="16">
        <v>43068</v>
      </c>
      <c r="B697" s="17" t="s">
        <v>705</v>
      </c>
      <c r="C697">
        <v>27381100</v>
      </c>
      <c r="D697">
        <f t="shared" si="20"/>
        <v>-1.8309917539179574E-2</v>
      </c>
      <c r="G697" s="17" t="s">
        <v>3755</v>
      </c>
      <c r="H697">
        <v>4078280000</v>
      </c>
      <c r="J697">
        <f t="shared" si="21"/>
        <v>-3.6929399584867401E-4</v>
      </c>
      <c r="K697">
        <v>1</v>
      </c>
    </row>
    <row r="698" spans="1:11">
      <c r="A698" s="16">
        <v>43069</v>
      </c>
      <c r="B698" s="17" t="s">
        <v>706</v>
      </c>
      <c r="C698">
        <v>33054600</v>
      </c>
      <c r="D698">
        <f t="shared" si="20"/>
        <v>9.9099088807149439E-3</v>
      </c>
      <c r="G698" s="17" t="s">
        <v>3758</v>
      </c>
      <c r="H698">
        <v>4938490000</v>
      </c>
      <c r="J698">
        <f t="shared" si="21"/>
        <v>8.1575867524471251E-3</v>
      </c>
      <c r="K698">
        <v>1</v>
      </c>
    </row>
    <row r="699" spans="1:11">
      <c r="A699" s="16">
        <v>43070</v>
      </c>
      <c r="B699" s="17" t="s">
        <v>707</v>
      </c>
      <c r="C699">
        <v>29532100</v>
      </c>
      <c r="D699">
        <f t="shared" si="20"/>
        <v>1.0688163980256784E-3</v>
      </c>
      <c r="G699" s="17" t="s">
        <v>3762</v>
      </c>
      <c r="H699">
        <v>3942320000</v>
      </c>
      <c r="J699">
        <f t="shared" si="21"/>
        <v>-2.0265827762343275E-3</v>
      </c>
      <c r="K699">
        <v>1</v>
      </c>
    </row>
    <row r="700" spans="1:11">
      <c r="A700" s="16">
        <v>43073</v>
      </c>
      <c r="B700" s="17" t="s">
        <v>708</v>
      </c>
      <c r="C700">
        <v>39094900</v>
      </c>
      <c r="D700">
        <f t="shared" si="20"/>
        <v>-3.8470865724226602E-2</v>
      </c>
      <c r="G700" s="17" t="s">
        <v>3766</v>
      </c>
      <c r="H700">
        <v>4023150000</v>
      </c>
      <c r="J700">
        <f t="shared" si="21"/>
        <v>-1.052710815559842E-3</v>
      </c>
      <c r="K700">
        <v>1</v>
      </c>
    </row>
    <row r="701" spans="1:11">
      <c r="A701" s="16">
        <v>43074</v>
      </c>
      <c r="B701" s="17" t="s">
        <v>709</v>
      </c>
      <c r="C701">
        <v>26152300</v>
      </c>
      <c r="D701">
        <f t="shared" si="20"/>
        <v>6.2701513148409275E-3</v>
      </c>
      <c r="G701" s="17" t="s">
        <v>3770</v>
      </c>
      <c r="H701">
        <v>3539040000</v>
      </c>
      <c r="J701">
        <f t="shared" si="21"/>
        <v>-3.7463905087070002E-3</v>
      </c>
      <c r="K701">
        <v>1</v>
      </c>
    </row>
    <row r="702" spans="1:11">
      <c r="A702" s="16">
        <v>43075</v>
      </c>
      <c r="B702" s="17" t="s">
        <v>710</v>
      </c>
      <c r="C702">
        <v>26162100</v>
      </c>
      <c r="D702">
        <f t="shared" si="20"/>
        <v>1.447977880769807E-2</v>
      </c>
      <c r="G702" s="17" t="s">
        <v>3774</v>
      </c>
      <c r="H702">
        <v>3229000000</v>
      </c>
      <c r="J702">
        <f t="shared" si="21"/>
        <v>-1.1411185558209418E-4</v>
      </c>
      <c r="K702">
        <v>1</v>
      </c>
    </row>
    <row r="703" spans="1:11">
      <c r="A703" s="16">
        <v>43076</v>
      </c>
      <c r="B703" s="17" t="s">
        <v>711</v>
      </c>
      <c r="C703">
        <v>23184500</v>
      </c>
      <c r="D703">
        <f t="shared" si="20"/>
        <v>-3.5094704756668317E-3</v>
      </c>
      <c r="G703" s="17" t="s">
        <v>3778</v>
      </c>
      <c r="H703">
        <v>3292400000</v>
      </c>
      <c r="J703">
        <f t="shared" si="21"/>
        <v>2.9280666540677323E-3</v>
      </c>
      <c r="K703">
        <v>1</v>
      </c>
    </row>
    <row r="704" spans="1:11">
      <c r="A704" s="16">
        <v>43077</v>
      </c>
      <c r="B704" s="17" t="s">
        <v>712</v>
      </c>
      <c r="C704">
        <v>24489100</v>
      </c>
      <c r="D704">
        <f t="shared" si="20"/>
        <v>2.0042888855096745E-2</v>
      </c>
      <c r="G704" s="17" t="s">
        <v>3782</v>
      </c>
      <c r="H704">
        <v>3106150000</v>
      </c>
      <c r="J704">
        <f t="shared" si="21"/>
        <v>5.4912022132783626E-3</v>
      </c>
      <c r="K704">
        <v>1</v>
      </c>
    </row>
    <row r="705" spans="1:11">
      <c r="A705" s="16">
        <v>43080</v>
      </c>
      <c r="B705" s="17" t="s">
        <v>713</v>
      </c>
      <c r="C705">
        <v>22857900</v>
      </c>
      <c r="D705">
        <f t="shared" si="20"/>
        <v>1.2633666485233203E-2</v>
      </c>
      <c r="G705" s="17" t="s">
        <v>3786</v>
      </c>
      <c r="H705">
        <v>3091950000</v>
      </c>
      <c r="J705">
        <f t="shared" si="21"/>
        <v>3.1968420335846677E-3</v>
      </c>
      <c r="K705">
        <v>1</v>
      </c>
    </row>
    <row r="706" spans="1:11">
      <c r="A706" s="16">
        <v>43081</v>
      </c>
      <c r="B706" s="17" t="s">
        <v>714</v>
      </c>
      <c r="C706">
        <v>23924100</v>
      </c>
      <c r="D706">
        <f t="shared" si="20"/>
        <v>4.0980814043230047E-3</v>
      </c>
      <c r="G706" s="17" t="s">
        <v>3790</v>
      </c>
      <c r="H706">
        <v>3555680000</v>
      </c>
      <c r="J706">
        <f t="shared" si="21"/>
        <v>1.5477236518457054E-3</v>
      </c>
      <c r="K706">
        <v>1</v>
      </c>
    </row>
    <row r="707" spans="1:11">
      <c r="A707" s="16">
        <v>43082</v>
      </c>
      <c r="B707" s="17" t="s">
        <v>715</v>
      </c>
      <c r="C707">
        <v>22062700</v>
      </c>
      <c r="D707">
        <f t="shared" si="20"/>
        <v>-2.6911366903609422E-3</v>
      </c>
      <c r="G707" s="17" t="s">
        <v>3793</v>
      </c>
      <c r="H707">
        <v>3542370000</v>
      </c>
      <c r="J707">
        <f t="shared" si="21"/>
        <v>-4.7306868270428188E-4</v>
      </c>
      <c r="K707">
        <v>1</v>
      </c>
    </row>
    <row r="708" spans="1:11">
      <c r="A708" s="16">
        <v>43083</v>
      </c>
      <c r="B708" s="17" t="s">
        <v>716</v>
      </c>
      <c r="C708">
        <v>19306000</v>
      </c>
      <c r="D708">
        <f t="shared" si="20"/>
        <v>-7.7629971061014998E-3</v>
      </c>
      <c r="G708" s="17" t="s">
        <v>3796</v>
      </c>
      <c r="H708">
        <v>3430030000</v>
      </c>
      <c r="J708">
        <f t="shared" si="21"/>
        <v>-4.0791677714772118E-3</v>
      </c>
      <c r="K708">
        <v>1</v>
      </c>
    </row>
    <row r="709" spans="1:11">
      <c r="A709" s="16">
        <v>43084</v>
      </c>
      <c r="B709" s="17" t="s">
        <v>717</v>
      </c>
      <c r="C709">
        <v>53936700</v>
      </c>
      <c r="D709">
        <f t="shared" ref="D709:D772" si="22">LN(B709/B708)</f>
        <v>2.5185063490207805E-2</v>
      </c>
      <c r="G709" s="17" t="s">
        <v>3800</v>
      </c>
      <c r="H709">
        <v>5723920000</v>
      </c>
      <c r="J709">
        <f t="shared" ref="J709:J772" si="23">LN(G709/G708)</f>
        <v>8.934313473589495E-3</v>
      </c>
      <c r="K709">
        <v>1</v>
      </c>
    </row>
    <row r="710" spans="1:11">
      <c r="A710" s="16">
        <v>43087</v>
      </c>
      <c r="B710" s="17" t="s">
        <v>718</v>
      </c>
      <c r="C710">
        <v>22283800</v>
      </c>
      <c r="D710">
        <f t="shared" si="22"/>
        <v>-5.4263566232770708E-3</v>
      </c>
      <c r="G710" s="17" t="s">
        <v>3803</v>
      </c>
      <c r="H710">
        <v>3724660000</v>
      </c>
      <c r="J710">
        <f t="shared" si="23"/>
        <v>5.3484783871170635E-3</v>
      </c>
      <c r="K710">
        <v>1</v>
      </c>
    </row>
    <row r="711" spans="1:11">
      <c r="A711" s="16">
        <v>43088</v>
      </c>
      <c r="B711" s="17" t="s">
        <v>719</v>
      </c>
      <c r="C711">
        <v>23524800</v>
      </c>
      <c r="D711">
        <f t="shared" si="22"/>
        <v>-6.3874617701972867E-3</v>
      </c>
      <c r="G711" s="17" t="s">
        <v>3807</v>
      </c>
      <c r="H711">
        <v>3368590000</v>
      </c>
      <c r="J711">
        <f t="shared" si="23"/>
        <v>-3.2354978917475585E-3</v>
      </c>
      <c r="K711">
        <v>1</v>
      </c>
    </row>
    <row r="712" spans="1:11">
      <c r="A712" s="16">
        <v>43089</v>
      </c>
      <c r="B712" s="17" t="s">
        <v>720</v>
      </c>
      <c r="C712">
        <v>23674900</v>
      </c>
      <c r="D712">
        <f t="shared" si="22"/>
        <v>-3.6183548440730626E-3</v>
      </c>
      <c r="G712" s="17" t="s">
        <v>3811</v>
      </c>
      <c r="H712">
        <v>3241030000</v>
      </c>
      <c r="J712">
        <f t="shared" si="23"/>
        <v>-8.2823618428607023E-4</v>
      </c>
      <c r="K712">
        <v>1</v>
      </c>
    </row>
    <row r="713" spans="1:11">
      <c r="A713" s="16">
        <v>43090</v>
      </c>
      <c r="B713" s="17" t="s">
        <v>721</v>
      </c>
      <c r="C713">
        <v>17990700</v>
      </c>
      <c r="D713">
        <f t="shared" si="22"/>
        <v>-2.3386120239698803E-4</v>
      </c>
      <c r="G713" s="17" t="s">
        <v>3815</v>
      </c>
      <c r="H713">
        <v>3273390000</v>
      </c>
      <c r="J713">
        <f t="shared" si="23"/>
        <v>1.9836868787915067E-3</v>
      </c>
      <c r="K713">
        <v>1</v>
      </c>
    </row>
    <row r="714" spans="1:11">
      <c r="A714" s="16">
        <v>43091</v>
      </c>
      <c r="B714" s="17" t="s">
        <v>722</v>
      </c>
      <c r="C714">
        <v>14145800</v>
      </c>
      <c r="D714">
        <f t="shared" si="22"/>
        <v>1.1675584951109309E-4</v>
      </c>
      <c r="G714" s="17" t="s">
        <v>3819</v>
      </c>
      <c r="H714">
        <v>2399830000</v>
      </c>
      <c r="J714">
        <f t="shared" si="23"/>
        <v>-4.5827146348614839E-4</v>
      </c>
      <c r="K714">
        <v>1</v>
      </c>
    </row>
    <row r="715" spans="1:11">
      <c r="A715" s="16">
        <v>43095</v>
      </c>
      <c r="B715" s="17" t="s">
        <v>723</v>
      </c>
      <c r="C715">
        <v>9891200</v>
      </c>
      <c r="D715">
        <f t="shared" si="22"/>
        <v>-1.287137482279528E-3</v>
      </c>
      <c r="G715" s="17" t="s">
        <v>3823</v>
      </c>
      <c r="H715">
        <v>1968780000</v>
      </c>
      <c r="J715">
        <f t="shared" si="23"/>
        <v>-1.0589757408193626E-3</v>
      </c>
      <c r="K715">
        <v>1</v>
      </c>
    </row>
    <row r="716" spans="1:11">
      <c r="A716" s="16">
        <v>43096</v>
      </c>
      <c r="B716" s="17" t="s">
        <v>724</v>
      </c>
      <c r="C716">
        <v>14678000</v>
      </c>
      <c r="D716">
        <f t="shared" si="22"/>
        <v>3.6233457179888806E-3</v>
      </c>
      <c r="G716" s="17" t="s">
        <v>3827</v>
      </c>
      <c r="H716">
        <v>2202080000</v>
      </c>
      <c r="J716">
        <f t="shared" si="23"/>
        <v>7.9062824034794189E-4</v>
      </c>
      <c r="K716">
        <v>1</v>
      </c>
    </row>
    <row r="717" spans="1:11">
      <c r="A717" s="16">
        <v>43097</v>
      </c>
      <c r="B717" s="17" t="s">
        <v>725</v>
      </c>
      <c r="C717">
        <v>10594300</v>
      </c>
      <c r="D717">
        <f t="shared" si="22"/>
        <v>1.1673549597668408E-4</v>
      </c>
      <c r="G717" s="17" t="s">
        <v>3831</v>
      </c>
      <c r="H717">
        <v>2153330000</v>
      </c>
      <c r="J717">
        <f t="shared" si="23"/>
        <v>1.832319049558422E-3</v>
      </c>
      <c r="K717">
        <v>1</v>
      </c>
    </row>
    <row r="718" spans="1:11">
      <c r="A718" s="16">
        <v>43098</v>
      </c>
      <c r="B718" s="17" t="s">
        <v>726</v>
      </c>
      <c r="C718">
        <v>18717400</v>
      </c>
      <c r="D718">
        <f t="shared" si="22"/>
        <v>-2.1018503303184923E-3</v>
      </c>
      <c r="G718" s="17" t="s">
        <v>3834</v>
      </c>
      <c r="H718">
        <v>2443490000</v>
      </c>
      <c r="J718">
        <f t="shared" si="23"/>
        <v>-5.1966324272850065E-3</v>
      </c>
      <c r="K718">
        <v>1</v>
      </c>
    </row>
    <row r="719" spans="1:11">
      <c r="A719" s="16">
        <v>43102</v>
      </c>
      <c r="B719" s="17" t="s">
        <v>727</v>
      </c>
      <c r="C719">
        <v>22483800</v>
      </c>
      <c r="D719">
        <f t="shared" si="22"/>
        <v>4.7813865766213421E-3</v>
      </c>
      <c r="G719" s="17" t="s">
        <v>3838</v>
      </c>
      <c r="H719">
        <v>3367250000</v>
      </c>
      <c r="J719">
        <f t="shared" si="23"/>
        <v>8.2690785268871494E-3</v>
      </c>
      <c r="K719">
        <v>1</v>
      </c>
    </row>
    <row r="720" spans="1:11">
      <c r="A720" s="16">
        <v>43103</v>
      </c>
      <c r="B720" s="17" t="s">
        <v>728</v>
      </c>
      <c r="C720">
        <v>26061400</v>
      </c>
      <c r="D720">
        <f t="shared" si="22"/>
        <v>4.6429551074176458E-3</v>
      </c>
      <c r="G720" s="17" t="s">
        <v>3842</v>
      </c>
      <c r="H720">
        <v>3538660000</v>
      </c>
      <c r="J720">
        <f t="shared" si="23"/>
        <v>6.3784332429780467E-3</v>
      </c>
      <c r="K720">
        <v>1</v>
      </c>
    </row>
    <row r="721" spans="1:11">
      <c r="A721" s="16">
        <v>43104</v>
      </c>
      <c r="B721" s="17" t="s">
        <v>729</v>
      </c>
      <c r="C721">
        <v>21912000</v>
      </c>
      <c r="D721">
        <f t="shared" si="22"/>
        <v>8.763148703606987E-3</v>
      </c>
      <c r="G721" s="17" t="s">
        <v>3846</v>
      </c>
      <c r="H721">
        <v>3695260000</v>
      </c>
      <c r="J721">
        <f t="shared" si="23"/>
        <v>4.0205426195473347E-3</v>
      </c>
      <c r="K721">
        <v>1</v>
      </c>
    </row>
    <row r="722" spans="1:11">
      <c r="A722" s="16">
        <v>43105</v>
      </c>
      <c r="B722" s="17" t="s">
        <v>730</v>
      </c>
      <c r="C722">
        <v>23407100</v>
      </c>
      <c r="D722">
        <f t="shared" si="22"/>
        <v>1.2321902357049679E-2</v>
      </c>
      <c r="G722" s="17" t="s">
        <v>3850</v>
      </c>
      <c r="H722">
        <v>3236620000</v>
      </c>
      <c r="J722">
        <f t="shared" si="23"/>
        <v>7.0091458493143173E-3</v>
      </c>
      <c r="K722">
        <v>1</v>
      </c>
    </row>
    <row r="723" spans="1:11">
      <c r="A723" s="16">
        <v>43108</v>
      </c>
      <c r="B723" s="17" t="s">
        <v>731</v>
      </c>
      <c r="C723">
        <v>22113000</v>
      </c>
      <c r="D723">
        <f t="shared" si="22"/>
        <v>1.0198510834357915E-3</v>
      </c>
      <c r="G723" s="17" t="s">
        <v>3854</v>
      </c>
      <c r="H723">
        <v>3242650000</v>
      </c>
      <c r="J723">
        <f t="shared" si="23"/>
        <v>1.660963915355335E-3</v>
      </c>
      <c r="K723">
        <v>1</v>
      </c>
    </row>
    <row r="724" spans="1:11">
      <c r="A724" s="16">
        <v>43109</v>
      </c>
      <c r="B724" s="17" t="s">
        <v>732</v>
      </c>
      <c r="C724">
        <v>19484300</v>
      </c>
      <c r="D724">
        <f t="shared" si="22"/>
        <v>-6.7978905428174574E-4</v>
      </c>
      <c r="G724" s="17" t="s">
        <v>3858</v>
      </c>
      <c r="H724">
        <v>3453480000</v>
      </c>
      <c r="J724">
        <f t="shared" si="23"/>
        <v>1.3020834718354051E-3</v>
      </c>
      <c r="K724">
        <v>1</v>
      </c>
    </row>
    <row r="725" spans="1:11">
      <c r="A725" s="16">
        <v>43110</v>
      </c>
      <c r="B725" s="17" t="s">
        <v>733</v>
      </c>
      <c r="C725">
        <v>18652200</v>
      </c>
      <c r="D725">
        <f t="shared" si="22"/>
        <v>-4.544478400571394E-3</v>
      </c>
      <c r="G725" s="17" t="s">
        <v>3862</v>
      </c>
      <c r="H725">
        <v>3576350000</v>
      </c>
      <c r="J725">
        <f t="shared" si="23"/>
        <v>-1.1128459593683269E-3</v>
      </c>
      <c r="K725">
        <v>1</v>
      </c>
    </row>
    <row r="726" spans="1:11">
      <c r="A726" s="16">
        <v>43111</v>
      </c>
      <c r="B726" s="17" t="s">
        <v>734</v>
      </c>
      <c r="C726">
        <v>17808900</v>
      </c>
      <c r="D726">
        <f t="shared" si="22"/>
        <v>2.9561480261048891E-3</v>
      </c>
      <c r="G726" s="17" t="s">
        <v>3864</v>
      </c>
      <c r="H726">
        <v>3641320000</v>
      </c>
      <c r="J726">
        <f t="shared" si="23"/>
        <v>7.0090260862362194E-3</v>
      </c>
      <c r="K726">
        <v>1</v>
      </c>
    </row>
    <row r="727" spans="1:11">
      <c r="A727" s="16">
        <v>43112</v>
      </c>
      <c r="B727" s="17" t="s">
        <v>735</v>
      </c>
      <c r="C727">
        <v>24271500</v>
      </c>
      <c r="D727">
        <f t="shared" si="22"/>
        <v>1.7109833789066713E-2</v>
      </c>
      <c r="G727" s="17" t="s">
        <v>3869</v>
      </c>
      <c r="H727">
        <v>3573970000</v>
      </c>
      <c r="J727">
        <f t="shared" si="23"/>
        <v>6.7269261681854198E-3</v>
      </c>
      <c r="K727">
        <v>1</v>
      </c>
    </row>
    <row r="728" spans="1:11">
      <c r="A728" s="16">
        <v>43116</v>
      </c>
      <c r="B728" s="17" t="s">
        <v>736</v>
      </c>
      <c r="C728">
        <v>36599700</v>
      </c>
      <c r="D728">
        <f t="shared" si="22"/>
        <v>-1.4049126779318397E-2</v>
      </c>
      <c r="G728" s="17" t="s">
        <v>3873</v>
      </c>
      <c r="H728">
        <v>4325970000</v>
      </c>
      <c r="J728">
        <f t="shared" si="23"/>
        <v>-3.5307131324618969E-3</v>
      </c>
      <c r="K728">
        <v>1</v>
      </c>
    </row>
    <row r="729" spans="1:11">
      <c r="A729" s="16">
        <v>43117</v>
      </c>
      <c r="B729" s="17" t="s">
        <v>737</v>
      </c>
      <c r="C729">
        <v>25621200</v>
      </c>
      <c r="D729">
        <f t="shared" si="22"/>
        <v>2.0057733441964317E-2</v>
      </c>
      <c r="G729" s="17" t="s">
        <v>3877</v>
      </c>
      <c r="H729">
        <v>3778050000</v>
      </c>
      <c r="J729">
        <f t="shared" si="23"/>
        <v>9.3710063064367261E-3</v>
      </c>
      <c r="K729">
        <v>1</v>
      </c>
    </row>
    <row r="730" spans="1:11">
      <c r="A730" s="16">
        <v>43118</v>
      </c>
      <c r="B730" s="17" t="s">
        <v>738</v>
      </c>
      <c r="C730">
        <v>24159700</v>
      </c>
      <c r="D730">
        <f t="shared" si="22"/>
        <v>-4.4361278560660247E-4</v>
      </c>
      <c r="G730" s="17" t="s">
        <v>3881</v>
      </c>
      <c r="H730">
        <v>3681470000</v>
      </c>
      <c r="J730">
        <f t="shared" si="23"/>
        <v>-1.6176977485318196E-3</v>
      </c>
      <c r="K730">
        <v>1</v>
      </c>
    </row>
    <row r="731" spans="1:11">
      <c r="A731" s="16">
        <v>43119</v>
      </c>
      <c r="B731" s="17" t="s">
        <v>739</v>
      </c>
      <c r="C731">
        <v>36875000</v>
      </c>
      <c r="D731">
        <f t="shared" si="22"/>
        <v>-1.1105953120086778E-3</v>
      </c>
      <c r="G731" s="17" t="s">
        <v>3885</v>
      </c>
      <c r="H731">
        <v>3639430000</v>
      </c>
      <c r="J731">
        <f t="shared" si="23"/>
        <v>4.3756481542505214E-3</v>
      </c>
      <c r="K731">
        <v>1</v>
      </c>
    </row>
    <row r="732" spans="1:11">
      <c r="A732" s="16">
        <v>43122</v>
      </c>
      <c r="B732" s="17" t="s">
        <v>740</v>
      </c>
      <c r="C732">
        <v>23601600</v>
      </c>
      <c r="D732">
        <f t="shared" si="22"/>
        <v>1.7730703239187778E-2</v>
      </c>
      <c r="G732" s="17" t="s">
        <v>3889</v>
      </c>
      <c r="H732">
        <v>3471780000</v>
      </c>
      <c r="J732">
        <f t="shared" si="23"/>
        <v>8.0343644258471826E-3</v>
      </c>
      <c r="K732">
        <v>1</v>
      </c>
    </row>
    <row r="733" spans="1:11">
      <c r="A733" s="16">
        <v>43123</v>
      </c>
      <c r="B733" s="17" t="s">
        <v>741</v>
      </c>
      <c r="C733">
        <v>23412800</v>
      </c>
      <c r="D733">
        <f t="shared" si="22"/>
        <v>3.1607354670924628E-3</v>
      </c>
      <c r="G733" s="17" t="s">
        <v>3893</v>
      </c>
      <c r="H733">
        <v>3519650000</v>
      </c>
      <c r="J733">
        <f t="shared" si="23"/>
        <v>2.172004929470756E-3</v>
      </c>
      <c r="K733">
        <v>1</v>
      </c>
    </row>
    <row r="734" spans="1:11">
      <c r="A734" s="16">
        <v>43124</v>
      </c>
      <c r="B734" s="17" t="s">
        <v>742</v>
      </c>
      <c r="C734">
        <v>33277500</v>
      </c>
      <c r="D734">
        <f t="shared" si="22"/>
        <v>-8.7110732160376205E-4</v>
      </c>
      <c r="G734" s="17" t="s">
        <v>3897</v>
      </c>
      <c r="H734">
        <v>4014070000</v>
      </c>
      <c r="J734">
        <f t="shared" si="23"/>
        <v>-5.601326352995111E-4</v>
      </c>
      <c r="K734">
        <v>1</v>
      </c>
    </row>
    <row r="735" spans="1:11">
      <c r="A735" s="16">
        <v>43125</v>
      </c>
      <c r="B735" s="17" t="s">
        <v>743</v>
      </c>
      <c r="C735">
        <v>26383200</v>
      </c>
      <c r="D735">
        <f t="shared" si="22"/>
        <v>5.5391991063339892E-3</v>
      </c>
      <c r="G735" s="17" t="s">
        <v>3901</v>
      </c>
      <c r="H735">
        <v>3835150000</v>
      </c>
      <c r="J735">
        <f t="shared" si="23"/>
        <v>6.0243942085909743E-4</v>
      </c>
      <c r="K735">
        <v>1</v>
      </c>
    </row>
    <row r="736" spans="1:11">
      <c r="A736" s="16">
        <v>43126</v>
      </c>
      <c r="B736" s="17" t="s">
        <v>744</v>
      </c>
      <c r="C736">
        <v>29172200</v>
      </c>
      <c r="D736">
        <f t="shared" si="22"/>
        <v>1.8563768244156693E-2</v>
      </c>
      <c r="G736" s="17" t="s">
        <v>3903</v>
      </c>
      <c r="H736">
        <v>3443230000</v>
      </c>
      <c r="J736">
        <f t="shared" si="23"/>
        <v>1.1771638040818483E-2</v>
      </c>
      <c r="K736">
        <v>1</v>
      </c>
    </row>
    <row r="737" spans="1:11">
      <c r="A737" s="16">
        <v>43129</v>
      </c>
      <c r="B737" s="17" t="s">
        <v>745</v>
      </c>
      <c r="C737">
        <v>31569900</v>
      </c>
      <c r="D737">
        <f t="shared" si="22"/>
        <v>-1.4896405549906951E-3</v>
      </c>
      <c r="G737" s="17" t="s">
        <v>3908</v>
      </c>
      <c r="H737">
        <v>3573830000</v>
      </c>
      <c r="J737">
        <f t="shared" si="23"/>
        <v>-6.754736323635129E-3</v>
      </c>
      <c r="K737">
        <v>1</v>
      </c>
    </row>
    <row r="738" spans="1:11">
      <c r="A738" s="16">
        <v>43130</v>
      </c>
      <c r="B738" s="17" t="s">
        <v>746</v>
      </c>
      <c r="C738">
        <v>38635100</v>
      </c>
      <c r="D738">
        <f t="shared" si="22"/>
        <v>-1.2643499359854113E-2</v>
      </c>
      <c r="G738" s="17" t="s">
        <v>3912</v>
      </c>
      <c r="H738">
        <v>3990650000</v>
      </c>
      <c r="J738">
        <f t="shared" si="23"/>
        <v>-1.0958642573971082E-2</v>
      </c>
      <c r="K738">
        <v>1</v>
      </c>
    </row>
    <row r="739" spans="1:11">
      <c r="A739" s="16">
        <v>43131</v>
      </c>
      <c r="B739" s="17" t="s">
        <v>747</v>
      </c>
      <c r="C739">
        <v>48756300</v>
      </c>
      <c r="D739">
        <f t="shared" si="22"/>
        <v>2.4182292241189531E-2</v>
      </c>
      <c r="G739" s="17" t="s">
        <v>3916</v>
      </c>
      <c r="H739">
        <v>4261280000</v>
      </c>
      <c r="J739">
        <f t="shared" si="23"/>
        <v>4.8886587523235534E-4</v>
      </c>
      <c r="K739">
        <v>1</v>
      </c>
    </row>
    <row r="740" spans="1:11">
      <c r="A740" s="16">
        <v>43132</v>
      </c>
      <c r="B740" s="17" t="s">
        <v>748</v>
      </c>
      <c r="C740">
        <v>47227900</v>
      </c>
      <c r="D740">
        <f t="shared" si="22"/>
        <v>-7.9251669938118271E-3</v>
      </c>
      <c r="G740" s="17" t="s">
        <v>3920</v>
      </c>
      <c r="H740">
        <v>3938450000</v>
      </c>
      <c r="J740">
        <f t="shared" si="23"/>
        <v>-6.4829866199597882E-4</v>
      </c>
      <c r="K740">
        <v>1</v>
      </c>
    </row>
    <row r="741" spans="1:11">
      <c r="A741" s="16">
        <v>43133</v>
      </c>
      <c r="B741" s="17" t="s">
        <v>749</v>
      </c>
      <c r="C741">
        <v>47867800</v>
      </c>
      <c r="D741">
        <f t="shared" si="22"/>
        <v>-2.6662616247432578E-2</v>
      </c>
      <c r="G741" s="17" t="s">
        <v>3923</v>
      </c>
      <c r="H741">
        <v>4301130000</v>
      </c>
      <c r="J741">
        <f t="shared" si="23"/>
        <v>-2.1436680282709664E-2</v>
      </c>
      <c r="K741">
        <v>1</v>
      </c>
    </row>
    <row r="742" spans="1:11">
      <c r="A742" s="16">
        <v>43136</v>
      </c>
      <c r="B742" s="17" t="s">
        <v>750</v>
      </c>
      <c r="C742">
        <v>51031500</v>
      </c>
      <c r="D742">
        <f t="shared" si="22"/>
        <v>-4.2057439760575584E-2</v>
      </c>
      <c r="G742" s="17" t="s">
        <v>3927</v>
      </c>
      <c r="H742">
        <v>5283460000</v>
      </c>
      <c r="J742">
        <f t="shared" si="23"/>
        <v>-4.1842541159627059E-2</v>
      </c>
      <c r="K742">
        <v>1</v>
      </c>
    </row>
    <row r="743" spans="1:11">
      <c r="A743" s="16">
        <v>43137</v>
      </c>
      <c r="B743" s="17" t="s">
        <v>751</v>
      </c>
      <c r="C743">
        <v>67998600</v>
      </c>
      <c r="D743">
        <f t="shared" si="22"/>
        <v>3.7142293683010259E-2</v>
      </c>
      <c r="G743" s="17" t="s">
        <v>3931</v>
      </c>
      <c r="H743">
        <v>5891660000</v>
      </c>
      <c r="J743">
        <f t="shared" si="23"/>
        <v>1.729057365883202E-2</v>
      </c>
      <c r="K743">
        <v>1</v>
      </c>
    </row>
    <row r="744" spans="1:11">
      <c r="A744" s="16">
        <v>43138</v>
      </c>
      <c r="B744" s="17" t="s">
        <v>752</v>
      </c>
      <c r="C744">
        <v>41107600</v>
      </c>
      <c r="D744">
        <f t="shared" si="22"/>
        <v>-1.9012345040210234E-2</v>
      </c>
      <c r="G744" s="17" t="s">
        <v>3935</v>
      </c>
      <c r="H744">
        <v>4626570000</v>
      </c>
      <c r="J744">
        <f t="shared" si="23"/>
        <v>-5.0141384210705929E-3</v>
      </c>
      <c r="K744">
        <v>1</v>
      </c>
    </row>
    <row r="745" spans="1:11">
      <c r="A745" s="16">
        <v>43139</v>
      </c>
      <c r="B745" s="17" t="s">
        <v>753</v>
      </c>
      <c r="C745">
        <v>55628700</v>
      </c>
      <c r="D745">
        <f t="shared" si="22"/>
        <v>-5.2697851614954216E-2</v>
      </c>
      <c r="G745" s="17" t="s">
        <v>3939</v>
      </c>
      <c r="H745">
        <v>5305440000</v>
      </c>
      <c r="J745">
        <f t="shared" si="23"/>
        <v>-3.8259052205015347E-2</v>
      </c>
      <c r="K745">
        <v>1</v>
      </c>
    </row>
    <row r="746" spans="1:11">
      <c r="A746" s="16">
        <v>43140</v>
      </c>
      <c r="B746" s="17" t="s">
        <v>754</v>
      </c>
      <c r="C746">
        <v>63499100</v>
      </c>
      <c r="D746">
        <f t="shared" si="22"/>
        <v>3.6611151187977961E-2</v>
      </c>
      <c r="G746" s="17" t="s">
        <v>3943</v>
      </c>
      <c r="H746">
        <v>5680070000</v>
      </c>
      <c r="J746">
        <f t="shared" si="23"/>
        <v>1.4825645265136861E-2</v>
      </c>
      <c r="K746">
        <v>1</v>
      </c>
    </row>
    <row r="747" spans="1:11">
      <c r="A747" s="16">
        <v>43143</v>
      </c>
      <c r="B747" s="17" t="s">
        <v>755</v>
      </c>
      <c r="C747">
        <v>35720300</v>
      </c>
      <c r="D747">
        <f t="shared" si="22"/>
        <v>1.071565962354248E-2</v>
      </c>
      <c r="G747" s="17" t="s">
        <v>3947</v>
      </c>
      <c r="H747">
        <v>4055790000</v>
      </c>
      <c r="J747">
        <f t="shared" si="23"/>
        <v>1.3818665612573789E-2</v>
      </c>
      <c r="K747">
        <v>1</v>
      </c>
    </row>
    <row r="748" spans="1:11">
      <c r="A748" s="16">
        <v>43144</v>
      </c>
      <c r="B748" s="17" t="s">
        <v>756</v>
      </c>
      <c r="C748">
        <v>26407700</v>
      </c>
      <c r="D748">
        <f t="shared" si="22"/>
        <v>7.8232898594360854E-3</v>
      </c>
      <c r="G748" s="17" t="s">
        <v>3951</v>
      </c>
      <c r="H748">
        <v>3472870000</v>
      </c>
      <c r="J748">
        <f t="shared" si="23"/>
        <v>2.6095218277205311E-3</v>
      </c>
      <c r="K748">
        <v>1</v>
      </c>
    </row>
    <row r="749" spans="1:11">
      <c r="A749" s="16">
        <v>43145</v>
      </c>
      <c r="B749" s="17" t="s">
        <v>757</v>
      </c>
      <c r="C749">
        <v>34960900</v>
      </c>
      <c r="D749">
        <f t="shared" si="22"/>
        <v>1.5536833321667302E-2</v>
      </c>
      <c r="G749" s="17" t="s">
        <v>3955</v>
      </c>
      <c r="H749">
        <v>4003740000</v>
      </c>
      <c r="J749">
        <f t="shared" si="23"/>
        <v>1.331344003093363E-2</v>
      </c>
      <c r="K749">
        <v>1</v>
      </c>
    </row>
    <row r="750" spans="1:11">
      <c r="A750" s="16">
        <v>43146</v>
      </c>
      <c r="B750" s="17" t="s">
        <v>758</v>
      </c>
      <c r="C750">
        <v>27823900</v>
      </c>
      <c r="D750">
        <f t="shared" si="22"/>
        <v>2.0167424397732146E-2</v>
      </c>
      <c r="G750" s="17" t="s">
        <v>3959</v>
      </c>
      <c r="H750">
        <v>3684910000</v>
      </c>
      <c r="J750">
        <f t="shared" si="23"/>
        <v>1.1996861644365414E-2</v>
      </c>
      <c r="K750">
        <v>1</v>
      </c>
    </row>
    <row r="751" spans="1:11">
      <c r="A751" s="16">
        <v>43147</v>
      </c>
      <c r="B751" s="17" t="s">
        <v>759</v>
      </c>
      <c r="C751">
        <v>30596900</v>
      </c>
      <c r="D751">
        <f t="shared" si="22"/>
        <v>-7.1482407500217844E-3</v>
      </c>
      <c r="G751" s="17" t="s">
        <v>3963</v>
      </c>
      <c r="H751">
        <v>3637460000</v>
      </c>
      <c r="J751">
        <f t="shared" si="23"/>
        <v>3.7339982150897137E-4</v>
      </c>
      <c r="K751">
        <v>1</v>
      </c>
    </row>
    <row r="752" spans="1:11">
      <c r="A752" s="16">
        <v>43151</v>
      </c>
      <c r="B752" s="17" t="s">
        <v>760</v>
      </c>
      <c r="C752">
        <v>30911700</v>
      </c>
      <c r="D752">
        <f t="shared" si="22"/>
        <v>7.7955753977355094E-3</v>
      </c>
      <c r="G752" s="17" t="s">
        <v>3966</v>
      </c>
      <c r="H752">
        <v>3627610000</v>
      </c>
      <c r="J752">
        <f t="shared" si="23"/>
        <v>-5.8585171292084527E-3</v>
      </c>
      <c r="K752">
        <v>1</v>
      </c>
    </row>
    <row r="753" spans="1:11">
      <c r="A753" s="16">
        <v>43152</v>
      </c>
      <c r="B753" s="17" t="s">
        <v>761</v>
      </c>
      <c r="C753">
        <v>26922500</v>
      </c>
      <c r="D753">
        <f t="shared" si="22"/>
        <v>-1.3354671771375719E-2</v>
      </c>
      <c r="G753" s="17" t="s">
        <v>3970</v>
      </c>
      <c r="H753">
        <v>3779400000</v>
      </c>
      <c r="J753">
        <f t="shared" si="23"/>
        <v>-5.51166461587029E-3</v>
      </c>
      <c r="K753">
        <v>1</v>
      </c>
    </row>
    <row r="754" spans="1:11">
      <c r="A754" s="16">
        <v>43153</v>
      </c>
      <c r="B754" s="17" t="s">
        <v>762</v>
      </c>
      <c r="C754">
        <v>24392800</v>
      </c>
      <c r="D754">
        <f t="shared" si="22"/>
        <v>2.6199673629385225E-3</v>
      </c>
      <c r="G754" s="17" t="s">
        <v>3973</v>
      </c>
      <c r="H754">
        <v>3701270000</v>
      </c>
      <c r="J754">
        <f t="shared" si="23"/>
        <v>9.7307755496563826E-4</v>
      </c>
      <c r="K754">
        <v>1</v>
      </c>
    </row>
    <row r="755" spans="1:11">
      <c r="A755" s="16">
        <v>43154</v>
      </c>
      <c r="B755" s="17" t="s">
        <v>763</v>
      </c>
      <c r="C755">
        <v>26329200</v>
      </c>
      <c r="D755">
        <f t="shared" si="22"/>
        <v>2.508341119744139E-2</v>
      </c>
      <c r="G755" s="17" t="s">
        <v>3977</v>
      </c>
      <c r="H755">
        <v>3189190000</v>
      </c>
      <c r="J755">
        <f t="shared" si="23"/>
        <v>1.5901278284568242E-2</v>
      </c>
      <c r="K755">
        <v>1</v>
      </c>
    </row>
    <row r="756" spans="1:11">
      <c r="A756" s="16">
        <v>43157</v>
      </c>
      <c r="B756" s="17" t="s">
        <v>764</v>
      </c>
      <c r="C756">
        <v>30199800</v>
      </c>
      <c r="D756">
        <f t="shared" si="22"/>
        <v>1.4355155530152283E-2</v>
      </c>
      <c r="G756" s="17" t="s">
        <v>3981</v>
      </c>
      <c r="H756">
        <v>3424650000</v>
      </c>
      <c r="J756">
        <f t="shared" si="23"/>
        <v>1.1688438681734836E-2</v>
      </c>
      <c r="K756">
        <v>1</v>
      </c>
    </row>
    <row r="757" spans="1:11">
      <c r="A757" s="16">
        <v>43158</v>
      </c>
      <c r="B757" s="17" t="s">
        <v>765</v>
      </c>
      <c r="C757">
        <v>25869100</v>
      </c>
      <c r="D757">
        <f t="shared" si="22"/>
        <v>-1.2867756358039051E-2</v>
      </c>
      <c r="G757" s="17" t="s">
        <v>3985</v>
      </c>
      <c r="H757">
        <v>3745080000</v>
      </c>
      <c r="J757">
        <f t="shared" si="23"/>
        <v>-1.2788311673315955E-2</v>
      </c>
      <c r="K757">
        <v>1</v>
      </c>
    </row>
    <row r="758" spans="1:11">
      <c r="A758" s="16">
        <v>43159</v>
      </c>
      <c r="B758" s="17" t="s">
        <v>766</v>
      </c>
      <c r="C758">
        <v>31167300</v>
      </c>
      <c r="D758">
        <f t="shared" si="22"/>
        <v>-4.5753179261620314E-3</v>
      </c>
      <c r="G758" s="17" t="s">
        <v>3988</v>
      </c>
      <c r="H758">
        <v>4230660000</v>
      </c>
      <c r="J758">
        <f t="shared" si="23"/>
        <v>-1.1157806021536957E-2</v>
      </c>
      <c r="K758">
        <v>1</v>
      </c>
    </row>
    <row r="759" spans="1:11">
      <c r="A759" s="16">
        <v>43160</v>
      </c>
      <c r="B759" s="17" t="s">
        <v>767</v>
      </c>
      <c r="C759">
        <v>37135600</v>
      </c>
      <c r="D759">
        <f t="shared" si="22"/>
        <v>-9.8596747739874389E-3</v>
      </c>
      <c r="G759" s="17" t="s">
        <v>3992</v>
      </c>
      <c r="H759">
        <v>4503970000</v>
      </c>
      <c r="J759">
        <f t="shared" si="23"/>
        <v>-1.3413965762133684E-2</v>
      </c>
      <c r="K759">
        <v>1</v>
      </c>
    </row>
    <row r="760" spans="1:11">
      <c r="A760" s="16">
        <v>43161</v>
      </c>
      <c r="B760" s="17" t="s">
        <v>768</v>
      </c>
      <c r="C760">
        <v>32830400</v>
      </c>
      <c r="D760">
        <f t="shared" si="22"/>
        <v>2.1517285797879693E-3</v>
      </c>
      <c r="G760" s="17" t="s">
        <v>3996</v>
      </c>
      <c r="H760">
        <v>3882450000</v>
      </c>
      <c r="J760">
        <f t="shared" si="23"/>
        <v>5.0587854385161684E-3</v>
      </c>
      <c r="K760">
        <v>1</v>
      </c>
    </row>
    <row r="761" spans="1:11">
      <c r="A761" s="16">
        <v>43164</v>
      </c>
      <c r="B761" s="17" t="s">
        <v>769</v>
      </c>
      <c r="C761">
        <v>23901600</v>
      </c>
      <c r="D761">
        <f t="shared" si="22"/>
        <v>6.3205891144218771E-3</v>
      </c>
      <c r="G761" s="17" t="s">
        <v>4000</v>
      </c>
      <c r="H761">
        <v>3710810000</v>
      </c>
      <c r="J761">
        <f t="shared" si="23"/>
        <v>1.0971617461221566E-2</v>
      </c>
      <c r="K761">
        <v>1</v>
      </c>
    </row>
    <row r="762" spans="1:11">
      <c r="A762" s="16">
        <v>43165</v>
      </c>
      <c r="B762" s="17" t="s">
        <v>770</v>
      </c>
      <c r="C762">
        <v>22175800</v>
      </c>
      <c r="D762">
        <f t="shared" si="22"/>
        <v>-3.4232597479467923E-3</v>
      </c>
      <c r="G762" s="17" t="s">
        <v>4004</v>
      </c>
      <c r="H762">
        <v>3370690000</v>
      </c>
      <c r="J762">
        <f t="shared" si="23"/>
        <v>2.6353830125731121E-3</v>
      </c>
      <c r="K762">
        <v>1</v>
      </c>
    </row>
    <row r="763" spans="1:11">
      <c r="A763" s="16">
        <v>43166</v>
      </c>
      <c r="B763" s="17" t="s">
        <v>771</v>
      </c>
      <c r="C763">
        <v>26716100</v>
      </c>
      <c r="D763">
        <f t="shared" si="22"/>
        <v>5.7699364384384113E-3</v>
      </c>
      <c r="G763" s="17" t="s">
        <v>4008</v>
      </c>
      <c r="H763">
        <v>3393270000</v>
      </c>
      <c r="J763">
        <f t="shared" si="23"/>
        <v>-4.8399169395596596E-4</v>
      </c>
      <c r="K763">
        <v>1</v>
      </c>
    </row>
    <row r="764" spans="1:11">
      <c r="A764" s="16">
        <v>43167</v>
      </c>
      <c r="B764" s="17" t="s">
        <v>772</v>
      </c>
      <c r="C764">
        <v>25887800</v>
      </c>
      <c r="D764">
        <f t="shared" si="22"/>
        <v>6.054463453243699E-3</v>
      </c>
      <c r="G764" s="17" t="s">
        <v>4012</v>
      </c>
      <c r="H764">
        <v>3212320000</v>
      </c>
      <c r="J764">
        <f t="shared" si="23"/>
        <v>4.4531482542421938E-3</v>
      </c>
      <c r="K764">
        <v>1</v>
      </c>
    </row>
    <row r="765" spans="1:11">
      <c r="A765" s="16">
        <v>43168</v>
      </c>
      <c r="B765" s="17" t="s">
        <v>773</v>
      </c>
      <c r="C765">
        <v>36937300</v>
      </c>
      <c r="D765">
        <f t="shared" si="22"/>
        <v>2.2098702944286733E-2</v>
      </c>
      <c r="G765" s="17" t="s">
        <v>4014</v>
      </c>
      <c r="H765">
        <v>3364100000</v>
      </c>
      <c r="J765">
        <f t="shared" si="23"/>
        <v>1.7229546503851501E-2</v>
      </c>
      <c r="K765">
        <v>1</v>
      </c>
    </row>
    <row r="766" spans="1:11">
      <c r="A766" s="16">
        <v>43171</v>
      </c>
      <c r="B766" s="17" t="s">
        <v>774</v>
      </c>
      <c r="C766">
        <v>26073700</v>
      </c>
      <c r="D766">
        <f t="shared" si="22"/>
        <v>2.3794304696755429E-3</v>
      </c>
      <c r="G766" s="17" t="s">
        <v>4019</v>
      </c>
      <c r="H766">
        <v>3185020000</v>
      </c>
      <c r="J766">
        <f t="shared" si="23"/>
        <v>-1.2747970405995702E-3</v>
      </c>
      <c r="K766">
        <v>1</v>
      </c>
    </row>
    <row r="767" spans="1:11">
      <c r="A767" s="16">
        <v>43172</v>
      </c>
      <c r="B767" s="17" t="s">
        <v>775</v>
      </c>
      <c r="C767">
        <v>35387800</v>
      </c>
      <c r="D767">
        <f t="shared" si="22"/>
        <v>-2.4689765256883035E-2</v>
      </c>
      <c r="G767" s="17" t="s">
        <v>4023</v>
      </c>
      <c r="H767">
        <v>3301650000</v>
      </c>
      <c r="J767">
        <f t="shared" si="23"/>
        <v>-6.3839104358374464E-3</v>
      </c>
      <c r="K767">
        <v>1</v>
      </c>
    </row>
    <row r="768" spans="1:11">
      <c r="A768" s="16">
        <v>43173</v>
      </c>
      <c r="B768" s="17" t="s">
        <v>776</v>
      </c>
      <c r="C768">
        <v>32132000</v>
      </c>
      <c r="D768">
        <f t="shared" si="22"/>
        <v>-5.9494492130868709E-3</v>
      </c>
      <c r="G768" s="17" t="s">
        <v>4027</v>
      </c>
      <c r="H768">
        <v>3391360000</v>
      </c>
      <c r="J768">
        <f t="shared" si="23"/>
        <v>-5.7409701425848447E-3</v>
      </c>
      <c r="K768">
        <v>1</v>
      </c>
    </row>
    <row r="769" spans="1:11">
      <c r="A769" s="16">
        <v>43174</v>
      </c>
      <c r="B769" s="17" t="s">
        <v>777</v>
      </c>
      <c r="C769">
        <v>27611000</v>
      </c>
      <c r="D769">
        <f t="shared" si="22"/>
        <v>3.5101281926800528E-3</v>
      </c>
      <c r="G769" s="17" t="s">
        <v>4031</v>
      </c>
      <c r="H769">
        <v>3500330000</v>
      </c>
      <c r="J769">
        <f t="shared" si="23"/>
        <v>-7.8223627410849855E-4</v>
      </c>
      <c r="K769">
        <v>1</v>
      </c>
    </row>
    <row r="770" spans="1:11">
      <c r="A770" s="16">
        <v>43175</v>
      </c>
      <c r="B770" s="17" t="s">
        <v>778</v>
      </c>
      <c r="C770">
        <v>49081300</v>
      </c>
      <c r="D770">
        <f t="shared" si="22"/>
        <v>4.4495858771017608E-3</v>
      </c>
      <c r="G770" s="17" t="s">
        <v>4035</v>
      </c>
      <c r="H770">
        <v>5372340000</v>
      </c>
      <c r="J770">
        <f t="shared" si="23"/>
        <v>1.7019980778953542E-3</v>
      </c>
      <c r="K770">
        <v>1</v>
      </c>
    </row>
    <row r="771" spans="1:11">
      <c r="A771" s="16">
        <v>43178</v>
      </c>
      <c r="B771" s="17" t="s">
        <v>779</v>
      </c>
      <c r="C771">
        <v>33344100</v>
      </c>
      <c r="D771">
        <f t="shared" si="22"/>
        <v>-1.8241507685128906E-2</v>
      </c>
      <c r="G771" s="17" t="s">
        <v>4038</v>
      </c>
      <c r="H771">
        <v>3302130000</v>
      </c>
      <c r="J771">
        <f t="shared" si="23"/>
        <v>-1.4306040580462488E-2</v>
      </c>
      <c r="K771">
        <v>1</v>
      </c>
    </row>
    <row r="772" spans="1:11">
      <c r="A772" s="16">
        <v>43179</v>
      </c>
      <c r="B772" s="17" t="s">
        <v>780</v>
      </c>
      <c r="C772">
        <v>23075200</v>
      </c>
      <c r="D772">
        <f t="shared" si="22"/>
        <v>2.5803540570126173E-3</v>
      </c>
      <c r="G772" s="17" t="s">
        <v>4042</v>
      </c>
      <c r="H772">
        <v>3261030000</v>
      </c>
      <c r="J772">
        <f t="shared" si="23"/>
        <v>1.4807084661183528E-3</v>
      </c>
      <c r="K772">
        <v>1</v>
      </c>
    </row>
    <row r="773" spans="1:11">
      <c r="A773" s="16">
        <v>43180</v>
      </c>
      <c r="B773" s="17" t="s">
        <v>781</v>
      </c>
      <c r="C773">
        <v>24457100</v>
      </c>
      <c r="D773">
        <f t="shared" ref="D773:D836" si="24">LN(B773/B772)</f>
        <v>-7.0038291443563112E-3</v>
      </c>
      <c r="G773" s="17" t="s">
        <v>4046</v>
      </c>
      <c r="H773">
        <v>3415510000</v>
      </c>
      <c r="J773">
        <f t="shared" ref="J773:J836" si="25">LN(G773/G772)</f>
        <v>-1.8456918435882967E-3</v>
      </c>
      <c r="K773">
        <v>1</v>
      </c>
    </row>
    <row r="774" spans="1:11">
      <c r="A774" s="16">
        <v>43181</v>
      </c>
      <c r="B774" s="17" t="s">
        <v>782</v>
      </c>
      <c r="C774">
        <v>38604700</v>
      </c>
      <c r="D774">
        <f t="shared" si="24"/>
        <v>-2.9518825494487901E-2</v>
      </c>
      <c r="G774" s="17" t="s">
        <v>4050</v>
      </c>
      <c r="H774">
        <v>3739800000</v>
      </c>
      <c r="J774">
        <f t="shared" si="25"/>
        <v>-2.5484887259038472E-2</v>
      </c>
      <c r="K774">
        <v>1</v>
      </c>
    </row>
    <row r="775" spans="1:11">
      <c r="A775" s="16">
        <v>43182</v>
      </c>
      <c r="B775" s="17" t="s">
        <v>783</v>
      </c>
      <c r="C775">
        <v>44068900</v>
      </c>
      <c r="D775">
        <f t="shared" si="24"/>
        <v>-2.9498528827014609E-2</v>
      </c>
      <c r="G775" s="17" t="s">
        <v>4054</v>
      </c>
      <c r="H775">
        <v>3815080000</v>
      </c>
      <c r="J775">
        <f t="shared" si="25"/>
        <v>-2.1189807067529817E-2</v>
      </c>
      <c r="K775">
        <v>1</v>
      </c>
    </row>
    <row r="776" spans="1:11">
      <c r="A776" s="16">
        <v>43185</v>
      </c>
      <c r="B776" s="17" t="s">
        <v>784</v>
      </c>
      <c r="C776">
        <v>56396800</v>
      </c>
      <c r="D776">
        <f t="shared" si="24"/>
        <v>7.2976552659048302E-2</v>
      </c>
      <c r="G776" s="17" t="s">
        <v>4058</v>
      </c>
      <c r="H776">
        <v>3511100000</v>
      </c>
      <c r="J776">
        <f t="shared" si="25"/>
        <v>2.6795040680132134E-2</v>
      </c>
      <c r="K776">
        <v>1</v>
      </c>
    </row>
    <row r="777" spans="1:11">
      <c r="A777" s="16">
        <v>43186</v>
      </c>
      <c r="B777" s="17" t="s">
        <v>785</v>
      </c>
      <c r="C777">
        <v>56569000</v>
      </c>
      <c r="D777">
        <f t="shared" si="24"/>
        <v>-4.7048235732796186E-2</v>
      </c>
      <c r="G777" s="17" t="s">
        <v>4062</v>
      </c>
      <c r="H777">
        <v>3706350000</v>
      </c>
      <c r="J777">
        <f t="shared" si="25"/>
        <v>-1.7427285781738779E-2</v>
      </c>
      <c r="K777">
        <v>1</v>
      </c>
    </row>
    <row r="778" spans="1:11">
      <c r="A778" s="16">
        <v>43187</v>
      </c>
      <c r="B778" s="17" t="s">
        <v>786</v>
      </c>
      <c r="C778">
        <v>52501100</v>
      </c>
      <c r="D778">
        <f t="shared" si="24"/>
        <v>-8.946374921592606E-4</v>
      </c>
      <c r="G778" s="17" t="s">
        <v>4066</v>
      </c>
      <c r="H778">
        <v>3864500000</v>
      </c>
      <c r="J778">
        <f t="shared" si="25"/>
        <v>-2.9209188276955976E-3</v>
      </c>
      <c r="K778">
        <v>1</v>
      </c>
    </row>
    <row r="779" spans="1:11">
      <c r="A779" s="16">
        <v>43188</v>
      </c>
      <c r="B779" s="17" t="s">
        <v>787</v>
      </c>
      <c r="C779">
        <v>45867500</v>
      </c>
      <c r="D779">
        <f t="shared" si="24"/>
        <v>2.0813332393389908E-2</v>
      </c>
      <c r="G779" s="17" t="s">
        <v>4070</v>
      </c>
      <c r="H779">
        <v>3565990000</v>
      </c>
      <c r="J779">
        <f t="shared" si="25"/>
        <v>1.3675777422843996E-2</v>
      </c>
      <c r="K779">
        <v>1</v>
      </c>
    </row>
    <row r="780" spans="1:11">
      <c r="A780" s="16">
        <v>43192</v>
      </c>
      <c r="B780" s="17" t="s">
        <v>788</v>
      </c>
      <c r="C780">
        <v>48515400</v>
      </c>
      <c r="D780">
        <f t="shared" si="24"/>
        <v>-3.059360035516831E-2</v>
      </c>
      <c r="G780" s="17" t="s">
        <v>4074</v>
      </c>
      <c r="H780">
        <v>3598520000</v>
      </c>
      <c r="J780">
        <f t="shared" si="25"/>
        <v>-2.2590682199874954E-2</v>
      </c>
      <c r="K780">
        <v>1</v>
      </c>
    </row>
    <row r="781" spans="1:11">
      <c r="A781" s="16">
        <v>43193</v>
      </c>
      <c r="B781" s="17" t="s">
        <v>789</v>
      </c>
      <c r="C781">
        <v>37213800</v>
      </c>
      <c r="D781">
        <f t="shared" si="24"/>
        <v>1.3353669634579311E-2</v>
      </c>
      <c r="G781" s="17" t="s">
        <v>4078</v>
      </c>
      <c r="H781">
        <v>3392810000</v>
      </c>
      <c r="J781">
        <f t="shared" si="25"/>
        <v>1.2535961177379224E-2</v>
      </c>
      <c r="K781">
        <v>1</v>
      </c>
    </row>
    <row r="782" spans="1:11">
      <c r="A782" s="16">
        <v>43194</v>
      </c>
      <c r="B782" s="17" t="s">
        <v>790</v>
      </c>
      <c r="C782">
        <v>35560000</v>
      </c>
      <c r="D782">
        <f t="shared" si="24"/>
        <v>2.8786984006298137E-2</v>
      </c>
      <c r="G782" s="17" t="s">
        <v>4082</v>
      </c>
      <c r="H782">
        <v>3350340000</v>
      </c>
      <c r="J782">
        <f t="shared" si="25"/>
        <v>1.150010225857756E-2</v>
      </c>
      <c r="K782">
        <v>1</v>
      </c>
    </row>
    <row r="783" spans="1:11">
      <c r="A783" s="16">
        <v>43195</v>
      </c>
      <c r="B783" s="17" t="s">
        <v>791</v>
      </c>
      <c r="C783">
        <v>29771900</v>
      </c>
      <c r="D783">
        <f t="shared" si="24"/>
        <v>5.4133347484942537E-4</v>
      </c>
      <c r="G783" s="17" t="s">
        <v>4086</v>
      </c>
      <c r="H783">
        <v>3178970000</v>
      </c>
      <c r="J783">
        <f t="shared" si="25"/>
        <v>6.8394215963354203E-3</v>
      </c>
      <c r="K783">
        <v>1</v>
      </c>
    </row>
    <row r="784" spans="1:11">
      <c r="A784" s="16">
        <v>43196</v>
      </c>
      <c r="B784" s="17" t="s">
        <v>792</v>
      </c>
      <c r="C784">
        <v>38026000</v>
      </c>
      <c r="D784">
        <f t="shared" si="24"/>
        <v>-2.3548495658870818E-2</v>
      </c>
      <c r="G784" s="17" t="s">
        <v>4090</v>
      </c>
      <c r="H784">
        <v>3299700000</v>
      </c>
      <c r="J784">
        <f t="shared" si="25"/>
        <v>-2.216406698415278E-2</v>
      </c>
      <c r="K784">
        <v>1</v>
      </c>
    </row>
    <row r="785" spans="1:11">
      <c r="A785" s="16">
        <v>43199</v>
      </c>
      <c r="B785" s="17" t="s">
        <v>793</v>
      </c>
      <c r="C785">
        <v>31533900</v>
      </c>
      <c r="D785">
        <f t="shared" si="24"/>
        <v>5.9667621585084239E-3</v>
      </c>
      <c r="G785" s="17" t="s">
        <v>4094</v>
      </c>
      <c r="H785">
        <v>3062960000</v>
      </c>
      <c r="J785">
        <f t="shared" si="25"/>
        <v>3.3309948117507698E-3</v>
      </c>
      <c r="K785">
        <v>1</v>
      </c>
    </row>
    <row r="786" spans="1:11">
      <c r="A786" s="16">
        <v>43200</v>
      </c>
      <c r="B786" s="17" t="s">
        <v>794</v>
      </c>
      <c r="C786">
        <v>26812000</v>
      </c>
      <c r="D786">
        <f t="shared" si="24"/>
        <v>2.2979510950076019E-2</v>
      </c>
      <c r="G786" s="17" t="s">
        <v>4098</v>
      </c>
      <c r="H786">
        <v>3543930000</v>
      </c>
      <c r="J786">
        <f t="shared" si="25"/>
        <v>1.658859896759754E-2</v>
      </c>
      <c r="K786">
        <v>1</v>
      </c>
    </row>
    <row r="787" spans="1:11">
      <c r="A787" s="16">
        <v>43201</v>
      </c>
      <c r="B787" s="17" t="s">
        <v>795</v>
      </c>
      <c r="C787">
        <v>24872100</v>
      </c>
      <c r="D787">
        <f t="shared" si="24"/>
        <v>-1.1042613083194963E-2</v>
      </c>
      <c r="G787" s="17" t="s">
        <v>4102</v>
      </c>
      <c r="H787">
        <v>3020760000</v>
      </c>
      <c r="J787">
        <f t="shared" si="25"/>
        <v>-5.5406858556443965E-3</v>
      </c>
      <c r="K787">
        <v>1</v>
      </c>
    </row>
    <row r="788" spans="1:11">
      <c r="A788" s="16">
        <v>43202</v>
      </c>
      <c r="B788" s="17" t="s">
        <v>796</v>
      </c>
      <c r="C788">
        <v>26758900</v>
      </c>
      <c r="D788">
        <f t="shared" si="24"/>
        <v>1.855102833785607E-2</v>
      </c>
      <c r="G788" s="17" t="s">
        <v>4105</v>
      </c>
      <c r="H788">
        <v>3021320000</v>
      </c>
      <c r="J788">
        <f t="shared" si="25"/>
        <v>8.2168987634330705E-3</v>
      </c>
      <c r="K788">
        <v>1</v>
      </c>
    </row>
    <row r="789" spans="1:11">
      <c r="A789" s="16">
        <v>43203</v>
      </c>
      <c r="B789" s="17" t="s">
        <v>797</v>
      </c>
      <c r="C789">
        <v>23346100</v>
      </c>
      <c r="D789">
        <f t="shared" si="24"/>
        <v>-5.3573806732857476E-3</v>
      </c>
      <c r="G789" s="17" t="s">
        <v>4109</v>
      </c>
      <c r="H789">
        <v>2960910000</v>
      </c>
      <c r="J789">
        <f t="shared" si="25"/>
        <v>-2.8907996740231202E-3</v>
      </c>
      <c r="K789">
        <v>1</v>
      </c>
    </row>
    <row r="790" spans="1:11">
      <c r="A790" s="16">
        <v>43206</v>
      </c>
      <c r="B790" s="17" t="s">
        <v>798</v>
      </c>
      <c r="C790">
        <v>20288100</v>
      </c>
      <c r="D790">
        <f t="shared" si="24"/>
        <v>1.1642372801169483E-2</v>
      </c>
      <c r="G790" s="17" t="s">
        <v>4113</v>
      </c>
      <c r="H790">
        <v>3019700000</v>
      </c>
      <c r="J790">
        <f t="shared" si="25"/>
        <v>8.076336777702902E-3</v>
      </c>
      <c r="K790">
        <v>1</v>
      </c>
    </row>
    <row r="791" spans="1:11">
      <c r="A791" s="16">
        <v>43207</v>
      </c>
      <c r="B791" s="17" t="s">
        <v>799</v>
      </c>
      <c r="C791">
        <v>26771000</v>
      </c>
      <c r="D791">
        <f t="shared" si="24"/>
        <v>1.9975337717925451E-2</v>
      </c>
      <c r="G791" s="17" t="s">
        <v>4117</v>
      </c>
      <c r="H791">
        <v>3234360000</v>
      </c>
      <c r="J791">
        <f t="shared" si="25"/>
        <v>1.0605071728903286E-2</v>
      </c>
      <c r="K791">
        <v>1</v>
      </c>
    </row>
    <row r="792" spans="1:11">
      <c r="A792" s="16">
        <v>43208</v>
      </c>
      <c r="B792" s="17" t="s">
        <v>800</v>
      </c>
      <c r="C792">
        <v>21043300</v>
      </c>
      <c r="D792">
        <f t="shared" si="24"/>
        <v>3.8440555330469515E-3</v>
      </c>
      <c r="G792" s="17" t="s">
        <v>4121</v>
      </c>
      <c r="H792">
        <v>3383410000</v>
      </c>
      <c r="J792">
        <f t="shared" si="25"/>
        <v>8.3102040742370005E-4</v>
      </c>
      <c r="K792">
        <v>1</v>
      </c>
    </row>
    <row r="793" spans="1:11">
      <c r="A793" s="16">
        <v>43209</v>
      </c>
      <c r="B793" s="17" t="s">
        <v>801</v>
      </c>
      <c r="C793">
        <v>23552500</v>
      </c>
      <c r="D793">
        <f t="shared" si="24"/>
        <v>-3.4277404583833025E-3</v>
      </c>
      <c r="G793" s="17" t="s">
        <v>4125</v>
      </c>
      <c r="H793">
        <v>3349370000</v>
      </c>
      <c r="J793">
        <f t="shared" si="25"/>
        <v>-5.7425818819625924E-3</v>
      </c>
      <c r="K793">
        <v>1</v>
      </c>
    </row>
    <row r="794" spans="1:11">
      <c r="A794" s="16">
        <v>43210</v>
      </c>
      <c r="B794" s="17" t="s">
        <v>802</v>
      </c>
      <c r="C794">
        <v>31154400</v>
      </c>
      <c r="D794">
        <f t="shared" si="24"/>
        <v>-1.1616504717123973E-2</v>
      </c>
      <c r="G794" s="17" t="s">
        <v>4129</v>
      </c>
      <c r="H794">
        <v>3388590000</v>
      </c>
      <c r="J794">
        <f t="shared" si="25"/>
        <v>-8.5731770999769308E-3</v>
      </c>
      <c r="K794">
        <v>1</v>
      </c>
    </row>
    <row r="795" spans="1:11">
      <c r="A795" s="16">
        <v>43213</v>
      </c>
      <c r="B795" s="17" t="s">
        <v>803</v>
      </c>
      <c r="C795">
        <v>22331800</v>
      </c>
      <c r="D795">
        <f t="shared" si="24"/>
        <v>3.6773869742308457E-3</v>
      </c>
      <c r="G795" s="17" t="s">
        <v>4133</v>
      </c>
      <c r="H795">
        <v>3017480000</v>
      </c>
      <c r="J795">
        <f t="shared" si="25"/>
        <v>5.6229929781411334E-5</v>
      </c>
      <c r="K795">
        <v>1</v>
      </c>
    </row>
    <row r="796" spans="1:11">
      <c r="A796" s="16">
        <v>43214</v>
      </c>
      <c r="B796" s="17" t="s">
        <v>804</v>
      </c>
      <c r="C796">
        <v>34524800</v>
      </c>
      <c r="D796">
        <f t="shared" si="24"/>
        <v>-2.3665310934602744E-2</v>
      </c>
      <c r="G796" s="17" t="s">
        <v>4137</v>
      </c>
      <c r="H796">
        <v>3706740000</v>
      </c>
      <c r="J796">
        <f t="shared" si="25"/>
        <v>-1.34708878288692E-2</v>
      </c>
      <c r="K796">
        <v>1</v>
      </c>
    </row>
    <row r="797" spans="1:11">
      <c r="A797" s="16">
        <v>43215</v>
      </c>
      <c r="B797" s="17" t="s">
        <v>805</v>
      </c>
      <c r="C797">
        <v>33729300</v>
      </c>
      <c r="D797">
        <f t="shared" si="24"/>
        <v>-8.7364449515088538E-3</v>
      </c>
      <c r="G797" s="17" t="s">
        <v>4141</v>
      </c>
      <c r="H797">
        <v>3499440000</v>
      </c>
      <c r="J797">
        <f t="shared" si="25"/>
        <v>1.835373948385443E-3</v>
      </c>
      <c r="K797">
        <v>1</v>
      </c>
    </row>
    <row r="798" spans="1:11">
      <c r="A798" s="16">
        <v>43216</v>
      </c>
      <c r="B798" s="17" t="s">
        <v>806</v>
      </c>
      <c r="C798">
        <v>42529000</v>
      </c>
      <c r="D798">
        <f t="shared" si="24"/>
        <v>2.0904467571739624E-2</v>
      </c>
      <c r="G798" s="17" t="s">
        <v>4144</v>
      </c>
      <c r="H798">
        <v>3665720000</v>
      </c>
      <c r="J798">
        <f t="shared" si="25"/>
        <v>1.0380144165286856E-2</v>
      </c>
      <c r="K798">
        <v>1</v>
      </c>
    </row>
    <row r="799" spans="1:11">
      <c r="A799" s="16">
        <v>43217</v>
      </c>
      <c r="B799" s="17" t="s">
        <v>807</v>
      </c>
      <c r="C799">
        <v>48272800</v>
      </c>
      <c r="D799">
        <f t="shared" si="24"/>
        <v>1.6414537118590044E-2</v>
      </c>
      <c r="G799" s="17" t="s">
        <v>4148</v>
      </c>
      <c r="H799">
        <v>3219030000</v>
      </c>
      <c r="J799">
        <f t="shared" si="25"/>
        <v>1.1130053827261748E-3</v>
      </c>
      <c r="K799">
        <v>1</v>
      </c>
    </row>
    <row r="800" spans="1:11">
      <c r="A800" s="16">
        <v>43220</v>
      </c>
      <c r="B800" s="17" t="s">
        <v>808</v>
      </c>
      <c r="C800">
        <v>41523600</v>
      </c>
      <c r="D800">
        <f t="shared" si="24"/>
        <v>-2.4296247873295505E-2</v>
      </c>
      <c r="G800" s="17" t="s">
        <v>4152</v>
      </c>
      <c r="H800">
        <v>3734530000</v>
      </c>
      <c r="J800">
        <f t="shared" si="25"/>
        <v>-8.221192443049306E-3</v>
      </c>
      <c r="K800">
        <v>1</v>
      </c>
    </row>
    <row r="801" spans="1:11">
      <c r="A801" s="16">
        <v>43221</v>
      </c>
      <c r="B801" s="17" t="s">
        <v>802</v>
      </c>
      <c r="C801">
        <v>31408900</v>
      </c>
      <c r="D801">
        <f t="shared" si="24"/>
        <v>1.5701612094846502E-2</v>
      </c>
      <c r="G801" s="17" t="s">
        <v>4156</v>
      </c>
      <c r="H801">
        <v>3559850000</v>
      </c>
      <c r="J801">
        <f t="shared" si="25"/>
        <v>2.54580217086239E-3</v>
      </c>
      <c r="K801">
        <v>1</v>
      </c>
    </row>
    <row r="802" spans="1:11">
      <c r="A802" s="16">
        <v>43222</v>
      </c>
      <c r="B802" s="17" t="s">
        <v>809</v>
      </c>
      <c r="C802">
        <v>27471000</v>
      </c>
      <c r="D802">
        <f t="shared" si="24"/>
        <v>-1.5808363925681638E-2</v>
      </c>
      <c r="G802" s="17" t="s">
        <v>4160</v>
      </c>
      <c r="H802">
        <v>4010770000</v>
      </c>
      <c r="J802">
        <f t="shared" si="25"/>
        <v>-7.2319512187172617E-3</v>
      </c>
      <c r="K802">
        <v>1</v>
      </c>
    </row>
    <row r="803" spans="1:11">
      <c r="A803" s="16">
        <v>43223</v>
      </c>
      <c r="B803" s="17" t="s">
        <v>810</v>
      </c>
      <c r="C803">
        <v>31142500</v>
      </c>
      <c r="D803">
        <f t="shared" si="24"/>
        <v>5.9706874758227446E-3</v>
      </c>
      <c r="G803" s="17" t="s">
        <v>4164</v>
      </c>
      <c r="H803">
        <v>3851470000</v>
      </c>
      <c r="J803">
        <f t="shared" si="25"/>
        <v>-2.256217810740562E-3</v>
      </c>
      <c r="K803">
        <v>1</v>
      </c>
    </row>
    <row r="804" spans="1:11">
      <c r="A804" s="16">
        <v>43224</v>
      </c>
      <c r="B804" s="17" t="s">
        <v>811</v>
      </c>
      <c r="C804">
        <v>22531300</v>
      </c>
      <c r="D804">
        <f t="shared" si="24"/>
        <v>1.1520539834581081E-2</v>
      </c>
      <c r="G804" s="17" t="s">
        <v>4168</v>
      </c>
      <c r="H804">
        <v>3327220000</v>
      </c>
      <c r="J804">
        <f t="shared" si="25"/>
        <v>1.2729810253517449E-2</v>
      </c>
      <c r="K804">
        <v>1</v>
      </c>
    </row>
    <row r="805" spans="1:11">
      <c r="A805" s="16">
        <v>43227</v>
      </c>
      <c r="B805" s="17" t="s">
        <v>812</v>
      </c>
      <c r="C805">
        <v>24242000</v>
      </c>
      <c r="D805">
        <f t="shared" si="24"/>
        <v>1.107747036153062E-2</v>
      </c>
      <c r="G805" s="17" t="s">
        <v>4172</v>
      </c>
      <c r="H805">
        <v>3237960000</v>
      </c>
      <c r="J805">
        <f t="shared" si="25"/>
        <v>3.4519805782134557E-3</v>
      </c>
      <c r="K805">
        <v>1</v>
      </c>
    </row>
    <row r="806" spans="1:11">
      <c r="A806" s="16">
        <v>43228</v>
      </c>
      <c r="B806" s="17" t="s">
        <v>813</v>
      </c>
      <c r="C806">
        <v>23484600</v>
      </c>
      <c r="D806">
        <f t="shared" si="24"/>
        <v>-4.2701345909234275E-3</v>
      </c>
      <c r="G806" s="17" t="s">
        <v>4176</v>
      </c>
      <c r="H806">
        <v>3717570000</v>
      </c>
      <c r="J806">
        <f t="shared" si="25"/>
        <v>-2.6567663510656126E-4</v>
      </c>
      <c r="K806">
        <v>1</v>
      </c>
    </row>
    <row r="807" spans="1:11">
      <c r="A807" s="16">
        <v>43229</v>
      </c>
      <c r="B807" s="17" t="s">
        <v>814</v>
      </c>
      <c r="C807">
        <v>27327400</v>
      </c>
      <c r="D807">
        <f t="shared" si="24"/>
        <v>1.1725085305754364E-2</v>
      </c>
      <c r="G807" s="17" t="s">
        <v>4180</v>
      </c>
      <c r="H807">
        <v>3909500000</v>
      </c>
      <c r="J807">
        <f t="shared" si="25"/>
        <v>9.6356478649187744E-3</v>
      </c>
      <c r="K807">
        <v>1</v>
      </c>
    </row>
    <row r="808" spans="1:11">
      <c r="A808" s="16">
        <v>43230</v>
      </c>
      <c r="B808" s="17" t="s">
        <v>815</v>
      </c>
      <c r="C808">
        <v>22388100</v>
      </c>
      <c r="D808">
        <f t="shared" si="24"/>
        <v>9.9565535962856857E-3</v>
      </c>
      <c r="G808" s="17" t="s">
        <v>4184</v>
      </c>
      <c r="H808">
        <v>3333050000</v>
      </c>
      <c r="J808">
        <f t="shared" si="25"/>
        <v>9.3270114950413738E-3</v>
      </c>
      <c r="K808">
        <v>1</v>
      </c>
    </row>
    <row r="809" spans="1:11">
      <c r="A809" s="16">
        <v>43231</v>
      </c>
      <c r="B809" s="17" t="s">
        <v>816</v>
      </c>
      <c r="C809">
        <v>16778300</v>
      </c>
      <c r="D809">
        <f t="shared" si="24"/>
        <v>-2.1472296883441803E-3</v>
      </c>
      <c r="G809" s="17" t="s">
        <v>4188</v>
      </c>
      <c r="H809">
        <v>2862700000</v>
      </c>
      <c r="J809">
        <f t="shared" si="25"/>
        <v>1.7061395117717584E-3</v>
      </c>
      <c r="K809">
        <v>1</v>
      </c>
    </row>
    <row r="810" spans="1:11">
      <c r="A810" s="16">
        <v>43234</v>
      </c>
      <c r="B810" s="17" t="s">
        <v>817</v>
      </c>
      <c r="C810">
        <v>19454100</v>
      </c>
      <c r="D810">
        <f t="shared" si="24"/>
        <v>3.372134672010238E-3</v>
      </c>
      <c r="G810" s="17" t="s">
        <v>4192</v>
      </c>
      <c r="H810">
        <v>2972660000</v>
      </c>
      <c r="J810">
        <f t="shared" si="25"/>
        <v>8.8309946996841199E-4</v>
      </c>
      <c r="K810">
        <v>1</v>
      </c>
    </row>
    <row r="811" spans="1:11">
      <c r="A811" s="16">
        <v>43235</v>
      </c>
      <c r="B811" s="17" t="s">
        <v>818</v>
      </c>
      <c r="C811">
        <v>24594000</v>
      </c>
      <c r="D811">
        <f t="shared" si="24"/>
        <v>-7.2690093533620591E-3</v>
      </c>
      <c r="G811" s="17" t="s">
        <v>4195</v>
      </c>
      <c r="H811">
        <v>3290680000</v>
      </c>
      <c r="J811">
        <f t="shared" si="25"/>
        <v>-6.8656551760573987E-3</v>
      </c>
      <c r="K811">
        <v>1</v>
      </c>
    </row>
    <row r="812" spans="1:11">
      <c r="A812" s="16">
        <v>43236</v>
      </c>
      <c r="B812" s="17" t="s">
        <v>819</v>
      </c>
      <c r="C812">
        <v>17384700</v>
      </c>
      <c r="D812">
        <f t="shared" si="24"/>
        <v>2.5765652720664955E-3</v>
      </c>
      <c r="G812" s="17" t="s">
        <v>4199</v>
      </c>
      <c r="H812">
        <v>3202670000</v>
      </c>
      <c r="J812">
        <f t="shared" si="25"/>
        <v>4.0523399338602221E-3</v>
      </c>
      <c r="K812">
        <v>1</v>
      </c>
    </row>
    <row r="813" spans="1:11">
      <c r="A813" s="16">
        <v>43237</v>
      </c>
      <c r="B813" s="17" t="s">
        <v>820</v>
      </c>
      <c r="C813">
        <v>17246700</v>
      </c>
      <c r="D813">
        <f t="shared" si="24"/>
        <v>-1.0034690588272267E-2</v>
      </c>
      <c r="G813" s="17" t="s">
        <v>4203</v>
      </c>
      <c r="H813">
        <v>3475400000</v>
      </c>
      <c r="J813">
        <f t="shared" si="25"/>
        <v>-8.5623874263671856E-4</v>
      </c>
      <c r="K813">
        <v>1</v>
      </c>
    </row>
    <row r="814" spans="1:11">
      <c r="A814" s="16">
        <v>43238</v>
      </c>
      <c r="B814" s="17" t="s">
        <v>821</v>
      </c>
      <c r="C814">
        <v>17865800</v>
      </c>
      <c r="D814">
        <f t="shared" si="24"/>
        <v>1.8696992916524624E-3</v>
      </c>
      <c r="G814" s="17" t="s">
        <v>4207</v>
      </c>
      <c r="H814">
        <v>3368690000</v>
      </c>
      <c r="J814">
        <f t="shared" si="25"/>
        <v>-2.6356652140528051E-3</v>
      </c>
      <c r="K814">
        <v>1</v>
      </c>
    </row>
    <row r="815" spans="1:11">
      <c r="A815" s="16">
        <v>43241</v>
      </c>
      <c r="B815" s="17" t="s">
        <v>822</v>
      </c>
      <c r="C815">
        <v>19422500</v>
      </c>
      <c r="D815">
        <f t="shared" si="24"/>
        <v>1.2786382648666965E-2</v>
      </c>
      <c r="G815" s="17" t="s">
        <v>4211</v>
      </c>
      <c r="H815">
        <v>3019890000</v>
      </c>
      <c r="J815">
        <f t="shared" si="25"/>
        <v>7.3596045242624092E-3</v>
      </c>
      <c r="K815">
        <v>1</v>
      </c>
    </row>
    <row r="816" spans="1:11">
      <c r="A816" s="16">
        <v>43242</v>
      </c>
      <c r="B816" s="17" t="s">
        <v>823</v>
      </c>
      <c r="C816">
        <v>15441200</v>
      </c>
      <c r="D816">
        <f t="shared" si="24"/>
        <v>-1.0250767989635806E-3</v>
      </c>
      <c r="G816" s="17" t="s">
        <v>4215</v>
      </c>
      <c r="H816">
        <v>3366310000</v>
      </c>
      <c r="J816">
        <f t="shared" si="25"/>
        <v>-3.1406888277453991E-3</v>
      </c>
      <c r="K816">
        <v>1</v>
      </c>
    </row>
    <row r="817" spans="1:11">
      <c r="A817" s="16">
        <v>43243</v>
      </c>
      <c r="B817" s="17" t="s">
        <v>824</v>
      </c>
      <c r="C817">
        <v>21251200</v>
      </c>
      <c r="D817">
        <f t="shared" si="24"/>
        <v>1.1827140682334009E-2</v>
      </c>
      <c r="G817" s="17" t="s">
        <v>4219</v>
      </c>
      <c r="H817">
        <v>3326290000</v>
      </c>
      <c r="J817">
        <f t="shared" si="25"/>
        <v>3.2431453331457786E-3</v>
      </c>
      <c r="K817">
        <v>1</v>
      </c>
    </row>
    <row r="818" spans="1:11">
      <c r="A818" s="16">
        <v>43244</v>
      </c>
      <c r="B818" s="17" t="s">
        <v>825</v>
      </c>
      <c r="C818">
        <v>26649300</v>
      </c>
      <c r="D818">
        <f t="shared" si="24"/>
        <v>-3.5537992198107155E-3</v>
      </c>
      <c r="G818" s="17" t="s">
        <v>4197</v>
      </c>
      <c r="H818">
        <v>3256030000</v>
      </c>
      <c r="J818">
        <f t="shared" si="25"/>
        <v>-2.0252628489341846E-3</v>
      </c>
      <c r="K818">
        <v>1</v>
      </c>
    </row>
    <row r="819" spans="1:11">
      <c r="A819" s="16">
        <v>43245</v>
      </c>
      <c r="B819" s="17" t="s">
        <v>826</v>
      </c>
      <c r="C819">
        <v>18363900</v>
      </c>
      <c r="D819">
        <f t="shared" si="24"/>
        <v>5.0845204138628324E-4</v>
      </c>
      <c r="G819" s="17" t="s">
        <v>4225</v>
      </c>
      <c r="H819">
        <v>2995260000</v>
      </c>
      <c r="J819">
        <f t="shared" si="25"/>
        <v>-2.3600031860415097E-3</v>
      </c>
      <c r="K819">
        <v>1</v>
      </c>
    </row>
    <row r="820" spans="1:11">
      <c r="A820" s="16">
        <v>43249</v>
      </c>
      <c r="B820" s="17" t="s">
        <v>827</v>
      </c>
      <c r="C820">
        <v>28671000</v>
      </c>
      <c r="D820">
        <f t="shared" si="24"/>
        <v>-3.5648146173108274E-3</v>
      </c>
      <c r="G820" s="17" t="s">
        <v>4229</v>
      </c>
      <c r="H820">
        <v>3736890000</v>
      </c>
      <c r="J820">
        <f t="shared" si="25"/>
        <v>-1.1631572622697848E-2</v>
      </c>
      <c r="K820">
        <v>1</v>
      </c>
    </row>
    <row r="821" spans="1:11">
      <c r="A821" s="16">
        <v>43250</v>
      </c>
      <c r="B821" s="17" t="s">
        <v>828</v>
      </c>
      <c r="C821">
        <v>22158500</v>
      </c>
      <c r="D821">
        <f t="shared" si="24"/>
        <v>9.5451827543329981E-3</v>
      </c>
      <c r="G821" s="17" t="s">
        <v>4232</v>
      </c>
      <c r="H821">
        <v>3561050000</v>
      </c>
      <c r="J821">
        <f t="shared" si="25"/>
        <v>1.2615875594803282E-2</v>
      </c>
      <c r="K821">
        <v>1</v>
      </c>
    </row>
    <row r="822" spans="1:11">
      <c r="A822" s="16">
        <v>43251</v>
      </c>
      <c r="B822" s="17" t="s">
        <v>829</v>
      </c>
      <c r="C822">
        <v>34140900</v>
      </c>
      <c r="D822">
        <f t="shared" si="24"/>
        <v>-1.1122044996743827E-3</v>
      </c>
      <c r="G822" s="17" t="s">
        <v>4236</v>
      </c>
      <c r="H822">
        <v>4235370000</v>
      </c>
      <c r="J822">
        <f t="shared" si="25"/>
        <v>-6.9033331562017184E-3</v>
      </c>
      <c r="K822">
        <v>1</v>
      </c>
    </row>
    <row r="823" spans="1:11">
      <c r="A823" s="16">
        <v>43252</v>
      </c>
      <c r="B823" s="17" t="s">
        <v>830</v>
      </c>
      <c r="C823">
        <v>28655600</v>
      </c>
      <c r="D823">
        <f t="shared" si="24"/>
        <v>1.9536762710885901E-2</v>
      </c>
      <c r="G823" s="17" t="s">
        <v>4239</v>
      </c>
      <c r="H823">
        <v>3684130000</v>
      </c>
      <c r="J823">
        <f t="shared" si="25"/>
        <v>1.0790799467401633E-2</v>
      </c>
      <c r="K823">
        <v>1</v>
      </c>
    </row>
    <row r="824" spans="1:11">
      <c r="A824" s="16">
        <v>43255</v>
      </c>
      <c r="B824" s="17" t="s">
        <v>831</v>
      </c>
      <c r="C824">
        <v>27281600</v>
      </c>
      <c r="D824">
        <f t="shared" si="24"/>
        <v>8.6931330488041209E-3</v>
      </c>
      <c r="G824" s="17" t="s">
        <v>4243</v>
      </c>
      <c r="H824">
        <v>3376510000</v>
      </c>
      <c r="J824">
        <f t="shared" si="25"/>
        <v>4.4695948986579392E-3</v>
      </c>
      <c r="K824">
        <v>1</v>
      </c>
    </row>
    <row r="825" spans="1:11">
      <c r="A825" s="16">
        <v>43256</v>
      </c>
      <c r="B825" s="17" t="s">
        <v>832</v>
      </c>
      <c r="C825">
        <v>23514400</v>
      </c>
      <c r="D825">
        <f t="shared" si="24"/>
        <v>5.1015846463803366E-3</v>
      </c>
      <c r="G825" s="17" t="s">
        <v>4247</v>
      </c>
      <c r="H825">
        <v>3517790000</v>
      </c>
      <c r="J825">
        <f t="shared" si="25"/>
        <v>7.0234640036242536E-4</v>
      </c>
      <c r="K825">
        <v>1</v>
      </c>
    </row>
    <row r="826" spans="1:11">
      <c r="A826" s="16">
        <v>43257</v>
      </c>
      <c r="B826" s="17" t="s">
        <v>833</v>
      </c>
      <c r="C826">
        <v>21122900</v>
      </c>
      <c r="D826">
        <f t="shared" si="24"/>
        <v>2.9313770043711755E-3</v>
      </c>
      <c r="G826" s="17" t="s">
        <v>4250</v>
      </c>
      <c r="H826">
        <v>3651640000</v>
      </c>
      <c r="J826">
        <f t="shared" si="25"/>
        <v>8.5309006987769002E-3</v>
      </c>
      <c r="K826">
        <v>1</v>
      </c>
    </row>
    <row r="827" spans="1:11">
      <c r="A827" s="16">
        <v>43258</v>
      </c>
      <c r="B827" s="17" t="s">
        <v>834</v>
      </c>
      <c r="C827">
        <v>28232200</v>
      </c>
      <c r="D827">
        <f t="shared" si="24"/>
        <v>-1.5833537264518777E-2</v>
      </c>
      <c r="G827" s="17" t="s">
        <v>4254</v>
      </c>
      <c r="H827">
        <v>3711330000</v>
      </c>
      <c r="J827">
        <f t="shared" si="25"/>
        <v>-7.1444381365731767E-4</v>
      </c>
      <c r="K827">
        <v>1</v>
      </c>
    </row>
    <row r="828" spans="1:11">
      <c r="A828" s="16">
        <v>43259</v>
      </c>
      <c r="B828" s="17" t="s">
        <v>835</v>
      </c>
      <c r="C828">
        <v>22165100</v>
      </c>
      <c r="D828">
        <f t="shared" si="24"/>
        <v>7.406964180230304E-3</v>
      </c>
      <c r="G828" s="17" t="s">
        <v>4258</v>
      </c>
      <c r="H828">
        <v>3123210000</v>
      </c>
      <c r="J828">
        <f t="shared" si="25"/>
        <v>3.1210288686051267E-3</v>
      </c>
      <c r="K828">
        <v>1</v>
      </c>
    </row>
    <row r="829" spans="1:11">
      <c r="A829" s="16">
        <v>43262</v>
      </c>
      <c r="B829" s="17" t="s">
        <v>836</v>
      </c>
      <c r="C829">
        <v>23490900</v>
      </c>
      <c r="D829">
        <f t="shared" si="24"/>
        <v>-5.7232154340835983E-3</v>
      </c>
      <c r="G829" s="17" t="s">
        <v>4262</v>
      </c>
      <c r="H829">
        <v>3232330000</v>
      </c>
      <c r="J829">
        <f t="shared" si="25"/>
        <v>1.0681371137670548E-3</v>
      </c>
      <c r="K829">
        <v>1</v>
      </c>
    </row>
    <row r="830" spans="1:11">
      <c r="A830" s="16">
        <v>43263</v>
      </c>
      <c r="B830" s="17" t="s">
        <v>837</v>
      </c>
      <c r="C830">
        <v>18325200</v>
      </c>
      <c r="D830">
        <f t="shared" si="24"/>
        <v>2.5696960061267048E-3</v>
      </c>
      <c r="G830" s="17" t="s">
        <v>4266</v>
      </c>
      <c r="H830">
        <v>3401010000</v>
      </c>
      <c r="J830">
        <f t="shared" si="25"/>
        <v>1.7418674020510782E-3</v>
      </c>
      <c r="K830">
        <v>1</v>
      </c>
    </row>
    <row r="831" spans="1:11">
      <c r="A831" s="16">
        <v>43264</v>
      </c>
      <c r="B831" s="17" t="s">
        <v>838</v>
      </c>
      <c r="C831">
        <v>29492900</v>
      </c>
      <c r="D831">
        <f t="shared" si="24"/>
        <v>-4.5508719976246241E-3</v>
      </c>
      <c r="G831" s="17" t="s">
        <v>4270</v>
      </c>
      <c r="H831">
        <v>3779230000</v>
      </c>
      <c r="J831">
        <f t="shared" si="25"/>
        <v>-4.0342545972063088E-3</v>
      </c>
      <c r="K831">
        <v>1</v>
      </c>
    </row>
    <row r="832" spans="1:11">
      <c r="A832" s="16">
        <v>43265</v>
      </c>
      <c r="B832" s="17" t="s">
        <v>839</v>
      </c>
      <c r="C832">
        <v>25691800</v>
      </c>
      <c r="D832">
        <f t="shared" si="24"/>
        <v>5.6360558722543964E-3</v>
      </c>
      <c r="G832" s="17" t="s">
        <v>4274</v>
      </c>
      <c r="H832">
        <v>3526890000</v>
      </c>
      <c r="J832">
        <f t="shared" si="25"/>
        <v>2.4685003707192116E-3</v>
      </c>
      <c r="K832">
        <v>1</v>
      </c>
    </row>
    <row r="833" spans="1:11">
      <c r="A833" s="16">
        <v>43266</v>
      </c>
      <c r="B833" s="17" t="s">
        <v>840</v>
      </c>
      <c r="C833">
        <v>65738600</v>
      </c>
      <c r="D833">
        <f t="shared" si="24"/>
        <v>-1.2801019266744993E-2</v>
      </c>
      <c r="G833" s="17" t="s">
        <v>4278</v>
      </c>
      <c r="H833">
        <v>5428790000</v>
      </c>
      <c r="J833">
        <f t="shared" si="25"/>
        <v>-1.0176202706102954E-3</v>
      </c>
      <c r="K833">
        <v>1</v>
      </c>
    </row>
    <row r="834" spans="1:11">
      <c r="A834" s="16">
        <v>43269</v>
      </c>
      <c r="B834" s="17" t="s">
        <v>841</v>
      </c>
      <c r="C834">
        <v>23586000</v>
      </c>
      <c r="D834">
        <f t="shared" si="24"/>
        <v>7.2641393723963102E-3</v>
      </c>
      <c r="G834" s="17" t="s">
        <v>4282</v>
      </c>
      <c r="H834">
        <v>3287150000</v>
      </c>
      <c r="J834">
        <f t="shared" si="25"/>
        <v>-2.1283911415382649E-3</v>
      </c>
      <c r="K834">
        <v>1</v>
      </c>
    </row>
    <row r="835" spans="1:11">
      <c r="A835" s="16">
        <v>43270</v>
      </c>
      <c r="B835" s="17" t="s">
        <v>841</v>
      </c>
      <c r="C835">
        <v>28653100</v>
      </c>
      <c r="D835">
        <f t="shared" si="24"/>
        <v>0</v>
      </c>
      <c r="G835" s="17" t="s">
        <v>4285</v>
      </c>
      <c r="H835">
        <v>3661470000</v>
      </c>
      <c r="J835">
        <f t="shared" si="25"/>
        <v>-4.0315179117998779E-3</v>
      </c>
      <c r="K835">
        <v>1</v>
      </c>
    </row>
    <row r="836" spans="1:11">
      <c r="A836" s="16">
        <v>43271</v>
      </c>
      <c r="B836" s="17" t="s">
        <v>842</v>
      </c>
      <c r="C836">
        <v>26180800</v>
      </c>
      <c r="D836">
        <f t="shared" si="24"/>
        <v>9.9640498503845969E-3</v>
      </c>
      <c r="G836" s="17" t="s">
        <v>4289</v>
      </c>
      <c r="H836">
        <v>3327600000</v>
      </c>
      <c r="J836">
        <f t="shared" si="25"/>
        <v>1.710690054657128E-3</v>
      </c>
      <c r="K836">
        <v>1</v>
      </c>
    </row>
    <row r="837" spans="1:11">
      <c r="A837" s="16">
        <v>43272</v>
      </c>
      <c r="B837" s="17" t="s">
        <v>843</v>
      </c>
      <c r="C837">
        <v>23198200</v>
      </c>
      <c r="D837">
        <f t="shared" ref="D837:D900" si="26">LN(B837/B836)</f>
        <v>-7.1917777782346554E-3</v>
      </c>
      <c r="G837" s="17" t="s">
        <v>4292</v>
      </c>
      <c r="H837">
        <v>3300060000</v>
      </c>
      <c r="J837">
        <f t="shared" ref="J837:J900" si="27">LN(G837/G836)</f>
        <v>-6.3657286281216608E-3</v>
      </c>
      <c r="K837">
        <v>1</v>
      </c>
    </row>
    <row r="838" spans="1:11">
      <c r="A838" s="16">
        <v>43273</v>
      </c>
      <c r="B838" s="17" t="s">
        <v>844</v>
      </c>
      <c r="C838">
        <v>38923100</v>
      </c>
      <c r="D838">
        <f t="shared" si="26"/>
        <v>-7.2438743389029109E-3</v>
      </c>
      <c r="G838" s="17" t="s">
        <v>4296</v>
      </c>
      <c r="H838">
        <v>5450550000</v>
      </c>
      <c r="J838">
        <f t="shared" si="27"/>
        <v>1.860203237960289E-3</v>
      </c>
      <c r="K838">
        <v>1</v>
      </c>
    </row>
    <row r="839" spans="1:11">
      <c r="A839" s="16">
        <v>43276</v>
      </c>
      <c r="B839" s="17" t="s">
        <v>845</v>
      </c>
      <c r="C839">
        <v>35433300</v>
      </c>
      <c r="D839">
        <f t="shared" si="26"/>
        <v>-2.0322591313989519E-2</v>
      </c>
      <c r="G839" s="17" t="s">
        <v>4299</v>
      </c>
      <c r="H839">
        <v>3655080000</v>
      </c>
      <c r="J839">
        <f t="shared" si="27"/>
        <v>-1.3819723168097358E-2</v>
      </c>
      <c r="K839">
        <v>1</v>
      </c>
    </row>
    <row r="840" spans="1:11">
      <c r="A840" s="16">
        <v>43277</v>
      </c>
      <c r="B840" s="17" t="s">
        <v>846</v>
      </c>
      <c r="C840">
        <v>26897200</v>
      </c>
      <c r="D840">
        <f t="shared" si="26"/>
        <v>6.9883791983392446E-3</v>
      </c>
      <c r="G840" s="17" t="s">
        <v>4303</v>
      </c>
      <c r="H840">
        <v>3555090000</v>
      </c>
      <c r="J840">
        <f t="shared" si="27"/>
        <v>2.2021507871512656E-3</v>
      </c>
      <c r="K840">
        <v>1</v>
      </c>
    </row>
    <row r="841" spans="1:11">
      <c r="A841" s="16">
        <v>43278</v>
      </c>
      <c r="B841" s="17" t="s">
        <v>847</v>
      </c>
      <c r="C841">
        <v>31298400</v>
      </c>
      <c r="D841">
        <f t="shared" si="26"/>
        <v>-1.566500433077286E-2</v>
      </c>
      <c r="G841" s="17" t="s">
        <v>4307</v>
      </c>
      <c r="H841">
        <v>3776090000</v>
      </c>
      <c r="J841">
        <f t="shared" si="27"/>
        <v>-8.6415863928759502E-3</v>
      </c>
      <c r="K841">
        <v>1</v>
      </c>
    </row>
    <row r="842" spans="1:11">
      <c r="A842" s="16">
        <v>43279</v>
      </c>
      <c r="B842" s="17" t="s">
        <v>848</v>
      </c>
      <c r="C842">
        <v>26650700</v>
      </c>
      <c r="D842">
        <f t="shared" si="26"/>
        <v>1.1112802133667008E-2</v>
      </c>
      <c r="G842" s="17" t="s">
        <v>4311</v>
      </c>
      <c r="H842">
        <v>3428140000</v>
      </c>
      <c r="J842">
        <f t="shared" si="27"/>
        <v>6.1596800991367559E-3</v>
      </c>
      <c r="K842">
        <v>1</v>
      </c>
    </row>
    <row r="843" spans="1:11">
      <c r="A843" s="16">
        <v>43280</v>
      </c>
      <c r="B843" s="17" t="s">
        <v>849</v>
      </c>
      <c r="C843">
        <v>28053200</v>
      </c>
      <c r="D843">
        <f t="shared" si="26"/>
        <v>-2.0269112192025592E-4</v>
      </c>
      <c r="G843" s="17" t="s">
        <v>4315</v>
      </c>
      <c r="H843">
        <v>3565620000</v>
      </c>
      <c r="J843">
        <f t="shared" si="27"/>
        <v>7.5811566898234637E-4</v>
      </c>
      <c r="K843">
        <v>1</v>
      </c>
    </row>
    <row r="844" spans="1:11">
      <c r="A844" s="16">
        <v>43283</v>
      </c>
      <c r="B844" s="17" t="s">
        <v>850</v>
      </c>
      <c r="C844">
        <v>19564500</v>
      </c>
      <c r="D844">
        <f t="shared" si="26"/>
        <v>1.4097469140684207E-2</v>
      </c>
      <c r="G844" s="17" t="s">
        <v>4319</v>
      </c>
      <c r="H844">
        <v>3073650000</v>
      </c>
      <c r="J844">
        <f t="shared" si="27"/>
        <v>3.0632609261900135E-3</v>
      </c>
      <c r="K844">
        <v>1</v>
      </c>
    </row>
    <row r="845" spans="1:11">
      <c r="A845" s="16">
        <v>43284</v>
      </c>
      <c r="B845" s="17" t="s">
        <v>851</v>
      </c>
      <c r="C845">
        <v>14670300</v>
      </c>
      <c r="D845">
        <f t="shared" si="26"/>
        <v>-9.6453244224198025E-3</v>
      </c>
      <c r="G845" s="17" t="s">
        <v>4323</v>
      </c>
      <c r="H845">
        <v>1911470000</v>
      </c>
      <c r="J845">
        <f t="shared" si="27"/>
        <v>-4.9596291940371519E-3</v>
      </c>
      <c r="K845">
        <v>1</v>
      </c>
    </row>
    <row r="846" spans="1:11">
      <c r="A846" s="16">
        <v>43286</v>
      </c>
      <c r="B846" s="17" t="s">
        <v>852</v>
      </c>
      <c r="C846">
        <v>18977400</v>
      </c>
      <c r="D846">
        <f t="shared" si="26"/>
        <v>7.1424518071418674E-3</v>
      </c>
      <c r="G846" s="17" t="s">
        <v>4327</v>
      </c>
      <c r="H846">
        <v>2953420000</v>
      </c>
      <c r="J846">
        <f t="shared" si="27"/>
        <v>8.5838564819602902E-3</v>
      </c>
      <c r="K846">
        <v>1</v>
      </c>
    </row>
    <row r="847" spans="1:11">
      <c r="A847" s="16">
        <v>43287</v>
      </c>
      <c r="B847" s="17" t="s">
        <v>853</v>
      </c>
      <c r="C847">
        <v>19234600</v>
      </c>
      <c r="D847">
        <f t="shared" si="26"/>
        <v>1.3936166854353785E-2</v>
      </c>
      <c r="G847" s="17" t="s">
        <v>4331</v>
      </c>
      <c r="H847">
        <v>2554780000</v>
      </c>
      <c r="J847">
        <f t="shared" si="27"/>
        <v>8.4455176245228913E-3</v>
      </c>
      <c r="K847">
        <v>1</v>
      </c>
    </row>
    <row r="848" spans="1:11">
      <c r="A848" s="16">
        <v>43290</v>
      </c>
      <c r="B848" s="17" t="s">
        <v>854</v>
      </c>
      <c r="C848">
        <v>18212000</v>
      </c>
      <c r="D848">
        <f t="shared" si="26"/>
        <v>6.7975992450344126E-3</v>
      </c>
      <c r="G848" s="17" t="s">
        <v>4335</v>
      </c>
      <c r="H848">
        <v>3050040000</v>
      </c>
      <c r="J848">
        <f t="shared" si="27"/>
        <v>8.7842909604549466E-3</v>
      </c>
      <c r="K848">
        <v>1</v>
      </c>
    </row>
    <row r="849" spans="1:11">
      <c r="A849" s="16">
        <v>43291</v>
      </c>
      <c r="B849" s="17" t="s">
        <v>855</v>
      </c>
      <c r="C849">
        <v>19293100</v>
      </c>
      <c r="D849">
        <f t="shared" si="26"/>
        <v>2.6474095435284803E-3</v>
      </c>
      <c r="G849" s="17" t="s">
        <v>4338</v>
      </c>
      <c r="H849">
        <v>3063850000</v>
      </c>
      <c r="J849">
        <f t="shared" si="27"/>
        <v>3.4672493130737708E-3</v>
      </c>
      <c r="K849">
        <v>1</v>
      </c>
    </row>
    <row r="850" spans="1:11">
      <c r="A850" s="16">
        <v>43292</v>
      </c>
      <c r="B850" s="17" t="s">
        <v>856</v>
      </c>
      <c r="C850">
        <v>19644600</v>
      </c>
      <c r="D850">
        <f t="shared" si="26"/>
        <v>-1.3717929845316567E-3</v>
      </c>
      <c r="G850" s="17" t="s">
        <v>4342</v>
      </c>
      <c r="H850">
        <v>2964740000</v>
      </c>
      <c r="J850">
        <f t="shared" si="27"/>
        <v>-7.1194862420864667E-3</v>
      </c>
      <c r="K850">
        <v>1</v>
      </c>
    </row>
    <row r="851" spans="1:11">
      <c r="A851" s="16">
        <v>43293</v>
      </c>
      <c r="B851" s="17" t="s">
        <v>857</v>
      </c>
      <c r="C851">
        <v>24335900</v>
      </c>
      <c r="D851">
        <f t="shared" si="26"/>
        <v>2.1439524420459689E-2</v>
      </c>
      <c r="G851" s="17" t="s">
        <v>4346</v>
      </c>
      <c r="H851">
        <v>2821690000</v>
      </c>
      <c r="J851">
        <f t="shared" si="27"/>
        <v>8.7109913888583079E-3</v>
      </c>
      <c r="K851">
        <v>1</v>
      </c>
    </row>
    <row r="852" spans="1:11">
      <c r="A852" s="16">
        <v>43294</v>
      </c>
      <c r="B852" s="17" t="s">
        <v>858</v>
      </c>
      <c r="C852">
        <v>24635200</v>
      </c>
      <c r="D852">
        <f t="shared" si="26"/>
        <v>1.1830984444107696E-2</v>
      </c>
      <c r="G852" s="17" t="s">
        <v>4350</v>
      </c>
      <c r="H852">
        <v>2614000000</v>
      </c>
      <c r="J852">
        <f t="shared" si="27"/>
        <v>1.0786557039651253E-3</v>
      </c>
      <c r="K852">
        <v>1</v>
      </c>
    </row>
    <row r="853" spans="1:11">
      <c r="A853" s="16">
        <v>43297</v>
      </c>
      <c r="B853" s="17" t="s">
        <v>859</v>
      </c>
      <c r="C853">
        <v>21786900</v>
      </c>
      <c r="D853">
        <f t="shared" si="26"/>
        <v>-4.9444085017315391E-3</v>
      </c>
      <c r="G853" s="17" t="s">
        <v>4354</v>
      </c>
      <c r="H853">
        <v>2812230000</v>
      </c>
      <c r="J853">
        <f t="shared" si="27"/>
        <v>-1.028664637499674E-3</v>
      </c>
      <c r="K853">
        <v>1</v>
      </c>
    </row>
    <row r="854" spans="1:11">
      <c r="A854" s="16">
        <v>43298</v>
      </c>
      <c r="B854" s="17" t="s">
        <v>860</v>
      </c>
      <c r="C854">
        <v>25901700</v>
      </c>
      <c r="D854">
        <f t="shared" si="26"/>
        <v>9.8644997437968406E-3</v>
      </c>
      <c r="G854" s="17" t="s">
        <v>4358</v>
      </c>
      <c r="H854">
        <v>3050730000</v>
      </c>
      <c r="J854">
        <f t="shared" si="27"/>
        <v>3.965824276198425E-3</v>
      </c>
      <c r="K854">
        <v>1</v>
      </c>
    </row>
    <row r="855" spans="1:11">
      <c r="A855" s="16">
        <v>43299</v>
      </c>
      <c r="B855" s="17" t="s">
        <v>861</v>
      </c>
      <c r="C855">
        <v>29493900</v>
      </c>
      <c r="D855">
        <f t="shared" si="26"/>
        <v>-7.8648335663995296E-3</v>
      </c>
      <c r="G855" s="17" t="s">
        <v>4362</v>
      </c>
      <c r="H855">
        <v>3089780000</v>
      </c>
      <c r="J855">
        <f t="shared" si="27"/>
        <v>2.1581819489692655E-3</v>
      </c>
      <c r="K855">
        <v>1</v>
      </c>
    </row>
    <row r="856" spans="1:11">
      <c r="A856" s="16">
        <v>43300</v>
      </c>
      <c r="B856" s="17" t="s">
        <v>862</v>
      </c>
      <c r="C856">
        <v>40171600</v>
      </c>
      <c r="D856">
        <f t="shared" si="26"/>
        <v>-6.8727616389907984E-3</v>
      </c>
      <c r="G856" s="17" t="s">
        <v>4366</v>
      </c>
      <c r="H856">
        <v>3266700000</v>
      </c>
      <c r="J856">
        <f t="shared" si="27"/>
        <v>-3.9608268660280945E-3</v>
      </c>
      <c r="K856">
        <v>1</v>
      </c>
    </row>
    <row r="857" spans="1:11">
      <c r="A857" s="16">
        <v>43301</v>
      </c>
      <c r="B857" s="17" t="s">
        <v>863</v>
      </c>
      <c r="C857">
        <v>56004000</v>
      </c>
      <c r="D857">
        <f t="shared" si="26"/>
        <v>1.7753216620420443E-2</v>
      </c>
      <c r="G857" s="17" t="s">
        <v>4370</v>
      </c>
      <c r="H857">
        <v>3230210000</v>
      </c>
      <c r="J857">
        <f t="shared" si="27"/>
        <v>-9.4889773231677382E-4</v>
      </c>
      <c r="K857">
        <v>1</v>
      </c>
    </row>
    <row r="858" spans="1:11">
      <c r="A858" s="16">
        <v>43304</v>
      </c>
      <c r="B858" s="17" t="s">
        <v>864</v>
      </c>
      <c r="C858">
        <v>29707000</v>
      </c>
      <c r="D858">
        <f t="shared" si="26"/>
        <v>1.5870535093981054E-2</v>
      </c>
      <c r="G858" s="17" t="s">
        <v>4374</v>
      </c>
      <c r="H858">
        <v>2907430000</v>
      </c>
      <c r="J858">
        <f t="shared" si="27"/>
        <v>1.8363622208507574E-3</v>
      </c>
      <c r="K858">
        <v>1</v>
      </c>
    </row>
    <row r="859" spans="1:11">
      <c r="A859" s="16">
        <v>43305</v>
      </c>
      <c r="B859" s="17" t="s">
        <v>865</v>
      </c>
      <c r="C859">
        <v>26316600</v>
      </c>
      <c r="D859">
        <f t="shared" si="26"/>
        <v>-2.8753672315931559E-3</v>
      </c>
      <c r="G859" s="17" t="s">
        <v>4378</v>
      </c>
      <c r="H859">
        <v>3417530000</v>
      </c>
      <c r="J859">
        <f t="shared" si="27"/>
        <v>4.7695189311680571E-3</v>
      </c>
      <c r="K859">
        <v>1</v>
      </c>
    </row>
    <row r="860" spans="1:11">
      <c r="A860" s="16">
        <v>43306</v>
      </c>
      <c r="B860" s="17" t="s">
        <v>866</v>
      </c>
      <c r="C860">
        <v>30702100</v>
      </c>
      <c r="D860">
        <f t="shared" si="26"/>
        <v>2.901932330409801E-2</v>
      </c>
      <c r="G860" s="17" t="s">
        <v>4381</v>
      </c>
      <c r="H860">
        <v>3553010000</v>
      </c>
      <c r="J860">
        <f t="shared" si="27"/>
        <v>9.0604350659817777E-3</v>
      </c>
      <c r="K860">
        <v>1</v>
      </c>
    </row>
    <row r="861" spans="1:11">
      <c r="A861" s="16">
        <v>43307</v>
      </c>
      <c r="B861" s="17" t="s">
        <v>867</v>
      </c>
      <c r="C861">
        <v>31372100</v>
      </c>
      <c r="D861">
        <f t="shared" si="26"/>
        <v>-1.0977566078042929E-2</v>
      </c>
      <c r="G861" s="17" t="s">
        <v>4385</v>
      </c>
      <c r="H861">
        <v>3653330000</v>
      </c>
      <c r="J861">
        <f t="shared" si="27"/>
        <v>-3.0369027657715817E-3</v>
      </c>
      <c r="K861">
        <v>1</v>
      </c>
    </row>
    <row r="862" spans="1:11">
      <c r="A862" s="16">
        <v>43308</v>
      </c>
      <c r="B862" s="17" t="s">
        <v>868</v>
      </c>
      <c r="C862">
        <v>37005300</v>
      </c>
      <c r="D862">
        <f t="shared" si="26"/>
        <v>-1.7856026697250182E-2</v>
      </c>
      <c r="G862" s="17" t="s">
        <v>4389</v>
      </c>
      <c r="H862">
        <v>3415710000</v>
      </c>
      <c r="J862">
        <f t="shared" si="27"/>
        <v>-6.5838346291620022E-3</v>
      </c>
      <c r="K862">
        <v>1</v>
      </c>
    </row>
    <row r="863" spans="1:11">
      <c r="A863" s="16">
        <v>43311</v>
      </c>
      <c r="B863" s="17" t="s">
        <v>869</v>
      </c>
      <c r="C863">
        <v>34668300</v>
      </c>
      <c r="D863">
        <f t="shared" si="26"/>
        <v>-2.16858807432809E-2</v>
      </c>
      <c r="G863" s="17" t="s">
        <v>3882</v>
      </c>
      <c r="H863">
        <v>3245770000</v>
      </c>
      <c r="J863">
        <f t="shared" si="27"/>
        <v>-5.7707890654419306E-3</v>
      </c>
      <c r="K863">
        <v>1</v>
      </c>
    </row>
    <row r="864" spans="1:11">
      <c r="A864" s="16">
        <v>43312</v>
      </c>
      <c r="B864" s="17" t="s">
        <v>870</v>
      </c>
      <c r="C864">
        <v>27655200</v>
      </c>
      <c r="D864">
        <f t="shared" si="26"/>
        <v>6.7155767921931809E-3</v>
      </c>
      <c r="G864" s="17" t="s">
        <v>4396</v>
      </c>
      <c r="H864">
        <v>3892100000</v>
      </c>
      <c r="J864">
        <f t="shared" si="27"/>
        <v>4.8728370744568371E-3</v>
      </c>
      <c r="K864">
        <v>1</v>
      </c>
    </row>
    <row r="865" spans="1:11">
      <c r="A865" s="16">
        <v>43313</v>
      </c>
      <c r="B865" s="17" t="s">
        <v>871</v>
      </c>
      <c r="C865">
        <v>23628700</v>
      </c>
      <c r="D865">
        <f t="shared" si="26"/>
        <v>1.8836008163829845E-3</v>
      </c>
      <c r="G865" s="17" t="s">
        <v>4400</v>
      </c>
      <c r="H865">
        <v>3496990000</v>
      </c>
      <c r="J865">
        <f t="shared" si="27"/>
        <v>-1.0408931953329581E-3</v>
      </c>
      <c r="K865">
        <v>1</v>
      </c>
    </row>
    <row r="866" spans="1:11">
      <c r="A866" s="16">
        <v>43314</v>
      </c>
      <c r="B866" s="17" t="s">
        <v>872</v>
      </c>
      <c r="C866">
        <v>26104300</v>
      </c>
      <c r="D866">
        <f t="shared" si="26"/>
        <v>1.2064648401342554E-2</v>
      </c>
      <c r="G866" s="17" t="s">
        <v>4404</v>
      </c>
      <c r="H866">
        <v>3467380000</v>
      </c>
      <c r="J866">
        <f t="shared" si="27"/>
        <v>4.9143498371688119E-3</v>
      </c>
      <c r="K866">
        <v>1</v>
      </c>
    </row>
    <row r="867" spans="1:11">
      <c r="A867" s="16">
        <v>43315</v>
      </c>
      <c r="B867" s="17" t="s">
        <v>873</v>
      </c>
      <c r="C867">
        <v>18659600</v>
      </c>
      <c r="D867">
        <f t="shared" si="26"/>
        <v>4.3597747233712235E-3</v>
      </c>
      <c r="G867" s="17" t="s">
        <v>4408</v>
      </c>
      <c r="H867">
        <v>3030390000</v>
      </c>
      <c r="J867">
        <f t="shared" si="27"/>
        <v>4.6334320813658366E-3</v>
      </c>
      <c r="K867">
        <v>1</v>
      </c>
    </row>
    <row r="868" spans="1:11">
      <c r="A868" s="16">
        <v>43318</v>
      </c>
      <c r="B868" s="17" t="s">
        <v>874</v>
      </c>
      <c r="C868">
        <v>20265900</v>
      </c>
      <c r="D868">
        <f t="shared" si="26"/>
        <v>8.3262105780279908E-4</v>
      </c>
      <c r="G868" s="17" t="s">
        <v>4412</v>
      </c>
      <c r="H868">
        <v>2874540000</v>
      </c>
      <c r="J868">
        <f t="shared" si="27"/>
        <v>3.5319824091807187E-3</v>
      </c>
      <c r="K868">
        <v>1</v>
      </c>
    </row>
    <row r="869" spans="1:11">
      <c r="A869" s="16">
        <v>43319</v>
      </c>
      <c r="B869" s="17" t="s">
        <v>875</v>
      </c>
      <c r="C869">
        <v>16080200</v>
      </c>
      <c r="D869">
        <f t="shared" si="26"/>
        <v>6.912189052684258E-3</v>
      </c>
      <c r="G869" s="17" t="s">
        <v>4415</v>
      </c>
      <c r="H869">
        <v>3162770000</v>
      </c>
      <c r="J869">
        <f t="shared" si="27"/>
        <v>2.8202018069540436E-3</v>
      </c>
      <c r="K869">
        <v>1</v>
      </c>
    </row>
    <row r="870" spans="1:11">
      <c r="A870" s="16">
        <v>43320</v>
      </c>
      <c r="B870" s="17" t="s">
        <v>876</v>
      </c>
      <c r="C870">
        <v>15487500</v>
      </c>
      <c r="D870">
        <f t="shared" si="26"/>
        <v>5.5868279591489104E-3</v>
      </c>
      <c r="G870" s="17" t="s">
        <v>4419</v>
      </c>
      <c r="H870">
        <v>2972200000</v>
      </c>
      <c r="J870">
        <f t="shared" si="27"/>
        <v>-2.6241439331087723E-4</v>
      </c>
      <c r="K870">
        <v>1</v>
      </c>
    </row>
    <row r="871" spans="1:11">
      <c r="A871" s="16">
        <v>43321</v>
      </c>
      <c r="B871" s="17" t="s">
        <v>877</v>
      </c>
      <c r="C871">
        <v>13677200</v>
      </c>
      <c r="D871">
        <f t="shared" si="26"/>
        <v>1.6425984593147688E-3</v>
      </c>
      <c r="G871" s="17" t="s">
        <v>4423</v>
      </c>
      <c r="H871">
        <v>3047050000</v>
      </c>
      <c r="J871">
        <f t="shared" si="27"/>
        <v>-1.4427146607000002E-3</v>
      </c>
      <c r="K871">
        <v>1</v>
      </c>
    </row>
    <row r="872" spans="1:11">
      <c r="A872" s="16">
        <v>43322</v>
      </c>
      <c r="B872" s="17" t="s">
        <v>878</v>
      </c>
      <c r="C872">
        <v>18183700</v>
      </c>
      <c r="D872">
        <f t="shared" si="26"/>
        <v>-6.1278837538750021E-3</v>
      </c>
      <c r="G872" s="17" t="s">
        <v>4427</v>
      </c>
      <c r="H872">
        <v>3256040000</v>
      </c>
      <c r="J872">
        <f t="shared" si="27"/>
        <v>-7.1393123242211578E-3</v>
      </c>
      <c r="K872">
        <v>1</v>
      </c>
    </row>
    <row r="873" spans="1:11">
      <c r="A873" s="16">
        <v>43325</v>
      </c>
      <c r="B873" s="17" t="s">
        <v>879</v>
      </c>
      <c r="C873">
        <v>18472500</v>
      </c>
      <c r="D873">
        <f t="shared" si="26"/>
        <v>-7.2741677341858985E-3</v>
      </c>
      <c r="G873" s="17" t="s">
        <v>4431</v>
      </c>
      <c r="H873">
        <v>3158450000</v>
      </c>
      <c r="J873">
        <f t="shared" si="27"/>
        <v>-4.0140374338481786E-3</v>
      </c>
      <c r="K873">
        <v>1</v>
      </c>
    </row>
    <row r="874" spans="1:11">
      <c r="A874" s="16">
        <v>43326</v>
      </c>
      <c r="B874" s="17" t="s">
        <v>880</v>
      </c>
      <c r="C874">
        <v>16788300</v>
      </c>
      <c r="D874">
        <f t="shared" si="26"/>
        <v>1.2398617110314208E-2</v>
      </c>
      <c r="G874" s="17" t="s">
        <v>4435</v>
      </c>
      <c r="H874">
        <v>2976970000</v>
      </c>
      <c r="J874">
        <f t="shared" si="27"/>
        <v>6.3689299110739591E-3</v>
      </c>
      <c r="K874">
        <v>1</v>
      </c>
    </row>
    <row r="875" spans="1:11">
      <c r="A875" s="16">
        <v>43327</v>
      </c>
      <c r="B875" s="17" t="s">
        <v>881</v>
      </c>
      <c r="C875">
        <v>29982800</v>
      </c>
      <c r="D875">
        <f t="shared" si="26"/>
        <v>-1.365332530561985E-2</v>
      </c>
      <c r="G875" s="17" t="s">
        <v>4438</v>
      </c>
      <c r="H875">
        <v>3645070000</v>
      </c>
      <c r="J875">
        <f t="shared" si="27"/>
        <v>-7.6312086699139242E-3</v>
      </c>
      <c r="K875">
        <v>1</v>
      </c>
    </row>
    <row r="876" spans="1:11">
      <c r="A876" s="16">
        <v>43328</v>
      </c>
      <c r="B876" s="17" t="s">
        <v>882</v>
      </c>
      <c r="C876">
        <v>21384300</v>
      </c>
      <c r="D876">
        <f t="shared" si="26"/>
        <v>-1.8585033466391143E-4</v>
      </c>
      <c r="G876" s="17" t="s">
        <v>4441</v>
      </c>
      <c r="H876">
        <v>3219880000</v>
      </c>
      <c r="J876">
        <f t="shared" si="27"/>
        <v>7.8882144761550296E-3</v>
      </c>
      <c r="K876">
        <v>1</v>
      </c>
    </row>
    <row r="877" spans="1:11">
      <c r="A877" s="16">
        <v>43329</v>
      </c>
      <c r="B877" s="17" t="s">
        <v>883</v>
      </c>
      <c r="C877">
        <v>18061500</v>
      </c>
      <c r="D877">
        <f t="shared" si="26"/>
        <v>-5.5747335165187684E-4</v>
      </c>
      <c r="G877" s="17" t="s">
        <v>4445</v>
      </c>
      <c r="H877">
        <v>3024100000</v>
      </c>
      <c r="J877">
        <f t="shared" si="27"/>
        <v>3.3176065840605441E-3</v>
      </c>
      <c r="K877">
        <v>1</v>
      </c>
    </row>
    <row r="878" spans="1:11">
      <c r="A878" s="16">
        <v>43332</v>
      </c>
      <c r="B878" s="17" t="s">
        <v>884</v>
      </c>
      <c r="C878">
        <v>17914200</v>
      </c>
      <c r="D878">
        <f t="shared" si="26"/>
        <v>-6.6215403809092395E-3</v>
      </c>
      <c r="G878" s="17" t="s">
        <v>4449</v>
      </c>
      <c r="H878">
        <v>2748020000</v>
      </c>
      <c r="J878">
        <f t="shared" si="27"/>
        <v>2.4250748965000154E-3</v>
      </c>
      <c r="K878">
        <v>1</v>
      </c>
    </row>
    <row r="879" spans="1:11">
      <c r="A879" s="16">
        <v>43333</v>
      </c>
      <c r="B879" s="17" t="s">
        <v>885</v>
      </c>
      <c r="C879">
        <v>22881900</v>
      </c>
      <c r="D879">
        <f t="shared" si="26"/>
        <v>-8.3628127522681495E-3</v>
      </c>
      <c r="G879" s="17" t="s">
        <v>4453</v>
      </c>
      <c r="H879">
        <v>3147140000</v>
      </c>
      <c r="J879">
        <f t="shared" si="27"/>
        <v>2.0663999162995063E-3</v>
      </c>
      <c r="K879">
        <v>1</v>
      </c>
    </row>
    <row r="880" spans="1:11">
      <c r="A880" s="16">
        <v>43334</v>
      </c>
      <c r="B880" s="17" t="s">
        <v>886</v>
      </c>
      <c r="C880">
        <v>18000600</v>
      </c>
      <c r="D880">
        <f t="shared" si="26"/>
        <v>1.0138900253438771E-2</v>
      </c>
      <c r="G880" s="17" t="s">
        <v>4457</v>
      </c>
      <c r="H880">
        <v>2689560000</v>
      </c>
      <c r="J880">
        <f t="shared" si="27"/>
        <v>-3.9823120164966298E-4</v>
      </c>
      <c r="K880">
        <v>1</v>
      </c>
    </row>
    <row r="881" spans="1:11">
      <c r="A881" s="16">
        <v>43335</v>
      </c>
      <c r="B881" s="17" t="s">
        <v>887</v>
      </c>
      <c r="C881">
        <v>18167700</v>
      </c>
      <c r="D881">
        <f t="shared" si="26"/>
        <v>4.6593883239595766E-3</v>
      </c>
      <c r="G881" s="17" t="s">
        <v>4461</v>
      </c>
      <c r="H881">
        <v>2713910000</v>
      </c>
      <c r="J881">
        <f t="shared" si="27"/>
        <v>-1.6926939620312493E-3</v>
      </c>
      <c r="K881">
        <v>1</v>
      </c>
    </row>
    <row r="882" spans="1:11">
      <c r="A882" s="16">
        <v>43336</v>
      </c>
      <c r="B882" s="17" t="s">
        <v>888</v>
      </c>
      <c r="C882">
        <v>17234000</v>
      </c>
      <c r="D882">
        <f t="shared" si="26"/>
        <v>7.7793146649352092E-3</v>
      </c>
      <c r="G882" s="17" t="s">
        <v>4464</v>
      </c>
      <c r="H882">
        <v>2596190000</v>
      </c>
      <c r="J882">
        <f t="shared" si="27"/>
        <v>6.1797059510375384E-3</v>
      </c>
      <c r="K882">
        <v>1</v>
      </c>
    </row>
    <row r="883" spans="1:11">
      <c r="A883" s="16">
        <v>43339</v>
      </c>
      <c r="B883" s="17" t="s">
        <v>889</v>
      </c>
      <c r="C883">
        <v>19662300</v>
      </c>
      <c r="D883">
        <f t="shared" si="26"/>
        <v>1.1009244288346369E-2</v>
      </c>
      <c r="G883" s="17" t="s">
        <v>4467</v>
      </c>
      <c r="H883">
        <v>2854080000</v>
      </c>
      <c r="J883">
        <f t="shared" si="27"/>
        <v>7.6411414675201612E-3</v>
      </c>
      <c r="K883">
        <v>1</v>
      </c>
    </row>
    <row r="884" spans="1:11">
      <c r="A884" s="16">
        <v>43340</v>
      </c>
      <c r="B884" s="17" t="s">
        <v>890</v>
      </c>
      <c r="C884">
        <v>19151500</v>
      </c>
      <c r="D884">
        <f t="shared" si="26"/>
        <v>6.003970680926278E-3</v>
      </c>
      <c r="G884" s="17" t="s">
        <v>4471</v>
      </c>
      <c r="H884">
        <v>2683190000</v>
      </c>
      <c r="J884">
        <f t="shared" si="27"/>
        <v>2.6924232028460157E-4</v>
      </c>
      <c r="K884">
        <v>1</v>
      </c>
    </row>
    <row r="885" spans="1:11">
      <c r="A885" s="16">
        <v>43341</v>
      </c>
      <c r="B885" s="17" t="s">
        <v>891</v>
      </c>
      <c r="C885">
        <v>20818000</v>
      </c>
      <c r="D885">
        <f t="shared" si="26"/>
        <v>1.5836135405639055E-2</v>
      </c>
      <c r="G885" s="17" t="s">
        <v>4475</v>
      </c>
      <c r="H885">
        <v>2791860000</v>
      </c>
      <c r="J885">
        <f t="shared" si="27"/>
        <v>5.6852422856874876E-3</v>
      </c>
      <c r="K885">
        <v>1</v>
      </c>
    </row>
    <row r="886" spans="1:11">
      <c r="A886" s="16">
        <v>43342</v>
      </c>
      <c r="B886" s="17" t="s">
        <v>892</v>
      </c>
      <c r="C886">
        <v>22798700</v>
      </c>
      <c r="D886">
        <f t="shared" si="26"/>
        <v>-6.2509057975203091E-4</v>
      </c>
      <c r="G886" s="17" t="s">
        <v>4479</v>
      </c>
      <c r="H886">
        <v>2802180000</v>
      </c>
      <c r="J886">
        <f t="shared" si="27"/>
        <v>-4.4401719583801614E-3</v>
      </c>
      <c r="K886">
        <v>1</v>
      </c>
    </row>
    <row r="887" spans="1:11">
      <c r="A887" s="16">
        <v>43343</v>
      </c>
      <c r="B887" s="17" t="s">
        <v>893</v>
      </c>
      <c r="C887">
        <v>23222700</v>
      </c>
      <c r="D887">
        <f t="shared" si="26"/>
        <v>3.3886720504518854E-3</v>
      </c>
      <c r="G887" s="17" t="s">
        <v>4483</v>
      </c>
      <c r="H887">
        <v>2880260000</v>
      </c>
      <c r="J887">
        <f t="shared" si="27"/>
        <v>1.3446856422812315E-4</v>
      </c>
      <c r="K887">
        <v>1</v>
      </c>
    </row>
    <row r="888" spans="1:11">
      <c r="A888" s="16">
        <v>43347</v>
      </c>
      <c r="B888" s="17" t="s">
        <v>894</v>
      </c>
      <c r="C888">
        <v>22634600</v>
      </c>
      <c r="D888">
        <f t="shared" si="26"/>
        <v>-5.5347483076697316E-3</v>
      </c>
      <c r="G888" s="17" t="s">
        <v>4487</v>
      </c>
      <c r="H888">
        <v>3077060000</v>
      </c>
      <c r="J888">
        <f t="shared" si="27"/>
        <v>-1.6556921079459639E-3</v>
      </c>
      <c r="K888">
        <v>1</v>
      </c>
    </row>
    <row r="889" spans="1:11">
      <c r="A889" s="16">
        <v>43348</v>
      </c>
      <c r="B889" s="17" t="s">
        <v>895</v>
      </c>
      <c r="C889">
        <v>32872400</v>
      </c>
      <c r="D889">
        <f t="shared" si="26"/>
        <v>-2.9248275422704469E-2</v>
      </c>
      <c r="G889" s="17" t="s">
        <v>4491</v>
      </c>
      <c r="H889">
        <v>3241250000</v>
      </c>
      <c r="J889">
        <f t="shared" si="27"/>
        <v>-2.8070627847504065E-3</v>
      </c>
      <c r="K889">
        <v>1</v>
      </c>
    </row>
    <row r="890" spans="1:11">
      <c r="A890" s="16">
        <v>43349</v>
      </c>
      <c r="B890" s="17" t="s">
        <v>896</v>
      </c>
      <c r="C890">
        <v>23477600</v>
      </c>
      <c r="D890">
        <f t="shared" si="26"/>
        <v>2.3017045486107544E-3</v>
      </c>
      <c r="G890" s="17" t="s">
        <v>4495</v>
      </c>
      <c r="H890">
        <v>3139590000</v>
      </c>
      <c r="J890">
        <f t="shared" si="27"/>
        <v>-3.658991095901207E-3</v>
      </c>
      <c r="K890">
        <v>1</v>
      </c>
    </row>
    <row r="891" spans="1:11">
      <c r="A891" s="16">
        <v>43350</v>
      </c>
      <c r="B891" s="17" t="s">
        <v>897</v>
      </c>
      <c r="C891">
        <v>22498600</v>
      </c>
      <c r="D891">
        <f t="shared" si="26"/>
        <v>-4.8858671665959266E-3</v>
      </c>
      <c r="G891" s="17" t="s">
        <v>4499</v>
      </c>
      <c r="H891">
        <v>2946270000</v>
      </c>
      <c r="J891">
        <f t="shared" si="27"/>
        <v>-2.2157978295892274E-3</v>
      </c>
      <c r="K891">
        <v>1</v>
      </c>
    </row>
    <row r="892" spans="1:11">
      <c r="A892" s="16">
        <v>43353</v>
      </c>
      <c r="B892" s="17" t="s">
        <v>898</v>
      </c>
      <c r="C892">
        <v>20727900</v>
      </c>
      <c r="D892">
        <f t="shared" si="26"/>
        <v>1.0754284206636652E-2</v>
      </c>
      <c r="G892" s="17" t="s">
        <v>4503</v>
      </c>
      <c r="H892">
        <v>2731400000</v>
      </c>
      <c r="J892">
        <f t="shared" si="27"/>
        <v>1.8960281547179359E-3</v>
      </c>
      <c r="K892">
        <v>1</v>
      </c>
    </row>
    <row r="893" spans="1:11">
      <c r="A893" s="16">
        <v>43354</v>
      </c>
      <c r="B893" s="17" t="s">
        <v>899</v>
      </c>
      <c r="C893">
        <v>24301800</v>
      </c>
      <c r="D893">
        <f t="shared" si="26"/>
        <v>1.6861849144596479E-2</v>
      </c>
      <c r="G893" s="17" t="s">
        <v>4507</v>
      </c>
      <c r="H893">
        <v>2899660000</v>
      </c>
      <c r="J893">
        <f t="shared" si="27"/>
        <v>3.7328657706305157E-3</v>
      </c>
      <c r="K893">
        <v>1</v>
      </c>
    </row>
    <row r="894" spans="1:11">
      <c r="A894" s="16">
        <v>43355</v>
      </c>
      <c r="B894" s="17" t="s">
        <v>894</v>
      </c>
      <c r="C894">
        <v>18891100</v>
      </c>
      <c r="D894">
        <f t="shared" si="26"/>
        <v>4.2163046894565549E-3</v>
      </c>
      <c r="G894" s="17" t="s">
        <v>4511</v>
      </c>
      <c r="H894">
        <v>3264930000</v>
      </c>
      <c r="J894">
        <f t="shared" si="27"/>
        <v>3.5660824707827452E-4</v>
      </c>
      <c r="K894">
        <v>1</v>
      </c>
    </row>
    <row r="895" spans="1:11">
      <c r="A895" s="16">
        <v>43356</v>
      </c>
      <c r="B895" s="17" t="s">
        <v>900</v>
      </c>
      <c r="C895">
        <v>26055600</v>
      </c>
      <c r="D895">
        <f t="shared" si="26"/>
        <v>1.0684773120193945E-2</v>
      </c>
      <c r="G895" s="17" t="s">
        <v>4515</v>
      </c>
      <c r="H895">
        <v>3254930000</v>
      </c>
      <c r="J895">
        <f t="shared" si="27"/>
        <v>5.2683522398666409E-3</v>
      </c>
      <c r="K895">
        <v>1</v>
      </c>
    </row>
    <row r="896" spans="1:11">
      <c r="A896" s="16">
        <v>43357</v>
      </c>
      <c r="B896" s="17" t="s">
        <v>901</v>
      </c>
      <c r="C896">
        <v>19122300</v>
      </c>
      <c r="D896">
        <f t="shared" si="26"/>
        <v>4.065771928939717E-3</v>
      </c>
      <c r="G896" s="17" t="s">
        <v>4519</v>
      </c>
      <c r="H896">
        <v>3149800000</v>
      </c>
      <c r="J896">
        <f t="shared" si="27"/>
        <v>2.754436156614643E-4</v>
      </c>
      <c r="K896">
        <v>1</v>
      </c>
    </row>
    <row r="897" spans="1:11">
      <c r="A897" s="16">
        <v>43360</v>
      </c>
      <c r="B897" s="17" t="s">
        <v>902</v>
      </c>
      <c r="C897">
        <v>20736500</v>
      </c>
      <c r="D897">
        <f t="shared" si="26"/>
        <v>-1.0908697380093419E-2</v>
      </c>
      <c r="G897" s="17" t="s">
        <v>4523</v>
      </c>
      <c r="H897">
        <v>2947760000</v>
      </c>
      <c r="J897">
        <f t="shared" si="27"/>
        <v>-5.5852907706914409E-3</v>
      </c>
      <c r="K897">
        <v>1</v>
      </c>
    </row>
    <row r="898" spans="1:11">
      <c r="A898" s="16">
        <v>43361</v>
      </c>
      <c r="B898" s="17" t="s">
        <v>903</v>
      </c>
      <c r="C898">
        <v>22170900</v>
      </c>
      <c r="D898">
        <f t="shared" si="26"/>
        <v>9.4964001849114198E-3</v>
      </c>
      <c r="G898" s="17" t="s">
        <v>4527</v>
      </c>
      <c r="H898">
        <v>3074610000</v>
      </c>
      <c r="J898">
        <f t="shared" si="27"/>
        <v>5.3546529480065826E-3</v>
      </c>
      <c r="K898">
        <v>1</v>
      </c>
    </row>
    <row r="899" spans="1:11">
      <c r="A899" s="16">
        <v>43362</v>
      </c>
      <c r="B899" s="17" t="s">
        <v>904</v>
      </c>
      <c r="C899">
        <v>21728400</v>
      </c>
      <c r="D899">
        <f t="shared" si="26"/>
        <v>-1.3427868364395301E-2</v>
      </c>
      <c r="G899" s="17" t="s">
        <v>4531</v>
      </c>
      <c r="H899">
        <v>3280020000</v>
      </c>
      <c r="J899">
        <f t="shared" si="27"/>
        <v>1.252487834188515E-3</v>
      </c>
      <c r="K899">
        <v>1</v>
      </c>
    </row>
    <row r="900" spans="1:11">
      <c r="A900" s="16">
        <v>43363</v>
      </c>
      <c r="B900" s="17" t="s">
        <v>905</v>
      </c>
      <c r="C900">
        <v>23714500</v>
      </c>
      <c r="D900">
        <f t="shared" si="26"/>
        <v>1.6602804272285554E-2</v>
      </c>
      <c r="G900" s="17" t="s">
        <v>4534</v>
      </c>
      <c r="H900">
        <v>3337730000</v>
      </c>
      <c r="J900">
        <f t="shared" si="27"/>
        <v>7.8100142444342121E-3</v>
      </c>
      <c r="K900">
        <v>1</v>
      </c>
    </row>
    <row r="901" spans="1:11">
      <c r="A901" s="16">
        <v>43364</v>
      </c>
      <c r="B901" s="17" t="s">
        <v>906</v>
      </c>
      <c r="C901">
        <v>71229700</v>
      </c>
      <c r="D901">
        <f t="shared" ref="D901:D964" si="28">LN(B901/B900)</f>
        <v>6.0572436363902438E-3</v>
      </c>
      <c r="G901" s="17" t="s">
        <v>4538</v>
      </c>
      <c r="H901">
        <v>5607610000</v>
      </c>
      <c r="J901">
        <f t="shared" ref="J901:J964" si="29">LN(G901/G900)</f>
        <v>-3.6860089434010866E-4</v>
      </c>
      <c r="K901">
        <v>1</v>
      </c>
    </row>
    <row r="902" spans="1:11">
      <c r="A902" s="16">
        <v>43367</v>
      </c>
      <c r="B902" s="17" t="s">
        <v>907</v>
      </c>
      <c r="C902">
        <v>27334500</v>
      </c>
      <c r="D902">
        <f t="shared" si="28"/>
        <v>3.581738794990135E-3</v>
      </c>
      <c r="G902" s="17" t="s">
        <v>4542</v>
      </c>
      <c r="H902">
        <v>3372210000</v>
      </c>
      <c r="J902">
        <f t="shared" si="29"/>
        <v>-3.5218824209070024E-3</v>
      </c>
      <c r="K902">
        <v>1</v>
      </c>
    </row>
    <row r="903" spans="1:11">
      <c r="A903" s="16">
        <v>43368</v>
      </c>
      <c r="B903" s="17" t="s">
        <v>908</v>
      </c>
      <c r="C903">
        <v>22668000</v>
      </c>
      <c r="D903">
        <f t="shared" si="28"/>
        <v>-1.9204994521875415E-3</v>
      </c>
      <c r="G903" s="17" t="s">
        <v>4546</v>
      </c>
      <c r="H903">
        <v>3285480000</v>
      </c>
      <c r="J903">
        <f t="shared" si="29"/>
        <v>-1.3059482895532303E-3</v>
      </c>
      <c r="K903">
        <v>1</v>
      </c>
    </row>
    <row r="904" spans="1:11">
      <c r="A904" s="16">
        <v>43369</v>
      </c>
      <c r="B904" s="17" t="s">
        <v>909</v>
      </c>
      <c r="C904">
        <v>19352000</v>
      </c>
      <c r="D904">
        <f t="shared" si="28"/>
        <v>-4.1148158207202218E-3</v>
      </c>
      <c r="G904" s="17" t="s">
        <v>4550</v>
      </c>
      <c r="H904">
        <v>3388620000</v>
      </c>
      <c r="J904">
        <f t="shared" si="29"/>
        <v>-3.2946997183381445E-3</v>
      </c>
      <c r="K904">
        <v>1</v>
      </c>
    </row>
    <row r="905" spans="1:11">
      <c r="A905" s="16">
        <v>43370</v>
      </c>
      <c r="B905" s="17" t="s">
        <v>910</v>
      </c>
      <c r="C905">
        <v>19091300</v>
      </c>
      <c r="D905">
        <f t="shared" si="28"/>
        <v>3.7654063935742112E-3</v>
      </c>
      <c r="G905" s="17" t="s">
        <v>4554</v>
      </c>
      <c r="H905">
        <v>3060850000</v>
      </c>
      <c r="J905">
        <f t="shared" si="29"/>
        <v>2.7594761263509742E-3</v>
      </c>
      <c r="K905">
        <v>1</v>
      </c>
    </row>
    <row r="906" spans="1:11">
      <c r="A906" s="16">
        <v>43371</v>
      </c>
      <c r="B906" s="17" t="s">
        <v>911</v>
      </c>
      <c r="C906">
        <v>21647800</v>
      </c>
      <c r="D906">
        <f t="shared" si="28"/>
        <v>-3.4972813787071034E-4</v>
      </c>
      <c r="G906" s="17" t="s">
        <v>4558</v>
      </c>
      <c r="H906">
        <v>3432300000</v>
      </c>
      <c r="J906">
        <f t="shared" si="29"/>
        <v>-6.8703050006089367E-6</v>
      </c>
      <c r="K906">
        <v>1</v>
      </c>
    </row>
    <row r="907" spans="1:11">
      <c r="A907" s="16">
        <v>43374</v>
      </c>
      <c r="B907" s="17" t="s">
        <v>912</v>
      </c>
      <c r="C907">
        <v>18883100</v>
      </c>
      <c r="D907">
        <f t="shared" si="28"/>
        <v>1.0783729314930279E-2</v>
      </c>
      <c r="G907" s="17" t="s">
        <v>4562</v>
      </c>
      <c r="H907">
        <v>3364190000</v>
      </c>
      <c r="J907">
        <f t="shared" si="29"/>
        <v>3.6344925404594428E-3</v>
      </c>
      <c r="K907">
        <v>1</v>
      </c>
    </row>
    <row r="908" spans="1:11">
      <c r="A908" s="16">
        <v>43375</v>
      </c>
      <c r="B908" s="17" t="s">
        <v>913</v>
      </c>
      <c r="C908">
        <v>20787200</v>
      </c>
      <c r="D908">
        <f t="shared" si="28"/>
        <v>-3.9868381276272121E-3</v>
      </c>
      <c r="G908" s="17" t="s">
        <v>4565</v>
      </c>
      <c r="H908">
        <v>3401880000</v>
      </c>
      <c r="J908">
        <f t="shared" si="29"/>
        <v>-3.9676882474820732E-4</v>
      </c>
      <c r="K908">
        <v>1</v>
      </c>
    </row>
    <row r="909" spans="1:11">
      <c r="A909" s="16">
        <v>43376</v>
      </c>
      <c r="B909" s="17" t="s">
        <v>914</v>
      </c>
      <c r="C909">
        <v>16648000</v>
      </c>
      <c r="D909">
        <f t="shared" si="28"/>
        <v>1.7359724713847301E-4</v>
      </c>
      <c r="G909" s="17" t="s">
        <v>4569</v>
      </c>
      <c r="H909">
        <v>3598710000</v>
      </c>
      <c r="J909">
        <f t="shared" si="29"/>
        <v>7.1126669390333031E-4</v>
      </c>
      <c r="K909">
        <v>1</v>
      </c>
    </row>
    <row r="910" spans="1:11">
      <c r="A910" s="16">
        <v>43377</v>
      </c>
      <c r="B910" s="17" t="s">
        <v>915</v>
      </c>
      <c r="C910">
        <v>34821700</v>
      </c>
      <c r="D910">
        <f t="shared" si="28"/>
        <v>-2.0881619860250271E-2</v>
      </c>
      <c r="G910" s="17" t="s">
        <v>4573</v>
      </c>
      <c r="H910">
        <v>3496860000</v>
      </c>
      <c r="J910">
        <f t="shared" si="29"/>
        <v>-8.2030356465175158E-3</v>
      </c>
      <c r="K910">
        <v>1</v>
      </c>
    </row>
    <row r="911" spans="1:11">
      <c r="A911" s="16">
        <v>43378</v>
      </c>
      <c r="B911" s="17" t="s">
        <v>916</v>
      </c>
      <c r="C911">
        <v>29068900</v>
      </c>
      <c r="D911">
        <f t="shared" si="28"/>
        <v>-5.8687540163977151E-3</v>
      </c>
      <c r="G911" s="17" t="s">
        <v>4577</v>
      </c>
      <c r="H911">
        <v>3328980000</v>
      </c>
      <c r="J911">
        <f t="shared" si="29"/>
        <v>-5.5433145637709116E-3</v>
      </c>
      <c r="K911">
        <v>1</v>
      </c>
    </row>
    <row r="912" spans="1:11">
      <c r="A912" s="16">
        <v>43381</v>
      </c>
      <c r="B912" s="17" t="s">
        <v>917</v>
      </c>
      <c r="C912">
        <v>29640600</v>
      </c>
      <c r="D912">
        <f t="shared" si="28"/>
        <v>-1.148097776133182E-2</v>
      </c>
      <c r="G912" s="17" t="s">
        <v>4581</v>
      </c>
      <c r="H912">
        <v>3330320000</v>
      </c>
      <c r="J912">
        <f t="shared" si="29"/>
        <v>-3.9519445921624638E-4</v>
      </c>
      <c r="K912">
        <v>1</v>
      </c>
    </row>
    <row r="913" spans="1:11">
      <c r="A913" s="16">
        <v>43382</v>
      </c>
      <c r="B913" s="17" t="s">
        <v>918</v>
      </c>
      <c r="C913">
        <v>26198600</v>
      </c>
      <c r="D913">
        <f t="shared" si="28"/>
        <v>1.2639717397147721E-2</v>
      </c>
      <c r="G913" s="17" t="s">
        <v>4585</v>
      </c>
      <c r="H913">
        <v>3520500000</v>
      </c>
      <c r="J913">
        <f t="shared" si="29"/>
        <v>-1.4189099207727028E-3</v>
      </c>
      <c r="K913">
        <v>1</v>
      </c>
    </row>
    <row r="914" spans="1:11">
      <c r="A914" s="16">
        <v>43383</v>
      </c>
      <c r="B914" s="17" t="s">
        <v>919</v>
      </c>
      <c r="C914">
        <v>61376300</v>
      </c>
      <c r="D914">
        <f t="shared" si="28"/>
        <v>-5.5870189018914301E-2</v>
      </c>
      <c r="G914" s="17" t="s">
        <v>4589</v>
      </c>
      <c r="H914">
        <v>4501250000</v>
      </c>
      <c r="J914">
        <f t="shared" si="29"/>
        <v>-3.3416388951566928E-2</v>
      </c>
      <c r="K914">
        <v>1</v>
      </c>
    </row>
    <row r="915" spans="1:11">
      <c r="A915" s="16">
        <v>43384</v>
      </c>
      <c r="B915" s="17" t="s">
        <v>920</v>
      </c>
      <c r="C915">
        <v>63904300</v>
      </c>
      <c r="D915">
        <f t="shared" si="28"/>
        <v>-2.3577760676608459E-3</v>
      </c>
      <c r="G915" s="17" t="s">
        <v>4592</v>
      </c>
      <c r="H915">
        <v>4890630000</v>
      </c>
      <c r="J915">
        <f t="shared" si="29"/>
        <v>-2.0787580170271859E-2</v>
      </c>
      <c r="K915">
        <v>1</v>
      </c>
    </row>
    <row r="916" spans="1:11">
      <c r="A916" s="16">
        <v>43385</v>
      </c>
      <c r="B916" s="17" t="s">
        <v>921</v>
      </c>
      <c r="C916">
        <v>47742100</v>
      </c>
      <c r="D916">
        <f t="shared" si="28"/>
        <v>3.397393398893301E-2</v>
      </c>
      <c r="G916" s="17" t="s">
        <v>4596</v>
      </c>
      <c r="H916">
        <v>3966040000</v>
      </c>
      <c r="J916">
        <f t="shared" si="29"/>
        <v>1.4106235544858447E-2</v>
      </c>
      <c r="K916">
        <v>1</v>
      </c>
    </row>
    <row r="917" spans="1:11">
      <c r="A917" s="16">
        <v>43388</v>
      </c>
      <c r="B917" s="17" t="s">
        <v>922</v>
      </c>
      <c r="C917">
        <v>32068100</v>
      </c>
      <c r="D917">
        <f t="shared" si="28"/>
        <v>-1.8143050405919143E-2</v>
      </c>
      <c r="G917" s="17" t="s">
        <v>4600</v>
      </c>
      <c r="H917">
        <v>3300140000</v>
      </c>
      <c r="J917">
        <f t="shared" si="29"/>
        <v>-5.922482381780606E-3</v>
      </c>
      <c r="K917">
        <v>1</v>
      </c>
    </row>
    <row r="918" spans="1:11">
      <c r="A918" s="16">
        <v>43389</v>
      </c>
      <c r="B918" s="17" t="s">
        <v>923</v>
      </c>
      <c r="C918">
        <v>31610200</v>
      </c>
      <c r="D918">
        <f t="shared" si="28"/>
        <v>3.1109669148699119E-2</v>
      </c>
      <c r="G918" s="17" t="s">
        <v>4604</v>
      </c>
      <c r="H918">
        <v>3428340000</v>
      </c>
      <c r="J918">
        <f t="shared" si="29"/>
        <v>2.1267828102107277E-2</v>
      </c>
      <c r="K918">
        <v>1</v>
      </c>
    </row>
    <row r="919" spans="1:11">
      <c r="A919" s="16">
        <v>43390</v>
      </c>
      <c r="B919" s="17" t="s">
        <v>924</v>
      </c>
      <c r="C919">
        <v>26548200</v>
      </c>
      <c r="D919">
        <f t="shared" si="28"/>
        <v>-2.6160758540968556E-3</v>
      </c>
      <c r="G919" s="17" t="s">
        <v>4608</v>
      </c>
      <c r="H919">
        <v>3321710000</v>
      </c>
      <c r="J919">
        <f t="shared" si="29"/>
        <v>-2.5269428490193947E-4</v>
      </c>
      <c r="K919">
        <v>1</v>
      </c>
    </row>
    <row r="920" spans="1:11">
      <c r="A920" s="16">
        <v>43391</v>
      </c>
      <c r="B920" s="17" t="s">
        <v>925</v>
      </c>
      <c r="C920">
        <v>32506200</v>
      </c>
      <c r="D920">
        <f t="shared" si="28"/>
        <v>-2.0163973861236126E-2</v>
      </c>
      <c r="G920" s="17" t="s">
        <v>4612</v>
      </c>
      <c r="H920">
        <v>3616440000</v>
      </c>
      <c r="J920">
        <f t="shared" si="29"/>
        <v>-1.4496490704811661E-2</v>
      </c>
      <c r="K920">
        <v>1</v>
      </c>
    </row>
    <row r="921" spans="1:11">
      <c r="A921" s="16">
        <v>43392</v>
      </c>
      <c r="B921" s="17" t="s">
        <v>926</v>
      </c>
      <c r="C921">
        <v>32785500</v>
      </c>
      <c r="D921">
        <f t="shared" si="28"/>
        <v>1.4736447061101646E-3</v>
      </c>
      <c r="G921" s="17" t="s">
        <v>4616</v>
      </c>
      <c r="H921">
        <v>3566490000</v>
      </c>
      <c r="J921">
        <f t="shared" si="29"/>
        <v>-3.6123513531813989E-4</v>
      </c>
      <c r="K921">
        <v>1</v>
      </c>
    </row>
    <row r="922" spans="1:11">
      <c r="A922" s="16">
        <v>43395</v>
      </c>
      <c r="B922" s="17" t="s">
        <v>927</v>
      </c>
      <c r="C922">
        <v>26545600</v>
      </c>
      <c r="D922">
        <f t="shared" si="28"/>
        <v>8.8871283274494402E-3</v>
      </c>
      <c r="G922" s="17" t="s">
        <v>4620</v>
      </c>
      <c r="H922">
        <v>3307140000</v>
      </c>
      <c r="J922">
        <f t="shared" si="29"/>
        <v>-4.3087969211804593E-3</v>
      </c>
      <c r="K922">
        <v>1</v>
      </c>
    </row>
    <row r="923" spans="1:11">
      <c r="A923" s="16">
        <v>43396</v>
      </c>
      <c r="B923" s="17" t="s">
        <v>928</v>
      </c>
      <c r="C923">
        <v>43770400</v>
      </c>
      <c r="D923">
        <f t="shared" si="28"/>
        <v>-1.4054248327436097E-2</v>
      </c>
      <c r="G923" s="17" t="s">
        <v>4624</v>
      </c>
      <c r="H923">
        <v>4348580000</v>
      </c>
      <c r="J923">
        <f t="shared" si="29"/>
        <v>-5.5270763969595856E-3</v>
      </c>
      <c r="K923">
        <v>1</v>
      </c>
    </row>
    <row r="924" spans="1:11">
      <c r="A924" s="16">
        <v>43397</v>
      </c>
      <c r="B924" s="17" t="s">
        <v>929</v>
      </c>
      <c r="C924">
        <v>63897800</v>
      </c>
      <c r="D924">
        <f t="shared" si="28"/>
        <v>-5.4951545983454766E-2</v>
      </c>
      <c r="G924" s="17" t="s">
        <v>4628</v>
      </c>
      <c r="H924">
        <v>4709310000</v>
      </c>
      <c r="J924">
        <f t="shared" si="29"/>
        <v>-3.1350773583492739E-2</v>
      </c>
      <c r="K924">
        <v>1</v>
      </c>
    </row>
    <row r="925" spans="1:11">
      <c r="A925" s="16">
        <v>43398</v>
      </c>
      <c r="B925" s="17" t="s">
        <v>930</v>
      </c>
      <c r="C925">
        <v>61646800</v>
      </c>
      <c r="D925">
        <f t="shared" si="28"/>
        <v>5.6800092648937026E-2</v>
      </c>
      <c r="G925" s="17" t="s">
        <v>4631</v>
      </c>
      <c r="H925">
        <v>4634770000</v>
      </c>
      <c r="J925">
        <f t="shared" si="29"/>
        <v>1.8453717716467321E-2</v>
      </c>
      <c r="K925">
        <v>1</v>
      </c>
    </row>
    <row r="926" spans="1:11">
      <c r="A926" s="16">
        <v>43399</v>
      </c>
      <c r="B926" s="17" t="s">
        <v>931</v>
      </c>
      <c r="C926">
        <v>55523100</v>
      </c>
      <c r="D926">
        <f t="shared" si="28"/>
        <v>-1.2450258805037169E-2</v>
      </c>
      <c r="G926" s="17" t="s">
        <v>4635</v>
      </c>
      <c r="H926">
        <v>4803150000</v>
      </c>
      <c r="J926">
        <f t="shared" si="29"/>
        <v>-1.7479138029976107E-2</v>
      </c>
      <c r="K926">
        <v>1</v>
      </c>
    </row>
    <row r="927" spans="1:11">
      <c r="A927" s="16">
        <v>43402</v>
      </c>
      <c r="B927" s="17" t="s">
        <v>932</v>
      </c>
      <c r="C927">
        <v>55162000</v>
      </c>
      <c r="D927">
        <f t="shared" si="28"/>
        <v>-2.9507522806942476E-2</v>
      </c>
      <c r="G927" s="17" t="s">
        <v>4639</v>
      </c>
      <c r="H927">
        <v>4673700000</v>
      </c>
      <c r="J927">
        <f t="shared" si="29"/>
        <v>-6.5812081423931952E-3</v>
      </c>
      <c r="K927">
        <v>1</v>
      </c>
    </row>
    <row r="928" spans="1:11">
      <c r="A928" s="16">
        <v>43403</v>
      </c>
      <c r="B928" s="17" t="s">
        <v>933</v>
      </c>
      <c r="C928">
        <v>65350900</v>
      </c>
      <c r="D928">
        <f t="shared" si="28"/>
        <v>-1.1561204435849954E-3</v>
      </c>
      <c r="G928" s="17" t="s">
        <v>4643</v>
      </c>
      <c r="H928">
        <v>5106380000</v>
      </c>
      <c r="J928">
        <f t="shared" si="29"/>
        <v>1.554532304177168E-2</v>
      </c>
      <c r="K928">
        <v>1</v>
      </c>
    </row>
    <row r="929" spans="1:11">
      <c r="A929" s="16">
        <v>43404</v>
      </c>
      <c r="B929" s="17" t="s">
        <v>934</v>
      </c>
      <c r="C929">
        <v>51062400</v>
      </c>
      <c r="D929">
        <f t="shared" si="28"/>
        <v>2.9260157329401192E-2</v>
      </c>
      <c r="G929" s="17" t="s">
        <v>4646</v>
      </c>
      <c r="H929">
        <v>5112420000</v>
      </c>
      <c r="J929">
        <f t="shared" si="29"/>
        <v>1.0792878598247372E-2</v>
      </c>
      <c r="K929">
        <v>1</v>
      </c>
    </row>
    <row r="930" spans="1:11">
      <c r="A930" s="16">
        <v>43405</v>
      </c>
      <c r="B930" s="17" t="s">
        <v>935</v>
      </c>
      <c r="C930">
        <v>33384200</v>
      </c>
      <c r="D930">
        <f t="shared" si="28"/>
        <v>-8.3674546457261356E-3</v>
      </c>
      <c r="G930" s="17" t="s">
        <v>4649</v>
      </c>
      <c r="H930">
        <v>4708420000</v>
      </c>
      <c r="J930">
        <f t="shared" si="29"/>
        <v>1.0502498886537631E-2</v>
      </c>
      <c r="K930">
        <v>1</v>
      </c>
    </row>
    <row r="931" spans="1:11">
      <c r="A931" s="16">
        <v>43406</v>
      </c>
      <c r="B931" s="17" t="s">
        <v>919</v>
      </c>
      <c r="C931">
        <v>37680200</v>
      </c>
      <c r="D931">
        <f t="shared" si="28"/>
        <v>2.2634010515646475E-3</v>
      </c>
      <c r="G931" s="17" t="s">
        <v>4303</v>
      </c>
      <c r="H931">
        <v>4237930000</v>
      </c>
      <c r="J931">
        <f t="shared" si="29"/>
        <v>-6.3367208382695854E-3</v>
      </c>
      <c r="K931">
        <v>1</v>
      </c>
    </row>
    <row r="932" spans="1:11">
      <c r="A932" s="16">
        <v>43409</v>
      </c>
      <c r="B932" s="17" t="s">
        <v>936</v>
      </c>
      <c r="C932">
        <v>27922100</v>
      </c>
      <c r="D932">
        <f t="shared" si="28"/>
        <v>1.2636474574022092E-2</v>
      </c>
      <c r="G932" s="17" t="s">
        <v>4656</v>
      </c>
      <c r="H932">
        <v>3623320000</v>
      </c>
      <c r="J932">
        <f t="shared" si="29"/>
        <v>5.584693696363217E-3</v>
      </c>
      <c r="K932">
        <v>1</v>
      </c>
    </row>
    <row r="933" spans="1:11">
      <c r="A933" s="16">
        <v>43410</v>
      </c>
      <c r="B933" s="17" t="s">
        <v>937</v>
      </c>
      <c r="C933">
        <v>24340200</v>
      </c>
      <c r="D933">
        <f t="shared" si="28"/>
        <v>1.9513467622321314E-3</v>
      </c>
      <c r="G933" s="17" t="s">
        <v>4660</v>
      </c>
      <c r="H933">
        <v>3510860000</v>
      </c>
      <c r="J933">
        <f t="shared" si="29"/>
        <v>6.239787533674419E-3</v>
      </c>
      <c r="K933">
        <v>1</v>
      </c>
    </row>
    <row r="934" spans="1:11">
      <c r="A934" s="16">
        <v>43411</v>
      </c>
      <c r="B934" s="17" t="s">
        <v>938</v>
      </c>
      <c r="C934">
        <v>37901700</v>
      </c>
      <c r="D934">
        <f t="shared" si="28"/>
        <v>3.860634403146497E-2</v>
      </c>
      <c r="G934" s="17" t="s">
        <v>4663</v>
      </c>
      <c r="H934">
        <v>3914750000</v>
      </c>
      <c r="J934">
        <f t="shared" si="29"/>
        <v>2.0987078773076134E-2</v>
      </c>
      <c r="K934">
        <v>1</v>
      </c>
    </row>
    <row r="935" spans="1:11">
      <c r="A935" s="16">
        <v>43412</v>
      </c>
      <c r="B935" s="17" t="s">
        <v>939</v>
      </c>
      <c r="C935">
        <v>25644100</v>
      </c>
      <c r="D935">
        <f t="shared" si="28"/>
        <v>-1.8773694983364915E-3</v>
      </c>
      <c r="G935" s="17" t="s">
        <v>4667</v>
      </c>
      <c r="H935">
        <v>3630490000</v>
      </c>
      <c r="J935">
        <f t="shared" si="29"/>
        <v>-2.5120691829516244E-3</v>
      </c>
      <c r="K935">
        <v>1</v>
      </c>
    </row>
    <row r="936" spans="1:11">
      <c r="A936" s="16">
        <v>43413</v>
      </c>
      <c r="B936" s="17" t="s">
        <v>921</v>
      </c>
      <c r="C936">
        <v>32039200</v>
      </c>
      <c r="D936">
        <f t="shared" si="28"/>
        <v>-1.9700637948110757E-2</v>
      </c>
      <c r="G936" s="17" t="s">
        <v>4670</v>
      </c>
      <c r="H936">
        <v>4019090000</v>
      </c>
      <c r="J936">
        <f t="shared" si="29"/>
        <v>-9.241585786561252E-3</v>
      </c>
      <c r="K936">
        <v>1</v>
      </c>
    </row>
    <row r="937" spans="1:11">
      <c r="A937" s="16">
        <v>43416</v>
      </c>
      <c r="B937" s="17" t="s">
        <v>884</v>
      </c>
      <c r="C937">
        <v>33621800</v>
      </c>
      <c r="D937">
        <f t="shared" si="28"/>
        <v>-2.4950326299992418E-2</v>
      </c>
      <c r="G937" s="17" t="s">
        <v>4673</v>
      </c>
      <c r="H937">
        <v>3670930000</v>
      </c>
      <c r="J937">
        <f t="shared" si="29"/>
        <v>-1.9898150960848206E-2</v>
      </c>
      <c r="K937">
        <v>1</v>
      </c>
    </row>
    <row r="938" spans="1:11">
      <c r="A938" s="16">
        <v>43417</v>
      </c>
      <c r="B938" s="17" t="s">
        <v>940</v>
      </c>
      <c r="C938">
        <v>35374600</v>
      </c>
      <c r="D938">
        <f t="shared" si="28"/>
        <v>6.5457425779129504E-4</v>
      </c>
      <c r="G938" s="17" t="s">
        <v>4677</v>
      </c>
      <c r="H938">
        <v>4091440000</v>
      </c>
      <c r="J938">
        <f t="shared" si="29"/>
        <v>-1.4830187990527641E-3</v>
      </c>
      <c r="K938">
        <v>1</v>
      </c>
    </row>
    <row r="939" spans="1:11">
      <c r="A939" s="16">
        <v>43418</v>
      </c>
      <c r="B939" s="17" t="s">
        <v>941</v>
      </c>
      <c r="C939">
        <v>39495100</v>
      </c>
      <c r="D939">
        <f t="shared" si="28"/>
        <v>-1.4282540006321565E-2</v>
      </c>
      <c r="G939" s="17" t="s">
        <v>4681</v>
      </c>
      <c r="H939">
        <v>4402370000</v>
      </c>
      <c r="J939">
        <f t="shared" si="29"/>
        <v>-7.5961889967371783E-3</v>
      </c>
      <c r="K939">
        <v>1</v>
      </c>
    </row>
    <row r="940" spans="1:11">
      <c r="A940" s="16">
        <v>43419</v>
      </c>
      <c r="B940" s="17" t="s">
        <v>942</v>
      </c>
      <c r="C940">
        <v>38505200</v>
      </c>
      <c r="D940">
        <f t="shared" si="28"/>
        <v>2.1767651933400065E-2</v>
      </c>
      <c r="G940" s="17" t="s">
        <v>4685</v>
      </c>
      <c r="H940">
        <v>4179140000</v>
      </c>
      <c r="J940">
        <f t="shared" si="29"/>
        <v>1.0538032725957951E-2</v>
      </c>
      <c r="K940">
        <v>1</v>
      </c>
    </row>
    <row r="941" spans="1:11">
      <c r="A941" s="16">
        <v>43420</v>
      </c>
      <c r="B941" s="17" t="s">
        <v>943</v>
      </c>
      <c r="C941">
        <v>33502100</v>
      </c>
      <c r="D941">
        <f t="shared" si="28"/>
        <v>9.370616501356014E-3</v>
      </c>
      <c r="G941" s="17" t="s">
        <v>4689</v>
      </c>
      <c r="H941">
        <v>3975180000</v>
      </c>
      <c r="J941">
        <f t="shared" si="29"/>
        <v>2.2208377717471144E-3</v>
      </c>
      <c r="K941">
        <v>1</v>
      </c>
    </row>
    <row r="942" spans="1:11">
      <c r="A942" s="16">
        <v>43423</v>
      </c>
      <c r="B942" s="17" t="s">
        <v>944</v>
      </c>
      <c r="C942">
        <v>44773900</v>
      </c>
      <c r="D942">
        <f t="shared" si="28"/>
        <v>-3.4478079037199662E-2</v>
      </c>
      <c r="G942" s="17" t="s">
        <v>4693</v>
      </c>
      <c r="H942">
        <v>3772900000</v>
      </c>
      <c r="J942">
        <f t="shared" si="29"/>
        <v>-1.6783161581240495E-2</v>
      </c>
      <c r="K942">
        <v>1</v>
      </c>
    </row>
    <row r="943" spans="1:11">
      <c r="A943" s="16">
        <v>43424</v>
      </c>
      <c r="B943" s="17" t="s">
        <v>945</v>
      </c>
      <c r="C943">
        <v>64052500</v>
      </c>
      <c r="D943">
        <f t="shared" si="28"/>
        <v>-2.8209097877010866E-2</v>
      </c>
      <c r="G943" s="17" t="s">
        <v>4697</v>
      </c>
      <c r="H943">
        <v>4357900000</v>
      </c>
      <c r="J943">
        <f t="shared" si="29"/>
        <v>-1.8317995222689919E-2</v>
      </c>
      <c r="K943">
        <v>1</v>
      </c>
    </row>
    <row r="944" spans="1:11">
      <c r="A944" s="16">
        <v>43425</v>
      </c>
      <c r="B944" s="17" t="s">
        <v>946</v>
      </c>
      <c r="C944">
        <v>28130600</v>
      </c>
      <c r="D944">
        <f t="shared" si="28"/>
        <v>1.3670721241990334E-2</v>
      </c>
      <c r="G944" s="17" t="s">
        <v>4700</v>
      </c>
      <c r="H944">
        <v>3233550000</v>
      </c>
      <c r="J944">
        <f t="shared" si="29"/>
        <v>3.0386692866970996E-3</v>
      </c>
      <c r="K944">
        <v>1</v>
      </c>
    </row>
    <row r="945" spans="1:11">
      <c r="A945" s="16">
        <v>43427</v>
      </c>
      <c r="B945" s="17" t="s">
        <v>947</v>
      </c>
      <c r="C945">
        <v>13823100</v>
      </c>
      <c r="D945">
        <f t="shared" si="28"/>
        <v>-3.8798279202098909E-4</v>
      </c>
      <c r="G945" s="17" t="s">
        <v>4704</v>
      </c>
      <c r="H945">
        <v>1651650000</v>
      </c>
      <c r="J945">
        <f t="shared" si="29"/>
        <v>-6.5764196931550074E-3</v>
      </c>
      <c r="K945">
        <v>1</v>
      </c>
    </row>
    <row r="946" spans="1:11">
      <c r="A946" s="16">
        <v>43430</v>
      </c>
      <c r="B946" s="17" t="s">
        <v>948</v>
      </c>
      <c r="C946">
        <v>32336200</v>
      </c>
      <c r="D946">
        <f t="shared" si="28"/>
        <v>3.2454938939451269E-2</v>
      </c>
      <c r="G946" s="17" t="s">
        <v>4707</v>
      </c>
      <c r="H946">
        <v>3443950000</v>
      </c>
      <c r="J946">
        <f t="shared" si="29"/>
        <v>1.5412975626759496E-2</v>
      </c>
      <c r="K946">
        <v>1</v>
      </c>
    </row>
    <row r="947" spans="1:11">
      <c r="A947" s="16">
        <v>43431</v>
      </c>
      <c r="B947" s="17" t="s">
        <v>949</v>
      </c>
      <c r="C947">
        <v>29124500</v>
      </c>
      <c r="D947">
        <f t="shared" si="28"/>
        <v>6.2731419530162496E-3</v>
      </c>
      <c r="G947" s="17" t="s">
        <v>4711</v>
      </c>
      <c r="H947">
        <v>3485220000</v>
      </c>
      <c r="J947">
        <f t="shared" si="29"/>
        <v>3.2563844755063892E-3</v>
      </c>
      <c r="K947">
        <v>1</v>
      </c>
    </row>
    <row r="948" spans="1:11">
      <c r="A948" s="16">
        <v>43432</v>
      </c>
      <c r="B948" s="17" t="s">
        <v>950</v>
      </c>
      <c r="C948">
        <v>46788500</v>
      </c>
      <c r="D948">
        <f t="shared" si="28"/>
        <v>3.6474281381243256E-2</v>
      </c>
      <c r="G948" s="17" t="s">
        <v>4715</v>
      </c>
      <c r="H948">
        <v>3951670000</v>
      </c>
      <c r="J948">
        <f t="shared" si="29"/>
        <v>2.2714051233730995E-2</v>
      </c>
      <c r="K948">
        <v>1</v>
      </c>
    </row>
    <row r="949" spans="1:11">
      <c r="A949" s="16">
        <v>43433</v>
      </c>
      <c r="B949" s="17" t="s">
        <v>951</v>
      </c>
      <c r="C949">
        <v>28123200</v>
      </c>
      <c r="D949">
        <f t="shared" si="28"/>
        <v>-8.404568285909143E-3</v>
      </c>
      <c r="G949" s="17" t="s">
        <v>4719</v>
      </c>
      <c r="H949">
        <v>3560770000</v>
      </c>
      <c r="J949">
        <f t="shared" si="29"/>
        <v>-2.185494459836184E-3</v>
      </c>
      <c r="K949">
        <v>1</v>
      </c>
    </row>
    <row r="950" spans="1:11">
      <c r="A950" s="16">
        <v>43434</v>
      </c>
      <c r="B950" s="17" t="s">
        <v>952</v>
      </c>
      <c r="C950">
        <v>33665600</v>
      </c>
      <c r="D950">
        <f t="shared" si="28"/>
        <v>6.3326199177558551E-3</v>
      </c>
      <c r="G950" s="17" t="s">
        <v>4723</v>
      </c>
      <c r="H950">
        <v>4658580000</v>
      </c>
      <c r="J950">
        <f t="shared" si="29"/>
        <v>8.1375476991261391E-3</v>
      </c>
      <c r="K950">
        <v>1</v>
      </c>
    </row>
    <row r="951" spans="1:11">
      <c r="A951" s="16">
        <v>43437</v>
      </c>
      <c r="B951" s="17" t="s">
        <v>953</v>
      </c>
      <c r="C951">
        <v>34732800</v>
      </c>
      <c r="D951">
        <f t="shared" si="28"/>
        <v>1.0763371579182401E-2</v>
      </c>
      <c r="G951" s="17" t="s">
        <v>4727</v>
      </c>
      <c r="H951">
        <v>4186060000</v>
      </c>
      <c r="J951">
        <f t="shared" si="29"/>
        <v>1.0882001681880114E-2</v>
      </c>
      <c r="K951">
        <v>1</v>
      </c>
    </row>
    <row r="952" spans="1:11">
      <c r="A952" s="16">
        <v>43438</v>
      </c>
      <c r="B952" s="17" t="s">
        <v>954</v>
      </c>
      <c r="C952">
        <v>45197000</v>
      </c>
      <c r="D952">
        <f t="shared" si="28"/>
        <v>-3.2367704579684811E-2</v>
      </c>
      <c r="G952" s="17" t="s">
        <v>4731</v>
      </c>
      <c r="H952">
        <v>4499840000</v>
      </c>
      <c r="J952">
        <f t="shared" si="29"/>
        <v>-3.2900228620901091E-2</v>
      </c>
      <c r="K952">
        <v>1</v>
      </c>
    </row>
    <row r="953" spans="1:11">
      <c r="A953" s="16">
        <v>43440</v>
      </c>
      <c r="B953" s="17" t="s">
        <v>955</v>
      </c>
      <c r="C953">
        <v>49107400</v>
      </c>
      <c r="D953">
        <f t="shared" si="28"/>
        <v>6.1550687231390101E-3</v>
      </c>
      <c r="G953" s="17" t="s">
        <v>4735</v>
      </c>
      <c r="H953">
        <v>5141470000</v>
      </c>
      <c r="J953">
        <f t="shared" si="29"/>
        <v>-1.52338812835683E-3</v>
      </c>
      <c r="K953">
        <v>1</v>
      </c>
    </row>
    <row r="954" spans="1:11">
      <c r="A954" s="16">
        <v>43441</v>
      </c>
      <c r="B954" s="17" t="s">
        <v>956</v>
      </c>
      <c r="C954">
        <v>45044900</v>
      </c>
      <c r="D954">
        <f t="shared" si="28"/>
        <v>-4.0844935031264365E-2</v>
      </c>
      <c r="G954" s="17" t="s">
        <v>4739</v>
      </c>
      <c r="H954">
        <v>4216690000</v>
      </c>
      <c r="J954">
        <f t="shared" si="29"/>
        <v>-2.3596335440042082E-2</v>
      </c>
      <c r="K954">
        <v>1</v>
      </c>
    </row>
    <row r="955" spans="1:11">
      <c r="A955" s="16">
        <v>43444</v>
      </c>
      <c r="B955" s="17" t="s">
        <v>957</v>
      </c>
      <c r="C955">
        <v>40801500</v>
      </c>
      <c r="D955">
        <f t="shared" si="28"/>
        <v>2.6082990067379987E-2</v>
      </c>
      <c r="G955" s="17" t="s">
        <v>4743</v>
      </c>
      <c r="H955">
        <v>4151030000</v>
      </c>
      <c r="J955">
        <f t="shared" si="29"/>
        <v>1.7606033829389957E-3</v>
      </c>
      <c r="K955">
        <v>1</v>
      </c>
    </row>
    <row r="956" spans="1:11">
      <c r="A956" s="16">
        <v>43445</v>
      </c>
      <c r="B956" s="17" t="s">
        <v>958</v>
      </c>
      <c r="C956">
        <v>42381900</v>
      </c>
      <c r="D956">
        <f t="shared" si="28"/>
        <v>9.251662349908164E-3</v>
      </c>
      <c r="G956" s="17" t="s">
        <v>4746</v>
      </c>
      <c r="H956">
        <v>3905870000</v>
      </c>
      <c r="J956">
        <f t="shared" si="29"/>
        <v>-3.564099004455318E-4</v>
      </c>
      <c r="K956">
        <v>1</v>
      </c>
    </row>
    <row r="957" spans="1:11">
      <c r="A957" s="16">
        <v>43446</v>
      </c>
      <c r="B957" s="17" t="s">
        <v>959</v>
      </c>
      <c r="C957">
        <v>36183000</v>
      </c>
      <c r="D957">
        <f t="shared" si="28"/>
        <v>4.5023656102938557E-3</v>
      </c>
      <c r="G957" s="17" t="s">
        <v>4750</v>
      </c>
      <c r="H957">
        <v>3958890000</v>
      </c>
      <c r="J957">
        <f t="shared" si="29"/>
        <v>5.4048709873826383E-3</v>
      </c>
      <c r="K957">
        <v>1</v>
      </c>
    </row>
    <row r="958" spans="1:11">
      <c r="A958" s="16">
        <v>43447</v>
      </c>
      <c r="B958" s="17" t="s">
        <v>960</v>
      </c>
      <c r="C958">
        <v>31333400</v>
      </c>
      <c r="D958">
        <f t="shared" si="28"/>
        <v>3.3861384439619431E-3</v>
      </c>
      <c r="G958" s="17" t="s">
        <v>4754</v>
      </c>
      <c r="H958">
        <v>3927720000</v>
      </c>
      <c r="J958">
        <f t="shared" si="29"/>
        <v>-1.9995020043665106E-4</v>
      </c>
      <c r="K958">
        <v>1</v>
      </c>
    </row>
    <row r="959" spans="1:11">
      <c r="A959" s="16">
        <v>43448</v>
      </c>
      <c r="B959" s="17" t="s">
        <v>961</v>
      </c>
      <c r="C959">
        <v>47043100</v>
      </c>
      <c r="D959">
        <f t="shared" si="28"/>
        <v>-3.1745644400947216E-2</v>
      </c>
      <c r="G959" s="17" t="s">
        <v>4758</v>
      </c>
      <c r="H959">
        <v>4035020000</v>
      </c>
      <c r="J959">
        <f t="shared" si="29"/>
        <v>-1.9271212311226697E-2</v>
      </c>
      <c r="K959">
        <v>1</v>
      </c>
    </row>
    <row r="960" spans="1:11">
      <c r="A960" s="16">
        <v>43451</v>
      </c>
      <c r="B960" s="17" t="s">
        <v>962</v>
      </c>
      <c r="C960">
        <v>56957300</v>
      </c>
      <c r="D960">
        <f t="shared" si="28"/>
        <v>-3.0061647972816852E-2</v>
      </c>
      <c r="G960" s="17" t="s">
        <v>4762</v>
      </c>
      <c r="H960">
        <v>4616350000</v>
      </c>
      <c r="J960">
        <f t="shared" si="29"/>
        <v>-2.0992284922037387E-2</v>
      </c>
      <c r="K960">
        <v>1</v>
      </c>
    </row>
    <row r="961" spans="1:11">
      <c r="A961" s="16">
        <v>43452</v>
      </c>
      <c r="B961" s="17" t="s">
        <v>963</v>
      </c>
      <c r="C961">
        <v>49319200</v>
      </c>
      <c r="D961">
        <f t="shared" si="28"/>
        <v>1.0441922509809165E-2</v>
      </c>
      <c r="G961" s="17" t="s">
        <v>4766</v>
      </c>
      <c r="H961">
        <v>4470880000</v>
      </c>
      <c r="J961">
        <f t="shared" si="29"/>
        <v>8.6396970399963853E-5</v>
      </c>
      <c r="K961">
        <v>1</v>
      </c>
    </row>
    <row r="962" spans="1:11">
      <c r="A962" s="16">
        <v>43453</v>
      </c>
      <c r="B962" s="17" t="s">
        <v>964</v>
      </c>
      <c r="C962">
        <v>68198200</v>
      </c>
      <c r="D962">
        <f t="shared" si="28"/>
        <v>-2.6966523244555704E-3</v>
      </c>
      <c r="G962" s="17" t="s">
        <v>4770</v>
      </c>
      <c r="H962">
        <v>5127940000</v>
      </c>
      <c r="J962">
        <f t="shared" si="29"/>
        <v>-1.5515459108049429E-2</v>
      </c>
      <c r="K962">
        <v>1</v>
      </c>
    </row>
    <row r="963" spans="1:11">
      <c r="A963" s="16">
        <v>43454</v>
      </c>
      <c r="B963" s="17" t="s">
        <v>965</v>
      </c>
      <c r="C963">
        <v>70334200</v>
      </c>
      <c r="D963">
        <f t="shared" si="28"/>
        <v>-2.124838785032904E-2</v>
      </c>
      <c r="G963" s="17" t="s">
        <v>4773</v>
      </c>
      <c r="H963">
        <v>5585780000</v>
      </c>
      <c r="J963">
        <f t="shared" si="29"/>
        <v>-1.5897809458374292E-2</v>
      </c>
      <c r="K963">
        <v>1</v>
      </c>
    </row>
    <row r="964" spans="1:11">
      <c r="A964" s="16">
        <v>43455</v>
      </c>
      <c r="B964" s="17" t="s">
        <v>966</v>
      </c>
      <c r="C964">
        <v>111242100</v>
      </c>
      <c r="D964">
        <f t="shared" si="28"/>
        <v>-3.2845729752350873E-2</v>
      </c>
      <c r="G964" s="17" t="s">
        <v>4776</v>
      </c>
      <c r="H964">
        <v>7609010000</v>
      </c>
      <c r="J964">
        <f t="shared" si="29"/>
        <v>-2.0803120626788667E-2</v>
      </c>
      <c r="K964">
        <v>1</v>
      </c>
    </row>
    <row r="965" spans="1:11">
      <c r="A965" s="16">
        <v>43458</v>
      </c>
      <c r="B965" s="17" t="s">
        <v>967</v>
      </c>
      <c r="C965">
        <v>43935200</v>
      </c>
      <c r="D965">
        <f t="shared" ref="D965:D1028" si="30">LN(B965/B964)</f>
        <v>-4.2634820840488967E-2</v>
      </c>
      <c r="G965" s="17" t="s">
        <v>4779</v>
      </c>
      <c r="H965">
        <v>2613930000</v>
      </c>
      <c r="J965">
        <f t="shared" ref="J965:J1028" si="31">LN(G965/G964)</f>
        <v>-2.748657265451852E-2</v>
      </c>
      <c r="K965">
        <v>1</v>
      </c>
    </row>
    <row r="966" spans="1:11">
      <c r="A966" s="16">
        <v>43460</v>
      </c>
      <c r="B966" s="17" t="s">
        <v>968</v>
      </c>
      <c r="C966">
        <v>51634800</v>
      </c>
      <c r="D966">
        <f t="shared" si="30"/>
        <v>6.6077787949782293E-2</v>
      </c>
      <c r="G966" s="17" t="s">
        <v>4783</v>
      </c>
      <c r="H966">
        <v>4233990000</v>
      </c>
      <c r="J966">
        <f t="shared" si="31"/>
        <v>4.8403177454947023E-2</v>
      </c>
      <c r="K966">
        <v>1</v>
      </c>
    </row>
    <row r="967" spans="1:11">
      <c r="A967" s="16">
        <v>43461</v>
      </c>
      <c r="B967" s="17" t="s">
        <v>969</v>
      </c>
      <c r="C967">
        <v>49498500</v>
      </c>
      <c r="D967">
        <f t="shared" si="30"/>
        <v>6.1466653526778391E-3</v>
      </c>
      <c r="G967" s="17" t="s">
        <v>4787</v>
      </c>
      <c r="H967">
        <v>4096610000</v>
      </c>
      <c r="J967">
        <f t="shared" si="31"/>
        <v>8.5262289882423199E-3</v>
      </c>
      <c r="K967">
        <v>1</v>
      </c>
    </row>
    <row r="968" spans="1:11">
      <c r="A968" s="16">
        <v>43462</v>
      </c>
      <c r="B968" s="17" t="s">
        <v>970</v>
      </c>
      <c r="C968">
        <v>38196300</v>
      </c>
      <c r="D968">
        <f t="shared" si="30"/>
        <v>-7.83864236129613E-3</v>
      </c>
      <c r="G968" s="17" t="s">
        <v>4791</v>
      </c>
      <c r="H968">
        <v>3702620000</v>
      </c>
      <c r="J968">
        <f t="shared" si="31"/>
        <v>-1.2423539542946662E-3</v>
      </c>
      <c r="K968">
        <v>1</v>
      </c>
    </row>
    <row r="969" spans="1:11">
      <c r="A969" s="16">
        <v>43465</v>
      </c>
      <c r="B969" s="17" t="s">
        <v>971</v>
      </c>
      <c r="C969">
        <v>33173800</v>
      </c>
      <c r="D969">
        <f t="shared" si="30"/>
        <v>1.1685592625736952E-2</v>
      </c>
      <c r="G969" s="17" t="s">
        <v>4795</v>
      </c>
      <c r="H969">
        <v>3442870000</v>
      </c>
      <c r="J969">
        <f t="shared" si="31"/>
        <v>8.4566260936189287E-3</v>
      </c>
      <c r="K969">
        <v>1</v>
      </c>
    </row>
    <row r="970" spans="1:11">
      <c r="A970" s="16">
        <v>43467</v>
      </c>
      <c r="B970" s="17" t="s">
        <v>972</v>
      </c>
      <c r="C970">
        <v>35329300</v>
      </c>
      <c r="D970">
        <f t="shared" si="30"/>
        <v>-4.4402322167570183E-3</v>
      </c>
      <c r="G970" s="17" t="s">
        <v>4799</v>
      </c>
      <c r="H970">
        <v>3733160000</v>
      </c>
      <c r="J970">
        <f t="shared" si="31"/>
        <v>1.2676928072264735E-3</v>
      </c>
      <c r="K970">
        <v>1</v>
      </c>
    </row>
    <row r="971" spans="1:11">
      <c r="A971" s="16">
        <v>43468</v>
      </c>
      <c r="B971" s="17" t="s">
        <v>973</v>
      </c>
      <c r="C971">
        <v>42579100</v>
      </c>
      <c r="D971">
        <f t="shared" si="30"/>
        <v>-3.7481750980094063E-2</v>
      </c>
      <c r="G971" s="17" t="s">
        <v>4803</v>
      </c>
      <c r="H971">
        <v>3822860000</v>
      </c>
      <c r="J971">
        <f t="shared" si="31"/>
        <v>-2.5068331528297301E-2</v>
      </c>
      <c r="K971">
        <v>1</v>
      </c>
    </row>
    <row r="972" spans="1:11">
      <c r="A972" s="16">
        <v>43469</v>
      </c>
      <c r="B972" s="17" t="s">
        <v>974</v>
      </c>
      <c r="C972">
        <v>44060600</v>
      </c>
      <c r="D972">
        <f t="shared" si="30"/>
        <v>4.5460087993401177E-2</v>
      </c>
      <c r="G972" s="17" t="s">
        <v>4806</v>
      </c>
      <c r="H972">
        <v>4213410000</v>
      </c>
      <c r="J972">
        <f t="shared" si="31"/>
        <v>3.3759398727554041E-2</v>
      </c>
      <c r="K972">
        <v>1</v>
      </c>
    </row>
    <row r="973" spans="1:11">
      <c r="A973" s="16">
        <v>43472</v>
      </c>
      <c r="B973" s="17" t="s">
        <v>975</v>
      </c>
      <c r="C973">
        <v>35656100</v>
      </c>
      <c r="D973">
        <f t="shared" si="30"/>
        <v>1.274543873242099E-3</v>
      </c>
      <c r="G973" s="17" t="s">
        <v>4810</v>
      </c>
      <c r="H973">
        <v>4104710000</v>
      </c>
      <c r="J973">
        <f t="shared" si="31"/>
        <v>6.9859759963468073E-3</v>
      </c>
      <c r="K973">
        <v>1</v>
      </c>
    </row>
    <row r="974" spans="1:11">
      <c r="A974" s="16">
        <v>43473</v>
      </c>
      <c r="B974" s="17" t="s">
        <v>976</v>
      </c>
      <c r="C974">
        <v>31514400</v>
      </c>
      <c r="D974">
        <f t="shared" si="30"/>
        <v>7.2245033717509002E-3</v>
      </c>
      <c r="G974" s="17" t="s">
        <v>4814</v>
      </c>
      <c r="H974">
        <v>4083030000</v>
      </c>
      <c r="J974">
        <f t="shared" si="31"/>
        <v>9.648587453345037E-3</v>
      </c>
      <c r="K974">
        <v>1</v>
      </c>
    </row>
    <row r="975" spans="1:11">
      <c r="A975" s="16">
        <v>43474</v>
      </c>
      <c r="B975" s="17" t="s">
        <v>977</v>
      </c>
      <c r="C975">
        <v>32280800</v>
      </c>
      <c r="D975">
        <f t="shared" si="30"/>
        <v>1.4198244672606806E-2</v>
      </c>
      <c r="G975" s="17" t="s">
        <v>4818</v>
      </c>
      <c r="H975">
        <v>4052480000</v>
      </c>
      <c r="J975">
        <f t="shared" si="31"/>
        <v>4.0896713994860914E-3</v>
      </c>
      <c r="K975">
        <v>1</v>
      </c>
    </row>
    <row r="976" spans="1:11">
      <c r="A976" s="16">
        <v>43475</v>
      </c>
      <c r="B976" s="17" t="s">
        <v>978</v>
      </c>
      <c r="C976">
        <v>30067600</v>
      </c>
      <c r="D976">
        <f t="shared" si="30"/>
        <v>-6.4462099300339618E-3</v>
      </c>
      <c r="G976" s="17" t="s">
        <v>4822</v>
      </c>
      <c r="H976">
        <v>3704500000</v>
      </c>
      <c r="J976">
        <f t="shared" si="31"/>
        <v>4.508241512753362E-3</v>
      </c>
      <c r="K976">
        <v>1</v>
      </c>
    </row>
    <row r="977" spans="1:11">
      <c r="A977" s="16">
        <v>43476</v>
      </c>
      <c r="B977" s="17" t="s">
        <v>976</v>
      </c>
      <c r="C977">
        <v>28314200</v>
      </c>
      <c r="D977">
        <f t="shared" si="30"/>
        <v>-7.7520347425728865E-3</v>
      </c>
      <c r="G977" s="17" t="s">
        <v>4826</v>
      </c>
      <c r="H977">
        <v>3434490000</v>
      </c>
      <c r="J977">
        <f t="shared" si="31"/>
        <v>-1.4630861667806389E-4</v>
      </c>
      <c r="K977">
        <v>1</v>
      </c>
    </row>
    <row r="978" spans="1:11">
      <c r="A978" s="16">
        <v>43479</v>
      </c>
      <c r="B978" s="17" t="s">
        <v>979</v>
      </c>
      <c r="C978">
        <v>28437100</v>
      </c>
      <c r="D978">
        <f t="shared" si="30"/>
        <v>-7.3224054852797649E-3</v>
      </c>
      <c r="G978" s="17" t="s">
        <v>4830</v>
      </c>
      <c r="H978">
        <v>3664450000</v>
      </c>
      <c r="J978">
        <f t="shared" si="31"/>
        <v>-5.2713948408757896E-3</v>
      </c>
      <c r="K978">
        <v>1</v>
      </c>
    </row>
    <row r="979" spans="1:11">
      <c r="A979" s="16">
        <v>43480</v>
      </c>
      <c r="B979" s="17" t="s">
        <v>980</v>
      </c>
      <c r="C979">
        <v>31587600</v>
      </c>
      <c r="D979">
        <f t="shared" si="30"/>
        <v>2.8592648493639232E-2</v>
      </c>
      <c r="G979" s="17" t="s">
        <v>4833</v>
      </c>
      <c r="H979">
        <v>3572330000</v>
      </c>
      <c r="J979">
        <f t="shared" si="31"/>
        <v>1.0664619108958094E-2</v>
      </c>
      <c r="K979">
        <v>1</v>
      </c>
    </row>
    <row r="980" spans="1:11">
      <c r="A980" s="16">
        <v>43481</v>
      </c>
      <c r="B980" s="17" t="s">
        <v>981</v>
      </c>
      <c r="C980">
        <v>29853900</v>
      </c>
      <c r="D980">
        <f t="shared" si="30"/>
        <v>3.5172936039132427E-3</v>
      </c>
      <c r="G980" s="17" t="s">
        <v>4837</v>
      </c>
      <c r="H980">
        <v>3863770000</v>
      </c>
      <c r="J980">
        <f t="shared" si="31"/>
        <v>2.2195205946412646E-3</v>
      </c>
      <c r="K980">
        <v>1</v>
      </c>
    </row>
    <row r="981" spans="1:11">
      <c r="A981" s="16">
        <v>43482</v>
      </c>
      <c r="B981" s="17" t="s">
        <v>982</v>
      </c>
      <c r="C981">
        <v>28393000</v>
      </c>
      <c r="D981">
        <f t="shared" si="30"/>
        <v>6.9976893074021815E-3</v>
      </c>
      <c r="G981" s="17" t="s">
        <v>4841</v>
      </c>
      <c r="H981">
        <v>3772270000</v>
      </c>
      <c r="J981">
        <f t="shared" si="31"/>
        <v>7.5627305985484852E-3</v>
      </c>
      <c r="K981">
        <v>1</v>
      </c>
    </row>
    <row r="982" spans="1:11">
      <c r="A982" s="16">
        <v>43483</v>
      </c>
      <c r="B982" s="17" t="s">
        <v>983</v>
      </c>
      <c r="C982">
        <v>37427600</v>
      </c>
      <c r="D982">
        <f t="shared" si="30"/>
        <v>1.4871864922795644E-2</v>
      </c>
      <c r="G982" s="17" t="s">
        <v>4843</v>
      </c>
      <c r="H982">
        <v>3986730000</v>
      </c>
      <c r="J982">
        <f t="shared" si="31"/>
        <v>1.3096912839547208E-2</v>
      </c>
      <c r="K982">
        <v>1</v>
      </c>
    </row>
    <row r="983" spans="1:11">
      <c r="A983" s="16">
        <v>43487</v>
      </c>
      <c r="B983" s="17" t="s">
        <v>984</v>
      </c>
      <c r="C983">
        <v>32371300</v>
      </c>
      <c r="D983">
        <f t="shared" si="30"/>
        <v>-1.9026773676111629E-2</v>
      </c>
      <c r="G983" s="17" t="s">
        <v>4846</v>
      </c>
      <c r="H983">
        <v>3908030000</v>
      </c>
      <c r="J983">
        <f t="shared" si="31"/>
        <v>-1.4258476981933848E-2</v>
      </c>
      <c r="K983">
        <v>1</v>
      </c>
    </row>
    <row r="984" spans="1:11">
      <c r="A984" s="16">
        <v>43488</v>
      </c>
      <c r="B984" s="17" t="s">
        <v>985</v>
      </c>
      <c r="C984">
        <v>25874300</v>
      </c>
      <c r="D984">
        <f t="shared" si="30"/>
        <v>9.6991715956513992E-3</v>
      </c>
      <c r="G984" s="17" t="s">
        <v>4850</v>
      </c>
      <c r="H984">
        <v>3335610000</v>
      </c>
      <c r="J984">
        <f t="shared" si="31"/>
        <v>2.2004899848740785E-3</v>
      </c>
      <c r="K984">
        <v>1</v>
      </c>
    </row>
    <row r="985" spans="1:11">
      <c r="A985" s="16">
        <v>43489</v>
      </c>
      <c r="B985" s="17" t="s">
        <v>986</v>
      </c>
      <c r="C985">
        <v>23164800</v>
      </c>
      <c r="D985">
        <f t="shared" si="30"/>
        <v>-4.7907466764429401E-3</v>
      </c>
      <c r="G985" s="17" t="s">
        <v>4854</v>
      </c>
      <c r="H985">
        <v>3433250000</v>
      </c>
      <c r="J985">
        <f t="shared" si="31"/>
        <v>1.3747801288069672E-3</v>
      </c>
      <c r="K985">
        <v>1</v>
      </c>
    </row>
    <row r="986" spans="1:11">
      <c r="A986" s="16">
        <v>43490</v>
      </c>
      <c r="B986" s="17" t="s">
        <v>987</v>
      </c>
      <c r="C986">
        <v>31225600</v>
      </c>
      <c r="D986">
        <f t="shared" si="30"/>
        <v>9.0922427047733356E-3</v>
      </c>
      <c r="G986" s="17" t="s">
        <v>4858</v>
      </c>
      <c r="H986">
        <v>3814080000</v>
      </c>
      <c r="J986">
        <f t="shared" si="31"/>
        <v>8.4528678357782758E-3</v>
      </c>
      <c r="K986">
        <v>1</v>
      </c>
    </row>
    <row r="987" spans="1:11">
      <c r="A987" s="16">
        <v>43493</v>
      </c>
      <c r="B987" s="17" t="s">
        <v>988</v>
      </c>
      <c r="C987">
        <v>29476700</v>
      </c>
      <c r="D987">
        <f t="shared" si="30"/>
        <v>-1.9694342861716216E-2</v>
      </c>
      <c r="G987" s="17" t="s">
        <v>4861</v>
      </c>
      <c r="H987">
        <v>3612810000</v>
      </c>
      <c r="J987">
        <f t="shared" si="31"/>
        <v>-7.8777758066437605E-3</v>
      </c>
      <c r="K987">
        <v>1</v>
      </c>
    </row>
    <row r="988" spans="1:11">
      <c r="A988" s="16">
        <v>43494</v>
      </c>
      <c r="B988" s="17" t="s">
        <v>989</v>
      </c>
      <c r="C988">
        <v>31490500</v>
      </c>
      <c r="D988">
        <f t="shared" si="30"/>
        <v>-2.0575654440773642E-2</v>
      </c>
      <c r="G988" s="17" t="s">
        <v>4865</v>
      </c>
      <c r="H988">
        <v>3504200000</v>
      </c>
      <c r="J988">
        <f t="shared" si="31"/>
        <v>-1.457308065133547E-3</v>
      </c>
      <c r="K988">
        <v>1</v>
      </c>
    </row>
    <row r="989" spans="1:11">
      <c r="A989" s="16">
        <v>43495</v>
      </c>
      <c r="B989" s="17" t="s">
        <v>990</v>
      </c>
      <c r="C989">
        <v>49471900</v>
      </c>
      <c r="D989">
        <f t="shared" si="30"/>
        <v>3.2871243518281357E-2</v>
      </c>
      <c r="G989" s="17" t="s">
        <v>4869</v>
      </c>
      <c r="H989">
        <v>3867810000</v>
      </c>
      <c r="J989">
        <f t="shared" si="31"/>
        <v>1.5429609955667367E-2</v>
      </c>
      <c r="K989">
        <v>1</v>
      </c>
    </row>
    <row r="990" spans="1:11">
      <c r="A990" s="16">
        <v>43496</v>
      </c>
      <c r="B990" s="17" t="s">
        <v>991</v>
      </c>
      <c r="C990">
        <v>55636400</v>
      </c>
      <c r="D990">
        <f t="shared" si="30"/>
        <v>-1.8500579466766764E-2</v>
      </c>
      <c r="G990" s="17" t="s">
        <v>4873</v>
      </c>
      <c r="H990">
        <v>4917650000</v>
      </c>
      <c r="J990">
        <f t="shared" si="31"/>
        <v>8.5606488727822672E-3</v>
      </c>
      <c r="K990">
        <v>1</v>
      </c>
    </row>
    <row r="991" spans="1:11">
      <c r="A991" s="16">
        <v>43497</v>
      </c>
      <c r="B991" s="17" t="s">
        <v>992</v>
      </c>
      <c r="C991">
        <v>35535700</v>
      </c>
      <c r="D991">
        <f t="shared" si="30"/>
        <v>-1.5926204160644563E-2</v>
      </c>
      <c r="G991" s="17" t="s">
        <v>4877</v>
      </c>
      <c r="H991">
        <v>3759270000</v>
      </c>
      <c r="J991">
        <f t="shared" si="31"/>
        <v>8.9820634799684632E-4</v>
      </c>
      <c r="K991">
        <v>1</v>
      </c>
    </row>
    <row r="992" spans="1:11">
      <c r="A992" s="16">
        <v>43500</v>
      </c>
      <c r="B992" s="17" t="s">
        <v>993</v>
      </c>
      <c r="C992">
        <v>31315100</v>
      </c>
      <c r="D992">
        <f t="shared" si="30"/>
        <v>2.8392415073126512E-2</v>
      </c>
      <c r="G992" s="17" t="s">
        <v>4881</v>
      </c>
      <c r="H992">
        <v>3359840000</v>
      </c>
      <c r="J992">
        <f t="shared" si="31"/>
        <v>6.7533811583575356E-3</v>
      </c>
      <c r="K992">
        <v>1</v>
      </c>
    </row>
    <row r="993" spans="1:11">
      <c r="A993" s="16">
        <v>43501</v>
      </c>
      <c r="B993" s="17" t="s">
        <v>994</v>
      </c>
      <c r="C993">
        <v>27325400</v>
      </c>
      <c r="D993">
        <f t="shared" si="30"/>
        <v>1.3899597551624867E-2</v>
      </c>
      <c r="G993" s="17" t="s">
        <v>4885</v>
      </c>
      <c r="H993">
        <v>3560430000</v>
      </c>
      <c r="J993">
        <f t="shared" si="31"/>
        <v>4.6973704433800733E-3</v>
      </c>
      <c r="K993">
        <v>1</v>
      </c>
    </row>
    <row r="994" spans="1:11">
      <c r="A994" s="16">
        <v>43502</v>
      </c>
      <c r="B994" s="17" t="s">
        <v>961</v>
      </c>
      <c r="C994">
        <v>20609800</v>
      </c>
      <c r="D994">
        <f t="shared" si="30"/>
        <v>-1.1160699381283926E-2</v>
      </c>
      <c r="G994" s="17" t="s">
        <v>4889</v>
      </c>
      <c r="H994">
        <v>3472690000</v>
      </c>
      <c r="J994">
        <f t="shared" si="31"/>
        <v>-2.2269158091698551E-3</v>
      </c>
      <c r="K994">
        <v>1</v>
      </c>
    </row>
    <row r="995" spans="1:11">
      <c r="A995" s="16">
        <v>43503</v>
      </c>
      <c r="B995" s="17" t="s">
        <v>995</v>
      </c>
      <c r="C995">
        <v>29760700</v>
      </c>
      <c r="D995">
        <f t="shared" si="30"/>
        <v>-7.1936785138986417E-3</v>
      </c>
      <c r="G995" s="17" t="s">
        <v>4893</v>
      </c>
      <c r="H995">
        <v>4099490000</v>
      </c>
      <c r="J995">
        <f t="shared" si="31"/>
        <v>-9.4011929842732732E-3</v>
      </c>
      <c r="K995">
        <v>1</v>
      </c>
    </row>
    <row r="996" spans="1:11">
      <c r="A996" s="16">
        <v>43504</v>
      </c>
      <c r="B996" s="17" t="s">
        <v>996</v>
      </c>
      <c r="C996">
        <v>21461100</v>
      </c>
      <c r="D996">
        <f t="shared" si="30"/>
        <v>3.7926192729524424E-3</v>
      </c>
      <c r="G996" s="17" t="s">
        <v>4897</v>
      </c>
      <c r="H996">
        <v>3622330000</v>
      </c>
      <c r="J996">
        <f t="shared" si="31"/>
        <v>6.7597257174002051E-4</v>
      </c>
      <c r="K996">
        <v>1</v>
      </c>
    </row>
    <row r="997" spans="1:11">
      <c r="A997" s="16">
        <v>43507</v>
      </c>
      <c r="B997" s="17" t="s">
        <v>997</v>
      </c>
      <c r="C997">
        <v>18914100</v>
      </c>
      <c r="D997">
        <f t="shared" si="30"/>
        <v>-3.9826065882237801E-3</v>
      </c>
      <c r="G997" s="17" t="s">
        <v>4901</v>
      </c>
      <c r="H997">
        <v>3361970000</v>
      </c>
      <c r="J997">
        <f t="shared" si="31"/>
        <v>7.0885179800317334E-4</v>
      </c>
      <c r="K997">
        <v>1</v>
      </c>
    </row>
    <row r="998" spans="1:11">
      <c r="A998" s="16">
        <v>43508</v>
      </c>
      <c r="B998" s="17" t="s">
        <v>998</v>
      </c>
      <c r="C998">
        <v>25056600</v>
      </c>
      <c r="D998">
        <f t="shared" si="30"/>
        <v>1.5461862670405948E-2</v>
      </c>
      <c r="G998" s="17" t="s">
        <v>4904</v>
      </c>
      <c r="H998">
        <v>3827770000</v>
      </c>
      <c r="J998">
        <f t="shared" si="31"/>
        <v>1.2807852668629596E-2</v>
      </c>
      <c r="K998">
        <v>1</v>
      </c>
    </row>
    <row r="999" spans="1:11">
      <c r="A999" s="16">
        <v>43509</v>
      </c>
      <c r="B999" s="17" t="s">
        <v>999</v>
      </c>
      <c r="C999">
        <v>18394900</v>
      </c>
      <c r="D999">
        <f t="shared" si="30"/>
        <v>-7.4879308140887257E-4</v>
      </c>
      <c r="G999" s="17" t="s">
        <v>4907</v>
      </c>
      <c r="H999">
        <v>3670770000</v>
      </c>
      <c r="J999">
        <f t="shared" si="31"/>
        <v>3.0194316566570117E-3</v>
      </c>
      <c r="K999">
        <v>1</v>
      </c>
    </row>
    <row r="1000" spans="1:11">
      <c r="A1000" s="16">
        <v>43510</v>
      </c>
      <c r="B1000" s="17" t="s">
        <v>1000</v>
      </c>
      <c r="C1000">
        <v>21784700</v>
      </c>
      <c r="D1000">
        <f t="shared" si="30"/>
        <v>8.4226237685855378E-4</v>
      </c>
      <c r="G1000" s="17" t="s">
        <v>4911</v>
      </c>
      <c r="H1000">
        <v>3836700000</v>
      </c>
      <c r="J1000">
        <f t="shared" si="31"/>
        <v>-2.6551634465824207E-3</v>
      </c>
      <c r="K1000">
        <v>1</v>
      </c>
    </row>
    <row r="1001" spans="1:11">
      <c r="A1001" s="16">
        <v>43511</v>
      </c>
      <c r="B1001" s="17" t="s">
        <v>1001</v>
      </c>
      <c r="C1001">
        <v>26606900</v>
      </c>
      <c r="D1001">
        <f t="shared" si="30"/>
        <v>1.2272397527564004E-2</v>
      </c>
      <c r="G1001" s="17" t="s">
        <v>4913</v>
      </c>
      <c r="H1001">
        <v>3641370000</v>
      </c>
      <c r="J1001">
        <f t="shared" si="31"/>
        <v>1.0820004959524163E-2</v>
      </c>
      <c r="K1001">
        <v>1</v>
      </c>
    </row>
    <row r="1002" spans="1:11">
      <c r="A1002" s="16">
        <v>43515</v>
      </c>
      <c r="B1002" s="17" t="s">
        <v>1002</v>
      </c>
      <c r="C1002">
        <v>18038500</v>
      </c>
      <c r="D1002">
        <f t="shared" si="30"/>
        <v>-4.6208853994775045E-4</v>
      </c>
      <c r="G1002" s="17" t="s">
        <v>4916</v>
      </c>
      <c r="H1002">
        <v>3533710000</v>
      </c>
      <c r="J1002">
        <f t="shared" si="31"/>
        <v>1.4976212870598132E-3</v>
      </c>
      <c r="K1002">
        <v>1</v>
      </c>
    </row>
    <row r="1003" spans="1:11">
      <c r="A1003" s="16">
        <v>43516</v>
      </c>
      <c r="B1003" s="17" t="s">
        <v>1003</v>
      </c>
      <c r="C1003">
        <v>21607700</v>
      </c>
      <c r="D1003">
        <f t="shared" si="30"/>
        <v>-5.2127214461200038E-3</v>
      </c>
      <c r="G1003" s="17" t="s">
        <v>4919</v>
      </c>
      <c r="H1003">
        <v>3835450000</v>
      </c>
      <c r="J1003">
        <f t="shared" si="31"/>
        <v>1.7755334147048199E-3</v>
      </c>
      <c r="K1003">
        <v>1</v>
      </c>
    </row>
    <row r="1004" spans="1:11">
      <c r="A1004" s="16">
        <v>43517</v>
      </c>
      <c r="B1004" s="17" t="s">
        <v>1004</v>
      </c>
      <c r="C1004">
        <v>29063200</v>
      </c>
      <c r="D1004">
        <f t="shared" si="30"/>
        <v>2.0872670526766661E-2</v>
      </c>
      <c r="G1004" s="17" t="s">
        <v>4923</v>
      </c>
      <c r="H1004">
        <v>3559710000</v>
      </c>
      <c r="J1004">
        <f t="shared" si="31"/>
        <v>-3.5326691965497301E-3</v>
      </c>
      <c r="K1004">
        <v>1</v>
      </c>
    </row>
    <row r="1005" spans="1:11">
      <c r="A1005" s="16">
        <v>43518</v>
      </c>
      <c r="B1005" s="17" t="s">
        <v>1005</v>
      </c>
      <c r="C1005">
        <v>27763200</v>
      </c>
      <c r="D1005">
        <f t="shared" si="30"/>
        <v>1.4157501092124533E-2</v>
      </c>
      <c r="G1005" s="17" t="s">
        <v>4927</v>
      </c>
      <c r="H1005">
        <v>3427810000</v>
      </c>
      <c r="J1005">
        <f t="shared" si="31"/>
        <v>6.3906386718998974E-3</v>
      </c>
      <c r="K1005">
        <v>1</v>
      </c>
    </row>
    <row r="1006" spans="1:11">
      <c r="A1006" s="16">
        <v>43521</v>
      </c>
      <c r="B1006" s="17" t="s">
        <v>1006</v>
      </c>
      <c r="C1006">
        <v>23750600</v>
      </c>
      <c r="D1006">
        <f t="shared" si="30"/>
        <v>5.5715171050478617E-3</v>
      </c>
      <c r="G1006" s="17" t="s">
        <v>4930</v>
      </c>
      <c r="H1006">
        <v>3804380000</v>
      </c>
      <c r="J1006">
        <f t="shared" si="31"/>
        <v>1.2311042541125103E-3</v>
      </c>
      <c r="K1006">
        <v>1</v>
      </c>
    </row>
    <row r="1007" spans="1:11">
      <c r="A1007" s="16">
        <v>43522</v>
      </c>
      <c r="B1007" s="17" t="s">
        <v>1007</v>
      </c>
      <c r="C1007">
        <v>21536700</v>
      </c>
      <c r="D1007">
        <f t="shared" si="30"/>
        <v>6.8765850162755653E-3</v>
      </c>
      <c r="G1007" s="17" t="s">
        <v>4934</v>
      </c>
      <c r="H1007">
        <v>3645680000</v>
      </c>
      <c r="J1007">
        <f t="shared" si="31"/>
        <v>-7.9076964499687761E-4</v>
      </c>
      <c r="K1007">
        <v>1</v>
      </c>
    </row>
    <row r="1008" spans="1:11">
      <c r="A1008" s="16">
        <v>43523</v>
      </c>
      <c r="B1008" s="17" t="s">
        <v>1008</v>
      </c>
      <c r="C1008">
        <v>21487100</v>
      </c>
      <c r="D1008">
        <f t="shared" si="30"/>
        <v>-1.6924606031482603E-3</v>
      </c>
      <c r="G1008" s="17" t="s">
        <v>4938</v>
      </c>
      <c r="H1008">
        <v>3767130000</v>
      </c>
      <c r="J1008">
        <f t="shared" si="31"/>
        <v>-5.4419724611520835E-4</v>
      </c>
      <c r="K1008">
        <v>1</v>
      </c>
    </row>
    <row r="1009" spans="1:11">
      <c r="A1009" s="16">
        <v>43524</v>
      </c>
      <c r="B1009" s="17" t="s">
        <v>1009</v>
      </c>
      <c r="C1009">
        <v>29083900</v>
      </c>
      <c r="D1009">
        <f t="shared" si="30"/>
        <v>-1.248849826953407E-3</v>
      </c>
      <c r="G1009" s="17" t="s">
        <v>4942</v>
      </c>
      <c r="H1009">
        <v>4396930000</v>
      </c>
      <c r="J1009">
        <f t="shared" si="31"/>
        <v>-2.8295077502691829E-3</v>
      </c>
      <c r="K1009">
        <v>1</v>
      </c>
    </row>
    <row r="1010" spans="1:11">
      <c r="A1010" s="16">
        <v>43525</v>
      </c>
      <c r="B1010" s="17" t="s">
        <v>1010</v>
      </c>
      <c r="C1010">
        <v>23501200</v>
      </c>
      <c r="D1010">
        <f t="shared" si="30"/>
        <v>4.4532134627436543E-3</v>
      </c>
      <c r="G1010" s="17" t="s">
        <v>4946</v>
      </c>
      <c r="H1010">
        <v>3972280000</v>
      </c>
      <c r="J1010">
        <f t="shared" si="31"/>
        <v>6.8716565279864465E-3</v>
      </c>
      <c r="K1010">
        <v>1</v>
      </c>
    </row>
    <row r="1011" spans="1:11">
      <c r="A1011" s="16">
        <v>43528</v>
      </c>
      <c r="B1011" s="17" t="s">
        <v>1011</v>
      </c>
      <c r="C1011">
        <v>26608000</v>
      </c>
      <c r="D1011">
        <f t="shared" si="30"/>
        <v>-2.40229379782103E-3</v>
      </c>
      <c r="G1011" s="17" t="s">
        <v>4950</v>
      </c>
      <c r="H1011">
        <v>3919810000</v>
      </c>
      <c r="J1011">
        <f t="shared" si="31"/>
        <v>-3.8881071048939902E-3</v>
      </c>
      <c r="K1011">
        <v>1</v>
      </c>
    </row>
    <row r="1012" spans="1:11">
      <c r="A1012" s="16">
        <v>43529</v>
      </c>
      <c r="B1012" s="17" t="s">
        <v>1012</v>
      </c>
      <c r="C1012">
        <v>19538300</v>
      </c>
      <c r="D1012">
        <f t="shared" si="30"/>
        <v>-5.0009794976038704E-3</v>
      </c>
      <c r="G1012" s="17" t="s">
        <v>4954</v>
      </c>
      <c r="H1012">
        <v>3585690000</v>
      </c>
      <c r="J1012">
        <f t="shared" si="31"/>
        <v>-1.1321737583929806E-3</v>
      </c>
      <c r="K1012">
        <v>1</v>
      </c>
    </row>
    <row r="1013" spans="1:11">
      <c r="A1013" s="16">
        <v>43530</v>
      </c>
      <c r="B1013" s="17" t="s">
        <v>1013</v>
      </c>
      <c r="C1013">
        <v>17687000</v>
      </c>
      <c r="D1013">
        <f t="shared" si="30"/>
        <v>4.4759900433401554E-4</v>
      </c>
      <c r="G1013" s="17" t="s">
        <v>4957</v>
      </c>
      <c r="H1013">
        <v>3786600000</v>
      </c>
      <c r="J1013">
        <f t="shared" si="31"/>
        <v>-6.5454735429180165E-3</v>
      </c>
      <c r="K1013">
        <v>1</v>
      </c>
    </row>
    <row r="1014" spans="1:11">
      <c r="A1014" s="16">
        <v>43531</v>
      </c>
      <c r="B1014" s="17" t="s">
        <v>1014</v>
      </c>
      <c r="C1014">
        <v>25339000</v>
      </c>
      <c r="D1014">
        <f t="shared" si="30"/>
        <v>-1.22447353673208E-2</v>
      </c>
      <c r="G1014" s="17" t="s">
        <v>4961</v>
      </c>
      <c r="H1014">
        <v>3904860000</v>
      </c>
      <c r="J1014">
        <f t="shared" si="31"/>
        <v>-8.1589109455821977E-3</v>
      </c>
      <c r="K1014">
        <v>1</v>
      </c>
    </row>
    <row r="1015" spans="1:11">
      <c r="A1015" s="16">
        <v>43532</v>
      </c>
      <c r="B1015" s="17" t="s">
        <v>1015</v>
      </c>
      <c r="C1015">
        <v>22818400</v>
      </c>
      <c r="D1015">
        <f t="shared" si="30"/>
        <v>1.0865099212928439E-3</v>
      </c>
      <c r="G1015" s="17" t="s">
        <v>4965</v>
      </c>
      <c r="H1015">
        <v>3423130000</v>
      </c>
      <c r="J1015">
        <f t="shared" si="31"/>
        <v>-2.1339643931983471E-3</v>
      </c>
      <c r="K1015">
        <v>1</v>
      </c>
    </row>
    <row r="1016" spans="1:11">
      <c r="A1016" s="16">
        <v>43535</v>
      </c>
      <c r="B1016" s="17" t="s">
        <v>1016</v>
      </c>
      <c r="C1016">
        <v>26491600</v>
      </c>
      <c r="D1016">
        <f t="shared" si="30"/>
        <v>2.0776293165032076E-2</v>
      </c>
      <c r="G1016" s="17" t="s">
        <v>4968</v>
      </c>
      <c r="H1016">
        <v>3749030000</v>
      </c>
      <c r="J1016">
        <f t="shared" si="31"/>
        <v>1.4559535756253676E-2</v>
      </c>
      <c r="K1016">
        <v>1</v>
      </c>
    </row>
    <row r="1017" spans="1:11">
      <c r="A1017" s="16">
        <v>43536</v>
      </c>
      <c r="B1017" s="17" t="s">
        <v>1017</v>
      </c>
      <c r="C1017">
        <v>26132700</v>
      </c>
      <c r="D1017">
        <f t="shared" si="30"/>
        <v>6.9772383400327183E-3</v>
      </c>
      <c r="G1017" s="17" t="s">
        <v>4972</v>
      </c>
      <c r="H1017">
        <v>3414230000</v>
      </c>
      <c r="J1017">
        <f t="shared" si="31"/>
        <v>2.9489658339722198E-3</v>
      </c>
      <c r="K1017">
        <v>1</v>
      </c>
    </row>
    <row r="1018" spans="1:11">
      <c r="A1018" s="16">
        <v>43537</v>
      </c>
      <c r="B1018" s="17" t="s">
        <v>1018</v>
      </c>
      <c r="C1018">
        <v>35513800</v>
      </c>
      <c r="D1018">
        <f t="shared" si="30"/>
        <v>7.7152572899886187E-3</v>
      </c>
      <c r="G1018" s="17" t="s">
        <v>4975</v>
      </c>
      <c r="H1018">
        <v>3766150000</v>
      </c>
      <c r="J1018">
        <f t="shared" si="31"/>
        <v>6.9255466335695331E-3</v>
      </c>
      <c r="K1018">
        <v>1</v>
      </c>
    </row>
    <row r="1019" spans="1:11">
      <c r="A1019" s="16">
        <v>43538</v>
      </c>
      <c r="B1019" s="17" t="s">
        <v>1019</v>
      </c>
      <c r="C1019">
        <v>30763400</v>
      </c>
      <c r="D1019">
        <f t="shared" si="30"/>
        <v>7.8569275147172355E-4</v>
      </c>
      <c r="G1019" s="17" t="s">
        <v>4979</v>
      </c>
      <c r="H1019">
        <v>3469730000</v>
      </c>
      <c r="J1019">
        <f t="shared" si="31"/>
        <v>-8.6839954297083632E-4</v>
      </c>
      <c r="K1019">
        <v>1</v>
      </c>
    </row>
    <row r="1020" spans="1:11">
      <c r="A1020" s="16">
        <v>43539</v>
      </c>
      <c r="B1020" s="17" t="s">
        <v>1020</v>
      </c>
      <c r="C1020">
        <v>54681100</v>
      </c>
      <c r="D1020">
        <f t="shared" si="30"/>
        <v>1.145356095857537E-2</v>
      </c>
      <c r="G1020" s="17" t="s">
        <v>4982</v>
      </c>
      <c r="H1020">
        <v>5962730000</v>
      </c>
      <c r="J1020">
        <f t="shared" si="31"/>
        <v>4.9725194092585948E-3</v>
      </c>
      <c r="K1020">
        <v>1</v>
      </c>
    </row>
    <row r="1021" spans="1:11">
      <c r="A1021" s="16">
        <v>43542</v>
      </c>
      <c r="B1021" s="17" t="s">
        <v>1021</v>
      </c>
      <c r="C1021">
        <v>31207600</v>
      </c>
      <c r="D1021">
        <f t="shared" si="30"/>
        <v>1.4219777904738324E-2</v>
      </c>
      <c r="G1021" s="17" t="s">
        <v>4986</v>
      </c>
      <c r="H1021">
        <v>3552190000</v>
      </c>
      <c r="J1021">
        <f t="shared" si="31"/>
        <v>3.6990968215831286E-3</v>
      </c>
      <c r="K1021">
        <v>1</v>
      </c>
    </row>
    <row r="1022" spans="1:11">
      <c r="A1022" s="16">
        <v>43543</v>
      </c>
      <c r="B1022" s="17" t="s">
        <v>1022</v>
      </c>
      <c r="C1022">
        <v>37588700</v>
      </c>
      <c r="D1022">
        <f t="shared" si="30"/>
        <v>6.8029725095035778E-4</v>
      </c>
      <c r="G1022" s="17" t="s">
        <v>4990</v>
      </c>
      <c r="H1022">
        <v>3620220000</v>
      </c>
      <c r="J1022">
        <f t="shared" si="31"/>
        <v>-1.3057006339693318E-4</v>
      </c>
      <c r="K1022">
        <v>1</v>
      </c>
    </row>
    <row r="1023" spans="1:11">
      <c r="A1023" s="16">
        <v>43544</v>
      </c>
      <c r="B1023" s="17" t="s">
        <v>1023</v>
      </c>
      <c r="C1023">
        <v>28113300</v>
      </c>
      <c r="D1023">
        <f t="shared" si="30"/>
        <v>-1.1055963880726226E-3</v>
      </c>
      <c r="G1023" s="17" t="s">
        <v>4994</v>
      </c>
      <c r="H1023">
        <v>3771200000</v>
      </c>
      <c r="J1023">
        <f t="shared" si="31"/>
        <v>-2.9486967798716163E-3</v>
      </c>
      <c r="K1023">
        <v>1</v>
      </c>
    </row>
    <row r="1024" spans="1:11">
      <c r="A1024" s="16">
        <v>43545</v>
      </c>
      <c r="B1024" s="17" t="s">
        <v>1024</v>
      </c>
      <c r="C1024">
        <v>29854400</v>
      </c>
      <c r="D1024">
        <f t="shared" si="30"/>
        <v>2.2714909232914884E-2</v>
      </c>
      <c r="G1024" s="17" t="s">
        <v>4998</v>
      </c>
      <c r="H1024">
        <v>3546800000</v>
      </c>
      <c r="J1024">
        <f t="shared" si="31"/>
        <v>1.0794015726340716E-2</v>
      </c>
      <c r="K1024">
        <v>1</v>
      </c>
    </row>
    <row r="1025" spans="1:11">
      <c r="A1025" s="16">
        <v>43546</v>
      </c>
      <c r="B1025" s="17" t="s">
        <v>1025</v>
      </c>
      <c r="C1025">
        <v>33624500</v>
      </c>
      <c r="D1025">
        <f t="shared" si="30"/>
        <v>-2.6722283374531801E-2</v>
      </c>
      <c r="G1025" s="17" t="s">
        <v>5002</v>
      </c>
      <c r="H1025">
        <v>4237200000</v>
      </c>
      <c r="J1025">
        <f t="shared" si="31"/>
        <v>-1.9156827177634429E-2</v>
      </c>
      <c r="K1025">
        <v>1</v>
      </c>
    </row>
    <row r="1026" spans="1:11">
      <c r="A1026" s="16">
        <v>43549</v>
      </c>
      <c r="B1026" s="17" t="s">
        <v>1026</v>
      </c>
      <c r="C1026">
        <v>27067100</v>
      </c>
      <c r="D1026">
        <f t="shared" si="30"/>
        <v>5.1980558872766263E-3</v>
      </c>
      <c r="G1026" s="17" t="s">
        <v>5006</v>
      </c>
      <c r="H1026">
        <v>3376580000</v>
      </c>
      <c r="J1026">
        <f t="shared" si="31"/>
        <v>-8.3937300638372073E-4</v>
      </c>
      <c r="K1026">
        <v>1</v>
      </c>
    </row>
    <row r="1027" spans="1:11">
      <c r="A1027" s="16">
        <v>43550</v>
      </c>
      <c r="B1027" s="17" t="s">
        <v>1027</v>
      </c>
      <c r="C1027">
        <v>26097700</v>
      </c>
      <c r="D1027">
        <f t="shared" si="30"/>
        <v>2.1223697924520526E-3</v>
      </c>
      <c r="G1027" s="17" t="s">
        <v>5010</v>
      </c>
      <c r="H1027">
        <v>3266050000</v>
      </c>
      <c r="J1027">
        <f t="shared" si="31"/>
        <v>7.157053120867043E-3</v>
      </c>
      <c r="K1027">
        <v>1</v>
      </c>
    </row>
    <row r="1028" spans="1:11">
      <c r="A1028" s="16">
        <v>43551</v>
      </c>
      <c r="B1028" s="17" t="s">
        <v>1028</v>
      </c>
      <c r="C1028">
        <v>22733400</v>
      </c>
      <c r="D1028">
        <f t="shared" si="30"/>
        <v>-9.7155027194529512E-3</v>
      </c>
      <c r="G1028" s="17" t="s">
        <v>5013</v>
      </c>
      <c r="H1028">
        <v>3372930000</v>
      </c>
      <c r="J1028">
        <f t="shared" si="31"/>
        <v>-4.6551433656102856E-3</v>
      </c>
      <c r="K1028">
        <v>1</v>
      </c>
    </row>
    <row r="1029" spans="1:11">
      <c r="A1029" s="16">
        <v>43552</v>
      </c>
      <c r="B1029" s="17" t="s">
        <v>1029</v>
      </c>
      <c r="C1029">
        <v>18334800</v>
      </c>
      <c r="D1029">
        <f t="shared" ref="D1029:D1092" si="32">LN(B1029/B1028)</f>
        <v>1.3693660645596433E-3</v>
      </c>
      <c r="G1029" s="17" t="s">
        <v>5017</v>
      </c>
      <c r="H1029">
        <v>3158170000</v>
      </c>
      <c r="J1029">
        <f t="shared" ref="J1029:J1092" si="33">LN(G1029/G1028)</f>
        <v>3.5830546378041632E-3</v>
      </c>
      <c r="K1029">
        <v>1</v>
      </c>
    </row>
    <row r="1030" spans="1:11">
      <c r="A1030" s="16">
        <v>43553</v>
      </c>
      <c r="B1030" s="17" t="s">
        <v>1030</v>
      </c>
      <c r="C1030">
        <v>25399800</v>
      </c>
      <c r="D1030">
        <f t="shared" si="32"/>
        <v>8.6006106923002344E-3</v>
      </c>
      <c r="G1030" s="17" t="s">
        <v>5021</v>
      </c>
      <c r="H1030">
        <v>3740700000</v>
      </c>
      <c r="J1030">
        <f t="shared" si="33"/>
        <v>6.7117060663404718E-3</v>
      </c>
      <c r="K1030">
        <v>1</v>
      </c>
    </row>
    <row r="1031" spans="1:11">
      <c r="A1031" s="16">
        <v>43556</v>
      </c>
      <c r="B1031" s="17" t="s">
        <v>1031</v>
      </c>
      <c r="C1031">
        <v>22789100</v>
      </c>
      <c r="D1031">
        <f t="shared" si="32"/>
        <v>9.1155037198726897E-3</v>
      </c>
      <c r="G1031" s="17" t="s">
        <v>5024</v>
      </c>
      <c r="H1031">
        <v>3500760000</v>
      </c>
      <c r="J1031">
        <f t="shared" si="33"/>
        <v>1.1502195497633143E-2</v>
      </c>
      <c r="K1031">
        <v>1</v>
      </c>
    </row>
    <row r="1032" spans="1:11">
      <c r="A1032" s="16">
        <v>43557</v>
      </c>
      <c r="B1032" s="17" t="s">
        <v>1032</v>
      </c>
      <c r="C1032">
        <v>18142300</v>
      </c>
      <c r="D1032">
        <f t="shared" si="32"/>
        <v>1.4272938289068599E-3</v>
      </c>
      <c r="G1032" s="17" t="s">
        <v>5028</v>
      </c>
      <c r="H1032">
        <v>3246900000</v>
      </c>
      <c r="J1032">
        <f t="shared" si="33"/>
        <v>1.7455614805152729E-5</v>
      </c>
      <c r="K1032">
        <v>1</v>
      </c>
    </row>
    <row r="1033" spans="1:11">
      <c r="A1033" s="16">
        <v>43558</v>
      </c>
      <c r="B1033" s="17" t="s">
        <v>1033</v>
      </c>
      <c r="C1033">
        <v>22860700</v>
      </c>
      <c r="D1033">
        <f t="shared" si="32"/>
        <v>6.5229131278463992E-3</v>
      </c>
      <c r="G1033" s="17" t="s">
        <v>5032</v>
      </c>
      <c r="H1033">
        <v>3550240000</v>
      </c>
      <c r="J1033">
        <f t="shared" si="33"/>
        <v>2.1460723821998496E-3</v>
      </c>
      <c r="K1033">
        <v>1</v>
      </c>
    </row>
    <row r="1034" spans="1:11">
      <c r="A1034" s="16">
        <v>43559</v>
      </c>
      <c r="B1034" s="17" t="s">
        <v>1034</v>
      </c>
      <c r="C1034">
        <v>20112800</v>
      </c>
      <c r="D1034">
        <f t="shared" si="32"/>
        <v>-5.097585652567912E-3</v>
      </c>
      <c r="G1034" s="17" t="s">
        <v>5036</v>
      </c>
      <c r="H1034">
        <v>3015180000</v>
      </c>
      <c r="J1034">
        <f t="shared" si="33"/>
        <v>2.0824655091414477E-3</v>
      </c>
      <c r="K1034">
        <v>1</v>
      </c>
    </row>
    <row r="1035" spans="1:11">
      <c r="A1035" s="16">
        <v>43560</v>
      </c>
      <c r="B1035" s="17" t="s">
        <v>1035</v>
      </c>
      <c r="C1035">
        <v>15826200</v>
      </c>
      <c r="D1035">
        <f t="shared" si="32"/>
        <v>4.4304485224133374E-3</v>
      </c>
      <c r="G1035" s="17" t="s">
        <v>5040</v>
      </c>
      <c r="H1035">
        <v>3146820000</v>
      </c>
      <c r="J1035">
        <f t="shared" si="33"/>
        <v>4.6257173955618269E-3</v>
      </c>
      <c r="K1035">
        <v>1</v>
      </c>
    </row>
    <row r="1036" spans="1:11">
      <c r="A1036" s="16">
        <v>43563</v>
      </c>
      <c r="B1036" s="17" t="s">
        <v>1036</v>
      </c>
      <c r="C1036">
        <v>15116200</v>
      </c>
      <c r="D1036">
        <f t="shared" si="32"/>
        <v>3.3356083519422633E-4</v>
      </c>
      <c r="G1036" s="17" t="s">
        <v>4518</v>
      </c>
      <c r="H1036">
        <v>3054030000</v>
      </c>
      <c r="J1036">
        <f t="shared" si="33"/>
        <v>1.0469119934194092E-3</v>
      </c>
      <c r="K1036">
        <v>1</v>
      </c>
    </row>
    <row r="1037" spans="1:11">
      <c r="A1037" s="16">
        <v>43564</v>
      </c>
      <c r="B1037" s="17" t="s">
        <v>1037</v>
      </c>
      <c r="C1037">
        <v>17612000</v>
      </c>
      <c r="D1037">
        <f t="shared" si="32"/>
        <v>-5.4346165643333619E-3</v>
      </c>
      <c r="G1037" s="17" t="s">
        <v>5047</v>
      </c>
      <c r="H1037">
        <v>3007980000</v>
      </c>
      <c r="J1037">
        <f t="shared" si="33"/>
        <v>-6.0859766572597465E-3</v>
      </c>
      <c r="K1037">
        <v>1</v>
      </c>
    </row>
    <row r="1038" spans="1:11">
      <c r="A1038" s="16">
        <v>43565</v>
      </c>
      <c r="B1038" s="17" t="s">
        <v>1038</v>
      </c>
      <c r="C1038">
        <v>16477200</v>
      </c>
      <c r="D1038">
        <f t="shared" si="32"/>
        <v>7.6002860074552434E-3</v>
      </c>
      <c r="G1038" s="17" t="s">
        <v>5051</v>
      </c>
      <c r="H1038">
        <v>3062380000</v>
      </c>
      <c r="J1038">
        <f t="shared" si="33"/>
        <v>3.4718378358556752E-3</v>
      </c>
      <c r="K1038">
        <v>1</v>
      </c>
    </row>
    <row r="1039" spans="1:11">
      <c r="A1039" s="16">
        <v>43566</v>
      </c>
      <c r="B1039" s="17" t="s">
        <v>1039</v>
      </c>
      <c r="C1039">
        <v>14209100</v>
      </c>
      <c r="D1039">
        <f t="shared" si="32"/>
        <v>1.1641115785022439E-3</v>
      </c>
      <c r="G1039" s="17" t="s">
        <v>5055</v>
      </c>
      <c r="H1039">
        <v>2938540000</v>
      </c>
      <c r="J1039">
        <f t="shared" si="33"/>
        <v>3.8122194279549383E-5</v>
      </c>
      <c r="K1039">
        <v>1</v>
      </c>
    </row>
    <row r="1040" spans="1:11">
      <c r="A1040" s="16">
        <v>43567</v>
      </c>
      <c r="B1040" s="17" t="s">
        <v>1040</v>
      </c>
      <c r="C1040">
        <v>19745100</v>
      </c>
      <c r="D1040">
        <f t="shared" si="32"/>
        <v>5.139233892480599E-3</v>
      </c>
      <c r="G1040" s="17" t="s">
        <v>5058</v>
      </c>
      <c r="H1040">
        <v>3688490000</v>
      </c>
      <c r="J1040">
        <f t="shared" si="33"/>
        <v>6.5875784763498937E-3</v>
      </c>
      <c r="K1040">
        <v>1</v>
      </c>
    </row>
    <row r="1041" spans="1:11">
      <c r="A1041" s="16">
        <v>43570</v>
      </c>
      <c r="B1041" s="17" t="s">
        <v>1041</v>
      </c>
      <c r="C1041">
        <v>15792600</v>
      </c>
      <c r="D1041">
        <f t="shared" si="32"/>
        <v>8.2651150532387166E-4</v>
      </c>
      <c r="G1041" s="17" t="s">
        <v>5062</v>
      </c>
      <c r="H1041">
        <v>3088330000</v>
      </c>
      <c r="J1041">
        <f t="shared" si="33"/>
        <v>-6.2956724975841256E-4</v>
      </c>
      <c r="K1041">
        <v>1</v>
      </c>
    </row>
    <row r="1042" spans="1:11">
      <c r="A1042" s="16">
        <v>43571</v>
      </c>
      <c r="B1042" s="17" t="s">
        <v>1042</v>
      </c>
      <c r="C1042">
        <v>14071800</v>
      </c>
      <c r="D1042">
        <f t="shared" si="32"/>
        <v>-2.3158417645469166E-3</v>
      </c>
      <c r="G1042" s="17" t="s">
        <v>5066</v>
      </c>
      <c r="H1042">
        <v>3402210000</v>
      </c>
      <c r="J1042">
        <f t="shared" si="33"/>
        <v>5.0922850790659593E-4</v>
      </c>
      <c r="K1042">
        <v>1</v>
      </c>
    </row>
    <row r="1043" spans="1:11">
      <c r="A1043" s="16">
        <v>43572</v>
      </c>
      <c r="B1043" s="17" t="s">
        <v>1043</v>
      </c>
      <c r="C1043">
        <v>19300900</v>
      </c>
      <c r="D1043">
        <f t="shared" si="32"/>
        <v>8.2461414361071957E-3</v>
      </c>
      <c r="G1043" s="17" t="s">
        <v>5070</v>
      </c>
      <c r="H1043">
        <v>3602300000</v>
      </c>
      <c r="J1043">
        <f t="shared" si="33"/>
        <v>-2.2764010197428661E-3</v>
      </c>
      <c r="K1043">
        <v>1</v>
      </c>
    </row>
    <row r="1044" spans="1:11">
      <c r="A1044" s="16">
        <v>43573</v>
      </c>
      <c r="B1044" s="17" t="s">
        <v>1044</v>
      </c>
      <c r="C1044">
        <v>27991000</v>
      </c>
      <c r="D1044">
        <f t="shared" si="32"/>
        <v>1.3053963226159674E-2</v>
      </c>
      <c r="G1044" s="17" t="s">
        <v>5074</v>
      </c>
      <c r="H1044">
        <v>3506850000</v>
      </c>
      <c r="J1044">
        <f t="shared" si="33"/>
        <v>1.5778467813143168E-3</v>
      </c>
      <c r="K1044">
        <v>1</v>
      </c>
    </row>
    <row r="1045" spans="1:11">
      <c r="A1045" s="16">
        <v>43577</v>
      </c>
      <c r="B1045" s="17" t="s">
        <v>1045</v>
      </c>
      <c r="C1045">
        <v>15648700</v>
      </c>
      <c r="D1045">
        <f t="shared" si="32"/>
        <v>3.1561997667035576E-3</v>
      </c>
      <c r="G1045" s="17" t="s">
        <v>5078</v>
      </c>
      <c r="H1045">
        <v>2997950000</v>
      </c>
      <c r="J1045">
        <f t="shared" si="33"/>
        <v>1.0115060212163732E-3</v>
      </c>
      <c r="K1045">
        <v>1</v>
      </c>
    </row>
    <row r="1046" spans="1:11">
      <c r="A1046" s="16">
        <v>43578</v>
      </c>
      <c r="B1046" s="17" t="s">
        <v>1046</v>
      </c>
      <c r="C1046">
        <v>24025500</v>
      </c>
      <c r="D1046">
        <f t="shared" si="32"/>
        <v>1.3483432792680057E-2</v>
      </c>
      <c r="G1046" s="17" t="s">
        <v>5082</v>
      </c>
      <c r="H1046">
        <v>3635030000</v>
      </c>
      <c r="J1046">
        <f t="shared" si="33"/>
        <v>8.8023511954049213E-3</v>
      </c>
      <c r="K1046">
        <v>1</v>
      </c>
    </row>
    <row r="1047" spans="1:11">
      <c r="A1047" s="16">
        <v>43579</v>
      </c>
      <c r="B1047" s="17" t="s">
        <v>1047</v>
      </c>
      <c r="C1047">
        <v>31257000</v>
      </c>
      <c r="D1047">
        <f t="shared" si="32"/>
        <v>-3.4338212486964871E-3</v>
      </c>
      <c r="G1047" s="17" t="s">
        <v>5086</v>
      </c>
      <c r="H1047">
        <v>3448960000</v>
      </c>
      <c r="J1047">
        <f t="shared" si="33"/>
        <v>-2.1941687255359523E-3</v>
      </c>
      <c r="K1047">
        <v>1</v>
      </c>
    </row>
    <row r="1048" spans="1:11">
      <c r="A1048" s="16">
        <v>43580</v>
      </c>
      <c r="B1048" s="17" t="s">
        <v>1048</v>
      </c>
      <c r="C1048">
        <v>38033900</v>
      </c>
      <c r="D1048">
        <f t="shared" si="32"/>
        <v>3.2580700761257748E-2</v>
      </c>
      <c r="G1048" s="17" t="s">
        <v>5090</v>
      </c>
      <c r="H1048">
        <v>3425280000</v>
      </c>
      <c r="J1048">
        <f t="shared" si="33"/>
        <v>-3.6904169755480962E-4</v>
      </c>
      <c r="K1048">
        <v>1</v>
      </c>
    </row>
    <row r="1049" spans="1:11">
      <c r="A1049" s="16">
        <v>43581</v>
      </c>
      <c r="B1049" s="17" t="s">
        <v>1049</v>
      </c>
      <c r="C1049">
        <v>23654900</v>
      </c>
      <c r="D1049">
        <f t="shared" si="32"/>
        <v>5.7133784587545793E-3</v>
      </c>
      <c r="G1049" s="17" t="s">
        <v>5092</v>
      </c>
      <c r="H1049">
        <v>3248500000</v>
      </c>
      <c r="J1049">
        <f t="shared" si="33"/>
        <v>4.6743503443650017E-3</v>
      </c>
      <c r="K1049">
        <v>1</v>
      </c>
    </row>
    <row r="1050" spans="1:11">
      <c r="A1050" s="16">
        <v>43584</v>
      </c>
      <c r="B1050" s="17" t="s">
        <v>1050</v>
      </c>
      <c r="C1050">
        <v>16324200</v>
      </c>
      <c r="D1050">
        <f t="shared" si="32"/>
        <v>-9.2421499564292165E-4</v>
      </c>
      <c r="G1050" s="17" t="s">
        <v>5097</v>
      </c>
      <c r="H1050">
        <v>3118780000</v>
      </c>
      <c r="J1050">
        <f t="shared" si="33"/>
        <v>1.0709483395819413E-3</v>
      </c>
      <c r="K1050">
        <v>1</v>
      </c>
    </row>
    <row r="1051" spans="1:11">
      <c r="A1051" s="16">
        <v>43585</v>
      </c>
      <c r="B1051" s="17" t="s">
        <v>1051</v>
      </c>
      <c r="C1051">
        <v>24166500</v>
      </c>
      <c r="D1051">
        <f t="shared" si="32"/>
        <v>6.3756106541942789E-3</v>
      </c>
      <c r="G1051" s="17" t="s">
        <v>5101</v>
      </c>
      <c r="H1051">
        <v>3919330000</v>
      </c>
      <c r="J1051">
        <f t="shared" si="33"/>
        <v>9.5096475723260637E-4</v>
      </c>
      <c r="K1051">
        <v>1</v>
      </c>
    </row>
    <row r="1052" spans="1:11">
      <c r="A1052" s="16">
        <v>43586</v>
      </c>
      <c r="B1052" s="17" t="s">
        <v>1052</v>
      </c>
      <c r="C1052">
        <v>26821700</v>
      </c>
      <c r="D1052">
        <f t="shared" si="32"/>
        <v>-2.1046981241103924E-2</v>
      </c>
      <c r="G1052" s="17" t="s">
        <v>5105</v>
      </c>
      <c r="H1052">
        <v>3645850000</v>
      </c>
      <c r="J1052">
        <f t="shared" si="33"/>
        <v>-7.5304459681844182E-3</v>
      </c>
      <c r="K1052">
        <v>1</v>
      </c>
    </row>
    <row r="1053" spans="1:11">
      <c r="A1053" s="16">
        <v>43587</v>
      </c>
      <c r="B1053" s="17" t="s">
        <v>1053</v>
      </c>
      <c r="C1053">
        <v>27350200</v>
      </c>
      <c r="D1053">
        <f t="shared" si="32"/>
        <v>-1.3145135115523997E-2</v>
      </c>
      <c r="G1053" s="17" t="s">
        <v>5109</v>
      </c>
      <c r="H1053">
        <v>3778890000</v>
      </c>
      <c r="J1053">
        <f t="shared" si="33"/>
        <v>-2.1262443276895597E-3</v>
      </c>
      <c r="K1053">
        <v>1</v>
      </c>
    </row>
    <row r="1054" spans="1:11">
      <c r="A1054" s="16">
        <v>43588</v>
      </c>
      <c r="B1054" s="17" t="s">
        <v>1054</v>
      </c>
      <c r="C1054">
        <v>24911100</v>
      </c>
      <c r="D1054">
        <f t="shared" si="32"/>
        <v>2.1089744702829198E-2</v>
      </c>
      <c r="G1054" s="17" t="s">
        <v>5112</v>
      </c>
      <c r="H1054">
        <v>3338120000</v>
      </c>
      <c r="J1054">
        <f t="shared" si="33"/>
        <v>9.5921274614703886E-3</v>
      </c>
      <c r="K1054">
        <v>1</v>
      </c>
    </row>
    <row r="1055" spans="1:11">
      <c r="A1055" s="16">
        <v>43591</v>
      </c>
      <c r="B1055" s="17" t="s">
        <v>1055</v>
      </c>
      <c r="C1055">
        <v>24239800</v>
      </c>
      <c r="D1055">
        <f t="shared" si="32"/>
        <v>-5.8355550842674594E-3</v>
      </c>
      <c r="G1055" s="17" t="s">
        <v>5116</v>
      </c>
      <c r="H1055">
        <v>3181520000</v>
      </c>
      <c r="J1055">
        <f t="shared" si="33"/>
        <v>-4.4810132310555738E-3</v>
      </c>
      <c r="K1055">
        <v>1</v>
      </c>
    </row>
    <row r="1056" spans="1:11">
      <c r="A1056" s="16">
        <v>43592</v>
      </c>
      <c r="B1056" s="17" t="s">
        <v>1056</v>
      </c>
      <c r="C1056">
        <v>36017700</v>
      </c>
      <c r="D1056">
        <f t="shared" si="32"/>
        <v>-2.0736347634366017E-2</v>
      </c>
      <c r="G1056" s="17" t="s">
        <v>5119</v>
      </c>
      <c r="H1056">
        <v>3767100000</v>
      </c>
      <c r="J1056">
        <f t="shared" si="33"/>
        <v>-1.6649488130547674E-2</v>
      </c>
      <c r="K1056">
        <v>1</v>
      </c>
    </row>
    <row r="1057" spans="1:11">
      <c r="A1057" s="16">
        <v>43593</v>
      </c>
      <c r="B1057" s="17" t="s">
        <v>1057</v>
      </c>
      <c r="C1057">
        <v>28419000</v>
      </c>
      <c r="D1057">
        <f t="shared" si="32"/>
        <v>-7.9506899687271685E-5</v>
      </c>
      <c r="G1057" s="17" t="s">
        <v>5123</v>
      </c>
      <c r="H1057">
        <v>3485790000</v>
      </c>
      <c r="J1057">
        <f t="shared" si="33"/>
        <v>-1.6067154056034693E-3</v>
      </c>
      <c r="K1057">
        <v>1</v>
      </c>
    </row>
    <row r="1058" spans="1:11">
      <c r="A1058" s="16">
        <v>43594</v>
      </c>
      <c r="B1058" s="17" t="s">
        <v>1058</v>
      </c>
      <c r="C1058">
        <v>27235800</v>
      </c>
      <c r="D1058">
        <f t="shared" si="32"/>
        <v>-7.9706986728520667E-5</v>
      </c>
      <c r="G1058" s="17" t="s">
        <v>5127</v>
      </c>
      <c r="H1058">
        <v>3638820000</v>
      </c>
      <c r="J1058">
        <f t="shared" si="33"/>
        <v>-3.025998601924958E-3</v>
      </c>
      <c r="K1058">
        <v>1</v>
      </c>
    </row>
    <row r="1059" spans="1:11">
      <c r="A1059" s="16">
        <v>43595</v>
      </c>
      <c r="B1059" s="17" t="s">
        <v>1059</v>
      </c>
      <c r="C1059">
        <v>30915100</v>
      </c>
      <c r="D1059">
        <f t="shared" si="32"/>
        <v>1.2904388462985064E-2</v>
      </c>
      <c r="G1059" s="17" t="s">
        <v>5131</v>
      </c>
      <c r="H1059">
        <v>3529600000</v>
      </c>
      <c r="J1059">
        <f t="shared" si="33"/>
        <v>3.7133938472042397E-3</v>
      </c>
      <c r="K1059">
        <v>1</v>
      </c>
    </row>
    <row r="1060" spans="1:11">
      <c r="A1060" s="16">
        <v>43598</v>
      </c>
      <c r="B1060" s="17" t="s">
        <v>1060</v>
      </c>
      <c r="C1060">
        <v>33944900</v>
      </c>
      <c r="D1060">
        <f t="shared" si="32"/>
        <v>-3.0184364072742182E-2</v>
      </c>
      <c r="G1060" s="17" t="s">
        <v>5134</v>
      </c>
      <c r="H1060">
        <v>3894030000</v>
      </c>
      <c r="J1060">
        <f t="shared" si="33"/>
        <v>-2.4426469085879428E-2</v>
      </c>
      <c r="K1060">
        <v>1</v>
      </c>
    </row>
    <row r="1061" spans="1:11">
      <c r="A1061" s="16">
        <v>43599</v>
      </c>
      <c r="B1061" s="17" t="s">
        <v>1061</v>
      </c>
      <c r="C1061">
        <v>25266300</v>
      </c>
      <c r="D1061">
        <f t="shared" si="32"/>
        <v>1.1125654577390022E-2</v>
      </c>
      <c r="G1061" s="17" t="s">
        <v>5137</v>
      </c>
      <c r="H1061">
        <v>3322720000</v>
      </c>
      <c r="J1061">
        <f t="shared" si="33"/>
        <v>7.983987551309359E-3</v>
      </c>
      <c r="K1061">
        <v>1</v>
      </c>
    </row>
    <row r="1062" spans="1:11">
      <c r="A1062" s="16">
        <v>43600</v>
      </c>
      <c r="B1062" s="17" t="s">
        <v>1062</v>
      </c>
      <c r="C1062">
        <v>24722700</v>
      </c>
      <c r="D1062">
        <f t="shared" si="32"/>
        <v>1.3983957606925085E-2</v>
      </c>
      <c r="G1062" s="17" t="s">
        <v>5141</v>
      </c>
      <c r="H1062">
        <v>3125950000</v>
      </c>
      <c r="J1062">
        <f t="shared" si="33"/>
        <v>5.8219943882337147E-3</v>
      </c>
      <c r="K1062">
        <v>1</v>
      </c>
    </row>
    <row r="1063" spans="1:11">
      <c r="A1063" s="16">
        <v>43601</v>
      </c>
      <c r="B1063" s="17" t="s">
        <v>1063</v>
      </c>
      <c r="C1063">
        <v>30112200</v>
      </c>
      <c r="D1063">
        <f t="shared" si="32"/>
        <v>2.2828967402076236E-2</v>
      </c>
      <c r="G1063" s="17" t="s">
        <v>5144</v>
      </c>
      <c r="H1063">
        <v>3338060000</v>
      </c>
      <c r="J1063">
        <f t="shared" si="33"/>
        <v>8.8559569696340171E-3</v>
      </c>
      <c r="K1063">
        <v>1</v>
      </c>
    </row>
    <row r="1064" spans="1:11">
      <c r="A1064" s="16">
        <v>43602</v>
      </c>
      <c r="B1064" s="17" t="s">
        <v>1064</v>
      </c>
      <c r="C1064">
        <v>25770500</v>
      </c>
      <c r="D1064">
        <f t="shared" si="32"/>
        <v>-6.6925211230724167E-3</v>
      </c>
      <c r="G1064" s="17" t="s">
        <v>5148</v>
      </c>
      <c r="H1064">
        <v>3257950000</v>
      </c>
      <c r="J1064">
        <f t="shared" si="33"/>
        <v>-5.8544371529206324E-3</v>
      </c>
      <c r="K1064">
        <v>1</v>
      </c>
    </row>
    <row r="1065" spans="1:11">
      <c r="A1065" s="16">
        <v>43605</v>
      </c>
      <c r="B1065" s="17" t="s">
        <v>1065</v>
      </c>
      <c r="C1065">
        <v>23706900</v>
      </c>
      <c r="D1065">
        <f t="shared" si="32"/>
        <v>-1.4550583380574343E-2</v>
      </c>
      <c r="G1065" s="17" t="s">
        <v>5152</v>
      </c>
      <c r="H1065">
        <v>3288870000</v>
      </c>
      <c r="J1065">
        <f t="shared" si="33"/>
        <v>-6.7722580366252581E-3</v>
      </c>
      <c r="K1065">
        <v>1</v>
      </c>
    </row>
    <row r="1066" spans="1:11">
      <c r="A1066" s="16">
        <v>43606</v>
      </c>
      <c r="B1066" s="17" t="s">
        <v>1066</v>
      </c>
      <c r="C1066">
        <v>15293300</v>
      </c>
      <c r="D1066">
        <f t="shared" si="32"/>
        <v>5.3729668684414532E-3</v>
      </c>
      <c r="G1066" s="17" t="s">
        <v>5155</v>
      </c>
      <c r="H1066">
        <v>3218700000</v>
      </c>
      <c r="J1066">
        <f t="shared" si="33"/>
        <v>8.4599491109458805E-3</v>
      </c>
      <c r="K1066">
        <v>1</v>
      </c>
    </row>
    <row r="1067" spans="1:11">
      <c r="A1067" s="16">
        <v>43607</v>
      </c>
      <c r="B1067" s="17" t="s">
        <v>1067</v>
      </c>
      <c r="C1067">
        <v>15396500</v>
      </c>
      <c r="D1067">
        <f t="shared" si="32"/>
        <v>6.0493595238305456E-3</v>
      </c>
      <c r="G1067" s="17" t="s">
        <v>5159</v>
      </c>
      <c r="H1067">
        <v>3192510000</v>
      </c>
      <c r="J1067">
        <f t="shared" si="33"/>
        <v>-2.8283920525026501E-3</v>
      </c>
      <c r="K1067">
        <v>1</v>
      </c>
    </row>
    <row r="1068" spans="1:11">
      <c r="A1068" s="16">
        <v>43608</v>
      </c>
      <c r="B1068" s="17" t="s">
        <v>1068</v>
      </c>
      <c r="C1068">
        <v>23603800</v>
      </c>
      <c r="D1068">
        <f t="shared" si="32"/>
        <v>-1.1739309039476349E-2</v>
      </c>
      <c r="G1068" s="17" t="s">
        <v>5162</v>
      </c>
      <c r="H1068">
        <v>3891980000</v>
      </c>
      <c r="J1068">
        <f t="shared" si="33"/>
        <v>-1.1985692488440291E-2</v>
      </c>
      <c r="K1068">
        <v>1</v>
      </c>
    </row>
    <row r="1069" spans="1:11">
      <c r="A1069" s="16">
        <v>43609</v>
      </c>
      <c r="B1069" s="17" t="s">
        <v>1069</v>
      </c>
      <c r="C1069">
        <v>14123400</v>
      </c>
      <c r="D1069">
        <f t="shared" si="32"/>
        <v>4.7531235184630771E-4</v>
      </c>
      <c r="G1069" s="17" t="s">
        <v>5165</v>
      </c>
      <c r="H1069">
        <v>2887390000</v>
      </c>
      <c r="J1069">
        <f t="shared" si="33"/>
        <v>1.3526439988342258E-3</v>
      </c>
      <c r="K1069">
        <v>1</v>
      </c>
    </row>
    <row r="1070" spans="1:11">
      <c r="A1070" s="16">
        <v>43613</v>
      </c>
      <c r="B1070" s="17" t="s">
        <v>1070</v>
      </c>
      <c r="C1070">
        <v>23128400</v>
      </c>
      <c r="D1070">
        <f t="shared" si="32"/>
        <v>-6.3378134995398358E-4</v>
      </c>
      <c r="G1070" s="17" t="s">
        <v>5169</v>
      </c>
      <c r="H1070">
        <v>4121410000</v>
      </c>
      <c r="J1070">
        <f t="shared" si="33"/>
        <v>-8.4109499934704266E-3</v>
      </c>
      <c r="K1070">
        <v>1</v>
      </c>
    </row>
    <row r="1071" spans="1:11">
      <c r="A1071" s="16">
        <v>43614</v>
      </c>
      <c r="B1071" s="17" t="s">
        <v>1071</v>
      </c>
      <c r="C1071">
        <v>22763100</v>
      </c>
      <c r="D1071">
        <f t="shared" si="32"/>
        <v>-9.7173887401762887E-3</v>
      </c>
      <c r="G1071" s="17" t="s">
        <v>4019</v>
      </c>
      <c r="H1071">
        <v>3700050000</v>
      </c>
      <c r="J1071">
        <f t="shared" si="33"/>
        <v>-6.9359101493404783E-3</v>
      </c>
      <c r="K1071">
        <v>1</v>
      </c>
    </row>
    <row r="1072" spans="1:11">
      <c r="A1072" s="16">
        <v>43615</v>
      </c>
      <c r="B1072" s="17" t="s">
        <v>1072</v>
      </c>
      <c r="C1072">
        <v>16829600</v>
      </c>
      <c r="D1072">
        <f t="shared" si="32"/>
        <v>6.3030689039343148E-3</v>
      </c>
      <c r="G1072" s="17" t="s">
        <v>5176</v>
      </c>
      <c r="H1072">
        <v>3273790000</v>
      </c>
      <c r="J1072">
        <f t="shared" si="33"/>
        <v>2.0962723552933105E-3</v>
      </c>
      <c r="K1072">
        <v>1</v>
      </c>
    </row>
    <row r="1073" spans="1:11">
      <c r="A1073" s="16">
        <v>43616</v>
      </c>
      <c r="B1073" s="17" t="s">
        <v>1073</v>
      </c>
      <c r="C1073">
        <v>26646800</v>
      </c>
      <c r="D1073">
        <f t="shared" si="32"/>
        <v>-1.6439128151177158E-2</v>
      </c>
      <c r="G1073" s="17" t="s">
        <v>5180</v>
      </c>
      <c r="H1073">
        <v>3981020000</v>
      </c>
      <c r="J1073">
        <f t="shared" si="33"/>
        <v>-1.3283204951564839E-2</v>
      </c>
      <c r="K1073">
        <v>1</v>
      </c>
    </row>
    <row r="1074" spans="1:11">
      <c r="A1074" s="16">
        <v>43619</v>
      </c>
      <c r="B1074" s="17" t="s">
        <v>1074</v>
      </c>
      <c r="C1074">
        <v>37983600</v>
      </c>
      <c r="D1074">
        <f t="shared" si="32"/>
        <v>-3.1540127817358807E-2</v>
      </c>
      <c r="G1074" s="17" t="s">
        <v>5184</v>
      </c>
      <c r="H1074">
        <v>3943810000</v>
      </c>
      <c r="J1074">
        <f t="shared" si="33"/>
        <v>-2.7690708645509332E-3</v>
      </c>
      <c r="K1074">
        <v>1</v>
      </c>
    </row>
    <row r="1075" spans="1:11">
      <c r="A1075" s="16">
        <v>43620</v>
      </c>
      <c r="B1075" s="17" t="s">
        <v>1075</v>
      </c>
      <c r="C1075">
        <v>29382600</v>
      </c>
      <c r="D1075">
        <f t="shared" si="32"/>
        <v>2.7326895846647003E-2</v>
      </c>
      <c r="G1075" s="17" t="s">
        <v>5186</v>
      </c>
      <c r="H1075">
        <v>3810430000</v>
      </c>
      <c r="J1075">
        <f t="shared" si="33"/>
        <v>2.1205927310919484E-2</v>
      </c>
      <c r="K1075">
        <v>1</v>
      </c>
    </row>
    <row r="1076" spans="1:11">
      <c r="A1076" s="16">
        <v>43621</v>
      </c>
      <c r="B1076" s="17" t="s">
        <v>1076</v>
      </c>
      <c r="C1076">
        <v>24926100</v>
      </c>
      <c r="D1076">
        <f t="shared" si="32"/>
        <v>2.144745895482322E-2</v>
      </c>
      <c r="G1076" s="17" t="s">
        <v>5190</v>
      </c>
      <c r="H1076">
        <v>3548830000</v>
      </c>
      <c r="J1076">
        <f t="shared" si="33"/>
        <v>8.1287266899663837E-3</v>
      </c>
      <c r="K1076">
        <v>1</v>
      </c>
    </row>
    <row r="1077" spans="1:11">
      <c r="A1077" s="16">
        <v>43622</v>
      </c>
      <c r="B1077" s="17" t="s">
        <v>1077</v>
      </c>
      <c r="C1077">
        <v>21459000</v>
      </c>
      <c r="D1077">
        <f t="shared" si="32"/>
        <v>1.5691218812663298E-2</v>
      </c>
      <c r="G1077" s="17" t="s">
        <v>5194</v>
      </c>
      <c r="H1077">
        <v>3396410000</v>
      </c>
      <c r="J1077">
        <f t="shared" si="33"/>
        <v>6.1168407152111942E-3</v>
      </c>
      <c r="K1077">
        <v>1</v>
      </c>
    </row>
    <row r="1078" spans="1:11">
      <c r="A1078" s="16">
        <v>43623</v>
      </c>
      <c r="B1078" s="17" t="s">
        <v>1078</v>
      </c>
      <c r="C1078">
        <v>33885600</v>
      </c>
      <c r="D1078">
        <f t="shared" si="32"/>
        <v>2.7622976152028994E-2</v>
      </c>
      <c r="G1078" s="17" t="s">
        <v>5197</v>
      </c>
      <c r="H1078">
        <v>3220250000</v>
      </c>
      <c r="J1078">
        <f t="shared" si="33"/>
        <v>1.0442979367750647E-2</v>
      </c>
      <c r="K1078">
        <v>1</v>
      </c>
    </row>
    <row r="1079" spans="1:11">
      <c r="A1079" s="16">
        <v>43626</v>
      </c>
      <c r="B1079" s="17" t="s">
        <v>1079</v>
      </c>
      <c r="C1079">
        <v>26477100</v>
      </c>
      <c r="D1079">
        <f t="shared" si="32"/>
        <v>9.0911359212059711E-3</v>
      </c>
      <c r="G1079" s="17" t="s">
        <v>5201</v>
      </c>
      <c r="H1079">
        <v>3209210000</v>
      </c>
      <c r="J1079">
        <f t="shared" si="33"/>
        <v>4.6492198743191201E-3</v>
      </c>
      <c r="K1079">
        <v>1</v>
      </c>
    </row>
    <row r="1080" spans="1:11">
      <c r="A1080" s="16">
        <v>43627</v>
      </c>
      <c r="B1080" s="17" t="s">
        <v>1080</v>
      </c>
      <c r="C1080">
        <v>23913700</v>
      </c>
      <c r="D1080">
        <f t="shared" si="32"/>
        <v>-3.7778833399348564E-3</v>
      </c>
      <c r="G1080" s="17" t="s">
        <v>5205</v>
      </c>
      <c r="H1080">
        <v>3548420000</v>
      </c>
      <c r="J1080">
        <f t="shared" si="33"/>
        <v>-3.4994119269314317E-4</v>
      </c>
      <c r="K1080">
        <v>1</v>
      </c>
    </row>
    <row r="1081" spans="1:11">
      <c r="A1081" s="16">
        <v>43628</v>
      </c>
      <c r="B1081" s="17" t="s">
        <v>1081</v>
      </c>
      <c r="C1081">
        <v>17084700</v>
      </c>
      <c r="D1081">
        <f t="shared" si="32"/>
        <v>-4.6284064557764451E-3</v>
      </c>
      <c r="G1081" s="17" t="s">
        <v>5209</v>
      </c>
      <c r="H1081">
        <v>3034130000</v>
      </c>
      <c r="J1081">
        <f t="shared" si="33"/>
        <v>-2.0396578921351837E-3</v>
      </c>
      <c r="K1081">
        <v>1</v>
      </c>
    </row>
    <row r="1082" spans="1:11">
      <c r="A1082" s="16">
        <v>43629</v>
      </c>
      <c r="B1082" s="17" t="s">
        <v>1082</v>
      </c>
      <c r="C1082">
        <v>17200800</v>
      </c>
      <c r="D1082">
        <f t="shared" si="32"/>
        <v>6.2923879749420689E-3</v>
      </c>
      <c r="G1082" s="17" t="s">
        <v>5212</v>
      </c>
      <c r="H1082">
        <v>3069810000</v>
      </c>
      <c r="J1082">
        <f t="shared" si="33"/>
        <v>4.0890106107655654E-3</v>
      </c>
      <c r="K1082">
        <v>1</v>
      </c>
    </row>
    <row r="1083" spans="1:11">
      <c r="A1083" s="16">
        <v>43630</v>
      </c>
      <c r="B1083" s="17" t="s">
        <v>1083</v>
      </c>
      <c r="C1083">
        <v>17821700</v>
      </c>
      <c r="D1083">
        <f t="shared" si="32"/>
        <v>9.8203466571918432E-4</v>
      </c>
      <c r="G1083" s="17" t="s">
        <v>5216</v>
      </c>
      <c r="H1083">
        <v>2922330000</v>
      </c>
      <c r="J1083">
        <f t="shared" si="33"/>
        <v>-1.6128120944145414E-3</v>
      </c>
      <c r="K1083">
        <v>1</v>
      </c>
    </row>
    <row r="1084" spans="1:11">
      <c r="A1084" s="16">
        <v>43633</v>
      </c>
      <c r="B1084" s="17" t="s">
        <v>1084</v>
      </c>
      <c r="C1084">
        <v>14517800</v>
      </c>
      <c r="D1084">
        <f t="shared" si="32"/>
        <v>3.0154701190211919E-3</v>
      </c>
      <c r="G1084" s="17" t="s">
        <v>5220</v>
      </c>
      <c r="H1084">
        <v>2810140000</v>
      </c>
      <c r="J1084">
        <f t="shared" si="33"/>
        <v>9.3131563797728433E-4</v>
      </c>
      <c r="K1084">
        <v>1</v>
      </c>
    </row>
    <row r="1085" spans="1:11">
      <c r="A1085" s="16">
        <v>43634</v>
      </c>
      <c r="B1085" s="17" t="s">
        <v>1085</v>
      </c>
      <c r="C1085">
        <v>25934500</v>
      </c>
      <c r="D1085">
        <f t="shared" si="32"/>
        <v>1.7238539811566735E-2</v>
      </c>
      <c r="G1085" s="17" t="s">
        <v>5224</v>
      </c>
      <c r="H1085">
        <v>3437620000</v>
      </c>
      <c r="J1085">
        <f t="shared" si="33"/>
        <v>9.6704895497130884E-3</v>
      </c>
      <c r="K1085">
        <v>1</v>
      </c>
    </row>
    <row r="1086" spans="1:11">
      <c r="A1086" s="16">
        <v>43635</v>
      </c>
      <c r="B1086" s="17" t="s">
        <v>1086</v>
      </c>
      <c r="C1086">
        <v>23744400</v>
      </c>
      <c r="D1086">
        <f t="shared" si="32"/>
        <v>3.9136802145187527E-3</v>
      </c>
      <c r="G1086" s="17" t="s">
        <v>5228</v>
      </c>
      <c r="H1086">
        <v>3287890000</v>
      </c>
      <c r="J1086">
        <f t="shared" si="33"/>
        <v>2.9807168143807321E-3</v>
      </c>
      <c r="K1086">
        <v>1</v>
      </c>
    </row>
    <row r="1087" spans="1:11">
      <c r="A1087" s="16">
        <v>43636</v>
      </c>
      <c r="B1087" s="17" t="s">
        <v>1087</v>
      </c>
      <c r="C1087">
        <v>33042600</v>
      </c>
      <c r="D1087">
        <f t="shared" si="32"/>
        <v>9.2428216426312989E-3</v>
      </c>
      <c r="G1087" s="17" t="s">
        <v>5232</v>
      </c>
      <c r="H1087">
        <v>3905940000</v>
      </c>
      <c r="J1087">
        <f t="shared" si="33"/>
        <v>9.4276054361659405E-3</v>
      </c>
      <c r="K1087">
        <v>1</v>
      </c>
    </row>
    <row r="1088" spans="1:11">
      <c r="A1088" s="16">
        <v>43637</v>
      </c>
      <c r="B1088" s="17" t="s">
        <v>1088</v>
      </c>
      <c r="C1088">
        <v>36727900</v>
      </c>
      <c r="D1088">
        <f t="shared" si="32"/>
        <v>1.4621297781900058E-4</v>
      </c>
      <c r="G1088" s="17" t="s">
        <v>5236</v>
      </c>
      <c r="H1088">
        <v>5000120000</v>
      </c>
      <c r="J1088">
        <f t="shared" si="33"/>
        <v>-1.2600163801944658E-3</v>
      </c>
      <c r="K1088">
        <v>1</v>
      </c>
    </row>
    <row r="1089" spans="1:11">
      <c r="A1089" s="16">
        <v>43640</v>
      </c>
      <c r="B1089" s="17" t="s">
        <v>1089</v>
      </c>
      <c r="C1089">
        <v>20628800</v>
      </c>
      <c r="D1089">
        <f t="shared" si="32"/>
        <v>5.8961810522148812E-3</v>
      </c>
      <c r="G1089" s="17" t="s">
        <v>5240</v>
      </c>
      <c r="H1089">
        <v>3136250000</v>
      </c>
      <c r="J1089">
        <f t="shared" si="33"/>
        <v>-1.7333883650608661E-3</v>
      </c>
      <c r="K1089">
        <v>1</v>
      </c>
    </row>
    <row r="1090" spans="1:11">
      <c r="A1090" s="16">
        <v>43641</v>
      </c>
      <c r="B1090" s="17" t="s">
        <v>1090</v>
      </c>
      <c r="C1090">
        <v>33327400</v>
      </c>
      <c r="D1090">
        <f t="shared" si="32"/>
        <v>-3.2081274107307677E-2</v>
      </c>
      <c r="G1090" s="17" t="s">
        <v>5244</v>
      </c>
      <c r="H1090">
        <v>3578050000</v>
      </c>
      <c r="J1090">
        <f t="shared" si="33"/>
        <v>-9.5417756928268798E-3</v>
      </c>
      <c r="K1090">
        <v>1</v>
      </c>
    </row>
    <row r="1091" spans="1:11">
      <c r="A1091" s="16">
        <v>43642</v>
      </c>
      <c r="B1091" s="17" t="s">
        <v>1091</v>
      </c>
      <c r="C1091">
        <v>23657700</v>
      </c>
      <c r="D1091">
        <f t="shared" si="32"/>
        <v>3.7403046376165709E-3</v>
      </c>
      <c r="G1091" s="17" t="s">
        <v>5248</v>
      </c>
      <c r="H1091">
        <v>3478130000</v>
      </c>
      <c r="J1091">
        <f t="shared" si="33"/>
        <v>-1.2346958449606107E-3</v>
      </c>
      <c r="K1091">
        <v>1</v>
      </c>
    </row>
    <row r="1092" spans="1:11">
      <c r="A1092" s="16">
        <v>43643</v>
      </c>
      <c r="B1092" s="17" t="s">
        <v>1092</v>
      </c>
      <c r="C1092">
        <v>16557500</v>
      </c>
      <c r="D1092">
        <f t="shared" si="32"/>
        <v>1.6412639487353505E-3</v>
      </c>
      <c r="G1092" s="17" t="s">
        <v>5252</v>
      </c>
      <c r="H1092">
        <v>3122920000</v>
      </c>
      <c r="J1092">
        <f t="shared" si="33"/>
        <v>3.8158859372135782E-3</v>
      </c>
      <c r="K1092">
        <v>1</v>
      </c>
    </row>
    <row r="1093" spans="1:11">
      <c r="A1093" s="16">
        <v>43644</v>
      </c>
      <c r="B1093" s="17" t="s">
        <v>1093</v>
      </c>
      <c r="C1093">
        <v>30043000</v>
      </c>
      <c r="D1093">
        <f t="shared" ref="D1093:D1156" si="34">LN(B1093/B1092)</f>
        <v>-1.4171321287742933E-3</v>
      </c>
      <c r="G1093" s="17" t="s">
        <v>5256</v>
      </c>
      <c r="H1093">
        <v>5420700000</v>
      </c>
      <c r="J1093">
        <f t="shared" ref="J1093:J1156" si="35">LN(G1093/G1092)</f>
        <v>5.7409418775350336E-3</v>
      </c>
      <c r="K1093">
        <v>1</v>
      </c>
    </row>
    <row r="1094" spans="1:11">
      <c r="A1094" s="16">
        <v>43647</v>
      </c>
      <c r="B1094" s="17" t="s">
        <v>1094</v>
      </c>
      <c r="C1094">
        <v>22654200</v>
      </c>
      <c r="D1094">
        <f t="shared" si="34"/>
        <v>1.2757832248548064E-2</v>
      </c>
      <c r="G1094" s="17" t="s">
        <v>5260</v>
      </c>
      <c r="H1094">
        <v>3513270000</v>
      </c>
      <c r="J1094">
        <f t="shared" si="35"/>
        <v>7.6430184891142601E-3</v>
      </c>
      <c r="K1094">
        <v>1</v>
      </c>
    </row>
    <row r="1095" spans="1:11">
      <c r="A1095" s="16">
        <v>43648</v>
      </c>
      <c r="B1095" s="17" t="s">
        <v>1095</v>
      </c>
      <c r="C1095">
        <v>15237800</v>
      </c>
      <c r="D1095">
        <f t="shared" si="34"/>
        <v>6.6112708221197705E-3</v>
      </c>
      <c r="G1095" s="17" t="s">
        <v>5264</v>
      </c>
      <c r="H1095">
        <v>3206840000</v>
      </c>
      <c r="J1095">
        <f t="shared" si="35"/>
        <v>2.9238473979908671E-3</v>
      </c>
      <c r="K1095">
        <v>1</v>
      </c>
    </row>
    <row r="1096" spans="1:11">
      <c r="A1096" s="16">
        <v>43649</v>
      </c>
      <c r="B1096" s="17" t="s">
        <v>1096</v>
      </c>
      <c r="C1096">
        <v>13629300</v>
      </c>
      <c r="D1096">
        <f t="shared" si="34"/>
        <v>6.4225234253051941E-3</v>
      </c>
      <c r="G1096" s="17" t="s">
        <v>5268</v>
      </c>
      <c r="H1096">
        <v>1963720000</v>
      </c>
      <c r="J1096">
        <f t="shared" si="35"/>
        <v>7.643095461891165E-3</v>
      </c>
      <c r="K1096">
        <v>1</v>
      </c>
    </row>
    <row r="1097" spans="1:11">
      <c r="A1097" s="16">
        <v>43651</v>
      </c>
      <c r="B1097" s="17" t="s">
        <v>1097</v>
      </c>
      <c r="C1097">
        <v>18141100</v>
      </c>
      <c r="D1097">
        <f t="shared" si="34"/>
        <v>-2.9142002751199204E-3</v>
      </c>
      <c r="G1097" s="17" t="s">
        <v>5272</v>
      </c>
      <c r="H1097">
        <v>2434210000</v>
      </c>
      <c r="J1097">
        <f t="shared" si="35"/>
        <v>-1.8075341211651061E-3</v>
      </c>
      <c r="K1097">
        <v>1</v>
      </c>
    </row>
    <row r="1098" spans="1:11">
      <c r="A1098" s="16">
        <v>43654</v>
      </c>
      <c r="B1098" s="17" t="s">
        <v>1098</v>
      </c>
      <c r="C1098">
        <v>16779700</v>
      </c>
      <c r="D1098">
        <f t="shared" si="34"/>
        <v>-7.2987712532836333E-4</v>
      </c>
      <c r="G1098" s="17" t="s">
        <v>5276</v>
      </c>
      <c r="H1098">
        <v>2904550000</v>
      </c>
      <c r="J1098">
        <f t="shared" si="35"/>
        <v>-4.8471730313032349E-3</v>
      </c>
      <c r="K1098">
        <v>1</v>
      </c>
    </row>
    <row r="1099" spans="1:11">
      <c r="A1099" s="16">
        <v>43655</v>
      </c>
      <c r="B1099" s="17" t="s">
        <v>1099</v>
      </c>
      <c r="C1099">
        <v>19953100</v>
      </c>
      <c r="D1099">
        <f t="shared" si="34"/>
        <v>-3.6572869195572772E-3</v>
      </c>
      <c r="G1099" s="17" t="s">
        <v>5280</v>
      </c>
      <c r="H1099">
        <v>3028210000</v>
      </c>
      <c r="J1099">
        <f t="shared" si="35"/>
        <v>1.2357931791357835E-3</v>
      </c>
      <c r="K1099">
        <v>1</v>
      </c>
    </row>
    <row r="1100" spans="1:11">
      <c r="A1100" s="16">
        <v>43656</v>
      </c>
      <c r="B1100" s="17" t="s">
        <v>1100</v>
      </c>
      <c r="C1100">
        <v>24204400</v>
      </c>
      <c r="D1100">
        <f t="shared" si="34"/>
        <v>1.0134680877645375E-2</v>
      </c>
      <c r="G1100" s="17" t="s">
        <v>5284</v>
      </c>
      <c r="H1100">
        <v>3154240000</v>
      </c>
      <c r="J1100">
        <f t="shared" si="35"/>
        <v>4.5005467530864277E-3</v>
      </c>
      <c r="K1100">
        <v>1</v>
      </c>
    </row>
    <row r="1101" spans="1:11">
      <c r="A1101" s="16">
        <v>43657</v>
      </c>
      <c r="B1101" s="17" t="s">
        <v>1101</v>
      </c>
      <c r="C1101">
        <v>22327900</v>
      </c>
      <c r="D1101">
        <f t="shared" si="34"/>
        <v>3.9817045286952507E-3</v>
      </c>
      <c r="G1101" s="17" t="s">
        <v>5288</v>
      </c>
      <c r="H1101">
        <v>3154620000</v>
      </c>
      <c r="J1101">
        <f t="shared" si="35"/>
        <v>2.2826196625582262E-3</v>
      </c>
      <c r="K1101">
        <v>1</v>
      </c>
    </row>
    <row r="1102" spans="1:11">
      <c r="A1102" s="16">
        <v>43658</v>
      </c>
      <c r="B1102" s="17" t="s">
        <v>1102</v>
      </c>
      <c r="C1102">
        <v>18936800</v>
      </c>
      <c r="D1102">
        <f t="shared" si="34"/>
        <v>3.606223275806248E-3</v>
      </c>
      <c r="G1102" s="17" t="s">
        <v>5292</v>
      </c>
      <c r="H1102">
        <v>2974960000</v>
      </c>
      <c r="J1102">
        <f t="shared" si="35"/>
        <v>4.6095344940618628E-3</v>
      </c>
      <c r="K1102">
        <v>1</v>
      </c>
    </row>
    <row r="1103" spans="1:11">
      <c r="A1103" s="16">
        <v>43661</v>
      </c>
      <c r="B1103" s="17" t="s">
        <v>1102</v>
      </c>
      <c r="C1103">
        <v>16651500</v>
      </c>
      <c r="D1103">
        <f t="shared" si="34"/>
        <v>0</v>
      </c>
      <c r="G1103" s="17" t="s">
        <v>5295</v>
      </c>
      <c r="H1103">
        <v>2874970000</v>
      </c>
      <c r="J1103">
        <f t="shared" si="35"/>
        <v>1.7585362986783311E-4</v>
      </c>
      <c r="K1103">
        <v>1</v>
      </c>
    </row>
    <row r="1104" spans="1:11">
      <c r="A1104" s="16">
        <v>43662</v>
      </c>
      <c r="B1104" s="17" t="s">
        <v>1103</v>
      </c>
      <c r="C1104">
        <v>22726100</v>
      </c>
      <c r="D1104">
        <f t="shared" si="34"/>
        <v>-1.3189577302510797E-2</v>
      </c>
      <c r="G1104" s="17" t="s">
        <v>5299</v>
      </c>
      <c r="H1104">
        <v>3290650000</v>
      </c>
      <c r="J1104">
        <f t="shared" si="35"/>
        <v>-3.4095846328355182E-3</v>
      </c>
      <c r="K1104">
        <v>1</v>
      </c>
    </row>
    <row r="1105" spans="1:11">
      <c r="A1105" s="16">
        <v>43663</v>
      </c>
      <c r="B1105" s="17" t="s">
        <v>1104</v>
      </c>
      <c r="C1105">
        <v>20211000</v>
      </c>
      <c r="D1105">
        <f t="shared" si="34"/>
        <v>-5.9263795212024751E-3</v>
      </c>
      <c r="G1105" s="17" t="s">
        <v>5302</v>
      </c>
      <c r="H1105">
        <v>3181600000</v>
      </c>
      <c r="J1105">
        <f t="shared" si="35"/>
        <v>-6.5526654034036725E-3</v>
      </c>
      <c r="K1105">
        <v>1</v>
      </c>
    </row>
    <row r="1106" spans="1:11">
      <c r="A1106" s="16">
        <v>43664</v>
      </c>
      <c r="B1106" s="17" t="s">
        <v>1105</v>
      </c>
      <c r="C1106">
        <v>30808700</v>
      </c>
      <c r="D1106">
        <f t="shared" si="34"/>
        <v>1.1001554580221467E-3</v>
      </c>
      <c r="G1106" s="17" t="s">
        <v>5306</v>
      </c>
      <c r="H1106">
        <v>3296580000</v>
      </c>
      <c r="J1106">
        <f t="shared" si="35"/>
        <v>3.5755975260803518E-3</v>
      </c>
      <c r="K1106">
        <v>1</v>
      </c>
    </row>
    <row r="1107" spans="1:11">
      <c r="A1107" s="16">
        <v>43665</v>
      </c>
      <c r="B1107" s="17" t="s">
        <v>1106</v>
      </c>
      <c r="C1107">
        <v>48992400</v>
      </c>
      <c r="D1107">
        <f t="shared" si="34"/>
        <v>1.4648828816962373E-3</v>
      </c>
      <c r="G1107" s="17" t="s">
        <v>5310</v>
      </c>
      <c r="H1107">
        <v>3260360000</v>
      </c>
      <c r="J1107">
        <f t="shared" si="35"/>
        <v>-6.1958894657200697E-3</v>
      </c>
      <c r="K1107">
        <v>1</v>
      </c>
    </row>
    <row r="1108" spans="1:11">
      <c r="A1108" s="16">
        <v>43668</v>
      </c>
      <c r="B1108" s="17" t="s">
        <v>1107</v>
      </c>
      <c r="C1108">
        <v>25074900</v>
      </c>
      <c r="D1108">
        <f t="shared" si="34"/>
        <v>1.3161370097555955E-2</v>
      </c>
      <c r="G1108" s="17" t="s">
        <v>5314</v>
      </c>
      <c r="H1108">
        <v>3003720000</v>
      </c>
      <c r="J1108">
        <f t="shared" si="35"/>
        <v>2.8247017285257178E-3</v>
      </c>
      <c r="K1108">
        <v>1</v>
      </c>
    </row>
    <row r="1109" spans="1:11">
      <c r="A1109" s="16">
        <v>43669</v>
      </c>
      <c r="B1109" s="17" t="s">
        <v>1108</v>
      </c>
      <c r="C1109">
        <v>18034600</v>
      </c>
      <c r="D1109">
        <f t="shared" si="34"/>
        <v>6.1934312578354874E-3</v>
      </c>
      <c r="G1109" s="17" t="s">
        <v>5318</v>
      </c>
      <c r="H1109">
        <v>3313660000</v>
      </c>
      <c r="J1109">
        <f t="shared" si="35"/>
        <v>6.8241453375091467E-3</v>
      </c>
      <c r="K1109">
        <v>1</v>
      </c>
    </row>
    <row r="1110" spans="1:11">
      <c r="A1110" s="16">
        <v>43670</v>
      </c>
      <c r="B1110" s="17" t="s">
        <v>1109</v>
      </c>
      <c r="C1110">
        <v>20738300</v>
      </c>
      <c r="D1110">
        <f t="shared" si="34"/>
        <v>1.0213991711230035E-2</v>
      </c>
      <c r="G1110" s="17" t="s">
        <v>5322</v>
      </c>
      <c r="H1110">
        <v>3428980000</v>
      </c>
      <c r="J1110">
        <f t="shared" si="35"/>
        <v>4.6771928492370975E-3</v>
      </c>
      <c r="K1110">
        <v>1</v>
      </c>
    </row>
    <row r="1111" spans="1:11">
      <c r="A1111" s="16">
        <v>43671</v>
      </c>
      <c r="B1111" s="17" t="s">
        <v>1110</v>
      </c>
      <c r="C1111">
        <v>18356900</v>
      </c>
      <c r="D1111">
        <f t="shared" si="34"/>
        <v>-3.7734076253810246E-3</v>
      </c>
      <c r="G1111" s="17" t="s">
        <v>5326</v>
      </c>
      <c r="H1111">
        <v>3645270000</v>
      </c>
      <c r="J1111">
        <f t="shared" si="35"/>
        <v>-5.2762965765231536E-3</v>
      </c>
      <c r="K1111">
        <v>1</v>
      </c>
    </row>
    <row r="1112" spans="1:11">
      <c r="A1112" s="16">
        <v>43672</v>
      </c>
      <c r="B1112" s="17" t="s">
        <v>1111</v>
      </c>
      <c r="C1112">
        <v>19037600</v>
      </c>
      <c r="D1112">
        <f t="shared" si="34"/>
        <v>8.169619776171597E-3</v>
      </c>
      <c r="G1112" s="17" t="s">
        <v>5330</v>
      </c>
      <c r="H1112">
        <v>3257590000</v>
      </c>
      <c r="J1112">
        <f t="shared" si="35"/>
        <v>7.3605355897441655E-3</v>
      </c>
      <c r="K1112">
        <v>1</v>
      </c>
    </row>
    <row r="1113" spans="1:11">
      <c r="A1113" s="16">
        <v>43675</v>
      </c>
      <c r="B1113" s="17" t="s">
        <v>1112</v>
      </c>
      <c r="C1113">
        <v>16605900</v>
      </c>
      <c r="D1113">
        <f t="shared" si="34"/>
        <v>-2.195690242181427E-3</v>
      </c>
      <c r="G1113" s="17" t="s">
        <v>5333</v>
      </c>
      <c r="H1113">
        <v>3203710000</v>
      </c>
      <c r="J1113">
        <f t="shared" si="35"/>
        <v>-1.6174216913627901E-3</v>
      </c>
      <c r="K1113">
        <v>1</v>
      </c>
    </row>
    <row r="1114" spans="1:11">
      <c r="A1114" s="16">
        <v>43676</v>
      </c>
      <c r="B1114" s="17" t="s">
        <v>1113</v>
      </c>
      <c r="C1114">
        <v>16846500</v>
      </c>
      <c r="D1114">
        <f t="shared" si="34"/>
        <v>-4.8332884964730214E-3</v>
      </c>
      <c r="G1114" s="17" t="s">
        <v>5337</v>
      </c>
      <c r="H1114">
        <v>3634330000</v>
      </c>
      <c r="J1114">
        <f t="shared" si="35"/>
        <v>-2.5819853510480918E-3</v>
      </c>
      <c r="K1114">
        <v>1</v>
      </c>
    </row>
    <row r="1115" spans="1:11">
      <c r="A1115" s="16">
        <v>43677</v>
      </c>
      <c r="B1115" s="17" t="s">
        <v>1104</v>
      </c>
      <c r="C1115">
        <v>38598800</v>
      </c>
      <c r="D1115">
        <f t="shared" si="34"/>
        <v>-2.9501064818475982E-2</v>
      </c>
      <c r="G1115" s="17" t="s">
        <v>5341</v>
      </c>
      <c r="H1115">
        <v>4623430000</v>
      </c>
      <c r="J1115">
        <f t="shared" si="35"/>
        <v>-1.0945207008496171E-2</v>
      </c>
      <c r="K1115">
        <v>1</v>
      </c>
    </row>
    <row r="1116" spans="1:11">
      <c r="A1116" s="16">
        <v>43678</v>
      </c>
      <c r="B1116" s="17" t="s">
        <v>1114</v>
      </c>
      <c r="C1116">
        <v>40557500</v>
      </c>
      <c r="D1116">
        <f t="shared" si="34"/>
        <v>1.3050030279222963E-2</v>
      </c>
      <c r="G1116" s="17" t="s">
        <v>5345</v>
      </c>
      <c r="H1116">
        <v>4762300000</v>
      </c>
      <c r="J1116">
        <f t="shared" si="35"/>
        <v>-9.0395274941716727E-3</v>
      </c>
      <c r="K1116">
        <v>1</v>
      </c>
    </row>
    <row r="1117" spans="1:11">
      <c r="A1117" s="16">
        <v>43679</v>
      </c>
      <c r="B1117" s="17" t="s">
        <v>1115</v>
      </c>
      <c r="C1117">
        <v>30791600</v>
      </c>
      <c r="D1117">
        <f t="shared" si="34"/>
        <v>-8.4376658235469134E-3</v>
      </c>
      <c r="G1117" s="17" t="s">
        <v>5349</v>
      </c>
      <c r="H1117">
        <v>3874660000</v>
      </c>
      <c r="J1117">
        <f t="shared" si="35"/>
        <v>-7.3093886184915644E-3</v>
      </c>
      <c r="K1117">
        <v>1</v>
      </c>
    </row>
    <row r="1118" spans="1:11">
      <c r="A1118" s="16">
        <v>43682</v>
      </c>
      <c r="B1118" s="17" t="s">
        <v>1116</v>
      </c>
      <c r="C1118">
        <v>42749600</v>
      </c>
      <c r="D1118">
        <f t="shared" si="34"/>
        <v>-3.4859025979148826E-2</v>
      </c>
      <c r="G1118" s="17" t="s">
        <v>5352</v>
      </c>
      <c r="H1118">
        <v>4513730000</v>
      </c>
      <c r="J1118">
        <f t="shared" si="35"/>
        <v>-3.0230182310703037E-2</v>
      </c>
      <c r="K1118">
        <v>1</v>
      </c>
    </row>
    <row r="1119" spans="1:11">
      <c r="A1119" s="16">
        <v>43683</v>
      </c>
      <c r="B1119" s="17" t="s">
        <v>1117</v>
      </c>
      <c r="C1119">
        <v>32696700</v>
      </c>
      <c r="D1119">
        <f t="shared" si="34"/>
        <v>1.8584298061649206E-2</v>
      </c>
      <c r="G1119" s="17" t="s">
        <v>5356</v>
      </c>
      <c r="H1119">
        <v>4154240000</v>
      </c>
      <c r="J1119">
        <f t="shared" si="35"/>
        <v>1.2933024156216008E-2</v>
      </c>
      <c r="K1119">
        <v>1</v>
      </c>
    </row>
    <row r="1120" spans="1:11">
      <c r="A1120" s="16">
        <v>43684</v>
      </c>
      <c r="B1120" s="17" t="s">
        <v>1118</v>
      </c>
      <c r="C1120">
        <v>33414500</v>
      </c>
      <c r="D1120">
        <f t="shared" si="34"/>
        <v>4.3706812748813889E-3</v>
      </c>
      <c r="G1120" s="17" t="s">
        <v>5360</v>
      </c>
      <c r="H1120">
        <v>4491750000</v>
      </c>
      <c r="J1120">
        <f t="shared" si="35"/>
        <v>7.665820086625915E-4</v>
      </c>
      <c r="K1120">
        <v>1</v>
      </c>
    </row>
    <row r="1121" spans="1:11">
      <c r="A1121" s="16">
        <v>43685</v>
      </c>
      <c r="B1121" s="17" t="s">
        <v>1119</v>
      </c>
      <c r="C1121">
        <v>27496500</v>
      </c>
      <c r="D1121">
        <f t="shared" si="34"/>
        <v>2.6335663650574683E-2</v>
      </c>
      <c r="G1121" s="17" t="s">
        <v>5364</v>
      </c>
      <c r="H1121">
        <v>4106370000</v>
      </c>
      <c r="J1121">
        <f t="shared" si="35"/>
        <v>1.8588462666627403E-2</v>
      </c>
      <c r="K1121">
        <v>1</v>
      </c>
    </row>
    <row r="1122" spans="1:11">
      <c r="A1122" s="16">
        <v>43686</v>
      </c>
      <c r="B1122" s="17" t="s">
        <v>1120</v>
      </c>
      <c r="C1122">
        <v>23466700</v>
      </c>
      <c r="D1122">
        <f t="shared" si="34"/>
        <v>-8.5320916785360801E-3</v>
      </c>
      <c r="G1122" s="17" t="s">
        <v>5368</v>
      </c>
      <c r="H1122">
        <v>3350640000</v>
      </c>
      <c r="J1122">
        <f t="shared" si="35"/>
        <v>-6.6385932886606509E-3</v>
      </c>
      <c r="K1122">
        <v>1</v>
      </c>
    </row>
    <row r="1123" spans="1:11">
      <c r="A1123" s="16">
        <v>43689</v>
      </c>
      <c r="B1123" s="17" t="s">
        <v>1121</v>
      </c>
      <c r="C1123">
        <v>20476600</v>
      </c>
      <c r="D1123">
        <f t="shared" si="34"/>
        <v>-1.4040706441450161E-2</v>
      </c>
      <c r="G1123" s="17" t="s">
        <v>5372</v>
      </c>
      <c r="H1123">
        <v>2851630000</v>
      </c>
      <c r="J1123">
        <f t="shared" si="35"/>
        <v>-1.2393809057761218E-2</v>
      </c>
      <c r="K1123">
        <v>1</v>
      </c>
    </row>
    <row r="1124" spans="1:11">
      <c r="A1124" s="16">
        <v>43690</v>
      </c>
      <c r="B1124" s="17" t="s">
        <v>1122</v>
      </c>
      <c r="C1124">
        <v>25154600</v>
      </c>
      <c r="D1124">
        <f t="shared" si="34"/>
        <v>2.0482709723161616E-2</v>
      </c>
      <c r="G1124" s="17" t="s">
        <v>5376</v>
      </c>
      <c r="H1124">
        <v>3853600000</v>
      </c>
      <c r="J1124">
        <f t="shared" si="35"/>
        <v>1.5018346204117041E-2</v>
      </c>
      <c r="K1124">
        <v>1</v>
      </c>
    </row>
    <row r="1125" spans="1:11">
      <c r="A1125" s="16">
        <v>43691</v>
      </c>
      <c r="B1125" s="17" t="s">
        <v>1123</v>
      </c>
      <c r="C1125">
        <v>32527300</v>
      </c>
      <c r="D1125">
        <f t="shared" si="34"/>
        <v>-3.0577228476386817E-2</v>
      </c>
      <c r="G1125" s="17" t="s">
        <v>5379</v>
      </c>
      <c r="H1125">
        <v>4312530000</v>
      </c>
      <c r="J1125">
        <f t="shared" si="35"/>
        <v>-2.9730352210714808E-2</v>
      </c>
      <c r="K1125">
        <v>1</v>
      </c>
    </row>
    <row r="1126" spans="1:11">
      <c r="A1126" s="16">
        <v>43692</v>
      </c>
      <c r="B1126" s="17" t="s">
        <v>1124</v>
      </c>
      <c r="C1126">
        <v>28074400</v>
      </c>
      <c r="D1126">
        <f t="shared" si="34"/>
        <v>-2.2416792609092394E-3</v>
      </c>
      <c r="G1126" s="17" t="s">
        <v>5383</v>
      </c>
      <c r="H1126">
        <v>4038000000</v>
      </c>
      <c r="J1126">
        <f t="shared" si="35"/>
        <v>2.4612366978827697E-3</v>
      </c>
      <c r="K1126">
        <v>1</v>
      </c>
    </row>
    <row r="1127" spans="1:11">
      <c r="A1127" s="16">
        <v>43693</v>
      </c>
      <c r="B1127" s="17" t="s">
        <v>1125</v>
      </c>
      <c r="C1127">
        <v>24449100</v>
      </c>
      <c r="D1127">
        <f t="shared" si="34"/>
        <v>1.8161564897177736E-2</v>
      </c>
      <c r="G1127" s="17" t="s">
        <v>5386</v>
      </c>
      <c r="H1127">
        <v>3498150000</v>
      </c>
      <c r="J1127">
        <f t="shared" si="35"/>
        <v>1.4323058175937407E-2</v>
      </c>
      <c r="K1127">
        <v>1</v>
      </c>
    </row>
    <row r="1128" spans="1:11">
      <c r="A1128" s="16">
        <v>43696</v>
      </c>
      <c r="B1128" s="17" t="s">
        <v>1126</v>
      </c>
      <c r="C1128">
        <v>24355700</v>
      </c>
      <c r="D1128">
        <f t="shared" si="34"/>
        <v>1.6610014631043231E-2</v>
      </c>
      <c r="G1128" s="17" t="s">
        <v>5389</v>
      </c>
      <c r="H1128">
        <v>3212880000</v>
      </c>
      <c r="J1128">
        <f t="shared" si="35"/>
        <v>1.2033175322413726E-2</v>
      </c>
      <c r="K1128">
        <v>1</v>
      </c>
    </row>
    <row r="1129" spans="1:11">
      <c r="A1129" s="16">
        <v>43697</v>
      </c>
      <c r="B1129" s="17" t="s">
        <v>1127</v>
      </c>
      <c r="C1129">
        <v>21170800</v>
      </c>
      <c r="D1129">
        <f t="shared" si="34"/>
        <v>-8.3434429850853149E-3</v>
      </c>
      <c r="G1129" s="17" t="s">
        <v>5393</v>
      </c>
      <c r="H1129">
        <v>3066300000</v>
      </c>
      <c r="J1129">
        <f t="shared" si="35"/>
        <v>-7.9462151137351059E-3</v>
      </c>
      <c r="K1129">
        <v>1</v>
      </c>
    </row>
    <row r="1130" spans="1:11">
      <c r="A1130" s="16">
        <v>43698</v>
      </c>
      <c r="B1130" s="17" t="s">
        <v>1128</v>
      </c>
      <c r="C1130">
        <v>14970300</v>
      </c>
      <c r="D1130">
        <f t="shared" si="34"/>
        <v>1.1084967692666628E-2</v>
      </c>
      <c r="G1130" s="17" t="s">
        <v>5396</v>
      </c>
      <c r="H1130">
        <v>3011190000</v>
      </c>
      <c r="J1130">
        <f t="shared" si="35"/>
        <v>8.2129795994355052E-3</v>
      </c>
      <c r="K1130">
        <v>1</v>
      </c>
    </row>
    <row r="1131" spans="1:11">
      <c r="A1131" s="16">
        <v>43699</v>
      </c>
      <c r="B1131" s="17" t="s">
        <v>1129</v>
      </c>
      <c r="C1131">
        <v>18697000</v>
      </c>
      <c r="D1131">
        <f t="shared" si="34"/>
        <v>-7.3037675876326301E-3</v>
      </c>
      <c r="G1131" s="17" t="s">
        <v>5400</v>
      </c>
      <c r="H1131">
        <v>2890880000</v>
      </c>
      <c r="J1131">
        <f t="shared" si="35"/>
        <v>-5.0620314096755901E-4</v>
      </c>
      <c r="K1131">
        <v>1</v>
      </c>
    </row>
    <row r="1132" spans="1:11">
      <c r="A1132" s="16">
        <v>43700</v>
      </c>
      <c r="B1132" s="17" t="s">
        <v>1130</v>
      </c>
      <c r="C1132">
        <v>38508600</v>
      </c>
      <c r="D1132">
        <f t="shared" si="34"/>
        <v>-3.2381005497225591E-2</v>
      </c>
      <c r="G1132" s="17" t="s">
        <v>5404</v>
      </c>
      <c r="H1132">
        <v>3937300000</v>
      </c>
      <c r="J1132">
        <f t="shared" si="35"/>
        <v>-2.6288881212212494E-2</v>
      </c>
      <c r="K1132">
        <v>1</v>
      </c>
    </row>
    <row r="1133" spans="1:11">
      <c r="A1133" s="16">
        <v>43703</v>
      </c>
      <c r="B1133" s="17" t="s">
        <v>1131</v>
      </c>
      <c r="C1133">
        <v>20312600</v>
      </c>
      <c r="D1133">
        <f t="shared" si="34"/>
        <v>1.5325416722428349E-2</v>
      </c>
      <c r="G1133" s="17" t="s">
        <v>5408</v>
      </c>
      <c r="H1133">
        <v>2857600000</v>
      </c>
      <c r="J1133">
        <f t="shared" si="35"/>
        <v>1.0923112944115404E-2</v>
      </c>
      <c r="K1133">
        <v>1</v>
      </c>
    </row>
    <row r="1134" spans="1:11">
      <c r="A1134" s="16">
        <v>43704</v>
      </c>
      <c r="B1134" s="17" t="s">
        <v>1132</v>
      </c>
      <c r="C1134">
        <v>23102100</v>
      </c>
      <c r="D1134">
        <f t="shared" si="34"/>
        <v>2.1386835543478629E-3</v>
      </c>
      <c r="G1134" s="17" t="s">
        <v>5412</v>
      </c>
      <c r="H1134">
        <v>3533630000</v>
      </c>
      <c r="J1134">
        <f t="shared" si="35"/>
        <v>-3.20832190381789E-3</v>
      </c>
      <c r="K1134">
        <v>1</v>
      </c>
    </row>
    <row r="1135" spans="1:11">
      <c r="A1135" s="16">
        <v>43705</v>
      </c>
      <c r="B1135" s="17" t="s">
        <v>1133</v>
      </c>
      <c r="C1135">
        <v>17393300</v>
      </c>
      <c r="D1135">
        <f t="shared" si="34"/>
        <v>-1.3270118564456959E-3</v>
      </c>
      <c r="G1135" s="17" t="s">
        <v>5416</v>
      </c>
      <c r="H1135">
        <v>3097420000</v>
      </c>
      <c r="J1135">
        <f t="shared" si="35"/>
        <v>6.5241514280121003E-3</v>
      </c>
      <c r="K1135">
        <v>1</v>
      </c>
    </row>
    <row r="1136" spans="1:11">
      <c r="A1136" s="16">
        <v>43706</v>
      </c>
      <c r="B1136" s="17" t="s">
        <v>1134</v>
      </c>
      <c r="C1136">
        <v>20168700</v>
      </c>
      <c r="D1136">
        <f t="shared" si="34"/>
        <v>1.870855776923383E-2</v>
      </c>
      <c r="G1136" s="17" t="s">
        <v>5420</v>
      </c>
      <c r="H1136">
        <v>3176190000</v>
      </c>
      <c r="J1136">
        <f t="shared" si="35"/>
        <v>1.260748253902438E-2</v>
      </c>
      <c r="K1136">
        <v>1</v>
      </c>
    </row>
    <row r="1137" spans="1:11">
      <c r="A1137" s="16">
        <v>43707</v>
      </c>
      <c r="B1137" s="17" t="s">
        <v>1135</v>
      </c>
      <c r="C1137">
        <v>23940100</v>
      </c>
      <c r="D1137">
        <f t="shared" si="34"/>
        <v>-1.8840458496979643E-3</v>
      </c>
      <c r="G1137" s="17" t="s">
        <v>5228</v>
      </c>
      <c r="H1137">
        <v>3008450000</v>
      </c>
      <c r="J1137">
        <f t="shared" si="35"/>
        <v>6.4258082397493387E-4</v>
      </c>
      <c r="K1137">
        <v>1</v>
      </c>
    </row>
    <row r="1138" spans="1:11">
      <c r="A1138" s="16">
        <v>43711</v>
      </c>
      <c r="B1138" s="17" t="s">
        <v>1136</v>
      </c>
      <c r="C1138">
        <v>18869300</v>
      </c>
      <c r="D1138">
        <f t="shared" si="34"/>
        <v>-1.3289803216755127E-2</v>
      </c>
      <c r="G1138" s="17" t="s">
        <v>5427</v>
      </c>
      <c r="H1138">
        <v>3426790000</v>
      </c>
      <c r="J1138">
        <f t="shared" si="35"/>
        <v>-6.92300919275306E-3</v>
      </c>
      <c r="K1138">
        <v>1</v>
      </c>
    </row>
    <row r="1139" spans="1:11">
      <c r="A1139" s="16">
        <v>43712</v>
      </c>
      <c r="B1139" s="17" t="s">
        <v>1137</v>
      </c>
      <c r="C1139">
        <v>17995900</v>
      </c>
      <c r="D1139">
        <f t="shared" si="34"/>
        <v>1.1620077497151595E-2</v>
      </c>
      <c r="G1139" s="17" t="s">
        <v>5431</v>
      </c>
      <c r="H1139">
        <v>3163260000</v>
      </c>
      <c r="J1139">
        <f t="shared" si="35"/>
        <v>1.0783725016077904E-2</v>
      </c>
      <c r="K1139">
        <v>1</v>
      </c>
    </row>
    <row r="1140" spans="1:11">
      <c r="A1140" s="16">
        <v>43713</v>
      </c>
      <c r="B1140" s="17" t="s">
        <v>1138</v>
      </c>
      <c r="C1140">
        <v>26101800</v>
      </c>
      <c r="D1140">
        <f t="shared" si="34"/>
        <v>1.7430490857472798E-2</v>
      </c>
      <c r="G1140" s="17" t="s">
        <v>5434</v>
      </c>
      <c r="H1140">
        <v>3890700000</v>
      </c>
      <c r="J1140">
        <f t="shared" si="35"/>
        <v>1.2925913022813845E-2</v>
      </c>
      <c r="K1140">
        <v>1</v>
      </c>
    </row>
    <row r="1141" spans="1:11">
      <c r="A1141" s="16">
        <v>43714</v>
      </c>
      <c r="B1141" s="17" t="s">
        <v>1139</v>
      </c>
      <c r="C1141">
        <v>20824500</v>
      </c>
      <c r="D1141">
        <f t="shared" si="34"/>
        <v>-6.8063998560519388E-3</v>
      </c>
      <c r="G1141" s="17" t="s">
        <v>5437</v>
      </c>
      <c r="H1141">
        <v>3208280000</v>
      </c>
      <c r="J1141">
        <f t="shared" si="35"/>
        <v>9.101908253591022E-4</v>
      </c>
      <c r="K1141">
        <v>1</v>
      </c>
    </row>
    <row r="1142" spans="1:11">
      <c r="A1142" s="16">
        <v>43717</v>
      </c>
      <c r="B1142" s="17" t="s">
        <v>1140</v>
      </c>
      <c r="C1142">
        <v>25773900</v>
      </c>
      <c r="D1142">
        <f t="shared" si="34"/>
        <v>-1.1423666906798429E-2</v>
      </c>
      <c r="G1142" s="17" t="s">
        <v>5441</v>
      </c>
      <c r="H1142">
        <v>4002890000</v>
      </c>
      <c r="J1142">
        <f t="shared" si="35"/>
        <v>-9.4014579222948533E-5</v>
      </c>
      <c r="K1142">
        <v>1</v>
      </c>
    </row>
    <row r="1143" spans="1:11">
      <c r="A1143" s="16">
        <v>43718</v>
      </c>
      <c r="B1143" s="17" t="s">
        <v>1141</v>
      </c>
      <c r="C1143">
        <v>28903400</v>
      </c>
      <c r="D1143">
        <f t="shared" si="34"/>
        <v>-1.0526452742983378E-2</v>
      </c>
      <c r="G1143" s="17" t="s">
        <v>5443</v>
      </c>
      <c r="H1143">
        <v>4390770000</v>
      </c>
      <c r="J1143">
        <f t="shared" si="35"/>
        <v>3.2225244686973423E-4</v>
      </c>
      <c r="K1143">
        <v>1</v>
      </c>
    </row>
    <row r="1144" spans="1:11">
      <c r="A1144" s="16">
        <v>43719</v>
      </c>
      <c r="B1144" s="17" t="s">
        <v>1142</v>
      </c>
      <c r="C1144">
        <v>24726100</v>
      </c>
      <c r="D1144">
        <f t="shared" si="34"/>
        <v>2.9374066174103313E-4</v>
      </c>
      <c r="G1144" s="17" t="s">
        <v>5446</v>
      </c>
      <c r="H1144">
        <v>3927550000</v>
      </c>
      <c r="J1144">
        <f t="shared" si="35"/>
        <v>7.2036723045440518E-3</v>
      </c>
      <c r="K1144">
        <v>1</v>
      </c>
    </row>
    <row r="1145" spans="1:11">
      <c r="A1145" s="16">
        <v>43720</v>
      </c>
      <c r="B1145" s="17" t="s">
        <v>1140</v>
      </c>
      <c r="C1145">
        <v>27010000</v>
      </c>
      <c r="D1145">
        <f t="shared" si="34"/>
        <v>1.023271208124244E-2</v>
      </c>
      <c r="G1145" s="17" t="s">
        <v>5451</v>
      </c>
      <c r="H1145">
        <v>3791860000</v>
      </c>
      <c r="J1145">
        <f t="shared" si="35"/>
        <v>2.8750160390679956E-3</v>
      </c>
      <c r="K1145">
        <v>1</v>
      </c>
    </row>
    <row r="1146" spans="1:11">
      <c r="A1146" s="16">
        <v>43721</v>
      </c>
      <c r="B1146" s="17" t="s">
        <v>1143</v>
      </c>
      <c r="C1146">
        <v>23363100</v>
      </c>
      <c r="D1146">
        <f t="shared" si="34"/>
        <v>-1.4554816068024299E-3</v>
      </c>
      <c r="G1146" s="17" t="s">
        <v>5455</v>
      </c>
      <c r="H1146">
        <v>3520060000</v>
      </c>
      <c r="J1146">
        <f t="shared" si="35"/>
        <v>-7.2467661727595176E-4</v>
      </c>
      <c r="K1146">
        <v>1</v>
      </c>
    </row>
    <row r="1147" spans="1:11">
      <c r="A1147" s="16">
        <v>43724</v>
      </c>
      <c r="B1147" s="17" t="s">
        <v>1144</v>
      </c>
      <c r="C1147">
        <v>16731400</v>
      </c>
      <c r="D1147">
        <f t="shared" si="34"/>
        <v>-7.2354985997673685E-3</v>
      </c>
      <c r="G1147" s="17" t="s">
        <v>5459</v>
      </c>
      <c r="H1147">
        <v>4274640000</v>
      </c>
      <c r="J1147">
        <f t="shared" si="35"/>
        <v>-3.1405130357880207E-3</v>
      </c>
      <c r="K1147">
        <v>1</v>
      </c>
    </row>
    <row r="1148" spans="1:11">
      <c r="A1148" s="16">
        <v>43725</v>
      </c>
      <c r="B1148" s="17" t="s">
        <v>1145</v>
      </c>
      <c r="C1148">
        <v>17814200</v>
      </c>
      <c r="D1148">
        <f t="shared" si="34"/>
        <v>7.745181236528227E-3</v>
      </c>
      <c r="G1148" s="17" t="s">
        <v>5463</v>
      </c>
      <c r="H1148">
        <v>3671840000</v>
      </c>
      <c r="J1148">
        <f t="shared" si="35"/>
        <v>2.5784252944315751E-3</v>
      </c>
      <c r="K1148">
        <v>1</v>
      </c>
    </row>
    <row r="1149" spans="1:11">
      <c r="A1149" s="16">
        <v>43726</v>
      </c>
      <c r="B1149" s="17" t="s">
        <v>1146</v>
      </c>
      <c r="C1149">
        <v>23982100</v>
      </c>
      <c r="D1149">
        <f t="shared" si="34"/>
        <v>8.1910689405916021E-3</v>
      </c>
      <c r="G1149" s="17" t="s">
        <v>5467</v>
      </c>
      <c r="H1149">
        <v>3435540000</v>
      </c>
      <c r="J1149">
        <f t="shared" si="35"/>
        <v>3.4263318554979109E-4</v>
      </c>
      <c r="K1149">
        <v>1</v>
      </c>
    </row>
    <row r="1150" spans="1:11">
      <c r="A1150" s="16">
        <v>43727</v>
      </c>
      <c r="B1150" s="17" t="s">
        <v>1147</v>
      </c>
      <c r="C1150">
        <v>35772100</v>
      </c>
      <c r="D1150">
        <f t="shared" si="34"/>
        <v>1.824156615929997E-2</v>
      </c>
      <c r="G1150" s="17" t="s">
        <v>5471</v>
      </c>
      <c r="H1150">
        <v>3251290000</v>
      </c>
      <c r="J1150">
        <f t="shared" si="35"/>
        <v>1.997465704358366E-5</v>
      </c>
      <c r="K1150">
        <v>1</v>
      </c>
    </row>
    <row r="1151" spans="1:11">
      <c r="A1151" s="16">
        <v>43728</v>
      </c>
      <c r="B1151" s="17" t="s">
        <v>1148</v>
      </c>
      <c r="C1151">
        <v>39167300</v>
      </c>
      <c r="D1151">
        <f t="shared" si="34"/>
        <v>-1.1621881358398253E-2</v>
      </c>
      <c r="G1151" s="17" t="s">
        <v>5475</v>
      </c>
      <c r="H1151">
        <v>6094740000</v>
      </c>
      <c r="J1151">
        <f t="shared" si="35"/>
        <v>-4.9075992042032345E-3</v>
      </c>
      <c r="K1151">
        <v>1</v>
      </c>
    </row>
    <row r="1152" spans="1:11">
      <c r="A1152" s="16">
        <v>43731</v>
      </c>
      <c r="B1152" s="17" t="s">
        <v>1149</v>
      </c>
      <c r="C1152">
        <v>17139300</v>
      </c>
      <c r="D1152">
        <f t="shared" si="34"/>
        <v>-2.1538079824681118E-3</v>
      </c>
      <c r="G1152" s="17" t="s">
        <v>5479</v>
      </c>
      <c r="H1152">
        <v>3186590000</v>
      </c>
      <c r="J1152">
        <f t="shared" si="35"/>
        <v>-9.6940596948634042E-5</v>
      </c>
      <c r="K1152">
        <v>1</v>
      </c>
    </row>
    <row r="1153" spans="1:11">
      <c r="A1153" s="16">
        <v>43732</v>
      </c>
      <c r="B1153" s="17" t="s">
        <v>1150</v>
      </c>
      <c r="C1153">
        <v>29773200</v>
      </c>
      <c r="D1153">
        <f t="shared" si="34"/>
        <v>-1.2729697718742765E-2</v>
      </c>
      <c r="G1153" s="17" t="s">
        <v>5483</v>
      </c>
      <c r="H1153">
        <v>3868160000</v>
      </c>
      <c r="J1153">
        <f t="shared" si="35"/>
        <v>-8.4519887484478164E-3</v>
      </c>
      <c r="K1153">
        <v>1</v>
      </c>
    </row>
    <row r="1154" spans="1:11">
      <c r="A1154" s="16">
        <v>43733</v>
      </c>
      <c r="B1154" s="17" t="s">
        <v>1151</v>
      </c>
      <c r="C1154">
        <v>21382000</v>
      </c>
      <c r="D1154">
        <f t="shared" si="34"/>
        <v>1.4309599745173587E-2</v>
      </c>
      <c r="G1154" s="17" t="s">
        <v>5487</v>
      </c>
      <c r="H1154">
        <v>3318870000</v>
      </c>
      <c r="J1154">
        <f t="shared" si="35"/>
        <v>6.139685063273532E-3</v>
      </c>
      <c r="K1154">
        <v>1</v>
      </c>
    </row>
    <row r="1155" spans="1:11">
      <c r="A1155" s="16">
        <v>43734</v>
      </c>
      <c r="B1155" s="17" t="s">
        <v>1152</v>
      </c>
      <c r="C1155">
        <v>17456600</v>
      </c>
      <c r="D1155">
        <f t="shared" si="34"/>
        <v>1.2907354067850506E-3</v>
      </c>
      <c r="G1155" s="17" t="s">
        <v>5491</v>
      </c>
      <c r="H1155">
        <v>3077240000</v>
      </c>
      <c r="J1155">
        <f t="shared" si="35"/>
        <v>-2.4318710097662182E-3</v>
      </c>
      <c r="K1155">
        <v>1</v>
      </c>
    </row>
    <row r="1156" spans="1:11">
      <c r="A1156" s="16">
        <v>43735</v>
      </c>
      <c r="B1156" s="17" t="s">
        <v>1153</v>
      </c>
      <c r="C1156">
        <v>22477700</v>
      </c>
      <c r="D1156">
        <f t="shared" si="34"/>
        <v>-1.3056064767729428E-2</v>
      </c>
      <c r="G1156" s="17" t="s">
        <v>5495</v>
      </c>
      <c r="H1156">
        <v>3243650000</v>
      </c>
      <c r="J1156">
        <f t="shared" si="35"/>
        <v>-5.3305345372608622E-3</v>
      </c>
      <c r="K1156">
        <v>1</v>
      </c>
    </row>
    <row r="1157" spans="1:11">
      <c r="A1157" s="16">
        <v>43738</v>
      </c>
      <c r="B1157" s="17" t="s">
        <v>1154</v>
      </c>
      <c r="C1157">
        <v>17280900</v>
      </c>
      <c r="D1157">
        <f t="shared" ref="D1157:D1220" si="36">LN(B1157/B1156)</f>
        <v>9.3945320635464534E-3</v>
      </c>
      <c r="G1157" s="17" t="s">
        <v>5498</v>
      </c>
      <c r="H1157">
        <v>3247610000</v>
      </c>
      <c r="J1157">
        <f t="shared" ref="J1157:J1220" si="37">LN(G1157/G1156)</f>
        <v>5.0349101576151927E-3</v>
      </c>
      <c r="K1157">
        <v>1</v>
      </c>
    </row>
    <row r="1158" spans="1:11">
      <c r="A1158" s="16">
        <v>43739</v>
      </c>
      <c r="B1158" s="17" t="s">
        <v>1155</v>
      </c>
      <c r="C1158">
        <v>21466600</v>
      </c>
      <c r="D1158">
        <f t="shared" si="36"/>
        <v>-1.4197850863119466E-2</v>
      </c>
      <c r="G1158" s="17" t="s">
        <v>5502</v>
      </c>
      <c r="H1158">
        <v>3558040000</v>
      </c>
      <c r="J1158">
        <f t="shared" si="37"/>
        <v>-1.2334126866677331E-2</v>
      </c>
      <c r="K1158">
        <v>1</v>
      </c>
    </row>
    <row r="1159" spans="1:11">
      <c r="A1159" s="16">
        <v>43740</v>
      </c>
      <c r="B1159" s="17" t="s">
        <v>1156</v>
      </c>
      <c r="C1159">
        <v>30521700</v>
      </c>
      <c r="D1159">
        <f t="shared" si="36"/>
        <v>-1.7813067227336814E-2</v>
      </c>
      <c r="G1159" s="17" t="s">
        <v>5505</v>
      </c>
      <c r="H1159">
        <v>3912520000</v>
      </c>
      <c r="J1159">
        <f t="shared" si="37"/>
        <v>-1.8065404333742128E-2</v>
      </c>
      <c r="K1159">
        <v>1</v>
      </c>
    </row>
    <row r="1160" spans="1:11">
      <c r="A1160" s="16">
        <v>43741</v>
      </c>
      <c r="B1160" s="17" t="s">
        <v>1157</v>
      </c>
      <c r="C1160">
        <v>24132900</v>
      </c>
      <c r="D1160">
        <f t="shared" si="36"/>
        <v>1.2032837651085471E-2</v>
      </c>
      <c r="G1160" s="17" t="s">
        <v>5509</v>
      </c>
      <c r="H1160">
        <v>3503640000</v>
      </c>
      <c r="J1160">
        <f t="shared" si="37"/>
        <v>7.9403049843841545E-3</v>
      </c>
      <c r="K1160">
        <v>1</v>
      </c>
    </row>
    <row r="1161" spans="1:11">
      <c r="A1161" s="16">
        <v>43742</v>
      </c>
      <c r="B1161" s="17" t="s">
        <v>1134</v>
      </c>
      <c r="C1161">
        <v>22897700</v>
      </c>
      <c r="D1161">
        <f t="shared" si="36"/>
        <v>1.3411176396033458E-2</v>
      </c>
      <c r="G1161" s="17" t="s">
        <v>5512</v>
      </c>
      <c r="H1161">
        <v>2990830000</v>
      </c>
      <c r="J1161">
        <f t="shared" si="37"/>
        <v>1.4116785254235103E-2</v>
      </c>
      <c r="K1161">
        <v>1</v>
      </c>
    </row>
    <row r="1162" spans="1:11">
      <c r="A1162" s="16">
        <v>43745</v>
      </c>
      <c r="B1162" s="17" t="s">
        <v>1158</v>
      </c>
      <c r="C1162">
        <v>15303700</v>
      </c>
      <c r="D1162">
        <f t="shared" si="36"/>
        <v>-7.2663221379085357E-3</v>
      </c>
      <c r="G1162" s="17" t="s">
        <v>5516</v>
      </c>
      <c r="H1162">
        <v>2940140000</v>
      </c>
      <c r="J1162">
        <f t="shared" si="37"/>
        <v>-4.4883523743439327E-3</v>
      </c>
      <c r="K1162">
        <v>1</v>
      </c>
    </row>
    <row r="1163" spans="1:11">
      <c r="A1163" s="16">
        <v>43746</v>
      </c>
      <c r="B1163" s="17" t="s">
        <v>1159</v>
      </c>
      <c r="C1163">
        <v>25550500</v>
      </c>
      <c r="D1163">
        <f t="shared" si="36"/>
        <v>-1.0630992310719137E-2</v>
      </c>
      <c r="G1163" s="17" t="s">
        <v>5520</v>
      </c>
      <c r="H1163">
        <v>3356450000</v>
      </c>
      <c r="J1163">
        <f t="shared" si="37"/>
        <v>-1.5683159390420455E-2</v>
      </c>
      <c r="K1163">
        <v>1</v>
      </c>
    </row>
    <row r="1164" spans="1:11">
      <c r="A1164" s="16">
        <v>43747</v>
      </c>
      <c r="B1164" s="17" t="s">
        <v>1160</v>
      </c>
      <c r="C1164">
        <v>19749900</v>
      </c>
      <c r="D1164">
        <f t="shared" si="36"/>
        <v>1.8765824988080101E-2</v>
      </c>
      <c r="G1164" s="17" t="s">
        <v>5523</v>
      </c>
      <c r="H1164">
        <v>2726820000</v>
      </c>
      <c r="J1164">
        <f t="shared" si="37"/>
        <v>9.0632962566768154E-3</v>
      </c>
      <c r="K1164">
        <v>1</v>
      </c>
    </row>
    <row r="1165" spans="1:11">
      <c r="A1165" s="16">
        <v>43748</v>
      </c>
      <c r="B1165" s="17" t="s">
        <v>1139</v>
      </c>
      <c r="C1165">
        <v>17654600</v>
      </c>
      <c r="D1165">
        <f t="shared" si="36"/>
        <v>6.2018088926669339E-3</v>
      </c>
      <c r="G1165" s="17" t="s">
        <v>5527</v>
      </c>
      <c r="H1165">
        <v>3217250000</v>
      </c>
      <c r="J1165">
        <f t="shared" si="37"/>
        <v>6.3952025933453642E-3</v>
      </c>
      <c r="K1165">
        <v>1</v>
      </c>
    </row>
    <row r="1166" spans="1:11">
      <c r="A1166" s="16">
        <v>43749</v>
      </c>
      <c r="B1166" s="17" t="s">
        <v>1161</v>
      </c>
      <c r="C1166">
        <v>25446000</v>
      </c>
      <c r="D1166">
        <f t="shared" si="36"/>
        <v>4.160909712447698E-3</v>
      </c>
      <c r="G1166" s="17" t="s">
        <v>5530</v>
      </c>
      <c r="H1166">
        <v>3580460000</v>
      </c>
      <c r="J1166">
        <f t="shared" si="37"/>
        <v>1.0879579767786803E-2</v>
      </c>
      <c r="K1166">
        <v>1</v>
      </c>
    </row>
    <row r="1167" spans="1:11">
      <c r="A1167" s="16">
        <v>43752</v>
      </c>
      <c r="B1167" s="17" t="s">
        <v>1162</v>
      </c>
      <c r="C1167">
        <v>13304300</v>
      </c>
      <c r="D1167">
        <f t="shared" si="36"/>
        <v>-9.3105839626591734E-4</v>
      </c>
      <c r="G1167" s="17" t="s">
        <v>5534</v>
      </c>
      <c r="H1167">
        <v>2557020000</v>
      </c>
      <c r="J1167">
        <f t="shared" si="37"/>
        <v>-1.3880819469238928E-3</v>
      </c>
      <c r="K1167">
        <v>1</v>
      </c>
    </row>
    <row r="1168" spans="1:11">
      <c r="A1168" s="16">
        <v>43753</v>
      </c>
      <c r="B1168" s="17" t="s">
        <v>1163</v>
      </c>
      <c r="C1168">
        <v>19695700</v>
      </c>
      <c r="D1168">
        <f t="shared" si="36"/>
        <v>1.4371397769148182E-2</v>
      </c>
      <c r="G1168" s="17" t="s">
        <v>5537</v>
      </c>
      <c r="H1168">
        <v>3340740000</v>
      </c>
      <c r="J1168">
        <f t="shared" si="37"/>
        <v>9.9064456123445291E-3</v>
      </c>
      <c r="K1168">
        <v>1</v>
      </c>
    </row>
    <row r="1169" spans="1:11">
      <c r="A1169" s="16">
        <v>43754</v>
      </c>
      <c r="B1169" s="17" t="s">
        <v>1164</v>
      </c>
      <c r="C1169">
        <v>20751600</v>
      </c>
      <c r="D1169">
        <f t="shared" si="36"/>
        <v>-8.2276287783917112E-3</v>
      </c>
      <c r="G1169" s="17" t="s">
        <v>5541</v>
      </c>
      <c r="H1169">
        <v>3222570000</v>
      </c>
      <c r="J1169">
        <f t="shared" si="37"/>
        <v>-2.0015448090417308E-3</v>
      </c>
      <c r="K1169">
        <v>1</v>
      </c>
    </row>
    <row r="1170" spans="1:11">
      <c r="A1170" s="16">
        <v>43755</v>
      </c>
      <c r="B1170" s="17" t="s">
        <v>1165</v>
      </c>
      <c r="C1170">
        <v>21460600</v>
      </c>
      <c r="D1170">
        <f t="shared" si="36"/>
        <v>-5.1410484893887323E-3</v>
      </c>
      <c r="G1170" s="17" t="s">
        <v>5545</v>
      </c>
      <c r="H1170">
        <v>3115960000</v>
      </c>
      <c r="J1170">
        <f t="shared" si="37"/>
        <v>2.7590220483281382E-3</v>
      </c>
      <c r="K1170">
        <v>1</v>
      </c>
    </row>
    <row r="1171" spans="1:11">
      <c r="A1171" s="16">
        <v>43756</v>
      </c>
      <c r="B1171" s="17" t="s">
        <v>1166</v>
      </c>
      <c r="C1171">
        <v>32273500</v>
      </c>
      <c r="D1171">
        <f t="shared" si="36"/>
        <v>-1.645655697377179E-2</v>
      </c>
      <c r="G1171" s="17" t="s">
        <v>5549</v>
      </c>
      <c r="H1171">
        <v>3264290000</v>
      </c>
      <c r="J1171">
        <f t="shared" si="37"/>
        <v>-3.927045710025329E-3</v>
      </c>
      <c r="K1171">
        <v>1</v>
      </c>
    </row>
    <row r="1172" spans="1:11">
      <c r="A1172" s="16">
        <v>43759</v>
      </c>
      <c r="B1172" s="17" t="s">
        <v>1167</v>
      </c>
      <c r="C1172">
        <v>20078200</v>
      </c>
      <c r="D1172">
        <f t="shared" si="36"/>
        <v>7.3955603035338159E-3</v>
      </c>
      <c r="G1172" s="17" t="s">
        <v>5553</v>
      </c>
      <c r="H1172">
        <v>3271620000</v>
      </c>
      <c r="J1172">
        <f t="shared" si="37"/>
        <v>6.8481142616272101E-3</v>
      </c>
      <c r="K1172">
        <v>1</v>
      </c>
    </row>
    <row r="1173" spans="1:11">
      <c r="A1173" s="16">
        <v>43760</v>
      </c>
      <c r="B1173" s="17" t="s">
        <v>1168</v>
      </c>
      <c r="C1173">
        <v>27431000</v>
      </c>
      <c r="D1173">
        <f t="shared" si="36"/>
        <v>-1.4992909507781323E-2</v>
      </c>
      <c r="G1173" s="17" t="s">
        <v>5557</v>
      </c>
      <c r="H1173">
        <v>3523890000</v>
      </c>
      <c r="J1173">
        <f t="shared" si="37"/>
        <v>-3.5750494353435419E-3</v>
      </c>
      <c r="K1173">
        <v>1</v>
      </c>
    </row>
    <row r="1174" spans="1:11">
      <c r="A1174" s="16">
        <v>43761</v>
      </c>
      <c r="B1174" s="17" t="s">
        <v>1169</v>
      </c>
      <c r="C1174">
        <v>29844600</v>
      </c>
      <c r="D1174">
        <f t="shared" si="36"/>
        <v>6.3595344215664953E-3</v>
      </c>
      <c r="G1174" s="17" t="s">
        <v>5561</v>
      </c>
      <c r="H1174">
        <v>3392870000</v>
      </c>
      <c r="J1174">
        <f t="shared" si="37"/>
        <v>2.843103580075224E-3</v>
      </c>
      <c r="K1174">
        <v>1</v>
      </c>
    </row>
    <row r="1175" spans="1:11">
      <c r="A1175" s="16">
        <v>43762</v>
      </c>
      <c r="B1175" s="17" t="s">
        <v>1170</v>
      </c>
      <c r="C1175">
        <v>37029300</v>
      </c>
      <c r="D1175">
        <f t="shared" si="36"/>
        <v>1.9482560595001766E-2</v>
      </c>
      <c r="G1175" s="17" t="s">
        <v>5565</v>
      </c>
      <c r="H1175">
        <v>3692600000</v>
      </c>
      <c r="J1175">
        <f t="shared" si="37"/>
        <v>1.9186044823943E-3</v>
      </c>
      <c r="K1175">
        <v>1</v>
      </c>
    </row>
    <row r="1176" spans="1:11">
      <c r="A1176" s="16">
        <v>43763</v>
      </c>
      <c r="B1176" s="17" t="s">
        <v>1171</v>
      </c>
      <c r="C1176">
        <v>25959700</v>
      </c>
      <c r="D1176">
        <f t="shared" si="36"/>
        <v>5.6292556463950795E-3</v>
      </c>
      <c r="G1176" s="17" t="s">
        <v>5569</v>
      </c>
      <c r="H1176">
        <v>3370370000</v>
      </c>
      <c r="J1176">
        <f t="shared" si="37"/>
        <v>4.0644295882822203E-3</v>
      </c>
      <c r="K1176">
        <v>1</v>
      </c>
    </row>
    <row r="1177" spans="1:11">
      <c r="A1177" s="16">
        <v>43766</v>
      </c>
      <c r="B1177" s="17" t="s">
        <v>1172</v>
      </c>
      <c r="C1177">
        <v>35280100</v>
      </c>
      <c r="D1177">
        <f t="shared" si="36"/>
        <v>2.4288821672556096E-2</v>
      </c>
      <c r="G1177" s="17" t="s">
        <v>5572</v>
      </c>
      <c r="H1177">
        <v>3521230000</v>
      </c>
      <c r="J1177">
        <f t="shared" si="37"/>
        <v>5.5658199003797548E-3</v>
      </c>
      <c r="K1177">
        <v>1</v>
      </c>
    </row>
    <row r="1178" spans="1:11">
      <c r="A1178" s="16">
        <v>43767</v>
      </c>
      <c r="B1178" s="17" t="s">
        <v>1173</v>
      </c>
      <c r="C1178">
        <v>20589500</v>
      </c>
      <c r="D1178">
        <f t="shared" si="36"/>
        <v>-9.4767900781229687E-3</v>
      </c>
      <c r="G1178" s="17" t="s">
        <v>5576</v>
      </c>
      <c r="H1178">
        <v>3589930000</v>
      </c>
      <c r="J1178">
        <f t="shared" si="37"/>
        <v>-8.3275185869019096E-4</v>
      </c>
      <c r="K1178">
        <v>1</v>
      </c>
    </row>
    <row r="1179" spans="1:11">
      <c r="A1179" s="16">
        <v>43768</v>
      </c>
      <c r="B1179" s="17" t="s">
        <v>1174</v>
      </c>
      <c r="C1179">
        <v>18496600</v>
      </c>
      <c r="D1179">
        <f t="shared" si="36"/>
        <v>1.2385375537108192E-2</v>
      </c>
      <c r="G1179" s="17" t="s">
        <v>5580</v>
      </c>
      <c r="H1179">
        <v>3776030000</v>
      </c>
      <c r="J1179">
        <f t="shared" si="37"/>
        <v>3.2480894157918484E-3</v>
      </c>
      <c r="K1179">
        <v>1</v>
      </c>
    </row>
    <row r="1180" spans="1:11">
      <c r="A1180" s="16">
        <v>43769</v>
      </c>
      <c r="B1180" s="17" t="s">
        <v>1175</v>
      </c>
      <c r="C1180">
        <v>24605100</v>
      </c>
      <c r="D1180">
        <f t="shared" si="36"/>
        <v>-8.6119323998556981E-3</v>
      </c>
      <c r="G1180" s="17" t="s">
        <v>5583</v>
      </c>
      <c r="H1180">
        <v>4139280000</v>
      </c>
      <c r="J1180">
        <f t="shared" si="37"/>
        <v>-3.0274386546482847E-3</v>
      </c>
      <c r="K1180">
        <v>1</v>
      </c>
    </row>
    <row r="1181" spans="1:11">
      <c r="A1181" s="16">
        <v>43770</v>
      </c>
      <c r="B1181" s="17" t="s">
        <v>1176</v>
      </c>
      <c r="C1181">
        <v>33128400</v>
      </c>
      <c r="D1181">
        <f t="shared" si="36"/>
        <v>2.438415699286595E-3</v>
      </c>
      <c r="G1181" s="17" t="s">
        <v>5586</v>
      </c>
      <c r="H1181">
        <v>3930200000</v>
      </c>
      <c r="J1181">
        <f t="shared" si="37"/>
        <v>9.6159303902425119E-3</v>
      </c>
      <c r="K1181">
        <v>1</v>
      </c>
    </row>
    <row r="1182" spans="1:11">
      <c r="A1182" s="16">
        <v>43773</v>
      </c>
      <c r="B1182" s="17" t="s">
        <v>1177</v>
      </c>
      <c r="C1182">
        <v>16912000</v>
      </c>
      <c r="D1182">
        <f t="shared" si="36"/>
        <v>5.7585330226960357E-3</v>
      </c>
      <c r="G1182" s="17" t="s">
        <v>5590</v>
      </c>
      <c r="H1182">
        <v>4146850000</v>
      </c>
      <c r="J1182">
        <f t="shared" si="37"/>
        <v>3.6972459932524981E-3</v>
      </c>
      <c r="K1182">
        <v>1</v>
      </c>
    </row>
    <row r="1183" spans="1:11">
      <c r="A1183" s="16">
        <v>43774</v>
      </c>
      <c r="B1183" s="17" t="s">
        <v>1178</v>
      </c>
      <c r="C1183">
        <v>18250200</v>
      </c>
      <c r="D1183">
        <f t="shared" si="36"/>
        <v>-6.2279162719817277E-4</v>
      </c>
      <c r="G1183" s="17" t="s">
        <v>5594</v>
      </c>
      <c r="H1183">
        <v>4486130000</v>
      </c>
      <c r="J1183">
        <f t="shared" si="37"/>
        <v>-1.1864029250808047E-3</v>
      </c>
      <c r="K1183">
        <v>1</v>
      </c>
    </row>
    <row r="1184" spans="1:11">
      <c r="A1184" s="16">
        <v>43775</v>
      </c>
      <c r="B1184" s="17" t="s">
        <v>1179</v>
      </c>
      <c r="C1184">
        <v>16575800</v>
      </c>
      <c r="D1184">
        <f t="shared" si="36"/>
        <v>-2.772949984561103E-3</v>
      </c>
      <c r="G1184" s="17" t="s">
        <v>5598</v>
      </c>
      <c r="H1184">
        <v>4458190000</v>
      </c>
      <c r="J1184">
        <f t="shared" si="37"/>
        <v>7.02250556783877E-4</v>
      </c>
      <c r="K1184">
        <v>1</v>
      </c>
    </row>
    <row r="1185" spans="1:11">
      <c r="A1185" s="16">
        <v>43776</v>
      </c>
      <c r="B1185" s="17" t="s">
        <v>1180</v>
      </c>
      <c r="C1185">
        <v>17786700</v>
      </c>
      <c r="D1185">
        <f t="shared" si="36"/>
        <v>1.3873280434516886E-3</v>
      </c>
      <c r="G1185" s="17" t="s">
        <v>5602</v>
      </c>
      <c r="H1185">
        <v>4144640000</v>
      </c>
      <c r="J1185">
        <f t="shared" si="37"/>
        <v>2.7263754572537358E-3</v>
      </c>
      <c r="K1185">
        <v>1</v>
      </c>
    </row>
    <row r="1186" spans="1:11">
      <c r="A1186" s="16">
        <v>43777</v>
      </c>
      <c r="B1186" s="17" t="s">
        <v>1181</v>
      </c>
      <c r="C1186">
        <v>16732700</v>
      </c>
      <c r="D1186">
        <f t="shared" si="36"/>
        <v>1.1715502930448258E-2</v>
      </c>
      <c r="G1186" s="17" t="s">
        <v>5606</v>
      </c>
      <c r="H1186">
        <v>3499150000</v>
      </c>
      <c r="J1186">
        <f t="shared" si="37"/>
        <v>2.5574029882187502E-3</v>
      </c>
      <c r="K1186">
        <v>1</v>
      </c>
    </row>
    <row r="1187" spans="1:11">
      <c r="A1187" s="16">
        <v>43780</v>
      </c>
      <c r="B1187" s="17" t="s">
        <v>1182</v>
      </c>
      <c r="C1187">
        <v>14362600</v>
      </c>
      <c r="D1187">
        <f t="shared" si="36"/>
        <v>1.0271089771352639E-3</v>
      </c>
      <c r="G1187" s="17" t="s">
        <v>5610</v>
      </c>
      <c r="H1187">
        <v>3035530000</v>
      </c>
      <c r="J1187">
        <f t="shared" si="37"/>
        <v>-1.9643952970014303E-3</v>
      </c>
      <c r="K1187">
        <v>1</v>
      </c>
    </row>
    <row r="1188" spans="1:11">
      <c r="A1188" s="16">
        <v>43781</v>
      </c>
      <c r="B1188" s="17" t="s">
        <v>1183</v>
      </c>
      <c r="C1188">
        <v>18641600</v>
      </c>
      <c r="D1188">
        <f t="shared" si="36"/>
        <v>6.548960588560848E-3</v>
      </c>
      <c r="G1188" s="17" t="s">
        <v>5614</v>
      </c>
      <c r="H1188">
        <v>3466010000</v>
      </c>
      <c r="J1188">
        <f t="shared" si="37"/>
        <v>1.5634232607154054E-3</v>
      </c>
      <c r="K1188">
        <v>1</v>
      </c>
    </row>
    <row r="1189" spans="1:11">
      <c r="A1189" s="16">
        <v>43782</v>
      </c>
      <c r="B1189" s="17" t="s">
        <v>1184</v>
      </c>
      <c r="C1189">
        <v>16919200</v>
      </c>
      <c r="D1189">
        <f t="shared" si="36"/>
        <v>1.630487210144381E-3</v>
      </c>
      <c r="G1189" s="17" t="s">
        <v>5618</v>
      </c>
      <c r="H1189">
        <v>3509280000</v>
      </c>
      <c r="J1189">
        <f t="shared" si="37"/>
        <v>7.1128151454077123E-4</v>
      </c>
      <c r="K1189">
        <v>1</v>
      </c>
    </row>
    <row r="1190" spans="1:11">
      <c r="A1190" s="16">
        <v>43783</v>
      </c>
      <c r="B1190" s="17" t="s">
        <v>1185</v>
      </c>
      <c r="C1190">
        <v>19729800</v>
      </c>
      <c r="D1190">
        <f t="shared" si="36"/>
        <v>5.0783969364418188E-3</v>
      </c>
      <c r="G1190" s="17" t="s">
        <v>5622</v>
      </c>
      <c r="H1190">
        <v>3276070000</v>
      </c>
      <c r="J1190">
        <f t="shared" si="37"/>
        <v>8.3669269520652125E-4</v>
      </c>
      <c r="K1190">
        <v>1</v>
      </c>
    </row>
    <row r="1191" spans="1:11">
      <c r="A1191" s="16">
        <v>43784</v>
      </c>
      <c r="B1191" s="17" t="s">
        <v>1186</v>
      </c>
      <c r="C1191">
        <v>23485700</v>
      </c>
      <c r="D1191">
        <f t="shared" si="36"/>
        <v>1.2817732593662708E-2</v>
      </c>
      <c r="G1191" s="17" t="s">
        <v>5624</v>
      </c>
      <c r="H1191">
        <v>3335650000</v>
      </c>
      <c r="J1191">
        <f t="shared" si="37"/>
        <v>7.6660287374525583E-3</v>
      </c>
      <c r="K1191">
        <v>1</v>
      </c>
    </row>
    <row r="1192" spans="1:11">
      <c r="A1192" s="16">
        <v>43787</v>
      </c>
      <c r="B1192" s="17" t="s">
        <v>1187</v>
      </c>
      <c r="C1192">
        <v>21534000</v>
      </c>
      <c r="D1192">
        <f t="shared" si="36"/>
        <v>2.4640959814730651E-3</v>
      </c>
      <c r="G1192" s="17" t="s">
        <v>5629</v>
      </c>
      <c r="H1192">
        <v>3436690000</v>
      </c>
      <c r="J1192">
        <f t="shared" si="37"/>
        <v>5.0302620769013609E-4</v>
      </c>
      <c r="K1192">
        <v>1</v>
      </c>
    </row>
    <row r="1193" spans="1:11">
      <c r="A1193" s="16">
        <v>43788</v>
      </c>
      <c r="B1193" s="17" t="s">
        <v>1188</v>
      </c>
      <c r="C1193">
        <v>23935700</v>
      </c>
      <c r="D1193">
        <f t="shared" si="36"/>
        <v>3.3243918593543536E-4</v>
      </c>
      <c r="G1193" s="17" t="s">
        <v>5633</v>
      </c>
      <c r="H1193">
        <v>3590070000</v>
      </c>
      <c r="J1193">
        <f t="shared" si="37"/>
        <v>-5.9276988942457527E-4</v>
      </c>
      <c r="K1193">
        <v>1</v>
      </c>
    </row>
    <row r="1194" spans="1:11">
      <c r="A1194" s="16">
        <v>43789</v>
      </c>
      <c r="B1194" s="17" t="s">
        <v>1189</v>
      </c>
      <c r="C1194">
        <v>25696800</v>
      </c>
      <c r="D1194">
        <f t="shared" si="36"/>
        <v>-1.736229111529297E-3</v>
      </c>
      <c r="G1194" s="17" t="s">
        <v>5637</v>
      </c>
      <c r="H1194">
        <v>4034890000</v>
      </c>
      <c r="J1194">
        <f t="shared" si="37"/>
        <v>-3.763256516012298E-3</v>
      </c>
      <c r="K1194">
        <v>1</v>
      </c>
    </row>
    <row r="1195" spans="1:11">
      <c r="A1195" s="16">
        <v>43790</v>
      </c>
      <c r="B1195" s="17" t="s">
        <v>1190</v>
      </c>
      <c r="C1195">
        <v>18576100</v>
      </c>
      <c r="D1195">
        <f t="shared" si="36"/>
        <v>-9.361375470787165E-4</v>
      </c>
      <c r="G1195" s="17" t="s">
        <v>5641</v>
      </c>
      <c r="H1195">
        <v>3720560000</v>
      </c>
      <c r="J1195">
        <f t="shared" si="37"/>
        <v>-1.5840061264341748E-3</v>
      </c>
      <c r="K1195">
        <v>1</v>
      </c>
    </row>
    <row r="1196" spans="1:11">
      <c r="A1196" s="16">
        <v>43791</v>
      </c>
      <c r="B1196" s="17" t="s">
        <v>1191</v>
      </c>
      <c r="C1196">
        <v>15901800</v>
      </c>
      <c r="D1196">
        <f t="shared" si="36"/>
        <v>7.3568509841542807E-4</v>
      </c>
      <c r="G1196" s="17" t="s">
        <v>5645</v>
      </c>
      <c r="H1196">
        <v>3226780000</v>
      </c>
      <c r="J1196">
        <f t="shared" si="37"/>
        <v>2.1725739424198064E-3</v>
      </c>
      <c r="K1196">
        <v>1</v>
      </c>
    </row>
    <row r="1197" spans="1:11">
      <c r="A1197" s="16">
        <v>43794</v>
      </c>
      <c r="B1197" s="17" t="s">
        <v>1192</v>
      </c>
      <c r="C1197">
        <v>22420900</v>
      </c>
      <c r="D1197">
        <f t="shared" si="36"/>
        <v>1.0903606944871795E-2</v>
      </c>
      <c r="G1197" s="17" t="s">
        <v>5648</v>
      </c>
      <c r="H1197">
        <v>3511530000</v>
      </c>
      <c r="J1197">
        <f t="shared" si="37"/>
        <v>7.479252042189413E-3</v>
      </c>
      <c r="K1197">
        <v>1</v>
      </c>
    </row>
    <row r="1198" spans="1:11">
      <c r="A1198" s="16">
        <v>43795</v>
      </c>
      <c r="B1198" s="17" t="s">
        <v>1193</v>
      </c>
      <c r="C1198">
        <v>24620100</v>
      </c>
      <c r="D1198">
        <f t="shared" si="36"/>
        <v>5.2760141915134283E-3</v>
      </c>
      <c r="G1198" s="17" t="s">
        <v>5652</v>
      </c>
      <c r="H1198">
        <v>4595590000</v>
      </c>
      <c r="J1198">
        <f t="shared" si="37"/>
        <v>2.1931636595712636E-3</v>
      </c>
      <c r="K1198">
        <v>1</v>
      </c>
    </row>
    <row r="1199" spans="1:11">
      <c r="A1199" s="16">
        <v>43796</v>
      </c>
      <c r="B1199" s="17" t="s">
        <v>1194</v>
      </c>
      <c r="C1199">
        <v>15184400</v>
      </c>
      <c r="D1199">
        <f t="shared" si="36"/>
        <v>1.905733843007715E-3</v>
      </c>
      <c r="G1199" s="17" t="s">
        <v>5656</v>
      </c>
      <c r="H1199">
        <v>3033090000</v>
      </c>
      <c r="J1199">
        <f t="shared" si="37"/>
        <v>4.1657355354963125E-3</v>
      </c>
      <c r="K1199">
        <v>1</v>
      </c>
    </row>
    <row r="1200" spans="1:11">
      <c r="A1200" s="16">
        <v>43798</v>
      </c>
      <c r="B1200" s="17" t="s">
        <v>1195</v>
      </c>
      <c r="C1200">
        <v>11977300</v>
      </c>
      <c r="D1200">
        <f t="shared" si="36"/>
        <v>-6.1903358518056034E-3</v>
      </c>
      <c r="G1200" s="17" t="s">
        <v>5660</v>
      </c>
      <c r="H1200">
        <v>1743020000</v>
      </c>
      <c r="J1200">
        <f t="shared" si="37"/>
        <v>-4.0192864386812297E-3</v>
      </c>
      <c r="K1200">
        <v>1</v>
      </c>
    </row>
    <row r="1201" spans="1:11">
      <c r="A1201" s="16">
        <v>43801</v>
      </c>
      <c r="B1201" s="17" t="s">
        <v>1196</v>
      </c>
      <c r="C1201">
        <v>27418400</v>
      </c>
      <c r="D1201">
        <f t="shared" si="36"/>
        <v>-1.2162425333414374E-2</v>
      </c>
      <c r="G1201" s="17" t="s">
        <v>5664</v>
      </c>
      <c r="H1201">
        <v>3268740000</v>
      </c>
      <c r="J1201">
        <f t="shared" si="37"/>
        <v>-8.6684836049412909E-3</v>
      </c>
      <c r="K1201">
        <v>1</v>
      </c>
    </row>
    <row r="1202" spans="1:11">
      <c r="A1202" s="16">
        <v>43802</v>
      </c>
      <c r="B1202" s="17" t="s">
        <v>1197</v>
      </c>
      <c r="C1202">
        <v>24066000</v>
      </c>
      <c r="D1202">
        <f t="shared" si="36"/>
        <v>-1.6061219306411558E-3</v>
      </c>
      <c r="G1202" s="17" t="s">
        <v>5668</v>
      </c>
      <c r="H1202">
        <v>3653390000</v>
      </c>
      <c r="J1202">
        <f t="shared" si="37"/>
        <v>-6.6602252533960928E-3</v>
      </c>
      <c r="K1202">
        <v>1</v>
      </c>
    </row>
    <row r="1203" spans="1:11">
      <c r="A1203" s="16">
        <v>43803</v>
      </c>
      <c r="B1203" s="17" t="s">
        <v>1198</v>
      </c>
      <c r="C1203">
        <v>17574700</v>
      </c>
      <c r="D1203">
        <f t="shared" si="36"/>
        <v>3.6101050122116563E-3</v>
      </c>
      <c r="G1203" s="17" t="s">
        <v>5672</v>
      </c>
      <c r="H1203">
        <v>3695030000</v>
      </c>
      <c r="J1203">
        <f t="shared" si="37"/>
        <v>6.3036577396302605E-3</v>
      </c>
      <c r="K1203">
        <v>1</v>
      </c>
    </row>
    <row r="1204" spans="1:11">
      <c r="A1204" s="16">
        <v>43804</v>
      </c>
      <c r="B1204" s="17" t="s">
        <v>1199</v>
      </c>
      <c r="C1204">
        <v>17869100</v>
      </c>
      <c r="D1204">
        <f t="shared" si="36"/>
        <v>5.3366398356303633E-4</v>
      </c>
      <c r="G1204" s="17" t="s">
        <v>5676</v>
      </c>
      <c r="H1204">
        <v>3355750000</v>
      </c>
      <c r="J1204">
        <f t="shared" si="37"/>
        <v>1.4991269666144746E-3</v>
      </c>
      <c r="K1204">
        <v>1</v>
      </c>
    </row>
    <row r="1205" spans="1:11">
      <c r="A1205" s="16">
        <v>43805</v>
      </c>
      <c r="B1205" s="17" t="s">
        <v>1200</v>
      </c>
      <c r="C1205">
        <v>16403500</v>
      </c>
      <c r="D1205">
        <f t="shared" si="36"/>
        <v>1.2065948939348536E-2</v>
      </c>
      <c r="G1205" s="17" t="s">
        <v>5679</v>
      </c>
      <c r="H1205">
        <v>3479480000</v>
      </c>
      <c r="J1205">
        <f t="shared" si="37"/>
        <v>9.0942458803792529E-3</v>
      </c>
      <c r="K1205">
        <v>1</v>
      </c>
    </row>
    <row r="1206" spans="1:11">
      <c r="A1206" s="16">
        <v>43808</v>
      </c>
      <c r="B1206" s="17" t="s">
        <v>1201</v>
      </c>
      <c r="C1206">
        <v>16687400</v>
      </c>
      <c r="D1206">
        <f t="shared" si="36"/>
        <v>-2.5732805451397288E-3</v>
      </c>
      <c r="G1206" s="17" t="s">
        <v>5683</v>
      </c>
      <c r="H1206">
        <v>3345990000</v>
      </c>
      <c r="J1206">
        <f t="shared" si="37"/>
        <v>-3.1678336297769859E-3</v>
      </c>
      <c r="K1206">
        <v>1</v>
      </c>
    </row>
    <row r="1207" spans="1:11">
      <c r="A1207" s="16">
        <v>43809</v>
      </c>
      <c r="B1207" s="17" t="s">
        <v>1202</v>
      </c>
      <c r="C1207">
        <v>16476100</v>
      </c>
      <c r="D1207">
        <f t="shared" si="36"/>
        <v>-1.5206885046745193E-3</v>
      </c>
      <c r="G1207" s="17" t="s">
        <v>5687</v>
      </c>
      <c r="H1207">
        <v>3343790000</v>
      </c>
      <c r="J1207">
        <f t="shared" si="37"/>
        <v>-1.0975360392743783E-3</v>
      </c>
      <c r="K1207">
        <v>1</v>
      </c>
    </row>
    <row r="1208" spans="1:11">
      <c r="A1208" s="16">
        <v>43810</v>
      </c>
      <c r="B1208" s="17" t="s">
        <v>1203</v>
      </c>
      <c r="C1208">
        <v>18856600</v>
      </c>
      <c r="D1208">
        <f t="shared" si="36"/>
        <v>3.7644175458049255E-3</v>
      </c>
      <c r="G1208" s="17" t="s">
        <v>5691</v>
      </c>
      <c r="H1208">
        <v>3252540000</v>
      </c>
      <c r="J1208">
        <f t="shared" si="37"/>
        <v>2.9039374393932159E-3</v>
      </c>
      <c r="K1208">
        <v>1</v>
      </c>
    </row>
    <row r="1209" spans="1:11">
      <c r="A1209" s="16">
        <v>43811</v>
      </c>
      <c r="B1209" s="17" t="s">
        <v>1204</v>
      </c>
      <c r="C1209">
        <v>24612100</v>
      </c>
      <c r="D1209">
        <f t="shared" si="36"/>
        <v>1.0100478702117228E-2</v>
      </c>
      <c r="G1209" s="17" t="s">
        <v>5695</v>
      </c>
      <c r="H1209">
        <v>3990690000</v>
      </c>
      <c r="J1209">
        <f t="shared" si="37"/>
        <v>8.5386672024539822E-3</v>
      </c>
      <c r="K1209">
        <v>1</v>
      </c>
    </row>
    <row r="1210" spans="1:11">
      <c r="A1210" s="16">
        <v>43812</v>
      </c>
      <c r="B1210" s="17" t="s">
        <v>1205</v>
      </c>
      <c r="C1210">
        <v>23845400</v>
      </c>
      <c r="D1210">
        <f t="shared" si="36"/>
        <v>8.3829185333905345E-3</v>
      </c>
      <c r="G1210" s="17" t="s">
        <v>5699</v>
      </c>
      <c r="H1210">
        <v>3736870000</v>
      </c>
      <c r="J1210">
        <f t="shared" si="37"/>
        <v>7.2579317873283479E-5</v>
      </c>
      <c r="K1210">
        <v>1</v>
      </c>
    </row>
    <row r="1211" spans="1:11">
      <c r="A1211" s="16">
        <v>43815</v>
      </c>
      <c r="B1211" s="17" t="s">
        <v>1206</v>
      </c>
      <c r="C1211">
        <v>24144200</v>
      </c>
      <c r="D1211">
        <f t="shared" si="36"/>
        <v>6.450341275007012E-3</v>
      </c>
      <c r="G1211" s="17" t="s">
        <v>5702</v>
      </c>
      <c r="H1211">
        <v>4051790000</v>
      </c>
      <c r="J1211">
        <f t="shared" si="37"/>
        <v>7.122360834448286E-3</v>
      </c>
      <c r="K1211">
        <v>1</v>
      </c>
    </row>
    <row r="1212" spans="1:11">
      <c r="A1212" s="16">
        <v>43816</v>
      </c>
      <c r="B1212" s="17" t="s">
        <v>1207</v>
      </c>
      <c r="C1212">
        <v>25425600</v>
      </c>
      <c r="D1212">
        <f t="shared" si="36"/>
        <v>-5.415499821023578E-3</v>
      </c>
      <c r="G1212" s="17" t="s">
        <v>5706</v>
      </c>
      <c r="H1212">
        <v>3837540000</v>
      </c>
      <c r="J1212">
        <f t="shared" si="37"/>
        <v>3.3523622914350006E-4</v>
      </c>
      <c r="K1212">
        <v>1</v>
      </c>
    </row>
    <row r="1213" spans="1:11">
      <c r="A1213" s="16">
        <v>43817</v>
      </c>
      <c r="B1213" s="17" t="s">
        <v>1208</v>
      </c>
      <c r="C1213">
        <v>24129200</v>
      </c>
      <c r="D1213">
        <f t="shared" si="36"/>
        <v>-2.0707549142539067E-3</v>
      </c>
      <c r="G1213" s="17" t="s">
        <v>5709</v>
      </c>
      <c r="H1213">
        <v>4014080000</v>
      </c>
      <c r="J1213">
        <f t="shared" si="37"/>
        <v>-4.3239365514825985E-4</v>
      </c>
      <c r="K1213">
        <v>1</v>
      </c>
    </row>
    <row r="1214" spans="1:11">
      <c r="A1214" s="16">
        <v>43818</v>
      </c>
      <c r="B1214" s="17" t="s">
        <v>1209</v>
      </c>
      <c r="C1214">
        <v>24958900</v>
      </c>
      <c r="D1214">
        <f t="shared" si="36"/>
        <v>8.6429785302158009E-3</v>
      </c>
      <c r="G1214" s="17" t="s">
        <v>5712</v>
      </c>
      <c r="H1214">
        <v>3720450000</v>
      </c>
      <c r="J1214">
        <f t="shared" si="37"/>
        <v>4.4493786311667416E-3</v>
      </c>
      <c r="K1214">
        <v>1</v>
      </c>
    </row>
    <row r="1215" spans="1:11">
      <c r="A1215" s="16">
        <v>43819</v>
      </c>
      <c r="B1215" s="17" t="s">
        <v>1210</v>
      </c>
      <c r="C1215">
        <v>53477500</v>
      </c>
      <c r="D1215">
        <f t="shared" si="36"/>
        <v>1.0858593252942904E-2</v>
      </c>
      <c r="G1215" s="17" t="s">
        <v>5716</v>
      </c>
      <c r="H1215">
        <v>6454270000</v>
      </c>
      <c r="J1215">
        <f t="shared" si="37"/>
        <v>4.9325959549920183E-3</v>
      </c>
      <c r="K1215">
        <v>1</v>
      </c>
    </row>
    <row r="1216" spans="1:11">
      <c r="A1216" s="16">
        <v>43822</v>
      </c>
      <c r="B1216" s="17" t="s">
        <v>1210</v>
      </c>
      <c r="C1216">
        <v>17718200</v>
      </c>
      <c r="D1216">
        <f t="shared" si="36"/>
        <v>0</v>
      </c>
      <c r="G1216" s="17" t="s">
        <v>5720</v>
      </c>
      <c r="H1216">
        <v>3060610000</v>
      </c>
      <c r="J1216">
        <f t="shared" si="37"/>
        <v>8.6576869483295522E-4</v>
      </c>
      <c r="K1216">
        <v>1</v>
      </c>
    </row>
    <row r="1217" spans="1:11">
      <c r="A1217" s="16">
        <v>43823</v>
      </c>
      <c r="B1217" s="17" t="s">
        <v>1211</v>
      </c>
      <c r="C1217">
        <v>8989200</v>
      </c>
      <c r="D1217">
        <f t="shared" si="36"/>
        <v>-1.9063331246448623E-4</v>
      </c>
      <c r="G1217" s="17" t="s">
        <v>5724</v>
      </c>
      <c r="H1217">
        <v>1296540000</v>
      </c>
      <c r="J1217">
        <f t="shared" si="37"/>
        <v>-1.9546731699613876E-4</v>
      </c>
      <c r="K1217">
        <v>1</v>
      </c>
    </row>
    <row r="1218" spans="1:11">
      <c r="A1218" s="16">
        <v>43825</v>
      </c>
      <c r="B1218" s="17" t="s">
        <v>1212</v>
      </c>
      <c r="C1218">
        <v>14520600</v>
      </c>
      <c r="D1218">
        <f t="shared" si="36"/>
        <v>8.163297119355083E-3</v>
      </c>
      <c r="G1218" s="17" t="s">
        <v>5727</v>
      </c>
      <c r="H1218">
        <v>2160680000</v>
      </c>
      <c r="J1218">
        <f t="shared" si="37"/>
        <v>5.1150623181264333E-3</v>
      </c>
      <c r="K1218">
        <v>1</v>
      </c>
    </row>
    <row r="1219" spans="1:11">
      <c r="A1219" s="16">
        <v>43826</v>
      </c>
      <c r="B1219" s="17" t="s">
        <v>1213</v>
      </c>
      <c r="C1219">
        <v>18412800</v>
      </c>
      <c r="D1219">
        <f t="shared" si="36"/>
        <v>1.8260556693930486E-3</v>
      </c>
      <c r="G1219" s="17" t="s">
        <v>5731</v>
      </c>
      <c r="H1219">
        <v>2428670000</v>
      </c>
      <c r="J1219">
        <f t="shared" si="37"/>
        <v>3.398431809157373E-5</v>
      </c>
      <c r="K1219">
        <v>1</v>
      </c>
    </row>
    <row r="1220" spans="1:11">
      <c r="A1220" s="16">
        <v>43829</v>
      </c>
      <c r="B1220" s="17" t="s">
        <v>1214</v>
      </c>
      <c r="C1220">
        <v>16348400</v>
      </c>
      <c r="D1220">
        <f t="shared" si="36"/>
        <v>-8.6558984729044851E-3</v>
      </c>
      <c r="G1220" s="17" t="s">
        <v>5735</v>
      </c>
      <c r="H1220">
        <v>3013290000</v>
      </c>
      <c r="J1220">
        <f t="shared" si="37"/>
        <v>-5.797596243427139E-3</v>
      </c>
      <c r="K1220">
        <v>1</v>
      </c>
    </row>
    <row r="1221" spans="1:11">
      <c r="A1221" s="16">
        <v>43830</v>
      </c>
      <c r="B1221" s="17" t="s">
        <v>1215</v>
      </c>
      <c r="C1221">
        <v>18369400</v>
      </c>
      <c r="D1221">
        <f t="shared" ref="D1221:D1270" si="38">LN(B1221/B1220)</f>
        <v>6.9774256253380318E-4</v>
      </c>
      <c r="G1221" s="17" t="s">
        <v>5739</v>
      </c>
      <c r="H1221">
        <v>2893810000</v>
      </c>
      <c r="J1221">
        <f t="shared" ref="J1221:J1270" si="39">LN(G1221/G1220)</f>
        <v>2.9416905717033117E-3</v>
      </c>
      <c r="K1221">
        <v>1</v>
      </c>
    </row>
    <row r="1222" spans="1:11">
      <c r="A1222" s="16">
        <v>43832</v>
      </c>
      <c r="B1222" s="17" t="s">
        <v>1216</v>
      </c>
      <c r="C1222">
        <v>22622100</v>
      </c>
      <c r="D1222">
        <f t="shared" si="38"/>
        <v>1.8346844990473156E-2</v>
      </c>
      <c r="G1222" s="17" t="s">
        <v>5743</v>
      </c>
      <c r="H1222">
        <v>3458250000</v>
      </c>
      <c r="J1222">
        <f t="shared" si="39"/>
        <v>8.3438955597205794E-3</v>
      </c>
      <c r="K1222">
        <v>1</v>
      </c>
    </row>
    <row r="1223" spans="1:11">
      <c r="A1223" s="16">
        <v>43833</v>
      </c>
      <c r="B1223" s="17" t="s">
        <v>1217</v>
      </c>
      <c r="C1223">
        <v>21116200</v>
      </c>
      <c r="D1223">
        <f t="shared" si="38"/>
        <v>-1.2529927727749029E-2</v>
      </c>
      <c r="G1223" s="17" t="s">
        <v>5747</v>
      </c>
      <c r="H1223">
        <v>3461290000</v>
      </c>
      <c r="J1223">
        <f t="shared" si="39"/>
        <v>-7.0849093642042964E-3</v>
      </c>
      <c r="K1223">
        <v>1</v>
      </c>
    </row>
    <row r="1224" spans="1:11">
      <c r="A1224" s="16">
        <v>43836</v>
      </c>
      <c r="B1224" s="17" t="s">
        <v>1218</v>
      </c>
      <c r="C1224">
        <v>20813700</v>
      </c>
      <c r="D1224">
        <f t="shared" si="38"/>
        <v>2.5815020124543373E-3</v>
      </c>
      <c r="G1224" s="17" t="s">
        <v>5751</v>
      </c>
      <c r="H1224">
        <v>3674070000</v>
      </c>
      <c r="J1224">
        <f t="shared" si="39"/>
        <v>3.5271449965572142E-3</v>
      </c>
      <c r="K1224">
        <v>1</v>
      </c>
    </row>
    <row r="1225" spans="1:11">
      <c r="A1225" s="16">
        <v>43837</v>
      </c>
      <c r="B1225" s="17" t="s">
        <v>1219</v>
      </c>
      <c r="C1225">
        <v>21634100</v>
      </c>
      <c r="D1225">
        <f t="shared" si="38"/>
        <v>-9.1595639069953546E-3</v>
      </c>
      <c r="G1225" s="17" t="s">
        <v>5755</v>
      </c>
      <c r="H1225">
        <v>3420380000</v>
      </c>
      <c r="J1225">
        <f t="shared" si="39"/>
        <v>-2.8071748821291158E-3</v>
      </c>
      <c r="K1225">
        <v>1</v>
      </c>
    </row>
    <row r="1226" spans="1:11">
      <c r="A1226" s="16">
        <v>43838</v>
      </c>
      <c r="B1226" s="17" t="s">
        <v>1220</v>
      </c>
      <c r="C1226">
        <v>27746500</v>
      </c>
      <c r="D1226">
        <f t="shared" si="38"/>
        <v>1.5802765517368859E-2</v>
      </c>
      <c r="G1226" s="17" t="s">
        <v>5759</v>
      </c>
      <c r="H1226">
        <v>3720890000</v>
      </c>
      <c r="J1226">
        <f t="shared" si="39"/>
        <v>4.8904734274613417E-3</v>
      </c>
      <c r="K1226">
        <v>1</v>
      </c>
    </row>
    <row r="1227" spans="1:11">
      <c r="A1227" s="16">
        <v>43839</v>
      </c>
      <c r="B1227" s="17" t="s">
        <v>1221</v>
      </c>
      <c r="C1227">
        <v>21385000</v>
      </c>
      <c r="D1227">
        <f t="shared" si="38"/>
        <v>1.2415585607978811E-2</v>
      </c>
      <c r="G1227" s="17" t="s">
        <v>5763</v>
      </c>
      <c r="H1227">
        <v>3638390000</v>
      </c>
      <c r="J1227">
        <f t="shared" si="39"/>
        <v>6.6332140115857923E-3</v>
      </c>
      <c r="K1227">
        <v>1</v>
      </c>
    </row>
    <row r="1228" spans="1:11">
      <c r="A1228" s="16">
        <v>43840</v>
      </c>
      <c r="B1228" s="17" t="s">
        <v>1222</v>
      </c>
      <c r="C1228">
        <v>20725900</v>
      </c>
      <c r="D1228">
        <f t="shared" si="38"/>
        <v>-4.6377845518562029E-3</v>
      </c>
      <c r="G1228" s="17" t="s">
        <v>5767</v>
      </c>
      <c r="H1228">
        <v>3212970000</v>
      </c>
      <c r="J1228">
        <f t="shared" si="39"/>
        <v>-2.8592623297471966E-3</v>
      </c>
      <c r="K1228">
        <v>1</v>
      </c>
    </row>
    <row r="1229" spans="1:11">
      <c r="A1229" s="16">
        <v>43843</v>
      </c>
      <c r="B1229" s="17" t="s">
        <v>1223</v>
      </c>
      <c r="C1229">
        <v>21626500</v>
      </c>
      <c r="D1229">
        <f t="shared" si="38"/>
        <v>1.1952625186715126E-2</v>
      </c>
      <c r="G1229" s="17" t="s">
        <v>5769</v>
      </c>
      <c r="H1229">
        <v>3456380000</v>
      </c>
      <c r="J1229">
        <f t="shared" si="39"/>
        <v>6.9519939976844915E-3</v>
      </c>
      <c r="K1229">
        <v>1</v>
      </c>
    </row>
    <row r="1230" spans="1:11">
      <c r="A1230" s="16">
        <v>43844</v>
      </c>
      <c r="B1230" s="17" t="s">
        <v>1224</v>
      </c>
      <c r="C1230">
        <v>23477400</v>
      </c>
      <c r="D1230">
        <f t="shared" si="38"/>
        <v>-7.0680268140189597E-3</v>
      </c>
      <c r="G1230" s="17" t="s">
        <v>5774</v>
      </c>
      <c r="H1230">
        <v>3665130000</v>
      </c>
      <c r="J1230">
        <f t="shared" si="39"/>
        <v>-1.5156809986203762E-3</v>
      </c>
      <c r="K1230">
        <v>1</v>
      </c>
    </row>
    <row r="1231" spans="1:11">
      <c r="A1231" s="16">
        <v>43845</v>
      </c>
      <c r="B1231" s="17" t="s">
        <v>1225</v>
      </c>
      <c r="C1231">
        <v>21417900</v>
      </c>
      <c r="D1231">
        <f t="shared" si="38"/>
        <v>6.4553673156894781E-3</v>
      </c>
      <c r="G1231" s="17" t="s">
        <v>5778</v>
      </c>
      <c r="H1231">
        <v>3716840000</v>
      </c>
      <c r="J1231">
        <f t="shared" si="39"/>
        <v>1.8684503293881162E-3</v>
      </c>
      <c r="K1231">
        <v>1</v>
      </c>
    </row>
    <row r="1232" spans="1:11">
      <c r="A1232" s="16">
        <v>43846</v>
      </c>
      <c r="B1232" s="17" t="s">
        <v>1226</v>
      </c>
      <c r="C1232">
        <v>23865400</v>
      </c>
      <c r="D1232">
        <f t="shared" si="38"/>
        <v>1.8157484634160032E-2</v>
      </c>
      <c r="G1232" s="17" t="s">
        <v>5782</v>
      </c>
      <c r="H1232">
        <v>3535080000</v>
      </c>
      <c r="J1232">
        <f t="shared" si="39"/>
        <v>8.3317475637150612E-3</v>
      </c>
      <c r="K1232">
        <v>1</v>
      </c>
    </row>
    <row r="1233" spans="1:11">
      <c r="A1233" s="16">
        <v>43847</v>
      </c>
      <c r="B1233" s="17" t="s">
        <v>1227</v>
      </c>
      <c r="C1233">
        <v>34371700</v>
      </c>
      <c r="D1233">
        <f t="shared" si="38"/>
        <v>5.5811245434041392E-3</v>
      </c>
      <c r="G1233" s="17" t="s">
        <v>5786</v>
      </c>
      <c r="H1233">
        <v>3698170000</v>
      </c>
      <c r="J1233">
        <f t="shared" si="39"/>
        <v>3.8547230686901417E-3</v>
      </c>
      <c r="K1233">
        <v>1</v>
      </c>
    </row>
    <row r="1234" spans="1:11">
      <c r="A1234" s="16">
        <v>43851</v>
      </c>
      <c r="B1234" s="17" t="s">
        <v>1228</v>
      </c>
      <c r="C1234">
        <v>29517200</v>
      </c>
      <c r="D1234">
        <f t="shared" si="38"/>
        <v>-3.597170392046932E-3</v>
      </c>
      <c r="G1234" s="17" t="s">
        <v>5790</v>
      </c>
      <c r="H1234">
        <v>4105340000</v>
      </c>
      <c r="J1234">
        <f t="shared" si="39"/>
        <v>-2.6555003320934225E-3</v>
      </c>
      <c r="K1234">
        <v>1</v>
      </c>
    </row>
    <row r="1235" spans="1:11">
      <c r="A1235" s="16">
        <v>43852</v>
      </c>
      <c r="B1235" s="17" t="s">
        <v>1229</v>
      </c>
      <c r="C1235">
        <v>24138800</v>
      </c>
      <c r="D1235">
        <f t="shared" si="38"/>
        <v>-4.8163859365927099E-3</v>
      </c>
      <c r="G1235" s="17" t="s">
        <v>5794</v>
      </c>
      <c r="H1235">
        <v>3619850000</v>
      </c>
      <c r="J1235">
        <f t="shared" si="39"/>
        <v>2.8903431550190799E-4</v>
      </c>
      <c r="K1235">
        <v>1</v>
      </c>
    </row>
    <row r="1236" spans="1:11">
      <c r="A1236" s="16">
        <v>43853</v>
      </c>
      <c r="B1236" s="17" t="s">
        <v>1230</v>
      </c>
      <c r="C1236">
        <v>19680800</v>
      </c>
      <c r="D1236">
        <f t="shared" si="38"/>
        <v>6.1368667659409144E-3</v>
      </c>
      <c r="G1236" s="17" t="s">
        <v>5798</v>
      </c>
      <c r="H1236">
        <v>3764860000</v>
      </c>
      <c r="J1236">
        <f t="shared" si="39"/>
        <v>1.1403261745642909E-3</v>
      </c>
      <c r="K1236">
        <v>1</v>
      </c>
    </row>
    <row r="1237" spans="1:11">
      <c r="A1237" s="16">
        <v>43854</v>
      </c>
      <c r="B1237" s="17" t="s">
        <v>1231</v>
      </c>
      <c r="C1237">
        <v>24918100</v>
      </c>
      <c r="D1237">
        <f t="shared" si="38"/>
        <v>-1.0127927326078045E-2</v>
      </c>
      <c r="G1237" s="17" t="s">
        <v>5802</v>
      </c>
      <c r="H1237">
        <v>3707130000</v>
      </c>
      <c r="J1237">
        <f t="shared" si="39"/>
        <v>-9.0832893173140306E-3</v>
      </c>
      <c r="K1237">
        <v>1</v>
      </c>
    </row>
    <row r="1238" spans="1:11">
      <c r="A1238" s="16">
        <v>43857</v>
      </c>
      <c r="B1238" s="17" t="s">
        <v>1232</v>
      </c>
      <c r="C1238">
        <v>32078100</v>
      </c>
      <c r="D1238">
        <f t="shared" si="38"/>
        <v>-1.68646619802846E-2</v>
      </c>
      <c r="G1238" s="17" t="s">
        <v>5806</v>
      </c>
      <c r="H1238">
        <v>3823100000</v>
      </c>
      <c r="J1238">
        <f t="shared" si="39"/>
        <v>-1.5855752389124188E-2</v>
      </c>
      <c r="K1238">
        <v>1</v>
      </c>
    </row>
    <row r="1239" spans="1:11">
      <c r="A1239" s="16">
        <v>43858</v>
      </c>
      <c r="B1239" s="17" t="s">
        <v>1233</v>
      </c>
      <c r="C1239">
        <v>24899900</v>
      </c>
      <c r="D1239">
        <f t="shared" si="38"/>
        <v>1.9406346124821613E-2</v>
      </c>
      <c r="G1239" s="17" t="s">
        <v>5810</v>
      </c>
      <c r="H1239">
        <v>3526720000</v>
      </c>
      <c r="J1239">
        <f t="shared" si="39"/>
        <v>1.0003383371009162E-2</v>
      </c>
      <c r="K1239">
        <v>1</v>
      </c>
    </row>
    <row r="1240" spans="1:11">
      <c r="A1240" s="16">
        <v>43859</v>
      </c>
      <c r="B1240" s="17" t="s">
        <v>1234</v>
      </c>
      <c r="C1240">
        <v>34754500</v>
      </c>
      <c r="D1240">
        <f t="shared" si="38"/>
        <v>1.5472450759707724E-2</v>
      </c>
      <c r="G1240" s="17" t="s">
        <v>5814</v>
      </c>
      <c r="H1240">
        <v>3584500000</v>
      </c>
      <c r="J1240">
        <f t="shared" si="39"/>
        <v>-8.6725017705989612E-4</v>
      </c>
      <c r="K1240">
        <v>1</v>
      </c>
    </row>
    <row r="1241" spans="1:11">
      <c r="A1241" s="16">
        <v>43860</v>
      </c>
      <c r="B1241" s="17" t="s">
        <v>1235</v>
      </c>
      <c r="C1241">
        <v>51597500</v>
      </c>
      <c r="D1241">
        <f t="shared" si="38"/>
        <v>2.7817113311197877E-2</v>
      </c>
      <c r="G1241" s="17" t="s">
        <v>5818</v>
      </c>
      <c r="H1241">
        <v>3787250000</v>
      </c>
      <c r="J1241">
        <f t="shared" si="39"/>
        <v>3.1294570019154417E-3</v>
      </c>
      <c r="K1241">
        <v>1</v>
      </c>
    </row>
    <row r="1242" spans="1:11">
      <c r="A1242" s="16">
        <v>43861</v>
      </c>
      <c r="B1242" s="17" t="s">
        <v>1236</v>
      </c>
      <c r="C1242">
        <v>36142700</v>
      </c>
      <c r="D1242">
        <f t="shared" si="38"/>
        <v>-1.4868686670493932E-2</v>
      </c>
      <c r="G1242" s="17" t="s">
        <v>5821</v>
      </c>
      <c r="H1242">
        <v>4527830000</v>
      </c>
      <c r="J1242">
        <f t="shared" si="39"/>
        <v>-1.7864443392728784E-2</v>
      </c>
      <c r="K1242">
        <v>1</v>
      </c>
    </row>
    <row r="1243" spans="1:11">
      <c r="A1243" s="16">
        <v>43864</v>
      </c>
      <c r="B1243" s="17" t="s">
        <v>1237</v>
      </c>
      <c r="C1243">
        <v>30149100</v>
      </c>
      <c r="D1243">
        <f t="shared" si="38"/>
        <v>2.4086405521947303E-2</v>
      </c>
      <c r="G1243" s="17" t="s">
        <v>5824</v>
      </c>
      <c r="H1243">
        <v>3757910000</v>
      </c>
      <c r="J1243">
        <f t="shared" si="39"/>
        <v>7.2284256543816159E-3</v>
      </c>
      <c r="K1243">
        <v>1</v>
      </c>
    </row>
    <row r="1244" spans="1:11">
      <c r="A1244" s="16">
        <v>43865</v>
      </c>
      <c r="B1244" s="17" t="s">
        <v>1238</v>
      </c>
      <c r="C1244">
        <v>36433300</v>
      </c>
      <c r="D1244">
        <f t="shared" si="38"/>
        <v>3.2386471810172041E-2</v>
      </c>
      <c r="G1244" s="17" t="s">
        <v>5827</v>
      </c>
      <c r="H1244">
        <v>3995320000</v>
      </c>
      <c r="J1244">
        <f t="shared" si="39"/>
        <v>1.486931591219986E-2</v>
      </c>
      <c r="K1244">
        <v>1</v>
      </c>
    </row>
    <row r="1245" spans="1:11">
      <c r="A1245" s="16">
        <v>43866</v>
      </c>
      <c r="B1245" s="17" t="s">
        <v>1239</v>
      </c>
      <c r="C1245">
        <v>39186300</v>
      </c>
      <c r="D1245">
        <f t="shared" si="38"/>
        <v>-1.2221838326176451E-3</v>
      </c>
      <c r="G1245" s="17" t="s">
        <v>5831</v>
      </c>
      <c r="H1245">
        <v>4117730000</v>
      </c>
      <c r="J1245">
        <f t="shared" si="39"/>
        <v>1.1187778503979414E-2</v>
      </c>
      <c r="K1245">
        <v>1</v>
      </c>
    </row>
    <row r="1246" spans="1:11">
      <c r="A1246" s="16">
        <v>43867</v>
      </c>
      <c r="B1246" s="17" t="s">
        <v>1240</v>
      </c>
      <c r="C1246">
        <v>27751400</v>
      </c>
      <c r="D1246">
        <f t="shared" si="38"/>
        <v>2.0521773925560313E-2</v>
      </c>
      <c r="G1246" s="17" t="s">
        <v>5835</v>
      </c>
      <c r="H1246">
        <v>3868370000</v>
      </c>
      <c r="J1246">
        <f t="shared" si="39"/>
        <v>3.3201550900961913E-3</v>
      </c>
      <c r="K1246">
        <v>1</v>
      </c>
    </row>
    <row r="1247" spans="1:11">
      <c r="A1247" s="16">
        <v>43868</v>
      </c>
      <c r="B1247" s="17" t="s">
        <v>1241</v>
      </c>
      <c r="C1247">
        <v>33529100</v>
      </c>
      <c r="D1247">
        <f t="shared" si="38"/>
        <v>1.4148904136295636E-3</v>
      </c>
      <c r="G1247" s="17" t="s">
        <v>5839</v>
      </c>
      <c r="H1247">
        <v>3730650000</v>
      </c>
      <c r="J1247">
        <f t="shared" si="39"/>
        <v>-5.41549090194545E-3</v>
      </c>
      <c r="K1247">
        <v>1</v>
      </c>
    </row>
    <row r="1248" spans="1:11">
      <c r="A1248" s="16">
        <v>43871</v>
      </c>
      <c r="B1248" s="17" t="s">
        <v>1242</v>
      </c>
      <c r="C1248">
        <v>35844300</v>
      </c>
      <c r="D1248">
        <f t="shared" si="38"/>
        <v>2.5820657313755321E-2</v>
      </c>
      <c r="G1248" s="17" t="s">
        <v>5843</v>
      </c>
      <c r="H1248">
        <v>3450350000</v>
      </c>
      <c r="J1248">
        <f t="shared" si="39"/>
        <v>7.2996901344203769E-3</v>
      </c>
      <c r="K1248">
        <v>1</v>
      </c>
    </row>
    <row r="1249" spans="1:11">
      <c r="A1249" s="16">
        <v>43872</v>
      </c>
      <c r="B1249" s="17" t="s">
        <v>1243</v>
      </c>
      <c r="C1249">
        <v>53159900</v>
      </c>
      <c r="D1249">
        <f t="shared" si="38"/>
        <v>-2.2834169270691044E-2</v>
      </c>
      <c r="G1249" s="17" t="s">
        <v>5847</v>
      </c>
      <c r="H1249">
        <v>3760550000</v>
      </c>
      <c r="J1249">
        <f t="shared" si="39"/>
        <v>1.687048653373355E-3</v>
      </c>
      <c r="K1249">
        <v>1</v>
      </c>
    </row>
    <row r="1250" spans="1:11">
      <c r="A1250" s="16">
        <v>43873</v>
      </c>
      <c r="B1250" s="17" t="s">
        <v>1244</v>
      </c>
      <c r="C1250">
        <v>47062900</v>
      </c>
      <c r="D1250">
        <f t="shared" si="38"/>
        <v>1.4627738290391454E-3</v>
      </c>
      <c r="G1250" s="17" t="s">
        <v>5851</v>
      </c>
      <c r="H1250">
        <v>3926380000</v>
      </c>
      <c r="J1250">
        <f t="shared" si="39"/>
        <v>6.4418530543442504E-3</v>
      </c>
      <c r="K1250">
        <v>1</v>
      </c>
    </row>
    <row r="1251" spans="1:11">
      <c r="A1251" s="16">
        <v>43874</v>
      </c>
      <c r="B1251" s="17" t="s">
        <v>1245</v>
      </c>
      <c r="C1251">
        <v>35295800</v>
      </c>
      <c r="D1251">
        <f t="shared" si="38"/>
        <v>-5.4285562192109456E-3</v>
      </c>
      <c r="G1251" s="17" t="s">
        <v>5855</v>
      </c>
      <c r="H1251">
        <v>3498240000</v>
      </c>
      <c r="J1251">
        <f t="shared" si="39"/>
        <v>-1.631776429537957E-3</v>
      </c>
      <c r="K1251">
        <v>1</v>
      </c>
    </row>
    <row r="1252" spans="1:11">
      <c r="A1252" s="16">
        <v>43875</v>
      </c>
      <c r="B1252" s="17" t="s">
        <v>1246</v>
      </c>
      <c r="C1252">
        <v>23149500</v>
      </c>
      <c r="D1252">
        <f t="shared" si="38"/>
        <v>8.8874761576710985E-3</v>
      </c>
      <c r="G1252" s="17" t="s">
        <v>5859</v>
      </c>
      <c r="H1252">
        <v>3398040000</v>
      </c>
      <c r="J1252">
        <f t="shared" si="39"/>
        <v>1.8418361865356393E-3</v>
      </c>
      <c r="K1252">
        <v>1</v>
      </c>
    </row>
    <row r="1253" spans="1:11">
      <c r="A1253" s="16">
        <v>43879</v>
      </c>
      <c r="B1253" s="17" t="s">
        <v>1247</v>
      </c>
      <c r="C1253">
        <v>27792200</v>
      </c>
      <c r="D1253">
        <f t="shared" si="38"/>
        <v>1.0091872413502859E-2</v>
      </c>
      <c r="G1253" s="17" t="s">
        <v>5863</v>
      </c>
      <c r="H1253">
        <v>3746720000</v>
      </c>
      <c r="J1253">
        <f t="shared" si="39"/>
        <v>-2.9242139723342853E-3</v>
      </c>
      <c r="K1253">
        <v>1</v>
      </c>
    </row>
    <row r="1254" spans="1:11">
      <c r="A1254" s="16">
        <v>43880</v>
      </c>
      <c r="B1254" s="17" t="s">
        <v>1248</v>
      </c>
      <c r="C1254">
        <v>29997500</v>
      </c>
      <c r="D1254">
        <f t="shared" si="38"/>
        <v>2.9946439491984286E-3</v>
      </c>
      <c r="G1254" s="17" t="s">
        <v>5867</v>
      </c>
      <c r="H1254">
        <v>3600150000</v>
      </c>
      <c r="J1254">
        <f t="shared" si="39"/>
        <v>4.6947482013129449E-3</v>
      </c>
      <c r="K1254">
        <v>1</v>
      </c>
    </row>
    <row r="1255" spans="1:11">
      <c r="A1255" s="16">
        <v>43881</v>
      </c>
      <c r="B1255" s="17" t="s">
        <v>1249</v>
      </c>
      <c r="C1255">
        <v>36862400</v>
      </c>
      <c r="D1255">
        <f t="shared" si="38"/>
        <v>-1.5389063576872562E-2</v>
      </c>
      <c r="G1255" s="17" t="s">
        <v>5871</v>
      </c>
      <c r="H1255">
        <v>4007320000</v>
      </c>
      <c r="J1255">
        <f t="shared" si="39"/>
        <v>-3.8228174654427851E-3</v>
      </c>
      <c r="K1255">
        <v>1</v>
      </c>
    </row>
    <row r="1256" spans="1:11">
      <c r="A1256" s="16">
        <v>43882</v>
      </c>
      <c r="B1256" s="17" t="s">
        <v>1250</v>
      </c>
      <c r="C1256">
        <v>48572600</v>
      </c>
      <c r="D1256">
        <f t="shared" si="38"/>
        <v>-3.2123100830446727E-2</v>
      </c>
      <c r="G1256" s="17" t="s">
        <v>5875</v>
      </c>
      <c r="H1256">
        <v>3899270000</v>
      </c>
      <c r="J1256">
        <f t="shared" si="39"/>
        <v>-1.0573809093858041E-2</v>
      </c>
      <c r="K1256">
        <v>1</v>
      </c>
    </row>
    <row r="1257" spans="1:11">
      <c r="A1257" s="16">
        <v>43885</v>
      </c>
      <c r="B1257" s="17" t="s">
        <v>1251</v>
      </c>
      <c r="C1257">
        <v>68311100</v>
      </c>
      <c r="D1257">
        <f t="shared" si="38"/>
        <v>-4.407258462863764E-2</v>
      </c>
      <c r="G1257" s="17" t="s">
        <v>5879</v>
      </c>
      <c r="H1257">
        <v>4842960000</v>
      </c>
      <c r="J1257">
        <f t="shared" si="39"/>
        <v>-3.4088079289662898E-2</v>
      </c>
      <c r="K1257">
        <v>1</v>
      </c>
    </row>
    <row r="1258" spans="1:11">
      <c r="A1258" s="16">
        <v>43886</v>
      </c>
      <c r="B1258" s="17" t="s">
        <v>1252</v>
      </c>
      <c r="C1258">
        <v>68073300</v>
      </c>
      <c r="D1258">
        <f t="shared" si="38"/>
        <v>-1.663946786931287E-2</v>
      </c>
      <c r="G1258" s="17" t="s">
        <v>5883</v>
      </c>
      <c r="H1258">
        <v>5591510000</v>
      </c>
      <c r="J1258">
        <f t="shared" si="39"/>
        <v>-3.0747904486151584E-2</v>
      </c>
      <c r="K1258">
        <v>1</v>
      </c>
    </row>
    <row r="1259" spans="1:11">
      <c r="A1259" s="16">
        <v>43887</v>
      </c>
      <c r="B1259" s="17" t="s">
        <v>1253</v>
      </c>
      <c r="C1259">
        <v>56206100</v>
      </c>
      <c r="D1259">
        <f t="shared" si="38"/>
        <v>1.241732469260521E-2</v>
      </c>
      <c r="G1259" s="17" t="s">
        <v>5887</v>
      </c>
      <c r="H1259">
        <v>5478110000</v>
      </c>
      <c r="J1259">
        <f t="shared" si="39"/>
        <v>-3.785697208136523E-3</v>
      </c>
      <c r="K1259">
        <v>1</v>
      </c>
    </row>
    <row r="1260" spans="1:11">
      <c r="A1260" s="16">
        <v>43888</v>
      </c>
      <c r="B1260" s="17" t="s">
        <v>1254</v>
      </c>
      <c r="C1260">
        <v>93174900</v>
      </c>
      <c r="D1260">
        <f t="shared" si="38"/>
        <v>-7.3064344792504315E-2</v>
      </c>
      <c r="G1260" s="17" t="s">
        <v>5891</v>
      </c>
      <c r="H1260">
        <v>7058840000</v>
      </c>
      <c r="J1260">
        <f t="shared" si="39"/>
        <v>-4.5168136408952134E-2</v>
      </c>
      <c r="K1260">
        <v>1</v>
      </c>
    </row>
    <row r="1261" spans="1:11">
      <c r="A1261" s="16">
        <v>43889</v>
      </c>
      <c r="B1261" s="17" t="s">
        <v>1255</v>
      </c>
      <c r="C1261">
        <v>97073600</v>
      </c>
      <c r="D1261">
        <f t="shared" si="38"/>
        <v>2.3924450022145893E-2</v>
      </c>
      <c r="G1261" s="17" t="s">
        <v>5895</v>
      </c>
      <c r="H1261">
        <v>8563850000</v>
      </c>
      <c r="J1261">
        <f t="shared" si="39"/>
        <v>-8.2724630878432594E-3</v>
      </c>
      <c r="K1261">
        <v>1</v>
      </c>
    </row>
    <row r="1262" spans="1:11">
      <c r="A1262" s="16">
        <v>43892</v>
      </c>
      <c r="B1262" s="17" t="s">
        <v>1256</v>
      </c>
      <c r="C1262">
        <v>71030800</v>
      </c>
      <c r="D1262">
        <f t="shared" si="38"/>
        <v>6.4418912953391971E-2</v>
      </c>
      <c r="G1262" s="17" t="s">
        <v>5899</v>
      </c>
      <c r="H1262">
        <v>6376400000</v>
      </c>
      <c r="J1262">
        <f t="shared" si="39"/>
        <v>4.5010868517233696E-2</v>
      </c>
      <c r="K1262">
        <v>1</v>
      </c>
    </row>
    <row r="1263" spans="1:11">
      <c r="A1263" s="16">
        <v>43893</v>
      </c>
      <c r="B1263" s="17" t="s">
        <v>1257</v>
      </c>
      <c r="C1263">
        <v>71677000</v>
      </c>
      <c r="D1263">
        <f t="shared" si="38"/>
        <v>-4.9105615575386584E-2</v>
      </c>
      <c r="G1263" s="17" t="s">
        <v>5903</v>
      </c>
      <c r="H1263">
        <v>6355940000</v>
      </c>
      <c r="J1263">
        <f t="shared" si="39"/>
        <v>-2.8510484833656792E-2</v>
      </c>
      <c r="K1263">
        <v>1</v>
      </c>
    </row>
    <row r="1264" spans="1:11">
      <c r="A1264" s="16">
        <v>43894</v>
      </c>
      <c r="B1264" s="17" t="s">
        <v>1258</v>
      </c>
      <c r="C1264">
        <v>49814400</v>
      </c>
      <c r="D1264">
        <f t="shared" si="38"/>
        <v>3.6057198216764667E-2</v>
      </c>
      <c r="G1264" s="17" t="s">
        <v>5907</v>
      </c>
      <c r="H1264">
        <v>5035480000</v>
      </c>
      <c r="J1264">
        <f t="shared" si="39"/>
        <v>4.1336349363161225E-2</v>
      </c>
      <c r="K1264">
        <v>1</v>
      </c>
    </row>
    <row r="1265" spans="1:11">
      <c r="A1265" s="16">
        <v>43895</v>
      </c>
      <c r="B1265" s="17" t="s">
        <v>1259</v>
      </c>
      <c r="C1265">
        <v>47817300</v>
      </c>
      <c r="D1265">
        <f t="shared" si="38"/>
        <v>-2.541552934526008E-2</v>
      </c>
      <c r="G1265" s="17" t="s">
        <v>5911</v>
      </c>
      <c r="H1265">
        <v>5575550000</v>
      </c>
      <c r="J1265">
        <f t="shared" si="39"/>
        <v>-3.4510782514423737E-2</v>
      </c>
      <c r="K1265">
        <v>1</v>
      </c>
    </row>
    <row r="1266" spans="1:11">
      <c r="A1266" s="16">
        <v>43896</v>
      </c>
      <c r="B1266" s="17" t="s">
        <v>1260</v>
      </c>
      <c r="C1266">
        <v>72821100</v>
      </c>
      <c r="D1266">
        <f t="shared" si="38"/>
        <v>-2.8674468495931204E-2</v>
      </c>
      <c r="G1266" s="17" t="s">
        <v>5915</v>
      </c>
      <c r="H1266">
        <v>6552140000</v>
      </c>
      <c r="J1266">
        <f t="shared" si="39"/>
        <v>-1.7200943581122549E-2</v>
      </c>
      <c r="K1266">
        <v>1</v>
      </c>
    </row>
    <row r="1267" spans="1:11">
      <c r="A1267" s="16">
        <v>43899</v>
      </c>
      <c r="B1267" s="17" t="s">
        <v>1261</v>
      </c>
      <c r="C1267">
        <v>70419300</v>
      </c>
      <c r="D1267">
        <f t="shared" si="38"/>
        <v>-7.0178453136530497E-2</v>
      </c>
      <c r="G1267" s="17" t="s">
        <v>5918</v>
      </c>
      <c r="H1267">
        <v>8423050000</v>
      </c>
      <c r="J1267">
        <f t="shared" si="39"/>
        <v>-7.901041272937824E-2</v>
      </c>
      <c r="K1267">
        <v>1</v>
      </c>
    </row>
    <row r="1268" spans="1:11">
      <c r="A1268" s="16">
        <v>43900</v>
      </c>
      <c r="B1268" s="17" t="s">
        <v>1262</v>
      </c>
      <c r="C1268">
        <v>65354400</v>
      </c>
      <c r="D1268">
        <f t="shared" si="38"/>
        <v>6.6147259175969017E-2</v>
      </c>
      <c r="G1268" s="17" t="s">
        <v>5922</v>
      </c>
      <c r="H1268">
        <v>7635960000</v>
      </c>
      <c r="J1268">
        <f t="shared" si="39"/>
        <v>4.8215052115312323E-2</v>
      </c>
      <c r="K1268">
        <v>1</v>
      </c>
    </row>
    <row r="1269" spans="1:11">
      <c r="A1269" s="16">
        <v>43901</v>
      </c>
      <c r="B1269" s="17" t="s">
        <v>1263</v>
      </c>
      <c r="C1269">
        <v>56371600</v>
      </c>
      <c r="D1269">
        <f t="shared" si="38"/>
        <v>-4.636018796475655E-2</v>
      </c>
      <c r="G1269" s="17" t="s">
        <v>4036</v>
      </c>
      <c r="H1269">
        <v>7374110000</v>
      </c>
      <c r="J1269">
        <f t="shared" si="39"/>
        <v>-5.0102892577574741E-2</v>
      </c>
      <c r="K1269">
        <v>1</v>
      </c>
    </row>
    <row r="1270" spans="1:11">
      <c r="A1270" s="16">
        <v>43902</v>
      </c>
      <c r="B1270" s="17" t="s">
        <v>1264</v>
      </c>
      <c r="C1270">
        <v>93226400</v>
      </c>
      <c r="D1270">
        <f t="shared" si="38"/>
        <v>-9.9641666399704232E-2</v>
      </c>
      <c r="G1270" s="17" t="s">
        <v>5927</v>
      </c>
      <c r="H1270">
        <v>8829380000</v>
      </c>
      <c r="J1270">
        <f t="shared" si="39"/>
        <v>-9.9944852300802703E-2</v>
      </c>
      <c r="K1270">
        <v>1</v>
      </c>
    </row>
    <row r="1271" spans="1:11">
      <c r="A1271" s="16">
        <v>43903</v>
      </c>
      <c r="B1271" s="18">
        <v>158.83000200000001</v>
      </c>
      <c r="C1271">
        <v>92727400</v>
      </c>
      <c r="D1271">
        <f>LN(B1271/B1270)</f>
        <v>0.1329289801505526</v>
      </c>
      <c r="G1271" s="18">
        <v>2711.0200199999999</v>
      </c>
      <c r="H1271">
        <v>8258670000</v>
      </c>
      <c r="J1271">
        <f t="shared" ref="J1271" si="40">LN(G1271/G1270)</f>
        <v>8.8808406952074301E-2</v>
      </c>
      <c r="K1271">
        <v>1</v>
      </c>
    </row>
    <row r="1275" spans="1:11">
      <c r="B1275" s="17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C069B-FA48-4BAA-AFCC-DFFEB95C3A88}">
  <sheetPr codeName="Sheet5"/>
  <dimension ref="A1:G1269"/>
  <sheetViews>
    <sheetView workbookViewId="0">
      <selection activeCell="G1" sqref="F1:G1048576"/>
    </sheetView>
  </sheetViews>
  <sheetFormatPr baseColWidth="10" defaultColWidth="8.83203125" defaultRowHeight="16"/>
  <cols>
    <col min="1" max="1" width="9.83203125" bestFit="1" customWidth="1"/>
    <col min="2" max="6" width="11.33203125" bestFit="1" customWidth="1"/>
    <col min="7" max="7" width="10.83203125" bestFit="1" customWidth="1"/>
  </cols>
  <sheetData>
    <row r="1" spans="1:7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</row>
    <row r="2" spans="1:7">
      <c r="A2" s="16">
        <v>42065</v>
      </c>
      <c r="B2" s="17" t="s">
        <v>1271</v>
      </c>
      <c r="C2" s="17" t="s">
        <v>1272</v>
      </c>
      <c r="D2" s="17" t="s">
        <v>1273</v>
      </c>
      <c r="E2" s="17" t="s">
        <v>1274</v>
      </c>
      <c r="F2" s="17" t="s">
        <v>1274</v>
      </c>
      <c r="G2">
        <v>3409490000</v>
      </c>
    </row>
    <row r="3" spans="1:7">
      <c r="A3" s="16">
        <v>42066</v>
      </c>
      <c r="B3" s="17" t="s">
        <v>1275</v>
      </c>
      <c r="C3" s="17" t="s">
        <v>1275</v>
      </c>
      <c r="D3" s="17" t="s">
        <v>1276</v>
      </c>
      <c r="E3" s="17" t="s">
        <v>1277</v>
      </c>
      <c r="F3" s="17" t="s">
        <v>1277</v>
      </c>
      <c r="G3">
        <v>3262300000</v>
      </c>
    </row>
    <row r="4" spans="1:7">
      <c r="A4" s="16">
        <v>42067</v>
      </c>
      <c r="B4" s="17" t="s">
        <v>1278</v>
      </c>
      <c r="C4" s="17" t="s">
        <v>1278</v>
      </c>
      <c r="D4" s="17" t="s">
        <v>1279</v>
      </c>
      <c r="E4" s="17" t="s">
        <v>1280</v>
      </c>
      <c r="F4" s="17" t="s">
        <v>1280</v>
      </c>
      <c r="G4">
        <v>3421110000</v>
      </c>
    </row>
    <row r="5" spans="1:7">
      <c r="A5" s="16">
        <v>42068</v>
      </c>
      <c r="B5" s="17" t="s">
        <v>1281</v>
      </c>
      <c r="C5" s="17" t="s">
        <v>1282</v>
      </c>
      <c r="D5" s="17" t="s">
        <v>1283</v>
      </c>
      <c r="E5" s="17" t="s">
        <v>1284</v>
      </c>
      <c r="F5" s="17" t="s">
        <v>1284</v>
      </c>
      <c r="G5">
        <v>3103030000</v>
      </c>
    </row>
    <row r="6" spans="1:7">
      <c r="A6" s="16">
        <v>42069</v>
      </c>
      <c r="B6" s="17" t="s">
        <v>1285</v>
      </c>
      <c r="C6" s="17" t="s">
        <v>1285</v>
      </c>
      <c r="D6" s="17" t="s">
        <v>1286</v>
      </c>
      <c r="E6" s="17" t="s">
        <v>1287</v>
      </c>
      <c r="F6" s="17" t="s">
        <v>1287</v>
      </c>
      <c r="G6">
        <v>3853570000</v>
      </c>
    </row>
    <row r="7" spans="1:7">
      <c r="A7" s="16">
        <v>42072</v>
      </c>
      <c r="B7" s="17" t="s">
        <v>1288</v>
      </c>
      <c r="C7" s="17" t="s">
        <v>1289</v>
      </c>
      <c r="D7" s="17" t="s">
        <v>1290</v>
      </c>
      <c r="E7" s="17" t="s">
        <v>1291</v>
      </c>
      <c r="F7" s="17" t="s">
        <v>1291</v>
      </c>
      <c r="G7">
        <v>3349090000</v>
      </c>
    </row>
    <row r="8" spans="1:7">
      <c r="A8" s="16">
        <v>42073</v>
      </c>
      <c r="B8" s="17" t="s">
        <v>1292</v>
      </c>
      <c r="C8" s="17" t="s">
        <v>1292</v>
      </c>
      <c r="D8" s="17" t="s">
        <v>1293</v>
      </c>
      <c r="E8" s="17" t="s">
        <v>1293</v>
      </c>
      <c r="F8" s="17" t="s">
        <v>1293</v>
      </c>
      <c r="G8">
        <v>3668900000</v>
      </c>
    </row>
    <row r="9" spans="1:7">
      <c r="A9" s="16">
        <v>42074</v>
      </c>
      <c r="B9" s="17" t="s">
        <v>1294</v>
      </c>
      <c r="C9" s="17" t="s">
        <v>1295</v>
      </c>
      <c r="D9" s="17" t="s">
        <v>1296</v>
      </c>
      <c r="E9" s="17" t="s">
        <v>1297</v>
      </c>
      <c r="F9" s="17" t="s">
        <v>1297</v>
      </c>
      <c r="G9">
        <v>3406570000</v>
      </c>
    </row>
    <row r="10" spans="1:7">
      <c r="A10" s="16">
        <v>42075</v>
      </c>
      <c r="B10" s="17" t="s">
        <v>1298</v>
      </c>
      <c r="C10" s="17" t="s">
        <v>1299</v>
      </c>
      <c r="D10" s="17" t="s">
        <v>1298</v>
      </c>
      <c r="E10" s="17" t="s">
        <v>1300</v>
      </c>
      <c r="F10" s="17" t="s">
        <v>1300</v>
      </c>
      <c r="G10">
        <v>3405860000</v>
      </c>
    </row>
    <row r="11" spans="1:7">
      <c r="A11" s="16">
        <v>42076</v>
      </c>
      <c r="B11" s="17" t="s">
        <v>1301</v>
      </c>
      <c r="C11" s="17" t="s">
        <v>1301</v>
      </c>
      <c r="D11" s="17" t="s">
        <v>1302</v>
      </c>
      <c r="E11" s="17" t="s">
        <v>1303</v>
      </c>
      <c r="F11" s="17" t="s">
        <v>1303</v>
      </c>
      <c r="G11">
        <v>3498560000</v>
      </c>
    </row>
    <row r="12" spans="1:7">
      <c r="A12" s="16">
        <v>42079</v>
      </c>
      <c r="B12" s="17" t="s">
        <v>1304</v>
      </c>
      <c r="C12" s="17" t="s">
        <v>1305</v>
      </c>
      <c r="D12" s="17" t="s">
        <v>1304</v>
      </c>
      <c r="E12" s="17" t="s">
        <v>1306</v>
      </c>
      <c r="F12" s="17" t="s">
        <v>1306</v>
      </c>
      <c r="G12">
        <v>3295600000</v>
      </c>
    </row>
    <row r="13" spans="1:7">
      <c r="A13" s="16">
        <v>42080</v>
      </c>
      <c r="B13" s="17" t="s">
        <v>1307</v>
      </c>
      <c r="C13" s="17" t="s">
        <v>1307</v>
      </c>
      <c r="D13" s="17" t="s">
        <v>1308</v>
      </c>
      <c r="E13" s="17" t="s">
        <v>1309</v>
      </c>
      <c r="F13" s="17" t="s">
        <v>1309</v>
      </c>
      <c r="G13">
        <v>3221840000</v>
      </c>
    </row>
    <row r="14" spans="1:7">
      <c r="A14" s="16">
        <v>42081</v>
      </c>
      <c r="B14" s="17" t="s">
        <v>1310</v>
      </c>
      <c r="C14" s="17" t="s">
        <v>1311</v>
      </c>
      <c r="D14" s="17" t="s">
        <v>1312</v>
      </c>
      <c r="E14" s="17" t="s">
        <v>1313</v>
      </c>
      <c r="F14" s="17" t="s">
        <v>1313</v>
      </c>
      <c r="G14">
        <v>4128210000</v>
      </c>
    </row>
    <row r="15" spans="1:7">
      <c r="A15" s="16">
        <v>42082</v>
      </c>
      <c r="B15" s="17" t="s">
        <v>1314</v>
      </c>
      <c r="C15" s="17" t="s">
        <v>1314</v>
      </c>
      <c r="D15" s="17" t="s">
        <v>1315</v>
      </c>
      <c r="E15" s="17" t="s">
        <v>1316</v>
      </c>
      <c r="F15" s="17" t="s">
        <v>1316</v>
      </c>
      <c r="G15">
        <v>3305220000</v>
      </c>
    </row>
    <row r="16" spans="1:7">
      <c r="A16" s="16">
        <v>42083</v>
      </c>
      <c r="B16" s="17" t="s">
        <v>1317</v>
      </c>
      <c r="C16" s="17" t="s">
        <v>1318</v>
      </c>
      <c r="D16" s="17" t="s">
        <v>1317</v>
      </c>
      <c r="E16" s="17" t="s">
        <v>1319</v>
      </c>
      <c r="F16" s="17" t="s">
        <v>1319</v>
      </c>
      <c r="G16">
        <v>5554120000</v>
      </c>
    </row>
    <row r="17" spans="1:7">
      <c r="A17" s="16">
        <v>42086</v>
      </c>
      <c r="B17" s="17" t="s">
        <v>1320</v>
      </c>
      <c r="C17" s="17" t="s">
        <v>1321</v>
      </c>
      <c r="D17" s="17" t="s">
        <v>1322</v>
      </c>
      <c r="E17" s="17" t="s">
        <v>1322</v>
      </c>
      <c r="F17" s="17" t="s">
        <v>1322</v>
      </c>
      <c r="G17">
        <v>3267960000</v>
      </c>
    </row>
    <row r="18" spans="1:7">
      <c r="A18" s="16">
        <v>42087</v>
      </c>
      <c r="B18" s="17" t="s">
        <v>1323</v>
      </c>
      <c r="C18" s="17" t="s">
        <v>1324</v>
      </c>
      <c r="D18" s="17" t="s">
        <v>1325</v>
      </c>
      <c r="E18" s="17" t="s">
        <v>1325</v>
      </c>
      <c r="F18" s="17" t="s">
        <v>1325</v>
      </c>
      <c r="G18">
        <v>3189820000</v>
      </c>
    </row>
    <row r="19" spans="1:7">
      <c r="A19" s="16">
        <v>42088</v>
      </c>
      <c r="B19" s="17" t="s">
        <v>1326</v>
      </c>
      <c r="C19" s="17" t="s">
        <v>1327</v>
      </c>
      <c r="D19" s="17" t="s">
        <v>1328</v>
      </c>
      <c r="E19" s="17" t="s">
        <v>1328</v>
      </c>
      <c r="F19" s="17" t="s">
        <v>1328</v>
      </c>
      <c r="G19">
        <v>3521140000</v>
      </c>
    </row>
    <row r="20" spans="1:7">
      <c r="A20" s="16">
        <v>42089</v>
      </c>
      <c r="B20" s="17" t="s">
        <v>1329</v>
      </c>
      <c r="C20" s="17" t="s">
        <v>1330</v>
      </c>
      <c r="D20" s="17" t="s">
        <v>1331</v>
      </c>
      <c r="E20" s="17" t="s">
        <v>1332</v>
      </c>
      <c r="F20" s="17" t="s">
        <v>1332</v>
      </c>
      <c r="G20">
        <v>3510670000</v>
      </c>
    </row>
    <row r="21" spans="1:7">
      <c r="A21" s="16">
        <v>42090</v>
      </c>
      <c r="B21" s="17" t="s">
        <v>1333</v>
      </c>
      <c r="C21" s="17" t="s">
        <v>1334</v>
      </c>
      <c r="D21" s="17" t="s">
        <v>1335</v>
      </c>
      <c r="E21" s="17" t="s">
        <v>1336</v>
      </c>
      <c r="F21" s="17" t="s">
        <v>1336</v>
      </c>
      <c r="G21">
        <v>3008550000</v>
      </c>
    </row>
    <row r="22" spans="1:7">
      <c r="A22" s="16">
        <v>42093</v>
      </c>
      <c r="B22" s="17" t="s">
        <v>1337</v>
      </c>
      <c r="C22" s="17" t="s">
        <v>1338</v>
      </c>
      <c r="D22" s="17" t="s">
        <v>1337</v>
      </c>
      <c r="E22" s="17" t="s">
        <v>1339</v>
      </c>
      <c r="F22" s="17" t="s">
        <v>1339</v>
      </c>
      <c r="G22">
        <v>2917690000</v>
      </c>
    </row>
    <row r="23" spans="1:7">
      <c r="A23" s="16">
        <v>42094</v>
      </c>
      <c r="B23" s="17" t="s">
        <v>1340</v>
      </c>
      <c r="C23" s="17" t="s">
        <v>1340</v>
      </c>
      <c r="D23" s="17" t="s">
        <v>1341</v>
      </c>
      <c r="E23" s="17" t="s">
        <v>1342</v>
      </c>
      <c r="F23" s="17" t="s">
        <v>1342</v>
      </c>
      <c r="G23">
        <v>3376550000</v>
      </c>
    </row>
    <row r="24" spans="1:7">
      <c r="A24" s="16">
        <v>42095</v>
      </c>
      <c r="B24" s="17" t="s">
        <v>1343</v>
      </c>
      <c r="C24" s="17" t="s">
        <v>1343</v>
      </c>
      <c r="D24" s="17" t="s">
        <v>1344</v>
      </c>
      <c r="E24" s="17" t="s">
        <v>1345</v>
      </c>
      <c r="F24" s="17" t="s">
        <v>1345</v>
      </c>
      <c r="G24">
        <v>3543270000</v>
      </c>
    </row>
    <row r="25" spans="1:7">
      <c r="A25" s="16">
        <v>42096</v>
      </c>
      <c r="B25" s="17" t="s">
        <v>1346</v>
      </c>
      <c r="C25" s="17" t="s">
        <v>1347</v>
      </c>
      <c r="D25" s="17" t="s">
        <v>1348</v>
      </c>
      <c r="E25" s="17" t="s">
        <v>1349</v>
      </c>
      <c r="F25" s="17" t="s">
        <v>1349</v>
      </c>
      <c r="G25">
        <v>3095960000</v>
      </c>
    </row>
    <row r="26" spans="1:7">
      <c r="A26" s="16">
        <v>42100</v>
      </c>
      <c r="B26" s="17" t="s">
        <v>1350</v>
      </c>
      <c r="C26" s="17" t="s">
        <v>1351</v>
      </c>
      <c r="D26" s="17" t="s">
        <v>1352</v>
      </c>
      <c r="E26" s="17" t="s">
        <v>1353</v>
      </c>
      <c r="F26" s="17" t="s">
        <v>1353</v>
      </c>
      <c r="G26">
        <v>3302970000</v>
      </c>
    </row>
    <row r="27" spans="1:7">
      <c r="A27" s="16">
        <v>42101</v>
      </c>
      <c r="B27" s="17" t="s">
        <v>1354</v>
      </c>
      <c r="C27" s="17" t="s">
        <v>1355</v>
      </c>
      <c r="D27" s="17" t="s">
        <v>1356</v>
      </c>
      <c r="E27" s="17" t="s">
        <v>1357</v>
      </c>
      <c r="F27" s="17" t="s">
        <v>1357</v>
      </c>
      <c r="G27">
        <v>3065510000</v>
      </c>
    </row>
    <row r="28" spans="1:7">
      <c r="A28" s="16">
        <v>42102</v>
      </c>
      <c r="B28" s="17" t="s">
        <v>1358</v>
      </c>
      <c r="C28" s="17" t="s">
        <v>1359</v>
      </c>
      <c r="D28" s="17" t="s">
        <v>1360</v>
      </c>
      <c r="E28" s="17" t="s">
        <v>1361</v>
      </c>
      <c r="F28" s="17" t="s">
        <v>1361</v>
      </c>
      <c r="G28">
        <v>3265330000</v>
      </c>
    </row>
    <row r="29" spans="1:7">
      <c r="A29" s="16">
        <v>42103</v>
      </c>
      <c r="B29" s="17" t="s">
        <v>1362</v>
      </c>
      <c r="C29" s="17" t="s">
        <v>1363</v>
      </c>
      <c r="D29" s="17" t="s">
        <v>1364</v>
      </c>
      <c r="E29" s="17" t="s">
        <v>1365</v>
      </c>
      <c r="F29" s="17" t="s">
        <v>1365</v>
      </c>
      <c r="G29">
        <v>3172360000</v>
      </c>
    </row>
    <row r="30" spans="1:7">
      <c r="A30" s="16">
        <v>42104</v>
      </c>
      <c r="B30" s="17" t="s">
        <v>1366</v>
      </c>
      <c r="C30" s="17" t="s">
        <v>1367</v>
      </c>
      <c r="D30" s="17" t="s">
        <v>1366</v>
      </c>
      <c r="E30" s="17" t="s">
        <v>1368</v>
      </c>
      <c r="F30" s="17" t="s">
        <v>1368</v>
      </c>
      <c r="G30">
        <v>3156200000</v>
      </c>
    </row>
    <row r="31" spans="1:7">
      <c r="A31" s="16">
        <v>42107</v>
      </c>
      <c r="B31" s="17" t="s">
        <v>1369</v>
      </c>
      <c r="C31" s="17" t="s">
        <v>1370</v>
      </c>
      <c r="D31" s="17" t="s">
        <v>1371</v>
      </c>
      <c r="E31" s="17" t="s">
        <v>1372</v>
      </c>
      <c r="F31" s="17" t="s">
        <v>1372</v>
      </c>
      <c r="G31">
        <v>2908420000</v>
      </c>
    </row>
    <row r="32" spans="1:7">
      <c r="A32" s="16">
        <v>42108</v>
      </c>
      <c r="B32" s="17" t="s">
        <v>1373</v>
      </c>
      <c r="C32" s="17" t="s">
        <v>1374</v>
      </c>
      <c r="D32" s="17" t="s">
        <v>1375</v>
      </c>
      <c r="E32" s="17" t="s">
        <v>1376</v>
      </c>
      <c r="F32" s="17" t="s">
        <v>1376</v>
      </c>
      <c r="G32">
        <v>3301270000</v>
      </c>
    </row>
    <row r="33" spans="1:7">
      <c r="A33" s="16">
        <v>42109</v>
      </c>
      <c r="B33" s="17" t="s">
        <v>1377</v>
      </c>
      <c r="C33" s="17" t="s">
        <v>1378</v>
      </c>
      <c r="D33" s="17" t="s">
        <v>1377</v>
      </c>
      <c r="E33" s="17" t="s">
        <v>1379</v>
      </c>
      <c r="F33" s="17" t="s">
        <v>1379</v>
      </c>
      <c r="G33">
        <v>4013760000</v>
      </c>
    </row>
    <row r="34" spans="1:7">
      <c r="A34" s="16">
        <v>42110</v>
      </c>
      <c r="B34" s="17" t="s">
        <v>1380</v>
      </c>
      <c r="C34" s="17" t="s">
        <v>1381</v>
      </c>
      <c r="D34" s="17" t="s">
        <v>1382</v>
      </c>
      <c r="E34" s="17" t="s">
        <v>1383</v>
      </c>
      <c r="F34" s="17" t="s">
        <v>1383</v>
      </c>
      <c r="G34">
        <v>3434120000</v>
      </c>
    </row>
    <row r="35" spans="1:7">
      <c r="A35" s="16">
        <v>42111</v>
      </c>
      <c r="B35" s="17" t="s">
        <v>1384</v>
      </c>
      <c r="C35" s="17" t="s">
        <v>1384</v>
      </c>
      <c r="D35" s="17" t="s">
        <v>1385</v>
      </c>
      <c r="E35" s="17" t="s">
        <v>1386</v>
      </c>
      <c r="F35" s="17" t="s">
        <v>1386</v>
      </c>
      <c r="G35">
        <v>3627600000</v>
      </c>
    </row>
    <row r="36" spans="1:7">
      <c r="A36" s="16">
        <v>42114</v>
      </c>
      <c r="B36" s="17" t="s">
        <v>1387</v>
      </c>
      <c r="C36" s="17" t="s">
        <v>1323</v>
      </c>
      <c r="D36" s="17" t="s">
        <v>1387</v>
      </c>
      <c r="E36" s="17" t="s">
        <v>1388</v>
      </c>
      <c r="F36" s="17" t="s">
        <v>1388</v>
      </c>
      <c r="G36">
        <v>3000160000</v>
      </c>
    </row>
    <row r="37" spans="1:7">
      <c r="A37" s="16">
        <v>42115</v>
      </c>
      <c r="B37" s="17" t="s">
        <v>1389</v>
      </c>
      <c r="C37" s="17" t="s">
        <v>1390</v>
      </c>
      <c r="D37" s="17" t="s">
        <v>1391</v>
      </c>
      <c r="E37" s="17" t="s">
        <v>1392</v>
      </c>
      <c r="F37" s="17" t="s">
        <v>1392</v>
      </c>
      <c r="G37">
        <v>3243410000</v>
      </c>
    </row>
    <row r="38" spans="1:7">
      <c r="A38" s="16">
        <v>42116</v>
      </c>
      <c r="B38" s="17" t="s">
        <v>1393</v>
      </c>
      <c r="C38" s="17" t="s">
        <v>1394</v>
      </c>
      <c r="D38" s="17" t="s">
        <v>1395</v>
      </c>
      <c r="E38" s="17" t="s">
        <v>1396</v>
      </c>
      <c r="F38" s="17" t="s">
        <v>1396</v>
      </c>
      <c r="G38">
        <v>3348480000</v>
      </c>
    </row>
    <row r="39" spans="1:7">
      <c r="A39" s="16">
        <v>42117</v>
      </c>
      <c r="B39" s="17" t="s">
        <v>1397</v>
      </c>
      <c r="C39" s="17" t="s">
        <v>1398</v>
      </c>
      <c r="D39" s="17" t="s">
        <v>1399</v>
      </c>
      <c r="E39" s="17" t="s">
        <v>1400</v>
      </c>
      <c r="F39" s="17" t="s">
        <v>1400</v>
      </c>
      <c r="G39">
        <v>3636670000</v>
      </c>
    </row>
    <row r="40" spans="1:7">
      <c r="A40" s="16">
        <v>42118</v>
      </c>
      <c r="B40" s="17" t="s">
        <v>1401</v>
      </c>
      <c r="C40" s="17" t="s">
        <v>1402</v>
      </c>
      <c r="D40" s="17" t="s">
        <v>1401</v>
      </c>
      <c r="E40" s="17" t="s">
        <v>1403</v>
      </c>
      <c r="F40" s="17" t="s">
        <v>1403</v>
      </c>
      <c r="G40">
        <v>3375780000</v>
      </c>
    </row>
    <row r="41" spans="1:7">
      <c r="A41" s="16">
        <v>42121</v>
      </c>
      <c r="B41" s="17" t="s">
        <v>1404</v>
      </c>
      <c r="C41" s="17" t="s">
        <v>1405</v>
      </c>
      <c r="D41" s="17" t="s">
        <v>1406</v>
      </c>
      <c r="E41" s="17" t="s">
        <v>1407</v>
      </c>
      <c r="F41" s="17" t="s">
        <v>1407</v>
      </c>
      <c r="G41">
        <v>3438750000</v>
      </c>
    </row>
    <row r="42" spans="1:7">
      <c r="A42" s="16">
        <v>42122</v>
      </c>
      <c r="B42" s="17" t="s">
        <v>1408</v>
      </c>
      <c r="C42" s="17" t="s">
        <v>1409</v>
      </c>
      <c r="D42" s="17" t="s">
        <v>1410</v>
      </c>
      <c r="E42" s="17" t="s">
        <v>1411</v>
      </c>
      <c r="F42" s="17" t="s">
        <v>1411</v>
      </c>
      <c r="G42">
        <v>3546270000</v>
      </c>
    </row>
    <row r="43" spans="1:7">
      <c r="A43" s="16">
        <v>42123</v>
      </c>
      <c r="B43" s="17" t="s">
        <v>1412</v>
      </c>
      <c r="C43" s="17" t="s">
        <v>1413</v>
      </c>
      <c r="D43" s="17" t="s">
        <v>1414</v>
      </c>
      <c r="E43" s="17" t="s">
        <v>1311</v>
      </c>
      <c r="F43" s="17" t="s">
        <v>1311</v>
      </c>
      <c r="G43">
        <v>4074970000</v>
      </c>
    </row>
    <row r="44" spans="1:7">
      <c r="A44" s="16">
        <v>42124</v>
      </c>
      <c r="B44" s="17" t="s">
        <v>1415</v>
      </c>
      <c r="C44" s="17" t="s">
        <v>1415</v>
      </c>
      <c r="D44" s="17" t="s">
        <v>1416</v>
      </c>
      <c r="E44" s="17" t="s">
        <v>1417</v>
      </c>
      <c r="F44" s="17" t="s">
        <v>1417</v>
      </c>
      <c r="G44">
        <v>4509680000</v>
      </c>
    </row>
    <row r="45" spans="1:7">
      <c r="A45" s="16">
        <v>42125</v>
      </c>
      <c r="B45" s="17" t="s">
        <v>1418</v>
      </c>
      <c r="C45" s="17" t="s">
        <v>1419</v>
      </c>
      <c r="D45" s="17" t="s">
        <v>1418</v>
      </c>
      <c r="E45" s="17" t="s">
        <v>1420</v>
      </c>
      <c r="F45" s="17" t="s">
        <v>1420</v>
      </c>
      <c r="G45">
        <v>3379390000</v>
      </c>
    </row>
    <row r="46" spans="1:7">
      <c r="A46" s="16">
        <v>42128</v>
      </c>
      <c r="B46" s="17" t="s">
        <v>1421</v>
      </c>
      <c r="C46" s="17" t="s">
        <v>1422</v>
      </c>
      <c r="D46" s="17" t="s">
        <v>1421</v>
      </c>
      <c r="E46" s="17" t="s">
        <v>1423</v>
      </c>
      <c r="F46" s="17" t="s">
        <v>1423</v>
      </c>
      <c r="G46">
        <v>3091580000</v>
      </c>
    </row>
    <row r="47" spans="1:7">
      <c r="A47" s="16">
        <v>42129</v>
      </c>
      <c r="B47" s="17" t="s">
        <v>1424</v>
      </c>
      <c r="C47" s="17" t="s">
        <v>1425</v>
      </c>
      <c r="D47" s="17" t="s">
        <v>1426</v>
      </c>
      <c r="E47" s="17" t="s">
        <v>1427</v>
      </c>
      <c r="F47" s="17" t="s">
        <v>1427</v>
      </c>
      <c r="G47">
        <v>3793950000</v>
      </c>
    </row>
    <row r="48" spans="1:7">
      <c r="A48" s="16">
        <v>42130</v>
      </c>
      <c r="B48" s="17" t="s">
        <v>1428</v>
      </c>
      <c r="C48" s="17" t="s">
        <v>1429</v>
      </c>
      <c r="D48" s="17" t="s">
        <v>1430</v>
      </c>
      <c r="E48" s="17" t="s">
        <v>1431</v>
      </c>
      <c r="F48" s="17" t="s">
        <v>1431</v>
      </c>
      <c r="G48">
        <v>3792210000</v>
      </c>
    </row>
    <row r="49" spans="1:7">
      <c r="A49" s="16">
        <v>42131</v>
      </c>
      <c r="B49" s="17" t="s">
        <v>1432</v>
      </c>
      <c r="C49" s="17" t="s">
        <v>1433</v>
      </c>
      <c r="D49" s="17" t="s">
        <v>1434</v>
      </c>
      <c r="E49" s="17" t="s">
        <v>1435</v>
      </c>
      <c r="F49" s="17" t="s">
        <v>1435</v>
      </c>
      <c r="G49">
        <v>3676640000</v>
      </c>
    </row>
    <row r="50" spans="1:7">
      <c r="A50" s="16">
        <v>42132</v>
      </c>
      <c r="B50" s="17" t="s">
        <v>1436</v>
      </c>
      <c r="C50" s="17" t="s">
        <v>1437</v>
      </c>
      <c r="D50" s="17" t="s">
        <v>1436</v>
      </c>
      <c r="E50" s="17" t="s">
        <v>1438</v>
      </c>
      <c r="F50" s="17" t="s">
        <v>1438</v>
      </c>
      <c r="G50">
        <v>3399440000</v>
      </c>
    </row>
    <row r="51" spans="1:7">
      <c r="A51" s="16">
        <v>42135</v>
      </c>
      <c r="B51" s="17" t="s">
        <v>1439</v>
      </c>
      <c r="C51" s="17" t="s">
        <v>1403</v>
      </c>
      <c r="D51" s="17" t="s">
        <v>1440</v>
      </c>
      <c r="E51" s="17" t="s">
        <v>1441</v>
      </c>
      <c r="F51" s="17" t="s">
        <v>1441</v>
      </c>
      <c r="G51">
        <v>2992670000</v>
      </c>
    </row>
    <row r="52" spans="1:7">
      <c r="A52" s="16">
        <v>42136</v>
      </c>
      <c r="B52" s="17" t="s">
        <v>1442</v>
      </c>
      <c r="C52" s="17" t="s">
        <v>1443</v>
      </c>
      <c r="D52" s="17" t="s">
        <v>1444</v>
      </c>
      <c r="E52" s="17" t="s">
        <v>1445</v>
      </c>
      <c r="F52" s="17" t="s">
        <v>1445</v>
      </c>
      <c r="G52">
        <v>3139520000</v>
      </c>
    </row>
    <row r="53" spans="1:7">
      <c r="A53" s="16">
        <v>42137</v>
      </c>
      <c r="B53" s="17" t="s">
        <v>1446</v>
      </c>
      <c r="C53" s="17" t="s">
        <v>1447</v>
      </c>
      <c r="D53" s="17" t="s">
        <v>1448</v>
      </c>
      <c r="E53" s="17" t="s">
        <v>1449</v>
      </c>
      <c r="F53" s="17" t="s">
        <v>1449</v>
      </c>
      <c r="G53">
        <v>3374260000</v>
      </c>
    </row>
    <row r="54" spans="1:7">
      <c r="A54" s="16">
        <v>42138</v>
      </c>
      <c r="B54" s="17" t="s">
        <v>1450</v>
      </c>
      <c r="C54" s="17" t="s">
        <v>1451</v>
      </c>
      <c r="D54" s="17" t="s">
        <v>1450</v>
      </c>
      <c r="E54" s="17" t="s">
        <v>1452</v>
      </c>
      <c r="F54" s="17" t="s">
        <v>1452</v>
      </c>
      <c r="G54">
        <v>3225740000</v>
      </c>
    </row>
    <row r="55" spans="1:7">
      <c r="A55" s="16">
        <v>42139</v>
      </c>
      <c r="B55" s="17" t="s">
        <v>1453</v>
      </c>
      <c r="C55" s="17" t="s">
        <v>1454</v>
      </c>
      <c r="D55" s="17" t="s">
        <v>1455</v>
      </c>
      <c r="E55" s="17" t="s">
        <v>1456</v>
      </c>
      <c r="F55" s="17" t="s">
        <v>1456</v>
      </c>
      <c r="G55">
        <v>3092080000</v>
      </c>
    </row>
    <row r="56" spans="1:7">
      <c r="A56" s="16">
        <v>42142</v>
      </c>
      <c r="B56" s="17" t="s">
        <v>1457</v>
      </c>
      <c r="C56" s="17" t="s">
        <v>1458</v>
      </c>
      <c r="D56" s="17" t="s">
        <v>1459</v>
      </c>
      <c r="E56" s="17" t="s">
        <v>1460</v>
      </c>
      <c r="F56" s="17" t="s">
        <v>1460</v>
      </c>
      <c r="G56">
        <v>2888190000</v>
      </c>
    </row>
    <row r="57" spans="1:7">
      <c r="A57" s="16">
        <v>42143</v>
      </c>
      <c r="B57" s="17" t="s">
        <v>1461</v>
      </c>
      <c r="C57" s="17" t="s">
        <v>1462</v>
      </c>
      <c r="D57" s="17" t="s">
        <v>1463</v>
      </c>
      <c r="E57" s="17" t="s">
        <v>1464</v>
      </c>
      <c r="F57" s="17" t="s">
        <v>1464</v>
      </c>
      <c r="G57">
        <v>3296030000</v>
      </c>
    </row>
    <row r="58" spans="1:7">
      <c r="A58" s="16">
        <v>42144</v>
      </c>
      <c r="B58" s="17" t="s">
        <v>1465</v>
      </c>
      <c r="C58" s="17" t="s">
        <v>1466</v>
      </c>
      <c r="D58" s="17" t="s">
        <v>1467</v>
      </c>
      <c r="E58" s="17" t="s">
        <v>1468</v>
      </c>
      <c r="F58" s="17" t="s">
        <v>1468</v>
      </c>
      <c r="G58">
        <v>3025880000</v>
      </c>
    </row>
    <row r="59" spans="1:7">
      <c r="A59" s="16">
        <v>42145</v>
      </c>
      <c r="B59" s="17" t="s">
        <v>1469</v>
      </c>
      <c r="C59" s="17" t="s">
        <v>1470</v>
      </c>
      <c r="D59" s="17" t="s">
        <v>1471</v>
      </c>
      <c r="E59" s="17" t="s">
        <v>1472</v>
      </c>
      <c r="F59" s="17" t="s">
        <v>1472</v>
      </c>
      <c r="G59">
        <v>3070460000</v>
      </c>
    </row>
    <row r="60" spans="1:7">
      <c r="A60" s="16">
        <v>42146</v>
      </c>
      <c r="B60" s="17" t="s">
        <v>1473</v>
      </c>
      <c r="C60" s="17" t="s">
        <v>1474</v>
      </c>
      <c r="D60" s="17" t="s">
        <v>1475</v>
      </c>
      <c r="E60" s="17" t="s">
        <v>1475</v>
      </c>
      <c r="F60" s="17" t="s">
        <v>1475</v>
      </c>
      <c r="G60">
        <v>2571860000</v>
      </c>
    </row>
    <row r="61" spans="1:7">
      <c r="A61" s="16">
        <v>42150</v>
      </c>
      <c r="B61" s="17" t="s">
        <v>1476</v>
      </c>
      <c r="C61" s="17" t="s">
        <v>1476</v>
      </c>
      <c r="D61" s="17" t="s">
        <v>1477</v>
      </c>
      <c r="E61" s="17" t="s">
        <v>1478</v>
      </c>
      <c r="F61" s="17" t="s">
        <v>1478</v>
      </c>
      <c r="G61">
        <v>3342130000</v>
      </c>
    </row>
    <row r="62" spans="1:7">
      <c r="A62" s="16">
        <v>42151</v>
      </c>
      <c r="B62" s="17" t="s">
        <v>1479</v>
      </c>
      <c r="C62" s="17" t="s">
        <v>1480</v>
      </c>
      <c r="D62" s="17" t="s">
        <v>1479</v>
      </c>
      <c r="E62" s="17" t="s">
        <v>1481</v>
      </c>
      <c r="F62" s="17" t="s">
        <v>1481</v>
      </c>
      <c r="G62">
        <v>3127960000</v>
      </c>
    </row>
    <row r="63" spans="1:7">
      <c r="A63" s="16">
        <v>42152</v>
      </c>
      <c r="B63" s="17" t="s">
        <v>1482</v>
      </c>
      <c r="C63" s="17" t="s">
        <v>1482</v>
      </c>
      <c r="D63" s="17" t="s">
        <v>1483</v>
      </c>
      <c r="E63" s="17" t="s">
        <v>1484</v>
      </c>
      <c r="F63" s="17" t="s">
        <v>1484</v>
      </c>
      <c r="G63">
        <v>2980350000</v>
      </c>
    </row>
    <row r="64" spans="1:7">
      <c r="A64" s="16">
        <v>42153</v>
      </c>
      <c r="B64" s="17" t="s">
        <v>1485</v>
      </c>
      <c r="C64" s="17" t="s">
        <v>1485</v>
      </c>
      <c r="D64" s="17" t="s">
        <v>1486</v>
      </c>
      <c r="E64" s="17" t="s">
        <v>1487</v>
      </c>
      <c r="F64" s="17" t="s">
        <v>1487</v>
      </c>
      <c r="G64">
        <v>3927390000</v>
      </c>
    </row>
    <row r="65" spans="1:7">
      <c r="A65" s="16">
        <v>42156</v>
      </c>
      <c r="B65" s="17" t="s">
        <v>1488</v>
      </c>
      <c r="C65" s="17" t="s">
        <v>1489</v>
      </c>
      <c r="D65" s="17" t="s">
        <v>1490</v>
      </c>
      <c r="E65" s="17" t="s">
        <v>1491</v>
      </c>
      <c r="F65" s="17" t="s">
        <v>1491</v>
      </c>
      <c r="G65">
        <v>3011710000</v>
      </c>
    </row>
    <row r="66" spans="1:7">
      <c r="A66" s="16">
        <v>42157</v>
      </c>
      <c r="B66" s="17" t="s">
        <v>1492</v>
      </c>
      <c r="C66" s="17" t="s">
        <v>1493</v>
      </c>
      <c r="D66" s="17" t="s">
        <v>1494</v>
      </c>
      <c r="E66" s="17" t="s">
        <v>1495</v>
      </c>
      <c r="F66" s="17" t="s">
        <v>1495</v>
      </c>
      <c r="G66">
        <v>3049350000</v>
      </c>
    </row>
    <row r="67" spans="1:7">
      <c r="A67" s="16">
        <v>42158</v>
      </c>
      <c r="B67" s="17" t="s">
        <v>1496</v>
      </c>
      <c r="C67" s="17" t="s">
        <v>1497</v>
      </c>
      <c r="D67" s="17" t="s">
        <v>1498</v>
      </c>
      <c r="E67" s="17" t="s">
        <v>1499</v>
      </c>
      <c r="F67" s="17" t="s">
        <v>1499</v>
      </c>
      <c r="G67">
        <v>3099980000</v>
      </c>
    </row>
    <row r="68" spans="1:7">
      <c r="A68" s="16">
        <v>42159</v>
      </c>
      <c r="B68" s="17" t="s">
        <v>1500</v>
      </c>
      <c r="C68" s="17" t="s">
        <v>1501</v>
      </c>
      <c r="D68" s="17" t="s">
        <v>1502</v>
      </c>
      <c r="E68" s="17" t="s">
        <v>1376</v>
      </c>
      <c r="F68" s="17" t="s">
        <v>1376</v>
      </c>
      <c r="G68">
        <v>3200050000</v>
      </c>
    </row>
    <row r="69" spans="1:7">
      <c r="A69" s="16">
        <v>42160</v>
      </c>
      <c r="B69" s="17" t="s">
        <v>1503</v>
      </c>
      <c r="C69" s="17" t="s">
        <v>1504</v>
      </c>
      <c r="D69" s="17" t="s">
        <v>1505</v>
      </c>
      <c r="E69" s="17" t="s">
        <v>1506</v>
      </c>
      <c r="F69" s="17" t="s">
        <v>1506</v>
      </c>
      <c r="G69">
        <v>3243690000</v>
      </c>
    </row>
    <row r="70" spans="1:7">
      <c r="A70" s="16">
        <v>42163</v>
      </c>
      <c r="B70" s="17" t="s">
        <v>1507</v>
      </c>
      <c r="C70" s="17" t="s">
        <v>1508</v>
      </c>
      <c r="D70" s="17" t="s">
        <v>1509</v>
      </c>
      <c r="E70" s="17" t="s">
        <v>1510</v>
      </c>
      <c r="F70" s="17" t="s">
        <v>1510</v>
      </c>
      <c r="G70">
        <v>2917150000</v>
      </c>
    </row>
    <row r="71" spans="1:7">
      <c r="A71" s="16">
        <v>42164</v>
      </c>
      <c r="B71" s="17" t="s">
        <v>1511</v>
      </c>
      <c r="C71" s="17" t="s">
        <v>1512</v>
      </c>
      <c r="D71" s="17" t="s">
        <v>1513</v>
      </c>
      <c r="E71" s="17" t="s">
        <v>1431</v>
      </c>
      <c r="F71" s="17" t="s">
        <v>1431</v>
      </c>
      <c r="G71">
        <v>3034580000</v>
      </c>
    </row>
    <row r="72" spans="1:7">
      <c r="A72" s="16">
        <v>42165</v>
      </c>
      <c r="B72" s="17" t="s">
        <v>1514</v>
      </c>
      <c r="C72" s="17" t="s">
        <v>1515</v>
      </c>
      <c r="D72" s="17" t="s">
        <v>1514</v>
      </c>
      <c r="E72" s="17" t="s">
        <v>1516</v>
      </c>
      <c r="F72" s="17" t="s">
        <v>1516</v>
      </c>
      <c r="G72">
        <v>3414320000</v>
      </c>
    </row>
    <row r="73" spans="1:7">
      <c r="A73" s="16">
        <v>42166</v>
      </c>
      <c r="B73" s="17" t="s">
        <v>1517</v>
      </c>
      <c r="C73" s="17" t="s">
        <v>1518</v>
      </c>
      <c r="D73" s="17" t="s">
        <v>1517</v>
      </c>
      <c r="E73" s="17" t="s">
        <v>1519</v>
      </c>
      <c r="F73" s="17" t="s">
        <v>1519</v>
      </c>
      <c r="G73">
        <v>3128600000</v>
      </c>
    </row>
    <row r="74" spans="1:7">
      <c r="A74" s="16">
        <v>42167</v>
      </c>
      <c r="B74" s="17" t="s">
        <v>1520</v>
      </c>
      <c r="C74" s="17" t="s">
        <v>1520</v>
      </c>
      <c r="D74" s="17" t="s">
        <v>1521</v>
      </c>
      <c r="E74" s="17" t="s">
        <v>1522</v>
      </c>
      <c r="F74" s="17" t="s">
        <v>1522</v>
      </c>
      <c r="G74">
        <v>2719400000</v>
      </c>
    </row>
    <row r="75" spans="1:7">
      <c r="A75" s="16">
        <v>42170</v>
      </c>
      <c r="B75" s="17" t="s">
        <v>1523</v>
      </c>
      <c r="C75" s="17" t="s">
        <v>1523</v>
      </c>
      <c r="D75" s="17" t="s">
        <v>1524</v>
      </c>
      <c r="E75" s="17" t="s">
        <v>1525</v>
      </c>
      <c r="F75" s="17" t="s">
        <v>1525</v>
      </c>
      <c r="G75">
        <v>3061570000</v>
      </c>
    </row>
    <row r="76" spans="1:7">
      <c r="A76" s="16">
        <v>42171</v>
      </c>
      <c r="B76" s="17" t="s">
        <v>1526</v>
      </c>
      <c r="C76" s="17" t="s">
        <v>1527</v>
      </c>
      <c r="D76" s="17" t="s">
        <v>1528</v>
      </c>
      <c r="E76" s="17" t="s">
        <v>1529</v>
      </c>
      <c r="F76" s="17" t="s">
        <v>1529</v>
      </c>
      <c r="G76">
        <v>2919900000</v>
      </c>
    </row>
    <row r="77" spans="1:7">
      <c r="A77" s="16">
        <v>42172</v>
      </c>
      <c r="B77" s="17" t="s">
        <v>1527</v>
      </c>
      <c r="C77" s="17" t="s">
        <v>1530</v>
      </c>
      <c r="D77" s="17" t="s">
        <v>1531</v>
      </c>
      <c r="E77" s="17" t="s">
        <v>1532</v>
      </c>
      <c r="F77" s="17" t="s">
        <v>1532</v>
      </c>
      <c r="G77">
        <v>3222240000</v>
      </c>
    </row>
    <row r="78" spans="1:7">
      <c r="A78" s="16">
        <v>42173</v>
      </c>
      <c r="B78" s="17" t="s">
        <v>1533</v>
      </c>
      <c r="C78" s="17" t="s">
        <v>1534</v>
      </c>
      <c r="D78" s="17" t="s">
        <v>1533</v>
      </c>
      <c r="E78" s="17" t="s">
        <v>1535</v>
      </c>
      <c r="F78" s="17" t="s">
        <v>1535</v>
      </c>
      <c r="G78">
        <v>3520360000</v>
      </c>
    </row>
    <row r="79" spans="1:7">
      <c r="A79" s="16">
        <v>42174</v>
      </c>
      <c r="B79" s="17" t="s">
        <v>1536</v>
      </c>
      <c r="C79" s="17" t="s">
        <v>1537</v>
      </c>
      <c r="D79" s="17" t="s">
        <v>1538</v>
      </c>
      <c r="E79" s="17" t="s">
        <v>1539</v>
      </c>
      <c r="F79" s="17" t="s">
        <v>1539</v>
      </c>
      <c r="G79">
        <v>4449810000</v>
      </c>
    </row>
    <row r="80" spans="1:7">
      <c r="A80" s="16">
        <v>42177</v>
      </c>
      <c r="B80" s="17" t="s">
        <v>1540</v>
      </c>
      <c r="C80" s="17" t="s">
        <v>1541</v>
      </c>
      <c r="D80" s="17" t="s">
        <v>1540</v>
      </c>
      <c r="E80" s="17" t="s">
        <v>1542</v>
      </c>
      <c r="F80" s="17" t="s">
        <v>1542</v>
      </c>
      <c r="G80">
        <v>3030020000</v>
      </c>
    </row>
    <row r="81" spans="1:7">
      <c r="A81" s="16">
        <v>42178</v>
      </c>
      <c r="B81" s="17" t="s">
        <v>1543</v>
      </c>
      <c r="C81" s="17" t="s">
        <v>1544</v>
      </c>
      <c r="D81" s="17" t="s">
        <v>1545</v>
      </c>
      <c r="E81" s="17" t="s">
        <v>1546</v>
      </c>
      <c r="F81" s="17" t="s">
        <v>1546</v>
      </c>
      <c r="G81">
        <v>3091190000</v>
      </c>
    </row>
    <row r="82" spans="1:7">
      <c r="A82" s="16">
        <v>42179</v>
      </c>
      <c r="B82" s="17" t="s">
        <v>1547</v>
      </c>
      <c r="C82" s="17" t="s">
        <v>1548</v>
      </c>
      <c r="D82" s="17" t="s">
        <v>1549</v>
      </c>
      <c r="E82" s="17" t="s">
        <v>1549</v>
      </c>
      <c r="F82" s="17" t="s">
        <v>1549</v>
      </c>
      <c r="G82">
        <v>3102480000</v>
      </c>
    </row>
    <row r="83" spans="1:7">
      <c r="A83" s="16">
        <v>42180</v>
      </c>
      <c r="B83" s="17" t="s">
        <v>1550</v>
      </c>
      <c r="C83" s="17" t="s">
        <v>1409</v>
      </c>
      <c r="D83" s="17" t="s">
        <v>1551</v>
      </c>
      <c r="E83" s="17" t="s">
        <v>1552</v>
      </c>
      <c r="F83" s="17" t="s">
        <v>1552</v>
      </c>
      <c r="G83">
        <v>3214610000</v>
      </c>
    </row>
    <row r="84" spans="1:7">
      <c r="A84" s="16">
        <v>42181</v>
      </c>
      <c r="B84" s="17" t="s">
        <v>1553</v>
      </c>
      <c r="C84" s="17" t="s">
        <v>1407</v>
      </c>
      <c r="D84" s="17" t="s">
        <v>1554</v>
      </c>
      <c r="E84" s="17" t="s">
        <v>1555</v>
      </c>
      <c r="F84" s="17" t="s">
        <v>1555</v>
      </c>
      <c r="G84">
        <v>5025470000</v>
      </c>
    </row>
    <row r="85" spans="1:7">
      <c r="A85" s="16">
        <v>42184</v>
      </c>
      <c r="B85" s="17" t="s">
        <v>1556</v>
      </c>
      <c r="C85" s="17" t="s">
        <v>1556</v>
      </c>
      <c r="D85" s="17" t="s">
        <v>1557</v>
      </c>
      <c r="E85" s="17" t="s">
        <v>1558</v>
      </c>
      <c r="F85" s="17" t="s">
        <v>1558</v>
      </c>
      <c r="G85">
        <v>3678960000</v>
      </c>
    </row>
    <row r="86" spans="1:7">
      <c r="A86" s="16">
        <v>42185</v>
      </c>
      <c r="B86" s="17" t="s">
        <v>1559</v>
      </c>
      <c r="C86" s="17" t="s">
        <v>1309</v>
      </c>
      <c r="D86" s="17" t="s">
        <v>1560</v>
      </c>
      <c r="E86" s="17" t="s">
        <v>1561</v>
      </c>
      <c r="F86" s="17" t="s">
        <v>1561</v>
      </c>
      <c r="G86">
        <v>4078540000</v>
      </c>
    </row>
    <row r="87" spans="1:7">
      <c r="A87" s="16">
        <v>42186</v>
      </c>
      <c r="B87" s="17" t="s">
        <v>1562</v>
      </c>
      <c r="C87" s="17" t="s">
        <v>1563</v>
      </c>
      <c r="D87" s="17" t="s">
        <v>1562</v>
      </c>
      <c r="E87" s="17" t="s">
        <v>1564</v>
      </c>
      <c r="F87" s="17" t="s">
        <v>1564</v>
      </c>
      <c r="G87">
        <v>3727260000</v>
      </c>
    </row>
    <row r="88" spans="1:7">
      <c r="A88" s="16">
        <v>42187</v>
      </c>
      <c r="B88" s="17" t="s">
        <v>1565</v>
      </c>
      <c r="C88" s="17" t="s">
        <v>1566</v>
      </c>
      <c r="D88" s="17" t="s">
        <v>1567</v>
      </c>
      <c r="E88" s="17" t="s">
        <v>1568</v>
      </c>
      <c r="F88" s="17" t="s">
        <v>1568</v>
      </c>
      <c r="G88">
        <v>2996540000</v>
      </c>
    </row>
    <row r="89" spans="1:7">
      <c r="A89" s="16">
        <v>42191</v>
      </c>
      <c r="B89" s="17" t="s">
        <v>1569</v>
      </c>
      <c r="C89" s="17" t="s">
        <v>1570</v>
      </c>
      <c r="D89" s="17" t="s">
        <v>1571</v>
      </c>
      <c r="E89" s="17" t="s">
        <v>1572</v>
      </c>
      <c r="F89" s="17" t="s">
        <v>1572</v>
      </c>
      <c r="G89">
        <v>3486360000</v>
      </c>
    </row>
    <row r="90" spans="1:7">
      <c r="A90" s="16">
        <v>42192</v>
      </c>
      <c r="B90" s="17" t="s">
        <v>1573</v>
      </c>
      <c r="C90" s="17" t="s">
        <v>1574</v>
      </c>
      <c r="D90" s="17" t="s">
        <v>1575</v>
      </c>
      <c r="E90" s="17" t="s">
        <v>1576</v>
      </c>
      <c r="F90" s="17" t="s">
        <v>1576</v>
      </c>
      <c r="G90">
        <v>4458660000</v>
      </c>
    </row>
    <row r="91" spans="1:7">
      <c r="A91" s="16">
        <v>42193</v>
      </c>
      <c r="B91" s="17" t="s">
        <v>1577</v>
      </c>
      <c r="C91" s="17" t="s">
        <v>1577</v>
      </c>
      <c r="D91" s="17" t="s">
        <v>1578</v>
      </c>
      <c r="E91" s="17" t="s">
        <v>1579</v>
      </c>
      <c r="F91" s="17" t="s">
        <v>1579</v>
      </c>
      <c r="G91">
        <v>3608780000</v>
      </c>
    </row>
    <row r="92" spans="1:7">
      <c r="A92" s="16">
        <v>42194</v>
      </c>
      <c r="B92" s="17" t="s">
        <v>1580</v>
      </c>
      <c r="C92" s="17" t="s">
        <v>1309</v>
      </c>
      <c r="D92" s="17" t="s">
        <v>1580</v>
      </c>
      <c r="E92" s="17" t="s">
        <v>1581</v>
      </c>
      <c r="F92" s="17" t="s">
        <v>1581</v>
      </c>
      <c r="G92">
        <v>3446810000</v>
      </c>
    </row>
    <row r="93" spans="1:7">
      <c r="A93" s="16">
        <v>42195</v>
      </c>
      <c r="B93" s="17" t="s">
        <v>1582</v>
      </c>
      <c r="C93" s="17" t="s">
        <v>1583</v>
      </c>
      <c r="D93" s="17" t="s">
        <v>1582</v>
      </c>
      <c r="E93" s="17" t="s">
        <v>1584</v>
      </c>
      <c r="F93" s="17" t="s">
        <v>1584</v>
      </c>
      <c r="G93">
        <v>3065070000</v>
      </c>
    </row>
    <row r="94" spans="1:7">
      <c r="A94" s="16">
        <v>42198</v>
      </c>
      <c r="B94" s="17" t="s">
        <v>1585</v>
      </c>
      <c r="C94" s="17" t="s">
        <v>1586</v>
      </c>
      <c r="D94" s="17" t="s">
        <v>1585</v>
      </c>
      <c r="E94" s="17" t="s">
        <v>1587</v>
      </c>
      <c r="F94" s="17" t="s">
        <v>1587</v>
      </c>
      <c r="G94">
        <v>3096730000</v>
      </c>
    </row>
    <row r="95" spans="1:7">
      <c r="A95" s="16">
        <v>42199</v>
      </c>
      <c r="B95" s="17" t="s">
        <v>1588</v>
      </c>
      <c r="C95" s="17" t="s">
        <v>1589</v>
      </c>
      <c r="D95" s="17" t="s">
        <v>1590</v>
      </c>
      <c r="E95" s="17" t="s">
        <v>1591</v>
      </c>
      <c r="F95" s="17" t="s">
        <v>1591</v>
      </c>
      <c r="G95">
        <v>3002120000</v>
      </c>
    </row>
    <row r="96" spans="1:7">
      <c r="A96" s="16">
        <v>42200</v>
      </c>
      <c r="B96" s="17" t="s">
        <v>1592</v>
      </c>
      <c r="C96" s="17" t="s">
        <v>1593</v>
      </c>
      <c r="D96" s="17" t="s">
        <v>1594</v>
      </c>
      <c r="E96" s="17" t="s">
        <v>1595</v>
      </c>
      <c r="F96" s="17" t="s">
        <v>1595</v>
      </c>
      <c r="G96">
        <v>3261810000</v>
      </c>
    </row>
    <row r="97" spans="1:7">
      <c r="A97" s="16">
        <v>42201</v>
      </c>
      <c r="B97" s="17" t="s">
        <v>1596</v>
      </c>
      <c r="C97" s="17" t="s">
        <v>1597</v>
      </c>
      <c r="D97" s="17" t="s">
        <v>1596</v>
      </c>
      <c r="E97" s="17" t="s">
        <v>1598</v>
      </c>
      <c r="F97" s="17" t="s">
        <v>1598</v>
      </c>
      <c r="G97">
        <v>3227080000</v>
      </c>
    </row>
    <row r="98" spans="1:7">
      <c r="A98" s="16">
        <v>42202</v>
      </c>
      <c r="B98" s="17" t="s">
        <v>1599</v>
      </c>
      <c r="C98" s="17" t="s">
        <v>1600</v>
      </c>
      <c r="D98" s="17" t="s">
        <v>1601</v>
      </c>
      <c r="E98" s="17" t="s">
        <v>1602</v>
      </c>
      <c r="F98" s="17" t="s">
        <v>1602</v>
      </c>
      <c r="G98">
        <v>3362750000</v>
      </c>
    </row>
    <row r="99" spans="1:7">
      <c r="A99" s="16">
        <v>42205</v>
      </c>
      <c r="B99" s="17" t="s">
        <v>1603</v>
      </c>
      <c r="C99" s="17" t="s">
        <v>1604</v>
      </c>
      <c r="D99" s="17" t="s">
        <v>1605</v>
      </c>
      <c r="E99" s="17" t="s">
        <v>1606</v>
      </c>
      <c r="F99" s="17" t="s">
        <v>1606</v>
      </c>
      <c r="G99">
        <v>3245870000</v>
      </c>
    </row>
    <row r="100" spans="1:7">
      <c r="A100" s="16">
        <v>42206</v>
      </c>
      <c r="B100" s="17" t="s">
        <v>1607</v>
      </c>
      <c r="C100" s="17" t="s">
        <v>1608</v>
      </c>
      <c r="D100" s="17" t="s">
        <v>1609</v>
      </c>
      <c r="E100" s="17" t="s">
        <v>1610</v>
      </c>
      <c r="F100" s="17" t="s">
        <v>1610</v>
      </c>
      <c r="G100">
        <v>3343690000</v>
      </c>
    </row>
    <row r="101" spans="1:7">
      <c r="A101" s="16">
        <v>42207</v>
      </c>
      <c r="B101" s="17" t="s">
        <v>1611</v>
      </c>
      <c r="C101" s="17" t="s">
        <v>1612</v>
      </c>
      <c r="D101" s="17" t="s">
        <v>1613</v>
      </c>
      <c r="E101" s="17" t="s">
        <v>1614</v>
      </c>
      <c r="F101" s="17" t="s">
        <v>1614</v>
      </c>
      <c r="G101">
        <v>3694070000</v>
      </c>
    </row>
    <row r="102" spans="1:7">
      <c r="A102" s="16">
        <v>42208</v>
      </c>
      <c r="B102" s="17" t="s">
        <v>1615</v>
      </c>
      <c r="C102" s="17" t="s">
        <v>1616</v>
      </c>
      <c r="D102" s="17" t="s">
        <v>1556</v>
      </c>
      <c r="E102" s="17" t="s">
        <v>1617</v>
      </c>
      <c r="F102" s="17" t="s">
        <v>1617</v>
      </c>
      <c r="G102">
        <v>3772810000</v>
      </c>
    </row>
    <row r="103" spans="1:7">
      <c r="A103" s="16">
        <v>42209</v>
      </c>
      <c r="B103" s="17" t="s">
        <v>1618</v>
      </c>
      <c r="C103" s="17" t="s">
        <v>1619</v>
      </c>
      <c r="D103" s="17" t="s">
        <v>1620</v>
      </c>
      <c r="E103" s="17" t="s">
        <v>1621</v>
      </c>
      <c r="F103" s="17" t="s">
        <v>1621</v>
      </c>
      <c r="G103">
        <v>3870040000</v>
      </c>
    </row>
    <row r="104" spans="1:7">
      <c r="A104" s="16">
        <v>42212</v>
      </c>
      <c r="B104" s="17" t="s">
        <v>1622</v>
      </c>
      <c r="C104" s="17" t="s">
        <v>1622</v>
      </c>
      <c r="D104" s="17" t="s">
        <v>1623</v>
      </c>
      <c r="E104" s="17" t="s">
        <v>1624</v>
      </c>
      <c r="F104" s="17" t="s">
        <v>1624</v>
      </c>
      <c r="G104">
        <v>3836750000</v>
      </c>
    </row>
    <row r="105" spans="1:7">
      <c r="A105" s="16">
        <v>42213</v>
      </c>
      <c r="B105" s="17" t="s">
        <v>1625</v>
      </c>
      <c r="C105" s="17" t="s">
        <v>1626</v>
      </c>
      <c r="D105" s="17" t="s">
        <v>1627</v>
      </c>
      <c r="E105" s="17" t="s">
        <v>1628</v>
      </c>
      <c r="F105" s="17" t="s">
        <v>1628</v>
      </c>
      <c r="G105">
        <v>4117740000</v>
      </c>
    </row>
    <row r="106" spans="1:7">
      <c r="A106" s="16">
        <v>42214</v>
      </c>
      <c r="B106" s="17" t="s">
        <v>1629</v>
      </c>
      <c r="C106" s="17" t="s">
        <v>1630</v>
      </c>
      <c r="D106" s="17" t="s">
        <v>1631</v>
      </c>
      <c r="E106" s="17" t="s">
        <v>1632</v>
      </c>
      <c r="F106" s="17" t="s">
        <v>1632</v>
      </c>
      <c r="G106">
        <v>4038900000</v>
      </c>
    </row>
    <row r="107" spans="1:7">
      <c r="A107" s="16">
        <v>42215</v>
      </c>
      <c r="B107" s="17" t="s">
        <v>1633</v>
      </c>
      <c r="C107" s="17" t="s">
        <v>1634</v>
      </c>
      <c r="D107" s="17" t="s">
        <v>1635</v>
      </c>
      <c r="E107" s="17" t="s">
        <v>1636</v>
      </c>
      <c r="F107" s="17" t="s">
        <v>1636</v>
      </c>
      <c r="G107">
        <v>3579410000</v>
      </c>
    </row>
    <row r="108" spans="1:7">
      <c r="A108" s="16">
        <v>42216</v>
      </c>
      <c r="B108" s="17" t="s">
        <v>1637</v>
      </c>
      <c r="C108" s="17" t="s">
        <v>1638</v>
      </c>
      <c r="D108" s="17" t="s">
        <v>1639</v>
      </c>
      <c r="E108" s="17" t="s">
        <v>1640</v>
      </c>
      <c r="F108" s="17" t="s">
        <v>1640</v>
      </c>
      <c r="G108">
        <v>3681340000</v>
      </c>
    </row>
    <row r="109" spans="1:7">
      <c r="A109" s="16">
        <v>42219</v>
      </c>
      <c r="B109" s="17" t="s">
        <v>1641</v>
      </c>
      <c r="C109" s="17" t="s">
        <v>1642</v>
      </c>
      <c r="D109" s="17" t="s">
        <v>1643</v>
      </c>
      <c r="E109" s="17" t="s">
        <v>1644</v>
      </c>
      <c r="F109" s="17" t="s">
        <v>1644</v>
      </c>
      <c r="G109">
        <v>3476770000</v>
      </c>
    </row>
    <row r="110" spans="1:7">
      <c r="A110" s="16">
        <v>42220</v>
      </c>
      <c r="B110" s="17" t="s">
        <v>1645</v>
      </c>
      <c r="C110" s="17" t="s">
        <v>1646</v>
      </c>
      <c r="D110" s="17" t="s">
        <v>1647</v>
      </c>
      <c r="E110" s="17" t="s">
        <v>1648</v>
      </c>
      <c r="F110" s="17" t="s">
        <v>1648</v>
      </c>
      <c r="G110">
        <v>3546710000</v>
      </c>
    </row>
    <row r="111" spans="1:7">
      <c r="A111" s="16">
        <v>42221</v>
      </c>
      <c r="B111" s="17" t="s">
        <v>1649</v>
      </c>
      <c r="C111" s="17" t="s">
        <v>1650</v>
      </c>
      <c r="D111" s="17" t="s">
        <v>1649</v>
      </c>
      <c r="E111" s="17" t="s">
        <v>1651</v>
      </c>
      <c r="F111" s="17" t="s">
        <v>1651</v>
      </c>
      <c r="G111">
        <v>3968680000</v>
      </c>
    </row>
    <row r="112" spans="1:7">
      <c r="A112" s="16">
        <v>42222</v>
      </c>
      <c r="B112" s="17" t="s">
        <v>1652</v>
      </c>
      <c r="C112" s="17" t="s">
        <v>1653</v>
      </c>
      <c r="D112" s="17" t="s">
        <v>1654</v>
      </c>
      <c r="E112" s="17" t="s">
        <v>1655</v>
      </c>
      <c r="F112" s="17" t="s">
        <v>1655</v>
      </c>
      <c r="G112">
        <v>4246570000</v>
      </c>
    </row>
    <row r="113" spans="1:7">
      <c r="A113" s="16">
        <v>42223</v>
      </c>
      <c r="B113" s="17" t="s">
        <v>1656</v>
      </c>
      <c r="C113" s="17" t="s">
        <v>1656</v>
      </c>
      <c r="D113" s="17" t="s">
        <v>1657</v>
      </c>
      <c r="E113" s="17" t="s">
        <v>1658</v>
      </c>
      <c r="F113" s="17" t="s">
        <v>1658</v>
      </c>
      <c r="G113">
        <v>3602320000</v>
      </c>
    </row>
    <row r="114" spans="1:7">
      <c r="A114" s="16">
        <v>42226</v>
      </c>
      <c r="B114" s="17" t="s">
        <v>1659</v>
      </c>
      <c r="C114" s="17" t="s">
        <v>1660</v>
      </c>
      <c r="D114" s="17" t="s">
        <v>1659</v>
      </c>
      <c r="E114" s="17" t="s">
        <v>1661</v>
      </c>
      <c r="F114" s="17" t="s">
        <v>1661</v>
      </c>
      <c r="G114">
        <v>3514460000</v>
      </c>
    </row>
    <row r="115" spans="1:7">
      <c r="A115" s="16">
        <v>42227</v>
      </c>
      <c r="B115" s="17" t="s">
        <v>1662</v>
      </c>
      <c r="C115" s="17" t="s">
        <v>1662</v>
      </c>
      <c r="D115" s="17" t="s">
        <v>1663</v>
      </c>
      <c r="E115" s="17" t="s">
        <v>1664</v>
      </c>
      <c r="F115" s="17" t="s">
        <v>1664</v>
      </c>
      <c r="G115">
        <v>3708880000</v>
      </c>
    </row>
    <row r="116" spans="1:7">
      <c r="A116" s="16">
        <v>42228</v>
      </c>
      <c r="B116" s="17" t="s">
        <v>1665</v>
      </c>
      <c r="C116" s="17" t="s">
        <v>1666</v>
      </c>
      <c r="D116" s="17" t="s">
        <v>1667</v>
      </c>
      <c r="E116" s="17" t="s">
        <v>1668</v>
      </c>
      <c r="F116" s="17" t="s">
        <v>1668</v>
      </c>
      <c r="G116">
        <v>4269130000</v>
      </c>
    </row>
    <row r="117" spans="1:7">
      <c r="A117" s="16">
        <v>42229</v>
      </c>
      <c r="B117" s="17" t="s">
        <v>1669</v>
      </c>
      <c r="C117" s="17" t="s">
        <v>1670</v>
      </c>
      <c r="D117" s="17" t="s">
        <v>1671</v>
      </c>
      <c r="E117" s="17" t="s">
        <v>1672</v>
      </c>
      <c r="F117" s="17" t="s">
        <v>1672</v>
      </c>
      <c r="G117">
        <v>3221300000</v>
      </c>
    </row>
    <row r="118" spans="1:7">
      <c r="A118" s="16">
        <v>42230</v>
      </c>
      <c r="B118" s="17" t="s">
        <v>1673</v>
      </c>
      <c r="C118" s="17" t="s">
        <v>1674</v>
      </c>
      <c r="D118" s="17" t="s">
        <v>1675</v>
      </c>
      <c r="E118" s="17" t="s">
        <v>1676</v>
      </c>
      <c r="F118" s="17" t="s">
        <v>1676</v>
      </c>
      <c r="G118">
        <v>2795590000</v>
      </c>
    </row>
    <row r="119" spans="1:7">
      <c r="A119" s="16">
        <v>42233</v>
      </c>
      <c r="B119" s="17" t="s">
        <v>1677</v>
      </c>
      <c r="C119" s="17" t="s">
        <v>1442</v>
      </c>
      <c r="D119" s="17" t="s">
        <v>1678</v>
      </c>
      <c r="E119" s="17" t="s">
        <v>1679</v>
      </c>
      <c r="F119" s="17" t="s">
        <v>1679</v>
      </c>
      <c r="G119">
        <v>2867690000</v>
      </c>
    </row>
    <row r="120" spans="1:7">
      <c r="A120" s="16">
        <v>42234</v>
      </c>
      <c r="B120" s="17" t="s">
        <v>1680</v>
      </c>
      <c r="C120" s="17" t="s">
        <v>1681</v>
      </c>
      <c r="D120" s="17" t="s">
        <v>1682</v>
      </c>
      <c r="E120" s="17" t="s">
        <v>1683</v>
      </c>
      <c r="F120" s="17" t="s">
        <v>1683</v>
      </c>
      <c r="G120">
        <v>2949990000</v>
      </c>
    </row>
    <row r="121" spans="1:7">
      <c r="A121" s="16">
        <v>42235</v>
      </c>
      <c r="B121" s="17" t="s">
        <v>1684</v>
      </c>
      <c r="C121" s="17" t="s">
        <v>1685</v>
      </c>
      <c r="D121" s="17" t="s">
        <v>1686</v>
      </c>
      <c r="E121" s="17" t="s">
        <v>1687</v>
      </c>
      <c r="F121" s="17" t="s">
        <v>1687</v>
      </c>
      <c r="G121">
        <v>3512920000</v>
      </c>
    </row>
    <row r="122" spans="1:7">
      <c r="A122" s="16">
        <v>42236</v>
      </c>
      <c r="B122" s="17" t="s">
        <v>1688</v>
      </c>
      <c r="C122" s="17" t="s">
        <v>1688</v>
      </c>
      <c r="D122" s="17" t="s">
        <v>1689</v>
      </c>
      <c r="E122" s="17" t="s">
        <v>1689</v>
      </c>
      <c r="F122" s="17" t="s">
        <v>1689</v>
      </c>
      <c r="G122">
        <v>3922470000</v>
      </c>
    </row>
    <row r="123" spans="1:7">
      <c r="A123" s="16">
        <v>42237</v>
      </c>
      <c r="B123" s="17" t="s">
        <v>1690</v>
      </c>
      <c r="C123" s="17" t="s">
        <v>1690</v>
      </c>
      <c r="D123" s="17" t="s">
        <v>1691</v>
      </c>
      <c r="E123" s="17" t="s">
        <v>1691</v>
      </c>
      <c r="F123" s="17" t="s">
        <v>1691</v>
      </c>
      <c r="G123">
        <v>5018240000</v>
      </c>
    </row>
    <row r="124" spans="1:7">
      <c r="A124" s="16">
        <v>42240</v>
      </c>
      <c r="B124" s="17" t="s">
        <v>1692</v>
      </c>
      <c r="C124" s="17" t="s">
        <v>1692</v>
      </c>
      <c r="D124" s="17" t="s">
        <v>1693</v>
      </c>
      <c r="E124" s="17" t="s">
        <v>1694</v>
      </c>
      <c r="F124" s="17" t="s">
        <v>1694</v>
      </c>
      <c r="G124">
        <v>6612690000</v>
      </c>
    </row>
    <row r="125" spans="1:7">
      <c r="A125" s="16">
        <v>42241</v>
      </c>
      <c r="B125" s="17" t="s">
        <v>1695</v>
      </c>
      <c r="C125" s="17" t="s">
        <v>1696</v>
      </c>
      <c r="D125" s="17" t="s">
        <v>1697</v>
      </c>
      <c r="E125" s="17" t="s">
        <v>1698</v>
      </c>
      <c r="F125" s="17" t="s">
        <v>1698</v>
      </c>
      <c r="G125">
        <v>5183560000</v>
      </c>
    </row>
    <row r="126" spans="1:7">
      <c r="A126" s="16">
        <v>42242</v>
      </c>
      <c r="B126" s="17" t="s">
        <v>1699</v>
      </c>
      <c r="C126" s="17" t="s">
        <v>1700</v>
      </c>
      <c r="D126" s="17" t="s">
        <v>1699</v>
      </c>
      <c r="E126" s="17" t="s">
        <v>1701</v>
      </c>
      <c r="F126" s="17" t="s">
        <v>1701</v>
      </c>
      <c r="G126">
        <v>5338250000</v>
      </c>
    </row>
    <row r="127" spans="1:7">
      <c r="A127" s="16">
        <v>42243</v>
      </c>
      <c r="B127" s="17" t="s">
        <v>1702</v>
      </c>
      <c r="C127" s="17" t="s">
        <v>1703</v>
      </c>
      <c r="D127" s="17" t="s">
        <v>1702</v>
      </c>
      <c r="E127" s="17" t="s">
        <v>1704</v>
      </c>
      <c r="F127" s="17" t="s">
        <v>1704</v>
      </c>
      <c r="G127">
        <v>5006390000</v>
      </c>
    </row>
    <row r="128" spans="1:7">
      <c r="A128" s="16">
        <v>42244</v>
      </c>
      <c r="B128" s="17" t="s">
        <v>1705</v>
      </c>
      <c r="C128" s="17" t="s">
        <v>1706</v>
      </c>
      <c r="D128" s="17" t="s">
        <v>1707</v>
      </c>
      <c r="E128" s="17" t="s">
        <v>1708</v>
      </c>
      <c r="F128" s="17" t="s">
        <v>1708</v>
      </c>
      <c r="G128">
        <v>3949080000</v>
      </c>
    </row>
    <row r="129" spans="1:7">
      <c r="A129" s="16">
        <v>42247</v>
      </c>
      <c r="B129" s="17" t="s">
        <v>1709</v>
      </c>
      <c r="C129" s="17" t="s">
        <v>1709</v>
      </c>
      <c r="D129" s="17" t="s">
        <v>1710</v>
      </c>
      <c r="E129" s="17" t="s">
        <v>1711</v>
      </c>
      <c r="F129" s="17" t="s">
        <v>1711</v>
      </c>
      <c r="G129">
        <v>3915100000</v>
      </c>
    </row>
    <row r="130" spans="1:7">
      <c r="A130" s="16">
        <v>42248</v>
      </c>
      <c r="B130" s="17" t="s">
        <v>1712</v>
      </c>
      <c r="C130" s="17" t="s">
        <v>1712</v>
      </c>
      <c r="D130" s="17" t="s">
        <v>1713</v>
      </c>
      <c r="E130" s="17" t="s">
        <v>1714</v>
      </c>
      <c r="F130" s="17" t="s">
        <v>1714</v>
      </c>
      <c r="G130">
        <v>4371850000</v>
      </c>
    </row>
    <row r="131" spans="1:7">
      <c r="A131" s="16">
        <v>42249</v>
      </c>
      <c r="B131" s="17" t="s">
        <v>1715</v>
      </c>
      <c r="C131" s="17" t="s">
        <v>1716</v>
      </c>
      <c r="D131" s="17" t="s">
        <v>1715</v>
      </c>
      <c r="E131" s="17" t="s">
        <v>1717</v>
      </c>
      <c r="F131" s="17" t="s">
        <v>1717</v>
      </c>
      <c r="G131">
        <v>3742620000</v>
      </c>
    </row>
    <row r="132" spans="1:7">
      <c r="A132" s="16">
        <v>42250</v>
      </c>
      <c r="B132" s="17" t="s">
        <v>1718</v>
      </c>
      <c r="C132" s="17" t="s">
        <v>1719</v>
      </c>
      <c r="D132" s="17" t="s">
        <v>1720</v>
      </c>
      <c r="E132" s="17" t="s">
        <v>1721</v>
      </c>
      <c r="F132" s="17" t="s">
        <v>1721</v>
      </c>
      <c r="G132">
        <v>3520700000</v>
      </c>
    </row>
    <row r="133" spans="1:7">
      <c r="A133" s="16">
        <v>42251</v>
      </c>
      <c r="B133" s="17" t="s">
        <v>1722</v>
      </c>
      <c r="C133" s="17" t="s">
        <v>1722</v>
      </c>
      <c r="D133" s="17" t="s">
        <v>1723</v>
      </c>
      <c r="E133" s="17" t="s">
        <v>1724</v>
      </c>
      <c r="F133" s="17" t="s">
        <v>1724</v>
      </c>
      <c r="G133">
        <v>3167090000</v>
      </c>
    </row>
    <row r="134" spans="1:7">
      <c r="A134" s="16">
        <v>42255</v>
      </c>
      <c r="B134" s="17" t="s">
        <v>1725</v>
      </c>
      <c r="C134" s="17" t="s">
        <v>1726</v>
      </c>
      <c r="D134" s="17" t="s">
        <v>1725</v>
      </c>
      <c r="E134" s="17" t="s">
        <v>1727</v>
      </c>
      <c r="F134" s="17" t="s">
        <v>1727</v>
      </c>
      <c r="G134">
        <v>3548650000</v>
      </c>
    </row>
    <row r="135" spans="1:7">
      <c r="A135" s="16">
        <v>42256</v>
      </c>
      <c r="B135" s="17" t="s">
        <v>1728</v>
      </c>
      <c r="C135" s="17" t="s">
        <v>1729</v>
      </c>
      <c r="D135" s="17" t="s">
        <v>1730</v>
      </c>
      <c r="E135" s="17" t="s">
        <v>1731</v>
      </c>
      <c r="F135" s="17" t="s">
        <v>1731</v>
      </c>
      <c r="G135">
        <v>3652120000</v>
      </c>
    </row>
    <row r="136" spans="1:7">
      <c r="A136" s="16">
        <v>42257</v>
      </c>
      <c r="B136" s="17" t="s">
        <v>1732</v>
      </c>
      <c r="C136" s="17" t="s">
        <v>1733</v>
      </c>
      <c r="D136" s="17" t="s">
        <v>1734</v>
      </c>
      <c r="E136" s="17" t="s">
        <v>1735</v>
      </c>
      <c r="F136" s="17" t="s">
        <v>1735</v>
      </c>
      <c r="G136">
        <v>3626320000</v>
      </c>
    </row>
    <row r="137" spans="1:7">
      <c r="A137" s="16">
        <v>42258</v>
      </c>
      <c r="B137" s="17" t="s">
        <v>1736</v>
      </c>
      <c r="C137" s="17" t="s">
        <v>1737</v>
      </c>
      <c r="D137" s="17" t="s">
        <v>1738</v>
      </c>
      <c r="E137" s="17" t="s">
        <v>1737</v>
      </c>
      <c r="F137" s="17" t="s">
        <v>1737</v>
      </c>
      <c r="G137">
        <v>3218590000</v>
      </c>
    </row>
    <row r="138" spans="1:7">
      <c r="A138" s="16">
        <v>42261</v>
      </c>
      <c r="B138" s="17" t="s">
        <v>1739</v>
      </c>
      <c r="C138" s="17" t="s">
        <v>1739</v>
      </c>
      <c r="D138" s="17" t="s">
        <v>1740</v>
      </c>
      <c r="E138" s="17" t="s">
        <v>1741</v>
      </c>
      <c r="F138" s="17" t="s">
        <v>1741</v>
      </c>
      <c r="G138">
        <v>3000200000</v>
      </c>
    </row>
    <row r="139" spans="1:7">
      <c r="A139" s="16">
        <v>42262</v>
      </c>
      <c r="B139" s="17" t="s">
        <v>1742</v>
      </c>
      <c r="C139" s="17" t="s">
        <v>1743</v>
      </c>
      <c r="D139" s="17" t="s">
        <v>1744</v>
      </c>
      <c r="E139" s="17" t="s">
        <v>1745</v>
      </c>
      <c r="F139" s="17" t="s">
        <v>1745</v>
      </c>
      <c r="G139">
        <v>3239860000</v>
      </c>
    </row>
    <row r="140" spans="1:7">
      <c r="A140" s="16">
        <v>42263</v>
      </c>
      <c r="B140" s="17" t="s">
        <v>1746</v>
      </c>
      <c r="C140" s="17" t="s">
        <v>1747</v>
      </c>
      <c r="D140" s="17" t="s">
        <v>1748</v>
      </c>
      <c r="E140" s="17" t="s">
        <v>1749</v>
      </c>
      <c r="F140" s="17" t="s">
        <v>1749</v>
      </c>
      <c r="G140">
        <v>3630680000</v>
      </c>
    </row>
    <row r="141" spans="1:7">
      <c r="A141" s="16">
        <v>42264</v>
      </c>
      <c r="B141" s="17" t="s">
        <v>1750</v>
      </c>
      <c r="C141" s="17" t="s">
        <v>1751</v>
      </c>
      <c r="D141" s="17" t="s">
        <v>1709</v>
      </c>
      <c r="E141" s="17" t="s">
        <v>1752</v>
      </c>
      <c r="F141" s="17" t="s">
        <v>1752</v>
      </c>
      <c r="G141">
        <v>4183790000</v>
      </c>
    </row>
    <row r="142" spans="1:7">
      <c r="A142" s="16">
        <v>42265</v>
      </c>
      <c r="B142" s="17" t="s">
        <v>1753</v>
      </c>
      <c r="C142" s="17" t="s">
        <v>1753</v>
      </c>
      <c r="D142" s="17" t="s">
        <v>1754</v>
      </c>
      <c r="E142" s="17" t="s">
        <v>1755</v>
      </c>
      <c r="F142" s="17" t="s">
        <v>1755</v>
      </c>
      <c r="G142">
        <v>6021240000</v>
      </c>
    </row>
    <row r="143" spans="1:7">
      <c r="A143" s="16">
        <v>42268</v>
      </c>
      <c r="B143" s="17" t="s">
        <v>1756</v>
      </c>
      <c r="C143" s="17" t="s">
        <v>1757</v>
      </c>
      <c r="D143" s="17" t="s">
        <v>1758</v>
      </c>
      <c r="E143" s="17" t="s">
        <v>1759</v>
      </c>
      <c r="F143" s="17" t="s">
        <v>1759</v>
      </c>
      <c r="G143">
        <v>3269350000</v>
      </c>
    </row>
    <row r="144" spans="1:7">
      <c r="A144" s="16">
        <v>42269</v>
      </c>
      <c r="B144" s="17" t="s">
        <v>1760</v>
      </c>
      <c r="C144" s="17" t="s">
        <v>1760</v>
      </c>
      <c r="D144" s="17" t="s">
        <v>1761</v>
      </c>
      <c r="E144" s="17" t="s">
        <v>1762</v>
      </c>
      <c r="F144" s="17" t="s">
        <v>1762</v>
      </c>
      <c r="G144">
        <v>3808260000</v>
      </c>
    </row>
    <row r="145" spans="1:7">
      <c r="A145" s="16">
        <v>42270</v>
      </c>
      <c r="B145" s="17" t="s">
        <v>1763</v>
      </c>
      <c r="C145" s="17" t="s">
        <v>1764</v>
      </c>
      <c r="D145" s="17" t="s">
        <v>1765</v>
      </c>
      <c r="E145" s="17" t="s">
        <v>1766</v>
      </c>
      <c r="F145" s="17" t="s">
        <v>1766</v>
      </c>
      <c r="G145">
        <v>3190530000</v>
      </c>
    </row>
    <row r="146" spans="1:7">
      <c r="A146" s="16">
        <v>42271</v>
      </c>
      <c r="B146" s="17" t="s">
        <v>1767</v>
      </c>
      <c r="C146" s="17" t="s">
        <v>1768</v>
      </c>
      <c r="D146" s="17" t="s">
        <v>1769</v>
      </c>
      <c r="E146" s="17" t="s">
        <v>1770</v>
      </c>
      <c r="F146" s="17" t="s">
        <v>1770</v>
      </c>
      <c r="G146">
        <v>4091530000</v>
      </c>
    </row>
    <row r="147" spans="1:7">
      <c r="A147" s="16">
        <v>42272</v>
      </c>
      <c r="B147" s="17" t="s">
        <v>1771</v>
      </c>
      <c r="C147" s="17" t="s">
        <v>1772</v>
      </c>
      <c r="D147" s="17" t="s">
        <v>1773</v>
      </c>
      <c r="E147" s="17" t="s">
        <v>1774</v>
      </c>
      <c r="F147" s="17" t="s">
        <v>1774</v>
      </c>
      <c r="G147">
        <v>3721870000</v>
      </c>
    </row>
    <row r="148" spans="1:7">
      <c r="A148" s="16">
        <v>42275</v>
      </c>
      <c r="B148" s="17" t="s">
        <v>1775</v>
      </c>
      <c r="C148" s="17" t="s">
        <v>1775</v>
      </c>
      <c r="D148" s="17" t="s">
        <v>1776</v>
      </c>
      <c r="E148" s="17" t="s">
        <v>1777</v>
      </c>
      <c r="F148" s="17" t="s">
        <v>1777</v>
      </c>
      <c r="G148">
        <v>4326660000</v>
      </c>
    </row>
    <row r="149" spans="1:7">
      <c r="A149" s="16">
        <v>42276</v>
      </c>
      <c r="B149" s="17" t="s">
        <v>1778</v>
      </c>
      <c r="C149" s="17" t="s">
        <v>1779</v>
      </c>
      <c r="D149" s="17" t="s">
        <v>1780</v>
      </c>
      <c r="E149" s="17" t="s">
        <v>1781</v>
      </c>
      <c r="F149" s="17" t="s">
        <v>1781</v>
      </c>
      <c r="G149">
        <v>4132390000</v>
      </c>
    </row>
    <row r="150" spans="1:7">
      <c r="A150" s="16">
        <v>42277</v>
      </c>
      <c r="B150" s="17" t="s">
        <v>1782</v>
      </c>
      <c r="C150" s="17" t="s">
        <v>1783</v>
      </c>
      <c r="D150" s="17" t="s">
        <v>1782</v>
      </c>
      <c r="E150" s="17" t="s">
        <v>1784</v>
      </c>
      <c r="F150" s="17" t="s">
        <v>1784</v>
      </c>
      <c r="G150">
        <v>4525070000</v>
      </c>
    </row>
    <row r="151" spans="1:7">
      <c r="A151" s="16">
        <v>42278</v>
      </c>
      <c r="B151" s="17" t="s">
        <v>1785</v>
      </c>
      <c r="C151" s="17" t="s">
        <v>1786</v>
      </c>
      <c r="D151" s="17" t="s">
        <v>1787</v>
      </c>
      <c r="E151" s="17" t="s">
        <v>1788</v>
      </c>
      <c r="F151" s="17" t="s">
        <v>1788</v>
      </c>
      <c r="G151">
        <v>3983600000</v>
      </c>
    </row>
    <row r="152" spans="1:7">
      <c r="A152" s="16">
        <v>42279</v>
      </c>
      <c r="B152" s="17" t="s">
        <v>1789</v>
      </c>
      <c r="C152" s="17" t="s">
        <v>1790</v>
      </c>
      <c r="D152" s="17" t="s">
        <v>1791</v>
      </c>
      <c r="E152" s="17" t="s">
        <v>1790</v>
      </c>
      <c r="F152" s="17" t="s">
        <v>1790</v>
      </c>
      <c r="G152">
        <v>4378570000</v>
      </c>
    </row>
    <row r="153" spans="1:7">
      <c r="A153" s="16">
        <v>42282</v>
      </c>
      <c r="B153" s="17" t="s">
        <v>1792</v>
      </c>
      <c r="C153" s="17" t="s">
        <v>1793</v>
      </c>
      <c r="D153" s="17" t="s">
        <v>1792</v>
      </c>
      <c r="E153" s="17" t="s">
        <v>1794</v>
      </c>
      <c r="F153" s="17" t="s">
        <v>1794</v>
      </c>
      <c r="G153">
        <v>4334490000</v>
      </c>
    </row>
    <row r="154" spans="1:7">
      <c r="A154" s="16">
        <v>42283</v>
      </c>
      <c r="B154" s="17" t="s">
        <v>1795</v>
      </c>
      <c r="C154" s="17" t="s">
        <v>1796</v>
      </c>
      <c r="D154" s="17" t="s">
        <v>1797</v>
      </c>
      <c r="E154" s="17" t="s">
        <v>1798</v>
      </c>
      <c r="F154" s="17" t="s">
        <v>1798</v>
      </c>
      <c r="G154">
        <v>4202400000</v>
      </c>
    </row>
    <row r="155" spans="1:7">
      <c r="A155" s="16">
        <v>42284</v>
      </c>
      <c r="B155" s="17" t="s">
        <v>1799</v>
      </c>
      <c r="C155" s="17" t="s">
        <v>1800</v>
      </c>
      <c r="D155" s="17" t="s">
        <v>1801</v>
      </c>
      <c r="E155" s="17" t="s">
        <v>1802</v>
      </c>
      <c r="F155" s="17" t="s">
        <v>1802</v>
      </c>
      <c r="G155">
        <v>4666470000</v>
      </c>
    </row>
    <row r="156" spans="1:7">
      <c r="A156" s="16">
        <v>42285</v>
      </c>
      <c r="B156" s="17" t="s">
        <v>1803</v>
      </c>
      <c r="C156" s="17" t="s">
        <v>1804</v>
      </c>
      <c r="D156" s="17" t="s">
        <v>1805</v>
      </c>
      <c r="E156" s="17" t="s">
        <v>1806</v>
      </c>
      <c r="F156" s="17" t="s">
        <v>1806</v>
      </c>
      <c r="G156">
        <v>3939140000</v>
      </c>
    </row>
    <row r="157" spans="1:7">
      <c r="A157" s="16">
        <v>42286</v>
      </c>
      <c r="B157" s="17" t="s">
        <v>1807</v>
      </c>
      <c r="C157" s="17" t="s">
        <v>1808</v>
      </c>
      <c r="D157" s="17" t="s">
        <v>1809</v>
      </c>
      <c r="E157" s="17" t="s">
        <v>1810</v>
      </c>
      <c r="F157" s="17" t="s">
        <v>1810</v>
      </c>
      <c r="G157">
        <v>3706900000</v>
      </c>
    </row>
    <row r="158" spans="1:7">
      <c r="A158" s="16">
        <v>42289</v>
      </c>
      <c r="B158" s="17" t="s">
        <v>1811</v>
      </c>
      <c r="C158" s="17" t="s">
        <v>1812</v>
      </c>
      <c r="D158" s="17" t="s">
        <v>1813</v>
      </c>
      <c r="E158" s="17" t="s">
        <v>1814</v>
      </c>
      <c r="F158" s="17" t="s">
        <v>1814</v>
      </c>
      <c r="G158">
        <v>2893250000</v>
      </c>
    </row>
    <row r="159" spans="1:7">
      <c r="A159" s="16">
        <v>42290</v>
      </c>
      <c r="B159" s="17" t="s">
        <v>1815</v>
      </c>
      <c r="C159" s="17" t="s">
        <v>1816</v>
      </c>
      <c r="D159" s="17" t="s">
        <v>1817</v>
      </c>
      <c r="E159" s="17" t="s">
        <v>1818</v>
      </c>
      <c r="F159" s="17" t="s">
        <v>1818</v>
      </c>
      <c r="G159">
        <v>3401920000</v>
      </c>
    </row>
    <row r="160" spans="1:7">
      <c r="A160" s="16">
        <v>42291</v>
      </c>
      <c r="B160" s="17" t="s">
        <v>1819</v>
      </c>
      <c r="C160" s="17" t="s">
        <v>1820</v>
      </c>
      <c r="D160" s="17" t="s">
        <v>1821</v>
      </c>
      <c r="E160" s="17" t="s">
        <v>1822</v>
      </c>
      <c r="F160" s="17" t="s">
        <v>1822</v>
      </c>
      <c r="G160">
        <v>3644590000</v>
      </c>
    </row>
    <row r="161" spans="1:7">
      <c r="A161" s="16">
        <v>42292</v>
      </c>
      <c r="B161" s="17" t="s">
        <v>1823</v>
      </c>
      <c r="C161" s="17" t="s">
        <v>1824</v>
      </c>
      <c r="D161" s="17" t="s">
        <v>1823</v>
      </c>
      <c r="E161" s="17" t="s">
        <v>1825</v>
      </c>
      <c r="F161" s="17" t="s">
        <v>1825</v>
      </c>
      <c r="G161">
        <v>3746290000</v>
      </c>
    </row>
    <row r="162" spans="1:7">
      <c r="A162" s="16">
        <v>42293</v>
      </c>
      <c r="B162" s="17" t="s">
        <v>1826</v>
      </c>
      <c r="C162" s="17" t="s">
        <v>1827</v>
      </c>
      <c r="D162" s="17" t="s">
        <v>1828</v>
      </c>
      <c r="E162" s="17" t="s">
        <v>1829</v>
      </c>
      <c r="F162" s="17" t="s">
        <v>1829</v>
      </c>
      <c r="G162">
        <v>3595430000</v>
      </c>
    </row>
    <row r="163" spans="1:7">
      <c r="A163" s="16">
        <v>42296</v>
      </c>
      <c r="B163" s="17" t="s">
        <v>1830</v>
      </c>
      <c r="C163" s="17" t="s">
        <v>1831</v>
      </c>
      <c r="D163" s="17" t="s">
        <v>1832</v>
      </c>
      <c r="E163" s="17" t="s">
        <v>1833</v>
      </c>
      <c r="F163" s="17" t="s">
        <v>1833</v>
      </c>
      <c r="G163">
        <v>3287320000</v>
      </c>
    </row>
    <row r="164" spans="1:7">
      <c r="A164" s="16">
        <v>42297</v>
      </c>
      <c r="B164" s="17" t="s">
        <v>1834</v>
      </c>
      <c r="C164" s="17" t="s">
        <v>1835</v>
      </c>
      <c r="D164" s="17" t="s">
        <v>1836</v>
      </c>
      <c r="E164" s="17" t="s">
        <v>1837</v>
      </c>
      <c r="F164" s="17" t="s">
        <v>1837</v>
      </c>
      <c r="G164">
        <v>3331500000</v>
      </c>
    </row>
    <row r="165" spans="1:7">
      <c r="A165" s="16">
        <v>42298</v>
      </c>
      <c r="B165" s="17" t="s">
        <v>1838</v>
      </c>
      <c r="C165" s="17" t="s">
        <v>1839</v>
      </c>
      <c r="D165" s="17" t="s">
        <v>1840</v>
      </c>
      <c r="E165" s="17" t="s">
        <v>1841</v>
      </c>
      <c r="F165" s="17" t="s">
        <v>1841</v>
      </c>
      <c r="G165">
        <v>3627790000</v>
      </c>
    </row>
    <row r="166" spans="1:7">
      <c r="A166" s="16">
        <v>42299</v>
      </c>
      <c r="B166" s="17" t="s">
        <v>1842</v>
      </c>
      <c r="C166" s="17" t="s">
        <v>1843</v>
      </c>
      <c r="D166" s="17" t="s">
        <v>1842</v>
      </c>
      <c r="E166" s="17" t="s">
        <v>1844</v>
      </c>
      <c r="F166" s="17" t="s">
        <v>1844</v>
      </c>
      <c r="G166">
        <v>4430850000</v>
      </c>
    </row>
    <row r="167" spans="1:7">
      <c r="A167" s="16">
        <v>42300</v>
      </c>
      <c r="B167" s="17" t="s">
        <v>1845</v>
      </c>
      <c r="C167" s="17" t="s">
        <v>1846</v>
      </c>
      <c r="D167" s="17" t="s">
        <v>1845</v>
      </c>
      <c r="E167" s="17" t="s">
        <v>1847</v>
      </c>
      <c r="F167" s="17" t="s">
        <v>1847</v>
      </c>
      <c r="G167">
        <v>4108460000</v>
      </c>
    </row>
    <row r="168" spans="1:7">
      <c r="A168" s="16">
        <v>42303</v>
      </c>
      <c r="B168" s="17" t="s">
        <v>1848</v>
      </c>
      <c r="C168" s="17" t="s">
        <v>1849</v>
      </c>
      <c r="D168" s="17" t="s">
        <v>1850</v>
      </c>
      <c r="E168" s="17" t="s">
        <v>1851</v>
      </c>
      <c r="F168" s="17" t="s">
        <v>1851</v>
      </c>
      <c r="G168">
        <v>3385800000</v>
      </c>
    </row>
    <row r="169" spans="1:7">
      <c r="A169" s="16">
        <v>42304</v>
      </c>
      <c r="B169" s="17" t="s">
        <v>1852</v>
      </c>
      <c r="C169" s="17" t="s">
        <v>1853</v>
      </c>
      <c r="D169" s="17" t="s">
        <v>1854</v>
      </c>
      <c r="E169" s="17" t="s">
        <v>1855</v>
      </c>
      <c r="F169" s="17" t="s">
        <v>1855</v>
      </c>
      <c r="G169">
        <v>4216880000</v>
      </c>
    </row>
    <row r="170" spans="1:7">
      <c r="A170" s="16">
        <v>42305</v>
      </c>
      <c r="B170" s="17" t="s">
        <v>1856</v>
      </c>
      <c r="C170" s="17" t="s">
        <v>1857</v>
      </c>
      <c r="D170" s="17" t="s">
        <v>1561</v>
      </c>
      <c r="E170" s="17" t="s">
        <v>1857</v>
      </c>
      <c r="F170" s="17" t="s">
        <v>1857</v>
      </c>
      <c r="G170">
        <v>4698110000</v>
      </c>
    </row>
    <row r="171" spans="1:7">
      <c r="A171" s="16">
        <v>42306</v>
      </c>
      <c r="B171" s="17" t="s">
        <v>1858</v>
      </c>
      <c r="C171" s="17" t="s">
        <v>1859</v>
      </c>
      <c r="D171" s="17" t="s">
        <v>1860</v>
      </c>
      <c r="E171" s="17" t="s">
        <v>1861</v>
      </c>
      <c r="F171" s="17" t="s">
        <v>1861</v>
      </c>
      <c r="G171">
        <v>4008940000</v>
      </c>
    </row>
    <row r="172" spans="1:7">
      <c r="A172" s="16">
        <v>42307</v>
      </c>
      <c r="B172" s="17" t="s">
        <v>1862</v>
      </c>
      <c r="C172" s="17" t="s">
        <v>1863</v>
      </c>
      <c r="D172" s="17" t="s">
        <v>1864</v>
      </c>
      <c r="E172" s="17" t="s">
        <v>1865</v>
      </c>
      <c r="F172" s="17" t="s">
        <v>1865</v>
      </c>
      <c r="G172">
        <v>4256200000</v>
      </c>
    </row>
    <row r="173" spans="1:7">
      <c r="A173" s="16">
        <v>42310</v>
      </c>
      <c r="B173" s="17" t="s">
        <v>1866</v>
      </c>
      <c r="C173" s="17" t="s">
        <v>1867</v>
      </c>
      <c r="D173" s="17" t="s">
        <v>1866</v>
      </c>
      <c r="E173" s="17" t="s">
        <v>1868</v>
      </c>
      <c r="F173" s="17" t="s">
        <v>1868</v>
      </c>
      <c r="G173">
        <v>3760020000</v>
      </c>
    </row>
    <row r="174" spans="1:7">
      <c r="A174" s="16">
        <v>42311</v>
      </c>
      <c r="B174" s="17" t="s">
        <v>1869</v>
      </c>
      <c r="C174" s="17" t="s">
        <v>1870</v>
      </c>
      <c r="D174" s="17" t="s">
        <v>1871</v>
      </c>
      <c r="E174" s="17" t="s">
        <v>1872</v>
      </c>
      <c r="F174" s="17" t="s">
        <v>1872</v>
      </c>
      <c r="G174">
        <v>4272060000</v>
      </c>
    </row>
    <row r="175" spans="1:7">
      <c r="A175" s="16">
        <v>42312</v>
      </c>
      <c r="B175" s="17" t="s">
        <v>1630</v>
      </c>
      <c r="C175" s="17" t="s">
        <v>1873</v>
      </c>
      <c r="D175" s="17" t="s">
        <v>1874</v>
      </c>
      <c r="E175" s="17" t="s">
        <v>1552</v>
      </c>
      <c r="F175" s="17" t="s">
        <v>1552</v>
      </c>
      <c r="G175">
        <v>4078870000</v>
      </c>
    </row>
    <row r="176" spans="1:7">
      <c r="A176" s="16">
        <v>42313</v>
      </c>
      <c r="B176" s="17" t="s">
        <v>1875</v>
      </c>
      <c r="C176" s="17" t="s">
        <v>1876</v>
      </c>
      <c r="D176" s="17" t="s">
        <v>1877</v>
      </c>
      <c r="E176" s="17" t="s">
        <v>1878</v>
      </c>
      <c r="F176" s="17" t="s">
        <v>1878</v>
      </c>
      <c r="G176">
        <v>4051890000</v>
      </c>
    </row>
    <row r="177" spans="1:7">
      <c r="A177" s="16">
        <v>42314</v>
      </c>
      <c r="B177" s="17" t="s">
        <v>1879</v>
      </c>
      <c r="C177" s="17" t="s">
        <v>1880</v>
      </c>
      <c r="D177" s="17" t="s">
        <v>1574</v>
      </c>
      <c r="E177" s="17" t="s">
        <v>1881</v>
      </c>
      <c r="F177" s="17" t="s">
        <v>1881</v>
      </c>
      <c r="G177">
        <v>4369020000</v>
      </c>
    </row>
    <row r="178" spans="1:7">
      <c r="A178" s="16">
        <v>42317</v>
      </c>
      <c r="B178" s="17" t="s">
        <v>1882</v>
      </c>
      <c r="C178" s="17" t="s">
        <v>1882</v>
      </c>
      <c r="D178" s="17" t="s">
        <v>1883</v>
      </c>
      <c r="E178" s="17" t="s">
        <v>1884</v>
      </c>
      <c r="F178" s="17" t="s">
        <v>1884</v>
      </c>
      <c r="G178">
        <v>3882350000</v>
      </c>
    </row>
    <row r="179" spans="1:7">
      <c r="A179" s="16">
        <v>42318</v>
      </c>
      <c r="B179" s="17" t="s">
        <v>1885</v>
      </c>
      <c r="C179" s="17" t="s">
        <v>1886</v>
      </c>
      <c r="D179" s="17" t="s">
        <v>1887</v>
      </c>
      <c r="E179" s="17" t="s">
        <v>1888</v>
      </c>
      <c r="F179" s="17" t="s">
        <v>1888</v>
      </c>
      <c r="G179">
        <v>3821440000</v>
      </c>
    </row>
    <row r="180" spans="1:7">
      <c r="A180" s="16">
        <v>42319</v>
      </c>
      <c r="B180" s="17" t="s">
        <v>1889</v>
      </c>
      <c r="C180" s="17" t="s">
        <v>1890</v>
      </c>
      <c r="D180" s="17" t="s">
        <v>1891</v>
      </c>
      <c r="E180" s="17" t="s">
        <v>1892</v>
      </c>
      <c r="F180" s="17" t="s">
        <v>1892</v>
      </c>
      <c r="G180">
        <v>3692410000</v>
      </c>
    </row>
    <row r="181" spans="1:7">
      <c r="A181" s="16">
        <v>42320</v>
      </c>
      <c r="B181" s="17" t="s">
        <v>1893</v>
      </c>
      <c r="C181" s="17" t="s">
        <v>1893</v>
      </c>
      <c r="D181" s="17" t="s">
        <v>1894</v>
      </c>
      <c r="E181" s="17" t="s">
        <v>1895</v>
      </c>
      <c r="F181" s="17" t="s">
        <v>1895</v>
      </c>
      <c r="G181">
        <v>4016370000</v>
      </c>
    </row>
    <row r="182" spans="1:7">
      <c r="A182" s="16">
        <v>42321</v>
      </c>
      <c r="B182" s="17" t="s">
        <v>1896</v>
      </c>
      <c r="C182" s="17" t="s">
        <v>1896</v>
      </c>
      <c r="D182" s="17" t="s">
        <v>1897</v>
      </c>
      <c r="E182" s="17" t="s">
        <v>1898</v>
      </c>
      <c r="F182" s="17" t="s">
        <v>1898</v>
      </c>
      <c r="G182">
        <v>4278750000</v>
      </c>
    </row>
    <row r="183" spans="1:7">
      <c r="A183" s="16">
        <v>42324</v>
      </c>
      <c r="B183" s="17" t="s">
        <v>1899</v>
      </c>
      <c r="C183" s="17" t="s">
        <v>1900</v>
      </c>
      <c r="D183" s="17" t="s">
        <v>1901</v>
      </c>
      <c r="E183" s="17" t="s">
        <v>1902</v>
      </c>
      <c r="F183" s="17" t="s">
        <v>1902</v>
      </c>
      <c r="G183">
        <v>3741240000</v>
      </c>
    </row>
    <row r="184" spans="1:7">
      <c r="A184" s="16">
        <v>42325</v>
      </c>
      <c r="B184" s="17" t="s">
        <v>1903</v>
      </c>
      <c r="C184" s="17" t="s">
        <v>1904</v>
      </c>
      <c r="D184" s="17" t="s">
        <v>1905</v>
      </c>
      <c r="E184" s="17" t="s">
        <v>1906</v>
      </c>
      <c r="F184" s="17" t="s">
        <v>1906</v>
      </c>
      <c r="G184">
        <v>4427350000</v>
      </c>
    </row>
    <row r="185" spans="1:7">
      <c r="A185" s="16">
        <v>42326</v>
      </c>
      <c r="B185" s="17" t="s">
        <v>1907</v>
      </c>
      <c r="C185" s="17" t="s">
        <v>1908</v>
      </c>
      <c r="D185" s="17" t="s">
        <v>1907</v>
      </c>
      <c r="E185" s="17" t="s">
        <v>1909</v>
      </c>
      <c r="F185" s="17" t="s">
        <v>1909</v>
      </c>
      <c r="G185">
        <v>3926390000</v>
      </c>
    </row>
    <row r="186" spans="1:7">
      <c r="A186" s="16">
        <v>42327</v>
      </c>
      <c r="B186" s="17" t="s">
        <v>1910</v>
      </c>
      <c r="C186" s="17" t="s">
        <v>1911</v>
      </c>
      <c r="D186" s="17" t="s">
        <v>1912</v>
      </c>
      <c r="E186" s="17" t="s">
        <v>1913</v>
      </c>
      <c r="F186" s="17" t="s">
        <v>1913</v>
      </c>
      <c r="G186">
        <v>3628110000</v>
      </c>
    </row>
    <row r="187" spans="1:7">
      <c r="A187" s="16">
        <v>42328</v>
      </c>
      <c r="B187" s="17" t="s">
        <v>1914</v>
      </c>
      <c r="C187" s="17" t="s">
        <v>1915</v>
      </c>
      <c r="D187" s="17" t="s">
        <v>1914</v>
      </c>
      <c r="E187" s="17" t="s">
        <v>1916</v>
      </c>
      <c r="F187" s="17" t="s">
        <v>1916</v>
      </c>
      <c r="G187">
        <v>3929600000</v>
      </c>
    </row>
    <row r="188" spans="1:7">
      <c r="A188" s="16">
        <v>42331</v>
      </c>
      <c r="B188" s="17" t="s">
        <v>1861</v>
      </c>
      <c r="C188" s="17" t="s">
        <v>1917</v>
      </c>
      <c r="D188" s="17" t="s">
        <v>1918</v>
      </c>
      <c r="E188" s="17" t="s">
        <v>1919</v>
      </c>
      <c r="F188" s="17" t="s">
        <v>1919</v>
      </c>
      <c r="G188">
        <v>3587980000</v>
      </c>
    </row>
    <row r="189" spans="1:7">
      <c r="A189" s="16">
        <v>42332</v>
      </c>
      <c r="B189" s="17" t="s">
        <v>1920</v>
      </c>
      <c r="C189" s="17" t="s">
        <v>1921</v>
      </c>
      <c r="D189" s="17" t="s">
        <v>1922</v>
      </c>
      <c r="E189" s="17" t="s">
        <v>1923</v>
      </c>
      <c r="F189" s="17" t="s">
        <v>1923</v>
      </c>
      <c r="G189">
        <v>3884930000</v>
      </c>
    </row>
    <row r="190" spans="1:7">
      <c r="A190" s="16">
        <v>42333</v>
      </c>
      <c r="B190" s="17" t="s">
        <v>1924</v>
      </c>
      <c r="C190" s="17" t="s">
        <v>1925</v>
      </c>
      <c r="D190" s="17" t="s">
        <v>1926</v>
      </c>
      <c r="E190" s="17" t="s">
        <v>1927</v>
      </c>
      <c r="F190" s="17" t="s">
        <v>1927</v>
      </c>
      <c r="G190">
        <v>2852940000</v>
      </c>
    </row>
    <row r="191" spans="1:7">
      <c r="A191" s="16">
        <v>42335</v>
      </c>
      <c r="B191" s="17" t="s">
        <v>1928</v>
      </c>
      <c r="C191" s="17" t="s">
        <v>1929</v>
      </c>
      <c r="D191" s="17" t="s">
        <v>1930</v>
      </c>
      <c r="E191" s="17" t="s">
        <v>1931</v>
      </c>
      <c r="F191" s="17" t="s">
        <v>1931</v>
      </c>
      <c r="G191">
        <v>1466840000</v>
      </c>
    </row>
    <row r="192" spans="1:7">
      <c r="A192" s="16">
        <v>42338</v>
      </c>
      <c r="B192" s="17" t="s">
        <v>1932</v>
      </c>
      <c r="C192" s="17" t="s">
        <v>1933</v>
      </c>
      <c r="D192" s="17" t="s">
        <v>1934</v>
      </c>
      <c r="E192" s="17" t="s">
        <v>1934</v>
      </c>
      <c r="F192" s="17" t="s">
        <v>1934</v>
      </c>
      <c r="G192">
        <v>4275030000</v>
      </c>
    </row>
    <row r="193" spans="1:7">
      <c r="A193" s="16">
        <v>42339</v>
      </c>
      <c r="B193" s="17" t="s">
        <v>1935</v>
      </c>
      <c r="C193" s="17" t="s">
        <v>1936</v>
      </c>
      <c r="D193" s="17" t="s">
        <v>1935</v>
      </c>
      <c r="E193" s="17" t="s">
        <v>1869</v>
      </c>
      <c r="F193" s="17" t="s">
        <v>1869</v>
      </c>
      <c r="G193">
        <v>3712120000</v>
      </c>
    </row>
    <row r="194" spans="1:7">
      <c r="A194" s="16">
        <v>42340</v>
      </c>
      <c r="B194" s="17" t="s">
        <v>1937</v>
      </c>
      <c r="C194" s="17" t="s">
        <v>1938</v>
      </c>
      <c r="D194" s="17" t="s">
        <v>1939</v>
      </c>
      <c r="E194" s="17" t="s">
        <v>1940</v>
      </c>
      <c r="F194" s="17" t="s">
        <v>1940</v>
      </c>
      <c r="G194">
        <v>3950640000</v>
      </c>
    </row>
    <row r="195" spans="1:7">
      <c r="A195" s="16">
        <v>42341</v>
      </c>
      <c r="B195" s="17" t="s">
        <v>1941</v>
      </c>
      <c r="C195" s="17" t="s">
        <v>1942</v>
      </c>
      <c r="D195" s="17" t="s">
        <v>1943</v>
      </c>
      <c r="E195" s="17" t="s">
        <v>1944</v>
      </c>
      <c r="F195" s="17" t="s">
        <v>1944</v>
      </c>
      <c r="G195">
        <v>4306490000</v>
      </c>
    </row>
    <row r="196" spans="1:7">
      <c r="A196" s="16">
        <v>42342</v>
      </c>
      <c r="B196" s="17" t="s">
        <v>1945</v>
      </c>
      <c r="C196" s="17" t="s">
        <v>1946</v>
      </c>
      <c r="D196" s="17" t="s">
        <v>1945</v>
      </c>
      <c r="E196" s="17" t="s">
        <v>1947</v>
      </c>
      <c r="F196" s="17" t="s">
        <v>1947</v>
      </c>
      <c r="G196">
        <v>4214910000</v>
      </c>
    </row>
    <row r="197" spans="1:7">
      <c r="A197" s="16">
        <v>42345</v>
      </c>
      <c r="B197" s="17" t="s">
        <v>1948</v>
      </c>
      <c r="C197" s="17" t="s">
        <v>1948</v>
      </c>
      <c r="D197" s="17" t="s">
        <v>1949</v>
      </c>
      <c r="E197" s="17" t="s">
        <v>1950</v>
      </c>
      <c r="F197" s="17" t="s">
        <v>1950</v>
      </c>
      <c r="G197">
        <v>4043820000</v>
      </c>
    </row>
    <row r="198" spans="1:7">
      <c r="A198" s="16">
        <v>42346</v>
      </c>
      <c r="B198" s="17" t="s">
        <v>1951</v>
      </c>
      <c r="C198" s="17" t="s">
        <v>1952</v>
      </c>
      <c r="D198" s="17" t="s">
        <v>1953</v>
      </c>
      <c r="E198" s="17" t="s">
        <v>1954</v>
      </c>
      <c r="F198" s="17" t="s">
        <v>1954</v>
      </c>
      <c r="G198">
        <v>4173570000</v>
      </c>
    </row>
    <row r="199" spans="1:7">
      <c r="A199" s="16">
        <v>42347</v>
      </c>
      <c r="B199" s="17" t="s">
        <v>1955</v>
      </c>
      <c r="C199" s="17" t="s">
        <v>1956</v>
      </c>
      <c r="D199" s="17" t="s">
        <v>1957</v>
      </c>
      <c r="E199" s="17" t="s">
        <v>1958</v>
      </c>
      <c r="F199" s="17" t="s">
        <v>1958</v>
      </c>
      <c r="G199">
        <v>4385250000</v>
      </c>
    </row>
    <row r="200" spans="1:7">
      <c r="A200" s="16">
        <v>42348</v>
      </c>
      <c r="B200" s="17" t="s">
        <v>1959</v>
      </c>
      <c r="C200" s="17" t="s">
        <v>1960</v>
      </c>
      <c r="D200" s="17" t="s">
        <v>1961</v>
      </c>
      <c r="E200" s="17" t="s">
        <v>1962</v>
      </c>
      <c r="F200" s="17" t="s">
        <v>1962</v>
      </c>
      <c r="G200">
        <v>3715150000</v>
      </c>
    </row>
    <row r="201" spans="1:7">
      <c r="A201" s="16">
        <v>42349</v>
      </c>
      <c r="B201" s="17" t="s">
        <v>1963</v>
      </c>
      <c r="C201" s="17" t="s">
        <v>1963</v>
      </c>
      <c r="D201" s="17" t="s">
        <v>1964</v>
      </c>
      <c r="E201" s="17" t="s">
        <v>1965</v>
      </c>
      <c r="F201" s="17" t="s">
        <v>1965</v>
      </c>
      <c r="G201">
        <v>4301060000</v>
      </c>
    </row>
    <row r="202" spans="1:7">
      <c r="A202" s="16">
        <v>42352</v>
      </c>
      <c r="B202" s="17" t="s">
        <v>1966</v>
      </c>
      <c r="C202" s="17" t="s">
        <v>1967</v>
      </c>
      <c r="D202" s="17" t="s">
        <v>1968</v>
      </c>
      <c r="E202" s="17" t="s">
        <v>1969</v>
      </c>
      <c r="F202" s="17" t="s">
        <v>1969</v>
      </c>
      <c r="G202">
        <v>4612440000</v>
      </c>
    </row>
    <row r="203" spans="1:7">
      <c r="A203" s="16">
        <v>42353</v>
      </c>
      <c r="B203" s="17" t="s">
        <v>1970</v>
      </c>
      <c r="C203" s="17" t="s">
        <v>1971</v>
      </c>
      <c r="D203" s="17" t="s">
        <v>1970</v>
      </c>
      <c r="E203" s="17" t="s">
        <v>1972</v>
      </c>
      <c r="F203" s="17" t="s">
        <v>1972</v>
      </c>
      <c r="G203">
        <v>4353540000</v>
      </c>
    </row>
    <row r="204" spans="1:7">
      <c r="A204" s="16">
        <v>42354</v>
      </c>
      <c r="B204" s="17" t="s">
        <v>1973</v>
      </c>
      <c r="C204" s="17" t="s">
        <v>1974</v>
      </c>
      <c r="D204" s="17" t="s">
        <v>1975</v>
      </c>
      <c r="E204" s="17" t="s">
        <v>1976</v>
      </c>
      <c r="F204" s="17" t="s">
        <v>1976</v>
      </c>
      <c r="G204">
        <v>4635450000</v>
      </c>
    </row>
    <row r="205" spans="1:7">
      <c r="A205" s="16">
        <v>42355</v>
      </c>
      <c r="B205" s="17" t="s">
        <v>1977</v>
      </c>
      <c r="C205" s="17" t="s">
        <v>1978</v>
      </c>
      <c r="D205" s="17" t="s">
        <v>1979</v>
      </c>
      <c r="E205" s="17" t="s">
        <v>1980</v>
      </c>
      <c r="F205" s="17" t="s">
        <v>1980</v>
      </c>
      <c r="G205">
        <v>4327390000</v>
      </c>
    </row>
    <row r="206" spans="1:7">
      <c r="A206" s="16">
        <v>42356</v>
      </c>
      <c r="B206" s="17" t="s">
        <v>1981</v>
      </c>
      <c r="C206" s="17" t="s">
        <v>1981</v>
      </c>
      <c r="D206" s="17" t="s">
        <v>1982</v>
      </c>
      <c r="E206" s="17" t="s">
        <v>1983</v>
      </c>
      <c r="F206" s="17" t="s">
        <v>1983</v>
      </c>
      <c r="G206">
        <v>6683070000</v>
      </c>
    </row>
    <row r="207" spans="1:7">
      <c r="A207" s="16">
        <v>42359</v>
      </c>
      <c r="B207" s="17" t="s">
        <v>1984</v>
      </c>
      <c r="C207" s="17" t="s">
        <v>1985</v>
      </c>
      <c r="D207" s="17" t="s">
        <v>1986</v>
      </c>
      <c r="E207" s="17" t="s">
        <v>1987</v>
      </c>
      <c r="F207" s="17" t="s">
        <v>1987</v>
      </c>
      <c r="G207">
        <v>3760280000</v>
      </c>
    </row>
    <row r="208" spans="1:7">
      <c r="A208" s="16">
        <v>42360</v>
      </c>
      <c r="B208" s="17" t="s">
        <v>1988</v>
      </c>
      <c r="C208" s="17" t="s">
        <v>1989</v>
      </c>
      <c r="D208" s="17" t="s">
        <v>1990</v>
      </c>
      <c r="E208" s="17" t="s">
        <v>1991</v>
      </c>
      <c r="F208" s="17" t="s">
        <v>1991</v>
      </c>
      <c r="G208">
        <v>3520860000</v>
      </c>
    </row>
    <row r="209" spans="1:7">
      <c r="A209" s="16">
        <v>42361</v>
      </c>
      <c r="B209" s="17" t="s">
        <v>1992</v>
      </c>
      <c r="C209" s="17" t="s">
        <v>1993</v>
      </c>
      <c r="D209" s="17" t="s">
        <v>1992</v>
      </c>
      <c r="E209" s="17" t="s">
        <v>1994</v>
      </c>
      <c r="F209" s="17" t="s">
        <v>1994</v>
      </c>
      <c r="G209">
        <v>3484090000</v>
      </c>
    </row>
    <row r="210" spans="1:7">
      <c r="A210" s="16">
        <v>42362</v>
      </c>
      <c r="B210" s="17" t="s">
        <v>1623</v>
      </c>
      <c r="C210" s="17" t="s">
        <v>1995</v>
      </c>
      <c r="D210" s="17" t="s">
        <v>1996</v>
      </c>
      <c r="E210" s="17" t="s">
        <v>1997</v>
      </c>
      <c r="F210" s="17" t="s">
        <v>1997</v>
      </c>
      <c r="G210">
        <v>1411860000</v>
      </c>
    </row>
    <row r="211" spans="1:7">
      <c r="A211" s="16">
        <v>42366</v>
      </c>
      <c r="B211" s="17" t="s">
        <v>1998</v>
      </c>
      <c r="C211" s="17" t="s">
        <v>1998</v>
      </c>
      <c r="D211" s="17" t="s">
        <v>1999</v>
      </c>
      <c r="E211" s="17" t="s">
        <v>2000</v>
      </c>
      <c r="F211" s="17" t="s">
        <v>2000</v>
      </c>
      <c r="G211">
        <v>2492510000</v>
      </c>
    </row>
    <row r="212" spans="1:7">
      <c r="A212" s="16">
        <v>42367</v>
      </c>
      <c r="B212" s="17" t="s">
        <v>2001</v>
      </c>
      <c r="C212" s="17" t="s">
        <v>2002</v>
      </c>
      <c r="D212" s="17" t="s">
        <v>2001</v>
      </c>
      <c r="E212" s="17" t="s">
        <v>2003</v>
      </c>
      <c r="F212" s="17" t="s">
        <v>2003</v>
      </c>
      <c r="G212">
        <v>2542000000</v>
      </c>
    </row>
    <row r="213" spans="1:7">
      <c r="A213" s="16">
        <v>42368</v>
      </c>
      <c r="B213" s="17" t="s">
        <v>2004</v>
      </c>
      <c r="C213" s="17" t="s">
        <v>2004</v>
      </c>
      <c r="D213" s="17" t="s">
        <v>2005</v>
      </c>
      <c r="E213" s="17" t="s">
        <v>2006</v>
      </c>
      <c r="F213" s="17" t="s">
        <v>2006</v>
      </c>
      <c r="G213">
        <v>2367430000</v>
      </c>
    </row>
    <row r="214" spans="1:7">
      <c r="A214" s="16">
        <v>42369</v>
      </c>
      <c r="B214" s="17" t="s">
        <v>2007</v>
      </c>
      <c r="C214" s="17" t="s">
        <v>2008</v>
      </c>
      <c r="D214" s="17" t="s">
        <v>2009</v>
      </c>
      <c r="E214" s="17" t="s">
        <v>2010</v>
      </c>
      <c r="F214" s="17" t="s">
        <v>2010</v>
      </c>
      <c r="G214">
        <v>2655330000</v>
      </c>
    </row>
    <row r="215" spans="1:7">
      <c r="A215" s="16">
        <v>42373</v>
      </c>
      <c r="B215" s="17" t="s">
        <v>2011</v>
      </c>
      <c r="C215" s="17" t="s">
        <v>2011</v>
      </c>
      <c r="D215" s="17" t="s">
        <v>2012</v>
      </c>
      <c r="E215" s="17" t="s">
        <v>2013</v>
      </c>
      <c r="F215" s="17" t="s">
        <v>2013</v>
      </c>
      <c r="G215">
        <v>4304880000</v>
      </c>
    </row>
    <row r="216" spans="1:7">
      <c r="A216" s="16">
        <v>42374</v>
      </c>
      <c r="B216" s="17" t="s">
        <v>2014</v>
      </c>
      <c r="C216" s="17" t="s">
        <v>1969</v>
      </c>
      <c r="D216" s="17" t="s">
        <v>2015</v>
      </c>
      <c r="E216" s="17" t="s">
        <v>2016</v>
      </c>
      <c r="F216" s="17" t="s">
        <v>2016</v>
      </c>
      <c r="G216">
        <v>3706620000</v>
      </c>
    </row>
    <row r="217" spans="1:7">
      <c r="A217" s="16">
        <v>42375</v>
      </c>
      <c r="B217" s="17" t="s">
        <v>2017</v>
      </c>
      <c r="C217" s="17" t="s">
        <v>2017</v>
      </c>
      <c r="D217" s="17" t="s">
        <v>2018</v>
      </c>
      <c r="E217" s="17" t="s">
        <v>2019</v>
      </c>
      <c r="F217" s="17" t="s">
        <v>2019</v>
      </c>
      <c r="G217">
        <v>4336660000</v>
      </c>
    </row>
    <row r="218" spans="1:7">
      <c r="A218" s="16">
        <v>42376</v>
      </c>
      <c r="B218" s="17" t="s">
        <v>2020</v>
      </c>
      <c r="C218" s="17" t="s">
        <v>2020</v>
      </c>
      <c r="D218" s="17" t="s">
        <v>2021</v>
      </c>
      <c r="E218" s="17" t="s">
        <v>1700</v>
      </c>
      <c r="F218" s="17" t="s">
        <v>1700</v>
      </c>
      <c r="G218">
        <v>5076590000</v>
      </c>
    </row>
    <row r="219" spans="1:7">
      <c r="A219" s="16">
        <v>42377</v>
      </c>
      <c r="B219" s="17" t="s">
        <v>2022</v>
      </c>
      <c r="C219" s="17" t="s">
        <v>2023</v>
      </c>
      <c r="D219" s="17" t="s">
        <v>2024</v>
      </c>
      <c r="E219" s="17" t="s">
        <v>2025</v>
      </c>
      <c r="F219" s="17" t="s">
        <v>2025</v>
      </c>
      <c r="G219">
        <v>4664940000</v>
      </c>
    </row>
    <row r="220" spans="1:7">
      <c r="A220" s="16">
        <v>42380</v>
      </c>
      <c r="B220" s="17" t="s">
        <v>2026</v>
      </c>
      <c r="C220" s="17" t="s">
        <v>2027</v>
      </c>
      <c r="D220" s="17" t="s">
        <v>2028</v>
      </c>
      <c r="E220" s="17" t="s">
        <v>2029</v>
      </c>
      <c r="F220" s="17" t="s">
        <v>2029</v>
      </c>
      <c r="G220">
        <v>4607290000</v>
      </c>
    </row>
    <row r="221" spans="1:7">
      <c r="A221" s="16">
        <v>42381</v>
      </c>
      <c r="B221" s="17" t="s">
        <v>2030</v>
      </c>
      <c r="C221" s="17" t="s">
        <v>2031</v>
      </c>
      <c r="D221" s="17" t="s">
        <v>2032</v>
      </c>
      <c r="E221" s="17" t="s">
        <v>2033</v>
      </c>
      <c r="F221" s="17" t="s">
        <v>2033</v>
      </c>
      <c r="G221">
        <v>4887260000</v>
      </c>
    </row>
    <row r="222" spans="1:7">
      <c r="A222" s="16">
        <v>42382</v>
      </c>
      <c r="B222" s="17" t="s">
        <v>2034</v>
      </c>
      <c r="C222" s="17" t="s">
        <v>2035</v>
      </c>
      <c r="D222" s="17" t="s">
        <v>2036</v>
      </c>
      <c r="E222" s="17" t="s">
        <v>2037</v>
      </c>
      <c r="F222" s="17" t="s">
        <v>2037</v>
      </c>
      <c r="G222">
        <v>5087030000</v>
      </c>
    </row>
    <row r="223" spans="1:7">
      <c r="A223" s="16">
        <v>42383</v>
      </c>
      <c r="B223" s="17" t="s">
        <v>2038</v>
      </c>
      <c r="C223" s="17" t="s">
        <v>2039</v>
      </c>
      <c r="D223" s="17" t="s">
        <v>2040</v>
      </c>
      <c r="E223" s="17" t="s">
        <v>2041</v>
      </c>
      <c r="F223" s="17" t="s">
        <v>2041</v>
      </c>
      <c r="G223">
        <v>5241110000</v>
      </c>
    </row>
    <row r="224" spans="1:7">
      <c r="A224" s="16">
        <v>42384</v>
      </c>
      <c r="B224" s="17" t="s">
        <v>2042</v>
      </c>
      <c r="C224" s="17" t="s">
        <v>2042</v>
      </c>
      <c r="D224" s="17" t="s">
        <v>2043</v>
      </c>
      <c r="E224" s="17" t="s">
        <v>2044</v>
      </c>
      <c r="F224" s="17" t="s">
        <v>2044</v>
      </c>
      <c r="G224">
        <v>5468460000</v>
      </c>
    </row>
    <row r="225" spans="1:7">
      <c r="A225" s="16">
        <v>42388</v>
      </c>
      <c r="B225" s="17" t="s">
        <v>2045</v>
      </c>
      <c r="C225" s="17" t="s">
        <v>2046</v>
      </c>
      <c r="D225" s="17" t="s">
        <v>2047</v>
      </c>
      <c r="E225" s="17" t="s">
        <v>2048</v>
      </c>
      <c r="F225" s="17" t="s">
        <v>2048</v>
      </c>
      <c r="G225">
        <v>4928350000</v>
      </c>
    </row>
    <row r="226" spans="1:7">
      <c r="A226" s="16">
        <v>42389</v>
      </c>
      <c r="B226" s="17" t="s">
        <v>2049</v>
      </c>
      <c r="C226" s="17" t="s">
        <v>2049</v>
      </c>
      <c r="D226" s="17" t="s">
        <v>2050</v>
      </c>
      <c r="E226" s="17" t="s">
        <v>2051</v>
      </c>
      <c r="F226" s="17" t="s">
        <v>2051</v>
      </c>
      <c r="G226">
        <v>6416070000</v>
      </c>
    </row>
    <row r="227" spans="1:7">
      <c r="A227" s="16">
        <v>42390</v>
      </c>
      <c r="B227" s="17" t="s">
        <v>2052</v>
      </c>
      <c r="C227" s="17" t="s">
        <v>2053</v>
      </c>
      <c r="D227" s="17" t="s">
        <v>2054</v>
      </c>
      <c r="E227" s="17" t="s">
        <v>2055</v>
      </c>
      <c r="F227" s="17" t="s">
        <v>2055</v>
      </c>
      <c r="G227">
        <v>5078810000</v>
      </c>
    </row>
    <row r="228" spans="1:7">
      <c r="A228" s="16">
        <v>42391</v>
      </c>
      <c r="B228" s="17" t="s">
        <v>2056</v>
      </c>
      <c r="C228" s="17" t="s">
        <v>2057</v>
      </c>
      <c r="D228" s="17" t="s">
        <v>2056</v>
      </c>
      <c r="E228" s="17" t="s">
        <v>2058</v>
      </c>
      <c r="F228" s="17" t="s">
        <v>2058</v>
      </c>
      <c r="G228">
        <v>4901760000</v>
      </c>
    </row>
    <row r="229" spans="1:7">
      <c r="A229" s="16">
        <v>42394</v>
      </c>
      <c r="B229" s="17" t="s">
        <v>2059</v>
      </c>
      <c r="C229" s="17" t="s">
        <v>2059</v>
      </c>
      <c r="D229" s="17" t="s">
        <v>2060</v>
      </c>
      <c r="E229" s="17" t="s">
        <v>2061</v>
      </c>
      <c r="F229" s="17" t="s">
        <v>2061</v>
      </c>
      <c r="G229">
        <v>4401380000</v>
      </c>
    </row>
    <row r="230" spans="1:7">
      <c r="A230" s="16">
        <v>42395</v>
      </c>
      <c r="B230" s="17" t="s">
        <v>2062</v>
      </c>
      <c r="C230" s="17" t="s">
        <v>2063</v>
      </c>
      <c r="D230" s="17" t="s">
        <v>2062</v>
      </c>
      <c r="E230" s="17" t="s">
        <v>2064</v>
      </c>
      <c r="F230" s="17" t="s">
        <v>2064</v>
      </c>
      <c r="G230">
        <v>4357940000</v>
      </c>
    </row>
    <row r="231" spans="1:7">
      <c r="A231" s="16">
        <v>42396</v>
      </c>
      <c r="B231" s="17" t="s">
        <v>2065</v>
      </c>
      <c r="C231" s="17" t="s">
        <v>2066</v>
      </c>
      <c r="D231" s="17" t="s">
        <v>2067</v>
      </c>
      <c r="E231" s="17" t="s">
        <v>2068</v>
      </c>
      <c r="F231" s="17" t="s">
        <v>2068</v>
      </c>
      <c r="G231">
        <v>4754040000</v>
      </c>
    </row>
    <row r="232" spans="1:7">
      <c r="A232" s="16">
        <v>42397</v>
      </c>
      <c r="B232" s="17" t="s">
        <v>2069</v>
      </c>
      <c r="C232" s="17" t="s">
        <v>2070</v>
      </c>
      <c r="D232" s="17" t="s">
        <v>2071</v>
      </c>
      <c r="E232" s="17" t="s">
        <v>2072</v>
      </c>
      <c r="F232" s="17" t="s">
        <v>2072</v>
      </c>
      <c r="G232">
        <v>4693010000</v>
      </c>
    </row>
    <row r="233" spans="1:7">
      <c r="A233" s="16">
        <v>42398</v>
      </c>
      <c r="B233" s="17" t="s">
        <v>2073</v>
      </c>
      <c r="C233" s="17" t="s">
        <v>2074</v>
      </c>
      <c r="D233" s="17" t="s">
        <v>2073</v>
      </c>
      <c r="E233" s="17" t="s">
        <v>2074</v>
      </c>
      <c r="F233" s="17" t="s">
        <v>2074</v>
      </c>
      <c r="G233">
        <v>5497570000</v>
      </c>
    </row>
    <row r="234" spans="1:7">
      <c r="A234" s="16">
        <v>42401</v>
      </c>
      <c r="B234" s="17" t="s">
        <v>2075</v>
      </c>
      <c r="C234" s="17" t="s">
        <v>2076</v>
      </c>
      <c r="D234" s="17" t="s">
        <v>2077</v>
      </c>
      <c r="E234" s="17" t="s">
        <v>2078</v>
      </c>
      <c r="F234" s="17" t="s">
        <v>2078</v>
      </c>
      <c r="G234">
        <v>4322530000</v>
      </c>
    </row>
    <row r="235" spans="1:7">
      <c r="A235" s="16">
        <v>42402</v>
      </c>
      <c r="B235" s="17" t="s">
        <v>2079</v>
      </c>
      <c r="C235" s="17" t="s">
        <v>2079</v>
      </c>
      <c r="D235" s="17" t="s">
        <v>2080</v>
      </c>
      <c r="E235" s="17" t="s">
        <v>2081</v>
      </c>
      <c r="F235" s="17" t="s">
        <v>2081</v>
      </c>
      <c r="G235">
        <v>4463190000</v>
      </c>
    </row>
    <row r="236" spans="1:7">
      <c r="A236" s="16">
        <v>42403</v>
      </c>
      <c r="B236" s="17" t="s">
        <v>2082</v>
      </c>
      <c r="C236" s="17" t="s">
        <v>2083</v>
      </c>
      <c r="D236" s="17" t="s">
        <v>2084</v>
      </c>
      <c r="E236" s="17" t="s">
        <v>2085</v>
      </c>
      <c r="F236" s="17" t="s">
        <v>2085</v>
      </c>
      <c r="G236">
        <v>5172950000</v>
      </c>
    </row>
    <row r="237" spans="1:7">
      <c r="A237" s="16">
        <v>42404</v>
      </c>
      <c r="B237" s="17" t="s">
        <v>2086</v>
      </c>
      <c r="C237" s="17" t="s">
        <v>2087</v>
      </c>
      <c r="D237" s="17" t="s">
        <v>2088</v>
      </c>
      <c r="E237" s="17" t="s">
        <v>2089</v>
      </c>
      <c r="F237" s="17" t="s">
        <v>2089</v>
      </c>
      <c r="G237">
        <v>5193320000</v>
      </c>
    </row>
    <row r="238" spans="1:7">
      <c r="A238" s="16">
        <v>42405</v>
      </c>
      <c r="B238" s="17" t="s">
        <v>2090</v>
      </c>
      <c r="C238" s="17" t="s">
        <v>2090</v>
      </c>
      <c r="D238" s="17" t="s">
        <v>2091</v>
      </c>
      <c r="E238" s="17" t="s">
        <v>2092</v>
      </c>
      <c r="F238" s="17" t="s">
        <v>2092</v>
      </c>
      <c r="G238">
        <v>4929940000</v>
      </c>
    </row>
    <row r="239" spans="1:7">
      <c r="A239" s="16">
        <v>42408</v>
      </c>
      <c r="B239" s="17" t="s">
        <v>2093</v>
      </c>
      <c r="C239" s="17" t="s">
        <v>2093</v>
      </c>
      <c r="D239" s="17" t="s">
        <v>2094</v>
      </c>
      <c r="E239" s="17" t="s">
        <v>2095</v>
      </c>
      <c r="F239" s="17" t="s">
        <v>2095</v>
      </c>
      <c r="G239">
        <v>5636460000</v>
      </c>
    </row>
    <row r="240" spans="1:7">
      <c r="A240" s="16">
        <v>42409</v>
      </c>
      <c r="B240" s="17" t="s">
        <v>2096</v>
      </c>
      <c r="C240" s="17" t="s">
        <v>2097</v>
      </c>
      <c r="D240" s="17" t="s">
        <v>2098</v>
      </c>
      <c r="E240" s="17" t="s">
        <v>2099</v>
      </c>
      <c r="F240" s="17" t="s">
        <v>2099</v>
      </c>
      <c r="G240">
        <v>5183220000</v>
      </c>
    </row>
    <row r="241" spans="1:7">
      <c r="A241" s="16">
        <v>42410</v>
      </c>
      <c r="B241" s="17" t="s">
        <v>2100</v>
      </c>
      <c r="C241" s="17" t="s">
        <v>2101</v>
      </c>
      <c r="D241" s="17" t="s">
        <v>2102</v>
      </c>
      <c r="E241" s="17" t="s">
        <v>2103</v>
      </c>
      <c r="F241" s="17" t="s">
        <v>2103</v>
      </c>
      <c r="G241">
        <v>4471170000</v>
      </c>
    </row>
    <row r="242" spans="1:7">
      <c r="A242" s="16">
        <v>42411</v>
      </c>
      <c r="B242" s="17" t="s">
        <v>2104</v>
      </c>
      <c r="C242" s="17" t="s">
        <v>2104</v>
      </c>
      <c r="D242" s="17" t="s">
        <v>2105</v>
      </c>
      <c r="E242" s="17" t="s">
        <v>2106</v>
      </c>
      <c r="F242" s="17" t="s">
        <v>2106</v>
      </c>
      <c r="G242">
        <v>5500800000</v>
      </c>
    </row>
    <row r="243" spans="1:7">
      <c r="A243" s="16">
        <v>42412</v>
      </c>
      <c r="B243" s="17" t="s">
        <v>2107</v>
      </c>
      <c r="C243" s="17" t="s">
        <v>2108</v>
      </c>
      <c r="D243" s="17" t="s">
        <v>2107</v>
      </c>
      <c r="E243" s="17" t="s">
        <v>2108</v>
      </c>
      <c r="F243" s="17" t="s">
        <v>2108</v>
      </c>
      <c r="G243">
        <v>4696920000</v>
      </c>
    </row>
    <row r="244" spans="1:7">
      <c r="A244" s="16">
        <v>42416</v>
      </c>
      <c r="B244" s="17" t="s">
        <v>2109</v>
      </c>
      <c r="C244" s="17" t="s">
        <v>2110</v>
      </c>
      <c r="D244" s="17" t="s">
        <v>2109</v>
      </c>
      <c r="E244" s="17" t="s">
        <v>2111</v>
      </c>
      <c r="F244" s="17" t="s">
        <v>2111</v>
      </c>
      <c r="G244">
        <v>4570670000</v>
      </c>
    </row>
    <row r="245" spans="1:7">
      <c r="A245" s="16">
        <v>42417</v>
      </c>
      <c r="B245" s="17" t="s">
        <v>2112</v>
      </c>
      <c r="C245" s="17" t="s">
        <v>2113</v>
      </c>
      <c r="D245" s="17" t="s">
        <v>2112</v>
      </c>
      <c r="E245" s="17" t="s">
        <v>2114</v>
      </c>
      <c r="F245" s="17" t="s">
        <v>2114</v>
      </c>
      <c r="G245">
        <v>5011540000</v>
      </c>
    </row>
    <row r="246" spans="1:7">
      <c r="A246" s="16">
        <v>42418</v>
      </c>
      <c r="B246" s="17" t="s">
        <v>2115</v>
      </c>
      <c r="C246" s="17" t="s">
        <v>2116</v>
      </c>
      <c r="D246" s="17" t="s">
        <v>2117</v>
      </c>
      <c r="E246" s="17" t="s">
        <v>2118</v>
      </c>
      <c r="F246" s="17" t="s">
        <v>2118</v>
      </c>
      <c r="G246">
        <v>4436490000</v>
      </c>
    </row>
    <row r="247" spans="1:7">
      <c r="A247" s="16">
        <v>42419</v>
      </c>
      <c r="B247" s="17" t="s">
        <v>2119</v>
      </c>
      <c r="C247" s="17" t="s">
        <v>2120</v>
      </c>
      <c r="D247" s="17" t="s">
        <v>2121</v>
      </c>
      <c r="E247" s="17" t="s">
        <v>2122</v>
      </c>
      <c r="F247" s="17" t="s">
        <v>2122</v>
      </c>
      <c r="G247">
        <v>4142850000</v>
      </c>
    </row>
    <row r="248" spans="1:7">
      <c r="A248" s="16">
        <v>42422</v>
      </c>
      <c r="B248" s="17" t="s">
        <v>2123</v>
      </c>
      <c r="C248" s="17" t="s">
        <v>2124</v>
      </c>
      <c r="D248" s="17" t="s">
        <v>2123</v>
      </c>
      <c r="E248" s="17" t="s">
        <v>2125</v>
      </c>
      <c r="F248" s="17" t="s">
        <v>2125</v>
      </c>
      <c r="G248">
        <v>4054710000</v>
      </c>
    </row>
    <row r="249" spans="1:7">
      <c r="A249" s="16">
        <v>42423</v>
      </c>
      <c r="B249" s="17" t="s">
        <v>2126</v>
      </c>
      <c r="C249" s="17" t="s">
        <v>2126</v>
      </c>
      <c r="D249" s="17" t="s">
        <v>2127</v>
      </c>
      <c r="E249" s="17" t="s">
        <v>2128</v>
      </c>
      <c r="F249" s="17" t="s">
        <v>2128</v>
      </c>
      <c r="G249">
        <v>3890650000</v>
      </c>
    </row>
    <row r="250" spans="1:7">
      <c r="A250" s="16">
        <v>42424</v>
      </c>
      <c r="B250" s="17" t="s">
        <v>2129</v>
      </c>
      <c r="C250" s="17" t="s">
        <v>2130</v>
      </c>
      <c r="D250" s="17" t="s">
        <v>2131</v>
      </c>
      <c r="E250" s="17" t="s">
        <v>2132</v>
      </c>
      <c r="F250" s="17" t="s">
        <v>2132</v>
      </c>
      <c r="G250">
        <v>4317250000</v>
      </c>
    </row>
    <row r="251" spans="1:7">
      <c r="A251" s="16">
        <v>42425</v>
      </c>
      <c r="B251" s="17" t="s">
        <v>2133</v>
      </c>
      <c r="C251" s="17" t="s">
        <v>2134</v>
      </c>
      <c r="D251" s="17" t="s">
        <v>2135</v>
      </c>
      <c r="E251" s="17" t="s">
        <v>2136</v>
      </c>
      <c r="F251" s="17" t="s">
        <v>2136</v>
      </c>
      <c r="G251">
        <v>4118210000</v>
      </c>
    </row>
    <row r="252" spans="1:7">
      <c r="A252" s="16">
        <v>42426</v>
      </c>
      <c r="B252" s="17" t="s">
        <v>2137</v>
      </c>
      <c r="C252" s="17" t="s">
        <v>2138</v>
      </c>
      <c r="D252" s="17" t="s">
        <v>2139</v>
      </c>
      <c r="E252" s="17" t="s">
        <v>2140</v>
      </c>
      <c r="F252" s="17" t="s">
        <v>2140</v>
      </c>
      <c r="G252">
        <v>4348510000</v>
      </c>
    </row>
    <row r="253" spans="1:7">
      <c r="A253" s="16">
        <v>42429</v>
      </c>
      <c r="B253" s="17" t="s">
        <v>2141</v>
      </c>
      <c r="C253" s="17" t="s">
        <v>2142</v>
      </c>
      <c r="D253" s="17" t="s">
        <v>2143</v>
      </c>
      <c r="E253" s="17" t="s">
        <v>2144</v>
      </c>
      <c r="F253" s="17" t="s">
        <v>2144</v>
      </c>
      <c r="G253">
        <v>4588180000</v>
      </c>
    </row>
    <row r="254" spans="1:7">
      <c r="A254" s="16">
        <v>42430</v>
      </c>
      <c r="B254" s="17" t="s">
        <v>2145</v>
      </c>
      <c r="C254" s="17" t="s">
        <v>2146</v>
      </c>
      <c r="D254" s="17" t="s">
        <v>2145</v>
      </c>
      <c r="E254" s="17" t="s">
        <v>2146</v>
      </c>
      <c r="F254" s="17" t="s">
        <v>2146</v>
      </c>
      <c r="G254">
        <v>4819750000</v>
      </c>
    </row>
    <row r="255" spans="1:7">
      <c r="A255" s="16">
        <v>42431</v>
      </c>
      <c r="B255" s="17" t="s">
        <v>2147</v>
      </c>
      <c r="C255" s="17" t="s">
        <v>2148</v>
      </c>
      <c r="D255" s="17" t="s">
        <v>2149</v>
      </c>
      <c r="E255" s="17" t="s">
        <v>2150</v>
      </c>
      <c r="F255" s="17" t="s">
        <v>2150</v>
      </c>
      <c r="G255">
        <v>4666610000</v>
      </c>
    </row>
    <row r="256" spans="1:7">
      <c r="A256" s="16">
        <v>42432</v>
      </c>
      <c r="B256" s="17" t="s">
        <v>2151</v>
      </c>
      <c r="C256" s="17" t="s">
        <v>2152</v>
      </c>
      <c r="D256" s="17" t="s">
        <v>2153</v>
      </c>
      <c r="E256" s="17" t="s">
        <v>2154</v>
      </c>
      <c r="F256" s="17" t="s">
        <v>2154</v>
      </c>
      <c r="G256">
        <v>5081700000</v>
      </c>
    </row>
    <row r="257" spans="1:7">
      <c r="A257" s="16">
        <v>42433</v>
      </c>
      <c r="B257" s="17" t="s">
        <v>1803</v>
      </c>
      <c r="C257" s="17" t="s">
        <v>2155</v>
      </c>
      <c r="D257" s="17" t="s">
        <v>2156</v>
      </c>
      <c r="E257" s="17" t="s">
        <v>2157</v>
      </c>
      <c r="F257" s="17" t="s">
        <v>2157</v>
      </c>
      <c r="G257">
        <v>6049930000</v>
      </c>
    </row>
    <row r="258" spans="1:7">
      <c r="A258" s="16">
        <v>42436</v>
      </c>
      <c r="B258" s="17" t="s">
        <v>2158</v>
      </c>
      <c r="C258" s="17" t="s">
        <v>2159</v>
      </c>
      <c r="D258" s="17" t="s">
        <v>2160</v>
      </c>
      <c r="E258" s="17" t="s">
        <v>2161</v>
      </c>
      <c r="F258" s="17" t="s">
        <v>2161</v>
      </c>
      <c r="G258">
        <v>4968180000</v>
      </c>
    </row>
    <row r="259" spans="1:7">
      <c r="A259" s="16">
        <v>42437</v>
      </c>
      <c r="B259" s="17" t="s">
        <v>2162</v>
      </c>
      <c r="C259" s="17" t="s">
        <v>2162</v>
      </c>
      <c r="D259" s="17" t="s">
        <v>2163</v>
      </c>
      <c r="E259" s="17" t="s">
        <v>2164</v>
      </c>
      <c r="F259" s="17" t="s">
        <v>2164</v>
      </c>
      <c r="G259">
        <v>4641650000</v>
      </c>
    </row>
    <row r="260" spans="1:7">
      <c r="A260" s="16">
        <v>42438</v>
      </c>
      <c r="B260" s="17" t="s">
        <v>2165</v>
      </c>
      <c r="C260" s="17" t="s">
        <v>2166</v>
      </c>
      <c r="D260" s="17" t="s">
        <v>2167</v>
      </c>
      <c r="E260" s="17" t="s">
        <v>2168</v>
      </c>
      <c r="F260" s="17" t="s">
        <v>2168</v>
      </c>
      <c r="G260">
        <v>4038120000</v>
      </c>
    </row>
    <row r="261" spans="1:7">
      <c r="A261" s="16">
        <v>42439</v>
      </c>
      <c r="B261" s="17" t="s">
        <v>2169</v>
      </c>
      <c r="C261" s="17" t="s">
        <v>2170</v>
      </c>
      <c r="D261" s="17" t="s">
        <v>2171</v>
      </c>
      <c r="E261" s="17" t="s">
        <v>2172</v>
      </c>
      <c r="F261" s="17" t="s">
        <v>2172</v>
      </c>
      <c r="G261">
        <v>4376790000</v>
      </c>
    </row>
    <row r="262" spans="1:7">
      <c r="A262" s="16">
        <v>42440</v>
      </c>
      <c r="B262" s="17" t="s">
        <v>2173</v>
      </c>
      <c r="C262" s="17" t="s">
        <v>2174</v>
      </c>
      <c r="D262" s="17" t="s">
        <v>2173</v>
      </c>
      <c r="E262" s="17" t="s">
        <v>2175</v>
      </c>
      <c r="F262" s="17" t="s">
        <v>2175</v>
      </c>
      <c r="G262">
        <v>4078620000</v>
      </c>
    </row>
    <row r="263" spans="1:7">
      <c r="A263" s="16">
        <v>42443</v>
      </c>
      <c r="B263" s="17" t="s">
        <v>2176</v>
      </c>
      <c r="C263" s="17" t="s">
        <v>2177</v>
      </c>
      <c r="D263" s="17" t="s">
        <v>2178</v>
      </c>
      <c r="E263" s="17" t="s">
        <v>2179</v>
      </c>
      <c r="F263" s="17" t="s">
        <v>2179</v>
      </c>
      <c r="G263">
        <v>3487850000</v>
      </c>
    </row>
    <row r="264" spans="1:7">
      <c r="A264" s="16">
        <v>42444</v>
      </c>
      <c r="B264" s="17" t="s">
        <v>2180</v>
      </c>
      <c r="C264" s="17" t="s">
        <v>2181</v>
      </c>
      <c r="D264" s="17" t="s">
        <v>2182</v>
      </c>
      <c r="E264" s="17" t="s">
        <v>2183</v>
      </c>
      <c r="F264" s="17" t="s">
        <v>2183</v>
      </c>
      <c r="G264">
        <v>3560280000</v>
      </c>
    </row>
    <row r="265" spans="1:7">
      <c r="A265" s="16">
        <v>42445</v>
      </c>
      <c r="B265" s="17" t="s">
        <v>2184</v>
      </c>
      <c r="C265" s="17" t="s">
        <v>2185</v>
      </c>
      <c r="D265" s="17" t="s">
        <v>2186</v>
      </c>
      <c r="E265" s="17" t="s">
        <v>2187</v>
      </c>
      <c r="F265" s="17" t="s">
        <v>2187</v>
      </c>
      <c r="G265">
        <v>4057020000</v>
      </c>
    </row>
    <row r="266" spans="1:7">
      <c r="A266" s="16">
        <v>42446</v>
      </c>
      <c r="B266" s="17" t="s">
        <v>2188</v>
      </c>
      <c r="C266" s="17" t="s">
        <v>2189</v>
      </c>
      <c r="D266" s="17" t="s">
        <v>2190</v>
      </c>
      <c r="E266" s="17" t="s">
        <v>2191</v>
      </c>
      <c r="F266" s="17" t="s">
        <v>2191</v>
      </c>
      <c r="G266">
        <v>4530480000</v>
      </c>
    </row>
    <row r="267" spans="1:7">
      <c r="A267" s="16">
        <v>42447</v>
      </c>
      <c r="B267" s="17" t="s">
        <v>2192</v>
      </c>
      <c r="C267" s="17" t="s">
        <v>2193</v>
      </c>
      <c r="D267" s="17" t="s">
        <v>2192</v>
      </c>
      <c r="E267" s="17" t="s">
        <v>2194</v>
      </c>
      <c r="F267" s="17" t="s">
        <v>2194</v>
      </c>
      <c r="G267">
        <v>6503140000</v>
      </c>
    </row>
    <row r="268" spans="1:7">
      <c r="A268" s="16">
        <v>42450</v>
      </c>
      <c r="B268" s="17" t="s">
        <v>2195</v>
      </c>
      <c r="C268" s="17" t="s">
        <v>2196</v>
      </c>
      <c r="D268" s="17" t="s">
        <v>2197</v>
      </c>
      <c r="E268" s="17" t="s">
        <v>2198</v>
      </c>
      <c r="F268" s="17" t="s">
        <v>2198</v>
      </c>
      <c r="G268">
        <v>3376600000</v>
      </c>
    </row>
    <row r="269" spans="1:7">
      <c r="A269" s="16">
        <v>42451</v>
      </c>
      <c r="B269" s="17" t="s">
        <v>2199</v>
      </c>
      <c r="C269" s="17" t="s">
        <v>2200</v>
      </c>
      <c r="D269" s="17" t="s">
        <v>2201</v>
      </c>
      <c r="E269" s="17" t="s">
        <v>2202</v>
      </c>
      <c r="F269" s="17" t="s">
        <v>2202</v>
      </c>
      <c r="G269">
        <v>3418460000</v>
      </c>
    </row>
    <row r="270" spans="1:7">
      <c r="A270" s="16">
        <v>42452</v>
      </c>
      <c r="B270" s="17" t="s">
        <v>2203</v>
      </c>
      <c r="C270" s="17" t="s">
        <v>2203</v>
      </c>
      <c r="D270" s="17" t="s">
        <v>2204</v>
      </c>
      <c r="E270" s="17" t="s">
        <v>2205</v>
      </c>
      <c r="F270" s="17" t="s">
        <v>2205</v>
      </c>
      <c r="G270">
        <v>3639510000</v>
      </c>
    </row>
    <row r="271" spans="1:7">
      <c r="A271" s="16">
        <v>42453</v>
      </c>
      <c r="B271" s="17" t="s">
        <v>2206</v>
      </c>
      <c r="C271" s="17" t="s">
        <v>2207</v>
      </c>
      <c r="D271" s="17" t="s">
        <v>2208</v>
      </c>
      <c r="E271" s="17" t="s">
        <v>2209</v>
      </c>
      <c r="F271" s="17" t="s">
        <v>2209</v>
      </c>
      <c r="G271">
        <v>3407720000</v>
      </c>
    </row>
    <row r="272" spans="1:7">
      <c r="A272" s="16">
        <v>42457</v>
      </c>
      <c r="B272" s="17" t="s">
        <v>2210</v>
      </c>
      <c r="C272" s="17" t="s">
        <v>2211</v>
      </c>
      <c r="D272" s="17" t="s">
        <v>2212</v>
      </c>
      <c r="E272" s="17" t="s">
        <v>2213</v>
      </c>
      <c r="F272" s="17" t="s">
        <v>2213</v>
      </c>
      <c r="G272">
        <v>2809090000</v>
      </c>
    </row>
    <row r="273" spans="1:7">
      <c r="A273" s="16">
        <v>42458</v>
      </c>
      <c r="B273" s="17" t="s">
        <v>2214</v>
      </c>
      <c r="C273" s="17" t="s">
        <v>2215</v>
      </c>
      <c r="D273" s="17" t="s">
        <v>2216</v>
      </c>
      <c r="E273" s="17" t="s">
        <v>2217</v>
      </c>
      <c r="F273" s="17" t="s">
        <v>2217</v>
      </c>
      <c r="G273">
        <v>3822330000</v>
      </c>
    </row>
    <row r="274" spans="1:7">
      <c r="A274" s="16">
        <v>42459</v>
      </c>
      <c r="B274" s="17" t="s">
        <v>2218</v>
      </c>
      <c r="C274" s="17" t="s">
        <v>1290</v>
      </c>
      <c r="D274" s="17" t="s">
        <v>2218</v>
      </c>
      <c r="E274" s="17" t="s">
        <v>2219</v>
      </c>
      <c r="F274" s="17" t="s">
        <v>2219</v>
      </c>
      <c r="G274">
        <v>3590310000</v>
      </c>
    </row>
    <row r="275" spans="1:7">
      <c r="A275" s="16">
        <v>42460</v>
      </c>
      <c r="B275" s="17" t="s">
        <v>2220</v>
      </c>
      <c r="C275" s="17" t="s">
        <v>2221</v>
      </c>
      <c r="D275" s="17" t="s">
        <v>2222</v>
      </c>
      <c r="E275" s="17" t="s">
        <v>2223</v>
      </c>
      <c r="F275" s="17" t="s">
        <v>2223</v>
      </c>
      <c r="G275">
        <v>3715280000</v>
      </c>
    </row>
    <row r="276" spans="1:7">
      <c r="A276" s="16">
        <v>42461</v>
      </c>
      <c r="B276" s="17" t="s">
        <v>2224</v>
      </c>
      <c r="C276" s="17" t="s">
        <v>2225</v>
      </c>
      <c r="D276" s="17" t="s">
        <v>2226</v>
      </c>
      <c r="E276" s="17" t="s">
        <v>2227</v>
      </c>
      <c r="F276" s="17" t="s">
        <v>2227</v>
      </c>
      <c r="G276">
        <v>3749990000</v>
      </c>
    </row>
    <row r="277" spans="1:7">
      <c r="A277" s="16">
        <v>42464</v>
      </c>
      <c r="B277" s="17" t="s">
        <v>2228</v>
      </c>
      <c r="C277" s="17" t="s">
        <v>2229</v>
      </c>
      <c r="D277" s="17" t="s">
        <v>2230</v>
      </c>
      <c r="E277" s="17" t="s">
        <v>2231</v>
      </c>
      <c r="F277" s="17" t="s">
        <v>2231</v>
      </c>
      <c r="G277">
        <v>3485710000</v>
      </c>
    </row>
    <row r="278" spans="1:7">
      <c r="A278" s="16">
        <v>42465</v>
      </c>
      <c r="B278" s="17" t="s">
        <v>2232</v>
      </c>
      <c r="C278" s="17" t="s">
        <v>2232</v>
      </c>
      <c r="D278" s="17" t="s">
        <v>2233</v>
      </c>
      <c r="E278" s="17" t="s">
        <v>2234</v>
      </c>
      <c r="F278" s="17" t="s">
        <v>2234</v>
      </c>
      <c r="G278">
        <v>4154920000</v>
      </c>
    </row>
    <row r="279" spans="1:7">
      <c r="A279" s="16">
        <v>42466</v>
      </c>
      <c r="B279" s="17" t="s">
        <v>2235</v>
      </c>
      <c r="C279" s="17" t="s">
        <v>2236</v>
      </c>
      <c r="D279" s="17" t="s">
        <v>2237</v>
      </c>
      <c r="E279" s="17" t="s">
        <v>2238</v>
      </c>
      <c r="F279" s="17" t="s">
        <v>2238</v>
      </c>
      <c r="G279">
        <v>3750800000</v>
      </c>
    </row>
    <row r="280" spans="1:7">
      <c r="A280" s="16">
        <v>42467</v>
      </c>
      <c r="B280" s="17" t="s">
        <v>2239</v>
      </c>
      <c r="C280" s="17" t="s">
        <v>2239</v>
      </c>
      <c r="D280" s="17" t="s">
        <v>2240</v>
      </c>
      <c r="E280" s="17" t="s">
        <v>2241</v>
      </c>
      <c r="F280" s="17" t="s">
        <v>2241</v>
      </c>
      <c r="G280">
        <v>3801250000</v>
      </c>
    </row>
    <row r="281" spans="1:7">
      <c r="A281" s="16">
        <v>42468</v>
      </c>
      <c r="B281" s="17" t="s">
        <v>2242</v>
      </c>
      <c r="C281" s="17" t="s">
        <v>2243</v>
      </c>
      <c r="D281" s="17" t="s">
        <v>2244</v>
      </c>
      <c r="E281" s="17" t="s">
        <v>2245</v>
      </c>
      <c r="F281" s="17" t="s">
        <v>2245</v>
      </c>
      <c r="G281">
        <v>3359530000</v>
      </c>
    </row>
    <row r="282" spans="1:7">
      <c r="A282" s="16">
        <v>42471</v>
      </c>
      <c r="B282" s="17" t="s">
        <v>2246</v>
      </c>
      <c r="C282" s="17" t="s">
        <v>2247</v>
      </c>
      <c r="D282" s="17" t="s">
        <v>2248</v>
      </c>
      <c r="E282" s="17" t="s">
        <v>2249</v>
      </c>
      <c r="F282" s="17" t="s">
        <v>2249</v>
      </c>
      <c r="G282">
        <v>3567840000</v>
      </c>
    </row>
    <row r="283" spans="1:7">
      <c r="A283" s="16">
        <v>42472</v>
      </c>
      <c r="B283" s="17" t="s">
        <v>2250</v>
      </c>
      <c r="C283" s="17" t="s">
        <v>2251</v>
      </c>
      <c r="D283" s="17" t="s">
        <v>2252</v>
      </c>
      <c r="E283" s="17" t="s">
        <v>2253</v>
      </c>
      <c r="F283" s="17" t="s">
        <v>2253</v>
      </c>
      <c r="G283">
        <v>4239740000</v>
      </c>
    </row>
    <row r="284" spans="1:7">
      <c r="A284" s="16">
        <v>42473</v>
      </c>
      <c r="B284" s="17" t="s">
        <v>2254</v>
      </c>
      <c r="C284" s="17" t="s">
        <v>2255</v>
      </c>
      <c r="D284" s="17" t="s">
        <v>2254</v>
      </c>
      <c r="E284" s="17" t="s">
        <v>2256</v>
      </c>
      <c r="F284" s="17" t="s">
        <v>2256</v>
      </c>
      <c r="G284">
        <v>4191830000</v>
      </c>
    </row>
    <row r="285" spans="1:7">
      <c r="A285" s="16">
        <v>42474</v>
      </c>
      <c r="B285" s="17" t="s">
        <v>2257</v>
      </c>
      <c r="C285" s="17" t="s">
        <v>2258</v>
      </c>
      <c r="D285" s="17" t="s">
        <v>2259</v>
      </c>
      <c r="E285" s="17" t="s">
        <v>1563</v>
      </c>
      <c r="F285" s="17" t="s">
        <v>1563</v>
      </c>
      <c r="G285">
        <v>3765870000</v>
      </c>
    </row>
    <row r="286" spans="1:7">
      <c r="A286" s="16">
        <v>42475</v>
      </c>
      <c r="B286" s="17" t="s">
        <v>2260</v>
      </c>
      <c r="C286" s="17" t="s">
        <v>2261</v>
      </c>
      <c r="D286" s="17" t="s">
        <v>2262</v>
      </c>
      <c r="E286" s="17" t="s">
        <v>2263</v>
      </c>
      <c r="F286" s="17" t="s">
        <v>2263</v>
      </c>
      <c r="G286">
        <v>3701450000</v>
      </c>
    </row>
    <row r="287" spans="1:7">
      <c r="A287" s="16">
        <v>42478</v>
      </c>
      <c r="B287" s="17" t="s">
        <v>2264</v>
      </c>
      <c r="C287" s="17" t="s">
        <v>2265</v>
      </c>
      <c r="D287" s="17" t="s">
        <v>2266</v>
      </c>
      <c r="E287" s="17" t="s">
        <v>2267</v>
      </c>
      <c r="F287" s="17" t="s">
        <v>2267</v>
      </c>
      <c r="G287">
        <v>3316880000</v>
      </c>
    </row>
    <row r="288" spans="1:7">
      <c r="A288" s="16">
        <v>42479</v>
      </c>
      <c r="B288" s="17" t="s">
        <v>2268</v>
      </c>
      <c r="C288" s="17" t="s">
        <v>1868</v>
      </c>
      <c r="D288" s="17" t="s">
        <v>2269</v>
      </c>
      <c r="E288" s="17" t="s">
        <v>2270</v>
      </c>
      <c r="F288" s="17" t="s">
        <v>2270</v>
      </c>
      <c r="G288">
        <v>3896830000</v>
      </c>
    </row>
    <row r="289" spans="1:7">
      <c r="A289" s="16">
        <v>42480</v>
      </c>
      <c r="B289" s="17" t="s">
        <v>2271</v>
      </c>
      <c r="C289" s="17" t="s">
        <v>2272</v>
      </c>
      <c r="D289" s="17" t="s">
        <v>2273</v>
      </c>
      <c r="E289" s="17" t="s">
        <v>2274</v>
      </c>
      <c r="F289" s="17" t="s">
        <v>2274</v>
      </c>
      <c r="G289">
        <v>4184880000</v>
      </c>
    </row>
    <row r="290" spans="1:7">
      <c r="A290" s="16">
        <v>42481</v>
      </c>
      <c r="B290" s="17" t="s">
        <v>2275</v>
      </c>
      <c r="C290" s="17" t="s">
        <v>2276</v>
      </c>
      <c r="D290" s="17" t="s">
        <v>2277</v>
      </c>
      <c r="E290" s="17" t="s">
        <v>2278</v>
      </c>
      <c r="F290" s="17" t="s">
        <v>2278</v>
      </c>
      <c r="G290">
        <v>4175290000</v>
      </c>
    </row>
    <row r="291" spans="1:7">
      <c r="A291" s="16">
        <v>42482</v>
      </c>
      <c r="B291" s="17" t="s">
        <v>2279</v>
      </c>
      <c r="C291" s="17" t="s">
        <v>1863</v>
      </c>
      <c r="D291" s="17" t="s">
        <v>2280</v>
      </c>
      <c r="E291" s="17" t="s">
        <v>2281</v>
      </c>
      <c r="F291" s="17" t="s">
        <v>2281</v>
      </c>
      <c r="G291">
        <v>3790580000</v>
      </c>
    </row>
    <row r="292" spans="1:7">
      <c r="A292" s="16">
        <v>42485</v>
      </c>
      <c r="B292" s="17" t="s">
        <v>2282</v>
      </c>
      <c r="C292" s="17" t="s">
        <v>2282</v>
      </c>
      <c r="D292" s="17" t="s">
        <v>2283</v>
      </c>
      <c r="E292" s="17" t="s">
        <v>2284</v>
      </c>
      <c r="F292" s="17" t="s">
        <v>2284</v>
      </c>
      <c r="G292">
        <v>3319740000</v>
      </c>
    </row>
    <row r="293" spans="1:7">
      <c r="A293" s="16">
        <v>42486</v>
      </c>
      <c r="B293" s="17" t="s">
        <v>2285</v>
      </c>
      <c r="C293" s="17" t="s">
        <v>2286</v>
      </c>
      <c r="D293" s="17" t="s">
        <v>2287</v>
      </c>
      <c r="E293" s="17" t="s">
        <v>2288</v>
      </c>
      <c r="F293" s="17" t="s">
        <v>2288</v>
      </c>
      <c r="G293">
        <v>3557190000</v>
      </c>
    </row>
    <row r="294" spans="1:7">
      <c r="A294" s="16">
        <v>42487</v>
      </c>
      <c r="B294" s="17" t="s">
        <v>1371</v>
      </c>
      <c r="C294" s="17" t="s">
        <v>2289</v>
      </c>
      <c r="D294" s="17" t="s">
        <v>2290</v>
      </c>
      <c r="E294" s="17" t="s">
        <v>2291</v>
      </c>
      <c r="F294" s="17" t="s">
        <v>2291</v>
      </c>
      <c r="G294">
        <v>4100110000</v>
      </c>
    </row>
    <row r="295" spans="1:7">
      <c r="A295" s="16">
        <v>42488</v>
      </c>
      <c r="B295" s="17" t="s">
        <v>2292</v>
      </c>
      <c r="C295" s="17" t="s">
        <v>2293</v>
      </c>
      <c r="D295" s="17" t="s">
        <v>2294</v>
      </c>
      <c r="E295" s="17" t="s">
        <v>2295</v>
      </c>
      <c r="F295" s="17" t="s">
        <v>2295</v>
      </c>
      <c r="G295">
        <v>4309840000</v>
      </c>
    </row>
    <row r="296" spans="1:7">
      <c r="A296" s="16">
        <v>42489</v>
      </c>
      <c r="B296" s="17" t="s">
        <v>2296</v>
      </c>
      <c r="C296" s="17" t="s">
        <v>1952</v>
      </c>
      <c r="D296" s="17" t="s">
        <v>2297</v>
      </c>
      <c r="E296" s="17" t="s">
        <v>2298</v>
      </c>
      <c r="F296" s="17" t="s">
        <v>2298</v>
      </c>
      <c r="G296">
        <v>4704720000</v>
      </c>
    </row>
    <row r="297" spans="1:7">
      <c r="A297" s="16">
        <v>42492</v>
      </c>
      <c r="B297" s="17" t="s">
        <v>2299</v>
      </c>
      <c r="C297" s="17" t="s">
        <v>2300</v>
      </c>
      <c r="D297" s="17" t="s">
        <v>2301</v>
      </c>
      <c r="E297" s="17" t="s">
        <v>2302</v>
      </c>
      <c r="F297" s="17" t="s">
        <v>2302</v>
      </c>
      <c r="G297">
        <v>3841110000</v>
      </c>
    </row>
    <row r="298" spans="1:7">
      <c r="A298" s="16">
        <v>42493</v>
      </c>
      <c r="B298" s="17" t="s">
        <v>2303</v>
      </c>
      <c r="C298" s="17" t="s">
        <v>2303</v>
      </c>
      <c r="D298" s="17" t="s">
        <v>2304</v>
      </c>
      <c r="E298" s="17" t="s">
        <v>2305</v>
      </c>
      <c r="F298" s="17" t="s">
        <v>2305</v>
      </c>
      <c r="G298">
        <v>4173390000</v>
      </c>
    </row>
    <row r="299" spans="1:7">
      <c r="A299" s="16">
        <v>42494</v>
      </c>
      <c r="B299" s="17" t="s">
        <v>2306</v>
      </c>
      <c r="C299" s="17" t="s">
        <v>2306</v>
      </c>
      <c r="D299" s="17" t="s">
        <v>2307</v>
      </c>
      <c r="E299" s="17" t="s">
        <v>2308</v>
      </c>
      <c r="F299" s="17" t="s">
        <v>2308</v>
      </c>
      <c r="G299">
        <v>4058560000</v>
      </c>
    </row>
    <row r="300" spans="1:7">
      <c r="A300" s="16">
        <v>42495</v>
      </c>
      <c r="B300" s="17" t="s">
        <v>2309</v>
      </c>
      <c r="C300" s="17" t="s">
        <v>2310</v>
      </c>
      <c r="D300" s="17" t="s">
        <v>2311</v>
      </c>
      <c r="E300" s="17" t="s">
        <v>2312</v>
      </c>
      <c r="F300" s="17" t="s">
        <v>2312</v>
      </c>
      <c r="G300">
        <v>4008530000</v>
      </c>
    </row>
    <row r="301" spans="1:7">
      <c r="A301" s="16">
        <v>42496</v>
      </c>
      <c r="B301" s="17" t="s">
        <v>2313</v>
      </c>
      <c r="C301" s="17" t="s">
        <v>2314</v>
      </c>
      <c r="D301" s="17" t="s">
        <v>2315</v>
      </c>
      <c r="E301" s="17" t="s">
        <v>2316</v>
      </c>
      <c r="F301" s="17" t="s">
        <v>2316</v>
      </c>
      <c r="G301">
        <v>3796350000</v>
      </c>
    </row>
    <row r="302" spans="1:7">
      <c r="A302" s="16">
        <v>42499</v>
      </c>
      <c r="B302" s="17" t="s">
        <v>2317</v>
      </c>
      <c r="C302" s="17" t="s">
        <v>2318</v>
      </c>
      <c r="D302" s="17" t="s">
        <v>2319</v>
      </c>
      <c r="E302" s="17" t="s">
        <v>2320</v>
      </c>
      <c r="F302" s="17" t="s">
        <v>2320</v>
      </c>
      <c r="G302">
        <v>3788620000</v>
      </c>
    </row>
    <row r="303" spans="1:7">
      <c r="A303" s="16">
        <v>42500</v>
      </c>
      <c r="B303" s="17" t="s">
        <v>2321</v>
      </c>
      <c r="C303" s="17" t="s">
        <v>2322</v>
      </c>
      <c r="D303" s="17" t="s">
        <v>2321</v>
      </c>
      <c r="E303" s="17" t="s">
        <v>2323</v>
      </c>
      <c r="F303" s="17" t="s">
        <v>2323</v>
      </c>
      <c r="G303">
        <v>3600200000</v>
      </c>
    </row>
    <row r="304" spans="1:7">
      <c r="A304" s="16">
        <v>42501</v>
      </c>
      <c r="B304" s="17" t="s">
        <v>2324</v>
      </c>
      <c r="C304" s="17" t="s">
        <v>2324</v>
      </c>
      <c r="D304" s="17" t="s">
        <v>2325</v>
      </c>
      <c r="E304" s="17" t="s">
        <v>2325</v>
      </c>
      <c r="F304" s="17" t="s">
        <v>2325</v>
      </c>
      <c r="G304">
        <v>3821980000</v>
      </c>
    </row>
    <row r="305" spans="1:7">
      <c r="A305" s="16">
        <v>42502</v>
      </c>
      <c r="B305" s="17" t="s">
        <v>2299</v>
      </c>
      <c r="C305" s="17" t="s">
        <v>2326</v>
      </c>
      <c r="D305" s="17" t="s">
        <v>2327</v>
      </c>
      <c r="E305" s="17" t="s">
        <v>1337</v>
      </c>
      <c r="F305" s="17" t="s">
        <v>1337</v>
      </c>
      <c r="G305">
        <v>3782390000</v>
      </c>
    </row>
    <row r="306" spans="1:7">
      <c r="A306" s="16">
        <v>42503</v>
      </c>
      <c r="B306" s="17" t="s">
        <v>2232</v>
      </c>
      <c r="C306" s="17" t="s">
        <v>2328</v>
      </c>
      <c r="D306" s="17" t="s">
        <v>2329</v>
      </c>
      <c r="E306" s="17" t="s">
        <v>2330</v>
      </c>
      <c r="F306" s="17" t="s">
        <v>2330</v>
      </c>
      <c r="G306">
        <v>3579880000</v>
      </c>
    </row>
    <row r="307" spans="1:7">
      <c r="A307" s="16">
        <v>42506</v>
      </c>
      <c r="B307" s="17" t="s">
        <v>2331</v>
      </c>
      <c r="C307" s="17" t="s">
        <v>2332</v>
      </c>
      <c r="D307" s="17" t="s">
        <v>2331</v>
      </c>
      <c r="E307" s="17" t="s">
        <v>2238</v>
      </c>
      <c r="F307" s="17" t="s">
        <v>2238</v>
      </c>
      <c r="G307">
        <v>3501360000</v>
      </c>
    </row>
    <row r="308" spans="1:7">
      <c r="A308" s="16">
        <v>42507</v>
      </c>
      <c r="B308" s="17" t="s">
        <v>2333</v>
      </c>
      <c r="C308" s="17" t="s">
        <v>2334</v>
      </c>
      <c r="D308" s="17" t="s">
        <v>2335</v>
      </c>
      <c r="E308" s="17" t="s">
        <v>2336</v>
      </c>
      <c r="F308" s="17" t="s">
        <v>2336</v>
      </c>
      <c r="G308">
        <v>4108960000</v>
      </c>
    </row>
    <row r="309" spans="1:7">
      <c r="A309" s="16">
        <v>42508</v>
      </c>
      <c r="B309" s="17" t="s">
        <v>2337</v>
      </c>
      <c r="C309" s="17" t="s">
        <v>2338</v>
      </c>
      <c r="D309" s="17" t="s">
        <v>2339</v>
      </c>
      <c r="E309" s="17" t="s">
        <v>2340</v>
      </c>
      <c r="F309" s="17" t="s">
        <v>2340</v>
      </c>
      <c r="G309">
        <v>4101320000</v>
      </c>
    </row>
    <row r="310" spans="1:7">
      <c r="A310" s="16">
        <v>42509</v>
      </c>
      <c r="B310" s="17" t="s">
        <v>2341</v>
      </c>
      <c r="C310" s="17" t="s">
        <v>2341</v>
      </c>
      <c r="D310" s="17" t="s">
        <v>2342</v>
      </c>
      <c r="E310" s="17" t="s">
        <v>2343</v>
      </c>
      <c r="F310" s="17" t="s">
        <v>2343</v>
      </c>
      <c r="G310">
        <v>3846770000</v>
      </c>
    </row>
    <row r="311" spans="1:7">
      <c r="A311" s="16">
        <v>42510</v>
      </c>
      <c r="B311" s="17" t="s">
        <v>2248</v>
      </c>
      <c r="C311" s="17" t="s">
        <v>2344</v>
      </c>
      <c r="D311" s="17" t="s">
        <v>2248</v>
      </c>
      <c r="E311" s="17" t="s">
        <v>1953</v>
      </c>
      <c r="F311" s="17" t="s">
        <v>1953</v>
      </c>
      <c r="G311">
        <v>3507650000</v>
      </c>
    </row>
    <row r="312" spans="1:7">
      <c r="A312" s="16">
        <v>42513</v>
      </c>
      <c r="B312" s="17" t="s">
        <v>1962</v>
      </c>
      <c r="C312" s="17" t="s">
        <v>2345</v>
      </c>
      <c r="D312" s="17" t="s">
        <v>2346</v>
      </c>
      <c r="E312" s="17" t="s">
        <v>2347</v>
      </c>
      <c r="F312" s="17" t="s">
        <v>2347</v>
      </c>
      <c r="G312">
        <v>3055480000</v>
      </c>
    </row>
    <row r="313" spans="1:7">
      <c r="A313" s="16">
        <v>42514</v>
      </c>
      <c r="B313" s="17" t="s">
        <v>2348</v>
      </c>
      <c r="C313" s="17" t="s">
        <v>2349</v>
      </c>
      <c r="D313" s="17" t="s">
        <v>2348</v>
      </c>
      <c r="E313" s="17" t="s">
        <v>2350</v>
      </c>
      <c r="F313" s="17" t="s">
        <v>2350</v>
      </c>
      <c r="G313">
        <v>3627340000</v>
      </c>
    </row>
    <row r="314" spans="1:7">
      <c r="A314" s="16">
        <v>42515</v>
      </c>
      <c r="B314" s="17" t="s">
        <v>2351</v>
      </c>
      <c r="C314" s="17" t="s">
        <v>2352</v>
      </c>
      <c r="D314" s="17" t="s">
        <v>2351</v>
      </c>
      <c r="E314" s="17" t="s">
        <v>2353</v>
      </c>
      <c r="F314" s="17" t="s">
        <v>2353</v>
      </c>
      <c r="G314">
        <v>3859160000</v>
      </c>
    </row>
    <row r="315" spans="1:7">
      <c r="A315" s="16">
        <v>42516</v>
      </c>
      <c r="B315" s="17" t="s">
        <v>2354</v>
      </c>
      <c r="C315" s="17" t="s">
        <v>2355</v>
      </c>
      <c r="D315" s="17" t="s">
        <v>2356</v>
      </c>
      <c r="E315" s="17" t="s">
        <v>2357</v>
      </c>
      <c r="F315" s="17" t="s">
        <v>2357</v>
      </c>
      <c r="G315">
        <v>3230990000</v>
      </c>
    </row>
    <row r="316" spans="1:7">
      <c r="A316" s="16">
        <v>42517</v>
      </c>
      <c r="B316" s="17" t="s">
        <v>2358</v>
      </c>
      <c r="C316" s="17" t="s">
        <v>2359</v>
      </c>
      <c r="D316" s="17" t="s">
        <v>2358</v>
      </c>
      <c r="E316" s="17" t="s">
        <v>2359</v>
      </c>
      <c r="F316" s="17" t="s">
        <v>2359</v>
      </c>
      <c r="G316">
        <v>3079150000</v>
      </c>
    </row>
    <row r="317" spans="1:7">
      <c r="A317" s="16">
        <v>42521</v>
      </c>
      <c r="B317" s="17" t="s">
        <v>2360</v>
      </c>
      <c r="C317" s="17" t="s">
        <v>2361</v>
      </c>
      <c r="D317" s="17" t="s">
        <v>2362</v>
      </c>
      <c r="E317" s="17" t="s">
        <v>2363</v>
      </c>
      <c r="F317" s="17" t="s">
        <v>2363</v>
      </c>
      <c r="G317">
        <v>4514410000</v>
      </c>
    </row>
    <row r="318" spans="1:7">
      <c r="A318" s="16">
        <v>42522</v>
      </c>
      <c r="B318" s="17" t="s">
        <v>2364</v>
      </c>
      <c r="C318" s="17" t="s">
        <v>2365</v>
      </c>
      <c r="D318" s="17" t="s">
        <v>2366</v>
      </c>
      <c r="E318" s="17" t="s">
        <v>2367</v>
      </c>
      <c r="F318" s="17" t="s">
        <v>2367</v>
      </c>
      <c r="G318">
        <v>3525170000</v>
      </c>
    </row>
    <row r="319" spans="1:7">
      <c r="A319" s="16">
        <v>42523</v>
      </c>
      <c r="B319" s="17" t="s">
        <v>2368</v>
      </c>
      <c r="C319" s="17" t="s">
        <v>2369</v>
      </c>
      <c r="D319" s="17" t="s">
        <v>2370</v>
      </c>
      <c r="E319" s="17" t="s">
        <v>2369</v>
      </c>
      <c r="F319" s="17" t="s">
        <v>2369</v>
      </c>
      <c r="G319">
        <v>3632720000</v>
      </c>
    </row>
    <row r="320" spans="1:7">
      <c r="A320" s="16">
        <v>42524</v>
      </c>
      <c r="B320" s="17" t="s">
        <v>2371</v>
      </c>
      <c r="C320" s="17" t="s">
        <v>2371</v>
      </c>
      <c r="D320" s="17" t="s">
        <v>2372</v>
      </c>
      <c r="E320" s="17" t="s">
        <v>2373</v>
      </c>
      <c r="F320" s="17" t="s">
        <v>2373</v>
      </c>
      <c r="G320">
        <v>3627780000</v>
      </c>
    </row>
    <row r="321" spans="1:7">
      <c r="A321" s="16">
        <v>42527</v>
      </c>
      <c r="B321" s="17" t="s">
        <v>2374</v>
      </c>
      <c r="C321" s="17" t="s">
        <v>2375</v>
      </c>
      <c r="D321" s="17" t="s">
        <v>2374</v>
      </c>
      <c r="E321" s="17" t="s">
        <v>2376</v>
      </c>
      <c r="F321" s="17" t="s">
        <v>2376</v>
      </c>
      <c r="G321">
        <v>3442020000</v>
      </c>
    </row>
    <row r="322" spans="1:7">
      <c r="A322" s="16">
        <v>42528</v>
      </c>
      <c r="B322" s="17" t="s">
        <v>2377</v>
      </c>
      <c r="C322" s="17" t="s">
        <v>2378</v>
      </c>
      <c r="D322" s="17" t="s">
        <v>2377</v>
      </c>
      <c r="E322" s="17" t="s">
        <v>2379</v>
      </c>
      <c r="F322" s="17" t="s">
        <v>2379</v>
      </c>
      <c r="G322">
        <v>3534730000</v>
      </c>
    </row>
    <row r="323" spans="1:7">
      <c r="A323" s="16">
        <v>42529</v>
      </c>
      <c r="B323" s="17" t="s">
        <v>2380</v>
      </c>
      <c r="C323" s="17" t="s">
        <v>2381</v>
      </c>
      <c r="D323" s="17" t="s">
        <v>2380</v>
      </c>
      <c r="E323" s="17" t="s">
        <v>2382</v>
      </c>
      <c r="F323" s="17" t="s">
        <v>2382</v>
      </c>
      <c r="G323">
        <v>3562060000</v>
      </c>
    </row>
    <row r="324" spans="1:7">
      <c r="A324" s="16">
        <v>42530</v>
      </c>
      <c r="B324" s="17" t="s">
        <v>2383</v>
      </c>
      <c r="C324" s="17" t="s">
        <v>2384</v>
      </c>
      <c r="D324" s="17" t="s">
        <v>2385</v>
      </c>
      <c r="E324" s="17" t="s">
        <v>2386</v>
      </c>
      <c r="F324" s="17" t="s">
        <v>2386</v>
      </c>
      <c r="G324">
        <v>3290320000</v>
      </c>
    </row>
    <row r="325" spans="1:7">
      <c r="A325" s="16">
        <v>42531</v>
      </c>
      <c r="B325" s="17" t="s">
        <v>2387</v>
      </c>
      <c r="C325" s="17" t="s">
        <v>2387</v>
      </c>
      <c r="D325" s="17" t="s">
        <v>2388</v>
      </c>
      <c r="E325" s="17" t="s">
        <v>2389</v>
      </c>
      <c r="F325" s="17" t="s">
        <v>2389</v>
      </c>
      <c r="G325">
        <v>3515010000</v>
      </c>
    </row>
    <row r="326" spans="1:7">
      <c r="A326" s="16">
        <v>42534</v>
      </c>
      <c r="B326" s="17" t="s">
        <v>2390</v>
      </c>
      <c r="C326" s="17" t="s">
        <v>2391</v>
      </c>
      <c r="D326" s="17" t="s">
        <v>2392</v>
      </c>
      <c r="E326" s="17" t="s">
        <v>2393</v>
      </c>
      <c r="F326" s="17" t="s">
        <v>2393</v>
      </c>
      <c r="G326">
        <v>3392030000</v>
      </c>
    </row>
    <row r="327" spans="1:7">
      <c r="A327" s="16">
        <v>42535</v>
      </c>
      <c r="B327" s="17" t="s">
        <v>2394</v>
      </c>
      <c r="C327" s="17" t="s">
        <v>2395</v>
      </c>
      <c r="D327" s="17" t="s">
        <v>2396</v>
      </c>
      <c r="E327" s="17" t="s">
        <v>2397</v>
      </c>
      <c r="F327" s="17" t="s">
        <v>2397</v>
      </c>
      <c r="G327">
        <v>3759770000</v>
      </c>
    </row>
    <row r="328" spans="1:7">
      <c r="A328" s="16">
        <v>42536</v>
      </c>
      <c r="B328" s="17" t="s">
        <v>2398</v>
      </c>
      <c r="C328" s="17" t="s">
        <v>2399</v>
      </c>
      <c r="D328" s="17" t="s">
        <v>2400</v>
      </c>
      <c r="E328" s="17" t="s">
        <v>2401</v>
      </c>
      <c r="F328" s="17" t="s">
        <v>2401</v>
      </c>
      <c r="G328">
        <v>3544720000</v>
      </c>
    </row>
    <row r="329" spans="1:7">
      <c r="A329" s="16">
        <v>42537</v>
      </c>
      <c r="B329" s="17" t="s">
        <v>2402</v>
      </c>
      <c r="C329" s="17" t="s">
        <v>2403</v>
      </c>
      <c r="D329" s="17" t="s">
        <v>2404</v>
      </c>
      <c r="E329" s="17" t="s">
        <v>2405</v>
      </c>
      <c r="F329" s="17" t="s">
        <v>2405</v>
      </c>
      <c r="G329">
        <v>3628280000</v>
      </c>
    </row>
    <row r="330" spans="1:7">
      <c r="A330" s="16">
        <v>42538</v>
      </c>
      <c r="B330" s="17" t="s">
        <v>2406</v>
      </c>
      <c r="C330" s="17" t="s">
        <v>2406</v>
      </c>
      <c r="D330" s="17" t="s">
        <v>2407</v>
      </c>
      <c r="E330" s="17" t="s">
        <v>2408</v>
      </c>
      <c r="F330" s="17" t="s">
        <v>2408</v>
      </c>
      <c r="G330">
        <v>4952630000</v>
      </c>
    </row>
    <row r="331" spans="1:7">
      <c r="A331" s="16">
        <v>42541</v>
      </c>
      <c r="B331" s="17" t="s">
        <v>2409</v>
      </c>
      <c r="C331" s="17" t="s">
        <v>2410</v>
      </c>
      <c r="D331" s="17" t="s">
        <v>2409</v>
      </c>
      <c r="E331" s="17" t="s">
        <v>2411</v>
      </c>
      <c r="F331" s="17" t="s">
        <v>2411</v>
      </c>
      <c r="G331">
        <v>3467440000</v>
      </c>
    </row>
    <row r="332" spans="1:7">
      <c r="A332" s="16">
        <v>42542</v>
      </c>
      <c r="B332" s="17" t="s">
        <v>2412</v>
      </c>
      <c r="C332" s="17" t="s">
        <v>2413</v>
      </c>
      <c r="D332" s="17" t="s">
        <v>2414</v>
      </c>
      <c r="E332" s="17" t="s">
        <v>2415</v>
      </c>
      <c r="F332" s="17" t="s">
        <v>2415</v>
      </c>
      <c r="G332">
        <v>3232880000</v>
      </c>
    </row>
    <row r="333" spans="1:7">
      <c r="A333" s="16">
        <v>42543</v>
      </c>
      <c r="B333" s="17" t="s">
        <v>2416</v>
      </c>
      <c r="C333" s="17" t="s">
        <v>2417</v>
      </c>
      <c r="D333" s="17" t="s">
        <v>2418</v>
      </c>
      <c r="E333" s="17" t="s">
        <v>2419</v>
      </c>
      <c r="F333" s="17" t="s">
        <v>2419</v>
      </c>
      <c r="G333">
        <v>3168160000</v>
      </c>
    </row>
    <row r="334" spans="1:7">
      <c r="A334" s="16">
        <v>42544</v>
      </c>
      <c r="B334" s="17" t="s">
        <v>2420</v>
      </c>
      <c r="C334" s="17" t="s">
        <v>2421</v>
      </c>
      <c r="D334" s="17" t="s">
        <v>2420</v>
      </c>
      <c r="E334" s="17" t="s">
        <v>2421</v>
      </c>
      <c r="F334" s="17" t="s">
        <v>2421</v>
      </c>
      <c r="G334">
        <v>3297940000</v>
      </c>
    </row>
    <row r="335" spans="1:7">
      <c r="A335" s="16">
        <v>42545</v>
      </c>
      <c r="B335" s="17" t="s">
        <v>2422</v>
      </c>
      <c r="C335" s="17" t="s">
        <v>2422</v>
      </c>
      <c r="D335" s="17" t="s">
        <v>2423</v>
      </c>
      <c r="E335" s="17" t="s">
        <v>2424</v>
      </c>
      <c r="F335" s="17" t="s">
        <v>2424</v>
      </c>
      <c r="G335">
        <v>7597450000</v>
      </c>
    </row>
    <row r="336" spans="1:7">
      <c r="A336" s="16">
        <v>42548</v>
      </c>
      <c r="B336" s="17" t="s">
        <v>2425</v>
      </c>
      <c r="C336" s="17" t="s">
        <v>2425</v>
      </c>
      <c r="D336" s="17" t="s">
        <v>2426</v>
      </c>
      <c r="E336" s="17" t="s">
        <v>2427</v>
      </c>
      <c r="F336" s="17" t="s">
        <v>2427</v>
      </c>
      <c r="G336">
        <v>5431220000</v>
      </c>
    </row>
    <row r="337" spans="1:7">
      <c r="A337" s="16">
        <v>42549</v>
      </c>
      <c r="B337" s="17" t="s">
        <v>2428</v>
      </c>
      <c r="C337" s="17" t="s">
        <v>2429</v>
      </c>
      <c r="D337" s="17" t="s">
        <v>2428</v>
      </c>
      <c r="E337" s="17" t="s">
        <v>2429</v>
      </c>
      <c r="F337" s="17" t="s">
        <v>2429</v>
      </c>
      <c r="G337">
        <v>4385810000</v>
      </c>
    </row>
    <row r="338" spans="1:7">
      <c r="A338" s="16">
        <v>42550</v>
      </c>
      <c r="B338" s="17" t="s">
        <v>2430</v>
      </c>
      <c r="C338" s="17" t="s">
        <v>2431</v>
      </c>
      <c r="D338" s="17" t="s">
        <v>2430</v>
      </c>
      <c r="E338" s="17" t="s">
        <v>2432</v>
      </c>
      <c r="F338" s="17" t="s">
        <v>2432</v>
      </c>
      <c r="G338">
        <v>4241740000</v>
      </c>
    </row>
    <row r="339" spans="1:7">
      <c r="A339" s="16">
        <v>42551</v>
      </c>
      <c r="B339" s="17" t="s">
        <v>2433</v>
      </c>
      <c r="C339" s="17" t="s">
        <v>2434</v>
      </c>
      <c r="D339" s="17" t="s">
        <v>2435</v>
      </c>
      <c r="E339" s="17" t="s">
        <v>2436</v>
      </c>
      <c r="F339" s="17" t="s">
        <v>2436</v>
      </c>
      <c r="G339">
        <v>4622820000</v>
      </c>
    </row>
    <row r="340" spans="1:7">
      <c r="A340" s="16">
        <v>42552</v>
      </c>
      <c r="B340" s="17" t="s">
        <v>2437</v>
      </c>
      <c r="C340" s="17" t="s">
        <v>2438</v>
      </c>
      <c r="D340" s="17" t="s">
        <v>2439</v>
      </c>
      <c r="E340" s="17" t="s">
        <v>2440</v>
      </c>
      <c r="F340" s="17" t="s">
        <v>2440</v>
      </c>
      <c r="G340">
        <v>3458890000</v>
      </c>
    </row>
    <row r="341" spans="1:7">
      <c r="A341" s="16">
        <v>42556</v>
      </c>
      <c r="B341" s="17" t="s">
        <v>2441</v>
      </c>
      <c r="C341" s="17" t="s">
        <v>2441</v>
      </c>
      <c r="D341" s="17" t="s">
        <v>2442</v>
      </c>
      <c r="E341" s="17" t="s">
        <v>2443</v>
      </c>
      <c r="F341" s="17" t="s">
        <v>2443</v>
      </c>
      <c r="G341">
        <v>3658380000</v>
      </c>
    </row>
    <row r="342" spans="1:7">
      <c r="A342" s="16">
        <v>42557</v>
      </c>
      <c r="B342" s="17" t="s">
        <v>1525</v>
      </c>
      <c r="C342" s="17" t="s">
        <v>2444</v>
      </c>
      <c r="D342" s="17" t="s">
        <v>2229</v>
      </c>
      <c r="E342" s="17" t="s">
        <v>2445</v>
      </c>
      <c r="F342" s="17" t="s">
        <v>2445</v>
      </c>
      <c r="G342">
        <v>3909380000</v>
      </c>
    </row>
    <row r="343" spans="1:7">
      <c r="A343" s="16">
        <v>42558</v>
      </c>
      <c r="B343" s="17" t="s">
        <v>2446</v>
      </c>
      <c r="C343" s="17" t="s">
        <v>2447</v>
      </c>
      <c r="D343" s="17" t="s">
        <v>2448</v>
      </c>
      <c r="E343" s="17" t="s">
        <v>2439</v>
      </c>
      <c r="F343" s="17" t="s">
        <v>2439</v>
      </c>
      <c r="G343">
        <v>3604550000</v>
      </c>
    </row>
    <row r="344" spans="1:7">
      <c r="A344" s="16">
        <v>42559</v>
      </c>
      <c r="B344" s="17" t="s">
        <v>2449</v>
      </c>
      <c r="C344" s="17" t="s">
        <v>2450</v>
      </c>
      <c r="D344" s="17" t="s">
        <v>2449</v>
      </c>
      <c r="E344" s="17" t="s">
        <v>2451</v>
      </c>
      <c r="F344" s="17" t="s">
        <v>2451</v>
      </c>
      <c r="G344">
        <v>3607500000</v>
      </c>
    </row>
    <row r="345" spans="1:7">
      <c r="A345" s="16">
        <v>42562</v>
      </c>
      <c r="B345" s="17" t="s">
        <v>2452</v>
      </c>
      <c r="C345" s="17" t="s">
        <v>2453</v>
      </c>
      <c r="D345" s="17" t="s">
        <v>2452</v>
      </c>
      <c r="E345" s="17" t="s">
        <v>2454</v>
      </c>
      <c r="F345" s="17" t="s">
        <v>2454</v>
      </c>
      <c r="G345">
        <v>3253340000</v>
      </c>
    </row>
    <row r="346" spans="1:7">
      <c r="A346" s="16">
        <v>42563</v>
      </c>
      <c r="B346" s="17" t="s">
        <v>2455</v>
      </c>
      <c r="C346" s="17" t="s">
        <v>2456</v>
      </c>
      <c r="D346" s="17" t="s">
        <v>2455</v>
      </c>
      <c r="E346" s="17" t="s">
        <v>2457</v>
      </c>
      <c r="F346" s="17" t="s">
        <v>2457</v>
      </c>
      <c r="G346">
        <v>4097820000</v>
      </c>
    </row>
    <row r="347" spans="1:7">
      <c r="A347" s="16">
        <v>42564</v>
      </c>
      <c r="B347" s="17" t="s">
        <v>2458</v>
      </c>
      <c r="C347" s="17" t="s">
        <v>2459</v>
      </c>
      <c r="D347" s="17" t="s">
        <v>2460</v>
      </c>
      <c r="E347" s="17" t="s">
        <v>2461</v>
      </c>
      <c r="F347" s="17" t="s">
        <v>2461</v>
      </c>
      <c r="G347">
        <v>3502320000</v>
      </c>
    </row>
    <row r="348" spans="1:7">
      <c r="A348" s="16">
        <v>42565</v>
      </c>
      <c r="B348" s="17" t="s">
        <v>2462</v>
      </c>
      <c r="C348" s="17" t="s">
        <v>2463</v>
      </c>
      <c r="D348" s="17" t="s">
        <v>2462</v>
      </c>
      <c r="E348" s="17" t="s">
        <v>2464</v>
      </c>
      <c r="F348" s="17" t="s">
        <v>2464</v>
      </c>
      <c r="G348">
        <v>3465610000</v>
      </c>
    </row>
    <row r="349" spans="1:7">
      <c r="A349" s="16">
        <v>42566</v>
      </c>
      <c r="B349" s="17" t="s">
        <v>2465</v>
      </c>
      <c r="C349" s="17" t="s">
        <v>2466</v>
      </c>
      <c r="D349" s="17" t="s">
        <v>2467</v>
      </c>
      <c r="E349" s="17" t="s">
        <v>2468</v>
      </c>
      <c r="F349" s="17" t="s">
        <v>2468</v>
      </c>
      <c r="G349">
        <v>3122600000</v>
      </c>
    </row>
    <row r="350" spans="1:7">
      <c r="A350" s="16">
        <v>42569</v>
      </c>
      <c r="B350" s="17" t="s">
        <v>2469</v>
      </c>
      <c r="C350" s="17" t="s">
        <v>2470</v>
      </c>
      <c r="D350" s="17" t="s">
        <v>2471</v>
      </c>
      <c r="E350" s="17" t="s">
        <v>2472</v>
      </c>
      <c r="F350" s="17" t="s">
        <v>2472</v>
      </c>
      <c r="G350">
        <v>3009310000</v>
      </c>
    </row>
    <row r="351" spans="1:7">
      <c r="A351" s="16">
        <v>42570</v>
      </c>
      <c r="B351" s="17" t="s">
        <v>2473</v>
      </c>
      <c r="C351" s="17" t="s">
        <v>2474</v>
      </c>
      <c r="D351" s="17" t="s">
        <v>2475</v>
      </c>
      <c r="E351" s="17" t="s">
        <v>2476</v>
      </c>
      <c r="F351" s="17" t="s">
        <v>2476</v>
      </c>
      <c r="G351">
        <v>2968340000</v>
      </c>
    </row>
    <row r="352" spans="1:7">
      <c r="A352" s="16">
        <v>42571</v>
      </c>
      <c r="B352" s="17" t="s">
        <v>2477</v>
      </c>
      <c r="C352" s="17" t="s">
        <v>2478</v>
      </c>
      <c r="D352" s="17" t="s">
        <v>2479</v>
      </c>
      <c r="E352" s="17" t="s">
        <v>2480</v>
      </c>
      <c r="F352" s="17" t="s">
        <v>2480</v>
      </c>
      <c r="G352">
        <v>3211860000</v>
      </c>
    </row>
    <row r="353" spans="1:7">
      <c r="A353" s="16">
        <v>42572</v>
      </c>
      <c r="B353" s="17" t="s">
        <v>2481</v>
      </c>
      <c r="C353" s="17" t="s">
        <v>2482</v>
      </c>
      <c r="D353" s="17" t="s">
        <v>2483</v>
      </c>
      <c r="E353" s="17" t="s">
        <v>2484</v>
      </c>
      <c r="F353" s="17" t="s">
        <v>2484</v>
      </c>
      <c r="G353">
        <v>3438900000</v>
      </c>
    </row>
    <row r="354" spans="1:7">
      <c r="A354" s="16">
        <v>42573</v>
      </c>
      <c r="B354" s="17" t="s">
        <v>2485</v>
      </c>
      <c r="C354" s="17" t="s">
        <v>2486</v>
      </c>
      <c r="D354" s="17" t="s">
        <v>2487</v>
      </c>
      <c r="E354" s="17" t="s">
        <v>2488</v>
      </c>
      <c r="F354" s="17" t="s">
        <v>2488</v>
      </c>
      <c r="G354">
        <v>3023280000</v>
      </c>
    </row>
    <row r="355" spans="1:7">
      <c r="A355" s="16">
        <v>42576</v>
      </c>
      <c r="B355" s="17" t="s">
        <v>2489</v>
      </c>
      <c r="C355" s="17" t="s">
        <v>2489</v>
      </c>
      <c r="D355" s="17" t="s">
        <v>2490</v>
      </c>
      <c r="E355" s="17" t="s">
        <v>2491</v>
      </c>
      <c r="F355" s="17" t="s">
        <v>2491</v>
      </c>
      <c r="G355">
        <v>3057240000</v>
      </c>
    </row>
    <row r="356" spans="1:7">
      <c r="A356" s="16">
        <v>42577</v>
      </c>
      <c r="B356" s="17" t="s">
        <v>2492</v>
      </c>
      <c r="C356" s="17" t="s">
        <v>2493</v>
      </c>
      <c r="D356" s="17" t="s">
        <v>2494</v>
      </c>
      <c r="E356" s="17" t="s">
        <v>2495</v>
      </c>
      <c r="F356" s="17" t="s">
        <v>2495</v>
      </c>
      <c r="G356">
        <v>3442350000</v>
      </c>
    </row>
    <row r="357" spans="1:7">
      <c r="A357" s="16">
        <v>42578</v>
      </c>
      <c r="B357" s="17" t="s">
        <v>2496</v>
      </c>
      <c r="C357" s="17" t="s">
        <v>2497</v>
      </c>
      <c r="D357" s="17" t="s">
        <v>2498</v>
      </c>
      <c r="E357" s="17" t="s">
        <v>2499</v>
      </c>
      <c r="F357" s="17" t="s">
        <v>2499</v>
      </c>
      <c r="G357">
        <v>3995500000</v>
      </c>
    </row>
    <row r="358" spans="1:7">
      <c r="A358" s="16">
        <v>42579</v>
      </c>
      <c r="B358" s="17" t="s">
        <v>2500</v>
      </c>
      <c r="C358" s="17" t="s">
        <v>2501</v>
      </c>
      <c r="D358" s="17" t="s">
        <v>2502</v>
      </c>
      <c r="E358" s="17" t="s">
        <v>2503</v>
      </c>
      <c r="F358" s="17" t="s">
        <v>2503</v>
      </c>
      <c r="G358">
        <v>3664240000</v>
      </c>
    </row>
    <row r="359" spans="1:7">
      <c r="A359" s="16">
        <v>42580</v>
      </c>
      <c r="B359" s="17" t="s">
        <v>2504</v>
      </c>
      <c r="C359" s="17" t="s">
        <v>2505</v>
      </c>
      <c r="D359" s="17" t="s">
        <v>2506</v>
      </c>
      <c r="E359" s="17" t="s">
        <v>2507</v>
      </c>
      <c r="F359" s="17" t="s">
        <v>2507</v>
      </c>
      <c r="G359">
        <v>4038840000</v>
      </c>
    </row>
    <row r="360" spans="1:7">
      <c r="A360" s="16">
        <v>42583</v>
      </c>
      <c r="B360" s="17" t="s">
        <v>2508</v>
      </c>
      <c r="C360" s="17" t="s">
        <v>2509</v>
      </c>
      <c r="D360" s="17" t="s">
        <v>2510</v>
      </c>
      <c r="E360" s="17" t="s">
        <v>2511</v>
      </c>
      <c r="F360" s="17" t="s">
        <v>2511</v>
      </c>
      <c r="G360">
        <v>3505990000</v>
      </c>
    </row>
    <row r="361" spans="1:7">
      <c r="A361" s="16">
        <v>42584</v>
      </c>
      <c r="B361" s="17" t="s">
        <v>2512</v>
      </c>
      <c r="C361" s="17" t="s">
        <v>2513</v>
      </c>
      <c r="D361" s="17" t="s">
        <v>2514</v>
      </c>
      <c r="E361" s="17" t="s">
        <v>2515</v>
      </c>
      <c r="F361" s="17" t="s">
        <v>2515</v>
      </c>
      <c r="G361">
        <v>3848750000</v>
      </c>
    </row>
    <row r="362" spans="1:7">
      <c r="A362" s="16">
        <v>42585</v>
      </c>
      <c r="B362" s="17" t="s">
        <v>2516</v>
      </c>
      <c r="C362" s="17" t="s">
        <v>2473</v>
      </c>
      <c r="D362" s="17" t="s">
        <v>2517</v>
      </c>
      <c r="E362" s="17" t="s">
        <v>2473</v>
      </c>
      <c r="F362" s="17" t="s">
        <v>2473</v>
      </c>
      <c r="G362">
        <v>3786530000</v>
      </c>
    </row>
    <row r="363" spans="1:7">
      <c r="A363" s="16">
        <v>42586</v>
      </c>
      <c r="B363" s="17" t="s">
        <v>2518</v>
      </c>
      <c r="C363" s="17" t="s">
        <v>2519</v>
      </c>
      <c r="D363" s="17" t="s">
        <v>2498</v>
      </c>
      <c r="E363" s="17" t="s">
        <v>2520</v>
      </c>
      <c r="F363" s="17" t="s">
        <v>2520</v>
      </c>
      <c r="G363">
        <v>3709200000</v>
      </c>
    </row>
    <row r="364" spans="1:7">
      <c r="A364" s="16">
        <v>42587</v>
      </c>
      <c r="B364" s="17" t="s">
        <v>2521</v>
      </c>
      <c r="C364" s="17" t="s">
        <v>2522</v>
      </c>
      <c r="D364" s="17" t="s">
        <v>2521</v>
      </c>
      <c r="E364" s="17" t="s">
        <v>2522</v>
      </c>
      <c r="F364" s="17" t="s">
        <v>2522</v>
      </c>
      <c r="G364">
        <v>3663070000</v>
      </c>
    </row>
    <row r="365" spans="1:7">
      <c r="A365" s="16">
        <v>42590</v>
      </c>
      <c r="B365" s="17" t="s">
        <v>2523</v>
      </c>
      <c r="C365" s="17" t="s">
        <v>2524</v>
      </c>
      <c r="D365" s="17" t="s">
        <v>2525</v>
      </c>
      <c r="E365" s="17" t="s">
        <v>2526</v>
      </c>
      <c r="F365" s="17" t="s">
        <v>2526</v>
      </c>
      <c r="G365">
        <v>3327550000</v>
      </c>
    </row>
    <row r="366" spans="1:7">
      <c r="A366" s="16">
        <v>42591</v>
      </c>
      <c r="B366" s="17" t="s">
        <v>2527</v>
      </c>
      <c r="C366" s="17" t="s">
        <v>2528</v>
      </c>
      <c r="D366" s="17" t="s">
        <v>2529</v>
      </c>
      <c r="E366" s="17" t="s">
        <v>2530</v>
      </c>
      <c r="F366" s="17" t="s">
        <v>2530</v>
      </c>
      <c r="G366">
        <v>3334300000</v>
      </c>
    </row>
    <row r="367" spans="1:7">
      <c r="A367" s="16">
        <v>42592</v>
      </c>
      <c r="B367" s="17" t="s">
        <v>2531</v>
      </c>
      <c r="C367" s="17" t="s">
        <v>2532</v>
      </c>
      <c r="D367" s="17" t="s">
        <v>2533</v>
      </c>
      <c r="E367" s="17" t="s">
        <v>2534</v>
      </c>
      <c r="F367" s="17" t="s">
        <v>2534</v>
      </c>
      <c r="G367">
        <v>3254950000</v>
      </c>
    </row>
    <row r="368" spans="1:7">
      <c r="A368" s="16">
        <v>42593</v>
      </c>
      <c r="B368" s="17" t="s">
        <v>2535</v>
      </c>
      <c r="C368" s="17" t="s">
        <v>2536</v>
      </c>
      <c r="D368" s="17" t="s">
        <v>2535</v>
      </c>
      <c r="E368" s="17" t="s">
        <v>2537</v>
      </c>
      <c r="F368" s="17" t="s">
        <v>2537</v>
      </c>
      <c r="G368">
        <v>3423160000</v>
      </c>
    </row>
    <row r="369" spans="1:7">
      <c r="A369" s="16">
        <v>42594</v>
      </c>
      <c r="B369" s="17" t="s">
        <v>2538</v>
      </c>
      <c r="C369" s="17" t="s">
        <v>2539</v>
      </c>
      <c r="D369" s="17" t="s">
        <v>2540</v>
      </c>
      <c r="E369" s="17" t="s">
        <v>2541</v>
      </c>
      <c r="F369" s="17" t="s">
        <v>2541</v>
      </c>
      <c r="G369">
        <v>3000660000</v>
      </c>
    </row>
    <row r="370" spans="1:7">
      <c r="A370" s="16">
        <v>42597</v>
      </c>
      <c r="B370" s="17" t="s">
        <v>2542</v>
      </c>
      <c r="C370" s="17" t="s">
        <v>2543</v>
      </c>
      <c r="D370" s="17" t="s">
        <v>2542</v>
      </c>
      <c r="E370" s="17" t="s">
        <v>2544</v>
      </c>
      <c r="F370" s="17" t="s">
        <v>2544</v>
      </c>
      <c r="G370">
        <v>3078530000</v>
      </c>
    </row>
    <row r="371" spans="1:7">
      <c r="A371" s="16">
        <v>42598</v>
      </c>
      <c r="B371" s="17" t="s">
        <v>2545</v>
      </c>
      <c r="C371" s="17" t="s">
        <v>2545</v>
      </c>
      <c r="D371" s="17" t="s">
        <v>2546</v>
      </c>
      <c r="E371" s="17" t="s">
        <v>2547</v>
      </c>
      <c r="F371" s="17" t="s">
        <v>2547</v>
      </c>
      <c r="G371">
        <v>3196400000</v>
      </c>
    </row>
    <row r="372" spans="1:7">
      <c r="A372" s="16">
        <v>42599</v>
      </c>
      <c r="B372" s="17" t="s">
        <v>2548</v>
      </c>
      <c r="C372" s="17" t="s">
        <v>2549</v>
      </c>
      <c r="D372" s="17" t="s">
        <v>2550</v>
      </c>
      <c r="E372" s="17" t="s">
        <v>2551</v>
      </c>
      <c r="F372" s="17" t="s">
        <v>2551</v>
      </c>
      <c r="G372">
        <v>3388910000</v>
      </c>
    </row>
    <row r="373" spans="1:7">
      <c r="A373" s="16">
        <v>42600</v>
      </c>
      <c r="B373" s="17" t="s">
        <v>2552</v>
      </c>
      <c r="C373" s="17" t="s">
        <v>2553</v>
      </c>
      <c r="D373" s="17" t="s">
        <v>2554</v>
      </c>
      <c r="E373" s="17" t="s">
        <v>2555</v>
      </c>
      <c r="F373" s="17" t="s">
        <v>2555</v>
      </c>
      <c r="G373">
        <v>3300570000</v>
      </c>
    </row>
    <row r="374" spans="1:7">
      <c r="A374" s="16">
        <v>42601</v>
      </c>
      <c r="B374" s="17" t="s">
        <v>2556</v>
      </c>
      <c r="C374" s="17" t="s">
        <v>2557</v>
      </c>
      <c r="D374" s="17" t="s">
        <v>2558</v>
      </c>
      <c r="E374" s="17" t="s">
        <v>2559</v>
      </c>
      <c r="F374" s="17" t="s">
        <v>2559</v>
      </c>
      <c r="G374">
        <v>3084800000</v>
      </c>
    </row>
    <row r="375" spans="1:7">
      <c r="A375" s="16">
        <v>42604</v>
      </c>
      <c r="B375" s="17" t="s">
        <v>2560</v>
      </c>
      <c r="C375" s="17" t="s">
        <v>2561</v>
      </c>
      <c r="D375" s="17" t="s">
        <v>2562</v>
      </c>
      <c r="E375" s="17" t="s">
        <v>2563</v>
      </c>
      <c r="F375" s="17" t="s">
        <v>2563</v>
      </c>
      <c r="G375">
        <v>2777550000</v>
      </c>
    </row>
    <row r="376" spans="1:7">
      <c r="A376" s="16">
        <v>42605</v>
      </c>
      <c r="B376" s="17" t="s">
        <v>2564</v>
      </c>
      <c r="C376" s="17" t="s">
        <v>2565</v>
      </c>
      <c r="D376" s="17" t="s">
        <v>2566</v>
      </c>
      <c r="E376" s="17" t="s">
        <v>2567</v>
      </c>
      <c r="F376" s="17" t="s">
        <v>2567</v>
      </c>
      <c r="G376">
        <v>3041490000</v>
      </c>
    </row>
    <row r="377" spans="1:7">
      <c r="A377" s="16">
        <v>42606</v>
      </c>
      <c r="B377" s="17" t="s">
        <v>2568</v>
      </c>
      <c r="C377" s="17" t="s">
        <v>2569</v>
      </c>
      <c r="D377" s="17" t="s">
        <v>2570</v>
      </c>
      <c r="E377" s="17" t="s">
        <v>2571</v>
      </c>
      <c r="F377" s="17" t="s">
        <v>2571</v>
      </c>
      <c r="G377">
        <v>3148280000</v>
      </c>
    </row>
    <row r="378" spans="1:7">
      <c r="A378" s="16">
        <v>42607</v>
      </c>
      <c r="B378" s="17" t="s">
        <v>2572</v>
      </c>
      <c r="C378" s="17" t="s">
        <v>2573</v>
      </c>
      <c r="D378" s="17" t="s">
        <v>2574</v>
      </c>
      <c r="E378" s="17" t="s">
        <v>2575</v>
      </c>
      <c r="F378" s="17" t="s">
        <v>2575</v>
      </c>
      <c r="G378">
        <v>2969310000</v>
      </c>
    </row>
    <row r="379" spans="1:7">
      <c r="A379" s="16">
        <v>42608</v>
      </c>
      <c r="B379" s="17" t="s">
        <v>2576</v>
      </c>
      <c r="C379" s="17" t="s">
        <v>2577</v>
      </c>
      <c r="D379" s="17" t="s">
        <v>2578</v>
      </c>
      <c r="E379" s="17" t="s">
        <v>2579</v>
      </c>
      <c r="F379" s="17" t="s">
        <v>2579</v>
      </c>
      <c r="G379">
        <v>3342340000</v>
      </c>
    </row>
    <row r="380" spans="1:7">
      <c r="A380" s="16">
        <v>42611</v>
      </c>
      <c r="B380" s="17" t="s">
        <v>2580</v>
      </c>
      <c r="C380" s="17" t="s">
        <v>2581</v>
      </c>
      <c r="D380" s="17" t="s">
        <v>2580</v>
      </c>
      <c r="E380" s="17" t="s">
        <v>2582</v>
      </c>
      <c r="F380" s="17" t="s">
        <v>2582</v>
      </c>
      <c r="G380">
        <v>2654780000</v>
      </c>
    </row>
    <row r="381" spans="1:7">
      <c r="A381" s="16">
        <v>42612</v>
      </c>
      <c r="B381" s="17" t="s">
        <v>2583</v>
      </c>
      <c r="C381" s="17" t="s">
        <v>2584</v>
      </c>
      <c r="D381" s="17" t="s">
        <v>2585</v>
      </c>
      <c r="E381" s="17" t="s">
        <v>2586</v>
      </c>
      <c r="F381" s="17" t="s">
        <v>2586</v>
      </c>
      <c r="G381">
        <v>3006800000</v>
      </c>
    </row>
    <row r="382" spans="1:7">
      <c r="A382" s="16">
        <v>42613</v>
      </c>
      <c r="B382" s="17" t="s">
        <v>2587</v>
      </c>
      <c r="C382" s="17" t="s">
        <v>2588</v>
      </c>
      <c r="D382" s="17" t="s">
        <v>2589</v>
      </c>
      <c r="E382" s="17" t="s">
        <v>2590</v>
      </c>
      <c r="F382" s="17" t="s">
        <v>2590</v>
      </c>
      <c r="G382">
        <v>3766390000</v>
      </c>
    </row>
    <row r="383" spans="1:7">
      <c r="A383" s="16">
        <v>42614</v>
      </c>
      <c r="B383" s="17" t="s">
        <v>2591</v>
      </c>
      <c r="C383" s="17" t="s">
        <v>2587</v>
      </c>
      <c r="D383" s="17" t="s">
        <v>2592</v>
      </c>
      <c r="E383" s="17" t="s">
        <v>2593</v>
      </c>
      <c r="F383" s="17" t="s">
        <v>2593</v>
      </c>
      <c r="G383">
        <v>3392120000</v>
      </c>
    </row>
    <row r="384" spans="1:7">
      <c r="A384" s="16">
        <v>42615</v>
      </c>
      <c r="B384" s="17" t="s">
        <v>2594</v>
      </c>
      <c r="C384" s="17" t="s">
        <v>2595</v>
      </c>
      <c r="D384" s="17" t="s">
        <v>2596</v>
      </c>
      <c r="E384" s="17" t="s">
        <v>2597</v>
      </c>
      <c r="F384" s="17" t="s">
        <v>2597</v>
      </c>
      <c r="G384">
        <v>3091120000</v>
      </c>
    </row>
    <row r="385" spans="1:7">
      <c r="A385" s="16">
        <v>42619</v>
      </c>
      <c r="B385" s="17" t="s">
        <v>2598</v>
      </c>
      <c r="C385" s="17" t="s">
        <v>2599</v>
      </c>
      <c r="D385" s="17" t="s">
        <v>2576</v>
      </c>
      <c r="E385" s="17" t="s">
        <v>2600</v>
      </c>
      <c r="F385" s="17" t="s">
        <v>2600</v>
      </c>
      <c r="G385">
        <v>3447650000</v>
      </c>
    </row>
    <row r="386" spans="1:7">
      <c r="A386" s="16">
        <v>42620</v>
      </c>
      <c r="B386" s="17" t="s">
        <v>2601</v>
      </c>
      <c r="C386" s="17" t="s">
        <v>2602</v>
      </c>
      <c r="D386" s="17" t="s">
        <v>2603</v>
      </c>
      <c r="E386" s="17" t="s">
        <v>2604</v>
      </c>
      <c r="F386" s="17" t="s">
        <v>2604</v>
      </c>
      <c r="G386">
        <v>3319420000</v>
      </c>
    </row>
    <row r="387" spans="1:7">
      <c r="A387" s="16">
        <v>42621</v>
      </c>
      <c r="B387" s="17" t="s">
        <v>2605</v>
      </c>
      <c r="C387" s="17" t="s">
        <v>2606</v>
      </c>
      <c r="D387" s="17" t="s">
        <v>2594</v>
      </c>
      <c r="E387" s="17" t="s">
        <v>2607</v>
      </c>
      <c r="F387" s="17" t="s">
        <v>2607</v>
      </c>
      <c r="G387">
        <v>3727840000</v>
      </c>
    </row>
    <row r="388" spans="1:7">
      <c r="A388" s="16">
        <v>42622</v>
      </c>
      <c r="B388" s="17" t="s">
        <v>2608</v>
      </c>
      <c r="C388" s="17" t="s">
        <v>2608</v>
      </c>
      <c r="D388" s="17" t="s">
        <v>2609</v>
      </c>
      <c r="E388" s="17" t="s">
        <v>2609</v>
      </c>
      <c r="F388" s="17" t="s">
        <v>2609</v>
      </c>
      <c r="G388">
        <v>4233960000</v>
      </c>
    </row>
    <row r="389" spans="1:7">
      <c r="A389" s="16">
        <v>42625</v>
      </c>
      <c r="B389" s="17" t="s">
        <v>2610</v>
      </c>
      <c r="C389" s="17" t="s">
        <v>2611</v>
      </c>
      <c r="D389" s="17" t="s">
        <v>2382</v>
      </c>
      <c r="E389" s="17" t="s">
        <v>2612</v>
      </c>
      <c r="F389" s="17" t="s">
        <v>2612</v>
      </c>
      <c r="G389">
        <v>4010480000</v>
      </c>
    </row>
    <row r="390" spans="1:7">
      <c r="A390" s="16">
        <v>42626</v>
      </c>
      <c r="B390" s="17" t="s">
        <v>2613</v>
      </c>
      <c r="C390" s="17" t="s">
        <v>2613</v>
      </c>
      <c r="D390" s="17" t="s">
        <v>2614</v>
      </c>
      <c r="E390" s="17" t="s">
        <v>2615</v>
      </c>
      <c r="F390" s="17" t="s">
        <v>2615</v>
      </c>
      <c r="G390">
        <v>4141670000</v>
      </c>
    </row>
    <row r="391" spans="1:7">
      <c r="A391" s="16">
        <v>42627</v>
      </c>
      <c r="B391" s="17" t="s">
        <v>2616</v>
      </c>
      <c r="C391" s="17" t="s">
        <v>2617</v>
      </c>
      <c r="D391" s="17" t="s">
        <v>2618</v>
      </c>
      <c r="E391" s="17" t="s">
        <v>2619</v>
      </c>
      <c r="F391" s="17" t="s">
        <v>2619</v>
      </c>
      <c r="G391">
        <v>3664100000</v>
      </c>
    </row>
    <row r="392" spans="1:7">
      <c r="A392" s="16">
        <v>42628</v>
      </c>
      <c r="B392" s="17" t="s">
        <v>2620</v>
      </c>
      <c r="C392" s="17" t="s">
        <v>2621</v>
      </c>
      <c r="D392" s="17" t="s">
        <v>2622</v>
      </c>
      <c r="E392" s="17" t="s">
        <v>2623</v>
      </c>
      <c r="F392" s="17" t="s">
        <v>2623</v>
      </c>
      <c r="G392">
        <v>3373720000</v>
      </c>
    </row>
    <row r="393" spans="1:7">
      <c r="A393" s="16">
        <v>42629</v>
      </c>
      <c r="B393" s="17" t="s">
        <v>2624</v>
      </c>
      <c r="C393" s="17" t="s">
        <v>2624</v>
      </c>
      <c r="D393" s="17" t="s">
        <v>2625</v>
      </c>
      <c r="E393" s="17" t="s">
        <v>2626</v>
      </c>
      <c r="F393" s="17" t="s">
        <v>2626</v>
      </c>
      <c r="G393">
        <v>5014360000</v>
      </c>
    </row>
    <row r="394" spans="1:7">
      <c r="A394" s="16">
        <v>42632</v>
      </c>
      <c r="B394" s="17" t="s">
        <v>2627</v>
      </c>
      <c r="C394" s="17" t="s">
        <v>2628</v>
      </c>
      <c r="D394" s="17" t="s">
        <v>2629</v>
      </c>
      <c r="E394" s="17" t="s">
        <v>2630</v>
      </c>
      <c r="F394" s="17" t="s">
        <v>2630</v>
      </c>
      <c r="G394">
        <v>3163000000</v>
      </c>
    </row>
    <row r="395" spans="1:7">
      <c r="A395" s="16">
        <v>42633</v>
      </c>
      <c r="B395" s="17" t="s">
        <v>2631</v>
      </c>
      <c r="C395" s="17" t="s">
        <v>2632</v>
      </c>
      <c r="D395" s="17" t="s">
        <v>2633</v>
      </c>
      <c r="E395" s="17" t="s">
        <v>2634</v>
      </c>
      <c r="F395" s="17" t="s">
        <v>2634</v>
      </c>
      <c r="G395">
        <v>3140730000</v>
      </c>
    </row>
    <row r="396" spans="1:7">
      <c r="A396" s="16">
        <v>42634</v>
      </c>
      <c r="B396" s="17" t="s">
        <v>2635</v>
      </c>
      <c r="C396" s="17" t="s">
        <v>2636</v>
      </c>
      <c r="D396" s="17" t="s">
        <v>2637</v>
      </c>
      <c r="E396" s="17" t="s">
        <v>2638</v>
      </c>
      <c r="F396" s="17" t="s">
        <v>2638</v>
      </c>
      <c r="G396">
        <v>3712090000</v>
      </c>
    </row>
    <row r="397" spans="1:7">
      <c r="A397" s="16">
        <v>42635</v>
      </c>
      <c r="B397" s="17" t="s">
        <v>2639</v>
      </c>
      <c r="C397" s="17" t="s">
        <v>2640</v>
      </c>
      <c r="D397" s="17" t="s">
        <v>2639</v>
      </c>
      <c r="E397" s="17" t="s">
        <v>2641</v>
      </c>
      <c r="F397" s="17" t="s">
        <v>2641</v>
      </c>
      <c r="G397">
        <v>3552830000</v>
      </c>
    </row>
    <row r="398" spans="1:7">
      <c r="A398" s="16">
        <v>42636</v>
      </c>
      <c r="B398" s="17" t="s">
        <v>2572</v>
      </c>
      <c r="C398" s="17" t="s">
        <v>2642</v>
      </c>
      <c r="D398" s="17" t="s">
        <v>2643</v>
      </c>
      <c r="E398" s="17" t="s">
        <v>2644</v>
      </c>
      <c r="F398" s="17" t="s">
        <v>2644</v>
      </c>
      <c r="G398">
        <v>3317190000</v>
      </c>
    </row>
    <row r="399" spans="1:7">
      <c r="A399" s="16">
        <v>42639</v>
      </c>
      <c r="B399" s="17" t="s">
        <v>2645</v>
      </c>
      <c r="C399" s="17" t="s">
        <v>2645</v>
      </c>
      <c r="D399" s="17" t="s">
        <v>2646</v>
      </c>
      <c r="E399" s="17" t="s">
        <v>2647</v>
      </c>
      <c r="F399" s="17" t="s">
        <v>2647</v>
      </c>
      <c r="G399">
        <v>3216170000</v>
      </c>
    </row>
    <row r="400" spans="1:7">
      <c r="A400" s="16">
        <v>42640</v>
      </c>
      <c r="B400" s="17" t="s">
        <v>2648</v>
      </c>
      <c r="C400" s="17" t="s">
        <v>2649</v>
      </c>
      <c r="D400" s="17" t="s">
        <v>2650</v>
      </c>
      <c r="E400" s="17" t="s">
        <v>2651</v>
      </c>
      <c r="F400" s="17" t="s">
        <v>2651</v>
      </c>
      <c r="G400">
        <v>3437770000</v>
      </c>
    </row>
    <row r="401" spans="1:7">
      <c r="A401" s="16">
        <v>42641</v>
      </c>
      <c r="B401" s="17" t="s">
        <v>2652</v>
      </c>
      <c r="C401" s="17" t="s">
        <v>2653</v>
      </c>
      <c r="D401" s="17" t="s">
        <v>2654</v>
      </c>
      <c r="E401" s="17" t="s">
        <v>2655</v>
      </c>
      <c r="F401" s="17" t="s">
        <v>2655</v>
      </c>
      <c r="G401">
        <v>3891460000</v>
      </c>
    </row>
    <row r="402" spans="1:7">
      <c r="A402" s="16">
        <v>42642</v>
      </c>
      <c r="B402" s="17" t="s">
        <v>2656</v>
      </c>
      <c r="C402" s="17" t="s">
        <v>2657</v>
      </c>
      <c r="D402" s="17" t="s">
        <v>2658</v>
      </c>
      <c r="E402" s="17" t="s">
        <v>2659</v>
      </c>
      <c r="F402" s="17" t="s">
        <v>2659</v>
      </c>
      <c r="G402">
        <v>4249220000</v>
      </c>
    </row>
    <row r="403" spans="1:7">
      <c r="A403" s="16">
        <v>42643</v>
      </c>
      <c r="B403" s="17" t="s">
        <v>2660</v>
      </c>
      <c r="C403" s="17" t="s">
        <v>2661</v>
      </c>
      <c r="D403" s="17" t="s">
        <v>2660</v>
      </c>
      <c r="E403" s="17" t="s">
        <v>2662</v>
      </c>
      <c r="F403" s="17" t="s">
        <v>2662</v>
      </c>
      <c r="G403">
        <v>4173340000</v>
      </c>
    </row>
    <row r="404" spans="1:7">
      <c r="A404" s="16">
        <v>42646</v>
      </c>
      <c r="B404" s="17" t="s">
        <v>2663</v>
      </c>
      <c r="C404" s="17" t="s">
        <v>2664</v>
      </c>
      <c r="D404" s="17" t="s">
        <v>2665</v>
      </c>
      <c r="E404" s="17" t="s">
        <v>2666</v>
      </c>
      <c r="F404" s="17" t="s">
        <v>2666</v>
      </c>
      <c r="G404">
        <v>3137550000</v>
      </c>
    </row>
    <row r="405" spans="1:7">
      <c r="A405" s="16">
        <v>42647</v>
      </c>
      <c r="B405" s="17" t="s">
        <v>2667</v>
      </c>
      <c r="C405" s="17" t="s">
        <v>2668</v>
      </c>
      <c r="D405" s="17" t="s">
        <v>2669</v>
      </c>
      <c r="E405" s="17" t="s">
        <v>2670</v>
      </c>
      <c r="F405" s="17" t="s">
        <v>2670</v>
      </c>
      <c r="G405">
        <v>3750890000</v>
      </c>
    </row>
    <row r="406" spans="1:7">
      <c r="A406" s="16">
        <v>42648</v>
      </c>
      <c r="B406" s="17" t="s">
        <v>2671</v>
      </c>
      <c r="C406" s="17" t="s">
        <v>2672</v>
      </c>
      <c r="D406" s="17" t="s">
        <v>2671</v>
      </c>
      <c r="E406" s="17" t="s">
        <v>2673</v>
      </c>
      <c r="F406" s="17" t="s">
        <v>2673</v>
      </c>
      <c r="G406">
        <v>3906550000</v>
      </c>
    </row>
    <row r="407" spans="1:7">
      <c r="A407" s="16">
        <v>42649</v>
      </c>
      <c r="B407" s="17" t="s">
        <v>2674</v>
      </c>
      <c r="C407" s="17" t="s">
        <v>2675</v>
      </c>
      <c r="D407" s="17" t="s">
        <v>2676</v>
      </c>
      <c r="E407" s="17" t="s">
        <v>2677</v>
      </c>
      <c r="F407" s="17" t="s">
        <v>2677</v>
      </c>
      <c r="G407">
        <v>3461550000</v>
      </c>
    </row>
    <row r="408" spans="1:7">
      <c r="A408" s="16">
        <v>42650</v>
      </c>
      <c r="B408" s="17" t="s">
        <v>2678</v>
      </c>
      <c r="C408" s="17" t="s">
        <v>2679</v>
      </c>
      <c r="D408" s="17" t="s">
        <v>2680</v>
      </c>
      <c r="E408" s="17" t="s">
        <v>2681</v>
      </c>
      <c r="F408" s="17" t="s">
        <v>2681</v>
      </c>
      <c r="G408">
        <v>3619890000</v>
      </c>
    </row>
    <row r="409" spans="1:7">
      <c r="A409" s="16">
        <v>42653</v>
      </c>
      <c r="B409" s="17" t="s">
        <v>2578</v>
      </c>
      <c r="C409" s="17" t="s">
        <v>2682</v>
      </c>
      <c r="D409" s="17" t="s">
        <v>2578</v>
      </c>
      <c r="E409" s="17" t="s">
        <v>2683</v>
      </c>
      <c r="F409" s="17" t="s">
        <v>2683</v>
      </c>
      <c r="G409">
        <v>2916550000</v>
      </c>
    </row>
    <row r="410" spans="1:7">
      <c r="A410" s="16">
        <v>42654</v>
      </c>
      <c r="B410" s="17" t="s">
        <v>2589</v>
      </c>
      <c r="C410" s="17" t="s">
        <v>2684</v>
      </c>
      <c r="D410" s="17" t="s">
        <v>2685</v>
      </c>
      <c r="E410" s="17" t="s">
        <v>2686</v>
      </c>
      <c r="F410" s="17" t="s">
        <v>2686</v>
      </c>
      <c r="G410">
        <v>3438270000</v>
      </c>
    </row>
    <row r="411" spans="1:7">
      <c r="A411" s="16">
        <v>42655</v>
      </c>
      <c r="B411" s="17" t="s">
        <v>2687</v>
      </c>
      <c r="C411" s="17" t="s">
        <v>2688</v>
      </c>
      <c r="D411" s="17" t="s">
        <v>2689</v>
      </c>
      <c r="E411" s="17" t="s">
        <v>2690</v>
      </c>
      <c r="F411" s="17" t="s">
        <v>2690</v>
      </c>
      <c r="G411">
        <v>2977100000</v>
      </c>
    </row>
    <row r="412" spans="1:7">
      <c r="A412" s="16">
        <v>42656</v>
      </c>
      <c r="B412" s="17" t="s">
        <v>2691</v>
      </c>
      <c r="C412" s="17" t="s">
        <v>2692</v>
      </c>
      <c r="D412" s="17" t="s">
        <v>2693</v>
      </c>
      <c r="E412" s="17" t="s">
        <v>2694</v>
      </c>
      <c r="F412" s="17" t="s">
        <v>2694</v>
      </c>
      <c r="G412">
        <v>3580450000</v>
      </c>
    </row>
    <row r="413" spans="1:7">
      <c r="A413" s="16">
        <v>42657</v>
      </c>
      <c r="B413" s="17" t="s">
        <v>2695</v>
      </c>
      <c r="C413" s="17" t="s">
        <v>2696</v>
      </c>
      <c r="D413" s="17" t="s">
        <v>2697</v>
      </c>
      <c r="E413" s="17" t="s">
        <v>2697</v>
      </c>
      <c r="F413" s="17" t="s">
        <v>2697</v>
      </c>
      <c r="G413">
        <v>3228150000</v>
      </c>
    </row>
    <row r="414" spans="1:7">
      <c r="A414" s="16">
        <v>42660</v>
      </c>
      <c r="B414" s="17" t="s">
        <v>2698</v>
      </c>
      <c r="C414" s="17" t="s">
        <v>2699</v>
      </c>
      <c r="D414" s="17" t="s">
        <v>2700</v>
      </c>
      <c r="E414" s="17" t="s">
        <v>2701</v>
      </c>
      <c r="F414" s="17" t="s">
        <v>2701</v>
      </c>
      <c r="G414">
        <v>2830390000</v>
      </c>
    </row>
    <row r="415" spans="1:7">
      <c r="A415" s="16">
        <v>42661</v>
      </c>
      <c r="B415" s="17" t="s">
        <v>2702</v>
      </c>
      <c r="C415" s="17" t="s">
        <v>2703</v>
      </c>
      <c r="D415" s="17" t="s">
        <v>2704</v>
      </c>
      <c r="E415" s="17" t="s">
        <v>2705</v>
      </c>
      <c r="F415" s="17" t="s">
        <v>2705</v>
      </c>
      <c r="G415">
        <v>3170000000</v>
      </c>
    </row>
    <row r="416" spans="1:7">
      <c r="A416" s="16">
        <v>42662</v>
      </c>
      <c r="B416" s="17" t="s">
        <v>2706</v>
      </c>
      <c r="C416" s="17" t="s">
        <v>2707</v>
      </c>
      <c r="D416" s="17" t="s">
        <v>2708</v>
      </c>
      <c r="E416" s="17" t="s">
        <v>2709</v>
      </c>
      <c r="F416" s="17" t="s">
        <v>2709</v>
      </c>
      <c r="G416">
        <v>3362670000</v>
      </c>
    </row>
    <row r="417" spans="1:7">
      <c r="A417" s="16">
        <v>42663</v>
      </c>
      <c r="B417" s="17" t="s">
        <v>2710</v>
      </c>
      <c r="C417" s="17" t="s">
        <v>2711</v>
      </c>
      <c r="D417" s="17" t="s">
        <v>2712</v>
      </c>
      <c r="E417" s="17" t="s">
        <v>2713</v>
      </c>
      <c r="F417" s="17" t="s">
        <v>2713</v>
      </c>
      <c r="G417">
        <v>3337170000</v>
      </c>
    </row>
    <row r="418" spans="1:7">
      <c r="A418" s="16">
        <v>42664</v>
      </c>
      <c r="B418" s="17" t="s">
        <v>2714</v>
      </c>
      <c r="C418" s="17" t="s">
        <v>2715</v>
      </c>
      <c r="D418" s="17" t="s">
        <v>2716</v>
      </c>
      <c r="E418" s="17" t="s">
        <v>2717</v>
      </c>
      <c r="F418" s="17" t="s">
        <v>2717</v>
      </c>
      <c r="G418">
        <v>3448850000</v>
      </c>
    </row>
    <row r="419" spans="1:7">
      <c r="A419" s="16">
        <v>42667</v>
      </c>
      <c r="B419" s="17" t="s">
        <v>2718</v>
      </c>
      <c r="C419" s="17" t="s">
        <v>2719</v>
      </c>
      <c r="D419" s="17" t="s">
        <v>2720</v>
      </c>
      <c r="E419" s="17" t="s">
        <v>2721</v>
      </c>
      <c r="F419" s="17" t="s">
        <v>2721</v>
      </c>
      <c r="G419">
        <v>3357320000</v>
      </c>
    </row>
    <row r="420" spans="1:7">
      <c r="A420" s="16">
        <v>42668</v>
      </c>
      <c r="B420" s="17" t="s">
        <v>2722</v>
      </c>
      <c r="C420" s="17" t="s">
        <v>2723</v>
      </c>
      <c r="D420" s="17" t="s">
        <v>2724</v>
      </c>
      <c r="E420" s="17" t="s">
        <v>2453</v>
      </c>
      <c r="F420" s="17" t="s">
        <v>2453</v>
      </c>
      <c r="G420">
        <v>3751340000</v>
      </c>
    </row>
    <row r="421" spans="1:7">
      <c r="A421" s="16">
        <v>42669</v>
      </c>
      <c r="B421" s="17" t="s">
        <v>2725</v>
      </c>
      <c r="C421" s="17" t="s">
        <v>2726</v>
      </c>
      <c r="D421" s="17" t="s">
        <v>2727</v>
      </c>
      <c r="E421" s="17" t="s">
        <v>2714</v>
      </c>
      <c r="F421" s="17" t="s">
        <v>2714</v>
      </c>
      <c r="G421">
        <v>3775200000</v>
      </c>
    </row>
    <row r="422" spans="1:7">
      <c r="A422" s="16">
        <v>42670</v>
      </c>
      <c r="B422" s="17" t="s">
        <v>2728</v>
      </c>
      <c r="C422" s="17" t="s">
        <v>2729</v>
      </c>
      <c r="D422" s="17" t="s">
        <v>2730</v>
      </c>
      <c r="E422" s="17" t="s">
        <v>2731</v>
      </c>
      <c r="F422" s="17" t="s">
        <v>2731</v>
      </c>
      <c r="G422">
        <v>4204830000</v>
      </c>
    </row>
    <row r="423" spans="1:7">
      <c r="A423" s="16">
        <v>42671</v>
      </c>
      <c r="B423" s="17" t="s">
        <v>2732</v>
      </c>
      <c r="C423" s="17" t="s">
        <v>2733</v>
      </c>
      <c r="D423" s="17" t="s">
        <v>2734</v>
      </c>
      <c r="E423" s="17" t="s">
        <v>2735</v>
      </c>
      <c r="F423" s="17" t="s">
        <v>2735</v>
      </c>
      <c r="G423">
        <v>4019510000</v>
      </c>
    </row>
    <row r="424" spans="1:7">
      <c r="A424" s="16">
        <v>42674</v>
      </c>
      <c r="B424" s="17" t="s">
        <v>2736</v>
      </c>
      <c r="C424" s="17" t="s">
        <v>2737</v>
      </c>
      <c r="D424" s="17" t="s">
        <v>2738</v>
      </c>
      <c r="E424" s="17" t="s">
        <v>2739</v>
      </c>
      <c r="F424" s="17" t="s">
        <v>2739</v>
      </c>
      <c r="G424">
        <v>3922400000</v>
      </c>
    </row>
    <row r="425" spans="1:7">
      <c r="A425" s="16">
        <v>42675</v>
      </c>
      <c r="B425" s="17" t="s">
        <v>2740</v>
      </c>
      <c r="C425" s="17" t="s">
        <v>2741</v>
      </c>
      <c r="D425" s="17" t="s">
        <v>2742</v>
      </c>
      <c r="E425" s="17" t="s">
        <v>2743</v>
      </c>
      <c r="F425" s="17" t="s">
        <v>2743</v>
      </c>
      <c r="G425">
        <v>4532160000</v>
      </c>
    </row>
    <row r="426" spans="1:7">
      <c r="A426" s="16">
        <v>42676</v>
      </c>
      <c r="B426" s="17" t="s">
        <v>2744</v>
      </c>
      <c r="C426" s="17" t="s">
        <v>2745</v>
      </c>
      <c r="D426" s="17" t="s">
        <v>2746</v>
      </c>
      <c r="E426" s="17" t="s">
        <v>2747</v>
      </c>
      <c r="F426" s="17" t="s">
        <v>2747</v>
      </c>
      <c r="G426">
        <v>4248580000</v>
      </c>
    </row>
    <row r="427" spans="1:7">
      <c r="A427" s="16">
        <v>42677</v>
      </c>
      <c r="B427" s="17" t="s">
        <v>2748</v>
      </c>
      <c r="C427" s="17" t="s">
        <v>2749</v>
      </c>
      <c r="D427" s="17" t="s">
        <v>2750</v>
      </c>
      <c r="E427" s="17" t="s">
        <v>2362</v>
      </c>
      <c r="F427" s="17" t="s">
        <v>2362</v>
      </c>
      <c r="G427">
        <v>3886740000</v>
      </c>
    </row>
    <row r="428" spans="1:7">
      <c r="A428" s="16">
        <v>42678</v>
      </c>
      <c r="B428" s="17" t="s">
        <v>2751</v>
      </c>
      <c r="C428" s="17" t="s">
        <v>2752</v>
      </c>
      <c r="D428" s="17" t="s">
        <v>2751</v>
      </c>
      <c r="E428" s="17" t="s">
        <v>2753</v>
      </c>
      <c r="F428" s="17" t="s">
        <v>2753</v>
      </c>
      <c r="G428">
        <v>3837860000</v>
      </c>
    </row>
    <row r="429" spans="1:7">
      <c r="A429" s="16">
        <v>42681</v>
      </c>
      <c r="B429" s="17" t="s">
        <v>2754</v>
      </c>
      <c r="C429" s="17" t="s">
        <v>2755</v>
      </c>
      <c r="D429" s="17" t="s">
        <v>2754</v>
      </c>
      <c r="E429" s="17" t="s">
        <v>2756</v>
      </c>
      <c r="F429" s="17" t="s">
        <v>2756</v>
      </c>
      <c r="G429">
        <v>3736060000</v>
      </c>
    </row>
    <row r="430" spans="1:7">
      <c r="A430" s="16">
        <v>42682</v>
      </c>
      <c r="B430" s="17" t="s">
        <v>2757</v>
      </c>
      <c r="C430" s="17" t="s">
        <v>2758</v>
      </c>
      <c r="D430" s="17" t="s">
        <v>2759</v>
      </c>
      <c r="E430" s="17" t="s">
        <v>2760</v>
      </c>
      <c r="F430" s="17" t="s">
        <v>2760</v>
      </c>
      <c r="G430">
        <v>3916930000</v>
      </c>
    </row>
    <row r="431" spans="1:7">
      <c r="A431" s="16">
        <v>42683</v>
      </c>
      <c r="B431" s="17" t="s">
        <v>2761</v>
      </c>
      <c r="C431" s="17" t="s">
        <v>2762</v>
      </c>
      <c r="D431" s="17" t="s">
        <v>2763</v>
      </c>
      <c r="E431" s="17" t="s">
        <v>2764</v>
      </c>
      <c r="F431" s="17" t="s">
        <v>2764</v>
      </c>
      <c r="G431">
        <v>6264150000</v>
      </c>
    </row>
    <row r="432" spans="1:7">
      <c r="A432" s="16">
        <v>42684</v>
      </c>
      <c r="B432" s="17" t="s">
        <v>2765</v>
      </c>
      <c r="C432" s="17" t="s">
        <v>2766</v>
      </c>
      <c r="D432" s="17" t="s">
        <v>2767</v>
      </c>
      <c r="E432" s="17" t="s">
        <v>2768</v>
      </c>
      <c r="F432" s="17" t="s">
        <v>2768</v>
      </c>
      <c r="G432">
        <v>6451640000</v>
      </c>
    </row>
    <row r="433" spans="1:7">
      <c r="A433" s="16">
        <v>42685</v>
      </c>
      <c r="B433" s="17" t="s">
        <v>2769</v>
      </c>
      <c r="C433" s="17" t="s">
        <v>2770</v>
      </c>
      <c r="D433" s="17" t="s">
        <v>2771</v>
      </c>
      <c r="E433" s="17" t="s">
        <v>2772</v>
      </c>
      <c r="F433" s="17" t="s">
        <v>2772</v>
      </c>
      <c r="G433">
        <v>4988050000</v>
      </c>
    </row>
    <row r="434" spans="1:7">
      <c r="A434" s="16">
        <v>42688</v>
      </c>
      <c r="B434" s="17" t="s">
        <v>2773</v>
      </c>
      <c r="C434" s="17" t="s">
        <v>2774</v>
      </c>
      <c r="D434" s="17" t="s">
        <v>2775</v>
      </c>
      <c r="E434" s="17" t="s">
        <v>2776</v>
      </c>
      <c r="F434" s="17" t="s">
        <v>2776</v>
      </c>
      <c r="G434">
        <v>5367200000</v>
      </c>
    </row>
    <row r="435" spans="1:7">
      <c r="A435" s="16">
        <v>42689</v>
      </c>
      <c r="B435" s="17" t="s">
        <v>2777</v>
      </c>
      <c r="C435" s="17" t="s">
        <v>2778</v>
      </c>
      <c r="D435" s="17" t="s">
        <v>2779</v>
      </c>
      <c r="E435" s="17" t="s">
        <v>2780</v>
      </c>
      <c r="F435" s="17" t="s">
        <v>2780</v>
      </c>
      <c r="G435">
        <v>4543860000</v>
      </c>
    </row>
    <row r="436" spans="1:7">
      <c r="A436" s="16">
        <v>42690</v>
      </c>
      <c r="B436" s="17" t="s">
        <v>2781</v>
      </c>
      <c r="C436" s="17" t="s">
        <v>2782</v>
      </c>
      <c r="D436" s="17" t="s">
        <v>2783</v>
      </c>
      <c r="E436" s="17" t="s">
        <v>2784</v>
      </c>
      <c r="F436" s="17" t="s">
        <v>2784</v>
      </c>
      <c r="G436">
        <v>3830590000</v>
      </c>
    </row>
    <row r="437" spans="1:7">
      <c r="A437" s="16">
        <v>42691</v>
      </c>
      <c r="B437" s="17" t="s">
        <v>2529</v>
      </c>
      <c r="C437" s="17" t="s">
        <v>2785</v>
      </c>
      <c r="D437" s="17" t="s">
        <v>2786</v>
      </c>
      <c r="E437" s="17" t="s">
        <v>2787</v>
      </c>
      <c r="F437" s="17" t="s">
        <v>2787</v>
      </c>
      <c r="G437">
        <v>3809160000</v>
      </c>
    </row>
    <row r="438" spans="1:7">
      <c r="A438" s="16">
        <v>42692</v>
      </c>
      <c r="B438" s="17" t="s">
        <v>2788</v>
      </c>
      <c r="C438" s="17" t="s">
        <v>2789</v>
      </c>
      <c r="D438" s="17" t="s">
        <v>2582</v>
      </c>
      <c r="E438" s="17" t="s">
        <v>2552</v>
      </c>
      <c r="F438" s="17" t="s">
        <v>2552</v>
      </c>
      <c r="G438">
        <v>3572400000</v>
      </c>
    </row>
    <row r="439" spans="1:7">
      <c r="A439" s="16">
        <v>42695</v>
      </c>
      <c r="B439" s="17" t="s">
        <v>2790</v>
      </c>
      <c r="C439" s="17" t="s">
        <v>2791</v>
      </c>
      <c r="D439" s="17" t="s">
        <v>2790</v>
      </c>
      <c r="E439" s="17" t="s">
        <v>2792</v>
      </c>
      <c r="F439" s="17" t="s">
        <v>2792</v>
      </c>
      <c r="G439">
        <v>3607010000</v>
      </c>
    </row>
    <row r="440" spans="1:7">
      <c r="A440" s="16">
        <v>42696</v>
      </c>
      <c r="B440" s="17" t="s">
        <v>2793</v>
      </c>
      <c r="C440" s="17" t="s">
        <v>2794</v>
      </c>
      <c r="D440" s="17" t="s">
        <v>2795</v>
      </c>
      <c r="E440" s="17" t="s">
        <v>2796</v>
      </c>
      <c r="F440" s="17" t="s">
        <v>2796</v>
      </c>
      <c r="G440">
        <v>3957940000</v>
      </c>
    </row>
    <row r="441" spans="1:7">
      <c r="A441" s="16">
        <v>42697</v>
      </c>
      <c r="B441" s="17" t="s">
        <v>2797</v>
      </c>
      <c r="C441" s="17" t="s">
        <v>2798</v>
      </c>
      <c r="D441" s="17" t="s">
        <v>2795</v>
      </c>
      <c r="E441" s="17" t="s">
        <v>2798</v>
      </c>
      <c r="F441" s="17" t="s">
        <v>2798</v>
      </c>
      <c r="G441">
        <v>3418640000</v>
      </c>
    </row>
    <row r="442" spans="1:7">
      <c r="A442" s="16">
        <v>42699</v>
      </c>
      <c r="B442" s="17" t="s">
        <v>2799</v>
      </c>
      <c r="C442" s="17" t="s">
        <v>2800</v>
      </c>
      <c r="D442" s="17" t="s">
        <v>2799</v>
      </c>
      <c r="E442" s="17" t="s">
        <v>2800</v>
      </c>
      <c r="F442" s="17" t="s">
        <v>2800</v>
      </c>
      <c r="G442">
        <v>1584600000</v>
      </c>
    </row>
    <row r="443" spans="1:7">
      <c r="A443" s="16">
        <v>42702</v>
      </c>
      <c r="B443" s="17" t="s">
        <v>2801</v>
      </c>
      <c r="C443" s="17" t="s">
        <v>2802</v>
      </c>
      <c r="D443" s="17" t="s">
        <v>2803</v>
      </c>
      <c r="E443" s="17" t="s">
        <v>2804</v>
      </c>
      <c r="F443" s="17" t="s">
        <v>2804</v>
      </c>
      <c r="G443">
        <v>3505650000</v>
      </c>
    </row>
    <row r="444" spans="1:7">
      <c r="A444" s="16">
        <v>42703</v>
      </c>
      <c r="B444" s="17" t="s">
        <v>2805</v>
      </c>
      <c r="C444" s="17" t="s">
        <v>2806</v>
      </c>
      <c r="D444" s="17" t="s">
        <v>2807</v>
      </c>
      <c r="E444" s="17" t="s">
        <v>2808</v>
      </c>
      <c r="F444" s="17" t="s">
        <v>2808</v>
      </c>
      <c r="G444">
        <v>3706560000</v>
      </c>
    </row>
    <row r="445" spans="1:7">
      <c r="A445" s="16">
        <v>42704</v>
      </c>
      <c r="B445" s="17" t="s">
        <v>2809</v>
      </c>
      <c r="C445" s="17" t="s">
        <v>2810</v>
      </c>
      <c r="D445" s="17" t="s">
        <v>2811</v>
      </c>
      <c r="E445" s="17" t="s">
        <v>2811</v>
      </c>
      <c r="F445" s="17" t="s">
        <v>2811</v>
      </c>
      <c r="G445">
        <v>5533980000</v>
      </c>
    </row>
    <row r="446" spans="1:7">
      <c r="A446" s="16">
        <v>42705</v>
      </c>
      <c r="B446" s="17" t="s">
        <v>2812</v>
      </c>
      <c r="C446" s="17" t="s">
        <v>2813</v>
      </c>
      <c r="D446" s="17" t="s">
        <v>2814</v>
      </c>
      <c r="E446" s="17" t="s">
        <v>2815</v>
      </c>
      <c r="F446" s="17" t="s">
        <v>2815</v>
      </c>
      <c r="G446">
        <v>5063740000</v>
      </c>
    </row>
    <row r="447" spans="1:7">
      <c r="A447" s="16">
        <v>42706</v>
      </c>
      <c r="B447" s="17" t="s">
        <v>2816</v>
      </c>
      <c r="C447" s="17" t="s">
        <v>2817</v>
      </c>
      <c r="D447" s="17" t="s">
        <v>2818</v>
      </c>
      <c r="E447" s="17" t="s">
        <v>2819</v>
      </c>
      <c r="F447" s="17" t="s">
        <v>2819</v>
      </c>
      <c r="G447">
        <v>3779500000</v>
      </c>
    </row>
    <row r="448" spans="1:7">
      <c r="A448" s="16">
        <v>42709</v>
      </c>
      <c r="B448" s="17" t="s">
        <v>2820</v>
      </c>
      <c r="C448" s="17" t="s">
        <v>2821</v>
      </c>
      <c r="D448" s="17" t="s">
        <v>2822</v>
      </c>
      <c r="E448" s="17" t="s">
        <v>2823</v>
      </c>
      <c r="F448" s="17" t="s">
        <v>2823</v>
      </c>
      <c r="G448">
        <v>3895230000</v>
      </c>
    </row>
    <row r="449" spans="1:7">
      <c r="A449" s="16">
        <v>42710</v>
      </c>
      <c r="B449" s="17" t="s">
        <v>2824</v>
      </c>
      <c r="C449" s="17" t="s">
        <v>2825</v>
      </c>
      <c r="D449" s="17" t="s">
        <v>2826</v>
      </c>
      <c r="E449" s="17" t="s">
        <v>2827</v>
      </c>
      <c r="F449" s="17" t="s">
        <v>2827</v>
      </c>
      <c r="G449">
        <v>3855320000</v>
      </c>
    </row>
    <row r="450" spans="1:7">
      <c r="A450" s="16">
        <v>42711</v>
      </c>
      <c r="B450" s="17" t="s">
        <v>2828</v>
      </c>
      <c r="C450" s="17" t="s">
        <v>2829</v>
      </c>
      <c r="D450" s="17" t="s">
        <v>2830</v>
      </c>
      <c r="E450" s="17" t="s">
        <v>2831</v>
      </c>
      <c r="F450" s="17" t="s">
        <v>2831</v>
      </c>
      <c r="G450">
        <v>4501820000</v>
      </c>
    </row>
    <row r="451" spans="1:7">
      <c r="A451" s="16">
        <v>42712</v>
      </c>
      <c r="B451" s="17" t="s">
        <v>2832</v>
      </c>
      <c r="C451" s="17" t="s">
        <v>2833</v>
      </c>
      <c r="D451" s="17" t="s">
        <v>2834</v>
      </c>
      <c r="E451" s="17" t="s">
        <v>2835</v>
      </c>
      <c r="F451" s="17" t="s">
        <v>2835</v>
      </c>
      <c r="G451">
        <v>4200580000</v>
      </c>
    </row>
    <row r="452" spans="1:7">
      <c r="A452" s="16">
        <v>42713</v>
      </c>
      <c r="B452" s="17" t="s">
        <v>2836</v>
      </c>
      <c r="C452" s="17" t="s">
        <v>2837</v>
      </c>
      <c r="D452" s="17" t="s">
        <v>2838</v>
      </c>
      <c r="E452" s="17" t="s">
        <v>2839</v>
      </c>
      <c r="F452" s="17" t="s">
        <v>2839</v>
      </c>
      <c r="G452">
        <v>3884480000</v>
      </c>
    </row>
    <row r="453" spans="1:7">
      <c r="A453" s="16">
        <v>42716</v>
      </c>
      <c r="B453" s="17" t="s">
        <v>2840</v>
      </c>
      <c r="C453" s="17" t="s">
        <v>2841</v>
      </c>
      <c r="D453" s="17" t="s">
        <v>2842</v>
      </c>
      <c r="E453" s="17" t="s">
        <v>2843</v>
      </c>
      <c r="F453" s="17" t="s">
        <v>2843</v>
      </c>
      <c r="G453">
        <v>4034510000</v>
      </c>
    </row>
    <row r="454" spans="1:7">
      <c r="A454" s="16">
        <v>42717</v>
      </c>
      <c r="B454" s="17" t="s">
        <v>2844</v>
      </c>
      <c r="C454" s="17" t="s">
        <v>2845</v>
      </c>
      <c r="D454" s="17" t="s">
        <v>2844</v>
      </c>
      <c r="E454" s="17" t="s">
        <v>2846</v>
      </c>
      <c r="F454" s="17" t="s">
        <v>2846</v>
      </c>
      <c r="G454">
        <v>3857590000</v>
      </c>
    </row>
    <row r="455" spans="1:7">
      <c r="A455" s="16">
        <v>42718</v>
      </c>
      <c r="B455" s="17" t="s">
        <v>2847</v>
      </c>
      <c r="C455" s="17" t="s">
        <v>2848</v>
      </c>
      <c r="D455" s="17" t="s">
        <v>2849</v>
      </c>
      <c r="E455" s="17" t="s">
        <v>2850</v>
      </c>
      <c r="F455" s="17" t="s">
        <v>2850</v>
      </c>
      <c r="G455">
        <v>4406970000</v>
      </c>
    </row>
    <row r="456" spans="1:7">
      <c r="A456" s="16">
        <v>42719</v>
      </c>
      <c r="B456" s="17" t="s">
        <v>2851</v>
      </c>
      <c r="C456" s="17" t="s">
        <v>2852</v>
      </c>
      <c r="D456" s="17" t="s">
        <v>2851</v>
      </c>
      <c r="E456" s="17" t="s">
        <v>2853</v>
      </c>
      <c r="F456" s="17" t="s">
        <v>2853</v>
      </c>
      <c r="G456">
        <v>4168200000</v>
      </c>
    </row>
    <row r="457" spans="1:7">
      <c r="A457" s="16">
        <v>42720</v>
      </c>
      <c r="B457" s="17" t="s">
        <v>2854</v>
      </c>
      <c r="C457" s="17" t="s">
        <v>2855</v>
      </c>
      <c r="D457" s="17" t="s">
        <v>2856</v>
      </c>
      <c r="E457" s="17" t="s">
        <v>2857</v>
      </c>
      <c r="F457" s="17" t="s">
        <v>2857</v>
      </c>
      <c r="G457">
        <v>5920340000</v>
      </c>
    </row>
    <row r="458" spans="1:7">
      <c r="A458" s="16">
        <v>42723</v>
      </c>
      <c r="B458" s="17" t="s">
        <v>2858</v>
      </c>
      <c r="C458" s="17" t="s">
        <v>2859</v>
      </c>
      <c r="D458" s="17" t="s">
        <v>2860</v>
      </c>
      <c r="E458" s="17" t="s">
        <v>2861</v>
      </c>
      <c r="F458" s="17" t="s">
        <v>2861</v>
      </c>
      <c r="G458">
        <v>3248370000</v>
      </c>
    </row>
    <row r="459" spans="1:7">
      <c r="A459" s="16">
        <v>42724</v>
      </c>
      <c r="B459" s="17" t="s">
        <v>2862</v>
      </c>
      <c r="C459" s="17" t="s">
        <v>2863</v>
      </c>
      <c r="D459" s="17" t="s">
        <v>2864</v>
      </c>
      <c r="E459" s="17" t="s">
        <v>2865</v>
      </c>
      <c r="F459" s="17" t="s">
        <v>2865</v>
      </c>
      <c r="G459">
        <v>3298780000</v>
      </c>
    </row>
    <row r="460" spans="1:7">
      <c r="A460" s="16">
        <v>42725</v>
      </c>
      <c r="B460" s="17" t="s">
        <v>2866</v>
      </c>
      <c r="C460" s="17" t="s">
        <v>2867</v>
      </c>
      <c r="D460" s="17" t="s">
        <v>2868</v>
      </c>
      <c r="E460" s="17" t="s">
        <v>2869</v>
      </c>
      <c r="F460" s="17" t="s">
        <v>2869</v>
      </c>
      <c r="G460">
        <v>2852230000</v>
      </c>
    </row>
    <row r="461" spans="1:7">
      <c r="A461" s="16">
        <v>42726</v>
      </c>
      <c r="B461" s="17" t="s">
        <v>2870</v>
      </c>
      <c r="C461" s="17" t="s">
        <v>2871</v>
      </c>
      <c r="D461" s="17" t="s">
        <v>2872</v>
      </c>
      <c r="E461" s="17" t="s">
        <v>2873</v>
      </c>
      <c r="F461" s="17" t="s">
        <v>2873</v>
      </c>
      <c r="G461">
        <v>2876320000</v>
      </c>
    </row>
    <row r="462" spans="1:7">
      <c r="A462" s="16">
        <v>42727</v>
      </c>
      <c r="B462" s="17" t="s">
        <v>2874</v>
      </c>
      <c r="C462" s="17" t="s">
        <v>2875</v>
      </c>
      <c r="D462" s="17" t="s">
        <v>2876</v>
      </c>
      <c r="E462" s="17" t="s">
        <v>2875</v>
      </c>
      <c r="F462" s="17" t="s">
        <v>2875</v>
      </c>
      <c r="G462">
        <v>2020550000</v>
      </c>
    </row>
    <row r="463" spans="1:7">
      <c r="A463" s="16">
        <v>42731</v>
      </c>
      <c r="B463" s="17" t="s">
        <v>2877</v>
      </c>
      <c r="C463" s="17" t="s">
        <v>2878</v>
      </c>
      <c r="D463" s="17" t="s">
        <v>2879</v>
      </c>
      <c r="E463" s="17" t="s">
        <v>2880</v>
      </c>
      <c r="F463" s="17" t="s">
        <v>2880</v>
      </c>
      <c r="G463">
        <v>1987080000</v>
      </c>
    </row>
    <row r="464" spans="1:7">
      <c r="A464" s="16">
        <v>42732</v>
      </c>
      <c r="B464" s="17" t="s">
        <v>2881</v>
      </c>
      <c r="C464" s="17" t="s">
        <v>2882</v>
      </c>
      <c r="D464" s="17" t="s">
        <v>2883</v>
      </c>
      <c r="E464" s="17" t="s">
        <v>2884</v>
      </c>
      <c r="F464" s="17" t="s">
        <v>2884</v>
      </c>
      <c r="G464">
        <v>2392360000</v>
      </c>
    </row>
    <row r="465" spans="1:7">
      <c r="A465" s="16">
        <v>42733</v>
      </c>
      <c r="B465" s="17" t="s">
        <v>2885</v>
      </c>
      <c r="C465" s="17" t="s">
        <v>2886</v>
      </c>
      <c r="D465" s="17" t="s">
        <v>2887</v>
      </c>
      <c r="E465" s="17" t="s">
        <v>2888</v>
      </c>
      <c r="F465" s="17" t="s">
        <v>2888</v>
      </c>
      <c r="G465">
        <v>2336370000</v>
      </c>
    </row>
    <row r="466" spans="1:7">
      <c r="A466" s="16">
        <v>42734</v>
      </c>
      <c r="B466" s="17" t="s">
        <v>2889</v>
      </c>
      <c r="C466" s="17" t="s">
        <v>2890</v>
      </c>
      <c r="D466" s="17" t="s">
        <v>2891</v>
      </c>
      <c r="E466" s="17" t="s">
        <v>2892</v>
      </c>
      <c r="F466" s="17" t="s">
        <v>2892</v>
      </c>
      <c r="G466">
        <v>2670900000</v>
      </c>
    </row>
    <row r="467" spans="1:7">
      <c r="A467" s="16">
        <v>42738</v>
      </c>
      <c r="B467" s="17" t="s">
        <v>2893</v>
      </c>
      <c r="C467" s="17" t="s">
        <v>2894</v>
      </c>
      <c r="D467" s="17" t="s">
        <v>2895</v>
      </c>
      <c r="E467" s="17" t="s">
        <v>2896</v>
      </c>
      <c r="F467" s="17" t="s">
        <v>2896</v>
      </c>
      <c r="G467">
        <v>3770530000</v>
      </c>
    </row>
    <row r="468" spans="1:7">
      <c r="A468" s="16">
        <v>42739</v>
      </c>
      <c r="B468" s="17" t="s">
        <v>2897</v>
      </c>
      <c r="C468" s="17" t="s">
        <v>2898</v>
      </c>
      <c r="D468" s="17" t="s">
        <v>2897</v>
      </c>
      <c r="E468" s="17" t="s">
        <v>2899</v>
      </c>
      <c r="F468" s="17" t="s">
        <v>2899</v>
      </c>
      <c r="G468">
        <v>3764890000</v>
      </c>
    </row>
    <row r="469" spans="1:7">
      <c r="A469" s="16">
        <v>42740</v>
      </c>
      <c r="B469" s="17" t="s">
        <v>2900</v>
      </c>
      <c r="C469" s="17" t="s">
        <v>2901</v>
      </c>
      <c r="D469" s="17" t="s">
        <v>2902</v>
      </c>
      <c r="E469" s="17" t="s">
        <v>2903</v>
      </c>
      <c r="F469" s="17" t="s">
        <v>2903</v>
      </c>
      <c r="G469">
        <v>3761820000</v>
      </c>
    </row>
    <row r="470" spans="1:7">
      <c r="A470" s="16">
        <v>42741</v>
      </c>
      <c r="B470" s="17" t="s">
        <v>2904</v>
      </c>
      <c r="C470" s="17" t="s">
        <v>2905</v>
      </c>
      <c r="D470" s="17" t="s">
        <v>2906</v>
      </c>
      <c r="E470" s="17" t="s">
        <v>2907</v>
      </c>
      <c r="F470" s="17" t="s">
        <v>2907</v>
      </c>
      <c r="G470">
        <v>3339890000</v>
      </c>
    </row>
    <row r="471" spans="1:7">
      <c r="A471" s="16">
        <v>42744</v>
      </c>
      <c r="B471" s="17" t="s">
        <v>2908</v>
      </c>
      <c r="C471" s="17" t="s">
        <v>2909</v>
      </c>
      <c r="D471" s="17" t="s">
        <v>2910</v>
      </c>
      <c r="E471" s="17" t="s">
        <v>2910</v>
      </c>
      <c r="F471" s="17" t="s">
        <v>2910</v>
      </c>
      <c r="G471">
        <v>3217610000</v>
      </c>
    </row>
    <row r="472" spans="1:7">
      <c r="A472" s="16">
        <v>42745</v>
      </c>
      <c r="B472" s="17" t="s">
        <v>2911</v>
      </c>
      <c r="C472" s="17" t="s">
        <v>2912</v>
      </c>
      <c r="D472" s="17" t="s">
        <v>2913</v>
      </c>
      <c r="E472" s="17" t="s">
        <v>2910</v>
      </c>
      <c r="F472" s="17" t="s">
        <v>2910</v>
      </c>
      <c r="G472">
        <v>3638790000</v>
      </c>
    </row>
    <row r="473" spans="1:7">
      <c r="A473" s="16">
        <v>42746</v>
      </c>
      <c r="B473" s="17" t="s">
        <v>2914</v>
      </c>
      <c r="C473" s="17" t="s">
        <v>2915</v>
      </c>
      <c r="D473" s="17" t="s">
        <v>2916</v>
      </c>
      <c r="E473" s="17" t="s">
        <v>2915</v>
      </c>
      <c r="F473" s="17" t="s">
        <v>2915</v>
      </c>
      <c r="G473">
        <v>3620410000</v>
      </c>
    </row>
    <row r="474" spans="1:7">
      <c r="A474" s="16">
        <v>42747</v>
      </c>
      <c r="B474" s="17" t="s">
        <v>2904</v>
      </c>
      <c r="C474" s="17" t="s">
        <v>2917</v>
      </c>
      <c r="D474" s="17" t="s">
        <v>2918</v>
      </c>
      <c r="E474" s="17" t="s">
        <v>2919</v>
      </c>
      <c r="F474" s="17" t="s">
        <v>2919</v>
      </c>
      <c r="G474">
        <v>3462130000</v>
      </c>
    </row>
    <row r="475" spans="1:7">
      <c r="A475" s="16">
        <v>42748</v>
      </c>
      <c r="B475" s="17" t="s">
        <v>2920</v>
      </c>
      <c r="C475" s="17" t="s">
        <v>2921</v>
      </c>
      <c r="D475" s="17" t="s">
        <v>2922</v>
      </c>
      <c r="E475" s="17" t="s">
        <v>2923</v>
      </c>
      <c r="F475" s="17" t="s">
        <v>2923</v>
      </c>
      <c r="G475">
        <v>3081270000</v>
      </c>
    </row>
    <row r="476" spans="1:7">
      <c r="A476" s="16">
        <v>42752</v>
      </c>
      <c r="B476" s="17" t="s">
        <v>2924</v>
      </c>
      <c r="C476" s="17" t="s">
        <v>2925</v>
      </c>
      <c r="D476" s="17" t="s">
        <v>2926</v>
      </c>
      <c r="E476" s="17" t="s">
        <v>2927</v>
      </c>
      <c r="F476" s="17" t="s">
        <v>2927</v>
      </c>
      <c r="G476">
        <v>3584990000</v>
      </c>
    </row>
    <row r="477" spans="1:7">
      <c r="A477" s="16">
        <v>42753</v>
      </c>
      <c r="B477" s="17" t="s">
        <v>2924</v>
      </c>
      <c r="C477" s="17" t="s">
        <v>2928</v>
      </c>
      <c r="D477" s="17" t="s">
        <v>2929</v>
      </c>
      <c r="E477" s="17" t="s">
        <v>2930</v>
      </c>
      <c r="F477" s="17" t="s">
        <v>2930</v>
      </c>
      <c r="G477">
        <v>3315250000</v>
      </c>
    </row>
    <row r="478" spans="1:7">
      <c r="A478" s="16">
        <v>42754</v>
      </c>
      <c r="B478" s="17" t="s">
        <v>2931</v>
      </c>
      <c r="C478" s="17" t="s">
        <v>2932</v>
      </c>
      <c r="D478" s="17" t="s">
        <v>2933</v>
      </c>
      <c r="E478" s="17" t="s">
        <v>2934</v>
      </c>
      <c r="F478" s="17" t="s">
        <v>2934</v>
      </c>
      <c r="G478">
        <v>3165970000</v>
      </c>
    </row>
    <row r="479" spans="1:7">
      <c r="A479" s="16">
        <v>42755</v>
      </c>
      <c r="B479" s="17" t="s">
        <v>2935</v>
      </c>
      <c r="C479" s="17" t="s">
        <v>2936</v>
      </c>
      <c r="D479" s="17" t="s">
        <v>2937</v>
      </c>
      <c r="E479" s="17" t="s">
        <v>2882</v>
      </c>
      <c r="F479" s="17" t="s">
        <v>2882</v>
      </c>
      <c r="G479">
        <v>3524970000</v>
      </c>
    </row>
    <row r="480" spans="1:7">
      <c r="A480" s="16">
        <v>42758</v>
      </c>
      <c r="B480" s="17" t="s">
        <v>2938</v>
      </c>
      <c r="C480" s="17" t="s">
        <v>2917</v>
      </c>
      <c r="D480" s="17" t="s">
        <v>2939</v>
      </c>
      <c r="E480" s="17" t="s">
        <v>2940</v>
      </c>
      <c r="F480" s="17" t="s">
        <v>2940</v>
      </c>
      <c r="G480">
        <v>3152710000</v>
      </c>
    </row>
    <row r="481" spans="1:7">
      <c r="A481" s="16">
        <v>42759</v>
      </c>
      <c r="B481" s="17" t="s">
        <v>2941</v>
      </c>
      <c r="C481" s="17" t="s">
        <v>2942</v>
      </c>
      <c r="D481" s="17" t="s">
        <v>2943</v>
      </c>
      <c r="E481" s="17" t="s">
        <v>2944</v>
      </c>
      <c r="F481" s="17" t="s">
        <v>2944</v>
      </c>
      <c r="G481">
        <v>3810960000</v>
      </c>
    </row>
    <row r="482" spans="1:7">
      <c r="A482" s="16">
        <v>42760</v>
      </c>
      <c r="B482" s="17" t="s">
        <v>2945</v>
      </c>
      <c r="C482" s="17" t="s">
        <v>2946</v>
      </c>
      <c r="D482" s="17" t="s">
        <v>2945</v>
      </c>
      <c r="E482" s="17" t="s">
        <v>2947</v>
      </c>
      <c r="F482" s="17" t="s">
        <v>2947</v>
      </c>
      <c r="G482">
        <v>3846020000</v>
      </c>
    </row>
    <row r="483" spans="1:7">
      <c r="A483" s="16">
        <v>42761</v>
      </c>
      <c r="B483" s="17" t="s">
        <v>2948</v>
      </c>
      <c r="C483" s="17" t="s">
        <v>2949</v>
      </c>
      <c r="D483" s="17" t="s">
        <v>2950</v>
      </c>
      <c r="E483" s="17" t="s">
        <v>2951</v>
      </c>
      <c r="F483" s="17" t="s">
        <v>2951</v>
      </c>
      <c r="G483">
        <v>3610360000</v>
      </c>
    </row>
    <row r="484" spans="1:7">
      <c r="A484" s="16">
        <v>42762</v>
      </c>
      <c r="B484" s="17" t="s">
        <v>2952</v>
      </c>
      <c r="C484" s="17" t="s">
        <v>2952</v>
      </c>
      <c r="D484" s="17" t="s">
        <v>2953</v>
      </c>
      <c r="E484" s="17" t="s">
        <v>2954</v>
      </c>
      <c r="F484" s="17" t="s">
        <v>2954</v>
      </c>
      <c r="G484">
        <v>3135890000</v>
      </c>
    </row>
    <row r="485" spans="1:7">
      <c r="A485" s="16">
        <v>42765</v>
      </c>
      <c r="B485" s="17" t="s">
        <v>2955</v>
      </c>
      <c r="C485" s="17" t="s">
        <v>2955</v>
      </c>
      <c r="D485" s="17" t="s">
        <v>2956</v>
      </c>
      <c r="E485" s="17" t="s">
        <v>2957</v>
      </c>
      <c r="F485" s="17" t="s">
        <v>2957</v>
      </c>
      <c r="G485">
        <v>3591270000</v>
      </c>
    </row>
    <row r="486" spans="1:7">
      <c r="A486" s="16">
        <v>42766</v>
      </c>
      <c r="B486" s="17" t="s">
        <v>2958</v>
      </c>
      <c r="C486" s="17" t="s">
        <v>2959</v>
      </c>
      <c r="D486" s="17" t="s">
        <v>2960</v>
      </c>
      <c r="E486" s="17" t="s">
        <v>2961</v>
      </c>
      <c r="F486" s="17" t="s">
        <v>2961</v>
      </c>
      <c r="G486">
        <v>4087450000</v>
      </c>
    </row>
    <row r="487" spans="1:7">
      <c r="A487" s="16">
        <v>42767</v>
      </c>
      <c r="B487" s="17" t="s">
        <v>2962</v>
      </c>
      <c r="C487" s="17" t="s">
        <v>2963</v>
      </c>
      <c r="D487" s="17" t="s">
        <v>2964</v>
      </c>
      <c r="E487" s="17" t="s">
        <v>2965</v>
      </c>
      <c r="F487" s="17" t="s">
        <v>2965</v>
      </c>
      <c r="G487">
        <v>3916610000</v>
      </c>
    </row>
    <row r="488" spans="1:7">
      <c r="A488" s="16">
        <v>42768</v>
      </c>
      <c r="B488" s="17" t="s">
        <v>2966</v>
      </c>
      <c r="C488" s="17" t="s">
        <v>2967</v>
      </c>
      <c r="D488" s="17" t="s">
        <v>2968</v>
      </c>
      <c r="E488" s="17" t="s">
        <v>2969</v>
      </c>
      <c r="F488" s="17" t="s">
        <v>2969</v>
      </c>
      <c r="G488">
        <v>3807710000</v>
      </c>
    </row>
    <row r="489" spans="1:7">
      <c r="A489" s="16">
        <v>42769</v>
      </c>
      <c r="B489" s="17" t="s">
        <v>2970</v>
      </c>
      <c r="C489" s="17" t="s">
        <v>2971</v>
      </c>
      <c r="D489" s="17" t="s">
        <v>2972</v>
      </c>
      <c r="E489" s="17" t="s">
        <v>2973</v>
      </c>
      <c r="F489" s="17" t="s">
        <v>2973</v>
      </c>
      <c r="G489">
        <v>3597970000</v>
      </c>
    </row>
    <row r="490" spans="1:7">
      <c r="A490" s="16">
        <v>42772</v>
      </c>
      <c r="B490" s="17" t="s">
        <v>2974</v>
      </c>
      <c r="C490" s="17" t="s">
        <v>2975</v>
      </c>
      <c r="D490" s="17" t="s">
        <v>2976</v>
      </c>
      <c r="E490" s="17" t="s">
        <v>2977</v>
      </c>
      <c r="F490" s="17" t="s">
        <v>2977</v>
      </c>
      <c r="G490">
        <v>3109050000</v>
      </c>
    </row>
    <row r="491" spans="1:7">
      <c r="A491" s="16">
        <v>42773</v>
      </c>
      <c r="B491" s="17" t="s">
        <v>2978</v>
      </c>
      <c r="C491" s="17" t="s">
        <v>2979</v>
      </c>
      <c r="D491" s="17" t="s">
        <v>2980</v>
      </c>
      <c r="E491" s="17" t="s">
        <v>2981</v>
      </c>
      <c r="F491" s="17" t="s">
        <v>2981</v>
      </c>
      <c r="G491">
        <v>3448690000</v>
      </c>
    </row>
    <row r="492" spans="1:7">
      <c r="A492" s="16">
        <v>42774</v>
      </c>
      <c r="B492" s="17" t="s">
        <v>2982</v>
      </c>
      <c r="C492" s="17" t="s">
        <v>2983</v>
      </c>
      <c r="D492" s="17" t="s">
        <v>2984</v>
      </c>
      <c r="E492" s="17" t="s">
        <v>2985</v>
      </c>
      <c r="F492" s="17" t="s">
        <v>2985</v>
      </c>
      <c r="G492">
        <v>3609740000</v>
      </c>
    </row>
    <row r="493" spans="1:7">
      <c r="A493" s="16">
        <v>42775</v>
      </c>
      <c r="B493" s="17" t="s">
        <v>2986</v>
      </c>
      <c r="C493" s="17" t="s">
        <v>2987</v>
      </c>
      <c r="D493" s="17" t="s">
        <v>2988</v>
      </c>
      <c r="E493" s="17" t="s">
        <v>2989</v>
      </c>
      <c r="F493" s="17" t="s">
        <v>2989</v>
      </c>
      <c r="G493">
        <v>3677940000</v>
      </c>
    </row>
    <row r="494" spans="1:7">
      <c r="A494" s="16">
        <v>42776</v>
      </c>
      <c r="B494" s="17" t="s">
        <v>2990</v>
      </c>
      <c r="C494" s="17" t="s">
        <v>2991</v>
      </c>
      <c r="D494" s="17" t="s">
        <v>2992</v>
      </c>
      <c r="E494" s="17" t="s">
        <v>2993</v>
      </c>
      <c r="F494" s="17" t="s">
        <v>2993</v>
      </c>
      <c r="G494">
        <v>3475020000</v>
      </c>
    </row>
    <row r="495" spans="1:7">
      <c r="A495" s="16">
        <v>42779</v>
      </c>
      <c r="B495" s="17" t="s">
        <v>2994</v>
      </c>
      <c r="C495" s="17" t="s">
        <v>2995</v>
      </c>
      <c r="D495" s="17" t="s">
        <v>2996</v>
      </c>
      <c r="E495" s="17" t="s">
        <v>2997</v>
      </c>
      <c r="F495" s="17" t="s">
        <v>2997</v>
      </c>
      <c r="G495">
        <v>3349730000</v>
      </c>
    </row>
    <row r="496" spans="1:7">
      <c r="A496" s="16">
        <v>42780</v>
      </c>
      <c r="B496" s="17" t="s">
        <v>2998</v>
      </c>
      <c r="C496" s="17" t="s">
        <v>2999</v>
      </c>
      <c r="D496" s="17" t="s">
        <v>3000</v>
      </c>
      <c r="E496" s="17" t="s">
        <v>2999</v>
      </c>
      <c r="F496" s="17" t="s">
        <v>2999</v>
      </c>
      <c r="G496">
        <v>3520910000</v>
      </c>
    </row>
    <row r="497" spans="1:7">
      <c r="A497" s="16">
        <v>42781</v>
      </c>
      <c r="B497" s="17" t="s">
        <v>3001</v>
      </c>
      <c r="C497" s="17" t="s">
        <v>3002</v>
      </c>
      <c r="D497" s="17" t="s">
        <v>3003</v>
      </c>
      <c r="E497" s="17" t="s">
        <v>3004</v>
      </c>
      <c r="F497" s="17" t="s">
        <v>3004</v>
      </c>
      <c r="G497">
        <v>3775590000</v>
      </c>
    </row>
    <row r="498" spans="1:7">
      <c r="A498" s="16">
        <v>42782</v>
      </c>
      <c r="B498" s="17" t="s">
        <v>3005</v>
      </c>
      <c r="C498" s="17" t="s">
        <v>3006</v>
      </c>
      <c r="D498" s="17" t="s">
        <v>3007</v>
      </c>
      <c r="E498" s="17" t="s">
        <v>3008</v>
      </c>
      <c r="F498" s="17" t="s">
        <v>3008</v>
      </c>
      <c r="G498">
        <v>3672370000</v>
      </c>
    </row>
    <row r="499" spans="1:7">
      <c r="A499" s="16">
        <v>42783</v>
      </c>
      <c r="B499" s="17" t="s">
        <v>3009</v>
      </c>
      <c r="C499" s="17" t="s">
        <v>3010</v>
      </c>
      <c r="D499" s="17" t="s">
        <v>3011</v>
      </c>
      <c r="E499" s="17" t="s">
        <v>3010</v>
      </c>
      <c r="F499" s="17" t="s">
        <v>3010</v>
      </c>
      <c r="G499">
        <v>3513060000</v>
      </c>
    </row>
    <row r="500" spans="1:7">
      <c r="A500" s="16">
        <v>42787</v>
      </c>
      <c r="B500" s="17" t="s">
        <v>3012</v>
      </c>
      <c r="C500" s="17" t="s">
        <v>3013</v>
      </c>
      <c r="D500" s="17" t="s">
        <v>3012</v>
      </c>
      <c r="E500" s="17" t="s">
        <v>3014</v>
      </c>
      <c r="F500" s="17" t="s">
        <v>3014</v>
      </c>
      <c r="G500">
        <v>3579780000</v>
      </c>
    </row>
    <row r="501" spans="1:7">
      <c r="A501" s="16">
        <v>42788</v>
      </c>
      <c r="B501" s="17" t="s">
        <v>3015</v>
      </c>
      <c r="C501" s="17" t="s">
        <v>3016</v>
      </c>
      <c r="D501" s="17" t="s">
        <v>3017</v>
      </c>
      <c r="E501" s="17" t="s">
        <v>3018</v>
      </c>
      <c r="F501" s="17" t="s">
        <v>3018</v>
      </c>
      <c r="G501">
        <v>3468670000</v>
      </c>
    </row>
    <row r="502" spans="1:7">
      <c r="A502" s="16">
        <v>42789</v>
      </c>
      <c r="B502" s="17" t="s">
        <v>3019</v>
      </c>
      <c r="C502" s="17" t="s">
        <v>3020</v>
      </c>
      <c r="D502" s="17" t="s">
        <v>3021</v>
      </c>
      <c r="E502" s="17" t="s">
        <v>3022</v>
      </c>
      <c r="F502" s="17" t="s">
        <v>3022</v>
      </c>
      <c r="G502">
        <v>4015260000</v>
      </c>
    </row>
    <row r="503" spans="1:7">
      <c r="A503" s="16">
        <v>42790</v>
      </c>
      <c r="B503" s="17" t="s">
        <v>3023</v>
      </c>
      <c r="C503" s="17" t="s">
        <v>3024</v>
      </c>
      <c r="D503" s="17" t="s">
        <v>3025</v>
      </c>
      <c r="E503" s="17" t="s">
        <v>3024</v>
      </c>
      <c r="F503" s="17" t="s">
        <v>3024</v>
      </c>
      <c r="G503">
        <v>3831570000</v>
      </c>
    </row>
    <row r="504" spans="1:7">
      <c r="A504" s="16">
        <v>42793</v>
      </c>
      <c r="B504" s="17" t="s">
        <v>3026</v>
      </c>
      <c r="C504" s="17" t="s">
        <v>3027</v>
      </c>
      <c r="D504" s="17" t="s">
        <v>3028</v>
      </c>
      <c r="E504" s="17" t="s">
        <v>3029</v>
      </c>
      <c r="F504" s="17" t="s">
        <v>3029</v>
      </c>
      <c r="G504">
        <v>3582610000</v>
      </c>
    </row>
    <row r="505" spans="1:7">
      <c r="A505" s="16">
        <v>42794</v>
      </c>
      <c r="B505" s="17" t="s">
        <v>3030</v>
      </c>
      <c r="C505" s="17" t="s">
        <v>3031</v>
      </c>
      <c r="D505" s="17" t="s">
        <v>3032</v>
      </c>
      <c r="E505" s="17" t="s">
        <v>3033</v>
      </c>
      <c r="F505" s="17" t="s">
        <v>3033</v>
      </c>
      <c r="G505">
        <v>4210140000</v>
      </c>
    </row>
    <row r="506" spans="1:7">
      <c r="A506" s="16">
        <v>42795</v>
      </c>
      <c r="B506" s="17" t="s">
        <v>3034</v>
      </c>
      <c r="C506" s="17" t="s">
        <v>3035</v>
      </c>
      <c r="D506" s="17" t="s">
        <v>3034</v>
      </c>
      <c r="E506" s="17" t="s">
        <v>3036</v>
      </c>
      <c r="F506" s="17" t="s">
        <v>3036</v>
      </c>
      <c r="G506">
        <v>4345180000</v>
      </c>
    </row>
    <row r="507" spans="1:7">
      <c r="A507" s="16">
        <v>42796</v>
      </c>
      <c r="B507" s="17" t="s">
        <v>3037</v>
      </c>
      <c r="C507" s="17" t="s">
        <v>3037</v>
      </c>
      <c r="D507" s="17" t="s">
        <v>3038</v>
      </c>
      <c r="E507" s="17" t="s">
        <v>3039</v>
      </c>
      <c r="F507" s="17" t="s">
        <v>3039</v>
      </c>
      <c r="G507">
        <v>3821320000</v>
      </c>
    </row>
    <row r="508" spans="1:7">
      <c r="A508" s="16">
        <v>42797</v>
      </c>
      <c r="B508" s="17" t="s">
        <v>3040</v>
      </c>
      <c r="C508" s="17" t="s">
        <v>3041</v>
      </c>
      <c r="D508" s="17" t="s">
        <v>3042</v>
      </c>
      <c r="E508" s="17" t="s">
        <v>3043</v>
      </c>
      <c r="F508" s="17" t="s">
        <v>3043</v>
      </c>
      <c r="G508">
        <v>3555260000</v>
      </c>
    </row>
    <row r="509" spans="1:7">
      <c r="A509" s="16">
        <v>42800</v>
      </c>
      <c r="B509" s="17" t="s">
        <v>3044</v>
      </c>
      <c r="C509" s="17" t="s">
        <v>3045</v>
      </c>
      <c r="D509" s="17" t="s">
        <v>3046</v>
      </c>
      <c r="E509" s="17" t="s">
        <v>3047</v>
      </c>
      <c r="F509" s="17" t="s">
        <v>3047</v>
      </c>
      <c r="G509">
        <v>3232700000</v>
      </c>
    </row>
    <row r="510" spans="1:7">
      <c r="A510" s="16">
        <v>42801</v>
      </c>
      <c r="B510" s="17" t="s">
        <v>3048</v>
      </c>
      <c r="C510" s="17" t="s">
        <v>3049</v>
      </c>
      <c r="D510" s="17" t="s">
        <v>3050</v>
      </c>
      <c r="E510" s="17" t="s">
        <v>3051</v>
      </c>
      <c r="F510" s="17" t="s">
        <v>3051</v>
      </c>
      <c r="G510">
        <v>3518390000</v>
      </c>
    </row>
    <row r="511" spans="1:7">
      <c r="A511" s="16">
        <v>42802</v>
      </c>
      <c r="B511" s="17" t="s">
        <v>3052</v>
      </c>
      <c r="C511" s="17" t="s">
        <v>3053</v>
      </c>
      <c r="D511" s="17" t="s">
        <v>3054</v>
      </c>
      <c r="E511" s="17" t="s">
        <v>3055</v>
      </c>
      <c r="F511" s="17" t="s">
        <v>3055</v>
      </c>
      <c r="G511">
        <v>3812100000</v>
      </c>
    </row>
    <row r="512" spans="1:7">
      <c r="A512" s="16">
        <v>42803</v>
      </c>
      <c r="B512" s="17" t="s">
        <v>3056</v>
      </c>
      <c r="C512" s="17" t="s">
        <v>3057</v>
      </c>
      <c r="D512" s="17" t="s">
        <v>3058</v>
      </c>
      <c r="E512" s="17" t="s">
        <v>3059</v>
      </c>
      <c r="F512" s="17" t="s">
        <v>3059</v>
      </c>
      <c r="G512">
        <v>3716340000</v>
      </c>
    </row>
    <row r="513" spans="1:7">
      <c r="A513" s="16">
        <v>42804</v>
      </c>
      <c r="B513" s="17" t="s">
        <v>3060</v>
      </c>
      <c r="C513" s="17" t="s">
        <v>3061</v>
      </c>
      <c r="D513" s="17" t="s">
        <v>3062</v>
      </c>
      <c r="E513" s="17" t="s">
        <v>3063</v>
      </c>
      <c r="F513" s="17" t="s">
        <v>3063</v>
      </c>
      <c r="G513">
        <v>3432950000</v>
      </c>
    </row>
    <row r="514" spans="1:7">
      <c r="A514" s="16">
        <v>42807</v>
      </c>
      <c r="B514" s="17" t="s">
        <v>3064</v>
      </c>
      <c r="C514" s="17" t="s">
        <v>3065</v>
      </c>
      <c r="D514" s="17" t="s">
        <v>3066</v>
      </c>
      <c r="E514" s="17" t="s">
        <v>3067</v>
      </c>
      <c r="F514" s="17" t="s">
        <v>3067</v>
      </c>
      <c r="G514">
        <v>3133900000</v>
      </c>
    </row>
    <row r="515" spans="1:7">
      <c r="A515" s="16">
        <v>42808</v>
      </c>
      <c r="B515" s="17" t="s">
        <v>3068</v>
      </c>
      <c r="C515" s="17" t="s">
        <v>3068</v>
      </c>
      <c r="D515" s="17" t="s">
        <v>3069</v>
      </c>
      <c r="E515" s="17" t="s">
        <v>3070</v>
      </c>
      <c r="F515" s="17" t="s">
        <v>3070</v>
      </c>
      <c r="G515">
        <v>3172630000</v>
      </c>
    </row>
    <row r="516" spans="1:7">
      <c r="A516" s="16">
        <v>42809</v>
      </c>
      <c r="B516" s="17" t="s">
        <v>3071</v>
      </c>
      <c r="C516" s="17" t="s">
        <v>3072</v>
      </c>
      <c r="D516" s="17" t="s">
        <v>3073</v>
      </c>
      <c r="E516" s="17" t="s">
        <v>3074</v>
      </c>
      <c r="F516" s="17" t="s">
        <v>3074</v>
      </c>
      <c r="G516">
        <v>3906840000</v>
      </c>
    </row>
    <row r="517" spans="1:7">
      <c r="A517" s="16">
        <v>42810</v>
      </c>
      <c r="B517" s="17" t="s">
        <v>3075</v>
      </c>
      <c r="C517" s="17" t="s">
        <v>3076</v>
      </c>
      <c r="D517" s="17" t="s">
        <v>3077</v>
      </c>
      <c r="E517" s="17" t="s">
        <v>3078</v>
      </c>
      <c r="F517" s="17" t="s">
        <v>3078</v>
      </c>
      <c r="G517">
        <v>3365660000</v>
      </c>
    </row>
    <row r="518" spans="1:7">
      <c r="A518" s="16">
        <v>42811</v>
      </c>
      <c r="B518" s="17" t="s">
        <v>3079</v>
      </c>
      <c r="C518" s="17" t="s">
        <v>3080</v>
      </c>
      <c r="D518" s="17" t="s">
        <v>3081</v>
      </c>
      <c r="E518" s="17" t="s">
        <v>3082</v>
      </c>
      <c r="F518" s="17" t="s">
        <v>3082</v>
      </c>
      <c r="G518">
        <v>5178040000</v>
      </c>
    </row>
    <row r="519" spans="1:7">
      <c r="A519" s="16">
        <v>42814</v>
      </c>
      <c r="B519" s="17" t="s">
        <v>3083</v>
      </c>
      <c r="C519" s="17" t="s">
        <v>3084</v>
      </c>
      <c r="D519" s="17" t="s">
        <v>3085</v>
      </c>
      <c r="E519" s="17" t="s">
        <v>3067</v>
      </c>
      <c r="F519" s="17" t="s">
        <v>3067</v>
      </c>
      <c r="G519">
        <v>3054930000</v>
      </c>
    </row>
    <row r="520" spans="1:7">
      <c r="A520" s="16">
        <v>42815</v>
      </c>
      <c r="B520" s="17" t="s">
        <v>3086</v>
      </c>
      <c r="C520" s="17" t="s">
        <v>3087</v>
      </c>
      <c r="D520" s="17" t="s">
        <v>3088</v>
      </c>
      <c r="E520" s="17" t="s">
        <v>3089</v>
      </c>
      <c r="F520" s="17" t="s">
        <v>3089</v>
      </c>
      <c r="G520">
        <v>4265590000</v>
      </c>
    </row>
    <row r="521" spans="1:7">
      <c r="A521" s="16">
        <v>42816</v>
      </c>
      <c r="B521" s="17" t="s">
        <v>3090</v>
      </c>
      <c r="C521" s="17" t="s">
        <v>3091</v>
      </c>
      <c r="D521" s="17" t="s">
        <v>3092</v>
      </c>
      <c r="E521" s="17" t="s">
        <v>3093</v>
      </c>
      <c r="F521" s="17" t="s">
        <v>3093</v>
      </c>
      <c r="G521">
        <v>3572730000</v>
      </c>
    </row>
    <row r="522" spans="1:7">
      <c r="A522" s="16">
        <v>42817</v>
      </c>
      <c r="B522" s="17" t="s">
        <v>3094</v>
      </c>
      <c r="C522" s="17" t="s">
        <v>3095</v>
      </c>
      <c r="D522" s="17" t="s">
        <v>3096</v>
      </c>
      <c r="E522" s="17" t="s">
        <v>3097</v>
      </c>
      <c r="F522" s="17" t="s">
        <v>3097</v>
      </c>
      <c r="G522">
        <v>3260600000</v>
      </c>
    </row>
    <row r="523" spans="1:7">
      <c r="A523" s="16">
        <v>42818</v>
      </c>
      <c r="B523" s="17" t="s">
        <v>3098</v>
      </c>
      <c r="C523" s="17" t="s">
        <v>3099</v>
      </c>
      <c r="D523" s="17" t="s">
        <v>3100</v>
      </c>
      <c r="E523" s="17" t="s">
        <v>3101</v>
      </c>
      <c r="F523" s="17" t="s">
        <v>3101</v>
      </c>
      <c r="G523">
        <v>2975130000</v>
      </c>
    </row>
    <row r="524" spans="1:7">
      <c r="A524" s="16">
        <v>42821</v>
      </c>
      <c r="B524" s="17" t="s">
        <v>3102</v>
      </c>
      <c r="C524" s="17" t="s">
        <v>3103</v>
      </c>
      <c r="D524" s="17" t="s">
        <v>3104</v>
      </c>
      <c r="E524" s="17" t="s">
        <v>3105</v>
      </c>
      <c r="F524" s="17" t="s">
        <v>3105</v>
      </c>
      <c r="G524">
        <v>3240230000</v>
      </c>
    </row>
    <row r="525" spans="1:7">
      <c r="A525" s="16">
        <v>42822</v>
      </c>
      <c r="B525" s="17" t="s">
        <v>3106</v>
      </c>
      <c r="C525" s="17" t="s">
        <v>3107</v>
      </c>
      <c r="D525" s="17" t="s">
        <v>3108</v>
      </c>
      <c r="E525" s="17" t="s">
        <v>3109</v>
      </c>
      <c r="F525" s="17" t="s">
        <v>3109</v>
      </c>
      <c r="G525">
        <v>3367780000</v>
      </c>
    </row>
    <row r="526" spans="1:7">
      <c r="A526" s="16">
        <v>42823</v>
      </c>
      <c r="B526" s="17" t="s">
        <v>3110</v>
      </c>
      <c r="C526" s="17" t="s">
        <v>3111</v>
      </c>
      <c r="D526" s="17" t="s">
        <v>3112</v>
      </c>
      <c r="E526" s="17" t="s">
        <v>3113</v>
      </c>
      <c r="F526" s="17" t="s">
        <v>3113</v>
      </c>
      <c r="G526">
        <v>3106940000</v>
      </c>
    </row>
    <row r="527" spans="1:7">
      <c r="A527" s="16">
        <v>42824</v>
      </c>
      <c r="B527" s="17" t="s">
        <v>3114</v>
      </c>
      <c r="C527" s="17" t="s">
        <v>3115</v>
      </c>
      <c r="D527" s="17" t="s">
        <v>3116</v>
      </c>
      <c r="E527" s="17" t="s">
        <v>3117</v>
      </c>
      <c r="F527" s="17" t="s">
        <v>3117</v>
      </c>
      <c r="G527">
        <v>3158420000</v>
      </c>
    </row>
    <row r="528" spans="1:7">
      <c r="A528" s="16">
        <v>42825</v>
      </c>
      <c r="B528" s="17" t="s">
        <v>3118</v>
      </c>
      <c r="C528" s="17" t="s">
        <v>3119</v>
      </c>
      <c r="D528" s="17" t="s">
        <v>3120</v>
      </c>
      <c r="E528" s="17" t="s">
        <v>3121</v>
      </c>
      <c r="F528" s="17" t="s">
        <v>3121</v>
      </c>
      <c r="G528">
        <v>3354110000</v>
      </c>
    </row>
    <row r="529" spans="1:7">
      <c r="A529" s="16">
        <v>42828</v>
      </c>
      <c r="B529" s="17" t="s">
        <v>3122</v>
      </c>
      <c r="C529" s="17" t="s">
        <v>3123</v>
      </c>
      <c r="D529" s="17" t="s">
        <v>3124</v>
      </c>
      <c r="E529" s="17" t="s">
        <v>3125</v>
      </c>
      <c r="F529" s="17" t="s">
        <v>3125</v>
      </c>
      <c r="G529">
        <v>3416400000</v>
      </c>
    </row>
    <row r="530" spans="1:7">
      <c r="A530" s="16">
        <v>42829</v>
      </c>
      <c r="B530" s="17" t="s">
        <v>3126</v>
      </c>
      <c r="C530" s="17" t="s">
        <v>3127</v>
      </c>
      <c r="D530" s="17" t="s">
        <v>3128</v>
      </c>
      <c r="E530" s="17" t="s">
        <v>3129</v>
      </c>
      <c r="F530" s="17" t="s">
        <v>3129</v>
      </c>
      <c r="G530">
        <v>3206240000</v>
      </c>
    </row>
    <row r="531" spans="1:7">
      <c r="A531" s="16">
        <v>42830</v>
      </c>
      <c r="B531" s="17" t="s">
        <v>3130</v>
      </c>
      <c r="C531" s="17" t="s">
        <v>3131</v>
      </c>
      <c r="D531" s="17" t="s">
        <v>3132</v>
      </c>
      <c r="E531" s="17" t="s">
        <v>3133</v>
      </c>
      <c r="F531" s="17" t="s">
        <v>3133</v>
      </c>
      <c r="G531">
        <v>3770520000</v>
      </c>
    </row>
    <row r="532" spans="1:7">
      <c r="A532" s="16">
        <v>42831</v>
      </c>
      <c r="B532" s="17" t="s">
        <v>3134</v>
      </c>
      <c r="C532" s="17" t="s">
        <v>3135</v>
      </c>
      <c r="D532" s="17" t="s">
        <v>3136</v>
      </c>
      <c r="E532" s="17" t="s">
        <v>3137</v>
      </c>
      <c r="F532" s="17" t="s">
        <v>3137</v>
      </c>
      <c r="G532">
        <v>3201920000</v>
      </c>
    </row>
    <row r="533" spans="1:7">
      <c r="A533" s="16">
        <v>42832</v>
      </c>
      <c r="B533" s="17" t="s">
        <v>3138</v>
      </c>
      <c r="C533" s="17" t="s">
        <v>3139</v>
      </c>
      <c r="D533" s="17" t="s">
        <v>3140</v>
      </c>
      <c r="E533" s="17" t="s">
        <v>3141</v>
      </c>
      <c r="F533" s="17" t="s">
        <v>3141</v>
      </c>
      <c r="G533">
        <v>3053150000</v>
      </c>
    </row>
    <row r="534" spans="1:7">
      <c r="A534" s="16">
        <v>42835</v>
      </c>
      <c r="B534" s="17" t="s">
        <v>3142</v>
      </c>
      <c r="C534" s="17" t="s">
        <v>3143</v>
      </c>
      <c r="D534" s="17" t="s">
        <v>3144</v>
      </c>
      <c r="E534" s="17" t="s">
        <v>3142</v>
      </c>
      <c r="F534" s="17" t="s">
        <v>3142</v>
      </c>
      <c r="G534">
        <v>2785410000</v>
      </c>
    </row>
    <row r="535" spans="1:7">
      <c r="A535" s="16">
        <v>42836</v>
      </c>
      <c r="B535" s="17" t="s">
        <v>3145</v>
      </c>
      <c r="C535" s="17" t="s">
        <v>3146</v>
      </c>
      <c r="D535" s="17" t="s">
        <v>3147</v>
      </c>
      <c r="E535" s="17" t="s">
        <v>3148</v>
      </c>
      <c r="F535" s="17" t="s">
        <v>3148</v>
      </c>
      <c r="G535">
        <v>3117420000</v>
      </c>
    </row>
    <row r="536" spans="1:7">
      <c r="A536" s="16">
        <v>42837</v>
      </c>
      <c r="B536" s="17" t="s">
        <v>3149</v>
      </c>
      <c r="C536" s="17" t="s">
        <v>3150</v>
      </c>
      <c r="D536" s="17" t="s">
        <v>3151</v>
      </c>
      <c r="E536" s="17" t="s">
        <v>3152</v>
      </c>
      <c r="F536" s="17" t="s">
        <v>3152</v>
      </c>
      <c r="G536">
        <v>3196950000</v>
      </c>
    </row>
    <row r="537" spans="1:7">
      <c r="A537" s="16">
        <v>42838</v>
      </c>
      <c r="B537" s="17" t="s">
        <v>3153</v>
      </c>
      <c r="C537" s="17" t="s">
        <v>3154</v>
      </c>
      <c r="D537" s="17" t="s">
        <v>3155</v>
      </c>
      <c r="E537" s="17" t="s">
        <v>3155</v>
      </c>
      <c r="F537" s="17" t="s">
        <v>3155</v>
      </c>
      <c r="G537">
        <v>3143890000</v>
      </c>
    </row>
    <row r="538" spans="1:7">
      <c r="A538" s="16">
        <v>42842</v>
      </c>
      <c r="B538" s="17" t="s">
        <v>3156</v>
      </c>
      <c r="C538" s="17" t="s">
        <v>3157</v>
      </c>
      <c r="D538" s="17" t="s">
        <v>3158</v>
      </c>
      <c r="E538" s="17" t="s">
        <v>3159</v>
      </c>
      <c r="F538" s="17" t="s">
        <v>3159</v>
      </c>
      <c r="G538">
        <v>2824710000</v>
      </c>
    </row>
    <row r="539" spans="1:7">
      <c r="A539" s="16">
        <v>42843</v>
      </c>
      <c r="B539" s="17" t="s">
        <v>3160</v>
      </c>
      <c r="C539" s="17" t="s">
        <v>3161</v>
      </c>
      <c r="D539" s="17" t="s">
        <v>3162</v>
      </c>
      <c r="E539" s="17" t="s">
        <v>3163</v>
      </c>
      <c r="F539" s="17" t="s">
        <v>3163</v>
      </c>
      <c r="G539">
        <v>3269840000</v>
      </c>
    </row>
    <row r="540" spans="1:7">
      <c r="A540" s="16">
        <v>42844</v>
      </c>
      <c r="B540" s="17" t="s">
        <v>3164</v>
      </c>
      <c r="C540" s="17" t="s">
        <v>3165</v>
      </c>
      <c r="D540" s="17" t="s">
        <v>3166</v>
      </c>
      <c r="E540" s="17" t="s">
        <v>3167</v>
      </c>
      <c r="F540" s="17" t="s">
        <v>3167</v>
      </c>
      <c r="G540">
        <v>3519900000</v>
      </c>
    </row>
    <row r="541" spans="1:7">
      <c r="A541" s="16">
        <v>42845</v>
      </c>
      <c r="B541" s="17" t="s">
        <v>3168</v>
      </c>
      <c r="C541" s="17" t="s">
        <v>3169</v>
      </c>
      <c r="D541" s="17" t="s">
        <v>3170</v>
      </c>
      <c r="E541" s="17" t="s">
        <v>3171</v>
      </c>
      <c r="F541" s="17" t="s">
        <v>3171</v>
      </c>
      <c r="G541">
        <v>3647420000</v>
      </c>
    </row>
    <row r="542" spans="1:7">
      <c r="A542" s="16">
        <v>42846</v>
      </c>
      <c r="B542" s="17" t="s">
        <v>3172</v>
      </c>
      <c r="C542" s="17" t="s">
        <v>3173</v>
      </c>
      <c r="D542" s="17" t="s">
        <v>3174</v>
      </c>
      <c r="E542" s="17" t="s">
        <v>3175</v>
      </c>
      <c r="F542" s="17" t="s">
        <v>3175</v>
      </c>
      <c r="G542">
        <v>3503360000</v>
      </c>
    </row>
    <row r="543" spans="1:7">
      <c r="A543" s="16">
        <v>42849</v>
      </c>
      <c r="B543" s="17" t="s">
        <v>3176</v>
      </c>
      <c r="C543" s="17" t="s">
        <v>3177</v>
      </c>
      <c r="D543" s="17" t="s">
        <v>3178</v>
      </c>
      <c r="E543" s="17" t="s">
        <v>3179</v>
      </c>
      <c r="F543" s="17" t="s">
        <v>3179</v>
      </c>
      <c r="G543">
        <v>3690650000</v>
      </c>
    </row>
    <row r="544" spans="1:7">
      <c r="A544" s="16">
        <v>42850</v>
      </c>
      <c r="B544" s="17" t="s">
        <v>3180</v>
      </c>
      <c r="C544" s="17" t="s">
        <v>3181</v>
      </c>
      <c r="D544" s="17" t="s">
        <v>3182</v>
      </c>
      <c r="E544" s="17" t="s">
        <v>3183</v>
      </c>
      <c r="F544" s="17" t="s">
        <v>3183</v>
      </c>
      <c r="G544">
        <v>3995240000</v>
      </c>
    </row>
    <row r="545" spans="1:7">
      <c r="A545" s="16">
        <v>42851</v>
      </c>
      <c r="B545" s="17" t="s">
        <v>3184</v>
      </c>
      <c r="C545" s="17" t="s">
        <v>3185</v>
      </c>
      <c r="D545" s="17" t="s">
        <v>3186</v>
      </c>
      <c r="E545" s="17" t="s">
        <v>3187</v>
      </c>
      <c r="F545" s="17" t="s">
        <v>3187</v>
      </c>
      <c r="G545">
        <v>4105920000</v>
      </c>
    </row>
    <row r="546" spans="1:7">
      <c r="A546" s="16">
        <v>42852</v>
      </c>
      <c r="B546" s="17" t="s">
        <v>3188</v>
      </c>
      <c r="C546" s="17" t="s">
        <v>3189</v>
      </c>
      <c r="D546" s="17" t="s">
        <v>3190</v>
      </c>
      <c r="E546" s="17" t="s">
        <v>3191</v>
      </c>
      <c r="F546" s="17" t="s">
        <v>3191</v>
      </c>
      <c r="G546">
        <v>4098460000</v>
      </c>
    </row>
    <row r="547" spans="1:7">
      <c r="A547" s="16">
        <v>42853</v>
      </c>
      <c r="B547" s="17" t="s">
        <v>3192</v>
      </c>
      <c r="C547" s="17" t="s">
        <v>3192</v>
      </c>
      <c r="D547" s="17" t="s">
        <v>3193</v>
      </c>
      <c r="E547" s="17" t="s">
        <v>3194</v>
      </c>
      <c r="F547" s="17" t="s">
        <v>3194</v>
      </c>
      <c r="G547">
        <v>3718270000</v>
      </c>
    </row>
    <row r="548" spans="1:7">
      <c r="A548" s="16">
        <v>42856</v>
      </c>
      <c r="B548" s="17" t="s">
        <v>3195</v>
      </c>
      <c r="C548" s="17" t="s">
        <v>3196</v>
      </c>
      <c r="D548" s="17" t="s">
        <v>3197</v>
      </c>
      <c r="E548" s="17" t="s">
        <v>3198</v>
      </c>
      <c r="F548" s="17" t="s">
        <v>3198</v>
      </c>
      <c r="G548">
        <v>3199240000</v>
      </c>
    </row>
    <row r="549" spans="1:7">
      <c r="A549" s="16">
        <v>42857</v>
      </c>
      <c r="B549" s="17" t="s">
        <v>3199</v>
      </c>
      <c r="C549" s="17" t="s">
        <v>3200</v>
      </c>
      <c r="D549" s="17" t="s">
        <v>3201</v>
      </c>
      <c r="E549" s="17" t="s">
        <v>3202</v>
      </c>
      <c r="F549" s="17" t="s">
        <v>3202</v>
      </c>
      <c r="G549">
        <v>3813680000</v>
      </c>
    </row>
    <row r="550" spans="1:7">
      <c r="A550" s="16">
        <v>42858</v>
      </c>
      <c r="B550" s="17" t="s">
        <v>3203</v>
      </c>
      <c r="C550" s="17" t="s">
        <v>3204</v>
      </c>
      <c r="D550" s="17" t="s">
        <v>3205</v>
      </c>
      <c r="E550" s="17" t="s">
        <v>3206</v>
      </c>
      <c r="F550" s="17" t="s">
        <v>3206</v>
      </c>
      <c r="G550">
        <v>3893990000</v>
      </c>
    </row>
    <row r="551" spans="1:7">
      <c r="A551" s="16">
        <v>42859</v>
      </c>
      <c r="B551" s="17" t="s">
        <v>3207</v>
      </c>
      <c r="C551" s="17" t="s">
        <v>3208</v>
      </c>
      <c r="D551" s="17" t="s">
        <v>3209</v>
      </c>
      <c r="E551" s="17" t="s">
        <v>3210</v>
      </c>
      <c r="F551" s="17" t="s">
        <v>3210</v>
      </c>
      <c r="G551">
        <v>4362540000</v>
      </c>
    </row>
    <row r="552" spans="1:7">
      <c r="A552" s="16">
        <v>42860</v>
      </c>
      <c r="B552" s="17" t="s">
        <v>3211</v>
      </c>
      <c r="C552" s="17" t="s">
        <v>3212</v>
      </c>
      <c r="D552" s="17" t="s">
        <v>3213</v>
      </c>
      <c r="E552" s="17" t="s">
        <v>3212</v>
      </c>
      <c r="F552" s="17" t="s">
        <v>3212</v>
      </c>
      <c r="G552">
        <v>3540140000</v>
      </c>
    </row>
    <row r="553" spans="1:7">
      <c r="A553" s="16">
        <v>42863</v>
      </c>
      <c r="B553" s="17" t="s">
        <v>3214</v>
      </c>
      <c r="C553" s="17" t="s">
        <v>3215</v>
      </c>
      <c r="D553" s="17" t="s">
        <v>3216</v>
      </c>
      <c r="E553" s="17" t="s">
        <v>3217</v>
      </c>
      <c r="F553" s="17" t="s">
        <v>3217</v>
      </c>
      <c r="G553">
        <v>3429440000</v>
      </c>
    </row>
    <row r="554" spans="1:7">
      <c r="A554" s="16">
        <v>42864</v>
      </c>
      <c r="B554" s="17" t="s">
        <v>3218</v>
      </c>
      <c r="C554" s="17" t="s">
        <v>3219</v>
      </c>
      <c r="D554" s="17" t="s">
        <v>3220</v>
      </c>
      <c r="E554" s="17" t="s">
        <v>3221</v>
      </c>
      <c r="F554" s="17" t="s">
        <v>3221</v>
      </c>
      <c r="G554">
        <v>3653590000</v>
      </c>
    </row>
    <row r="555" spans="1:7">
      <c r="A555" s="16">
        <v>42865</v>
      </c>
      <c r="B555" s="17" t="s">
        <v>3222</v>
      </c>
      <c r="C555" s="17" t="s">
        <v>3223</v>
      </c>
      <c r="D555" s="17" t="s">
        <v>3224</v>
      </c>
      <c r="E555" s="17" t="s">
        <v>3225</v>
      </c>
      <c r="F555" s="17" t="s">
        <v>3225</v>
      </c>
      <c r="G555">
        <v>3643530000</v>
      </c>
    </row>
    <row r="556" spans="1:7">
      <c r="A556" s="16">
        <v>42866</v>
      </c>
      <c r="B556" s="17" t="s">
        <v>3226</v>
      </c>
      <c r="C556" s="17" t="s">
        <v>3227</v>
      </c>
      <c r="D556" s="17" t="s">
        <v>3228</v>
      </c>
      <c r="E556" s="17" t="s">
        <v>3229</v>
      </c>
      <c r="F556" s="17" t="s">
        <v>3229</v>
      </c>
      <c r="G556">
        <v>3727420000</v>
      </c>
    </row>
    <row r="557" spans="1:7">
      <c r="A557" s="16">
        <v>42867</v>
      </c>
      <c r="B557" s="17" t="s">
        <v>3220</v>
      </c>
      <c r="C557" s="17" t="s">
        <v>3220</v>
      </c>
      <c r="D557" s="17" t="s">
        <v>3230</v>
      </c>
      <c r="E557" s="17" t="s">
        <v>3231</v>
      </c>
      <c r="F557" s="17" t="s">
        <v>3231</v>
      </c>
      <c r="G557">
        <v>3305630000</v>
      </c>
    </row>
    <row r="558" spans="1:7">
      <c r="A558" s="16">
        <v>42870</v>
      </c>
      <c r="B558" s="17" t="s">
        <v>3232</v>
      </c>
      <c r="C558" s="17" t="s">
        <v>3233</v>
      </c>
      <c r="D558" s="17" t="s">
        <v>3234</v>
      </c>
      <c r="E558" s="17" t="s">
        <v>3235</v>
      </c>
      <c r="F558" s="17" t="s">
        <v>3235</v>
      </c>
      <c r="G558">
        <v>3473600000</v>
      </c>
    </row>
    <row r="559" spans="1:7">
      <c r="A559" s="16">
        <v>42871</v>
      </c>
      <c r="B559" s="17" t="s">
        <v>3236</v>
      </c>
      <c r="C559" s="17" t="s">
        <v>3237</v>
      </c>
      <c r="D559" s="17" t="s">
        <v>3238</v>
      </c>
      <c r="E559" s="17" t="s">
        <v>3239</v>
      </c>
      <c r="F559" s="17" t="s">
        <v>3239</v>
      </c>
      <c r="G559">
        <v>3420790000</v>
      </c>
    </row>
    <row r="560" spans="1:7">
      <c r="A560" s="16">
        <v>42872</v>
      </c>
      <c r="B560" s="17" t="s">
        <v>3240</v>
      </c>
      <c r="C560" s="17" t="s">
        <v>3241</v>
      </c>
      <c r="D560" s="17" t="s">
        <v>3242</v>
      </c>
      <c r="E560" s="17" t="s">
        <v>3243</v>
      </c>
      <c r="F560" s="17" t="s">
        <v>3243</v>
      </c>
      <c r="G560">
        <v>4163000000</v>
      </c>
    </row>
    <row r="561" spans="1:7">
      <c r="A561" s="16">
        <v>42873</v>
      </c>
      <c r="B561" s="17" t="s">
        <v>3244</v>
      </c>
      <c r="C561" s="17" t="s">
        <v>3245</v>
      </c>
      <c r="D561" s="17" t="s">
        <v>3150</v>
      </c>
      <c r="E561" s="17" t="s">
        <v>3246</v>
      </c>
      <c r="F561" s="17" t="s">
        <v>3246</v>
      </c>
      <c r="G561">
        <v>4319420000</v>
      </c>
    </row>
    <row r="562" spans="1:7">
      <c r="A562" s="16">
        <v>42874</v>
      </c>
      <c r="B562" s="17" t="s">
        <v>3247</v>
      </c>
      <c r="C562" s="17" t="s">
        <v>3248</v>
      </c>
      <c r="D562" s="17" t="s">
        <v>3249</v>
      </c>
      <c r="E562" s="17" t="s">
        <v>3250</v>
      </c>
      <c r="F562" s="17" t="s">
        <v>3250</v>
      </c>
      <c r="G562">
        <v>3825160000</v>
      </c>
    </row>
    <row r="563" spans="1:7">
      <c r="A563" s="16">
        <v>42877</v>
      </c>
      <c r="B563" s="17" t="s">
        <v>3251</v>
      </c>
      <c r="C563" s="17" t="s">
        <v>3252</v>
      </c>
      <c r="D563" s="17" t="s">
        <v>3253</v>
      </c>
      <c r="E563" s="17" t="s">
        <v>3254</v>
      </c>
      <c r="F563" s="17" t="s">
        <v>3254</v>
      </c>
      <c r="G563">
        <v>3172830000</v>
      </c>
    </row>
    <row r="564" spans="1:7">
      <c r="A564" s="16">
        <v>42878</v>
      </c>
      <c r="B564" s="17" t="s">
        <v>3255</v>
      </c>
      <c r="C564" s="17" t="s">
        <v>3256</v>
      </c>
      <c r="D564" s="17" t="s">
        <v>3257</v>
      </c>
      <c r="E564" s="17" t="s">
        <v>3258</v>
      </c>
      <c r="F564" s="17" t="s">
        <v>3258</v>
      </c>
      <c r="G564">
        <v>3213570000</v>
      </c>
    </row>
    <row r="565" spans="1:7">
      <c r="A565" s="16">
        <v>42879</v>
      </c>
      <c r="B565" s="17" t="s">
        <v>3259</v>
      </c>
      <c r="C565" s="17" t="s">
        <v>3260</v>
      </c>
      <c r="D565" s="17" t="s">
        <v>3261</v>
      </c>
      <c r="E565" s="17" t="s">
        <v>3262</v>
      </c>
      <c r="F565" s="17" t="s">
        <v>3262</v>
      </c>
      <c r="G565">
        <v>3389900000</v>
      </c>
    </row>
    <row r="566" spans="1:7">
      <c r="A566" s="16">
        <v>42880</v>
      </c>
      <c r="B566" s="17" t="s">
        <v>3263</v>
      </c>
      <c r="C566" s="17" t="s">
        <v>3264</v>
      </c>
      <c r="D566" s="17" t="s">
        <v>3265</v>
      </c>
      <c r="E566" s="17" t="s">
        <v>3266</v>
      </c>
      <c r="F566" s="17" t="s">
        <v>3266</v>
      </c>
      <c r="G566">
        <v>3535390000</v>
      </c>
    </row>
    <row r="567" spans="1:7">
      <c r="A567" s="16">
        <v>42881</v>
      </c>
      <c r="B567" s="17" t="s">
        <v>3267</v>
      </c>
      <c r="C567" s="17" t="s">
        <v>3268</v>
      </c>
      <c r="D567" s="17" t="s">
        <v>3269</v>
      </c>
      <c r="E567" s="17" t="s">
        <v>3270</v>
      </c>
      <c r="F567" s="17" t="s">
        <v>3270</v>
      </c>
      <c r="G567">
        <v>2805040000</v>
      </c>
    </row>
    <row r="568" spans="1:7">
      <c r="A568" s="16">
        <v>42885</v>
      </c>
      <c r="B568" s="17" t="s">
        <v>3271</v>
      </c>
      <c r="C568" s="17" t="s">
        <v>3272</v>
      </c>
      <c r="D568" s="17" t="s">
        <v>3273</v>
      </c>
      <c r="E568" s="17" t="s">
        <v>3274</v>
      </c>
      <c r="F568" s="17" t="s">
        <v>3274</v>
      </c>
      <c r="G568">
        <v>3203160000</v>
      </c>
    </row>
    <row r="569" spans="1:7">
      <c r="A569" s="16">
        <v>42886</v>
      </c>
      <c r="B569" s="17" t="s">
        <v>3275</v>
      </c>
      <c r="C569" s="17" t="s">
        <v>3276</v>
      </c>
      <c r="D569" s="17" t="s">
        <v>3277</v>
      </c>
      <c r="E569" s="17" t="s">
        <v>3278</v>
      </c>
      <c r="F569" s="17" t="s">
        <v>3278</v>
      </c>
      <c r="G569">
        <v>4516110000</v>
      </c>
    </row>
    <row r="570" spans="1:7">
      <c r="A570" s="16">
        <v>42887</v>
      </c>
      <c r="B570" s="17" t="s">
        <v>3279</v>
      </c>
      <c r="C570" s="17" t="s">
        <v>3280</v>
      </c>
      <c r="D570" s="17" t="s">
        <v>3281</v>
      </c>
      <c r="E570" s="17" t="s">
        <v>3280</v>
      </c>
      <c r="F570" s="17" t="s">
        <v>3280</v>
      </c>
      <c r="G570">
        <v>3857140000</v>
      </c>
    </row>
    <row r="571" spans="1:7">
      <c r="A571" s="16">
        <v>42888</v>
      </c>
      <c r="B571" s="17" t="s">
        <v>3282</v>
      </c>
      <c r="C571" s="17" t="s">
        <v>3283</v>
      </c>
      <c r="D571" s="17" t="s">
        <v>3284</v>
      </c>
      <c r="E571" s="17" t="s">
        <v>3285</v>
      </c>
      <c r="F571" s="17" t="s">
        <v>3285</v>
      </c>
      <c r="G571">
        <v>3461680000</v>
      </c>
    </row>
    <row r="572" spans="1:7">
      <c r="A572" s="16">
        <v>42891</v>
      </c>
      <c r="B572" s="17" t="s">
        <v>3286</v>
      </c>
      <c r="C572" s="17" t="s">
        <v>3287</v>
      </c>
      <c r="D572" s="17" t="s">
        <v>3288</v>
      </c>
      <c r="E572" s="17" t="s">
        <v>3289</v>
      </c>
      <c r="F572" s="17" t="s">
        <v>3289</v>
      </c>
      <c r="G572">
        <v>2912600000</v>
      </c>
    </row>
    <row r="573" spans="1:7">
      <c r="A573" s="16">
        <v>42892</v>
      </c>
      <c r="B573" s="17" t="s">
        <v>3290</v>
      </c>
      <c r="C573" s="17" t="s">
        <v>3291</v>
      </c>
      <c r="D573" s="17" t="s">
        <v>3292</v>
      </c>
      <c r="E573" s="17" t="s">
        <v>3293</v>
      </c>
      <c r="F573" s="17" t="s">
        <v>3293</v>
      </c>
      <c r="G573">
        <v>3357840000</v>
      </c>
    </row>
    <row r="574" spans="1:7">
      <c r="A574" s="16">
        <v>42893</v>
      </c>
      <c r="B574" s="17" t="s">
        <v>3294</v>
      </c>
      <c r="C574" s="17" t="s">
        <v>3295</v>
      </c>
      <c r="D574" s="17" t="s">
        <v>3296</v>
      </c>
      <c r="E574" s="17" t="s">
        <v>3297</v>
      </c>
      <c r="F574" s="17" t="s">
        <v>3297</v>
      </c>
      <c r="G574">
        <v>3572300000</v>
      </c>
    </row>
    <row r="575" spans="1:7">
      <c r="A575" s="16">
        <v>42894</v>
      </c>
      <c r="B575" s="17" t="s">
        <v>3298</v>
      </c>
      <c r="C575" s="17" t="s">
        <v>3299</v>
      </c>
      <c r="D575" s="17" t="s">
        <v>3300</v>
      </c>
      <c r="E575" s="17" t="s">
        <v>3301</v>
      </c>
      <c r="F575" s="17" t="s">
        <v>3301</v>
      </c>
      <c r="G575">
        <v>3728860000</v>
      </c>
    </row>
    <row r="576" spans="1:7">
      <c r="A576" s="16">
        <v>42895</v>
      </c>
      <c r="B576" s="17" t="s">
        <v>3302</v>
      </c>
      <c r="C576" s="17" t="s">
        <v>3303</v>
      </c>
      <c r="D576" s="17" t="s">
        <v>3304</v>
      </c>
      <c r="E576" s="17" t="s">
        <v>3305</v>
      </c>
      <c r="F576" s="17" t="s">
        <v>3305</v>
      </c>
      <c r="G576">
        <v>4027340000</v>
      </c>
    </row>
    <row r="577" spans="1:7">
      <c r="A577" s="16">
        <v>42898</v>
      </c>
      <c r="B577" s="17" t="s">
        <v>3306</v>
      </c>
      <c r="C577" s="17" t="s">
        <v>3307</v>
      </c>
      <c r="D577" s="17" t="s">
        <v>3308</v>
      </c>
      <c r="E577" s="17" t="s">
        <v>3309</v>
      </c>
      <c r="F577" s="17" t="s">
        <v>3309</v>
      </c>
      <c r="G577">
        <v>4027750000</v>
      </c>
    </row>
    <row r="578" spans="1:7">
      <c r="A578" s="16">
        <v>42899</v>
      </c>
      <c r="B578" s="17" t="s">
        <v>3310</v>
      </c>
      <c r="C578" s="17" t="s">
        <v>3311</v>
      </c>
      <c r="D578" s="17" t="s">
        <v>3282</v>
      </c>
      <c r="E578" s="17" t="s">
        <v>3312</v>
      </c>
      <c r="F578" s="17" t="s">
        <v>3312</v>
      </c>
      <c r="G578">
        <v>3275500000</v>
      </c>
    </row>
    <row r="579" spans="1:7">
      <c r="A579" s="16">
        <v>42900</v>
      </c>
      <c r="B579" s="17" t="s">
        <v>3313</v>
      </c>
      <c r="C579" s="17" t="s">
        <v>3313</v>
      </c>
      <c r="D579" s="17" t="s">
        <v>3314</v>
      </c>
      <c r="E579" s="17" t="s">
        <v>3315</v>
      </c>
      <c r="F579" s="17" t="s">
        <v>3315</v>
      </c>
      <c r="G579">
        <v>3555590000</v>
      </c>
    </row>
    <row r="580" spans="1:7">
      <c r="A580" s="16">
        <v>42901</v>
      </c>
      <c r="B580" s="17" t="s">
        <v>3316</v>
      </c>
      <c r="C580" s="17" t="s">
        <v>3317</v>
      </c>
      <c r="D580" s="17" t="s">
        <v>3318</v>
      </c>
      <c r="E580" s="17" t="s">
        <v>3319</v>
      </c>
      <c r="F580" s="17" t="s">
        <v>3319</v>
      </c>
      <c r="G580">
        <v>3353050000</v>
      </c>
    </row>
    <row r="581" spans="1:7">
      <c r="A581" s="16">
        <v>42902</v>
      </c>
      <c r="B581" s="17" t="s">
        <v>3320</v>
      </c>
      <c r="C581" s="17" t="s">
        <v>3321</v>
      </c>
      <c r="D581" s="17" t="s">
        <v>3322</v>
      </c>
      <c r="E581" s="17" t="s">
        <v>3321</v>
      </c>
      <c r="F581" s="17" t="s">
        <v>3321</v>
      </c>
      <c r="G581">
        <v>5284720000</v>
      </c>
    </row>
    <row r="582" spans="1:7">
      <c r="A582" s="16">
        <v>42905</v>
      </c>
      <c r="B582" s="17" t="s">
        <v>3323</v>
      </c>
      <c r="C582" s="17" t="s">
        <v>3324</v>
      </c>
      <c r="D582" s="17" t="s">
        <v>3325</v>
      </c>
      <c r="E582" s="17" t="s">
        <v>3326</v>
      </c>
      <c r="F582" s="17" t="s">
        <v>3326</v>
      </c>
      <c r="G582">
        <v>3264700000</v>
      </c>
    </row>
    <row r="583" spans="1:7">
      <c r="A583" s="16">
        <v>42906</v>
      </c>
      <c r="B583" s="17" t="s">
        <v>3327</v>
      </c>
      <c r="C583" s="17" t="s">
        <v>3327</v>
      </c>
      <c r="D583" s="17" t="s">
        <v>3328</v>
      </c>
      <c r="E583" s="17" t="s">
        <v>3329</v>
      </c>
      <c r="F583" s="17" t="s">
        <v>3329</v>
      </c>
      <c r="G583">
        <v>3416510000</v>
      </c>
    </row>
    <row r="584" spans="1:7">
      <c r="A584" s="16">
        <v>42907</v>
      </c>
      <c r="B584" s="17" t="s">
        <v>3330</v>
      </c>
      <c r="C584" s="17" t="s">
        <v>3331</v>
      </c>
      <c r="D584" s="17" t="s">
        <v>3332</v>
      </c>
      <c r="E584" s="17" t="s">
        <v>3333</v>
      </c>
      <c r="F584" s="17" t="s">
        <v>3333</v>
      </c>
      <c r="G584">
        <v>3594820000</v>
      </c>
    </row>
    <row r="585" spans="1:7">
      <c r="A585" s="16">
        <v>42908</v>
      </c>
      <c r="B585" s="17" t="s">
        <v>3334</v>
      </c>
      <c r="C585" s="17" t="s">
        <v>3335</v>
      </c>
      <c r="D585" s="17" t="s">
        <v>3336</v>
      </c>
      <c r="E585" s="17" t="s">
        <v>3337</v>
      </c>
      <c r="F585" s="17" t="s">
        <v>3337</v>
      </c>
      <c r="G585">
        <v>3468210000</v>
      </c>
    </row>
    <row r="586" spans="1:7">
      <c r="A586" s="16">
        <v>42909</v>
      </c>
      <c r="B586" s="17" t="s">
        <v>3338</v>
      </c>
      <c r="C586" s="17" t="s">
        <v>3339</v>
      </c>
      <c r="D586" s="17" t="s">
        <v>3340</v>
      </c>
      <c r="E586" s="17" t="s">
        <v>3341</v>
      </c>
      <c r="F586" s="17" t="s">
        <v>3341</v>
      </c>
      <c r="G586">
        <v>5278330000</v>
      </c>
    </row>
    <row r="587" spans="1:7">
      <c r="A587" s="16">
        <v>42912</v>
      </c>
      <c r="B587" s="17" t="s">
        <v>3342</v>
      </c>
      <c r="C587" s="17" t="s">
        <v>3343</v>
      </c>
      <c r="D587" s="17" t="s">
        <v>3329</v>
      </c>
      <c r="E587" s="17" t="s">
        <v>3285</v>
      </c>
      <c r="F587" s="17" t="s">
        <v>3285</v>
      </c>
      <c r="G587">
        <v>3238970000</v>
      </c>
    </row>
    <row r="588" spans="1:7">
      <c r="A588" s="16">
        <v>42913</v>
      </c>
      <c r="B588" s="17" t="s">
        <v>3344</v>
      </c>
      <c r="C588" s="17" t="s">
        <v>3345</v>
      </c>
      <c r="D588" s="17" t="s">
        <v>3346</v>
      </c>
      <c r="E588" s="17" t="s">
        <v>3346</v>
      </c>
      <c r="F588" s="17" t="s">
        <v>3346</v>
      </c>
      <c r="G588">
        <v>3563910000</v>
      </c>
    </row>
    <row r="589" spans="1:7">
      <c r="A589" s="16">
        <v>42914</v>
      </c>
      <c r="B589" s="17" t="s">
        <v>3347</v>
      </c>
      <c r="C589" s="17" t="s">
        <v>3348</v>
      </c>
      <c r="D589" s="17" t="s">
        <v>3349</v>
      </c>
      <c r="E589" s="17" t="s">
        <v>3350</v>
      </c>
      <c r="F589" s="17" t="s">
        <v>3350</v>
      </c>
      <c r="G589">
        <v>3500800000</v>
      </c>
    </row>
    <row r="590" spans="1:7">
      <c r="A590" s="16">
        <v>42915</v>
      </c>
      <c r="B590" s="17" t="s">
        <v>3351</v>
      </c>
      <c r="C590" s="17" t="s">
        <v>3352</v>
      </c>
      <c r="D590" s="17" t="s">
        <v>3353</v>
      </c>
      <c r="E590" s="17" t="s">
        <v>3354</v>
      </c>
      <c r="F590" s="17" t="s">
        <v>3354</v>
      </c>
      <c r="G590">
        <v>3900280000</v>
      </c>
    </row>
    <row r="591" spans="1:7">
      <c r="A591" s="16">
        <v>42916</v>
      </c>
      <c r="B591" s="17" t="s">
        <v>3355</v>
      </c>
      <c r="C591" s="17" t="s">
        <v>3356</v>
      </c>
      <c r="D591" s="17" t="s">
        <v>3357</v>
      </c>
      <c r="E591" s="17" t="s">
        <v>3358</v>
      </c>
      <c r="F591" s="17" t="s">
        <v>3358</v>
      </c>
      <c r="G591">
        <v>3361590000</v>
      </c>
    </row>
    <row r="592" spans="1:7">
      <c r="A592" s="16">
        <v>42919</v>
      </c>
      <c r="B592" s="17" t="s">
        <v>3359</v>
      </c>
      <c r="C592" s="17" t="s">
        <v>3360</v>
      </c>
      <c r="D592" s="17" t="s">
        <v>3361</v>
      </c>
      <c r="E592" s="17" t="s">
        <v>3362</v>
      </c>
      <c r="F592" s="17" t="s">
        <v>3362</v>
      </c>
      <c r="G592">
        <v>1962290000</v>
      </c>
    </row>
    <row r="593" spans="1:7">
      <c r="A593" s="16">
        <v>42921</v>
      </c>
      <c r="B593" s="17" t="s">
        <v>3363</v>
      </c>
      <c r="C593" s="17" t="s">
        <v>3364</v>
      </c>
      <c r="D593" s="17" t="s">
        <v>3365</v>
      </c>
      <c r="E593" s="17" t="s">
        <v>3366</v>
      </c>
      <c r="F593" s="17" t="s">
        <v>3366</v>
      </c>
      <c r="G593">
        <v>3367220000</v>
      </c>
    </row>
    <row r="594" spans="1:7">
      <c r="A594" s="16">
        <v>42922</v>
      </c>
      <c r="B594" s="17" t="s">
        <v>3367</v>
      </c>
      <c r="C594" s="17" t="s">
        <v>3368</v>
      </c>
      <c r="D594" s="17" t="s">
        <v>3369</v>
      </c>
      <c r="E594" s="17" t="s">
        <v>3370</v>
      </c>
      <c r="F594" s="17" t="s">
        <v>3370</v>
      </c>
      <c r="G594">
        <v>3364520000</v>
      </c>
    </row>
    <row r="595" spans="1:7">
      <c r="A595" s="16">
        <v>42923</v>
      </c>
      <c r="B595" s="17" t="s">
        <v>3371</v>
      </c>
      <c r="C595" s="17" t="s">
        <v>3372</v>
      </c>
      <c r="D595" s="17" t="s">
        <v>3371</v>
      </c>
      <c r="E595" s="17" t="s">
        <v>3373</v>
      </c>
      <c r="F595" s="17" t="s">
        <v>3373</v>
      </c>
      <c r="G595">
        <v>2901330000</v>
      </c>
    </row>
    <row r="596" spans="1:7">
      <c r="A596" s="16">
        <v>42926</v>
      </c>
      <c r="B596" s="17" t="s">
        <v>3374</v>
      </c>
      <c r="C596" s="17" t="s">
        <v>3375</v>
      </c>
      <c r="D596" s="17" t="s">
        <v>3376</v>
      </c>
      <c r="E596" s="17" t="s">
        <v>3377</v>
      </c>
      <c r="F596" s="17" t="s">
        <v>3377</v>
      </c>
      <c r="G596">
        <v>2999130000</v>
      </c>
    </row>
    <row r="597" spans="1:7">
      <c r="A597" s="16">
        <v>42927</v>
      </c>
      <c r="B597" s="17" t="s">
        <v>3378</v>
      </c>
      <c r="C597" s="17" t="s">
        <v>3379</v>
      </c>
      <c r="D597" s="17" t="s">
        <v>3380</v>
      </c>
      <c r="E597" s="17" t="s">
        <v>3381</v>
      </c>
      <c r="F597" s="17" t="s">
        <v>3381</v>
      </c>
      <c r="G597">
        <v>3106750000</v>
      </c>
    </row>
    <row r="598" spans="1:7">
      <c r="A598" s="16">
        <v>42928</v>
      </c>
      <c r="B598" s="17" t="s">
        <v>3382</v>
      </c>
      <c r="C598" s="17" t="s">
        <v>3383</v>
      </c>
      <c r="D598" s="17" t="s">
        <v>3382</v>
      </c>
      <c r="E598" s="17" t="s">
        <v>3384</v>
      </c>
      <c r="F598" s="17" t="s">
        <v>3384</v>
      </c>
      <c r="G598">
        <v>3171620000</v>
      </c>
    </row>
    <row r="599" spans="1:7">
      <c r="A599" s="16">
        <v>42929</v>
      </c>
      <c r="B599" s="17" t="s">
        <v>3385</v>
      </c>
      <c r="C599" s="17" t="s">
        <v>3386</v>
      </c>
      <c r="D599" s="17" t="s">
        <v>3387</v>
      </c>
      <c r="E599" s="17" t="s">
        <v>3388</v>
      </c>
      <c r="F599" s="17" t="s">
        <v>3388</v>
      </c>
      <c r="G599">
        <v>3067670000</v>
      </c>
    </row>
    <row r="600" spans="1:7">
      <c r="A600" s="16">
        <v>42930</v>
      </c>
      <c r="B600" s="17" t="s">
        <v>3389</v>
      </c>
      <c r="C600" s="17" t="s">
        <v>3390</v>
      </c>
      <c r="D600" s="17" t="s">
        <v>3391</v>
      </c>
      <c r="E600" s="17" t="s">
        <v>3392</v>
      </c>
      <c r="F600" s="17" t="s">
        <v>3392</v>
      </c>
      <c r="G600">
        <v>2736640000</v>
      </c>
    </row>
    <row r="601" spans="1:7">
      <c r="A601" s="16">
        <v>42933</v>
      </c>
      <c r="B601" s="17" t="s">
        <v>3393</v>
      </c>
      <c r="C601" s="17" t="s">
        <v>3394</v>
      </c>
      <c r="D601" s="17" t="s">
        <v>3395</v>
      </c>
      <c r="E601" s="17" t="s">
        <v>3396</v>
      </c>
      <c r="F601" s="17" t="s">
        <v>3396</v>
      </c>
      <c r="G601">
        <v>2793170000</v>
      </c>
    </row>
    <row r="602" spans="1:7">
      <c r="A602" s="16">
        <v>42934</v>
      </c>
      <c r="B602" s="17" t="s">
        <v>3397</v>
      </c>
      <c r="C602" s="17" t="s">
        <v>3398</v>
      </c>
      <c r="D602" s="17" t="s">
        <v>3399</v>
      </c>
      <c r="E602" s="17" t="s">
        <v>3400</v>
      </c>
      <c r="F602" s="17" t="s">
        <v>3400</v>
      </c>
      <c r="G602">
        <v>2962130000</v>
      </c>
    </row>
    <row r="603" spans="1:7">
      <c r="A603" s="16">
        <v>42935</v>
      </c>
      <c r="B603" s="17" t="s">
        <v>3401</v>
      </c>
      <c r="C603" s="17" t="s">
        <v>3402</v>
      </c>
      <c r="D603" s="17" t="s">
        <v>3401</v>
      </c>
      <c r="E603" s="17" t="s">
        <v>3402</v>
      </c>
      <c r="F603" s="17" t="s">
        <v>3402</v>
      </c>
      <c r="G603">
        <v>3059760000</v>
      </c>
    </row>
    <row r="604" spans="1:7">
      <c r="A604" s="16">
        <v>42936</v>
      </c>
      <c r="B604" s="17" t="s">
        <v>3403</v>
      </c>
      <c r="C604" s="17" t="s">
        <v>3404</v>
      </c>
      <c r="D604" s="17" t="s">
        <v>3405</v>
      </c>
      <c r="E604" s="17" t="s">
        <v>3406</v>
      </c>
      <c r="F604" s="17" t="s">
        <v>3406</v>
      </c>
      <c r="G604">
        <v>3182780000</v>
      </c>
    </row>
    <row r="605" spans="1:7">
      <c r="A605" s="16">
        <v>42937</v>
      </c>
      <c r="B605" s="17" t="s">
        <v>3407</v>
      </c>
      <c r="C605" s="17" t="s">
        <v>3408</v>
      </c>
      <c r="D605" s="17" t="s">
        <v>3409</v>
      </c>
      <c r="E605" s="17" t="s">
        <v>3408</v>
      </c>
      <c r="F605" s="17" t="s">
        <v>3408</v>
      </c>
      <c r="G605">
        <v>3059570000</v>
      </c>
    </row>
    <row r="606" spans="1:7">
      <c r="A606" s="16">
        <v>42940</v>
      </c>
      <c r="B606" s="17" t="s">
        <v>3410</v>
      </c>
      <c r="C606" s="17" t="s">
        <v>3411</v>
      </c>
      <c r="D606" s="17" t="s">
        <v>3412</v>
      </c>
      <c r="E606" s="17" t="s">
        <v>3413</v>
      </c>
      <c r="F606" s="17" t="s">
        <v>3413</v>
      </c>
      <c r="G606">
        <v>3010240000</v>
      </c>
    </row>
    <row r="607" spans="1:7">
      <c r="A607" s="16">
        <v>42941</v>
      </c>
      <c r="B607" s="17" t="s">
        <v>3414</v>
      </c>
      <c r="C607" s="17" t="s">
        <v>3415</v>
      </c>
      <c r="D607" s="17" t="s">
        <v>3416</v>
      </c>
      <c r="E607" s="17" t="s">
        <v>3417</v>
      </c>
      <c r="F607" s="17" t="s">
        <v>3417</v>
      </c>
      <c r="G607">
        <v>4108060000</v>
      </c>
    </row>
    <row r="608" spans="1:7">
      <c r="A608" s="16">
        <v>42942</v>
      </c>
      <c r="B608" s="17" t="s">
        <v>3418</v>
      </c>
      <c r="C608" s="17" t="s">
        <v>3419</v>
      </c>
      <c r="D608" s="17" t="s">
        <v>3420</v>
      </c>
      <c r="E608" s="17" t="s">
        <v>3421</v>
      </c>
      <c r="F608" s="17" t="s">
        <v>3421</v>
      </c>
      <c r="G608">
        <v>3557020000</v>
      </c>
    </row>
    <row r="609" spans="1:7">
      <c r="A609" s="16">
        <v>42943</v>
      </c>
      <c r="B609" s="17" t="s">
        <v>3422</v>
      </c>
      <c r="C609" s="17" t="s">
        <v>3423</v>
      </c>
      <c r="D609" s="17" t="s">
        <v>3424</v>
      </c>
      <c r="E609" s="17" t="s">
        <v>3425</v>
      </c>
      <c r="F609" s="17" t="s">
        <v>3425</v>
      </c>
      <c r="G609">
        <v>3995520000</v>
      </c>
    </row>
    <row r="610" spans="1:7">
      <c r="A610" s="16">
        <v>42944</v>
      </c>
      <c r="B610" s="17" t="s">
        <v>3426</v>
      </c>
      <c r="C610" s="17" t="s">
        <v>3427</v>
      </c>
      <c r="D610" s="17" t="s">
        <v>3428</v>
      </c>
      <c r="E610" s="17" t="s">
        <v>3429</v>
      </c>
      <c r="F610" s="17" t="s">
        <v>3429</v>
      </c>
      <c r="G610">
        <v>3294770000</v>
      </c>
    </row>
    <row r="611" spans="1:7">
      <c r="A611" s="16">
        <v>42947</v>
      </c>
      <c r="B611" s="17" t="s">
        <v>3430</v>
      </c>
      <c r="C611" s="17" t="s">
        <v>3431</v>
      </c>
      <c r="D611" s="17" t="s">
        <v>3432</v>
      </c>
      <c r="E611" s="17" t="s">
        <v>3433</v>
      </c>
      <c r="F611" s="17" t="s">
        <v>3433</v>
      </c>
      <c r="G611">
        <v>3469210000</v>
      </c>
    </row>
    <row r="612" spans="1:7">
      <c r="A612" s="16">
        <v>42948</v>
      </c>
      <c r="B612" s="17" t="s">
        <v>3434</v>
      </c>
      <c r="C612" s="17" t="s">
        <v>3435</v>
      </c>
      <c r="D612" s="17" t="s">
        <v>3436</v>
      </c>
      <c r="E612" s="17" t="s">
        <v>3437</v>
      </c>
      <c r="F612" s="17" t="s">
        <v>3437</v>
      </c>
      <c r="G612">
        <v>3460860000</v>
      </c>
    </row>
    <row r="613" spans="1:7">
      <c r="A613" s="16">
        <v>42949</v>
      </c>
      <c r="B613" s="17" t="s">
        <v>3438</v>
      </c>
      <c r="C613" s="17" t="s">
        <v>3438</v>
      </c>
      <c r="D613" s="17" t="s">
        <v>3439</v>
      </c>
      <c r="E613" s="17" t="s">
        <v>3440</v>
      </c>
      <c r="F613" s="17" t="s">
        <v>3440</v>
      </c>
      <c r="G613">
        <v>3478580000</v>
      </c>
    </row>
    <row r="614" spans="1:7">
      <c r="A614" s="16">
        <v>42950</v>
      </c>
      <c r="B614" s="17" t="s">
        <v>3441</v>
      </c>
      <c r="C614" s="17" t="s">
        <v>3441</v>
      </c>
      <c r="D614" s="17" t="s">
        <v>3442</v>
      </c>
      <c r="E614" s="17" t="s">
        <v>3443</v>
      </c>
      <c r="F614" s="17" t="s">
        <v>3443</v>
      </c>
      <c r="G614">
        <v>3645020000</v>
      </c>
    </row>
    <row r="615" spans="1:7">
      <c r="A615" s="16">
        <v>42951</v>
      </c>
      <c r="B615" s="17" t="s">
        <v>3444</v>
      </c>
      <c r="C615" s="17" t="s">
        <v>3445</v>
      </c>
      <c r="D615" s="17" t="s">
        <v>3446</v>
      </c>
      <c r="E615" s="17" t="s">
        <v>3447</v>
      </c>
      <c r="F615" s="17" t="s">
        <v>3447</v>
      </c>
      <c r="G615">
        <v>3235140000</v>
      </c>
    </row>
    <row r="616" spans="1:7">
      <c r="A616" s="16">
        <v>42954</v>
      </c>
      <c r="B616" s="17" t="s">
        <v>3448</v>
      </c>
      <c r="C616" s="17" t="s">
        <v>3449</v>
      </c>
      <c r="D616" s="17" t="s">
        <v>3450</v>
      </c>
      <c r="E616" s="17" t="s">
        <v>3451</v>
      </c>
      <c r="F616" s="17" t="s">
        <v>3451</v>
      </c>
      <c r="G616">
        <v>2931780000</v>
      </c>
    </row>
    <row r="617" spans="1:7">
      <c r="A617" s="16">
        <v>42955</v>
      </c>
      <c r="B617" s="17" t="s">
        <v>3452</v>
      </c>
      <c r="C617" s="17" t="s">
        <v>3453</v>
      </c>
      <c r="D617" s="17" t="s">
        <v>3454</v>
      </c>
      <c r="E617" s="17" t="s">
        <v>3455</v>
      </c>
      <c r="F617" s="17" t="s">
        <v>3455</v>
      </c>
      <c r="G617">
        <v>3344640000</v>
      </c>
    </row>
    <row r="618" spans="1:7">
      <c r="A618" s="16">
        <v>42956</v>
      </c>
      <c r="B618" s="17" t="s">
        <v>3456</v>
      </c>
      <c r="C618" s="17" t="s">
        <v>3457</v>
      </c>
      <c r="D618" s="17" t="s">
        <v>3458</v>
      </c>
      <c r="E618" s="17" t="s">
        <v>3459</v>
      </c>
      <c r="F618" s="17" t="s">
        <v>3459</v>
      </c>
      <c r="G618">
        <v>3308060000</v>
      </c>
    </row>
    <row r="619" spans="1:7">
      <c r="A619" s="16">
        <v>42957</v>
      </c>
      <c r="B619" s="17" t="s">
        <v>3460</v>
      </c>
      <c r="C619" s="17" t="s">
        <v>3460</v>
      </c>
      <c r="D619" s="17" t="s">
        <v>3461</v>
      </c>
      <c r="E619" s="17" t="s">
        <v>3462</v>
      </c>
      <c r="F619" s="17" t="s">
        <v>3462</v>
      </c>
      <c r="G619">
        <v>3621070000</v>
      </c>
    </row>
    <row r="620" spans="1:7">
      <c r="A620" s="16">
        <v>42958</v>
      </c>
      <c r="B620" s="17" t="s">
        <v>3463</v>
      </c>
      <c r="C620" s="17" t="s">
        <v>3464</v>
      </c>
      <c r="D620" s="17" t="s">
        <v>3465</v>
      </c>
      <c r="E620" s="17" t="s">
        <v>3466</v>
      </c>
      <c r="F620" s="17" t="s">
        <v>3466</v>
      </c>
      <c r="G620">
        <v>3159930000</v>
      </c>
    </row>
    <row r="621" spans="1:7">
      <c r="A621" s="16">
        <v>42961</v>
      </c>
      <c r="B621" s="17" t="s">
        <v>3467</v>
      </c>
      <c r="C621" s="17" t="s">
        <v>3468</v>
      </c>
      <c r="D621" s="17" t="s">
        <v>3467</v>
      </c>
      <c r="E621" s="17" t="s">
        <v>3469</v>
      </c>
      <c r="F621" s="17" t="s">
        <v>3469</v>
      </c>
      <c r="G621">
        <v>2822550000</v>
      </c>
    </row>
    <row r="622" spans="1:7">
      <c r="A622" s="16">
        <v>42962</v>
      </c>
      <c r="B622" s="17" t="s">
        <v>3470</v>
      </c>
      <c r="C622" s="17" t="s">
        <v>3471</v>
      </c>
      <c r="D622" s="17" t="s">
        <v>3472</v>
      </c>
      <c r="E622" s="17" t="s">
        <v>3473</v>
      </c>
      <c r="F622" s="17" t="s">
        <v>3473</v>
      </c>
      <c r="G622">
        <v>2913100000</v>
      </c>
    </row>
    <row r="623" spans="1:7">
      <c r="A623" s="16">
        <v>42963</v>
      </c>
      <c r="B623" s="17" t="s">
        <v>3474</v>
      </c>
      <c r="C623" s="17" t="s">
        <v>3475</v>
      </c>
      <c r="D623" s="17" t="s">
        <v>3476</v>
      </c>
      <c r="E623" s="17" t="s">
        <v>3477</v>
      </c>
      <c r="F623" s="17" t="s">
        <v>3477</v>
      </c>
      <c r="G623">
        <v>2953650000</v>
      </c>
    </row>
    <row r="624" spans="1:7">
      <c r="A624" s="16">
        <v>42964</v>
      </c>
      <c r="B624" s="17" t="s">
        <v>3478</v>
      </c>
      <c r="C624" s="17" t="s">
        <v>3479</v>
      </c>
      <c r="D624" s="17" t="s">
        <v>3480</v>
      </c>
      <c r="E624" s="17" t="s">
        <v>3480</v>
      </c>
      <c r="F624" s="17" t="s">
        <v>3480</v>
      </c>
      <c r="G624">
        <v>3142620000</v>
      </c>
    </row>
    <row r="625" spans="1:7">
      <c r="A625" s="16">
        <v>42965</v>
      </c>
      <c r="B625" s="17" t="s">
        <v>3481</v>
      </c>
      <c r="C625" s="17" t="s">
        <v>3482</v>
      </c>
      <c r="D625" s="17" t="s">
        <v>3483</v>
      </c>
      <c r="E625" s="17" t="s">
        <v>3484</v>
      </c>
      <c r="F625" s="17" t="s">
        <v>3484</v>
      </c>
      <c r="G625">
        <v>3415680000</v>
      </c>
    </row>
    <row r="626" spans="1:7">
      <c r="A626" s="16">
        <v>42968</v>
      </c>
      <c r="B626" s="17" t="s">
        <v>3485</v>
      </c>
      <c r="C626" s="17" t="s">
        <v>3486</v>
      </c>
      <c r="D626" s="17" t="s">
        <v>3487</v>
      </c>
      <c r="E626" s="17" t="s">
        <v>3488</v>
      </c>
      <c r="F626" s="17" t="s">
        <v>3488</v>
      </c>
      <c r="G626">
        <v>2788150000</v>
      </c>
    </row>
    <row r="627" spans="1:7">
      <c r="A627" s="16">
        <v>42969</v>
      </c>
      <c r="B627" s="17" t="s">
        <v>3489</v>
      </c>
      <c r="C627" s="17" t="s">
        <v>3490</v>
      </c>
      <c r="D627" s="17" t="s">
        <v>3491</v>
      </c>
      <c r="E627" s="17" t="s">
        <v>3492</v>
      </c>
      <c r="F627" s="17" t="s">
        <v>3492</v>
      </c>
      <c r="G627">
        <v>2777490000</v>
      </c>
    </row>
    <row r="628" spans="1:7">
      <c r="A628" s="16">
        <v>42970</v>
      </c>
      <c r="B628" s="17" t="s">
        <v>3493</v>
      </c>
      <c r="C628" s="17" t="s">
        <v>3494</v>
      </c>
      <c r="D628" s="17" t="s">
        <v>3495</v>
      </c>
      <c r="E628" s="17" t="s">
        <v>3496</v>
      </c>
      <c r="F628" s="17" t="s">
        <v>3496</v>
      </c>
      <c r="G628">
        <v>2785290000</v>
      </c>
    </row>
    <row r="629" spans="1:7">
      <c r="A629" s="16">
        <v>42971</v>
      </c>
      <c r="B629" s="17" t="s">
        <v>3497</v>
      </c>
      <c r="C629" s="17" t="s">
        <v>3498</v>
      </c>
      <c r="D629" s="17" t="s">
        <v>3499</v>
      </c>
      <c r="E629" s="17" t="s">
        <v>3500</v>
      </c>
      <c r="F629" s="17" t="s">
        <v>3500</v>
      </c>
      <c r="G629">
        <v>2846590000</v>
      </c>
    </row>
    <row r="630" spans="1:7">
      <c r="A630" s="16">
        <v>42972</v>
      </c>
      <c r="B630" s="17" t="s">
        <v>3501</v>
      </c>
      <c r="C630" s="17" t="s">
        <v>3502</v>
      </c>
      <c r="D630" s="17" t="s">
        <v>3503</v>
      </c>
      <c r="E630" s="17" t="s">
        <v>3504</v>
      </c>
      <c r="F630" s="17" t="s">
        <v>3504</v>
      </c>
      <c r="G630">
        <v>2588780000</v>
      </c>
    </row>
    <row r="631" spans="1:7">
      <c r="A631" s="16">
        <v>42975</v>
      </c>
      <c r="B631" s="17" t="s">
        <v>3505</v>
      </c>
      <c r="C631" s="17" t="s">
        <v>3506</v>
      </c>
      <c r="D631" s="17" t="s">
        <v>3507</v>
      </c>
      <c r="E631" s="17" t="s">
        <v>3508</v>
      </c>
      <c r="F631" s="17" t="s">
        <v>3508</v>
      </c>
      <c r="G631">
        <v>2677700000</v>
      </c>
    </row>
    <row r="632" spans="1:7">
      <c r="A632" s="16">
        <v>42976</v>
      </c>
      <c r="B632" s="17" t="s">
        <v>3509</v>
      </c>
      <c r="C632" s="17" t="s">
        <v>3510</v>
      </c>
      <c r="D632" s="17" t="s">
        <v>3511</v>
      </c>
      <c r="E632" s="17" t="s">
        <v>3512</v>
      </c>
      <c r="F632" s="17" t="s">
        <v>3512</v>
      </c>
      <c r="G632">
        <v>2737580000</v>
      </c>
    </row>
    <row r="633" spans="1:7">
      <c r="A633" s="16">
        <v>42977</v>
      </c>
      <c r="B633" s="17" t="s">
        <v>3513</v>
      </c>
      <c r="C633" s="17" t="s">
        <v>3514</v>
      </c>
      <c r="D633" s="17" t="s">
        <v>3515</v>
      </c>
      <c r="E633" s="17" t="s">
        <v>3516</v>
      </c>
      <c r="F633" s="17" t="s">
        <v>3516</v>
      </c>
      <c r="G633">
        <v>2633660000</v>
      </c>
    </row>
    <row r="634" spans="1:7">
      <c r="A634" s="16">
        <v>42978</v>
      </c>
      <c r="B634" s="17" t="s">
        <v>3517</v>
      </c>
      <c r="C634" s="17" t="s">
        <v>3518</v>
      </c>
      <c r="D634" s="17" t="s">
        <v>3517</v>
      </c>
      <c r="E634" s="17" t="s">
        <v>3519</v>
      </c>
      <c r="F634" s="17" t="s">
        <v>3519</v>
      </c>
      <c r="G634">
        <v>3348110000</v>
      </c>
    </row>
    <row r="635" spans="1:7">
      <c r="A635" s="16">
        <v>42979</v>
      </c>
      <c r="B635" s="17" t="s">
        <v>3520</v>
      </c>
      <c r="C635" s="17" t="s">
        <v>3438</v>
      </c>
      <c r="D635" s="17" t="s">
        <v>3521</v>
      </c>
      <c r="E635" s="17" t="s">
        <v>3522</v>
      </c>
      <c r="F635" s="17" t="s">
        <v>3522</v>
      </c>
      <c r="G635">
        <v>2710730000</v>
      </c>
    </row>
    <row r="636" spans="1:7">
      <c r="A636" s="16">
        <v>42983</v>
      </c>
      <c r="B636" s="17" t="s">
        <v>3523</v>
      </c>
      <c r="C636" s="17" t="s">
        <v>3524</v>
      </c>
      <c r="D636" s="17" t="s">
        <v>3525</v>
      </c>
      <c r="E636" s="17" t="s">
        <v>3526</v>
      </c>
      <c r="F636" s="17" t="s">
        <v>3526</v>
      </c>
      <c r="G636">
        <v>3490260000</v>
      </c>
    </row>
    <row r="637" spans="1:7">
      <c r="A637" s="16">
        <v>42984</v>
      </c>
      <c r="B637" s="17" t="s">
        <v>3527</v>
      </c>
      <c r="C637" s="17" t="s">
        <v>3528</v>
      </c>
      <c r="D637" s="17" t="s">
        <v>3529</v>
      </c>
      <c r="E637" s="17" t="s">
        <v>3530</v>
      </c>
      <c r="F637" s="17" t="s">
        <v>3530</v>
      </c>
      <c r="G637">
        <v>3374410000</v>
      </c>
    </row>
    <row r="638" spans="1:7">
      <c r="A638" s="16">
        <v>42985</v>
      </c>
      <c r="B638" s="17" t="s">
        <v>3531</v>
      </c>
      <c r="C638" s="17" t="s">
        <v>3532</v>
      </c>
      <c r="D638" s="17" t="s">
        <v>3533</v>
      </c>
      <c r="E638" s="17" t="s">
        <v>3534</v>
      </c>
      <c r="F638" s="17" t="s">
        <v>3534</v>
      </c>
      <c r="G638">
        <v>3353930000</v>
      </c>
    </row>
    <row r="639" spans="1:7">
      <c r="A639" s="16">
        <v>42986</v>
      </c>
      <c r="B639" s="17" t="s">
        <v>3535</v>
      </c>
      <c r="C639" s="17" t="s">
        <v>3536</v>
      </c>
      <c r="D639" s="17" t="s">
        <v>3537</v>
      </c>
      <c r="E639" s="17" t="s">
        <v>3538</v>
      </c>
      <c r="F639" s="17" t="s">
        <v>3538</v>
      </c>
      <c r="G639">
        <v>3302490000</v>
      </c>
    </row>
    <row r="640" spans="1:7">
      <c r="A640" s="16">
        <v>42989</v>
      </c>
      <c r="B640" s="17" t="s">
        <v>3539</v>
      </c>
      <c r="C640" s="17" t="s">
        <v>3540</v>
      </c>
      <c r="D640" s="17" t="s">
        <v>3539</v>
      </c>
      <c r="E640" s="17" t="s">
        <v>3541</v>
      </c>
      <c r="F640" s="17" t="s">
        <v>3541</v>
      </c>
      <c r="G640">
        <v>3291760000</v>
      </c>
    </row>
    <row r="641" spans="1:7">
      <c r="A641" s="16">
        <v>42990</v>
      </c>
      <c r="B641" s="17" t="s">
        <v>3542</v>
      </c>
      <c r="C641" s="17" t="s">
        <v>3543</v>
      </c>
      <c r="D641" s="17" t="s">
        <v>3544</v>
      </c>
      <c r="E641" s="17" t="s">
        <v>3545</v>
      </c>
      <c r="F641" s="17" t="s">
        <v>3545</v>
      </c>
      <c r="G641">
        <v>3230920000</v>
      </c>
    </row>
    <row r="642" spans="1:7">
      <c r="A642" s="16">
        <v>42991</v>
      </c>
      <c r="B642" s="17" t="s">
        <v>3546</v>
      </c>
      <c r="C642" s="17" t="s">
        <v>3547</v>
      </c>
      <c r="D642" s="17" t="s">
        <v>3548</v>
      </c>
      <c r="E642" s="17" t="s">
        <v>3547</v>
      </c>
      <c r="F642" s="17" t="s">
        <v>3547</v>
      </c>
      <c r="G642">
        <v>3368050000</v>
      </c>
    </row>
    <row r="643" spans="1:7">
      <c r="A643" s="16">
        <v>42992</v>
      </c>
      <c r="B643" s="17" t="s">
        <v>3549</v>
      </c>
      <c r="C643" s="17" t="s">
        <v>3550</v>
      </c>
      <c r="D643" s="17" t="s">
        <v>3551</v>
      </c>
      <c r="E643" s="17" t="s">
        <v>3552</v>
      </c>
      <c r="F643" s="17" t="s">
        <v>3552</v>
      </c>
      <c r="G643">
        <v>3414460000</v>
      </c>
    </row>
    <row r="644" spans="1:7">
      <c r="A644" s="16">
        <v>42993</v>
      </c>
      <c r="B644" s="17" t="s">
        <v>3553</v>
      </c>
      <c r="C644" s="17" t="s">
        <v>3554</v>
      </c>
      <c r="D644" s="17" t="s">
        <v>3555</v>
      </c>
      <c r="E644" s="17" t="s">
        <v>3554</v>
      </c>
      <c r="F644" s="17" t="s">
        <v>3554</v>
      </c>
      <c r="G644">
        <v>4853170000</v>
      </c>
    </row>
    <row r="645" spans="1:7">
      <c r="A645" s="16">
        <v>42996</v>
      </c>
      <c r="B645" s="17" t="s">
        <v>3556</v>
      </c>
      <c r="C645" s="17" t="s">
        <v>3557</v>
      </c>
      <c r="D645" s="17" t="s">
        <v>3558</v>
      </c>
      <c r="E645" s="17" t="s">
        <v>3559</v>
      </c>
      <c r="F645" s="17" t="s">
        <v>3559</v>
      </c>
      <c r="G645">
        <v>3194300000</v>
      </c>
    </row>
    <row r="646" spans="1:7">
      <c r="A646" s="16">
        <v>42997</v>
      </c>
      <c r="B646" s="17" t="s">
        <v>3560</v>
      </c>
      <c r="C646" s="17" t="s">
        <v>3561</v>
      </c>
      <c r="D646" s="17" t="s">
        <v>3562</v>
      </c>
      <c r="E646" s="17" t="s">
        <v>3563</v>
      </c>
      <c r="F646" s="17" t="s">
        <v>3563</v>
      </c>
      <c r="G646">
        <v>3249100000</v>
      </c>
    </row>
    <row r="647" spans="1:7">
      <c r="A647" s="16">
        <v>42998</v>
      </c>
      <c r="B647" s="17" t="s">
        <v>3564</v>
      </c>
      <c r="C647" s="17" t="s">
        <v>3565</v>
      </c>
      <c r="D647" s="17" t="s">
        <v>3566</v>
      </c>
      <c r="E647" s="17" t="s">
        <v>3567</v>
      </c>
      <c r="F647" s="17" t="s">
        <v>3567</v>
      </c>
      <c r="G647">
        <v>3530010000</v>
      </c>
    </row>
    <row r="648" spans="1:7">
      <c r="A648" s="16">
        <v>42999</v>
      </c>
      <c r="B648" s="17" t="s">
        <v>3568</v>
      </c>
      <c r="C648" s="17" t="s">
        <v>3568</v>
      </c>
      <c r="D648" s="17" t="s">
        <v>3569</v>
      </c>
      <c r="E648" s="17" t="s">
        <v>3570</v>
      </c>
      <c r="F648" s="17" t="s">
        <v>3570</v>
      </c>
      <c r="G648">
        <v>2930860000</v>
      </c>
    </row>
    <row r="649" spans="1:7">
      <c r="A649" s="16">
        <v>43000</v>
      </c>
      <c r="B649" s="17" t="s">
        <v>3571</v>
      </c>
      <c r="C649" s="17" t="s">
        <v>3572</v>
      </c>
      <c r="D649" s="17" t="s">
        <v>3573</v>
      </c>
      <c r="E649" s="17" t="s">
        <v>3574</v>
      </c>
      <c r="F649" s="17" t="s">
        <v>3574</v>
      </c>
      <c r="G649">
        <v>2865960000</v>
      </c>
    </row>
    <row r="650" spans="1:7">
      <c r="A650" s="16">
        <v>43003</v>
      </c>
      <c r="B650" s="17" t="s">
        <v>3575</v>
      </c>
      <c r="C650" s="17" t="s">
        <v>3576</v>
      </c>
      <c r="D650" s="17" t="s">
        <v>3577</v>
      </c>
      <c r="E650" s="17" t="s">
        <v>3578</v>
      </c>
      <c r="F650" s="17" t="s">
        <v>3578</v>
      </c>
      <c r="G650">
        <v>3297890000</v>
      </c>
    </row>
    <row r="651" spans="1:7">
      <c r="A651" s="16">
        <v>43004</v>
      </c>
      <c r="B651" s="17" t="s">
        <v>3579</v>
      </c>
      <c r="C651" s="17" t="s">
        <v>3580</v>
      </c>
      <c r="D651" s="17" t="s">
        <v>3581</v>
      </c>
      <c r="E651" s="17" t="s">
        <v>3582</v>
      </c>
      <c r="F651" s="17" t="s">
        <v>3582</v>
      </c>
      <c r="G651">
        <v>3043110000</v>
      </c>
    </row>
    <row r="652" spans="1:7">
      <c r="A652" s="16">
        <v>43005</v>
      </c>
      <c r="B652" s="17" t="s">
        <v>3583</v>
      </c>
      <c r="C652" s="17" t="s">
        <v>3584</v>
      </c>
      <c r="D652" s="17" t="s">
        <v>3585</v>
      </c>
      <c r="E652" s="17" t="s">
        <v>3586</v>
      </c>
      <c r="F652" s="17" t="s">
        <v>3586</v>
      </c>
      <c r="G652">
        <v>3456030000</v>
      </c>
    </row>
    <row r="653" spans="1:7">
      <c r="A653" s="16">
        <v>43006</v>
      </c>
      <c r="B653" s="17" t="s">
        <v>3587</v>
      </c>
      <c r="C653" s="17" t="s">
        <v>3588</v>
      </c>
      <c r="D653" s="17" t="s">
        <v>3589</v>
      </c>
      <c r="E653" s="17" t="s">
        <v>3590</v>
      </c>
      <c r="F653" s="17" t="s">
        <v>3590</v>
      </c>
      <c r="G653">
        <v>3168620000</v>
      </c>
    </row>
    <row r="654" spans="1:7">
      <c r="A654" s="16">
        <v>43007</v>
      </c>
      <c r="B654" s="17" t="s">
        <v>3591</v>
      </c>
      <c r="C654" s="17" t="s">
        <v>3592</v>
      </c>
      <c r="D654" s="17" t="s">
        <v>3593</v>
      </c>
      <c r="E654" s="17" t="s">
        <v>3594</v>
      </c>
      <c r="F654" s="17" t="s">
        <v>3594</v>
      </c>
      <c r="G654">
        <v>3211920000</v>
      </c>
    </row>
    <row r="655" spans="1:7">
      <c r="A655" s="16">
        <v>43010</v>
      </c>
      <c r="B655" s="17" t="s">
        <v>3595</v>
      </c>
      <c r="C655" s="17" t="s">
        <v>3596</v>
      </c>
      <c r="D655" s="17" t="s">
        <v>3597</v>
      </c>
      <c r="E655" s="17" t="s">
        <v>3598</v>
      </c>
      <c r="F655" s="17" t="s">
        <v>3598</v>
      </c>
      <c r="G655">
        <v>3199730000</v>
      </c>
    </row>
    <row r="656" spans="1:7">
      <c r="A656" s="16">
        <v>43011</v>
      </c>
      <c r="B656" s="17" t="s">
        <v>3599</v>
      </c>
      <c r="C656" s="17" t="s">
        <v>3600</v>
      </c>
      <c r="D656" s="17" t="s">
        <v>3601</v>
      </c>
      <c r="E656" s="17" t="s">
        <v>3602</v>
      </c>
      <c r="F656" s="17" t="s">
        <v>3602</v>
      </c>
      <c r="G656">
        <v>3068850000</v>
      </c>
    </row>
    <row r="657" spans="1:7">
      <c r="A657" s="16">
        <v>43012</v>
      </c>
      <c r="B657" s="17" t="s">
        <v>3603</v>
      </c>
      <c r="C657" s="17" t="s">
        <v>3604</v>
      </c>
      <c r="D657" s="17" t="s">
        <v>3605</v>
      </c>
      <c r="E657" s="17" t="s">
        <v>3606</v>
      </c>
      <c r="F657" s="17" t="s">
        <v>3606</v>
      </c>
      <c r="G657">
        <v>3017120000</v>
      </c>
    </row>
    <row r="658" spans="1:7">
      <c r="A658" s="16">
        <v>43013</v>
      </c>
      <c r="B658" s="17" t="s">
        <v>3607</v>
      </c>
      <c r="C658" s="17" t="s">
        <v>3608</v>
      </c>
      <c r="D658" s="17" t="s">
        <v>3609</v>
      </c>
      <c r="E658" s="17" t="s">
        <v>3610</v>
      </c>
      <c r="F658" s="17" t="s">
        <v>3610</v>
      </c>
      <c r="G658">
        <v>3045120000</v>
      </c>
    </row>
    <row r="659" spans="1:7">
      <c r="A659" s="16">
        <v>43014</v>
      </c>
      <c r="B659" s="17" t="s">
        <v>3611</v>
      </c>
      <c r="C659" s="17" t="s">
        <v>3612</v>
      </c>
      <c r="D659" s="17" t="s">
        <v>3613</v>
      </c>
      <c r="E659" s="17" t="s">
        <v>3614</v>
      </c>
      <c r="F659" s="17" t="s">
        <v>3614</v>
      </c>
      <c r="G659">
        <v>2884570000</v>
      </c>
    </row>
    <row r="660" spans="1:7">
      <c r="A660" s="16">
        <v>43017</v>
      </c>
      <c r="B660" s="17" t="s">
        <v>3615</v>
      </c>
      <c r="C660" s="17" t="s">
        <v>3616</v>
      </c>
      <c r="D660" s="17" t="s">
        <v>3617</v>
      </c>
      <c r="E660" s="17" t="s">
        <v>3618</v>
      </c>
      <c r="F660" s="17" t="s">
        <v>3618</v>
      </c>
      <c r="G660">
        <v>2483970000</v>
      </c>
    </row>
    <row r="661" spans="1:7">
      <c r="A661" s="16">
        <v>43018</v>
      </c>
      <c r="B661" s="17" t="s">
        <v>3619</v>
      </c>
      <c r="C661" s="17" t="s">
        <v>3620</v>
      </c>
      <c r="D661" s="17" t="s">
        <v>3621</v>
      </c>
      <c r="E661" s="17" t="s">
        <v>3622</v>
      </c>
      <c r="F661" s="17" t="s">
        <v>3622</v>
      </c>
      <c r="G661">
        <v>2960500000</v>
      </c>
    </row>
    <row r="662" spans="1:7">
      <c r="A662" s="16">
        <v>43019</v>
      </c>
      <c r="B662" s="17" t="s">
        <v>3623</v>
      </c>
      <c r="C662" s="17" t="s">
        <v>3624</v>
      </c>
      <c r="D662" s="17" t="s">
        <v>3625</v>
      </c>
      <c r="E662" s="17" t="s">
        <v>3624</v>
      </c>
      <c r="F662" s="17" t="s">
        <v>3624</v>
      </c>
      <c r="G662">
        <v>2976090000</v>
      </c>
    </row>
    <row r="663" spans="1:7">
      <c r="A663" s="16">
        <v>43020</v>
      </c>
      <c r="B663" s="17" t="s">
        <v>3626</v>
      </c>
      <c r="C663" s="17" t="s">
        <v>3627</v>
      </c>
      <c r="D663" s="17" t="s">
        <v>3628</v>
      </c>
      <c r="E663" s="17" t="s">
        <v>3629</v>
      </c>
      <c r="F663" s="17" t="s">
        <v>3629</v>
      </c>
      <c r="G663">
        <v>3151510000</v>
      </c>
    </row>
    <row r="664" spans="1:7">
      <c r="A664" s="16">
        <v>43021</v>
      </c>
      <c r="B664" s="17" t="s">
        <v>3630</v>
      </c>
      <c r="C664" s="17" t="s">
        <v>3631</v>
      </c>
      <c r="D664" s="17" t="s">
        <v>3632</v>
      </c>
      <c r="E664" s="17" t="s">
        <v>3633</v>
      </c>
      <c r="F664" s="17" t="s">
        <v>3633</v>
      </c>
      <c r="G664">
        <v>3149440000</v>
      </c>
    </row>
    <row r="665" spans="1:7">
      <c r="A665" s="16">
        <v>43024</v>
      </c>
      <c r="B665" s="17" t="s">
        <v>3634</v>
      </c>
      <c r="C665" s="17" t="s">
        <v>3635</v>
      </c>
      <c r="D665" s="17" t="s">
        <v>3636</v>
      </c>
      <c r="E665" s="17" t="s">
        <v>3637</v>
      </c>
      <c r="F665" s="17" t="s">
        <v>3637</v>
      </c>
      <c r="G665">
        <v>2916020000</v>
      </c>
    </row>
    <row r="666" spans="1:7">
      <c r="A666" s="16">
        <v>43025</v>
      </c>
      <c r="B666" s="17" t="s">
        <v>3638</v>
      </c>
      <c r="C666" s="17" t="s">
        <v>3639</v>
      </c>
      <c r="D666" s="17" t="s">
        <v>3640</v>
      </c>
      <c r="E666" s="17" t="s">
        <v>3641</v>
      </c>
      <c r="F666" s="17" t="s">
        <v>3641</v>
      </c>
      <c r="G666">
        <v>2889390000</v>
      </c>
    </row>
    <row r="667" spans="1:7">
      <c r="A667" s="16">
        <v>43026</v>
      </c>
      <c r="B667" s="17" t="s">
        <v>3642</v>
      </c>
      <c r="C667" s="17" t="s">
        <v>3643</v>
      </c>
      <c r="D667" s="17" t="s">
        <v>3644</v>
      </c>
      <c r="E667" s="17" t="s">
        <v>3645</v>
      </c>
      <c r="F667" s="17" t="s">
        <v>3645</v>
      </c>
      <c r="G667">
        <v>2998090000</v>
      </c>
    </row>
    <row r="668" spans="1:7">
      <c r="A668" s="16">
        <v>43027</v>
      </c>
      <c r="B668" s="17" t="s">
        <v>3646</v>
      </c>
      <c r="C668" s="17" t="s">
        <v>3647</v>
      </c>
      <c r="D668" s="17" t="s">
        <v>3648</v>
      </c>
      <c r="E668" s="17" t="s">
        <v>3649</v>
      </c>
      <c r="F668" s="17" t="s">
        <v>3649</v>
      </c>
      <c r="G668">
        <v>2990710000</v>
      </c>
    </row>
    <row r="669" spans="1:7">
      <c r="A669" s="16">
        <v>43028</v>
      </c>
      <c r="B669" s="17" t="s">
        <v>3650</v>
      </c>
      <c r="C669" s="17" t="s">
        <v>3651</v>
      </c>
      <c r="D669" s="17" t="s">
        <v>3650</v>
      </c>
      <c r="E669" s="17" t="s">
        <v>3652</v>
      </c>
      <c r="F669" s="17" t="s">
        <v>3652</v>
      </c>
      <c r="G669">
        <v>3384650000</v>
      </c>
    </row>
    <row r="670" spans="1:7">
      <c r="A670" s="16">
        <v>43031</v>
      </c>
      <c r="B670" s="17" t="s">
        <v>3653</v>
      </c>
      <c r="C670" s="17" t="s">
        <v>3654</v>
      </c>
      <c r="D670" s="17" t="s">
        <v>3655</v>
      </c>
      <c r="E670" s="17" t="s">
        <v>3656</v>
      </c>
      <c r="F670" s="17" t="s">
        <v>3656</v>
      </c>
      <c r="G670">
        <v>3211710000</v>
      </c>
    </row>
    <row r="671" spans="1:7">
      <c r="A671" s="16">
        <v>43032</v>
      </c>
      <c r="B671" s="17" t="s">
        <v>3657</v>
      </c>
      <c r="C671" s="17" t="s">
        <v>3658</v>
      </c>
      <c r="D671" s="17" t="s">
        <v>3659</v>
      </c>
      <c r="E671" s="17" t="s">
        <v>3660</v>
      </c>
      <c r="F671" s="17" t="s">
        <v>3660</v>
      </c>
      <c r="G671">
        <v>3427330000</v>
      </c>
    </row>
    <row r="672" spans="1:7">
      <c r="A672" s="16">
        <v>43033</v>
      </c>
      <c r="B672" s="17" t="s">
        <v>3661</v>
      </c>
      <c r="C672" s="17" t="s">
        <v>3662</v>
      </c>
      <c r="D672" s="17" t="s">
        <v>3663</v>
      </c>
      <c r="E672" s="17" t="s">
        <v>3664</v>
      </c>
      <c r="F672" s="17" t="s">
        <v>3664</v>
      </c>
      <c r="G672">
        <v>3874510000</v>
      </c>
    </row>
    <row r="673" spans="1:7">
      <c r="A673" s="16">
        <v>43034</v>
      </c>
      <c r="B673" s="17" t="s">
        <v>3665</v>
      </c>
      <c r="C673" s="17" t="s">
        <v>3666</v>
      </c>
      <c r="D673" s="17" t="s">
        <v>3667</v>
      </c>
      <c r="E673" s="17" t="s">
        <v>3668</v>
      </c>
      <c r="F673" s="17" t="s">
        <v>3668</v>
      </c>
      <c r="G673">
        <v>3869050000</v>
      </c>
    </row>
    <row r="674" spans="1:7">
      <c r="A674" s="16">
        <v>43035</v>
      </c>
      <c r="B674" s="17" t="s">
        <v>3669</v>
      </c>
      <c r="C674" s="17" t="s">
        <v>3670</v>
      </c>
      <c r="D674" s="17" t="s">
        <v>3671</v>
      </c>
      <c r="E674" s="17" t="s">
        <v>3672</v>
      </c>
      <c r="F674" s="17" t="s">
        <v>3672</v>
      </c>
      <c r="G674">
        <v>3887110000</v>
      </c>
    </row>
    <row r="675" spans="1:7">
      <c r="A675" s="16">
        <v>43038</v>
      </c>
      <c r="B675" s="17" t="s">
        <v>3673</v>
      </c>
      <c r="C675" s="17" t="s">
        <v>3674</v>
      </c>
      <c r="D675" s="17" t="s">
        <v>3675</v>
      </c>
      <c r="E675" s="17" t="s">
        <v>3676</v>
      </c>
      <c r="F675" s="17" t="s">
        <v>3676</v>
      </c>
      <c r="G675">
        <v>3658870000</v>
      </c>
    </row>
    <row r="676" spans="1:7">
      <c r="A676" s="16">
        <v>43039</v>
      </c>
      <c r="B676" s="17" t="s">
        <v>3677</v>
      </c>
      <c r="C676" s="17" t="s">
        <v>3654</v>
      </c>
      <c r="D676" s="17" t="s">
        <v>3678</v>
      </c>
      <c r="E676" s="17" t="s">
        <v>3679</v>
      </c>
      <c r="F676" s="17" t="s">
        <v>3679</v>
      </c>
      <c r="G676">
        <v>3827230000</v>
      </c>
    </row>
    <row r="677" spans="1:7">
      <c r="A677" s="16">
        <v>43040</v>
      </c>
      <c r="B677" s="17" t="s">
        <v>3680</v>
      </c>
      <c r="C677" s="17" t="s">
        <v>3681</v>
      </c>
      <c r="D677" s="17" t="s">
        <v>3682</v>
      </c>
      <c r="E677" s="17" t="s">
        <v>3683</v>
      </c>
      <c r="F677" s="17" t="s">
        <v>3683</v>
      </c>
      <c r="G677">
        <v>3813180000</v>
      </c>
    </row>
    <row r="678" spans="1:7">
      <c r="A678" s="16">
        <v>43041</v>
      </c>
      <c r="B678" s="17" t="s">
        <v>3684</v>
      </c>
      <c r="C678" s="17" t="s">
        <v>3685</v>
      </c>
      <c r="D678" s="17" t="s">
        <v>3686</v>
      </c>
      <c r="E678" s="17" t="s">
        <v>3687</v>
      </c>
      <c r="F678" s="17" t="s">
        <v>3687</v>
      </c>
      <c r="G678">
        <v>4048270000</v>
      </c>
    </row>
    <row r="679" spans="1:7">
      <c r="A679" s="16">
        <v>43042</v>
      </c>
      <c r="B679" s="17" t="s">
        <v>3688</v>
      </c>
      <c r="C679" s="17" t="s">
        <v>3689</v>
      </c>
      <c r="D679" s="17" t="s">
        <v>3690</v>
      </c>
      <c r="E679" s="17" t="s">
        <v>3691</v>
      </c>
      <c r="F679" s="17" t="s">
        <v>3691</v>
      </c>
      <c r="G679">
        <v>3567710000</v>
      </c>
    </row>
    <row r="680" spans="1:7">
      <c r="A680" s="16">
        <v>43045</v>
      </c>
      <c r="B680" s="17" t="s">
        <v>3692</v>
      </c>
      <c r="C680" s="17" t="s">
        <v>3693</v>
      </c>
      <c r="D680" s="17" t="s">
        <v>3694</v>
      </c>
      <c r="E680" s="17" t="s">
        <v>3695</v>
      </c>
      <c r="F680" s="17" t="s">
        <v>3695</v>
      </c>
      <c r="G680">
        <v>3539080000</v>
      </c>
    </row>
    <row r="681" spans="1:7">
      <c r="A681" s="16">
        <v>43046</v>
      </c>
      <c r="B681" s="17" t="s">
        <v>3696</v>
      </c>
      <c r="C681" s="17" t="s">
        <v>3697</v>
      </c>
      <c r="D681" s="17" t="s">
        <v>3698</v>
      </c>
      <c r="E681" s="17" t="s">
        <v>3699</v>
      </c>
      <c r="F681" s="17" t="s">
        <v>3699</v>
      </c>
      <c r="G681">
        <v>3809650000</v>
      </c>
    </row>
    <row r="682" spans="1:7">
      <c r="A682" s="16">
        <v>43047</v>
      </c>
      <c r="B682" s="17" t="s">
        <v>3700</v>
      </c>
      <c r="C682" s="17" t="s">
        <v>3701</v>
      </c>
      <c r="D682" s="17" t="s">
        <v>3702</v>
      </c>
      <c r="E682" s="17" t="s">
        <v>3703</v>
      </c>
      <c r="F682" s="17" t="s">
        <v>3703</v>
      </c>
      <c r="G682">
        <v>3899360000</v>
      </c>
    </row>
    <row r="683" spans="1:7">
      <c r="A683" s="16">
        <v>43048</v>
      </c>
      <c r="B683" s="17" t="s">
        <v>3704</v>
      </c>
      <c r="C683" s="17" t="s">
        <v>3705</v>
      </c>
      <c r="D683" s="17" t="s">
        <v>3706</v>
      </c>
      <c r="E683" s="17" t="s">
        <v>3707</v>
      </c>
      <c r="F683" s="17" t="s">
        <v>3707</v>
      </c>
      <c r="G683">
        <v>3831610000</v>
      </c>
    </row>
    <row r="684" spans="1:7">
      <c r="A684" s="16">
        <v>43049</v>
      </c>
      <c r="B684" s="17" t="s">
        <v>3708</v>
      </c>
      <c r="C684" s="17" t="s">
        <v>3709</v>
      </c>
      <c r="D684" s="17" t="s">
        <v>3710</v>
      </c>
      <c r="E684" s="17" t="s">
        <v>3711</v>
      </c>
      <c r="F684" s="17" t="s">
        <v>3711</v>
      </c>
      <c r="G684">
        <v>3486910000</v>
      </c>
    </row>
    <row r="685" spans="1:7">
      <c r="A685" s="16">
        <v>43052</v>
      </c>
      <c r="B685" s="17" t="s">
        <v>3712</v>
      </c>
      <c r="C685" s="17" t="s">
        <v>3713</v>
      </c>
      <c r="D685" s="17" t="s">
        <v>3714</v>
      </c>
      <c r="E685" s="17" t="s">
        <v>3715</v>
      </c>
      <c r="F685" s="17" t="s">
        <v>3715</v>
      </c>
      <c r="G685">
        <v>3402930000</v>
      </c>
    </row>
    <row r="686" spans="1:7">
      <c r="A686" s="16">
        <v>43053</v>
      </c>
      <c r="B686" s="17" t="s">
        <v>3673</v>
      </c>
      <c r="C686" s="17" t="s">
        <v>3716</v>
      </c>
      <c r="D686" s="17" t="s">
        <v>3717</v>
      </c>
      <c r="E686" s="17" t="s">
        <v>3718</v>
      </c>
      <c r="F686" s="17" t="s">
        <v>3718</v>
      </c>
      <c r="G686">
        <v>3641760000</v>
      </c>
    </row>
    <row r="687" spans="1:7">
      <c r="A687" s="16">
        <v>43054</v>
      </c>
      <c r="B687" s="17" t="s">
        <v>3719</v>
      </c>
      <c r="C687" s="17" t="s">
        <v>3720</v>
      </c>
      <c r="D687" s="17" t="s">
        <v>3721</v>
      </c>
      <c r="E687" s="17" t="s">
        <v>3722</v>
      </c>
      <c r="F687" s="17" t="s">
        <v>3722</v>
      </c>
      <c r="G687">
        <v>3558890000</v>
      </c>
    </row>
    <row r="688" spans="1:7">
      <c r="A688" s="16">
        <v>43055</v>
      </c>
      <c r="B688" s="17" t="s">
        <v>3723</v>
      </c>
      <c r="C688" s="17" t="s">
        <v>3724</v>
      </c>
      <c r="D688" s="17" t="s">
        <v>3723</v>
      </c>
      <c r="E688" s="17" t="s">
        <v>3725</v>
      </c>
      <c r="F688" s="17" t="s">
        <v>3725</v>
      </c>
      <c r="G688">
        <v>3312710000</v>
      </c>
    </row>
    <row r="689" spans="1:7">
      <c r="A689" s="16">
        <v>43056</v>
      </c>
      <c r="B689" s="17" t="s">
        <v>3726</v>
      </c>
      <c r="C689" s="17" t="s">
        <v>3727</v>
      </c>
      <c r="D689" s="17" t="s">
        <v>3728</v>
      </c>
      <c r="E689" s="17" t="s">
        <v>3729</v>
      </c>
      <c r="F689" s="17" t="s">
        <v>3729</v>
      </c>
      <c r="G689">
        <v>3300160000</v>
      </c>
    </row>
    <row r="690" spans="1:7">
      <c r="A690" s="16">
        <v>43059</v>
      </c>
      <c r="B690" s="17" t="s">
        <v>3730</v>
      </c>
      <c r="C690" s="17" t="s">
        <v>3731</v>
      </c>
      <c r="D690" s="17" t="s">
        <v>3732</v>
      </c>
      <c r="E690" s="17" t="s">
        <v>3733</v>
      </c>
      <c r="F690" s="17" t="s">
        <v>3733</v>
      </c>
      <c r="G690">
        <v>3003540000</v>
      </c>
    </row>
    <row r="691" spans="1:7">
      <c r="A691" s="16">
        <v>43060</v>
      </c>
      <c r="B691" s="17" t="s">
        <v>3734</v>
      </c>
      <c r="C691" s="17" t="s">
        <v>3735</v>
      </c>
      <c r="D691" s="17" t="s">
        <v>3734</v>
      </c>
      <c r="E691" s="17" t="s">
        <v>3736</v>
      </c>
      <c r="F691" s="17" t="s">
        <v>3736</v>
      </c>
      <c r="G691">
        <v>3332720000</v>
      </c>
    </row>
    <row r="692" spans="1:7">
      <c r="A692" s="16">
        <v>43061</v>
      </c>
      <c r="B692" s="17" t="s">
        <v>3737</v>
      </c>
      <c r="C692" s="17" t="s">
        <v>3738</v>
      </c>
      <c r="D692" s="17" t="s">
        <v>3739</v>
      </c>
      <c r="E692" s="17" t="s">
        <v>3740</v>
      </c>
      <c r="F692" s="17" t="s">
        <v>3740</v>
      </c>
      <c r="G692">
        <v>2762950000</v>
      </c>
    </row>
    <row r="693" spans="1:7">
      <c r="A693" s="16">
        <v>43063</v>
      </c>
      <c r="B693" s="17" t="s">
        <v>3741</v>
      </c>
      <c r="C693" s="17" t="s">
        <v>3742</v>
      </c>
      <c r="D693" s="17" t="s">
        <v>3741</v>
      </c>
      <c r="E693" s="17" t="s">
        <v>3743</v>
      </c>
      <c r="F693" s="17" t="s">
        <v>3743</v>
      </c>
      <c r="G693">
        <v>1349780000</v>
      </c>
    </row>
    <row r="694" spans="1:7">
      <c r="A694" s="16">
        <v>43066</v>
      </c>
      <c r="B694" s="17" t="s">
        <v>3744</v>
      </c>
      <c r="C694" s="17" t="s">
        <v>3745</v>
      </c>
      <c r="D694" s="17" t="s">
        <v>3746</v>
      </c>
      <c r="E694" s="17" t="s">
        <v>3747</v>
      </c>
      <c r="F694" s="17" t="s">
        <v>3747</v>
      </c>
      <c r="G694">
        <v>3006860000</v>
      </c>
    </row>
    <row r="695" spans="1:7">
      <c r="A695" s="16">
        <v>43067</v>
      </c>
      <c r="B695" s="17" t="s">
        <v>3748</v>
      </c>
      <c r="C695" s="17" t="s">
        <v>3749</v>
      </c>
      <c r="D695" s="17" t="s">
        <v>3750</v>
      </c>
      <c r="E695" s="17" t="s">
        <v>3751</v>
      </c>
      <c r="F695" s="17" t="s">
        <v>3751</v>
      </c>
      <c r="G695">
        <v>3488420000</v>
      </c>
    </row>
    <row r="696" spans="1:7">
      <c r="A696" s="16">
        <v>43068</v>
      </c>
      <c r="B696" s="17" t="s">
        <v>3752</v>
      </c>
      <c r="C696" s="17" t="s">
        <v>3753</v>
      </c>
      <c r="D696" s="17" t="s">
        <v>3754</v>
      </c>
      <c r="E696" s="17" t="s">
        <v>3755</v>
      </c>
      <c r="F696" s="17" t="s">
        <v>3755</v>
      </c>
      <c r="G696">
        <v>4078280000</v>
      </c>
    </row>
    <row r="697" spans="1:7">
      <c r="A697" s="16">
        <v>43069</v>
      </c>
      <c r="B697" s="17" t="s">
        <v>3756</v>
      </c>
      <c r="C697" s="17" t="s">
        <v>3757</v>
      </c>
      <c r="D697" s="17" t="s">
        <v>3756</v>
      </c>
      <c r="E697" s="17" t="s">
        <v>3758</v>
      </c>
      <c r="F697" s="17" t="s">
        <v>3758</v>
      </c>
      <c r="G697">
        <v>4938490000</v>
      </c>
    </row>
    <row r="698" spans="1:7">
      <c r="A698" s="16">
        <v>43070</v>
      </c>
      <c r="B698" s="17" t="s">
        <v>3759</v>
      </c>
      <c r="C698" s="17" t="s">
        <v>3760</v>
      </c>
      <c r="D698" s="17" t="s">
        <v>3761</v>
      </c>
      <c r="E698" s="17" t="s">
        <v>3762</v>
      </c>
      <c r="F698" s="17" t="s">
        <v>3762</v>
      </c>
      <c r="G698">
        <v>3942320000</v>
      </c>
    </row>
    <row r="699" spans="1:7">
      <c r="A699" s="16">
        <v>43073</v>
      </c>
      <c r="B699" s="17" t="s">
        <v>3763</v>
      </c>
      <c r="C699" s="17" t="s">
        <v>3764</v>
      </c>
      <c r="D699" s="17" t="s">
        <v>3765</v>
      </c>
      <c r="E699" s="17" t="s">
        <v>3766</v>
      </c>
      <c r="F699" s="17" t="s">
        <v>3766</v>
      </c>
      <c r="G699">
        <v>4023150000</v>
      </c>
    </row>
    <row r="700" spans="1:7">
      <c r="A700" s="16">
        <v>43074</v>
      </c>
      <c r="B700" s="17" t="s">
        <v>3767</v>
      </c>
      <c r="C700" s="17" t="s">
        <v>3768</v>
      </c>
      <c r="D700" s="17" t="s">
        <v>3769</v>
      </c>
      <c r="E700" s="17" t="s">
        <v>3770</v>
      </c>
      <c r="F700" s="17" t="s">
        <v>3770</v>
      </c>
      <c r="G700">
        <v>3539040000</v>
      </c>
    </row>
    <row r="701" spans="1:7">
      <c r="A701" s="16">
        <v>43075</v>
      </c>
      <c r="B701" s="17" t="s">
        <v>3771</v>
      </c>
      <c r="C701" s="17" t="s">
        <v>3772</v>
      </c>
      <c r="D701" s="17" t="s">
        <v>3773</v>
      </c>
      <c r="E701" s="17" t="s">
        <v>3774</v>
      </c>
      <c r="F701" s="17" t="s">
        <v>3774</v>
      </c>
      <c r="G701">
        <v>3229000000</v>
      </c>
    </row>
    <row r="702" spans="1:7">
      <c r="A702" s="16">
        <v>43076</v>
      </c>
      <c r="B702" s="17" t="s">
        <v>3775</v>
      </c>
      <c r="C702" s="17" t="s">
        <v>3776</v>
      </c>
      <c r="D702" s="17" t="s">
        <v>3777</v>
      </c>
      <c r="E702" s="17" t="s">
        <v>3778</v>
      </c>
      <c r="F702" s="17" t="s">
        <v>3778</v>
      </c>
      <c r="G702">
        <v>3292400000</v>
      </c>
    </row>
    <row r="703" spans="1:7">
      <c r="A703" s="16">
        <v>43077</v>
      </c>
      <c r="B703" s="17" t="s">
        <v>3779</v>
      </c>
      <c r="C703" s="17" t="s">
        <v>3780</v>
      </c>
      <c r="D703" s="17" t="s">
        <v>3781</v>
      </c>
      <c r="E703" s="17" t="s">
        <v>3782</v>
      </c>
      <c r="F703" s="17" t="s">
        <v>3782</v>
      </c>
      <c r="G703">
        <v>3106150000</v>
      </c>
    </row>
    <row r="704" spans="1:7">
      <c r="A704" s="16">
        <v>43080</v>
      </c>
      <c r="B704" s="17" t="s">
        <v>3783</v>
      </c>
      <c r="C704" s="17" t="s">
        <v>3784</v>
      </c>
      <c r="D704" s="17" t="s">
        <v>3785</v>
      </c>
      <c r="E704" s="17" t="s">
        <v>3786</v>
      </c>
      <c r="F704" s="17" t="s">
        <v>3786</v>
      </c>
      <c r="G704">
        <v>3091950000</v>
      </c>
    </row>
    <row r="705" spans="1:7">
      <c r="A705" s="16">
        <v>43081</v>
      </c>
      <c r="B705" s="17" t="s">
        <v>3787</v>
      </c>
      <c r="C705" s="17" t="s">
        <v>3788</v>
      </c>
      <c r="D705" s="17" t="s">
        <v>3789</v>
      </c>
      <c r="E705" s="17" t="s">
        <v>3790</v>
      </c>
      <c r="F705" s="17" t="s">
        <v>3790</v>
      </c>
      <c r="G705">
        <v>3555680000</v>
      </c>
    </row>
    <row r="706" spans="1:7">
      <c r="A706" s="16">
        <v>43082</v>
      </c>
      <c r="B706" s="17" t="s">
        <v>3791</v>
      </c>
      <c r="C706" s="17" t="s">
        <v>3792</v>
      </c>
      <c r="D706" s="17" t="s">
        <v>3793</v>
      </c>
      <c r="E706" s="17" t="s">
        <v>3793</v>
      </c>
      <c r="F706" s="17" t="s">
        <v>3793</v>
      </c>
      <c r="G706">
        <v>3542370000</v>
      </c>
    </row>
    <row r="707" spans="1:7">
      <c r="A707" s="16">
        <v>43083</v>
      </c>
      <c r="B707" s="17" t="s">
        <v>3794</v>
      </c>
      <c r="C707" s="17" t="s">
        <v>3795</v>
      </c>
      <c r="D707" s="17" t="s">
        <v>3796</v>
      </c>
      <c r="E707" s="17" t="s">
        <v>3796</v>
      </c>
      <c r="F707" s="17" t="s">
        <v>3796</v>
      </c>
      <c r="G707">
        <v>3430030000</v>
      </c>
    </row>
    <row r="708" spans="1:7">
      <c r="A708" s="16">
        <v>43084</v>
      </c>
      <c r="B708" s="17" t="s">
        <v>3797</v>
      </c>
      <c r="C708" s="17" t="s">
        <v>3798</v>
      </c>
      <c r="D708" s="17" t="s">
        <v>3799</v>
      </c>
      <c r="E708" s="17" t="s">
        <v>3800</v>
      </c>
      <c r="F708" s="17" t="s">
        <v>3800</v>
      </c>
      <c r="G708">
        <v>5723920000</v>
      </c>
    </row>
    <row r="709" spans="1:7">
      <c r="A709" s="16">
        <v>43087</v>
      </c>
      <c r="B709" s="17" t="s">
        <v>3801</v>
      </c>
      <c r="C709" s="17" t="s">
        <v>3802</v>
      </c>
      <c r="D709" s="17" t="s">
        <v>3801</v>
      </c>
      <c r="E709" s="17" t="s">
        <v>3803</v>
      </c>
      <c r="F709" s="17" t="s">
        <v>3803</v>
      </c>
      <c r="G709">
        <v>3724660000</v>
      </c>
    </row>
    <row r="710" spans="1:7">
      <c r="A710" s="16">
        <v>43088</v>
      </c>
      <c r="B710" s="17" t="s">
        <v>3804</v>
      </c>
      <c r="C710" s="17" t="s">
        <v>3805</v>
      </c>
      <c r="D710" s="17" t="s">
        <v>3806</v>
      </c>
      <c r="E710" s="17" t="s">
        <v>3807</v>
      </c>
      <c r="F710" s="17" t="s">
        <v>3807</v>
      </c>
      <c r="G710">
        <v>3368590000</v>
      </c>
    </row>
    <row r="711" spans="1:7">
      <c r="A711" s="16">
        <v>43089</v>
      </c>
      <c r="B711" s="17" t="s">
        <v>3808</v>
      </c>
      <c r="C711" s="17" t="s">
        <v>3809</v>
      </c>
      <c r="D711" s="17" t="s">
        <v>3810</v>
      </c>
      <c r="E711" s="17" t="s">
        <v>3811</v>
      </c>
      <c r="F711" s="17" t="s">
        <v>3811</v>
      </c>
      <c r="G711">
        <v>3241030000</v>
      </c>
    </row>
    <row r="712" spans="1:7">
      <c r="A712" s="16">
        <v>43090</v>
      </c>
      <c r="B712" s="17" t="s">
        <v>3812</v>
      </c>
      <c r="C712" s="17" t="s">
        <v>3813</v>
      </c>
      <c r="D712" s="17" t="s">
        <v>3814</v>
      </c>
      <c r="E712" s="17" t="s">
        <v>3815</v>
      </c>
      <c r="F712" s="17" t="s">
        <v>3815</v>
      </c>
      <c r="G712">
        <v>3273390000</v>
      </c>
    </row>
    <row r="713" spans="1:7">
      <c r="A713" s="16">
        <v>43091</v>
      </c>
      <c r="B713" s="17" t="s">
        <v>3816</v>
      </c>
      <c r="C713" s="17" t="s">
        <v>3817</v>
      </c>
      <c r="D713" s="17" t="s">
        <v>3818</v>
      </c>
      <c r="E713" s="17" t="s">
        <v>3819</v>
      </c>
      <c r="F713" s="17" t="s">
        <v>3819</v>
      </c>
      <c r="G713">
        <v>2399830000</v>
      </c>
    </row>
    <row r="714" spans="1:7">
      <c r="A714" s="16">
        <v>43095</v>
      </c>
      <c r="B714" s="17" t="s">
        <v>3820</v>
      </c>
      <c r="C714" s="17" t="s">
        <v>3821</v>
      </c>
      <c r="D714" s="17" t="s">
        <v>3822</v>
      </c>
      <c r="E714" s="17" t="s">
        <v>3823</v>
      </c>
      <c r="F714" s="17" t="s">
        <v>3823</v>
      </c>
      <c r="G714">
        <v>1968780000</v>
      </c>
    </row>
    <row r="715" spans="1:7">
      <c r="A715" s="16">
        <v>43096</v>
      </c>
      <c r="B715" s="17" t="s">
        <v>3824</v>
      </c>
      <c r="C715" s="17" t="s">
        <v>3825</v>
      </c>
      <c r="D715" s="17" t="s">
        <v>3826</v>
      </c>
      <c r="E715" s="17" t="s">
        <v>3827</v>
      </c>
      <c r="F715" s="17" t="s">
        <v>3827</v>
      </c>
      <c r="G715">
        <v>2202080000</v>
      </c>
    </row>
    <row r="716" spans="1:7">
      <c r="A716" s="16">
        <v>43097</v>
      </c>
      <c r="B716" s="17" t="s">
        <v>3828</v>
      </c>
      <c r="C716" s="17" t="s">
        <v>3829</v>
      </c>
      <c r="D716" s="17" t="s">
        <v>3830</v>
      </c>
      <c r="E716" s="17" t="s">
        <v>3831</v>
      </c>
      <c r="F716" s="17" t="s">
        <v>3831</v>
      </c>
      <c r="G716">
        <v>2153330000</v>
      </c>
    </row>
    <row r="717" spans="1:7">
      <c r="A717" s="16">
        <v>43098</v>
      </c>
      <c r="B717" s="17" t="s">
        <v>3832</v>
      </c>
      <c r="C717" s="17" t="s">
        <v>3833</v>
      </c>
      <c r="D717" s="17" t="s">
        <v>3834</v>
      </c>
      <c r="E717" s="17" t="s">
        <v>3834</v>
      </c>
      <c r="F717" s="17" t="s">
        <v>3834</v>
      </c>
      <c r="G717">
        <v>2443490000</v>
      </c>
    </row>
    <row r="718" spans="1:7">
      <c r="A718" s="16">
        <v>43102</v>
      </c>
      <c r="B718" s="17" t="s">
        <v>3835</v>
      </c>
      <c r="C718" s="17" t="s">
        <v>3836</v>
      </c>
      <c r="D718" s="17" t="s">
        <v>3837</v>
      </c>
      <c r="E718" s="17" t="s">
        <v>3838</v>
      </c>
      <c r="F718" s="17" t="s">
        <v>3838</v>
      </c>
      <c r="G718">
        <v>3367250000</v>
      </c>
    </row>
    <row r="719" spans="1:7">
      <c r="A719" s="16">
        <v>43103</v>
      </c>
      <c r="B719" s="17" t="s">
        <v>3839</v>
      </c>
      <c r="C719" s="17" t="s">
        <v>3840</v>
      </c>
      <c r="D719" s="17" t="s">
        <v>3841</v>
      </c>
      <c r="E719" s="17" t="s">
        <v>3842</v>
      </c>
      <c r="F719" s="17" t="s">
        <v>3842</v>
      </c>
      <c r="G719">
        <v>3538660000</v>
      </c>
    </row>
    <row r="720" spans="1:7">
      <c r="A720" s="16">
        <v>43104</v>
      </c>
      <c r="B720" s="17" t="s">
        <v>3843</v>
      </c>
      <c r="C720" s="17" t="s">
        <v>3844</v>
      </c>
      <c r="D720" s="17" t="s">
        <v>3845</v>
      </c>
      <c r="E720" s="17" t="s">
        <v>3846</v>
      </c>
      <c r="F720" s="17" t="s">
        <v>3846</v>
      </c>
      <c r="G720">
        <v>3695260000</v>
      </c>
    </row>
    <row r="721" spans="1:7">
      <c r="A721" s="16">
        <v>43105</v>
      </c>
      <c r="B721" s="17" t="s">
        <v>3847</v>
      </c>
      <c r="C721" s="17" t="s">
        <v>3848</v>
      </c>
      <c r="D721" s="17" t="s">
        <v>3849</v>
      </c>
      <c r="E721" s="17" t="s">
        <v>3850</v>
      </c>
      <c r="F721" s="17" t="s">
        <v>3850</v>
      </c>
      <c r="G721">
        <v>3236620000</v>
      </c>
    </row>
    <row r="722" spans="1:7">
      <c r="A722" s="16">
        <v>43108</v>
      </c>
      <c r="B722" s="17" t="s">
        <v>3851</v>
      </c>
      <c r="C722" s="17" t="s">
        <v>3852</v>
      </c>
      <c r="D722" s="17" t="s">
        <v>3853</v>
      </c>
      <c r="E722" s="17" t="s">
        <v>3854</v>
      </c>
      <c r="F722" s="17" t="s">
        <v>3854</v>
      </c>
      <c r="G722">
        <v>3242650000</v>
      </c>
    </row>
    <row r="723" spans="1:7">
      <c r="A723" s="16">
        <v>43109</v>
      </c>
      <c r="B723" s="17" t="s">
        <v>3855</v>
      </c>
      <c r="C723" s="17" t="s">
        <v>3856</v>
      </c>
      <c r="D723" s="17" t="s">
        <v>3857</v>
      </c>
      <c r="E723" s="17" t="s">
        <v>3858</v>
      </c>
      <c r="F723" s="17" t="s">
        <v>3858</v>
      </c>
      <c r="G723">
        <v>3453480000</v>
      </c>
    </row>
    <row r="724" spans="1:7">
      <c r="A724" s="16">
        <v>43110</v>
      </c>
      <c r="B724" s="17" t="s">
        <v>3859</v>
      </c>
      <c r="C724" s="17" t="s">
        <v>3860</v>
      </c>
      <c r="D724" s="17" t="s">
        <v>3861</v>
      </c>
      <c r="E724" s="17" t="s">
        <v>3862</v>
      </c>
      <c r="F724" s="17" t="s">
        <v>3862</v>
      </c>
      <c r="G724">
        <v>3576350000</v>
      </c>
    </row>
    <row r="725" spans="1:7">
      <c r="A725" s="16">
        <v>43111</v>
      </c>
      <c r="B725" s="17" t="s">
        <v>3863</v>
      </c>
      <c r="C725" s="17" t="s">
        <v>3864</v>
      </c>
      <c r="D725" s="17" t="s">
        <v>3865</v>
      </c>
      <c r="E725" s="17" t="s">
        <v>3864</v>
      </c>
      <c r="F725" s="17" t="s">
        <v>3864</v>
      </c>
      <c r="G725">
        <v>3641320000</v>
      </c>
    </row>
    <row r="726" spans="1:7">
      <c r="A726" s="16">
        <v>43112</v>
      </c>
      <c r="B726" s="17" t="s">
        <v>3866</v>
      </c>
      <c r="C726" s="17" t="s">
        <v>3867</v>
      </c>
      <c r="D726" s="17" t="s">
        <v>3868</v>
      </c>
      <c r="E726" s="17" t="s">
        <v>3869</v>
      </c>
      <c r="F726" s="17" t="s">
        <v>3869</v>
      </c>
      <c r="G726">
        <v>3573970000</v>
      </c>
    </row>
    <row r="727" spans="1:7">
      <c r="A727" s="16">
        <v>43116</v>
      </c>
      <c r="B727" s="17" t="s">
        <v>3870</v>
      </c>
      <c r="C727" s="17" t="s">
        <v>3871</v>
      </c>
      <c r="D727" s="17" t="s">
        <v>3872</v>
      </c>
      <c r="E727" s="17" t="s">
        <v>3873</v>
      </c>
      <c r="F727" s="17" t="s">
        <v>3873</v>
      </c>
      <c r="G727">
        <v>4325970000</v>
      </c>
    </row>
    <row r="728" spans="1:7">
      <c r="A728" s="16">
        <v>43117</v>
      </c>
      <c r="B728" s="17" t="s">
        <v>3874</v>
      </c>
      <c r="C728" s="17" t="s">
        <v>3875</v>
      </c>
      <c r="D728" s="17" t="s">
        <v>3876</v>
      </c>
      <c r="E728" s="17" t="s">
        <v>3877</v>
      </c>
      <c r="F728" s="17" t="s">
        <v>3877</v>
      </c>
      <c r="G728">
        <v>3778050000</v>
      </c>
    </row>
    <row r="729" spans="1:7">
      <c r="A729" s="16">
        <v>43118</v>
      </c>
      <c r="B729" s="17" t="s">
        <v>3878</v>
      </c>
      <c r="C729" s="17" t="s">
        <v>3879</v>
      </c>
      <c r="D729" s="17" t="s">
        <v>3880</v>
      </c>
      <c r="E729" s="17" t="s">
        <v>3881</v>
      </c>
      <c r="F729" s="17" t="s">
        <v>3881</v>
      </c>
      <c r="G729">
        <v>3681470000</v>
      </c>
    </row>
    <row r="730" spans="1:7">
      <c r="A730" s="16">
        <v>43119</v>
      </c>
      <c r="B730" s="17" t="s">
        <v>3882</v>
      </c>
      <c r="C730" s="17" t="s">
        <v>3883</v>
      </c>
      <c r="D730" s="17" t="s">
        <v>3884</v>
      </c>
      <c r="E730" s="17" t="s">
        <v>3885</v>
      </c>
      <c r="F730" s="17" t="s">
        <v>3885</v>
      </c>
      <c r="G730">
        <v>3639430000</v>
      </c>
    </row>
    <row r="731" spans="1:7">
      <c r="A731" s="16">
        <v>43122</v>
      </c>
      <c r="B731" s="17" t="s">
        <v>3886</v>
      </c>
      <c r="C731" s="17" t="s">
        <v>3887</v>
      </c>
      <c r="D731" s="17" t="s">
        <v>3888</v>
      </c>
      <c r="E731" s="17" t="s">
        <v>3889</v>
      </c>
      <c r="F731" s="17" t="s">
        <v>3889</v>
      </c>
      <c r="G731">
        <v>3471780000</v>
      </c>
    </row>
    <row r="732" spans="1:7">
      <c r="A732" s="16">
        <v>43123</v>
      </c>
      <c r="B732" s="17" t="s">
        <v>3890</v>
      </c>
      <c r="C732" s="17" t="s">
        <v>3891</v>
      </c>
      <c r="D732" s="17" t="s">
        <v>3892</v>
      </c>
      <c r="E732" s="17" t="s">
        <v>3893</v>
      </c>
      <c r="F732" s="17" t="s">
        <v>3893</v>
      </c>
      <c r="G732">
        <v>3519650000</v>
      </c>
    </row>
    <row r="733" spans="1:7">
      <c r="A733" s="16">
        <v>43124</v>
      </c>
      <c r="B733" s="17" t="s">
        <v>3894</v>
      </c>
      <c r="C733" s="17" t="s">
        <v>3895</v>
      </c>
      <c r="D733" s="17" t="s">
        <v>3896</v>
      </c>
      <c r="E733" s="17" t="s">
        <v>3897</v>
      </c>
      <c r="F733" s="17" t="s">
        <v>3897</v>
      </c>
      <c r="G733">
        <v>4014070000</v>
      </c>
    </row>
    <row r="734" spans="1:7">
      <c r="A734" s="16">
        <v>43125</v>
      </c>
      <c r="B734" s="17" t="s">
        <v>3898</v>
      </c>
      <c r="C734" s="17" t="s">
        <v>3899</v>
      </c>
      <c r="D734" s="17" t="s">
        <v>3900</v>
      </c>
      <c r="E734" s="17" t="s">
        <v>3901</v>
      </c>
      <c r="F734" s="17" t="s">
        <v>3901</v>
      </c>
      <c r="G734">
        <v>3835150000</v>
      </c>
    </row>
    <row r="735" spans="1:7">
      <c r="A735" s="16">
        <v>43126</v>
      </c>
      <c r="B735" s="17" t="s">
        <v>3902</v>
      </c>
      <c r="C735" s="17" t="s">
        <v>3903</v>
      </c>
      <c r="D735" s="17" t="s">
        <v>3904</v>
      </c>
      <c r="E735" s="17" t="s">
        <v>3903</v>
      </c>
      <c r="F735" s="17" t="s">
        <v>3903</v>
      </c>
      <c r="G735">
        <v>3443230000</v>
      </c>
    </row>
    <row r="736" spans="1:7">
      <c r="A736" s="16">
        <v>43129</v>
      </c>
      <c r="B736" s="17" t="s">
        <v>3905</v>
      </c>
      <c r="C736" s="17" t="s">
        <v>3906</v>
      </c>
      <c r="D736" s="17" t="s">
        <v>3907</v>
      </c>
      <c r="E736" s="17" t="s">
        <v>3908</v>
      </c>
      <c r="F736" s="17" t="s">
        <v>3908</v>
      </c>
      <c r="G736">
        <v>3573830000</v>
      </c>
    </row>
    <row r="737" spans="1:7">
      <c r="A737" s="16">
        <v>43130</v>
      </c>
      <c r="B737" s="17" t="s">
        <v>3909</v>
      </c>
      <c r="C737" s="17" t="s">
        <v>3910</v>
      </c>
      <c r="D737" s="17" t="s">
        <v>3911</v>
      </c>
      <c r="E737" s="17" t="s">
        <v>3912</v>
      </c>
      <c r="F737" s="17" t="s">
        <v>3912</v>
      </c>
      <c r="G737">
        <v>3990650000</v>
      </c>
    </row>
    <row r="738" spans="1:7">
      <c r="A738" s="16">
        <v>43131</v>
      </c>
      <c r="B738" s="17" t="s">
        <v>3913</v>
      </c>
      <c r="C738" s="17" t="s">
        <v>3914</v>
      </c>
      <c r="D738" s="17" t="s">
        <v>3915</v>
      </c>
      <c r="E738" s="17" t="s">
        <v>3916</v>
      </c>
      <c r="F738" s="17" t="s">
        <v>3916</v>
      </c>
      <c r="G738">
        <v>4261280000</v>
      </c>
    </row>
    <row r="739" spans="1:7">
      <c r="A739" s="16">
        <v>43132</v>
      </c>
      <c r="B739" s="17" t="s">
        <v>3917</v>
      </c>
      <c r="C739" s="17" t="s">
        <v>3918</v>
      </c>
      <c r="D739" s="17" t="s">
        <v>3919</v>
      </c>
      <c r="E739" s="17" t="s">
        <v>3920</v>
      </c>
      <c r="F739" s="17" t="s">
        <v>3920</v>
      </c>
      <c r="G739">
        <v>3938450000</v>
      </c>
    </row>
    <row r="740" spans="1:7">
      <c r="A740" s="16">
        <v>43133</v>
      </c>
      <c r="B740" s="17" t="s">
        <v>3921</v>
      </c>
      <c r="C740" s="17" t="s">
        <v>3921</v>
      </c>
      <c r="D740" s="17" t="s">
        <v>3922</v>
      </c>
      <c r="E740" s="17" t="s">
        <v>3923</v>
      </c>
      <c r="F740" s="17" t="s">
        <v>3923</v>
      </c>
      <c r="G740">
        <v>4301130000</v>
      </c>
    </row>
    <row r="741" spans="1:7">
      <c r="A741" s="16">
        <v>43136</v>
      </c>
      <c r="B741" s="17" t="s">
        <v>3924</v>
      </c>
      <c r="C741" s="17" t="s">
        <v>3925</v>
      </c>
      <c r="D741" s="17" t="s">
        <v>3926</v>
      </c>
      <c r="E741" s="17" t="s">
        <v>3927</v>
      </c>
      <c r="F741" s="17" t="s">
        <v>3927</v>
      </c>
      <c r="G741">
        <v>5283460000</v>
      </c>
    </row>
    <row r="742" spans="1:7">
      <c r="A742" s="16">
        <v>43137</v>
      </c>
      <c r="B742" s="17" t="s">
        <v>3928</v>
      </c>
      <c r="C742" s="17" t="s">
        <v>3929</v>
      </c>
      <c r="D742" s="17" t="s">
        <v>3930</v>
      </c>
      <c r="E742" s="17" t="s">
        <v>3931</v>
      </c>
      <c r="F742" s="17" t="s">
        <v>3931</v>
      </c>
      <c r="G742">
        <v>5891660000</v>
      </c>
    </row>
    <row r="743" spans="1:7">
      <c r="A743" s="16">
        <v>43138</v>
      </c>
      <c r="B743" s="17" t="s">
        <v>3932</v>
      </c>
      <c r="C743" s="17" t="s">
        <v>3933</v>
      </c>
      <c r="D743" s="17" t="s">
        <v>3934</v>
      </c>
      <c r="E743" s="17" t="s">
        <v>3935</v>
      </c>
      <c r="F743" s="17" t="s">
        <v>3935</v>
      </c>
      <c r="G743">
        <v>4626570000</v>
      </c>
    </row>
    <row r="744" spans="1:7">
      <c r="A744" s="16">
        <v>43139</v>
      </c>
      <c r="B744" s="17" t="s">
        <v>3936</v>
      </c>
      <c r="C744" s="17" t="s">
        <v>3937</v>
      </c>
      <c r="D744" s="17" t="s">
        <v>3938</v>
      </c>
      <c r="E744" s="17" t="s">
        <v>3939</v>
      </c>
      <c r="F744" s="17" t="s">
        <v>3939</v>
      </c>
      <c r="G744">
        <v>5305440000</v>
      </c>
    </row>
    <row r="745" spans="1:7">
      <c r="A745" s="16">
        <v>43140</v>
      </c>
      <c r="B745" s="17" t="s">
        <v>3940</v>
      </c>
      <c r="C745" s="17" t="s">
        <v>3941</v>
      </c>
      <c r="D745" s="17" t="s">
        <v>3942</v>
      </c>
      <c r="E745" s="17" t="s">
        <v>3943</v>
      </c>
      <c r="F745" s="17" t="s">
        <v>3943</v>
      </c>
      <c r="G745">
        <v>5680070000</v>
      </c>
    </row>
    <row r="746" spans="1:7">
      <c r="A746" s="16">
        <v>43143</v>
      </c>
      <c r="B746" s="17" t="s">
        <v>3944</v>
      </c>
      <c r="C746" s="17" t="s">
        <v>3945</v>
      </c>
      <c r="D746" s="17" t="s">
        <v>3946</v>
      </c>
      <c r="E746" s="17" t="s">
        <v>3947</v>
      </c>
      <c r="F746" s="17" t="s">
        <v>3947</v>
      </c>
      <c r="G746">
        <v>4055790000</v>
      </c>
    </row>
    <row r="747" spans="1:7">
      <c r="A747" s="16">
        <v>43144</v>
      </c>
      <c r="B747" s="17" t="s">
        <v>3948</v>
      </c>
      <c r="C747" s="17" t="s">
        <v>3949</v>
      </c>
      <c r="D747" s="17" t="s">
        <v>3950</v>
      </c>
      <c r="E747" s="17" t="s">
        <v>3951</v>
      </c>
      <c r="F747" s="17" t="s">
        <v>3951</v>
      </c>
      <c r="G747">
        <v>3472870000</v>
      </c>
    </row>
    <row r="748" spans="1:7">
      <c r="A748" s="16">
        <v>43145</v>
      </c>
      <c r="B748" s="17" t="s">
        <v>3952</v>
      </c>
      <c r="C748" s="17" t="s">
        <v>3953</v>
      </c>
      <c r="D748" s="17" t="s">
        <v>3954</v>
      </c>
      <c r="E748" s="17" t="s">
        <v>3955</v>
      </c>
      <c r="F748" s="17" t="s">
        <v>3955</v>
      </c>
      <c r="G748">
        <v>4003740000</v>
      </c>
    </row>
    <row r="749" spans="1:7">
      <c r="A749" s="16">
        <v>43146</v>
      </c>
      <c r="B749" s="17" t="s">
        <v>3956</v>
      </c>
      <c r="C749" s="17" t="s">
        <v>3957</v>
      </c>
      <c r="D749" s="17" t="s">
        <v>3958</v>
      </c>
      <c r="E749" s="17" t="s">
        <v>3959</v>
      </c>
      <c r="F749" s="17" t="s">
        <v>3959</v>
      </c>
      <c r="G749">
        <v>3684910000</v>
      </c>
    </row>
    <row r="750" spans="1:7">
      <c r="A750" s="16">
        <v>43147</v>
      </c>
      <c r="B750" s="17" t="s">
        <v>3960</v>
      </c>
      <c r="C750" s="17" t="s">
        <v>3961</v>
      </c>
      <c r="D750" s="17" t="s">
        <v>3962</v>
      </c>
      <c r="E750" s="17" t="s">
        <v>3963</v>
      </c>
      <c r="F750" s="17" t="s">
        <v>3963</v>
      </c>
      <c r="G750">
        <v>3637460000</v>
      </c>
    </row>
    <row r="751" spans="1:7">
      <c r="A751" s="16">
        <v>43151</v>
      </c>
      <c r="B751" s="17" t="s">
        <v>3964</v>
      </c>
      <c r="C751" s="17" t="s">
        <v>3853</v>
      </c>
      <c r="D751" s="17" t="s">
        <v>3965</v>
      </c>
      <c r="E751" s="17" t="s">
        <v>3966</v>
      </c>
      <c r="F751" s="17" t="s">
        <v>3966</v>
      </c>
      <c r="G751">
        <v>3627610000</v>
      </c>
    </row>
    <row r="752" spans="1:7">
      <c r="A752" s="16">
        <v>43152</v>
      </c>
      <c r="B752" s="17" t="s">
        <v>3967</v>
      </c>
      <c r="C752" s="17" t="s">
        <v>3968</v>
      </c>
      <c r="D752" s="17" t="s">
        <v>3969</v>
      </c>
      <c r="E752" s="17" t="s">
        <v>3970</v>
      </c>
      <c r="F752" s="17" t="s">
        <v>3970</v>
      </c>
      <c r="G752">
        <v>3779400000</v>
      </c>
    </row>
    <row r="753" spans="1:7">
      <c r="A753" s="16">
        <v>43153</v>
      </c>
      <c r="B753" s="17" t="s">
        <v>3971</v>
      </c>
      <c r="C753" s="17" t="s">
        <v>3972</v>
      </c>
      <c r="D753" s="17" t="s">
        <v>3841</v>
      </c>
      <c r="E753" s="17" t="s">
        <v>3973</v>
      </c>
      <c r="F753" s="17" t="s">
        <v>3973</v>
      </c>
      <c r="G753">
        <v>3701270000</v>
      </c>
    </row>
    <row r="754" spans="1:7">
      <c r="A754" s="16">
        <v>43154</v>
      </c>
      <c r="B754" s="17" t="s">
        <v>3974</v>
      </c>
      <c r="C754" s="17" t="s">
        <v>3975</v>
      </c>
      <c r="D754" s="17" t="s">
        <v>3976</v>
      </c>
      <c r="E754" s="17" t="s">
        <v>3977</v>
      </c>
      <c r="F754" s="17" t="s">
        <v>3977</v>
      </c>
      <c r="G754">
        <v>3189190000</v>
      </c>
    </row>
    <row r="755" spans="1:7">
      <c r="A755" s="16">
        <v>43157</v>
      </c>
      <c r="B755" s="17" t="s">
        <v>3978</v>
      </c>
      <c r="C755" s="17" t="s">
        <v>3979</v>
      </c>
      <c r="D755" s="17" t="s">
        <v>3980</v>
      </c>
      <c r="E755" s="17" t="s">
        <v>3981</v>
      </c>
      <c r="F755" s="17" t="s">
        <v>3981</v>
      </c>
      <c r="G755">
        <v>3424650000</v>
      </c>
    </row>
    <row r="756" spans="1:7">
      <c r="A756" s="16">
        <v>43158</v>
      </c>
      <c r="B756" s="17" t="s">
        <v>3982</v>
      </c>
      <c r="C756" s="17" t="s">
        <v>3983</v>
      </c>
      <c r="D756" s="17" t="s">
        <v>3984</v>
      </c>
      <c r="E756" s="17" t="s">
        <v>3985</v>
      </c>
      <c r="F756" s="17" t="s">
        <v>3985</v>
      </c>
      <c r="G756">
        <v>3745080000</v>
      </c>
    </row>
    <row r="757" spans="1:7">
      <c r="A757" s="16">
        <v>43159</v>
      </c>
      <c r="B757" s="17" t="s">
        <v>3980</v>
      </c>
      <c r="C757" s="17" t="s">
        <v>3986</v>
      </c>
      <c r="D757" s="17" t="s">
        <v>3987</v>
      </c>
      <c r="E757" s="17" t="s">
        <v>3988</v>
      </c>
      <c r="F757" s="17" t="s">
        <v>3988</v>
      </c>
      <c r="G757">
        <v>4230660000</v>
      </c>
    </row>
    <row r="758" spans="1:7">
      <c r="A758" s="16">
        <v>43160</v>
      </c>
      <c r="B758" s="17" t="s">
        <v>3989</v>
      </c>
      <c r="C758" s="17" t="s">
        <v>3990</v>
      </c>
      <c r="D758" s="17" t="s">
        <v>3991</v>
      </c>
      <c r="E758" s="17" t="s">
        <v>3992</v>
      </c>
      <c r="F758" s="17" t="s">
        <v>3992</v>
      </c>
      <c r="G758">
        <v>4503970000</v>
      </c>
    </row>
    <row r="759" spans="1:7">
      <c r="A759" s="16">
        <v>43161</v>
      </c>
      <c r="B759" s="17" t="s">
        <v>3993</v>
      </c>
      <c r="C759" s="17" t="s">
        <v>3994</v>
      </c>
      <c r="D759" s="17" t="s">
        <v>3995</v>
      </c>
      <c r="E759" s="17" t="s">
        <v>3996</v>
      </c>
      <c r="F759" s="17" t="s">
        <v>3996</v>
      </c>
      <c r="G759">
        <v>3882450000</v>
      </c>
    </row>
    <row r="760" spans="1:7">
      <c r="A760" s="16">
        <v>43164</v>
      </c>
      <c r="B760" s="17" t="s">
        <v>3997</v>
      </c>
      <c r="C760" s="17" t="s">
        <v>3998</v>
      </c>
      <c r="D760" s="17" t="s">
        <v>3999</v>
      </c>
      <c r="E760" s="17" t="s">
        <v>4000</v>
      </c>
      <c r="F760" s="17" t="s">
        <v>4000</v>
      </c>
      <c r="G760">
        <v>3710810000</v>
      </c>
    </row>
    <row r="761" spans="1:7">
      <c r="A761" s="16">
        <v>43165</v>
      </c>
      <c r="B761" s="17" t="s">
        <v>4001</v>
      </c>
      <c r="C761" s="17" t="s">
        <v>4002</v>
      </c>
      <c r="D761" s="17" t="s">
        <v>4003</v>
      </c>
      <c r="E761" s="17" t="s">
        <v>4004</v>
      </c>
      <c r="F761" s="17" t="s">
        <v>4004</v>
      </c>
      <c r="G761">
        <v>3370690000</v>
      </c>
    </row>
    <row r="762" spans="1:7">
      <c r="A762" s="16">
        <v>43166</v>
      </c>
      <c r="B762" s="17" t="s">
        <v>4005</v>
      </c>
      <c r="C762" s="17" t="s">
        <v>4006</v>
      </c>
      <c r="D762" s="17" t="s">
        <v>4007</v>
      </c>
      <c r="E762" s="17" t="s">
        <v>4008</v>
      </c>
      <c r="F762" s="17" t="s">
        <v>4008</v>
      </c>
      <c r="G762">
        <v>3393270000</v>
      </c>
    </row>
    <row r="763" spans="1:7">
      <c r="A763" s="16">
        <v>43167</v>
      </c>
      <c r="B763" s="17" t="s">
        <v>4009</v>
      </c>
      <c r="C763" s="17" t="s">
        <v>4010</v>
      </c>
      <c r="D763" s="17" t="s">
        <v>4011</v>
      </c>
      <c r="E763" s="17" t="s">
        <v>4012</v>
      </c>
      <c r="F763" s="17" t="s">
        <v>4012</v>
      </c>
      <c r="G763">
        <v>3212320000</v>
      </c>
    </row>
    <row r="764" spans="1:7">
      <c r="A764" s="16">
        <v>43168</v>
      </c>
      <c r="B764" s="17" t="s">
        <v>4013</v>
      </c>
      <c r="C764" s="17" t="s">
        <v>4014</v>
      </c>
      <c r="D764" s="17" t="s">
        <v>4015</v>
      </c>
      <c r="E764" s="17" t="s">
        <v>4014</v>
      </c>
      <c r="F764" s="17" t="s">
        <v>4014</v>
      </c>
      <c r="G764">
        <v>3364100000</v>
      </c>
    </row>
    <row r="765" spans="1:7">
      <c r="A765" s="16">
        <v>43171</v>
      </c>
      <c r="B765" s="17" t="s">
        <v>4016</v>
      </c>
      <c r="C765" s="17" t="s">
        <v>4017</v>
      </c>
      <c r="D765" s="17" t="s">
        <v>4018</v>
      </c>
      <c r="E765" s="17" t="s">
        <v>4019</v>
      </c>
      <c r="F765" s="17" t="s">
        <v>4019</v>
      </c>
      <c r="G765">
        <v>3185020000</v>
      </c>
    </row>
    <row r="766" spans="1:7">
      <c r="A766" s="16">
        <v>43172</v>
      </c>
      <c r="B766" s="17" t="s">
        <v>4020</v>
      </c>
      <c r="C766" s="17" t="s">
        <v>4021</v>
      </c>
      <c r="D766" s="17" t="s">
        <v>4022</v>
      </c>
      <c r="E766" s="17" t="s">
        <v>4023</v>
      </c>
      <c r="F766" s="17" t="s">
        <v>4023</v>
      </c>
      <c r="G766">
        <v>3301650000</v>
      </c>
    </row>
    <row r="767" spans="1:7">
      <c r="A767" s="16">
        <v>43173</v>
      </c>
      <c r="B767" s="17" t="s">
        <v>4024</v>
      </c>
      <c r="C767" s="17" t="s">
        <v>4025</v>
      </c>
      <c r="D767" s="17" t="s">
        <v>4026</v>
      </c>
      <c r="E767" s="17" t="s">
        <v>4027</v>
      </c>
      <c r="F767" s="17" t="s">
        <v>4027</v>
      </c>
      <c r="G767">
        <v>3391360000</v>
      </c>
    </row>
    <row r="768" spans="1:7">
      <c r="A768" s="16">
        <v>43174</v>
      </c>
      <c r="B768" s="17" t="s">
        <v>4028</v>
      </c>
      <c r="C768" s="17" t="s">
        <v>4029</v>
      </c>
      <c r="D768" s="17" t="s">
        <v>4030</v>
      </c>
      <c r="E768" s="17" t="s">
        <v>4031</v>
      </c>
      <c r="F768" s="17" t="s">
        <v>4031</v>
      </c>
      <c r="G768">
        <v>3500330000</v>
      </c>
    </row>
    <row r="769" spans="1:7">
      <c r="A769" s="16">
        <v>43175</v>
      </c>
      <c r="B769" s="17" t="s">
        <v>4032</v>
      </c>
      <c r="C769" s="17" t="s">
        <v>4033</v>
      </c>
      <c r="D769" s="17" t="s">
        <v>4034</v>
      </c>
      <c r="E769" s="17" t="s">
        <v>4035</v>
      </c>
      <c r="F769" s="17" t="s">
        <v>4035</v>
      </c>
      <c r="G769">
        <v>5372340000</v>
      </c>
    </row>
    <row r="770" spans="1:7">
      <c r="A770" s="16">
        <v>43178</v>
      </c>
      <c r="B770" s="17" t="s">
        <v>4036</v>
      </c>
      <c r="C770" s="17" t="s">
        <v>4036</v>
      </c>
      <c r="D770" s="17" t="s">
        <v>4037</v>
      </c>
      <c r="E770" s="17" t="s">
        <v>4038</v>
      </c>
      <c r="F770" s="17" t="s">
        <v>4038</v>
      </c>
      <c r="G770">
        <v>3302130000</v>
      </c>
    </row>
    <row r="771" spans="1:7">
      <c r="A771" s="16">
        <v>43179</v>
      </c>
      <c r="B771" s="17" t="s">
        <v>4039</v>
      </c>
      <c r="C771" s="17" t="s">
        <v>4040</v>
      </c>
      <c r="D771" s="17" t="s">
        <v>4041</v>
      </c>
      <c r="E771" s="17" t="s">
        <v>4042</v>
      </c>
      <c r="F771" s="17" t="s">
        <v>4042</v>
      </c>
      <c r="G771">
        <v>3261030000</v>
      </c>
    </row>
    <row r="772" spans="1:7">
      <c r="A772" s="16">
        <v>43180</v>
      </c>
      <c r="B772" s="17" t="s">
        <v>4043</v>
      </c>
      <c r="C772" s="17" t="s">
        <v>4044</v>
      </c>
      <c r="D772" s="17" t="s">
        <v>4045</v>
      </c>
      <c r="E772" s="17" t="s">
        <v>4046</v>
      </c>
      <c r="F772" s="17" t="s">
        <v>4046</v>
      </c>
      <c r="G772">
        <v>3415510000</v>
      </c>
    </row>
    <row r="773" spans="1:7">
      <c r="A773" s="16">
        <v>43181</v>
      </c>
      <c r="B773" s="17" t="s">
        <v>4047</v>
      </c>
      <c r="C773" s="17" t="s">
        <v>4048</v>
      </c>
      <c r="D773" s="17" t="s">
        <v>4049</v>
      </c>
      <c r="E773" s="17" t="s">
        <v>4050</v>
      </c>
      <c r="F773" s="17" t="s">
        <v>4050</v>
      </c>
      <c r="G773">
        <v>3739800000</v>
      </c>
    </row>
    <row r="774" spans="1:7">
      <c r="A774" s="16">
        <v>43182</v>
      </c>
      <c r="B774" s="17" t="s">
        <v>4051</v>
      </c>
      <c r="C774" s="17" t="s">
        <v>4052</v>
      </c>
      <c r="D774" s="17" t="s">
        <v>4053</v>
      </c>
      <c r="E774" s="17" t="s">
        <v>4054</v>
      </c>
      <c r="F774" s="17" t="s">
        <v>4054</v>
      </c>
      <c r="G774">
        <v>3815080000</v>
      </c>
    </row>
    <row r="775" spans="1:7">
      <c r="A775" s="16">
        <v>43185</v>
      </c>
      <c r="B775" s="17" t="s">
        <v>4055</v>
      </c>
      <c r="C775" s="17" t="s">
        <v>4056</v>
      </c>
      <c r="D775" s="17" t="s">
        <v>4057</v>
      </c>
      <c r="E775" s="17" t="s">
        <v>4058</v>
      </c>
      <c r="F775" s="17" t="s">
        <v>4058</v>
      </c>
      <c r="G775">
        <v>3511100000</v>
      </c>
    </row>
    <row r="776" spans="1:7">
      <c r="A776" s="16">
        <v>43186</v>
      </c>
      <c r="B776" s="17" t="s">
        <v>4059</v>
      </c>
      <c r="C776" s="17" t="s">
        <v>4060</v>
      </c>
      <c r="D776" s="17" t="s">
        <v>4061</v>
      </c>
      <c r="E776" s="17" t="s">
        <v>4062</v>
      </c>
      <c r="F776" s="17" t="s">
        <v>4062</v>
      </c>
      <c r="G776">
        <v>3706350000</v>
      </c>
    </row>
    <row r="777" spans="1:7">
      <c r="A777" s="16">
        <v>43187</v>
      </c>
      <c r="B777" s="17" t="s">
        <v>4063</v>
      </c>
      <c r="C777" s="17" t="s">
        <v>4064</v>
      </c>
      <c r="D777" s="17" t="s">
        <v>4065</v>
      </c>
      <c r="E777" s="17" t="s">
        <v>4066</v>
      </c>
      <c r="F777" s="17" t="s">
        <v>4066</v>
      </c>
      <c r="G777">
        <v>3864500000</v>
      </c>
    </row>
    <row r="778" spans="1:7">
      <c r="A778" s="16">
        <v>43188</v>
      </c>
      <c r="B778" s="17" t="s">
        <v>4067</v>
      </c>
      <c r="C778" s="17" t="s">
        <v>4068</v>
      </c>
      <c r="D778" s="17" t="s">
        <v>4069</v>
      </c>
      <c r="E778" s="17" t="s">
        <v>4070</v>
      </c>
      <c r="F778" s="17" t="s">
        <v>4070</v>
      </c>
      <c r="G778">
        <v>3565990000</v>
      </c>
    </row>
    <row r="779" spans="1:7">
      <c r="A779" s="16">
        <v>43192</v>
      </c>
      <c r="B779" s="17" t="s">
        <v>4071</v>
      </c>
      <c r="C779" s="17" t="s">
        <v>4072</v>
      </c>
      <c r="D779" s="17" t="s">
        <v>4073</v>
      </c>
      <c r="E779" s="17" t="s">
        <v>4074</v>
      </c>
      <c r="F779" s="17" t="s">
        <v>4074</v>
      </c>
      <c r="G779">
        <v>3598520000</v>
      </c>
    </row>
    <row r="780" spans="1:7">
      <c r="A780" s="16">
        <v>43193</v>
      </c>
      <c r="B780" s="17" t="s">
        <v>4075</v>
      </c>
      <c r="C780" s="17" t="s">
        <v>4076</v>
      </c>
      <c r="D780" s="17" t="s">
        <v>4077</v>
      </c>
      <c r="E780" s="17" t="s">
        <v>4078</v>
      </c>
      <c r="F780" s="17" t="s">
        <v>4078</v>
      </c>
      <c r="G780">
        <v>3392810000</v>
      </c>
    </row>
    <row r="781" spans="1:7">
      <c r="A781" s="16">
        <v>43194</v>
      </c>
      <c r="B781" s="17" t="s">
        <v>4079</v>
      </c>
      <c r="C781" s="17" t="s">
        <v>4080</v>
      </c>
      <c r="D781" s="17" t="s">
        <v>4081</v>
      </c>
      <c r="E781" s="17" t="s">
        <v>4082</v>
      </c>
      <c r="F781" s="17" t="s">
        <v>4082</v>
      </c>
      <c r="G781">
        <v>3350340000</v>
      </c>
    </row>
    <row r="782" spans="1:7">
      <c r="A782" s="16">
        <v>43195</v>
      </c>
      <c r="B782" s="17" t="s">
        <v>4083</v>
      </c>
      <c r="C782" s="17" t="s">
        <v>4084</v>
      </c>
      <c r="D782" s="17" t="s">
        <v>4085</v>
      </c>
      <c r="E782" s="17" t="s">
        <v>4086</v>
      </c>
      <c r="F782" s="17" t="s">
        <v>4086</v>
      </c>
      <c r="G782">
        <v>3178970000</v>
      </c>
    </row>
    <row r="783" spans="1:7">
      <c r="A783" s="16">
        <v>43196</v>
      </c>
      <c r="B783" s="17" t="s">
        <v>4087</v>
      </c>
      <c r="C783" s="17" t="s">
        <v>4088</v>
      </c>
      <c r="D783" s="17" t="s">
        <v>4089</v>
      </c>
      <c r="E783" s="17" t="s">
        <v>4090</v>
      </c>
      <c r="F783" s="17" t="s">
        <v>4090</v>
      </c>
      <c r="G783">
        <v>3299700000</v>
      </c>
    </row>
    <row r="784" spans="1:7">
      <c r="A784" s="16">
        <v>43199</v>
      </c>
      <c r="B784" s="17" t="s">
        <v>4091</v>
      </c>
      <c r="C784" s="17" t="s">
        <v>4092</v>
      </c>
      <c r="D784" s="17" t="s">
        <v>4093</v>
      </c>
      <c r="E784" s="17" t="s">
        <v>4094</v>
      </c>
      <c r="F784" s="17" t="s">
        <v>4094</v>
      </c>
      <c r="G784">
        <v>3062960000</v>
      </c>
    </row>
    <row r="785" spans="1:7">
      <c r="A785" s="16">
        <v>43200</v>
      </c>
      <c r="B785" s="17" t="s">
        <v>4095</v>
      </c>
      <c r="C785" s="17" t="s">
        <v>4096</v>
      </c>
      <c r="D785" s="17" t="s">
        <v>4097</v>
      </c>
      <c r="E785" s="17" t="s">
        <v>4098</v>
      </c>
      <c r="F785" s="17" t="s">
        <v>4098</v>
      </c>
      <c r="G785">
        <v>3543930000</v>
      </c>
    </row>
    <row r="786" spans="1:7">
      <c r="A786" s="16">
        <v>43201</v>
      </c>
      <c r="B786" s="17" t="s">
        <v>4099</v>
      </c>
      <c r="C786" s="17" t="s">
        <v>4100</v>
      </c>
      <c r="D786" s="17" t="s">
        <v>4101</v>
      </c>
      <c r="E786" s="17" t="s">
        <v>4102</v>
      </c>
      <c r="F786" s="17" t="s">
        <v>4102</v>
      </c>
      <c r="G786">
        <v>3020760000</v>
      </c>
    </row>
    <row r="787" spans="1:7">
      <c r="A787" s="16">
        <v>43202</v>
      </c>
      <c r="B787" s="17" t="s">
        <v>4103</v>
      </c>
      <c r="C787" s="17" t="s">
        <v>4104</v>
      </c>
      <c r="D787" s="17" t="s">
        <v>4103</v>
      </c>
      <c r="E787" s="17" t="s">
        <v>4105</v>
      </c>
      <c r="F787" s="17" t="s">
        <v>4105</v>
      </c>
      <c r="G787">
        <v>3021320000</v>
      </c>
    </row>
    <row r="788" spans="1:7">
      <c r="A788" s="16">
        <v>43203</v>
      </c>
      <c r="B788" s="17" t="s">
        <v>4106</v>
      </c>
      <c r="C788" s="17" t="s">
        <v>4107</v>
      </c>
      <c r="D788" s="17" t="s">
        <v>4108</v>
      </c>
      <c r="E788" s="17" t="s">
        <v>4109</v>
      </c>
      <c r="F788" s="17" t="s">
        <v>4109</v>
      </c>
      <c r="G788">
        <v>2960910000</v>
      </c>
    </row>
    <row r="789" spans="1:7">
      <c r="A789" s="16">
        <v>43206</v>
      </c>
      <c r="B789" s="17" t="s">
        <v>4110</v>
      </c>
      <c r="C789" s="17" t="s">
        <v>4111</v>
      </c>
      <c r="D789" s="17" t="s">
        <v>4112</v>
      </c>
      <c r="E789" s="17" t="s">
        <v>4113</v>
      </c>
      <c r="F789" s="17" t="s">
        <v>4113</v>
      </c>
      <c r="G789">
        <v>3019700000</v>
      </c>
    </row>
    <row r="790" spans="1:7">
      <c r="A790" s="16">
        <v>43207</v>
      </c>
      <c r="B790" s="17" t="s">
        <v>4114</v>
      </c>
      <c r="C790" s="17" t="s">
        <v>4115</v>
      </c>
      <c r="D790" s="17" t="s">
        <v>4116</v>
      </c>
      <c r="E790" s="17" t="s">
        <v>4117</v>
      </c>
      <c r="F790" s="17" t="s">
        <v>4117</v>
      </c>
      <c r="G790">
        <v>3234360000</v>
      </c>
    </row>
    <row r="791" spans="1:7">
      <c r="A791" s="16">
        <v>43208</v>
      </c>
      <c r="B791" s="17" t="s">
        <v>4118</v>
      </c>
      <c r="C791" s="17" t="s">
        <v>4119</v>
      </c>
      <c r="D791" s="17" t="s">
        <v>4120</v>
      </c>
      <c r="E791" s="17" t="s">
        <v>4121</v>
      </c>
      <c r="F791" s="17" t="s">
        <v>4121</v>
      </c>
      <c r="G791">
        <v>3383410000</v>
      </c>
    </row>
    <row r="792" spans="1:7">
      <c r="A792" s="16">
        <v>43209</v>
      </c>
      <c r="B792" s="17" t="s">
        <v>4122</v>
      </c>
      <c r="C792" s="17" t="s">
        <v>4123</v>
      </c>
      <c r="D792" s="17" t="s">
        <v>4124</v>
      </c>
      <c r="E792" s="17" t="s">
        <v>4125</v>
      </c>
      <c r="F792" s="17" t="s">
        <v>4125</v>
      </c>
      <c r="G792">
        <v>3349370000</v>
      </c>
    </row>
    <row r="793" spans="1:7">
      <c r="A793" s="16">
        <v>43210</v>
      </c>
      <c r="B793" s="17" t="s">
        <v>4126</v>
      </c>
      <c r="C793" s="17" t="s">
        <v>4127</v>
      </c>
      <c r="D793" s="17" t="s">
        <v>4128</v>
      </c>
      <c r="E793" s="17" t="s">
        <v>4129</v>
      </c>
      <c r="F793" s="17" t="s">
        <v>4129</v>
      </c>
      <c r="G793">
        <v>3388590000</v>
      </c>
    </row>
    <row r="794" spans="1:7">
      <c r="A794" s="16">
        <v>43213</v>
      </c>
      <c r="B794" s="17" t="s">
        <v>4130</v>
      </c>
      <c r="C794" s="17" t="s">
        <v>4131</v>
      </c>
      <c r="D794" s="17" t="s">
        <v>4132</v>
      </c>
      <c r="E794" s="17" t="s">
        <v>4133</v>
      </c>
      <c r="F794" s="17" t="s">
        <v>4133</v>
      </c>
      <c r="G794">
        <v>3017480000</v>
      </c>
    </row>
    <row r="795" spans="1:7">
      <c r="A795" s="16">
        <v>43214</v>
      </c>
      <c r="B795" s="17" t="s">
        <v>4134</v>
      </c>
      <c r="C795" s="17" t="s">
        <v>4135</v>
      </c>
      <c r="D795" s="17" t="s">
        <v>4136</v>
      </c>
      <c r="E795" s="17" t="s">
        <v>4137</v>
      </c>
      <c r="F795" s="17" t="s">
        <v>4137</v>
      </c>
      <c r="G795">
        <v>3706740000</v>
      </c>
    </row>
    <row r="796" spans="1:7">
      <c r="A796" s="16">
        <v>43215</v>
      </c>
      <c r="B796" s="17" t="s">
        <v>4138</v>
      </c>
      <c r="C796" s="17" t="s">
        <v>4139</v>
      </c>
      <c r="D796" s="17" t="s">
        <v>4140</v>
      </c>
      <c r="E796" s="17" t="s">
        <v>4141</v>
      </c>
      <c r="F796" s="17" t="s">
        <v>4141</v>
      </c>
      <c r="G796">
        <v>3499440000</v>
      </c>
    </row>
    <row r="797" spans="1:7">
      <c r="A797" s="16">
        <v>43216</v>
      </c>
      <c r="B797" s="17" t="s">
        <v>3780</v>
      </c>
      <c r="C797" s="17" t="s">
        <v>4142</v>
      </c>
      <c r="D797" s="17" t="s">
        <v>4143</v>
      </c>
      <c r="E797" s="17" t="s">
        <v>4144</v>
      </c>
      <c r="F797" s="17" t="s">
        <v>4144</v>
      </c>
      <c r="G797">
        <v>3665720000</v>
      </c>
    </row>
    <row r="798" spans="1:7">
      <c r="A798" s="16">
        <v>43217</v>
      </c>
      <c r="B798" s="17" t="s">
        <v>4145</v>
      </c>
      <c r="C798" s="17" t="s">
        <v>4146</v>
      </c>
      <c r="D798" s="17" t="s">
        <v>4147</v>
      </c>
      <c r="E798" s="17" t="s">
        <v>4148</v>
      </c>
      <c r="F798" s="17" t="s">
        <v>4148</v>
      </c>
      <c r="G798">
        <v>3219030000</v>
      </c>
    </row>
    <row r="799" spans="1:7">
      <c r="A799" s="16">
        <v>43220</v>
      </c>
      <c r="B799" s="17" t="s">
        <v>4149</v>
      </c>
      <c r="C799" s="17" t="s">
        <v>4150</v>
      </c>
      <c r="D799" s="17" t="s">
        <v>4151</v>
      </c>
      <c r="E799" s="17" t="s">
        <v>4152</v>
      </c>
      <c r="F799" s="17" t="s">
        <v>4152</v>
      </c>
      <c r="G799">
        <v>3734530000</v>
      </c>
    </row>
    <row r="800" spans="1:7">
      <c r="A800" s="16">
        <v>43221</v>
      </c>
      <c r="B800" s="17" t="s">
        <v>4153</v>
      </c>
      <c r="C800" s="17" t="s">
        <v>4154</v>
      </c>
      <c r="D800" s="17" t="s">
        <v>4155</v>
      </c>
      <c r="E800" s="17" t="s">
        <v>4156</v>
      </c>
      <c r="F800" s="17" t="s">
        <v>4156</v>
      </c>
      <c r="G800">
        <v>3559850000</v>
      </c>
    </row>
    <row r="801" spans="1:7">
      <c r="A801" s="16">
        <v>43222</v>
      </c>
      <c r="B801" s="17" t="s">
        <v>4157</v>
      </c>
      <c r="C801" s="17" t="s">
        <v>4158</v>
      </c>
      <c r="D801" s="17" t="s">
        <v>4159</v>
      </c>
      <c r="E801" s="17" t="s">
        <v>4160</v>
      </c>
      <c r="F801" s="17" t="s">
        <v>4160</v>
      </c>
      <c r="G801">
        <v>4010770000</v>
      </c>
    </row>
    <row r="802" spans="1:7">
      <c r="A802" s="16">
        <v>43223</v>
      </c>
      <c r="B802" s="17" t="s">
        <v>4161</v>
      </c>
      <c r="C802" s="17" t="s">
        <v>4162</v>
      </c>
      <c r="D802" s="17" t="s">
        <v>4163</v>
      </c>
      <c r="E802" s="17" t="s">
        <v>4164</v>
      </c>
      <c r="F802" s="17" t="s">
        <v>4164</v>
      </c>
      <c r="G802">
        <v>3851470000</v>
      </c>
    </row>
    <row r="803" spans="1:7">
      <c r="A803" s="16">
        <v>43224</v>
      </c>
      <c r="B803" s="17" t="s">
        <v>4165</v>
      </c>
      <c r="C803" s="17" t="s">
        <v>4166</v>
      </c>
      <c r="D803" s="17" t="s">
        <v>4167</v>
      </c>
      <c r="E803" s="17" t="s">
        <v>4168</v>
      </c>
      <c r="F803" s="17" t="s">
        <v>4168</v>
      </c>
      <c r="G803">
        <v>3327220000</v>
      </c>
    </row>
    <row r="804" spans="1:7">
      <c r="A804" s="16">
        <v>43227</v>
      </c>
      <c r="B804" s="17" t="s">
        <v>4169</v>
      </c>
      <c r="C804" s="17" t="s">
        <v>4170</v>
      </c>
      <c r="D804" s="17" t="s">
        <v>4171</v>
      </c>
      <c r="E804" s="17" t="s">
        <v>4172</v>
      </c>
      <c r="F804" s="17" t="s">
        <v>4172</v>
      </c>
      <c r="G804">
        <v>3237960000</v>
      </c>
    </row>
    <row r="805" spans="1:7">
      <c r="A805" s="16">
        <v>43228</v>
      </c>
      <c r="B805" s="17" t="s">
        <v>4173</v>
      </c>
      <c r="C805" s="17" t="s">
        <v>4174</v>
      </c>
      <c r="D805" s="17" t="s">
        <v>4175</v>
      </c>
      <c r="E805" s="17" t="s">
        <v>4176</v>
      </c>
      <c r="F805" s="17" t="s">
        <v>4176</v>
      </c>
      <c r="G805">
        <v>3717570000</v>
      </c>
    </row>
    <row r="806" spans="1:7">
      <c r="A806" s="16">
        <v>43229</v>
      </c>
      <c r="B806" s="17" t="s">
        <v>4177</v>
      </c>
      <c r="C806" s="17" t="s">
        <v>4178</v>
      </c>
      <c r="D806" s="17" t="s">
        <v>4179</v>
      </c>
      <c r="E806" s="17" t="s">
        <v>4180</v>
      </c>
      <c r="F806" s="17" t="s">
        <v>4180</v>
      </c>
      <c r="G806">
        <v>3909500000</v>
      </c>
    </row>
    <row r="807" spans="1:7">
      <c r="A807" s="16">
        <v>43230</v>
      </c>
      <c r="B807" s="17" t="s">
        <v>4181</v>
      </c>
      <c r="C807" s="17" t="s">
        <v>4182</v>
      </c>
      <c r="D807" s="17" t="s">
        <v>4183</v>
      </c>
      <c r="E807" s="17" t="s">
        <v>4184</v>
      </c>
      <c r="F807" s="17" t="s">
        <v>4184</v>
      </c>
      <c r="G807">
        <v>3333050000</v>
      </c>
    </row>
    <row r="808" spans="1:7">
      <c r="A808" s="16">
        <v>43231</v>
      </c>
      <c r="B808" s="17" t="s">
        <v>4185</v>
      </c>
      <c r="C808" s="17" t="s">
        <v>4186</v>
      </c>
      <c r="D808" s="17" t="s">
        <v>4187</v>
      </c>
      <c r="E808" s="17" t="s">
        <v>4188</v>
      </c>
      <c r="F808" s="17" t="s">
        <v>4188</v>
      </c>
      <c r="G808">
        <v>2862700000</v>
      </c>
    </row>
    <row r="809" spans="1:7">
      <c r="A809" s="16">
        <v>43234</v>
      </c>
      <c r="B809" s="17" t="s">
        <v>4189</v>
      </c>
      <c r="C809" s="17" t="s">
        <v>4190</v>
      </c>
      <c r="D809" s="17" t="s">
        <v>4191</v>
      </c>
      <c r="E809" s="17" t="s">
        <v>4192</v>
      </c>
      <c r="F809" s="17" t="s">
        <v>4192</v>
      </c>
      <c r="G809">
        <v>2972660000</v>
      </c>
    </row>
    <row r="810" spans="1:7">
      <c r="A810" s="16">
        <v>43235</v>
      </c>
      <c r="B810" s="17" t="s">
        <v>4193</v>
      </c>
      <c r="C810" s="17" t="s">
        <v>4193</v>
      </c>
      <c r="D810" s="17" t="s">
        <v>4194</v>
      </c>
      <c r="E810" s="17" t="s">
        <v>4195</v>
      </c>
      <c r="F810" s="17" t="s">
        <v>4195</v>
      </c>
      <c r="G810">
        <v>3290680000</v>
      </c>
    </row>
    <row r="811" spans="1:7">
      <c r="A811" s="16">
        <v>43236</v>
      </c>
      <c r="B811" s="17" t="s">
        <v>4196</v>
      </c>
      <c r="C811" s="17" t="s">
        <v>4197</v>
      </c>
      <c r="D811" s="17" t="s">
        <v>4198</v>
      </c>
      <c r="E811" s="17" t="s">
        <v>4199</v>
      </c>
      <c r="F811" s="17" t="s">
        <v>4199</v>
      </c>
      <c r="G811">
        <v>3202670000</v>
      </c>
    </row>
    <row r="812" spans="1:7">
      <c r="A812" s="16">
        <v>43237</v>
      </c>
      <c r="B812" s="17" t="s">
        <v>4200</v>
      </c>
      <c r="C812" s="17" t="s">
        <v>4201</v>
      </c>
      <c r="D812" s="17" t="s">
        <v>4202</v>
      </c>
      <c r="E812" s="17" t="s">
        <v>4203</v>
      </c>
      <c r="F812" s="17" t="s">
        <v>4203</v>
      </c>
      <c r="G812">
        <v>3475400000</v>
      </c>
    </row>
    <row r="813" spans="1:7">
      <c r="A813" s="16">
        <v>43238</v>
      </c>
      <c r="B813" s="17" t="s">
        <v>4204</v>
      </c>
      <c r="C813" s="17" t="s">
        <v>4205</v>
      </c>
      <c r="D813" s="17" t="s">
        <v>4206</v>
      </c>
      <c r="E813" s="17" t="s">
        <v>4207</v>
      </c>
      <c r="F813" s="17" t="s">
        <v>4207</v>
      </c>
      <c r="G813">
        <v>3368690000</v>
      </c>
    </row>
    <row r="814" spans="1:7">
      <c r="A814" s="16">
        <v>43241</v>
      </c>
      <c r="B814" s="17" t="s">
        <v>4208</v>
      </c>
      <c r="C814" s="17" t="s">
        <v>4209</v>
      </c>
      <c r="D814" s="17" t="s">
        <v>4210</v>
      </c>
      <c r="E814" s="17" t="s">
        <v>4211</v>
      </c>
      <c r="F814" s="17" t="s">
        <v>4211</v>
      </c>
      <c r="G814">
        <v>3019890000</v>
      </c>
    </row>
    <row r="815" spans="1:7">
      <c r="A815" s="16">
        <v>43242</v>
      </c>
      <c r="B815" s="17" t="s">
        <v>4212</v>
      </c>
      <c r="C815" s="17" t="s">
        <v>4213</v>
      </c>
      <c r="D815" s="17" t="s">
        <v>4214</v>
      </c>
      <c r="E815" s="17" t="s">
        <v>4215</v>
      </c>
      <c r="F815" s="17" t="s">
        <v>4215</v>
      </c>
      <c r="G815">
        <v>3366310000</v>
      </c>
    </row>
    <row r="816" spans="1:7">
      <c r="A816" s="16">
        <v>43243</v>
      </c>
      <c r="B816" s="17" t="s">
        <v>4216</v>
      </c>
      <c r="C816" s="17" t="s">
        <v>4217</v>
      </c>
      <c r="D816" s="17" t="s">
        <v>4218</v>
      </c>
      <c r="E816" s="17" t="s">
        <v>4219</v>
      </c>
      <c r="F816" s="17" t="s">
        <v>4219</v>
      </c>
      <c r="G816">
        <v>3326290000</v>
      </c>
    </row>
    <row r="817" spans="1:7">
      <c r="A817" s="16">
        <v>43244</v>
      </c>
      <c r="B817" s="17" t="s">
        <v>4220</v>
      </c>
      <c r="C817" s="17" t="s">
        <v>4221</v>
      </c>
      <c r="D817" s="17" t="s">
        <v>4222</v>
      </c>
      <c r="E817" s="17" t="s">
        <v>4197</v>
      </c>
      <c r="F817" s="17" t="s">
        <v>4197</v>
      </c>
      <c r="G817">
        <v>3256030000</v>
      </c>
    </row>
    <row r="818" spans="1:7">
      <c r="A818" s="16">
        <v>43245</v>
      </c>
      <c r="B818" s="17" t="s">
        <v>4223</v>
      </c>
      <c r="C818" s="17" t="s">
        <v>4224</v>
      </c>
      <c r="D818" s="17" t="s">
        <v>4043</v>
      </c>
      <c r="E818" s="17" t="s">
        <v>4225</v>
      </c>
      <c r="F818" s="17" t="s">
        <v>4225</v>
      </c>
      <c r="G818">
        <v>2995260000</v>
      </c>
    </row>
    <row r="819" spans="1:7">
      <c r="A819" s="16">
        <v>43249</v>
      </c>
      <c r="B819" s="17" t="s">
        <v>4226</v>
      </c>
      <c r="C819" s="17" t="s">
        <v>4227</v>
      </c>
      <c r="D819" s="17" t="s">
        <v>4228</v>
      </c>
      <c r="E819" s="17" t="s">
        <v>4229</v>
      </c>
      <c r="F819" s="17" t="s">
        <v>4229</v>
      </c>
      <c r="G819">
        <v>3736890000</v>
      </c>
    </row>
    <row r="820" spans="1:7">
      <c r="A820" s="16">
        <v>43250</v>
      </c>
      <c r="B820" s="17" t="s">
        <v>4230</v>
      </c>
      <c r="C820" s="17" t="s">
        <v>4231</v>
      </c>
      <c r="D820" s="17" t="s">
        <v>4230</v>
      </c>
      <c r="E820" s="17" t="s">
        <v>4232</v>
      </c>
      <c r="F820" s="17" t="s">
        <v>4232</v>
      </c>
      <c r="G820">
        <v>3561050000</v>
      </c>
    </row>
    <row r="821" spans="1:7">
      <c r="A821" s="16">
        <v>43251</v>
      </c>
      <c r="B821" s="17" t="s">
        <v>4233</v>
      </c>
      <c r="C821" s="17" t="s">
        <v>4234</v>
      </c>
      <c r="D821" s="17" t="s">
        <v>4235</v>
      </c>
      <c r="E821" s="17" t="s">
        <v>4236</v>
      </c>
      <c r="F821" s="17" t="s">
        <v>4236</v>
      </c>
      <c r="G821">
        <v>4235370000</v>
      </c>
    </row>
    <row r="822" spans="1:7">
      <c r="A822" s="16">
        <v>43252</v>
      </c>
      <c r="B822" s="17" t="s">
        <v>4237</v>
      </c>
      <c r="C822" s="17" t="s">
        <v>4238</v>
      </c>
      <c r="D822" s="17" t="s">
        <v>4237</v>
      </c>
      <c r="E822" s="17" t="s">
        <v>4239</v>
      </c>
      <c r="F822" s="17" t="s">
        <v>4239</v>
      </c>
      <c r="G822">
        <v>3684130000</v>
      </c>
    </row>
    <row r="823" spans="1:7">
      <c r="A823" s="16">
        <v>43255</v>
      </c>
      <c r="B823" s="17" t="s">
        <v>4240</v>
      </c>
      <c r="C823" s="17" t="s">
        <v>4241</v>
      </c>
      <c r="D823" s="17" t="s">
        <v>4242</v>
      </c>
      <c r="E823" s="17" t="s">
        <v>4243</v>
      </c>
      <c r="F823" s="17" t="s">
        <v>4243</v>
      </c>
      <c r="G823">
        <v>3376510000</v>
      </c>
    </row>
    <row r="824" spans="1:7">
      <c r="A824" s="16">
        <v>43256</v>
      </c>
      <c r="B824" s="17" t="s">
        <v>4244</v>
      </c>
      <c r="C824" s="17" t="s">
        <v>4245</v>
      </c>
      <c r="D824" s="17" t="s">
        <v>4246</v>
      </c>
      <c r="E824" s="17" t="s">
        <v>4247</v>
      </c>
      <c r="F824" s="17" t="s">
        <v>4247</v>
      </c>
      <c r="G824">
        <v>3517790000</v>
      </c>
    </row>
    <row r="825" spans="1:7">
      <c r="A825" s="16">
        <v>43257</v>
      </c>
      <c r="B825" s="17" t="s">
        <v>4248</v>
      </c>
      <c r="C825" s="17" t="s">
        <v>4249</v>
      </c>
      <c r="D825" s="17" t="s">
        <v>4244</v>
      </c>
      <c r="E825" s="17" t="s">
        <v>4250</v>
      </c>
      <c r="F825" s="17" t="s">
        <v>4250</v>
      </c>
      <c r="G825">
        <v>3651640000</v>
      </c>
    </row>
    <row r="826" spans="1:7">
      <c r="A826" s="16">
        <v>43258</v>
      </c>
      <c r="B826" s="17" t="s">
        <v>4251</v>
      </c>
      <c r="C826" s="17" t="s">
        <v>4252</v>
      </c>
      <c r="D826" s="17" t="s">
        <v>4253</v>
      </c>
      <c r="E826" s="17" t="s">
        <v>4254</v>
      </c>
      <c r="F826" s="17" t="s">
        <v>4254</v>
      </c>
      <c r="G826">
        <v>3711330000</v>
      </c>
    </row>
    <row r="827" spans="1:7">
      <c r="A827" s="16">
        <v>43259</v>
      </c>
      <c r="B827" s="17" t="s">
        <v>4255</v>
      </c>
      <c r="C827" s="17" t="s">
        <v>4256</v>
      </c>
      <c r="D827" s="17" t="s">
        <v>4257</v>
      </c>
      <c r="E827" s="17" t="s">
        <v>4258</v>
      </c>
      <c r="F827" s="17" t="s">
        <v>4258</v>
      </c>
      <c r="G827">
        <v>3123210000</v>
      </c>
    </row>
    <row r="828" spans="1:7">
      <c r="A828" s="16">
        <v>43262</v>
      </c>
      <c r="B828" s="17" t="s">
        <v>4259</v>
      </c>
      <c r="C828" s="17" t="s">
        <v>4260</v>
      </c>
      <c r="D828" s="17" t="s">
        <v>4261</v>
      </c>
      <c r="E828" s="17" t="s">
        <v>4262</v>
      </c>
      <c r="F828" s="17" t="s">
        <v>4262</v>
      </c>
      <c r="G828">
        <v>3232330000</v>
      </c>
    </row>
    <row r="829" spans="1:7">
      <c r="A829" s="16">
        <v>43263</v>
      </c>
      <c r="B829" s="17" t="s">
        <v>4263</v>
      </c>
      <c r="C829" s="17" t="s">
        <v>4264</v>
      </c>
      <c r="D829" s="17" t="s">
        <v>4265</v>
      </c>
      <c r="E829" s="17" t="s">
        <v>4266</v>
      </c>
      <c r="F829" s="17" t="s">
        <v>4266</v>
      </c>
      <c r="G829">
        <v>3401010000</v>
      </c>
    </row>
    <row r="830" spans="1:7">
      <c r="A830" s="16">
        <v>43264</v>
      </c>
      <c r="B830" s="17" t="s">
        <v>4267</v>
      </c>
      <c r="C830" s="17" t="s">
        <v>4268</v>
      </c>
      <c r="D830" s="17" t="s">
        <v>4269</v>
      </c>
      <c r="E830" s="17" t="s">
        <v>4270</v>
      </c>
      <c r="F830" s="17" t="s">
        <v>4270</v>
      </c>
      <c r="G830">
        <v>3779230000</v>
      </c>
    </row>
    <row r="831" spans="1:7">
      <c r="A831" s="16">
        <v>43265</v>
      </c>
      <c r="B831" s="17" t="s">
        <v>4271</v>
      </c>
      <c r="C831" s="17" t="s">
        <v>4272</v>
      </c>
      <c r="D831" s="17" t="s">
        <v>4273</v>
      </c>
      <c r="E831" s="17" t="s">
        <v>4274</v>
      </c>
      <c r="F831" s="17" t="s">
        <v>4274</v>
      </c>
      <c r="G831">
        <v>3526890000</v>
      </c>
    </row>
    <row r="832" spans="1:7">
      <c r="A832" s="16">
        <v>43266</v>
      </c>
      <c r="B832" s="17" t="s">
        <v>4275</v>
      </c>
      <c r="C832" s="17" t="s">
        <v>4276</v>
      </c>
      <c r="D832" s="17" t="s">
        <v>4277</v>
      </c>
      <c r="E832" s="17" t="s">
        <v>4278</v>
      </c>
      <c r="F832" s="17" t="s">
        <v>4278</v>
      </c>
      <c r="G832">
        <v>5428790000</v>
      </c>
    </row>
    <row r="833" spans="1:7">
      <c r="A833" s="16">
        <v>43269</v>
      </c>
      <c r="B833" s="17" t="s">
        <v>4279</v>
      </c>
      <c r="C833" s="17" t="s">
        <v>4280</v>
      </c>
      <c r="D833" s="17" t="s">
        <v>4281</v>
      </c>
      <c r="E833" s="17" t="s">
        <v>4282</v>
      </c>
      <c r="F833" s="17" t="s">
        <v>4282</v>
      </c>
      <c r="G833">
        <v>3287150000</v>
      </c>
    </row>
    <row r="834" spans="1:7">
      <c r="A834" s="16">
        <v>43270</v>
      </c>
      <c r="B834" s="17" t="s">
        <v>4035</v>
      </c>
      <c r="C834" s="17" t="s">
        <v>4283</v>
      </c>
      <c r="D834" s="17" t="s">
        <v>4284</v>
      </c>
      <c r="E834" s="17" t="s">
        <v>4285</v>
      </c>
      <c r="F834" s="17" t="s">
        <v>4285</v>
      </c>
      <c r="G834">
        <v>3661470000</v>
      </c>
    </row>
    <row r="835" spans="1:7">
      <c r="A835" s="16">
        <v>43271</v>
      </c>
      <c r="B835" s="17" t="s">
        <v>4286</v>
      </c>
      <c r="C835" s="17" t="s">
        <v>4287</v>
      </c>
      <c r="D835" s="17" t="s">
        <v>4288</v>
      </c>
      <c r="E835" s="17" t="s">
        <v>4289</v>
      </c>
      <c r="F835" s="17" t="s">
        <v>4289</v>
      </c>
      <c r="G835">
        <v>3327600000</v>
      </c>
    </row>
    <row r="836" spans="1:7">
      <c r="A836" s="16">
        <v>43272</v>
      </c>
      <c r="B836" s="17" t="s">
        <v>4290</v>
      </c>
      <c r="C836" s="17" t="s">
        <v>4290</v>
      </c>
      <c r="D836" s="17" t="s">
        <v>4291</v>
      </c>
      <c r="E836" s="17" t="s">
        <v>4292</v>
      </c>
      <c r="F836" s="17" t="s">
        <v>4292</v>
      </c>
      <c r="G836">
        <v>3300060000</v>
      </c>
    </row>
    <row r="837" spans="1:7">
      <c r="A837" s="16">
        <v>43273</v>
      </c>
      <c r="B837" s="17" t="s">
        <v>4293</v>
      </c>
      <c r="C837" s="17" t="s">
        <v>4294</v>
      </c>
      <c r="D837" s="17" t="s">
        <v>4295</v>
      </c>
      <c r="E837" s="17" t="s">
        <v>4296</v>
      </c>
      <c r="F837" s="17" t="s">
        <v>4296</v>
      </c>
      <c r="G837">
        <v>5450550000</v>
      </c>
    </row>
    <row r="838" spans="1:7">
      <c r="A838" s="16">
        <v>43276</v>
      </c>
      <c r="B838" s="17" t="s">
        <v>4297</v>
      </c>
      <c r="C838" s="17" t="s">
        <v>4297</v>
      </c>
      <c r="D838" s="17" t="s">
        <v>4298</v>
      </c>
      <c r="E838" s="17" t="s">
        <v>4299</v>
      </c>
      <c r="F838" s="17" t="s">
        <v>4299</v>
      </c>
      <c r="G838">
        <v>3655080000</v>
      </c>
    </row>
    <row r="839" spans="1:7">
      <c r="A839" s="16">
        <v>43277</v>
      </c>
      <c r="B839" s="17" t="s">
        <v>4300</v>
      </c>
      <c r="C839" s="17" t="s">
        <v>4301</v>
      </c>
      <c r="D839" s="17" t="s">
        <v>4302</v>
      </c>
      <c r="E839" s="17" t="s">
        <v>4303</v>
      </c>
      <c r="F839" s="17" t="s">
        <v>4303</v>
      </c>
      <c r="G839">
        <v>3555090000</v>
      </c>
    </row>
    <row r="840" spans="1:7">
      <c r="A840" s="16">
        <v>43278</v>
      </c>
      <c r="B840" s="17" t="s">
        <v>4304</v>
      </c>
      <c r="C840" s="17" t="s">
        <v>4305</v>
      </c>
      <c r="D840" s="17" t="s">
        <v>4306</v>
      </c>
      <c r="E840" s="17" t="s">
        <v>4307</v>
      </c>
      <c r="F840" s="17" t="s">
        <v>4307</v>
      </c>
      <c r="G840">
        <v>3776090000</v>
      </c>
    </row>
    <row r="841" spans="1:7">
      <c r="A841" s="16">
        <v>43279</v>
      </c>
      <c r="B841" s="17" t="s">
        <v>4308</v>
      </c>
      <c r="C841" s="17" t="s">
        <v>4309</v>
      </c>
      <c r="D841" s="17" t="s">
        <v>4310</v>
      </c>
      <c r="E841" s="17" t="s">
        <v>4311</v>
      </c>
      <c r="F841" s="17" t="s">
        <v>4311</v>
      </c>
      <c r="G841">
        <v>3428140000</v>
      </c>
    </row>
    <row r="842" spans="1:7">
      <c r="A842" s="16">
        <v>43280</v>
      </c>
      <c r="B842" s="17" t="s">
        <v>4312</v>
      </c>
      <c r="C842" s="17" t="s">
        <v>4313</v>
      </c>
      <c r="D842" s="17" t="s">
        <v>4314</v>
      </c>
      <c r="E842" s="17" t="s">
        <v>4315</v>
      </c>
      <c r="F842" s="17" t="s">
        <v>4315</v>
      </c>
      <c r="G842">
        <v>3565620000</v>
      </c>
    </row>
    <row r="843" spans="1:7">
      <c r="A843" s="16">
        <v>43283</v>
      </c>
      <c r="B843" s="17" t="s">
        <v>4316</v>
      </c>
      <c r="C843" s="17" t="s">
        <v>4317</v>
      </c>
      <c r="D843" s="17" t="s">
        <v>4318</v>
      </c>
      <c r="E843" s="17" t="s">
        <v>4319</v>
      </c>
      <c r="F843" s="17" t="s">
        <v>4319</v>
      </c>
      <c r="G843">
        <v>3073650000</v>
      </c>
    </row>
    <row r="844" spans="1:7">
      <c r="A844" s="16">
        <v>43284</v>
      </c>
      <c r="B844" s="17" t="s">
        <v>4320</v>
      </c>
      <c r="C844" s="17" t="s">
        <v>4321</v>
      </c>
      <c r="D844" s="17" t="s">
        <v>4322</v>
      </c>
      <c r="E844" s="17" t="s">
        <v>4323</v>
      </c>
      <c r="F844" s="17" t="s">
        <v>4323</v>
      </c>
      <c r="G844">
        <v>1911470000</v>
      </c>
    </row>
    <row r="845" spans="1:7">
      <c r="A845" s="16">
        <v>43286</v>
      </c>
      <c r="B845" s="17" t="s">
        <v>4324</v>
      </c>
      <c r="C845" s="17" t="s">
        <v>4325</v>
      </c>
      <c r="D845" s="17" t="s">
        <v>4326</v>
      </c>
      <c r="E845" s="17" t="s">
        <v>4327</v>
      </c>
      <c r="F845" s="17" t="s">
        <v>4327</v>
      </c>
      <c r="G845">
        <v>2953420000</v>
      </c>
    </row>
    <row r="846" spans="1:7">
      <c r="A846" s="16">
        <v>43287</v>
      </c>
      <c r="B846" s="17" t="s">
        <v>4328</v>
      </c>
      <c r="C846" s="17" t="s">
        <v>4329</v>
      </c>
      <c r="D846" s="17" t="s">
        <v>4330</v>
      </c>
      <c r="E846" s="17" t="s">
        <v>4331</v>
      </c>
      <c r="F846" s="17" t="s">
        <v>4331</v>
      </c>
      <c r="G846">
        <v>2554780000</v>
      </c>
    </row>
    <row r="847" spans="1:7">
      <c r="A847" s="16">
        <v>43290</v>
      </c>
      <c r="B847" s="17" t="s">
        <v>4332</v>
      </c>
      <c r="C847" s="17" t="s">
        <v>4333</v>
      </c>
      <c r="D847" s="17" t="s">
        <v>4334</v>
      </c>
      <c r="E847" s="17" t="s">
        <v>4335</v>
      </c>
      <c r="F847" s="17" t="s">
        <v>4335</v>
      </c>
      <c r="G847">
        <v>3050040000</v>
      </c>
    </row>
    <row r="848" spans="1:7">
      <c r="A848" s="16">
        <v>43291</v>
      </c>
      <c r="B848" s="17" t="s">
        <v>4336</v>
      </c>
      <c r="C848" s="17" t="s">
        <v>4337</v>
      </c>
      <c r="D848" s="17" t="s">
        <v>3869</v>
      </c>
      <c r="E848" s="17" t="s">
        <v>4338</v>
      </c>
      <c r="F848" s="17" t="s">
        <v>4338</v>
      </c>
      <c r="G848">
        <v>3063850000</v>
      </c>
    </row>
    <row r="849" spans="1:7">
      <c r="A849" s="16">
        <v>43292</v>
      </c>
      <c r="B849" s="17" t="s">
        <v>4339</v>
      </c>
      <c r="C849" s="17" t="s">
        <v>4340</v>
      </c>
      <c r="D849" s="17" t="s">
        <v>4341</v>
      </c>
      <c r="E849" s="17" t="s">
        <v>4342</v>
      </c>
      <c r="F849" s="17" t="s">
        <v>4342</v>
      </c>
      <c r="G849">
        <v>2964740000</v>
      </c>
    </row>
    <row r="850" spans="1:7">
      <c r="A850" s="16">
        <v>43293</v>
      </c>
      <c r="B850" s="17" t="s">
        <v>4343</v>
      </c>
      <c r="C850" s="17" t="s">
        <v>4344</v>
      </c>
      <c r="D850" s="17" t="s">
        <v>4345</v>
      </c>
      <c r="E850" s="17" t="s">
        <v>4346</v>
      </c>
      <c r="F850" s="17" t="s">
        <v>4346</v>
      </c>
      <c r="G850">
        <v>2821690000</v>
      </c>
    </row>
    <row r="851" spans="1:7">
      <c r="A851" s="16">
        <v>43294</v>
      </c>
      <c r="B851" s="17" t="s">
        <v>4347</v>
      </c>
      <c r="C851" s="17" t="s">
        <v>4348</v>
      </c>
      <c r="D851" s="17" t="s">
        <v>4349</v>
      </c>
      <c r="E851" s="17" t="s">
        <v>4350</v>
      </c>
      <c r="F851" s="17" t="s">
        <v>4350</v>
      </c>
      <c r="G851">
        <v>2614000000</v>
      </c>
    </row>
    <row r="852" spans="1:7">
      <c r="A852" s="16">
        <v>43297</v>
      </c>
      <c r="B852" s="17" t="s">
        <v>4351</v>
      </c>
      <c r="C852" s="17" t="s">
        <v>4352</v>
      </c>
      <c r="D852" s="17" t="s">
        <v>4353</v>
      </c>
      <c r="E852" s="17" t="s">
        <v>4354</v>
      </c>
      <c r="F852" s="17" t="s">
        <v>4354</v>
      </c>
      <c r="G852">
        <v>2812230000</v>
      </c>
    </row>
    <row r="853" spans="1:7">
      <c r="A853" s="16">
        <v>43298</v>
      </c>
      <c r="B853" s="17" t="s">
        <v>4355</v>
      </c>
      <c r="C853" s="17" t="s">
        <v>4356</v>
      </c>
      <c r="D853" s="17" t="s">
        <v>4357</v>
      </c>
      <c r="E853" s="17" t="s">
        <v>4358</v>
      </c>
      <c r="F853" s="17" t="s">
        <v>4358</v>
      </c>
      <c r="G853">
        <v>3050730000</v>
      </c>
    </row>
    <row r="854" spans="1:7">
      <c r="A854" s="16">
        <v>43299</v>
      </c>
      <c r="B854" s="17" t="s">
        <v>4359</v>
      </c>
      <c r="C854" s="17" t="s">
        <v>4360</v>
      </c>
      <c r="D854" s="17" t="s">
        <v>4361</v>
      </c>
      <c r="E854" s="17" t="s">
        <v>4362</v>
      </c>
      <c r="F854" s="17" t="s">
        <v>4362</v>
      </c>
      <c r="G854">
        <v>3089780000</v>
      </c>
    </row>
    <row r="855" spans="1:7">
      <c r="A855" s="16">
        <v>43300</v>
      </c>
      <c r="B855" s="17" t="s">
        <v>4363</v>
      </c>
      <c r="C855" s="17" t="s">
        <v>4364</v>
      </c>
      <c r="D855" s="17" t="s">
        <v>4365</v>
      </c>
      <c r="E855" s="17" t="s">
        <v>4366</v>
      </c>
      <c r="F855" s="17" t="s">
        <v>4366</v>
      </c>
      <c r="G855">
        <v>3266700000</v>
      </c>
    </row>
    <row r="856" spans="1:7">
      <c r="A856" s="16">
        <v>43301</v>
      </c>
      <c r="B856" s="17" t="s">
        <v>4367</v>
      </c>
      <c r="C856" s="17" t="s">
        <v>4368</v>
      </c>
      <c r="D856" s="17" t="s">
        <v>4369</v>
      </c>
      <c r="E856" s="17" t="s">
        <v>4370</v>
      </c>
      <c r="F856" s="17" t="s">
        <v>4370</v>
      </c>
      <c r="G856">
        <v>3230210000</v>
      </c>
    </row>
    <row r="857" spans="1:7">
      <c r="A857" s="16">
        <v>43304</v>
      </c>
      <c r="B857" s="17" t="s">
        <v>4371</v>
      </c>
      <c r="C857" s="17" t="s">
        <v>4372</v>
      </c>
      <c r="D857" s="17" t="s">
        <v>4373</v>
      </c>
      <c r="E857" s="17" t="s">
        <v>4374</v>
      </c>
      <c r="F857" s="17" t="s">
        <v>4374</v>
      </c>
      <c r="G857">
        <v>2907430000</v>
      </c>
    </row>
    <row r="858" spans="1:7">
      <c r="A858" s="16">
        <v>43305</v>
      </c>
      <c r="B858" s="17" t="s">
        <v>4375</v>
      </c>
      <c r="C858" s="17" t="s">
        <v>4376</v>
      </c>
      <c r="D858" s="17" t="s">
        <v>4377</v>
      </c>
      <c r="E858" s="17" t="s">
        <v>4378</v>
      </c>
      <c r="F858" s="17" t="s">
        <v>4378</v>
      </c>
      <c r="G858">
        <v>3417530000</v>
      </c>
    </row>
    <row r="859" spans="1:7">
      <c r="A859" s="16">
        <v>43306</v>
      </c>
      <c r="B859" s="17" t="s">
        <v>4379</v>
      </c>
      <c r="C859" s="17" t="s">
        <v>4380</v>
      </c>
      <c r="D859" s="17" t="s">
        <v>4379</v>
      </c>
      <c r="E859" s="17" t="s">
        <v>4381</v>
      </c>
      <c r="F859" s="17" t="s">
        <v>4381</v>
      </c>
      <c r="G859">
        <v>3553010000</v>
      </c>
    </row>
    <row r="860" spans="1:7">
      <c r="A860" s="16">
        <v>43307</v>
      </c>
      <c r="B860" s="17" t="s">
        <v>4382</v>
      </c>
      <c r="C860" s="17" t="s">
        <v>4383</v>
      </c>
      <c r="D860" s="17" t="s">
        <v>4384</v>
      </c>
      <c r="E860" s="17" t="s">
        <v>4385</v>
      </c>
      <c r="F860" s="17" t="s">
        <v>4385</v>
      </c>
      <c r="G860">
        <v>3653330000</v>
      </c>
    </row>
    <row r="861" spans="1:7">
      <c r="A861" s="16">
        <v>43308</v>
      </c>
      <c r="B861" s="17" t="s">
        <v>4386</v>
      </c>
      <c r="C861" s="17" t="s">
        <v>4387</v>
      </c>
      <c r="D861" s="17" t="s">
        <v>4388</v>
      </c>
      <c r="E861" s="17" t="s">
        <v>4389</v>
      </c>
      <c r="F861" s="17" t="s">
        <v>4389</v>
      </c>
      <c r="G861">
        <v>3415710000</v>
      </c>
    </row>
    <row r="862" spans="1:7">
      <c r="A862" s="16">
        <v>43311</v>
      </c>
      <c r="B862" s="17" t="s">
        <v>4390</v>
      </c>
      <c r="C862" s="17" t="s">
        <v>4391</v>
      </c>
      <c r="D862" s="17" t="s">
        <v>4392</v>
      </c>
      <c r="E862" s="17" t="s">
        <v>3882</v>
      </c>
      <c r="F862" s="17" t="s">
        <v>3882</v>
      </c>
      <c r="G862">
        <v>3245770000</v>
      </c>
    </row>
    <row r="863" spans="1:7">
      <c r="A863" s="16">
        <v>43312</v>
      </c>
      <c r="B863" s="17" t="s">
        <v>4393</v>
      </c>
      <c r="C863" s="17" t="s">
        <v>4394</v>
      </c>
      <c r="D863" s="17" t="s">
        <v>4395</v>
      </c>
      <c r="E863" s="17" t="s">
        <v>4396</v>
      </c>
      <c r="F863" s="17" t="s">
        <v>4396</v>
      </c>
      <c r="G863">
        <v>3892100000</v>
      </c>
    </row>
    <row r="864" spans="1:7">
      <c r="A864" s="16">
        <v>43313</v>
      </c>
      <c r="B864" s="17" t="s">
        <v>4397</v>
      </c>
      <c r="C864" s="17" t="s">
        <v>4398</v>
      </c>
      <c r="D864" s="17" t="s">
        <v>4399</v>
      </c>
      <c r="E864" s="17" t="s">
        <v>4400</v>
      </c>
      <c r="F864" s="17" t="s">
        <v>4400</v>
      </c>
      <c r="G864">
        <v>3496990000</v>
      </c>
    </row>
    <row r="865" spans="1:7">
      <c r="A865" s="16">
        <v>43314</v>
      </c>
      <c r="B865" s="17" t="s">
        <v>4401</v>
      </c>
      <c r="C865" s="17" t="s">
        <v>4402</v>
      </c>
      <c r="D865" s="17" t="s">
        <v>4403</v>
      </c>
      <c r="E865" s="17" t="s">
        <v>4404</v>
      </c>
      <c r="F865" s="17" t="s">
        <v>4404</v>
      </c>
      <c r="G865">
        <v>3467380000</v>
      </c>
    </row>
    <row r="866" spans="1:7">
      <c r="A866" s="16">
        <v>43315</v>
      </c>
      <c r="B866" s="17" t="s">
        <v>4405</v>
      </c>
      <c r="C866" s="17" t="s">
        <v>4406</v>
      </c>
      <c r="D866" s="17" t="s">
        <v>4407</v>
      </c>
      <c r="E866" s="17" t="s">
        <v>4408</v>
      </c>
      <c r="F866" s="17" t="s">
        <v>4408</v>
      </c>
      <c r="G866">
        <v>3030390000</v>
      </c>
    </row>
    <row r="867" spans="1:7">
      <c r="A867" s="16">
        <v>43318</v>
      </c>
      <c r="B867" s="17" t="s">
        <v>4409</v>
      </c>
      <c r="C867" s="17" t="s">
        <v>4410</v>
      </c>
      <c r="D867" s="17" t="s">
        <v>4411</v>
      </c>
      <c r="E867" s="17" t="s">
        <v>4412</v>
      </c>
      <c r="F867" s="17" t="s">
        <v>4412</v>
      </c>
      <c r="G867">
        <v>2874540000</v>
      </c>
    </row>
    <row r="868" spans="1:7">
      <c r="A868" s="16">
        <v>43319</v>
      </c>
      <c r="B868" s="17" t="s">
        <v>4413</v>
      </c>
      <c r="C868" s="17" t="s">
        <v>4414</v>
      </c>
      <c r="D868" s="17" t="s">
        <v>4413</v>
      </c>
      <c r="E868" s="17" t="s">
        <v>4415</v>
      </c>
      <c r="F868" s="17" t="s">
        <v>4415</v>
      </c>
      <c r="G868">
        <v>3162770000</v>
      </c>
    </row>
    <row r="869" spans="1:7">
      <c r="A869" s="16">
        <v>43320</v>
      </c>
      <c r="B869" s="17" t="s">
        <v>4416</v>
      </c>
      <c r="C869" s="17" t="s">
        <v>4417</v>
      </c>
      <c r="D869" s="17" t="s">
        <v>4418</v>
      </c>
      <c r="E869" s="17" t="s">
        <v>4419</v>
      </c>
      <c r="F869" s="17" t="s">
        <v>4419</v>
      </c>
      <c r="G869">
        <v>2972200000</v>
      </c>
    </row>
    <row r="870" spans="1:7">
      <c r="A870" s="16">
        <v>43321</v>
      </c>
      <c r="B870" s="17" t="s">
        <v>4420</v>
      </c>
      <c r="C870" s="17" t="s">
        <v>4421</v>
      </c>
      <c r="D870" s="17" t="s">
        <v>4422</v>
      </c>
      <c r="E870" s="17" t="s">
        <v>4423</v>
      </c>
      <c r="F870" s="17" t="s">
        <v>4423</v>
      </c>
      <c r="G870">
        <v>3047050000</v>
      </c>
    </row>
    <row r="871" spans="1:7">
      <c r="A871" s="16">
        <v>43322</v>
      </c>
      <c r="B871" s="17" t="s">
        <v>4424</v>
      </c>
      <c r="C871" s="17" t="s">
        <v>4425</v>
      </c>
      <c r="D871" s="17" t="s">
        <v>4426</v>
      </c>
      <c r="E871" s="17" t="s">
        <v>4427</v>
      </c>
      <c r="F871" s="17" t="s">
        <v>4427</v>
      </c>
      <c r="G871">
        <v>3256040000</v>
      </c>
    </row>
    <row r="872" spans="1:7">
      <c r="A872" s="16">
        <v>43325</v>
      </c>
      <c r="B872" s="17" t="s">
        <v>4428</v>
      </c>
      <c r="C872" s="17" t="s">
        <v>4429</v>
      </c>
      <c r="D872" s="17" t="s">
        <v>4430</v>
      </c>
      <c r="E872" s="17" t="s">
        <v>4431</v>
      </c>
      <c r="F872" s="17" t="s">
        <v>4431</v>
      </c>
      <c r="G872">
        <v>3158450000</v>
      </c>
    </row>
    <row r="873" spans="1:7">
      <c r="A873" s="16">
        <v>43326</v>
      </c>
      <c r="B873" s="17" t="s">
        <v>4432</v>
      </c>
      <c r="C873" s="17" t="s">
        <v>4433</v>
      </c>
      <c r="D873" s="17" t="s">
        <v>4434</v>
      </c>
      <c r="E873" s="17" t="s">
        <v>4435</v>
      </c>
      <c r="F873" s="17" t="s">
        <v>4435</v>
      </c>
      <c r="G873">
        <v>2976970000</v>
      </c>
    </row>
    <row r="874" spans="1:7">
      <c r="A874" s="16">
        <v>43327</v>
      </c>
      <c r="B874" s="17" t="s">
        <v>4436</v>
      </c>
      <c r="C874" s="17" t="s">
        <v>4436</v>
      </c>
      <c r="D874" s="17" t="s">
        <v>4437</v>
      </c>
      <c r="E874" s="17" t="s">
        <v>4438</v>
      </c>
      <c r="F874" s="17" t="s">
        <v>4438</v>
      </c>
      <c r="G874">
        <v>3645070000</v>
      </c>
    </row>
    <row r="875" spans="1:7">
      <c r="A875" s="16">
        <v>43328</v>
      </c>
      <c r="B875" s="17" t="s">
        <v>4439</v>
      </c>
      <c r="C875" s="17" t="s">
        <v>4440</v>
      </c>
      <c r="D875" s="17" t="s">
        <v>4439</v>
      </c>
      <c r="E875" s="17" t="s">
        <v>4441</v>
      </c>
      <c r="F875" s="17" t="s">
        <v>4441</v>
      </c>
      <c r="G875">
        <v>3219880000</v>
      </c>
    </row>
    <row r="876" spans="1:7">
      <c r="A876" s="16">
        <v>43329</v>
      </c>
      <c r="B876" s="17" t="s">
        <v>4442</v>
      </c>
      <c r="C876" s="17" t="s">
        <v>4443</v>
      </c>
      <c r="D876" s="17" t="s">
        <v>4444</v>
      </c>
      <c r="E876" s="17" t="s">
        <v>4445</v>
      </c>
      <c r="F876" s="17" t="s">
        <v>4445</v>
      </c>
      <c r="G876">
        <v>3024100000</v>
      </c>
    </row>
    <row r="877" spans="1:7">
      <c r="A877" s="16">
        <v>43332</v>
      </c>
      <c r="B877" s="17" t="s">
        <v>4446</v>
      </c>
      <c r="C877" s="17" t="s">
        <v>4447</v>
      </c>
      <c r="D877" s="17" t="s">
        <v>4448</v>
      </c>
      <c r="E877" s="17" t="s">
        <v>4449</v>
      </c>
      <c r="F877" s="17" t="s">
        <v>4449</v>
      </c>
      <c r="G877">
        <v>2748020000</v>
      </c>
    </row>
    <row r="878" spans="1:7">
      <c r="A878" s="16">
        <v>43333</v>
      </c>
      <c r="B878" s="17" t="s">
        <v>4450</v>
      </c>
      <c r="C878" s="17" t="s">
        <v>4451</v>
      </c>
      <c r="D878" s="17" t="s">
        <v>4452</v>
      </c>
      <c r="E878" s="17" t="s">
        <v>4453</v>
      </c>
      <c r="F878" s="17" t="s">
        <v>4453</v>
      </c>
      <c r="G878">
        <v>3147140000</v>
      </c>
    </row>
    <row r="879" spans="1:7">
      <c r="A879" s="16">
        <v>43334</v>
      </c>
      <c r="B879" s="17" t="s">
        <v>4454</v>
      </c>
      <c r="C879" s="17" t="s">
        <v>4455</v>
      </c>
      <c r="D879" s="17" t="s">
        <v>4456</v>
      </c>
      <c r="E879" s="17" t="s">
        <v>4457</v>
      </c>
      <c r="F879" s="17" t="s">
        <v>4457</v>
      </c>
      <c r="G879">
        <v>2689560000</v>
      </c>
    </row>
    <row r="880" spans="1:7">
      <c r="A880" s="16">
        <v>43335</v>
      </c>
      <c r="B880" s="17" t="s">
        <v>4458</v>
      </c>
      <c r="C880" s="17" t="s">
        <v>4459</v>
      </c>
      <c r="D880" s="17" t="s">
        <v>4460</v>
      </c>
      <c r="E880" s="17" t="s">
        <v>4461</v>
      </c>
      <c r="F880" s="17" t="s">
        <v>4461</v>
      </c>
      <c r="G880">
        <v>2713910000</v>
      </c>
    </row>
    <row r="881" spans="1:7">
      <c r="A881" s="16">
        <v>43336</v>
      </c>
      <c r="B881" s="17" t="s">
        <v>4462</v>
      </c>
      <c r="C881" s="17" t="s">
        <v>4463</v>
      </c>
      <c r="D881" s="17" t="s">
        <v>4462</v>
      </c>
      <c r="E881" s="17" t="s">
        <v>4464</v>
      </c>
      <c r="F881" s="17" t="s">
        <v>4464</v>
      </c>
      <c r="G881">
        <v>2596190000</v>
      </c>
    </row>
    <row r="882" spans="1:7">
      <c r="A882" s="16">
        <v>43339</v>
      </c>
      <c r="B882" s="17" t="s">
        <v>4465</v>
      </c>
      <c r="C882" s="17" t="s">
        <v>4466</v>
      </c>
      <c r="D882" s="17" t="s">
        <v>4465</v>
      </c>
      <c r="E882" s="17" t="s">
        <v>4467</v>
      </c>
      <c r="F882" s="17" t="s">
        <v>4467</v>
      </c>
      <c r="G882">
        <v>2854080000</v>
      </c>
    </row>
    <row r="883" spans="1:7">
      <c r="A883" s="16">
        <v>43340</v>
      </c>
      <c r="B883" s="17" t="s">
        <v>4468</v>
      </c>
      <c r="C883" s="17" t="s">
        <v>4469</v>
      </c>
      <c r="D883" s="17" t="s">
        <v>4470</v>
      </c>
      <c r="E883" s="17" t="s">
        <v>4471</v>
      </c>
      <c r="F883" s="17" t="s">
        <v>4471</v>
      </c>
      <c r="G883">
        <v>2683190000</v>
      </c>
    </row>
    <row r="884" spans="1:7">
      <c r="A884" s="16">
        <v>43341</v>
      </c>
      <c r="B884" s="17" t="s">
        <v>4472</v>
      </c>
      <c r="C884" s="17" t="s">
        <v>4473</v>
      </c>
      <c r="D884" s="17" t="s">
        <v>4474</v>
      </c>
      <c r="E884" s="17" t="s">
        <v>4475</v>
      </c>
      <c r="F884" s="17" t="s">
        <v>4475</v>
      </c>
      <c r="G884">
        <v>2791860000</v>
      </c>
    </row>
    <row r="885" spans="1:7">
      <c r="A885" s="16">
        <v>43342</v>
      </c>
      <c r="B885" s="17" t="s">
        <v>4476</v>
      </c>
      <c r="C885" s="17" t="s">
        <v>4477</v>
      </c>
      <c r="D885" s="17" t="s">
        <v>4478</v>
      </c>
      <c r="E885" s="17" t="s">
        <v>4479</v>
      </c>
      <c r="F885" s="17" t="s">
        <v>4479</v>
      </c>
      <c r="G885">
        <v>2802180000</v>
      </c>
    </row>
    <row r="886" spans="1:7">
      <c r="A886" s="16">
        <v>43343</v>
      </c>
      <c r="B886" s="17" t="s">
        <v>4480</v>
      </c>
      <c r="C886" s="17" t="s">
        <v>4481</v>
      </c>
      <c r="D886" s="17" t="s">
        <v>4482</v>
      </c>
      <c r="E886" s="17" t="s">
        <v>4483</v>
      </c>
      <c r="F886" s="17" t="s">
        <v>4483</v>
      </c>
      <c r="G886">
        <v>2880260000</v>
      </c>
    </row>
    <row r="887" spans="1:7">
      <c r="A887" s="16">
        <v>43347</v>
      </c>
      <c r="B887" s="17" t="s">
        <v>4484</v>
      </c>
      <c r="C887" s="17" t="s">
        <v>4485</v>
      </c>
      <c r="D887" s="17" t="s">
        <v>4486</v>
      </c>
      <c r="E887" s="17" t="s">
        <v>4487</v>
      </c>
      <c r="F887" s="17" t="s">
        <v>4487</v>
      </c>
      <c r="G887">
        <v>3077060000</v>
      </c>
    </row>
    <row r="888" spans="1:7">
      <c r="A888" s="16">
        <v>43348</v>
      </c>
      <c r="B888" s="17" t="s">
        <v>4488</v>
      </c>
      <c r="C888" s="17" t="s">
        <v>4489</v>
      </c>
      <c r="D888" s="17" t="s">
        <v>4490</v>
      </c>
      <c r="E888" s="17" t="s">
        <v>4491</v>
      </c>
      <c r="F888" s="17" t="s">
        <v>4491</v>
      </c>
      <c r="G888">
        <v>3241250000</v>
      </c>
    </row>
    <row r="889" spans="1:7">
      <c r="A889" s="16">
        <v>43349</v>
      </c>
      <c r="B889" s="17" t="s">
        <v>4492</v>
      </c>
      <c r="C889" s="17" t="s">
        <v>4493</v>
      </c>
      <c r="D889" s="17" t="s">
        <v>4494</v>
      </c>
      <c r="E889" s="17" t="s">
        <v>4495</v>
      </c>
      <c r="F889" s="17" t="s">
        <v>4495</v>
      </c>
      <c r="G889">
        <v>3139590000</v>
      </c>
    </row>
    <row r="890" spans="1:7">
      <c r="A890" s="16">
        <v>43350</v>
      </c>
      <c r="B890" s="17" t="s">
        <v>4496</v>
      </c>
      <c r="C890" s="17" t="s">
        <v>4497</v>
      </c>
      <c r="D890" s="17" t="s">
        <v>4498</v>
      </c>
      <c r="E890" s="17" t="s">
        <v>4499</v>
      </c>
      <c r="F890" s="17" t="s">
        <v>4499</v>
      </c>
      <c r="G890">
        <v>2946270000</v>
      </c>
    </row>
    <row r="891" spans="1:7">
      <c r="A891" s="16">
        <v>43353</v>
      </c>
      <c r="B891" s="17" t="s">
        <v>4500</v>
      </c>
      <c r="C891" s="17" t="s">
        <v>4501</v>
      </c>
      <c r="D891" s="17" t="s">
        <v>4502</v>
      </c>
      <c r="E891" s="17" t="s">
        <v>4503</v>
      </c>
      <c r="F891" s="17" t="s">
        <v>4503</v>
      </c>
      <c r="G891">
        <v>2731400000</v>
      </c>
    </row>
    <row r="892" spans="1:7">
      <c r="A892" s="16">
        <v>43354</v>
      </c>
      <c r="B892" s="17" t="s">
        <v>4504</v>
      </c>
      <c r="C892" s="17" t="s">
        <v>4505</v>
      </c>
      <c r="D892" s="17" t="s">
        <v>4506</v>
      </c>
      <c r="E892" s="17" t="s">
        <v>4507</v>
      </c>
      <c r="F892" s="17" t="s">
        <v>4507</v>
      </c>
      <c r="G892">
        <v>2899660000</v>
      </c>
    </row>
    <row r="893" spans="1:7">
      <c r="A893" s="16">
        <v>43355</v>
      </c>
      <c r="B893" s="17" t="s">
        <v>4508</v>
      </c>
      <c r="C893" s="17" t="s">
        <v>4509</v>
      </c>
      <c r="D893" s="17" t="s">
        <v>4510</v>
      </c>
      <c r="E893" s="17" t="s">
        <v>4511</v>
      </c>
      <c r="F893" s="17" t="s">
        <v>4511</v>
      </c>
      <c r="G893">
        <v>3264930000</v>
      </c>
    </row>
    <row r="894" spans="1:7">
      <c r="A894" s="16">
        <v>43356</v>
      </c>
      <c r="B894" s="17" t="s">
        <v>4512</v>
      </c>
      <c r="C894" s="17" t="s">
        <v>4513</v>
      </c>
      <c r="D894" s="17" t="s">
        <v>4514</v>
      </c>
      <c r="E894" s="17" t="s">
        <v>4515</v>
      </c>
      <c r="F894" s="17" t="s">
        <v>4515</v>
      </c>
      <c r="G894">
        <v>3254930000</v>
      </c>
    </row>
    <row r="895" spans="1:7">
      <c r="A895" s="16">
        <v>43357</v>
      </c>
      <c r="B895" s="17" t="s">
        <v>4516</v>
      </c>
      <c r="C895" s="17" t="s">
        <v>4517</v>
      </c>
      <c r="D895" s="17" t="s">
        <v>4518</v>
      </c>
      <c r="E895" s="17" t="s">
        <v>4519</v>
      </c>
      <c r="F895" s="17" t="s">
        <v>4519</v>
      </c>
      <c r="G895">
        <v>3149800000</v>
      </c>
    </row>
    <row r="896" spans="1:7">
      <c r="A896" s="16">
        <v>43360</v>
      </c>
      <c r="B896" s="17" t="s">
        <v>4520</v>
      </c>
      <c r="C896" s="17" t="s">
        <v>4521</v>
      </c>
      <c r="D896" s="17" t="s">
        <v>4522</v>
      </c>
      <c r="E896" s="17" t="s">
        <v>4523</v>
      </c>
      <c r="F896" s="17" t="s">
        <v>4523</v>
      </c>
      <c r="G896">
        <v>2947760000</v>
      </c>
    </row>
    <row r="897" spans="1:7">
      <c r="A897" s="16">
        <v>43361</v>
      </c>
      <c r="B897" s="17" t="s">
        <v>4524</v>
      </c>
      <c r="C897" s="17" t="s">
        <v>4525</v>
      </c>
      <c r="D897" s="17" t="s">
        <v>4526</v>
      </c>
      <c r="E897" s="17" t="s">
        <v>4527</v>
      </c>
      <c r="F897" s="17" t="s">
        <v>4527</v>
      </c>
      <c r="G897">
        <v>3074610000</v>
      </c>
    </row>
    <row r="898" spans="1:7">
      <c r="A898" s="16">
        <v>43362</v>
      </c>
      <c r="B898" s="17" t="s">
        <v>4528</v>
      </c>
      <c r="C898" s="17" t="s">
        <v>4529</v>
      </c>
      <c r="D898" s="17" t="s">
        <v>4530</v>
      </c>
      <c r="E898" s="17" t="s">
        <v>4531</v>
      </c>
      <c r="F898" s="17" t="s">
        <v>4531</v>
      </c>
      <c r="G898">
        <v>3280020000</v>
      </c>
    </row>
    <row r="899" spans="1:7">
      <c r="A899" s="16">
        <v>43363</v>
      </c>
      <c r="B899" s="17" t="s">
        <v>4532</v>
      </c>
      <c r="C899" s="17" t="s">
        <v>4533</v>
      </c>
      <c r="D899" s="17" t="s">
        <v>4532</v>
      </c>
      <c r="E899" s="17" t="s">
        <v>4534</v>
      </c>
      <c r="F899" s="17" t="s">
        <v>4534</v>
      </c>
      <c r="G899">
        <v>3337730000</v>
      </c>
    </row>
    <row r="900" spans="1:7">
      <c r="A900" s="16">
        <v>43364</v>
      </c>
      <c r="B900" s="17" t="s">
        <v>4535</v>
      </c>
      <c r="C900" s="17" t="s">
        <v>4536</v>
      </c>
      <c r="D900" s="17" t="s">
        <v>4537</v>
      </c>
      <c r="E900" s="17" t="s">
        <v>4538</v>
      </c>
      <c r="F900" s="17" t="s">
        <v>4538</v>
      </c>
      <c r="G900">
        <v>5607610000</v>
      </c>
    </row>
    <row r="901" spans="1:7">
      <c r="A901" s="16">
        <v>43367</v>
      </c>
      <c r="B901" s="17" t="s">
        <v>4539</v>
      </c>
      <c r="C901" s="17" t="s">
        <v>4540</v>
      </c>
      <c r="D901" s="17" t="s">
        <v>4541</v>
      </c>
      <c r="E901" s="17" t="s">
        <v>4542</v>
      </c>
      <c r="F901" s="17" t="s">
        <v>4542</v>
      </c>
      <c r="G901">
        <v>3372210000</v>
      </c>
    </row>
    <row r="902" spans="1:7">
      <c r="A902" s="16">
        <v>43368</v>
      </c>
      <c r="B902" s="17" t="s">
        <v>4543</v>
      </c>
      <c r="C902" s="17" t="s">
        <v>4544</v>
      </c>
      <c r="D902" s="17" t="s">
        <v>4545</v>
      </c>
      <c r="E902" s="17" t="s">
        <v>4546</v>
      </c>
      <c r="F902" s="17" t="s">
        <v>4546</v>
      </c>
      <c r="G902">
        <v>3285480000</v>
      </c>
    </row>
    <row r="903" spans="1:7">
      <c r="A903" s="16">
        <v>43369</v>
      </c>
      <c r="B903" s="17" t="s">
        <v>4547</v>
      </c>
      <c r="C903" s="17" t="s">
        <v>4548</v>
      </c>
      <c r="D903" s="17" t="s">
        <v>4549</v>
      </c>
      <c r="E903" s="17" t="s">
        <v>4550</v>
      </c>
      <c r="F903" s="17" t="s">
        <v>4550</v>
      </c>
      <c r="G903">
        <v>3388620000</v>
      </c>
    </row>
    <row r="904" spans="1:7">
      <c r="A904" s="16">
        <v>43370</v>
      </c>
      <c r="B904" s="17" t="s">
        <v>4551</v>
      </c>
      <c r="C904" s="17" t="s">
        <v>4552</v>
      </c>
      <c r="D904" s="17" t="s">
        <v>4553</v>
      </c>
      <c r="E904" s="17" t="s">
        <v>4554</v>
      </c>
      <c r="F904" s="17" t="s">
        <v>4554</v>
      </c>
      <c r="G904">
        <v>3060850000</v>
      </c>
    </row>
    <row r="905" spans="1:7">
      <c r="A905" s="16">
        <v>43371</v>
      </c>
      <c r="B905" s="17" t="s">
        <v>4555</v>
      </c>
      <c r="C905" s="17" t="s">
        <v>4556</v>
      </c>
      <c r="D905" s="17" t="s">
        <v>4557</v>
      </c>
      <c r="E905" s="17" t="s">
        <v>4558</v>
      </c>
      <c r="F905" s="17" t="s">
        <v>4558</v>
      </c>
      <c r="G905">
        <v>3432300000</v>
      </c>
    </row>
    <row r="906" spans="1:7">
      <c r="A906" s="16">
        <v>43374</v>
      </c>
      <c r="B906" s="17" t="s">
        <v>4559</v>
      </c>
      <c r="C906" s="17" t="s">
        <v>4560</v>
      </c>
      <c r="D906" s="17" t="s">
        <v>4561</v>
      </c>
      <c r="E906" s="17" t="s">
        <v>4562</v>
      </c>
      <c r="F906" s="17" t="s">
        <v>4562</v>
      </c>
      <c r="G906">
        <v>3364190000</v>
      </c>
    </row>
    <row r="907" spans="1:7">
      <c r="A907" s="16">
        <v>43375</v>
      </c>
      <c r="B907" s="17" t="s">
        <v>4563</v>
      </c>
      <c r="C907" s="17" t="s">
        <v>4564</v>
      </c>
      <c r="D907" s="17" t="s">
        <v>4542</v>
      </c>
      <c r="E907" s="17" t="s">
        <v>4565</v>
      </c>
      <c r="F907" s="17" t="s">
        <v>4565</v>
      </c>
      <c r="G907">
        <v>3401880000</v>
      </c>
    </row>
    <row r="908" spans="1:7">
      <c r="A908" s="16">
        <v>43376</v>
      </c>
      <c r="B908" s="17" t="s">
        <v>4566</v>
      </c>
      <c r="C908" s="17" t="s">
        <v>4567</v>
      </c>
      <c r="D908" s="17" t="s">
        <v>4568</v>
      </c>
      <c r="E908" s="17" t="s">
        <v>4569</v>
      </c>
      <c r="F908" s="17" t="s">
        <v>4569</v>
      </c>
      <c r="G908">
        <v>3598710000</v>
      </c>
    </row>
    <row r="909" spans="1:7">
      <c r="A909" s="16">
        <v>43377</v>
      </c>
      <c r="B909" s="17" t="s">
        <v>4570</v>
      </c>
      <c r="C909" s="17" t="s">
        <v>4571</v>
      </c>
      <c r="D909" s="17" t="s">
        <v>4572</v>
      </c>
      <c r="E909" s="17" t="s">
        <v>4573</v>
      </c>
      <c r="F909" s="17" t="s">
        <v>4573</v>
      </c>
      <c r="G909">
        <v>3496860000</v>
      </c>
    </row>
    <row r="910" spans="1:7">
      <c r="A910" s="16">
        <v>43378</v>
      </c>
      <c r="B910" s="17" t="s">
        <v>4574</v>
      </c>
      <c r="C910" s="17" t="s">
        <v>4575</v>
      </c>
      <c r="D910" s="17" t="s">
        <v>4576</v>
      </c>
      <c r="E910" s="17" t="s">
        <v>4577</v>
      </c>
      <c r="F910" s="17" t="s">
        <v>4577</v>
      </c>
      <c r="G910">
        <v>3328980000</v>
      </c>
    </row>
    <row r="911" spans="1:7">
      <c r="A911" s="16">
        <v>43381</v>
      </c>
      <c r="B911" s="17" t="s">
        <v>4578</v>
      </c>
      <c r="C911" s="17" t="s">
        <v>4579</v>
      </c>
      <c r="D911" s="17" t="s">
        <v>4580</v>
      </c>
      <c r="E911" s="17" t="s">
        <v>4581</v>
      </c>
      <c r="F911" s="17" t="s">
        <v>4581</v>
      </c>
      <c r="G911">
        <v>3330320000</v>
      </c>
    </row>
    <row r="912" spans="1:7">
      <c r="A912" s="16">
        <v>43382</v>
      </c>
      <c r="B912" s="17" t="s">
        <v>4582</v>
      </c>
      <c r="C912" s="17" t="s">
        <v>4583</v>
      </c>
      <c r="D912" s="17" t="s">
        <v>4584</v>
      </c>
      <c r="E912" s="17" t="s">
        <v>4585</v>
      </c>
      <c r="F912" s="17" t="s">
        <v>4585</v>
      </c>
      <c r="G912">
        <v>3520500000</v>
      </c>
    </row>
    <row r="913" spans="1:7">
      <c r="A913" s="16">
        <v>43383</v>
      </c>
      <c r="B913" s="17" t="s">
        <v>4586</v>
      </c>
      <c r="C913" s="17" t="s">
        <v>4587</v>
      </c>
      <c r="D913" s="17" t="s">
        <v>4588</v>
      </c>
      <c r="E913" s="17" t="s">
        <v>4589</v>
      </c>
      <c r="F913" s="17" t="s">
        <v>4589</v>
      </c>
      <c r="G913">
        <v>4501250000</v>
      </c>
    </row>
    <row r="914" spans="1:7">
      <c r="A914" s="16">
        <v>43384</v>
      </c>
      <c r="B914" s="17" t="s">
        <v>4590</v>
      </c>
      <c r="C914" s="17" t="s">
        <v>4373</v>
      </c>
      <c r="D914" s="17" t="s">
        <v>4591</v>
      </c>
      <c r="E914" s="17" t="s">
        <v>4592</v>
      </c>
      <c r="F914" s="17" t="s">
        <v>4592</v>
      </c>
      <c r="G914">
        <v>4890630000</v>
      </c>
    </row>
    <row r="915" spans="1:7">
      <c r="A915" s="16">
        <v>43385</v>
      </c>
      <c r="B915" s="17" t="s">
        <v>4593</v>
      </c>
      <c r="C915" s="17" t="s">
        <v>4594</v>
      </c>
      <c r="D915" s="17" t="s">
        <v>4595</v>
      </c>
      <c r="E915" s="17" t="s">
        <v>4596</v>
      </c>
      <c r="F915" s="17" t="s">
        <v>4596</v>
      </c>
      <c r="G915">
        <v>3966040000</v>
      </c>
    </row>
    <row r="916" spans="1:7">
      <c r="A916" s="16">
        <v>43388</v>
      </c>
      <c r="B916" s="17" t="s">
        <v>4597</v>
      </c>
      <c r="C916" s="17" t="s">
        <v>4598</v>
      </c>
      <c r="D916" s="17" t="s">
        <v>4599</v>
      </c>
      <c r="E916" s="17" t="s">
        <v>4600</v>
      </c>
      <c r="F916" s="17" t="s">
        <v>4600</v>
      </c>
      <c r="G916">
        <v>3300140000</v>
      </c>
    </row>
    <row r="917" spans="1:7">
      <c r="A917" s="16">
        <v>43389</v>
      </c>
      <c r="B917" s="17" t="s">
        <v>4601</v>
      </c>
      <c r="C917" s="17" t="s">
        <v>4602</v>
      </c>
      <c r="D917" s="17" t="s">
        <v>4603</v>
      </c>
      <c r="E917" s="17" t="s">
        <v>4604</v>
      </c>
      <c r="F917" s="17" t="s">
        <v>4604</v>
      </c>
      <c r="G917">
        <v>3428340000</v>
      </c>
    </row>
    <row r="918" spans="1:7">
      <c r="A918" s="16">
        <v>43390</v>
      </c>
      <c r="B918" s="17" t="s">
        <v>4605</v>
      </c>
      <c r="C918" s="17" t="s">
        <v>4606</v>
      </c>
      <c r="D918" s="17" t="s">
        <v>4607</v>
      </c>
      <c r="E918" s="17" t="s">
        <v>4608</v>
      </c>
      <c r="F918" s="17" t="s">
        <v>4608</v>
      </c>
      <c r="G918">
        <v>3321710000</v>
      </c>
    </row>
    <row r="919" spans="1:7">
      <c r="A919" s="16">
        <v>43391</v>
      </c>
      <c r="B919" s="17" t="s">
        <v>4609</v>
      </c>
      <c r="C919" s="17" t="s">
        <v>4610</v>
      </c>
      <c r="D919" s="17" t="s">
        <v>4611</v>
      </c>
      <c r="E919" s="17" t="s">
        <v>4612</v>
      </c>
      <c r="F919" s="17" t="s">
        <v>4612</v>
      </c>
      <c r="G919">
        <v>3616440000</v>
      </c>
    </row>
    <row r="920" spans="1:7">
      <c r="A920" s="16">
        <v>43392</v>
      </c>
      <c r="B920" s="17" t="s">
        <v>4613</v>
      </c>
      <c r="C920" s="17" t="s">
        <v>4614</v>
      </c>
      <c r="D920" s="17" t="s">
        <v>4615</v>
      </c>
      <c r="E920" s="17" t="s">
        <v>4616</v>
      </c>
      <c r="F920" s="17" t="s">
        <v>4616</v>
      </c>
      <c r="G920">
        <v>3566490000</v>
      </c>
    </row>
    <row r="921" spans="1:7">
      <c r="A921" s="16">
        <v>43395</v>
      </c>
      <c r="B921" s="17" t="s">
        <v>4617</v>
      </c>
      <c r="C921" s="17" t="s">
        <v>4618</v>
      </c>
      <c r="D921" s="17" t="s">
        <v>4619</v>
      </c>
      <c r="E921" s="17" t="s">
        <v>4620</v>
      </c>
      <c r="F921" s="17" t="s">
        <v>4620</v>
      </c>
      <c r="G921">
        <v>3307140000</v>
      </c>
    </row>
    <row r="922" spans="1:7">
      <c r="A922" s="16">
        <v>43396</v>
      </c>
      <c r="B922" s="17" t="s">
        <v>4621</v>
      </c>
      <c r="C922" s="17" t="s">
        <v>4622</v>
      </c>
      <c r="D922" s="17" t="s">
        <v>4623</v>
      </c>
      <c r="E922" s="17" t="s">
        <v>4624</v>
      </c>
      <c r="F922" s="17" t="s">
        <v>4624</v>
      </c>
      <c r="G922">
        <v>4348580000</v>
      </c>
    </row>
    <row r="923" spans="1:7">
      <c r="A923" s="16">
        <v>43397</v>
      </c>
      <c r="B923" s="17" t="s">
        <v>4625</v>
      </c>
      <c r="C923" s="17" t="s">
        <v>4626</v>
      </c>
      <c r="D923" s="17" t="s">
        <v>4627</v>
      </c>
      <c r="E923" s="17" t="s">
        <v>4628</v>
      </c>
      <c r="F923" s="17" t="s">
        <v>4628</v>
      </c>
      <c r="G923">
        <v>4709310000</v>
      </c>
    </row>
    <row r="924" spans="1:7">
      <c r="A924" s="16">
        <v>43398</v>
      </c>
      <c r="B924" s="17" t="s">
        <v>4629</v>
      </c>
      <c r="C924" s="17" t="s">
        <v>4185</v>
      </c>
      <c r="D924" s="17" t="s">
        <v>4630</v>
      </c>
      <c r="E924" s="17" t="s">
        <v>4631</v>
      </c>
      <c r="F924" s="17" t="s">
        <v>4631</v>
      </c>
      <c r="G924">
        <v>4634770000</v>
      </c>
    </row>
    <row r="925" spans="1:7">
      <c r="A925" s="16">
        <v>43399</v>
      </c>
      <c r="B925" s="17" t="s">
        <v>4632</v>
      </c>
      <c r="C925" s="17" t="s">
        <v>4633</v>
      </c>
      <c r="D925" s="17" t="s">
        <v>4634</v>
      </c>
      <c r="E925" s="17" t="s">
        <v>4635</v>
      </c>
      <c r="F925" s="17" t="s">
        <v>4635</v>
      </c>
      <c r="G925">
        <v>4803150000</v>
      </c>
    </row>
    <row r="926" spans="1:7">
      <c r="A926" s="16">
        <v>43402</v>
      </c>
      <c r="B926" s="17" t="s">
        <v>4636</v>
      </c>
      <c r="C926" s="17" t="s">
        <v>4637</v>
      </c>
      <c r="D926" s="17" t="s">
        <v>4638</v>
      </c>
      <c r="E926" s="17" t="s">
        <v>4639</v>
      </c>
      <c r="F926" s="17" t="s">
        <v>4639</v>
      </c>
      <c r="G926">
        <v>4673700000</v>
      </c>
    </row>
    <row r="927" spans="1:7">
      <c r="A927" s="16">
        <v>43403</v>
      </c>
      <c r="B927" s="17" t="s">
        <v>4640</v>
      </c>
      <c r="C927" s="17" t="s">
        <v>4641</v>
      </c>
      <c r="D927" s="17" t="s">
        <v>4642</v>
      </c>
      <c r="E927" s="17" t="s">
        <v>4643</v>
      </c>
      <c r="F927" s="17" t="s">
        <v>4643</v>
      </c>
      <c r="G927">
        <v>5106380000</v>
      </c>
    </row>
    <row r="928" spans="1:7">
      <c r="A928" s="16">
        <v>43404</v>
      </c>
      <c r="B928" s="17" t="s">
        <v>4644</v>
      </c>
      <c r="C928" s="17" t="s">
        <v>4645</v>
      </c>
      <c r="D928" s="17" t="s">
        <v>4644</v>
      </c>
      <c r="E928" s="17" t="s">
        <v>4646</v>
      </c>
      <c r="F928" s="17" t="s">
        <v>4646</v>
      </c>
      <c r="G928">
        <v>5112420000</v>
      </c>
    </row>
    <row r="929" spans="1:7">
      <c r="A929" s="16">
        <v>43405</v>
      </c>
      <c r="B929" s="17" t="s">
        <v>4647</v>
      </c>
      <c r="C929" s="17" t="s">
        <v>4240</v>
      </c>
      <c r="D929" s="17" t="s">
        <v>4648</v>
      </c>
      <c r="E929" s="17" t="s">
        <v>4649</v>
      </c>
      <c r="F929" s="17" t="s">
        <v>4649</v>
      </c>
      <c r="G929">
        <v>4708420000</v>
      </c>
    </row>
    <row r="930" spans="1:7">
      <c r="A930" s="16">
        <v>43406</v>
      </c>
      <c r="B930" s="17" t="s">
        <v>4650</v>
      </c>
      <c r="C930" s="17" t="s">
        <v>4651</v>
      </c>
      <c r="D930" s="17" t="s">
        <v>4652</v>
      </c>
      <c r="E930" s="17" t="s">
        <v>4303</v>
      </c>
      <c r="F930" s="17" t="s">
        <v>4303</v>
      </c>
      <c r="G930">
        <v>4237930000</v>
      </c>
    </row>
    <row r="931" spans="1:7">
      <c r="A931" s="16">
        <v>43409</v>
      </c>
      <c r="B931" s="17" t="s">
        <v>4653</v>
      </c>
      <c r="C931" s="17" t="s">
        <v>4654</v>
      </c>
      <c r="D931" s="17" t="s">
        <v>4655</v>
      </c>
      <c r="E931" s="17" t="s">
        <v>4656</v>
      </c>
      <c r="F931" s="17" t="s">
        <v>4656</v>
      </c>
      <c r="G931">
        <v>3623320000</v>
      </c>
    </row>
    <row r="932" spans="1:7">
      <c r="A932" s="16">
        <v>43410</v>
      </c>
      <c r="B932" s="17" t="s">
        <v>4657</v>
      </c>
      <c r="C932" s="17" t="s">
        <v>4658</v>
      </c>
      <c r="D932" s="17" t="s">
        <v>4659</v>
      </c>
      <c r="E932" s="17" t="s">
        <v>4660</v>
      </c>
      <c r="F932" s="17" t="s">
        <v>4660</v>
      </c>
      <c r="G932">
        <v>3510860000</v>
      </c>
    </row>
    <row r="933" spans="1:7">
      <c r="A933" s="16">
        <v>43411</v>
      </c>
      <c r="B933" s="17" t="s">
        <v>4661</v>
      </c>
      <c r="C933" s="17" t="s">
        <v>4662</v>
      </c>
      <c r="D933" s="17" t="s">
        <v>4661</v>
      </c>
      <c r="E933" s="17" t="s">
        <v>4663</v>
      </c>
      <c r="F933" s="17" t="s">
        <v>4663</v>
      </c>
      <c r="G933">
        <v>3914750000</v>
      </c>
    </row>
    <row r="934" spans="1:7">
      <c r="A934" s="16">
        <v>43412</v>
      </c>
      <c r="B934" s="17" t="s">
        <v>4664</v>
      </c>
      <c r="C934" s="17" t="s">
        <v>4665</v>
      </c>
      <c r="D934" s="17" t="s">
        <v>4666</v>
      </c>
      <c r="E934" s="17" t="s">
        <v>4667</v>
      </c>
      <c r="F934" s="17" t="s">
        <v>4667</v>
      </c>
      <c r="G934">
        <v>3630490000</v>
      </c>
    </row>
    <row r="935" spans="1:7">
      <c r="A935" s="16">
        <v>43413</v>
      </c>
      <c r="B935" s="17" t="s">
        <v>4668</v>
      </c>
      <c r="C935" s="17" t="s">
        <v>4668</v>
      </c>
      <c r="D935" s="17" t="s">
        <v>4669</v>
      </c>
      <c r="E935" s="17" t="s">
        <v>4670</v>
      </c>
      <c r="F935" s="17" t="s">
        <v>4670</v>
      </c>
      <c r="G935">
        <v>4019090000</v>
      </c>
    </row>
    <row r="936" spans="1:7">
      <c r="A936" s="16">
        <v>43416</v>
      </c>
      <c r="B936" s="17" t="s">
        <v>4671</v>
      </c>
      <c r="C936" s="17" t="s">
        <v>4598</v>
      </c>
      <c r="D936" s="17" t="s">
        <v>4672</v>
      </c>
      <c r="E936" s="17" t="s">
        <v>4673</v>
      </c>
      <c r="F936" s="17" t="s">
        <v>4673</v>
      </c>
      <c r="G936">
        <v>3670930000</v>
      </c>
    </row>
    <row r="937" spans="1:7">
      <c r="A937" s="16">
        <v>43417</v>
      </c>
      <c r="B937" s="17" t="s">
        <v>4674</v>
      </c>
      <c r="C937" s="17" t="s">
        <v>4675</v>
      </c>
      <c r="D937" s="17" t="s">
        <v>4676</v>
      </c>
      <c r="E937" s="17" t="s">
        <v>4677</v>
      </c>
      <c r="F937" s="17" t="s">
        <v>4677</v>
      </c>
      <c r="G937">
        <v>4091440000</v>
      </c>
    </row>
    <row r="938" spans="1:7">
      <c r="A938" s="16">
        <v>43418</v>
      </c>
      <c r="B938" s="17" t="s">
        <v>4678</v>
      </c>
      <c r="C938" s="17" t="s">
        <v>4679</v>
      </c>
      <c r="D938" s="17" t="s">
        <v>4680</v>
      </c>
      <c r="E938" s="17" t="s">
        <v>4681</v>
      </c>
      <c r="F938" s="17" t="s">
        <v>4681</v>
      </c>
      <c r="G938">
        <v>4402370000</v>
      </c>
    </row>
    <row r="939" spans="1:7">
      <c r="A939" s="16">
        <v>43419</v>
      </c>
      <c r="B939" s="17" t="s">
        <v>4682</v>
      </c>
      <c r="C939" s="17" t="s">
        <v>4683</v>
      </c>
      <c r="D939" s="17" t="s">
        <v>4684</v>
      </c>
      <c r="E939" s="17" t="s">
        <v>4685</v>
      </c>
      <c r="F939" s="17" t="s">
        <v>4685</v>
      </c>
      <c r="G939">
        <v>4179140000</v>
      </c>
    </row>
    <row r="940" spans="1:7">
      <c r="A940" s="16">
        <v>43420</v>
      </c>
      <c r="B940" s="17" t="s">
        <v>4686</v>
      </c>
      <c r="C940" s="17" t="s">
        <v>4687</v>
      </c>
      <c r="D940" s="17" t="s">
        <v>4688</v>
      </c>
      <c r="E940" s="17" t="s">
        <v>4689</v>
      </c>
      <c r="F940" s="17" t="s">
        <v>4689</v>
      </c>
      <c r="G940">
        <v>3975180000</v>
      </c>
    </row>
    <row r="941" spans="1:7">
      <c r="A941" s="16">
        <v>43423</v>
      </c>
      <c r="B941" s="17" t="s">
        <v>4690</v>
      </c>
      <c r="C941" s="17" t="s">
        <v>4691</v>
      </c>
      <c r="D941" s="17" t="s">
        <v>4692</v>
      </c>
      <c r="E941" s="17" t="s">
        <v>4693</v>
      </c>
      <c r="F941" s="17" t="s">
        <v>4693</v>
      </c>
      <c r="G941">
        <v>3772900000</v>
      </c>
    </row>
    <row r="942" spans="1:7">
      <c r="A942" s="16">
        <v>43424</v>
      </c>
      <c r="B942" s="17" t="s">
        <v>4694</v>
      </c>
      <c r="C942" s="17" t="s">
        <v>4695</v>
      </c>
      <c r="D942" s="17" t="s">
        <v>4696</v>
      </c>
      <c r="E942" s="17" t="s">
        <v>4697</v>
      </c>
      <c r="F942" s="17" t="s">
        <v>4697</v>
      </c>
      <c r="G942">
        <v>4357900000</v>
      </c>
    </row>
    <row r="943" spans="1:7">
      <c r="A943" s="16">
        <v>43425</v>
      </c>
      <c r="B943" s="17" t="s">
        <v>3757</v>
      </c>
      <c r="C943" s="17" t="s">
        <v>4698</v>
      </c>
      <c r="D943" s="17" t="s">
        <v>4699</v>
      </c>
      <c r="E943" s="17" t="s">
        <v>4700</v>
      </c>
      <c r="F943" s="17" t="s">
        <v>4700</v>
      </c>
      <c r="G943">
        <v>3233550000</v>
      </c>
    </row>
    <row r="944" spans="1:7">
      <c r="A944" s="16">
        <v>43427</v>
      </c>
      <c r="B944" s="17" t="s">
        <v>4701</v>
      </c>
      <c r="C944" s="17" t="s">
        <v>4702</v>
      </c>
      <c r="D944" s="17" t="s">
        <v>4703</v>
      </c>
      <c r="E944" s="17" t="s">
        <v>4704</v>
      </c>
      <c r="F944" s="17" t="s">
        <v>4704</v>
      </c>
      <c r="G944">
        <v>1651650000</v>
      </c>
    </row>
    <row r="945" spans="1:7">
      <c r="A945" s="16">
        <v>43430</v>
      </c>
      <c r="B945" s="17" t="s">
        <v>4705</v>
      </c>
      <c r="C945" s="17" t="s">
        <v>4706</v>
      </c>
      <c r="D945" s="17" t="s">
        <v>4705</v>
      </c>
      <c r="E945" s="17" t="s">
        <v>4707</v>
      </c>
      <c r="F945" s="17" t="s">
        <v>4707</v>
      </c>
      <c r="G945">
        <v>3443950000</v>
      </c>
    </row>
    <row r="946" spans="1:7">
      <c r="A946" s="16">
        <v>43431</v>
      </c>
      <c r="B946" s="17" t="s">
        <v>4708</v>
      </c>
      <c r="C946" s="17" t="s">
        <v>4709</v>
      </c>
      <c r="D946" s="17" t="s">
        <v>4710</v>
      </c>
      <c r="E946" s="17" t="s">
        <v>4711</v>
      </c>
      <c r="F946" s="17" t="s">
        <v>4711</v>
      </c>
      <c r="G946">
        <v>3485220000</v>
      </c>
    </row>
    <row r="947" spans="1:7">
      <c r="A947" s="16">
        <v>43432</v>
      </c>
      <c r="B947" s="17" t="s">
        <v>4712</v>
      </c>
      <c r="C947" s="17" t="s">
        <v>4713</v>
      </c>
      <c r="D947" s="17" t="s">
        <v>4714</v>
      </c>
      <c r="E947" s="17" t="s">
        <v>4715</v>
      </c>
      <c r="F947" s="17" t="s">
        <v>4715</v>
      </c>
      <c r="G947">
        <v>3951670000</v>
      </c>
    </row>
    <row r="948" spans="1:7">
      <c r="A948" s="16">
        <v>43433</v>
      </c>
      <c r="B948" s="17" t="s">
        <v>4716</v>
      </c>
      <c r="C948" s="17" t="s">
        <v>4717</v>
      </c>
      <c r="D948" s="17" t="s">
        <v>4718</v>
      </c>
      <c r="E948" s="17" t="s">
        <v>4719</v>
      </c>
      <c r="F948" s="17" t="s">
        <v>4719</v>
      </c>
      <c r="G948">
        <v>3560770000</v>
      </c>
    </row>
    <row r="949" spans="1:7">
      <c r="A949" s="16">
        <v>43434</v>
      </c>
      <c r="B949" s="17" t="s">
        <v>4720</v>
      </c>
      <c r="C949" s="17" t="s">
        <v>4721</v>
      </c>
      <c r="D949" s="17" t="s">
        <v>4722</v>
      </c>
      <c r="E949" s="17" t="s">
        <v>4723</v>
      </c>
      <c r="F949" s="17" t="s">
        <v>4723</v>
      </c>
      <c r="G949">
        <v>4658580000</v>
      </c>
    </row>
    <row r="950" spans="1:7">
      <c r="A950" s="16">
        <v>43437</v>
      </c>
      <c r="B950" s="17" t="s">
        <v>4724</v>
      </c>
      <c r="C950" s="17" t="s">
        <v>4725</v>
      </c>
      <c r="D950" s="17" t="s">
        <v>4726</v>
      </c>
      <c r="E950" s="17" t="s">
        <v>4727</v>
      </c>
      <c r="F950" s="17" t="s">
        <v>4727</v>
      </c>
      <c r="G950">
        <v>4186060000</v>
      </c>
    </row>
    <row r="951" spans="1:7">
      <c r="A951" s="16">
        <v>43438</v>
      </c>
      <c r="B951" s="17" t="s">
        <v>4728</v>
      </c>
      <c r="C951" s="17" t="s">
        <v>4729</v>
      </c>
      <c r="D951" s="17" t="s">
        <v>4730</v>
      </c>
      <c r="E951" s="17" t="s">
        <v>4731</v>
      </c>
      <c r="F951" s="17" t="s">
        <v>4731</v>
      </c>
      <c r="G951">
        <v>4499840000</v>
      </c>
    </row>
    <row r="952" spans="1:7">
      <c r="A952" s="16">
        <v>43440</v>
      </c>
      <c r="B952" s="17" t="s">
        <v>4732</v>
      </c>
      <c r="C952" s="17" t="s">
        <v>4733</v>
      </c>
      <c r="D952" s="17" t="s">
        <v>4734</v>
      </c>
      <c r="E952" s="17" t="s">
        <v>4735</v>
      </c>
      <c r="F952" s="17" t="s">
        <v>4735</v>
      </c>
      <c r="G952">
        <v>5141470000</v>
      </c>
    </row>
    <row r="953" spans="1:7">
      <c r="A953" s="16">
        <v>43441</v>
      </c>
      <c r="B953" s="17" t="s">
        <v>4736</v>
      </c>
      <c r="C953" s="17" t="s">
        <v>4737</v>
      </c>
      <c r="D953" s="17" t="s">
        <v>4738</v>
      </c>
      <c r="E953" s="17" t="s">
        <v>4739</v>
      </c>
      <c r="F953" s="17" t="s">
        <v>4739</v>
      </c>
      <c r="G953">
        <v>4216690000</v>
      </c>
    </row>
    <row r="954" spans="1:7">
      <c r="A954" s="16">
        <v>43444</v>
      </c>
      <c r="B954" s="17" t="s">
        <v>4740</v>
      </c>
      <c r="C954" s="17" t="s">
        <v>4741</v>
      </c>
      <c r="D954" s="17" t="s">
        <v>4742</v>
      </c>
      <c r="E954" s="17" t="s">
        <v>4743</v>
      </c>
      <c r="F954" s="17" t="s">
        <v>4743</v>
      </c>
      <c r="G954">
        <v>4151030000</v>
      </c>
    </row>
    <row r="955" spans="1:7">
      <c r="A955" s="16">
        <v>43445</v>
      </c>
      <c r="B955" s="17" t="s">
        <v>4744</v>
      </c>
      <c r="C955" s="17" t="s">
        <v>4706</v>
      </c>
      <c r="D955" s="17" t="s">
        <v>4745</v>
      </c>
      <c r="E955" s="17" t="s">
        <v>4746</v>
      </c>
      <c r="F955" s="17" t="s">
        <v>4746</v>
      </c>
      <c r="G955">
        <v>3905870000</v>
      </c>
    </row>
    <row r="956" spans="1:7">
      <c r="A956" s="16">
        <v>43446</v>
      </c>
      <c r="B956" s="17" t="s">
        <v>4747</v>
      </c>
      <c r="C956" s="17" t="s">
        <v>4748</v>
      </c>
      <c r="D956" s="17" t="s">
        <v>4749</v>
      </c>
      <c r="E956" s="17" t="s">
        <v>4750</v>
      </c>
      <c r="F956" s="17" t="s">
        <v>4750</v>
      </c>
      <c r="G956">
        <v>3958890000</v>
      </c>
    </row>
    <row r="957" spans="1:7">
      <c r="A957" s="16">
        <v>43447</v>
      </c>
      <c r="B957" s="17" t="s">
        <v>4751</v>
      </c>
      <c r="C957" s="17" t="s">
        <v>4752</v>
      </c>
      <c r="D957" s="17" t="s">
        <v>4753</v>
      </c>
      <c r="E957" s="17" t="s">
        <v>4754</v>
      </c>
      <c r="F957" s="17" t="s">
        <v>4754</v>
      </c>
      <c r="G957">
        <v>3927720000</v>
      </c>
    </row>
    <row r="958" spans="1:7">
      <c r="A958" s="16">
        <v>43448</v>
      </c>
      <c r="B958" s="17" t="s">
        <v>4755</v>
      </c>
      <c r="C958" s="17" t="s">
        <v>4756</v>
      </c>
      <c r="D958" s="17" t="s">
        <v>4757</v>
      </c>
      <c r="E958" s="17" t="s">
        <v>4758</v>
      </c>
      <c r="F958" s="17" t="s">
        <v>4758</v>
      </c>
      <c r="G958">
        <v>4035020000</v>
      </c>
    </row>
    <row r="959" spans="1:7">
      <c r="A959" s="16">
        <v>43451</v>
      </c>
      <c r="B959" s="17" t="s">
        <v>4759</v>
      </c>
      <c r="C959" s="17" t="s">
        <v>4760</v>
      </c>
      <c r="D959" s="17" t="s">
        <v>4761</v>
      </c>
      <c r="E959" s="17" t="s">
        <v>4762</v>
      </c>
      <c r="F959" s="17" t="s">
        <v>4762</v>
      </c>
      <c r="G959">
        <v>4616350000</v>
      </c>
    </row>
    <row r="960" spans="1:7">
      <c r="A960" s="16">
        <v>43452</v>
      </c>
      <c r="B960" s="17" t="s">
        <v>4763</v>
      </c>
      <c r="C960" s="17" t="s">
        <v>4764</v>
      </c>
      <c r="D960" s="17" t="s">
        <v>4765</v>
      </c>
      <c r="E960" s="17" t="s">
        <v>4766</v>
      </c>
      <c r="F960" s="17" t="s">
        <v>4766</v>
      </c>
      <c r="G960">
        <v>4470880000</v>
      </c>
    </row>
    <row r="961" spans="1:7">
      <c r="A961" s="16">
        <v>43453</v>
      </c>
      <c r="B961" s="17" t="s">
        <v>4767</v>
      </c>
      <c r="C961" s="17" t="s">
        <v>4768</v>
      </c>
      <c r="D961" s="17" t="s">
        <v>4769</v>
      </c>
      <c r="E961" s="17" t="s">
        <v>4770</v>
      </c>
      <c r="F961" s="17" t="s">
        <v>4770</v>
      </c>
      <c r="G961">
        <v>5127940000</v>
      </c>
    </row>
    <row r="962" spans="1:7">
      <c r="A962" s="16">
        <v>43454</v>
      </c>
      <c r="B962" s="17" t="s">
        <v>3543</v>
      </c>
      <c r="C962" s="17" t="s">
        <v>4771</v>
      </c>
      <c r="D962" s="17" t="s">
        <v>4772</v>
      </c>
      <c r="E962" s="17" t="s">
        <v>4773</v>
      </c>
      <c r="F962" s="17" t="s">
        <v>4773</v>
      </c>
      <c r="G962">
        <v>5585780000</v>
      </c>
    </row>
    <row r="963" spans="1:7">
      <c r="A963" s="16">
        <v>43455</v>
      </c>
      <c r="B963" s="17" t="s">
        <v>3460</v>
      </c>
      <c r="C963" s="17" t="s">
        <v>4774</v>
      </c>
      <c r="D963" s="17" t="s">
        <v>4775</v>
      </c>
      <c r="E963" s="17" t="s">
        <v>4776</v>
      </c>
      <c r="F963" s="17" t="s">
        <v>4776</v>
      </c>
      <c r="G963">
        <v>7609010000</v>
      </c>
    </row>
    <row r="964" spans="1:7">
      <c r="A964" s="16">
        <v>43458</v>
      </c>
      <c r="B964" s="17" t="s">
        <v>4777</v>
      </c>
      <c r="C964" s="17" t="s">
        <v>4778</v>
      </c>
      <c r="D964" s="17" t="s">
        <v>4779</v>
      </c>
      <c r="E964" s="17" t="s">
        <v>4779</v>
      </c>
      <c r="F964" s="17" t="s">
        <v>4779</v>
      </c>
      <c r="G964">
        <v>2613930000</v>
      </c>
    </row>
    <row r="965" spans="1:7">
      <c r="A965" s="16">
        <v>43460</v>
      </c>
      <c r="B965" s="17" t="s">
        <v>4780</v>
      </c>
      <c r="C965" s="17" t="s">
        <v>4781</v>
      </c>
      <c r="D965" s="17" t="s">
        <v>4782</v>
      </c>
      <c r="E965" s="17" t="s">
        <v>4783</v>
      </c>
      <c r="F965" s="17" t="s">
        <v>4783</v>
      </c>
      <c r="G965">
        <v>4233990000</v>
      </c>
    </row>
    <row r="966" spans="1:7">
      <c r="A966" s="16">
        <v>43461</v>
      </c>
      <c r="B966" s="17" t="s">
        <v>4784</v>
      </c>
      <c r="C966" s="17" t="s">
        <v>4785</v>
      </c>
      <c r="D966" s="17" t="s">
        <v>4786</v>
      </c>
      <c r="E966" s="17" t="s">
        <v>4787</v>
      </c>
      <c r="F966" s="17" t="s">
        <v>4787</v>
      </c>
      <c r="G966">
        <v>4096610000</v>
      </c>
    </row>
    <row r="967" spans="1:7">
      <c r="A967" s="16">
        <v>43462</v>
      </c>
      <c r="B967" s="17" t="s">
        <v>4788</v>
      </c>
      <c r="C967" s="17" t="s">
        <v>4789</v>
      </c>
      <c r="D967" s="17" t="s">
        <v>4790</v>
      </c>
      <c r="E967" s="17" t="s">
        <v>4791</v>
      </c>
      <c r="F967" s="17" t="s">
        <v>4791</v>
      </c>
      <c r="G967">
        <v>3702620000</v>
      </c>
    </row>
    <row r="968" spans="1:7">
      <c r="A968" s="16">
        <v>43465</v>
      </c>
      <c r="B968" s="17" t="s">
        <v>4792</v>
      </c>
      <c r="C968" s="17" t="s">
        <v>4793</v>
      </c>
      <c r="D968" s="17" t="s">
        <v>4794</v>
      </c>
      <c r="E968" s="17" t="s">
        <v>4795</v>
      </c>
      <c r="F968" s="17" t="s">
        <v>4795</v>
      </c>
      <c r="G968">
        <v>3442870000</v>
      </c>
    </row>
    <row r="969" spans="1:7">
      <c r="A969" s="16">
        <v>43467</v>
      </c>
      <c r="B969" s="17" t="s">
        <v>4796</v>
      </c>
      <c r="C969" s="17" t="s">
        <v>4797</v>
      </c>
      <c r="D969" s="17" t="s">
        <v>4798</v>
      </c>
      <c r="E969" s="17" t="s">
        <v>4799</v>
      </c>
      <c r="F969" s="17" t="s">
        <v>4799</v>
      </c>
      <c r="G969">
        <v>3733160000</v>
      </c>
    </row>
    <row r="970" spans="1:7">
      <c r="A970" s="16">
        <v>43468</v>
      </c>
      <c r="B970" s="17" t="s">
        <v>4800</v>
      </c>
      <c r="C970" s="17" t="s">
        <v>4801</v>
      </c>
      <c r="D970" s="17" t="s">
        <v>4802</v>
      </c>
      <c r="E970" s="17" t="s">
        <v>4803</v>
      </c>
      <c r="F970" s="17" t="s">
        <v>4803</v>
      </c>
      <c r="G970">
        <v>3822860000</v>
      </c>
    </row>
    <row r="971" spans="1:7">
      <c r="A971" s="16">
        <v>43469</v>
      </c>
      <c r="B971" s="17" t="s">
        <v>4804</v>
      </c>
      <c r="C971" s="17" t="s">
        <v>4805</v>
      </c>
      <c r="D971" s="17" t="s">
        <v>4804</v>
      </c>
      <c r="E971" s="17" t="s">
        <v>4806</v>
      </c>
      <c r="F971" s="17" t="s">
        <v>4806</v>
      </c>
      <c r="G971">
        <v>4213410000</v>
      </c>
    </row>
    <row r="972" spans="1:7">
      <c r="A972" s="16">
        <v>43472</v>
      </c>
      <c r="B972" s="17" t="s">
        <v>4807</v>
      </c>
      <c r="C972" s="17" t="s">
        <v>4808</v>
      </c>
      <c r="D972" s="17" t="s">
        <v>4809</v>
      </c>
      <c r="E972" s="17" t="s">
        <v>4810</v>
      </c>
      <c r="F972" s="17" t="s">
        <v>4810</v>
      </c>
      <c r="G972">
        <v>4104710000</v>
      </c>
    </row>
    <row r="973" spans="1:7">
      <c r="A973" s="16">
        <v>43473</v>
      </c>
      <c r="B973" s="17" t="s">
        <v>4811</v>
      </c>
      <c r="C973" s="17" t="s">
        <v>4812</v>
      </c>
      <c r="D973" s="17" t="s">
        <v>4813</v>
      </c>
      <c r="E973" s="17" t="s">
        <v>4814</v>
      </c>
      <c r="F973" s="17" t="s">
        <v>4814</v>
      </c>
      <c r="G973">
        <v>4083030000</v>
      </c>
    </row>
    <row r="974" spans="1:7">
      <c r="A974" s="16">
        <v>43474</v>
      </c>
      <c r="B974" s="17" t="s">
        <v>4815</v>
      </c>
      <c r="C974" s="17" t="s">
        <v>4816</v>
      </c>
      <c r="D974" s="17" t="s">
        <v>4817</v>
      </c>
      <c r="E974" s="17" t="s">
        <v>4818</v>
      </c>
      <c r="F974" s="17" t="s">
        <v>4818</v>
      </c>
      <c r="G974">
        <v>4052480000</v>
      </c>
    </row>
    <row r="975" spans="1:7">
      <c r="A975" s="16">
        <v>43475</v>
      </c>
      <c r="B975" s="17" t="s">
        <v>4819</v>
      </c>
      <c r="C975" s="17" t="s">
        <v>4820</v>
      </c>
      <c r="D975" s="17" t="s">
        <v>4821</v>
      </c>
      <c r="E975" s="17" t="s">
        <v>4822</v>
      </c>
      <c r="F975" s="17" t="s">
        <v>4822</v>
      </c>
      <c r="G975">
        <v>3704500000</v>
      </c>
    </row>
    <row r="976" spans="1:7">
      <c r="A976" s="16">
        <v>43476</v>
      </c>
      <c r="B976" s="17" t="s">
        <v>4823</v>
      </c>
      <c r="C976" s="17" t="s">
        <v>4824</v>
      </c>
      <c r="D976" s="17" t="s">
        <v>4825</v>
      </c>
      <c r="E976" s="17" t="s">
        <v>4826</v>
      </c>
      <c r="F976" s="17" t="s">
        <v>4826</v>
      </c>
      <c r="G976">
        <v>3434490000</v>
      </c>
    </row>
    <row r="977" spans="1:7">
      <c r="A977" s="16">
        <v>43479</v>
      </c>
      <c r="B977" s="17" t="s">
        <v>4827</v>
      </c>
      <c r="C977" s="17" t="s">
        <v>4828</v>
      </c>
      <c r="D977" s="17" t="s">
        <v>4829</v>
      </c>
      <c r="E977" s="17" t="s">
        <v>4830</v>
      </c>
      <c r="F977" s="17" t="s">
        <v>4830</v>
      </c>
      <c r="G977">
        <v>3664450000</v>
      </c>
    </row>
    <row r="978" spans="1:7">
      <c r="A978" s="16">
        <v>43480</v>
      </c>
      <c r="B978" s="17" t="s">
        <v>4831</v>
      </c>
      <c r="C978" s="17" t="s">
        <v>4832</v>
      </c>
      <c r="D978" s="17" t="s">
        <v>4831</v>
      </c>
      <c r="E978" s="17" t="s">
        <v>4833</v>
      </c>
      <c r="F978" s="17" t="s">
        <v>4833</v>
      </c>
      <c r="G978">
        <v>3572330000</v>
      </c>
    </row>
    <row r="979" spans="1:7">
      <c r="A979" s="16">
        <v>43481</v>
      </c>
      <c r="B979" s="17" t="s">
        <v>4834</v>
      </c>
      <c r="C979" s="17" t="s">
        <v>4835</v>
      </c>
      <c r="D979" s="17" t="s">
        <v>4836</v>
      </c>
      <c r="E979" s="17" t="s">
        <v>4837</v>
      </c>
      <c r="F979" s="17" t="s">
        <v>4837</v>
      </c>
      <c r="G979">
        <v>3863770000</v>
      </c>
    </row>
    <row r="980" spans="1:7">
      <c r="A980" s="16">
        <v>43482</v>
      </c>
      <c r="B980" s="17" t="s">
        <v>4838</v>
      </c>
      <c r="C980" s="17" t="s">
        <v>4839</v>
      </c>
      <c r="D980" s="17" t="s">
        <v>4840</v>
      </c>
      <c r="E980" s="17" t="s">
        <v>4841</v>
      </c>
      <c r="F980" s="17" t="s">
        <v>4841</v>
      </c>
      <c r="G980">
        <v>3772270000</v>
      </c>
    </row>
    <row r="981" spans="1:7">
      <c r="A981" s="16">
        <v>43483</v>
      </c>
      <c r="B981" s="17" t="s">
        <v>4842</v>
      </c>
      <c r="C981" s="17" t="s">
        <v>4145</v>
      </c>
      <c r="D981" s="17" t="s">
        <v>3758</v>
      </c>
      <c r="E981" s="17" t="s">
        <v>4843</v>
      </c>
      <c r="F981" s="17" t="s">
        <v>4843</v>
      </c>
      <c r="G981">
        <v>3986730000</v>
      </c>
    </row>
    <row r="982" spans="1:7">
      <c r="A982" s="16">
        <v>43487</v>
      </c>
      <c r="B982" s="17" t="s">
        <v>4844</v>
      </c>
      <c r="C982" s="17" t="s">
        <v>4844</v>
      </c>
      <c r="D982" s="17" t="s">
        <v>4845</v>
      </c>
      <c r="E982" s="17" t="s">
        <v>4846</v>
      </c>
      <c r="F982" s="17" t="s">
        <v>4846</v>
      </c>
      <c r="G982">
        <v>3908030000</v>
      </c>
    </row>
    <row r="983" spans="1:7">
      <c r="A983" s="16">
        <v>43488</v>
      </c>
      <c r="B983" s="17" t="s">
        <v>4847</v>
      </c>
      <c r="C983" s="17" t="s">
        <v>4848</v>
      </c>
      <c r="D983" s="17" t="s">
        <v>4849</v>
      </c>
      <c r="E983" s="17" t="s">
        <v>4850</v>
      </c>
      <c r="F983" s="17" t="s">
        <v>4850</v>
      </c>
      <c r="G983">
        <v>3335610000</v>
      </c>
    </row>
    <row r="984" spans="1:7">
      <c r="A984" s="16">
        <v>43489</v>
      </c>
      <c r="B984" s="17" t="s">
        <v>4851</v>
      </c>
      <c r="C984" s="17" t="s">
        <v>4852</v>
      </c>
      <c r="D984" s="17" t="s">
        <v>4853</v>
      </c>
      <c r="E984" s="17" t="s">
        <v>4854</v>
      </c>
      <c r="F984" s="17" t="s">
        <v>4854</v>
      </c>
      <c r="G984">
        <v>3433250000</v>
      </c>
    </row>
    <row r="985" spans="1:7">
      <c r="A985" s="16">
        <v>43490</v>
      </c>
      <c r="B985" s="17" t="s">
        <v>4855</v>
      </c>
      <c r="C985" s="17" t="s">
        <v>4856</v>
      </c>
      <c r="D985" s="17" t="s">
        <v>4857</v>
      </c>
      <c r="E985" s="17" t="s">
        <v>4858</v>
      </c>
      <c r="F985" s="17" t="s">
        <v>4858</v>
      </c>
      <c r="G985">
        <v>3814080000</v>
      </c>
    </row>
    <row r="986" spans="1:7">
      <c r="A986" s="16">
        <v>43493</v>
      </c>
      <c r="B986" s="17" t="s">
        <v>4859</v>
      </c>
      <c r="C986" s="17" t="s">
        <v>4859</v>
      </c>
      <c r="D986" s="17" t="s">
        <v>4860</v>
      </c>
      <c r="E986" s="17" t="s">
        <v>4861</v>
      </c>
      <c r="F986" s="17" t="s">
        <v>4861</v>
      </c>
      <c r="G986">
        <v>3612810000</v>
      </c>
    </row>
    <row r="987" spans="1:7">
      <c r="A987" s="16">
        <v>43494</v>
      </c>
      <c r="B987" s="17" t="s">
        <v>4862</v>
      </c>
      <c r="C987" s="17" t="s">
        <v>4863</v>
      </c>
      <c r="D987" s="17" t="s">
        <v>4864</v>
      </c>
      <c r="E987" s="17" t="s">
        <v>4865</v>
      </c>
      <c r="F987" s="17" t="s">
        <v>4865</v>
      </c>
      <c r="G987">
        <v>3504200000</v>
      </c>
    </row>
    <row r="988" spans="1:7">
      <c r="A988" s="16">
        <v>43495</v>
      </c>
      <c r="B988" s="17" t="s">
        <v>4866</v>
      </c>
      <c r="C988" s="17" t="s">
        <v>4867</v>
      </c>
      <c r="D988" s="17" t="s">
        <v>4868</v>
      </c>
      <c r="E988" s="17" t="s">
        <v>4869</v>
      </c>
      <c r="F988" s="17" t="s">
        <v>4869</v>
      </c>
      <c r="G988">
        <v>3867810000</v>
      </c>
    </row>
    <row r="989" spans="1:7">
      <c r="A989" s="16">
        <v>43496</v>
      </c>
      <c r="B989" s="17" t="s">
        <v>4870</v>
      </c>
      <c r="C989" s="17" t="s">
        <v>4871</v>
      </c>
      <c r="D989" s="17" t="s">
        <v>4872</v>
      </c>
      <c r="E989" s="17" t="s">
        <v>4873</v>
      </c>
      <c r="F989" s="17" t="s">
        <v>4873</v>
      </c>
      <c r="G989">
        <v>4917650000</v>
      </c>
    </row>
    <row r="990" spans="1:7">
      <c r="A990" s="16">
        <v>43497</v>
      </c>
      <c r="B990" s="17" t="s">
        <v>4874</v>
      </c>
      <c r="C990" s="17" t="s">
        <v>4875</v>
      </c>
      <c r="D990" s="17" t="s">
        <v>4876</v>
      </c>
      <c r="E990" s="17" t="s">
        <v>4877</v>
      </c>
      <c r="F990" s="17" t="s">
        <v>4877</v>
      </c>
      <c r="G990">
        <v>3759270000</v>
      </c>
    </row>
    <row r="991" spans="1:7">
      <c r="A991" s="16">
        <v>43500</v>
      </c>
      <c r="B991" s="17" t="s">
        <v>4878</v>
      </c>
      <c r="C991" s="17" t="s">
        <v>4879</v>
      </c>
      <c r="D991" s="17" t="s">
        <v>4880</v>
      </c>
      <c r="E991" s="17" t="s">
        <v>4881</v>
      </c>
      <c r="F991" s="17" t="s">
        <v>4881</v>
      </c>
      <c r="G991">
        <v>3359840000</v>
      </c>
    </row>
    <row r="992" spans="1:7">
      <c r="A992" s="16">
        <v>43501</v>
      </c>
      <c r="B992" s="17" t="s">
        <v>4882</v>
      </c>
      <c r="C992" s="17" t="s">
        <v>4883</v>
      </c>
      <c r="D992" s="17" t="s">
        <v>4884</v>
      </c>
      <c r="E992" s="17" t="s">
        <v>4885</v>
      </c>
      <c r="F992" s="17" t="s">
        <v>4885</v>
      </c>
      <c r="G992">
        <v>3560430000</v>
      </c>
    </row>
    <row r="993" spans="1:7">
      <c r="A993" s="16">
        <v>43502</v>
      </c>
      <c r="B993" s="17" t="s">
        <v>4886</v>
      </c>
      <c r="C993" s="17" t="s">
        <v>4887</v>
      </c>
      <c r="D993" s="17" t="s">
        <v>4888</v>
      </c>
      <c r="E993" s="17" t="s">
        <v>4889</v>
      </c>
      <c r="F993" s="17" t="s">
        <v>4889</v>
      </c>
      <c r="G993">
        <v>3472690000</v>
      </c>
    </row>
    <row r="994" spans="1:7">
      <c r="A994" s="16">
        <v>43503</v>
      </c>
      <c r="B994" s="17" t="s">
        <v>4890</v>
      </c>
      <c r="C994" s="17" t="s">
        <v>4891</v>
      </c>
      <c r="D994" s="17" t="s">
        <v>4892</v>
      </c>
      <c r="E994" s="17" t="s">
        <v>4893</v>
      </c>
      <c r="F994" s="17" t="s">
        <v>4893</v>
      </c>
      <c r="G994">
        <v>4099490000</v>
      </c>
    </row>
    <row r="995" spans="1:7">
      <c r="A995" s="16">
        <v>43504</v>
      </c>
      <c r="B995" s="17" t="s">
        <v>4894</v>
      </c>
      <c r="C995" s="17" t="s">
        <v>4895</v>
      </c>
      <c r="D995" s="17" t="s">
        <v>4896</v>
      </c>
      <c r="E995" s="17" t="s">
        <v>4897</v>
      </c>
      <c r="F995" s="17" t="s">
        <v>4897</v>
      </c>
      <c r="G995">
        <v>3622330000</v>
      </c>
    </row>
    <row r="996" spans="1:7">
      <c r="A996" s="16">
        <v>43507</v>
      </c>
      <c r="B996" s="17" t="s">
        <v>4898</v>
      </c>
      <c r="C996" s="17" t="s">
        <v>4899</v>
      </c>
      <c r="D996" s="17" t="s">
        <v>4900</v>
      </c>
      <c r="E996" s="17" t="s">
        <v>4901</v>
      </c>
      <c r="F996" s="17" t="s">
        <v>4901</v>
      </c>
      <c r="G996">
        <v>3361970000</v>
      </c>
    </row>
    <row r="997" spans="1:7">
      <c r="A997" s="16">
        <v>43508</v>
      </c>
      <c r="B997" s="17" t="s">
        <v>4902</v>
      </c>
      <c r="C997" s="17" t="s">
        <v>4903</v>
      </c>
      <c r="D997" s="17" t="s">
        <v>4902</v>
      </c>
      <c r="E997" s="17" t="s">
        <v>4904</v>
      </c>
      <c r="F997" s="17" t="s">
        <v>4904</v>
      </c>
      <c r="G997">
        <v>3827770000</v>
      </c>
    </row>
    <row r="998" spans="1:7">
      <c r="A998" s="16">
        <v>43509</v>
      </c>
      <c r="B998" s="17" t="s">
        <v>4905</v>
      </c>
      <c r="C998" s="17" t="s">
        <v>4033</v>
      </c>
      <c r="D998" s="17" t="s">
        <v>4906</v>
      </c>
      <c r="E998" s="17" t="s">
        <v>4907</v>
      </c>
      <c r="F998" s="17" t="s">
        <v>4907</v>
      </c>
      <c r="G998">
        <v>3670770000</v>
      </c>
    </row>
    <row r="999" spans="1:7">
      <c r="A999" s="16">
        <v>43510</v>
      </c>
      <c r="B999" s="17" t="s">
        <v>4908</v>
      </c>
      <c r="C999" s="17" t="s">
        <v>4909</v>
      </c>
      <c r="D999" s="17" t="s">
        <v>4910</v>
      </c>
      <c r="E999" s="17" t="s">
        <v>4911</v>
      </c>
      <c r="F999" s="17" t="s">
        <v>4911</v>
      </c>
      <c r="G999">
        <v>3836700000</v>
      </c>
    </row>
    <row r="1000" spans="1:7">
      <c r="A1000" s="16">
        <v>43511</v>
      </c>
      <c r="B1000" s="17" t="s">
        <v>4912</v>
      </c>
      <c r="C1000" s="17" t="s">
        <v>4613</v>
      </c>
      <c r="D1000" s="17" t="s">
        <v>4912</v>
      </c>
      <c r="E1000" s="17" t="s">
        <v>4913</v>
      </c>
      <c r="F1000" s="17" t="s">
        <v>4913</v>
      </c>
      <c r="G1000">
        <v>3641370000</v>
      </c>
    </row>
    <row r="1001" spans="1:7">
      <c r="A1001" s="16">
        <v>43515</v>
      </c>
      <c r="B1001" s="17" t="s">
        <v>4290</v>
      </c>
      <c r="C1001" s="17" t="s">
        <v>4914</v>
      </c>
      <c r="D1001" s="17" t="s">
        <v>4915</v>
      </c>
      <c r="E1001" s="17" t="s">
        <v>4916</v>
      </c>
      <c r="F1001" s="17" t="s">
        <v>4916</v>
      </c>
      <c r="G1001">
        <v>3533710000</v>
      </c>
    </row>
    <row r="1002" spans="1:7">
      <c r="A1002" s="16">
        <v>43516</v>
      </c>
      <c r="B1002" s="17" t="s">
        <v>4917</v>
      </c>
      <c r="C1002" s="17" t="s">
        <v>4918</v>
      </c>
      <c r="D1002" s="17" t="s">
        <v>4024</v>
      </c>
      <c r="E1002" s="17" t="s">
        <v>4919</v>
      </c>
      <c r="F1002" s="17" t="s">
        <v>4919</v>
      </c>
      <c r="G1002">
        <v>3835450000</v>
      </c>
    </row>
    <row r="1003" spans="1:7">
      <c r="A1003" s="16">
        <v>43517</v>
      </c>
      <c r="B1003" s="17" t="s">
        <v>4920</v>
      </c>
      <c r="C1003" s="17" t="s">
        <v>4921</v>
      </c>
      <c r="D1003" s="17" t="s">
        <v>4922</v>
      </c>
      <c r="E1003" s="17" t="s">
        <v>4923</v>
      </c>
      <c r="F1003" s="17" t="s">
        <v>4923</v>
      </c>
      <c r="G1003">
        <v>3559710000</v>
      </c>
    </row>
    <row r="1004" spans="1:7">
      <c r="A1004" s="16">
        <v>43518</v>
      </c>
      <c r="B1004" s="17" t="s">
        <v>4924</v>
      </c>
      <c r="C1004" s="17" t="s">
        <v>4925</v>
      </c>
      <c r="D1004" s="17" t="s">
        <v>4926</v>
      </c>
      <c r="E1004" s="17" t="s">
        <v>4927</v>
      </c>
      <c r="F1004" s="17" t="s">
        <v>4927</v>
      </c>
      <c r="G1004">
        <v>3427810000</v>
      </c>
    </row>
    <row r="1005" spans="1:7">
      <c r="A1005" s="16">
        <v>43521</v>
      </c>
      <c r="B1005" s="17" t="s">
        <v>4928</v>
      </c>
      <c r="C1005" s="17" t="s">
        <v>4929</v>
      </c>
      <c r="D1005" s="17" t="s">
        <v>4666</v>
      </c>
      <c r="E1005" s="17" t="s">
        <v>4930</v>
      </c>
      <c r="F1005" s="17" t="s">
        <v>4930</v>
      </c>
      <c r="G1005">
        <v>3804380000</v>
      </c>
    </row>
    <row r="1006" spans="1:7">
      <c r="A1006" s="16">
        <v>43522</v>
      </c>
      <c r="B1006" s="17" t="s">
        <v>4931</v>
      </c>
      <c r="C1006" s="17" t="s">
        <v>4932</v>
      </c>
      <c r="D1006" s="17" t="s">
        <v>4933</v>
      </c>
      <c r="E1006" s="17" t="s">
        <v>4934</v>
      </c>
      <c r="F1006" s="17" t="s">
        <v>4934</v>
      </c>
      <c r="G1006">
        <v>3645680000</v>
      </c>
    </row>
    <row r="1007" spans="1:7">
      <c r="A1007" s="16">
        <v>43523</v>
      </c>
      <c r="B1007" s="17" t="s">
        <v>4935</v>
      </c>
      <c r="C1007" s="17" t="s">
        <v>4936</v>
      </c>
      <c r="D1007" s="17" t="s">
        <v>4937</v>
      </c>
      <c r="E1007" s="17" t="s">
        <v>4938</v>
      </c>
      <c r="F1007" s="17" t="s">
        <v>4938</v>
      </c>
      <c r="G1007">
        <v>3767130000</v>
      </c>
    </row>
    <row r="1008" spans="1:7">
      <c r="A1008" s="16">
        <v>43524</v>
      </c>
      <c r="B1008" s="17" t="s">
        <v>4939</v>
      </c>
      <c r="C1008" s="17" t="s">
        <v>4940</v>
      </c>
      <c r="D1008" s="17" t="s">
        <v>4941</v>
      </c>
      <c r="E1008" s="17" t="s">
        <v>4942</v>
      </c>
      <c r="F1008" s="17" t="s">
        <v>4942</v>
      </c>
      <c r="G1008">
        <v>4396930000</v>
      </c>
    </row>
    <row r="1009" spans="1:7">
      <c r="A1009" s="16">
        <v>43525</v>
      </c>
      <c r="B1009" s="17" t="s">
        <v>4943</v>
      </c>
      <c r="C1009" s="17" t="s">
        <v>4944</v>
      </c>
      <c r="D1009" s="17" t="s">
        <v>4945</v>
      </c>
      <c r="E1009" s="17" t="s">
        <v>4946</v>
      </c>
      <c r="F1009" s="17" t="s">
        <v>4946</v>
      </c>
      <c r="G1009">
        <v>3972280000</v>
      </c>
    </row>
    <row r="1010" spans="1:7">
      <c r="A1010" s="16">
        <v>43528</v>
      </c>
      <c r="B1010" s="17" t="s">
        <v>4947</v>
      </c>
      <c r="C1010" s="17" t="s">
        <v>4948</v>
      </c>
      <c r="D1010" s="17" t="s">
        <v>4949</v>
      </c>
      <c r="E1010" s="17" t="s">
        <v>4950</v>
      </c>
      <c r="F1010" s="17" t="s">
        <v>4950</v>
      </c>
      <c r="G1010">
        <v>3919810000</v>
      </c>
    </row>
    <row r="1011" spans="1:7">
      <c r="A1011" s="16">
        <v>43529</v>
      </c>
      <c r="B1011" s="17" t="s">
        <v>4951</v>
      </c>
      <c r="C1011" s="17" t="s">
        <v>4952</v>
      </c>
      <c r="D1011" s="17" t="s">
        <v>4953</v>
      </c>
      <c r="E1011" s="17" t="s">
        <v>4954</v>
      </c>
      <c r="F1011" s="17" t="s">
        <v>4954</v>
      </c>
      <c r="G1011">
        <v>3585690000</v>
      </c>
    </row>
    <row r="1012" spans="1:7">
      <c r="A1012" s="16">
        <v>43530</v>
      </c>
      <c r="B1012" s="17" t="s">
        <v>4955</v>
      </c>
      <c r="C1012" s="17" t="s">
        <v>4955</v>
      </c>
      <c r="D1012" s="17" t="s">
        <v>4956</v>
      </c>
      <c r="E1012" s="17" t="s">
        <v>4957</v>
      </c>
      <c r="F1012" s="17" t="s">
        <v>4957</v>
      </c>
      <c r="G1012">
        <v>3786600000</v>
      </c>
    </row>
    <row r="1013" spans="1:7">
      <c r="A1013" s="16">
        <v>43531</v>
      </c>
      <c r="B1013" s="17" t="s">
        <v>4958</v>
      </c>
      <c r="C1013" s="17" t="s">
        <v>4959</v>
      </c>
      <c r="D1013" s="17" t="s">
        <v>4960</v>
      </c>
      <c r="E1013" s="17" t="s">
        <v>4961</v>
      </c>
      <c r="F1013" s="17" t="s">
        <v>4961</v>
      </c>
      <c r="G1013">
        <v>3904860000</v>
      </c>
    </row>
    <row r="1014" spans="1:7">
      <c r="A1014" s="16">
        <v>43532</v>
      </c>
      <c r="B1014" s="17" t="s">
        <v>4962</v>
      </c>
      <c r="C1014" s="17" t="s">
        <v>4963</v>
      </c>
      <c r="D1014" s="17" t="s">
        <v>4964</v>
      </c>
      <c r="E1014" s="17" t="s">
        <v>4965</v>
      </c>
      <c r="F1014" s="17" t="s">
        <v>4965</v>
      </c>
      <c r="G1014">
        <v>3423130000</v>
      </c>
    </row>
    <row r="1015" spans="1:7">
      <c r="A1015" s="16">
        <v>43535</v>
      </c>
      <c r="B1015" s="17" t="s">
        <v>4966</v>
      </c>
      <c r="C1015" s="17" t="s">
        <v>4967</v>
      </c>
      <c r="D1015" s="17" t="s">
        <v>4966</v>
      </c>
      <c r="E1015" s="17" t="s">
        <v>4968</v>
      </c>
      <c r="F1015" s="17" t="s">
        <v>4968</v>
      </c>
      <c r="G1015">
        <v>3749030000</v>
      </c>
    </row>
    <row r="1016" spans="1:7">
      <c r="A1016" s="16">
        <v>43536</v>
      </c>
      <c r="B1016" s="17" t="s">
        <v>4969</v>
      </c>
      <c r="C1016" s="17" t="s">
        <v>4970</v>
      </c>
      <c r="D1016" s="17" t="s">
        <v>4971</v>
      </c>
      <c r="E1016" s="17" t="s">
        <v>4972</v>
      </c>
      <c r="F1016" s="17" t="s">
        <v>4972</v>
      </c>
      <c r="G1016">
        <v>3414230000</v>
      </c>
    </row>
    <row r="1017" spans="1:7">
      <c r="A1017" s="16">
        <v>43537</v>
      </c>
      <c r="B1017" s="17" t="s">
        <v>4973</v>
      </c>
      <c r="C1017" s="17" t="s">
        <v>4974</v>
      </c>
      <c r="D1017" s="17" t="s">
        <v>4973</v>
      </c>
      <c r="E1017" s="17" t="s">
        <v>4975</v>
      </c>
      <c r="F1017" s="17" t="s">
        <v>4975</v>
      </c>
      <c r="G1017">
        <v>3766150000</v>
      </c>
    </row>
    <row r="1018" spans="1:7">
      <c r="A1018" s="16">
        <v>43538</v>
      </c>
      <c r="B1018" s="17" t="s">
        <v>4976</v>
      </c>
      <c r="C1018" s="17" t="s">
        <v>4977</v>
      </c>
      <c r="D1018" s="17" t="s">
        <v>4978</v>
      </c>
      <c r="E1018" s="17" t="s">
        <v>4979</v>
      </c>
      <c r="F1018" s="17" t="s">
        <v>4979</v>
      </c>
      <c r="G1018">
        <v>3469730000</v>
      </c>
    </row>
    <row r="1019" spans="1:7">
      <c r="A1019" s="16">
        <v>43539</v>
      </c>
      <c r="B1019" s="17" t="s">
        <v>4980</v>
      </c>
      <c r="C1019" s="17" t="s">
        <v>4981</v>
      </c>
      <c r="D1019" s="17" t="s">
        <v>4980</v>
      </c>
      <c r="E1019" s="17" t="s">
        <v>4982</v>
      </c>
      <c r="F1019" s="17" t="s">
        <v>4982</v>
      </c>
      <c r="G1019">
        <v>5962730000</v>
      </c>
    </row>
    <row r="1020" spans="1:7">
      <c r="A1020" s="16">
        <v>43542</v>
      </c>
      <c r="B1020" s="17" t="s">
        <v>4983</v>
      </c>
      <c r="C1020" s="17" t="s">
        <v>4984</v>
      </c>
      <c r="D1020" s="17" t="s">
        <v>4985</v>
      </c>
      <c r="E1020" s="17" t="s">
        <v>4986</v>
      </c>
      <c r="F1020" s="17" t="s">
        <v>4986</v>
      </c>
      <c r="G1020">
        <v>3552190000</v>
      </c>
    </row>
    <row r="1021" spans="1:7">
      <c r="A1021" s="16">
        <v>43543</v>
      </c>
      <c r="B1021" s="17" t="s">
        <v>4987</v>
      </c>
      <c r="C1021" s="17" t="s">
        <v>4988</v>
      </c>
      <c r="D1021" s="17" t="s">
        <v>4989</v>
      </c>
      <c r="E1021" s="17" t="s">
        <v>4990</v>
      </c>
      <c r="F1021" s="17" t="s">
        <v>4990</v>
      </c>
      <c r="G1021">
        <v>3620220000</v>
      </c>
    </row>
    <row r="1022" spans="1:7">
      <c r="A1022" s="16">
        <v>43544</v>
      </c>
      <c r="B1022" s="17" t="s">
        <v>4991</v>
      </c>
      <c r="C1022" s="17" t="s">
        <v>4992</v>
      </c>
      <c r="D1022" s="17" t="s">
        <v>4993</v>
      </c>
      <c r="E1022" s="17" t="s">
        <v>4994</v>
      </c>
      <c r="F1022" s="17" t="s">
        <v>4994</v>
      </c>
      <c r="G1022">
        <v>3771200000</v>
      </c>
    </row>
    <row r="1023" spans="1:7">
      <c r="A1023" s="16">
        <v>43545</v>
      </c>
      <c r="B1023" s="17" t="s">
        <v>4995</v>
      </c>
      <c r="C1023" s="17" t="s">
        <v>4996</v>
      </c>
      <c r="D1023" s="17" t="s">
        <v>4997</v>
      </c>
      <c r="E1023" s="17" t="s">
        <v>4998</v>
      </c>
      <c r="F1023" s="17" t="s">
        <v>4998</v>
      </c>
      <c r="G1023">
        <v>3546800000</v>
      </c>
    </row>
    <row r="1024" spans="1:7">
      <c r="A1024" s="16">
        <v>43546</v>
      </c>
      <c r="B1024" s="17" t="s">
        <v>4999</v>
      </c>
      <c r="C1024" s="17" t="s">
        <v>5000</v>
      </c>
      <c r="D1024" s="17" t="s">
        <v>5001</v>
      </c>
      <c r="E1024" s="17" t="s">
        <v>5002</v>
      </c>
      <c r="F1024" s="17" t="s">
        <v>5002</v>
      </c>
      <c r="G1024">
        <v>4237200000</v>
      </c>
    </row>
    <row r="1025" spans="1:7">
      <c r="A1025" s="16">
        <v>43549</v>
      </c>
      <c r="B1025" s="17" t="s">
        <v>5003</v>
      </c>
      <c r="C1025" s="17" t="s">
        <v>5004</v>
      </c>
      <c r="D1025" s="17" t="s">
        <v>5005</v>
      </c>
      <c r="E1025" s="17" t="s">
        <v>5006</v>
      </c>
      <c r="F1025" s="17" t="s">
        <v>5006</v>
      </c>
      <c r="G1025">
        <v>3376580000</v>
      </c>
    </row>
    <row r="1026" spans="1:7">
      <c r="A1026" s="16">
        <v>43550</v>
      </c>
      <c r="B1026" s="17" t="s">
        <v>5007</v>
      </c>
      <c r="C1026" s="17" t="s">
        <v>5008</v>
      </c>
      <c r="D1026" s="17" t="s">
        <v>5009</v>
      </c>
      <c r="E1026" s="17" t="s">
        <v>5010</v>
      </c>
      <c r="F1026" s="17" t="s">
        <v>5010</v>
      </c>
      <c r="G1026">
        <v>3266050000</v>
      </c>
    </row>
    <row r="1027" spans="1:7">
      <c r="A1027" s="16">
        <v>43551</v>
      </c>
      <c r="B1027" s="17" t="s">
        <v>4995</v>
      </c>
      <c r="C1027" s="17" t="s">
        <v>5011</v>
      </c>
      <c r="D1027" s="17" t="s">
        <v>5012</v>
      </c>
      <c r="E1027" s="17" t="s">
        <v>5013</v>
      </c>
      <c r="F1027" s="17" t="s">
        <v>5013</v>
      </c>
      <c r="G1027">
        <v>3372930000</v>
      </c>
    </row>
    <row r="1028" spans="1:7">
      <c r="A1028" s="16">
        <v>43552</v>
      </c>
      <c r="B1028" s="17" t="s">
        <v>5014</v>
      </c>
      <c r="C1028" s="17" t="s">
        <v>5015</v>
      </c>
      <c r="D1028" s="17" t="s">
        <v>5016</v>
      </c>
      <c r="E1028" s="17" t="s">
        <v>5017</v>
      </c>
      <c r="F1028" s="17" t="s">
        <v>5017</v>
      </c>
      <c r="G1028">
        <v>3158170000</v>
      </c>
    </row>
    <row r="1029" spans="1:7">
      <c r="A1029" s="16">
        <v>43553</v>
      </c>
      <c r="B1029" s="17" t="s">
        <v>5018</v>
      </c>
      <c r="C1029" s="17" t="s">
        <v>5019</v>
      </c>
      <c r="D1029" s="17" t="s">
        <v>5020</v>
      </c>
      <c r="E1029" s="17" t="s">
        <v>5021</v>
      </c>
      <c r="F1029" s="17" t="s">
        <v>5021</v>
      </c>
      <c r="G1029">
        <v>3740700000</v>
      </c>
    </row>
    <row r="1030" spans="1:7">
      <c r="A1030" s="16">
        <v>43556</v>
      </c>
      <c r="B1030" s="17" t="s">
        <v>5022</v>
      </c>
      <c r="C1030" s="17" t="s">
        <v>5023</v>
      </c>
      <c r="D1030" s="17" t="s">
        <v>5022</v>
      </c>
      <c r="E1030" s="17" t="s">
        <v>5024</v>
      </c>
      <c r="F1030" s="17" t="s">
        <v>5024</v>
      </c>
      <c r="G1030">
        <v>3500760000</v>
      </c>
    </row>
    <row r="1031" spans="1:7">
      <c r="A1031" s="16">
        <v>43557</v>
      </c>
      <c r="B1031" s="17" t="s">
        <v>5025</v>
      </c>
      <c r="C1031" s="17" t="s">
        <v>5026</v>
      </c>
      <c r="D1031" s="17" t="s">
        <v>5027</v>
      </c>
      <c r="E1031" s="17" t="s">
        <v>5028</v>
      </c>
      <c r="F1031" s="17" t="s">
        <v>5028</v>
      </c>
      <c r="G1031">
        <v>3246900000</v>
      </c>
    </row>
    <row r="1032" spans="1:7">
      <c r="A1032" s="16">
        <v>43558</v>
      </c>
      <c r="B1032" s="17" t="s">
        <v>5029</v>
      </c>
      <c r="C1032" s="17" t="s">
        <v>5030</v>
      </c>
      <c r="D1032" s="17" t="s">
        <v>5031</v>
      </c>
      <c r="E1032" s="17" t="s">
        <v>5032</v>
      </c>
      <c r="F1032" s="17" t="s">
        <v>5032</v>
      </c>
      <c r="G1032">
        <v>3550240000</v>
      </c>
    </row>
    <row r="1033" spans="1:7">
      <c r="A1033" s="16">
        <v>43559</v>
      </c>
      <c r="B1033" s="17" t="s">
        <v>5033</v>
      </c>
      <c r="C1033" s="17" t="s">
        <v>5034</v>
      </c>
      <c r="D1033" s="17" t="s">
        <v>5035</v>
      </c>
      <c r="E1033" s="17" t="s">
        <v>5036</v>
      </c>
      <c r="F1033" s="17" t="s">
        <v>5036</v>
      </c>
      <c r="G1033">
        <v>3015180000</v>
      </c>
    </row>
    <row r="1034" spans="1:7">
      <c r="A1034" s="16">
        <v>43560</v>
      </c>
      <c r="B1034" s="17" t="s">
        <v>5037</v>
      </c>
      <c r="C1034" s="17" t="s">
        <v>5038</v>
      </c>
      <c r="D1034" s="17" t="s">
        <v>5039</v>
      </c>
      <c r="E1034" s="17" t="s">
        <v>5040</v>
      </c>
      <c r="F1034" s="17" t="s">
        <v>5040</v>
      </c>
      <c r="G1034">
        <v>3146820000</v>
      </c>
    </row>
    <row r="1035" spans="1:7">
      <c r="A1035" s="16">
        <v>43563</v>
      </c>
      <c r="B1035" s="17" t="s">
        <v>5041</v>
      </c>
      <c r="C1035" s="17" t="s">
        <v>5042</v>
      </c>
      <c r="D1035" s="17" t="s">
        <v>5043</v>
      </c>
      <c r="E1035" s="17" t="s">
        <v>4518</v>
      </c>
      <c r="F1035" s="17" t="s">
        <v>4518</v>
      </c>
      <c r="G1035">
        <v>3054030000</v>
      </c>
    </row>
    <row r="1036" spans="1:7">
      <c r="A1036" s="16">
        <v>43564</v>
      </c>
      <c r="B1036" s="17" t="s">
        <v>5044</v>
      </c>
      <c r="C1036" s="17" t="s">
        <v>5045</v>
      </c>
      <c r="D1036" s="17" t="s">
        <v>5046</v>
      </c>
      <c r="E1036" s="17" t="s">
        <v>5047</v>
      </c>
      <c r="F1036" s="17" t="s">
        <v>5047</v>
      </c>
      <c r="G1036">
        <v>3007980000</v>
      </c>
    </row>
    <row r="1037" spans="1:7">
      <c r="A1037" s="16">
        <v>43565</v>
      </c>
      <c r="B1037" s="17" t="s">
        <v>5048</v>
      </c>
      <c r="C1037" s="17" t="s">
        <v>5049</v>
      </c>
      <c r="D1037" s="17" t="s">
        <v>5050</v>
      </c>
      <c r="E1037" s="17" t="s">
        <v>5051</v>
      </c>
      <c r="F1037" s="17" t="s">
        <v>5051</v>
      </c>
      <c r="G1037">
        <v>3062380000</v>
      </c>
    </row>
    <row r="1038" spans="1:7">
      <c r="A1038" s="16">
        <v>43566</v>
      </c>
      <c r="B1038" s="17" t="s">
        <v>5052</v>
      </c>
      <c r="C1038" s="17" t="s">
        <v>5053</v>
      </c>
      <c r="D1038" s="17" t="s">
        <v>5054</v>
      </c>
      <c r="E1038" s="17" t="s">
        <v>5055</v>
      </c>
      <c r="F1038" s="17" t="s">
        <v>5055</v>
      </c>
      <c r="G1038">
        <v>2938540000</v>
      </c>
    </row>
    <row r="1039" spans="1:7">
      <c r="A1039" s="16">
        <v>43567</v>
      </c>
      <c r="B1039" s="17" t="s">
        <v>5056</v>
      </c>
      <c r="C1039" s="17" t="s">
        <v>5057</v>
      </c>
      <c r="D1039" s="17" t="s">
        <v>4480</v>
      </c>
      <c r="E1039" s="17" t="s">
        <v>5058</v>
      </c>
      <c r="F1039" s="17" t="s">
        <v>5058</v>
      </c>
      <c r="G1039">
        <v>3688490000</v>
      </c>
    </row>
    <row r="1040" spans="1:7">
      <c r="A1040" s="16">
        <v>43570</v>
      </c>
      <c r="B1040" s="17" t="s">
        <v>5059</v>
      </c>
      <c r="C1040" s="17" t="s">
        <v>5060</v>
      </c>
      <c r="D1040" s="17" t="s">
        <v>5061</v>
      </c>
      <c r="E1040" s="17" t="s">
        <v>5062</v>
      </c>
      <c r="F1040" s="17" t="s">
        <v>5062</v>
      </c>
      <c r="G1040">
        <v>3088330000</v>
      </c>
    </row>
    <row r="1041" spans="1:7">
      <c r="A1041" s="16">
        <v>43571</v>
      </c>
      <c r="B1041" s="17" t="s">
        <v>5063</v>
      </c>
      <c r="C1041" s="17" t="s">
        <v>5064</v>
      </c>
      <c r="D1041" s="17" t="s">
        <v>5065</v>
      </c>
      <c r="E1041" s="17" t="s">
        <v>5066</v>
      </c>
      <c r="F1041" s="17" t="s">
        <v>5066</v>
      </c>
      <c r="G1041">
        <v>3402210000</v>
      </c>
    </row>
    <row r="1042" spans="1:7">
      <c r="A1042" s="16">
        <v>43572</v>
      </c>
      <c r="B1042" s="17" t="s">
        <v>5067</v>
      </c>
      <c r="C1042" s="17" t="s">
        <v>5068</v>
      </c>
      <c r="D1042" s="17" t="s">
        <v>5069</v>
      </c>
      <c r="E1042" s="17" t="s">
        <v>5070</v>
      </c>
      <c r="F1042" s="17" t="s">
        <v>5070</v>
      </c>
      <c r="G1042">
        <v>3602300000</v>
      </c>
    </row>
    <row r="1043" spans="1:7">
      <c r="A1043" s="16">
        <v>43573</v>
      </c>
      <c r="B1043" s="17" t="s">
        <v>5071</v>
      </c>
      <c r="C1043" s="17" t="s">
        <v>5072</v>
      </c>
      <c r="D1043" s="17" t="s">
        <v>5073</v>
      </c>
      <c r="E1043" s="17" t="s">
        <v>5074</v>
      </c>
      <c r="F1043" s="17" t="s">
        <v>5074</v>
      </c>
      <c r="G1043">
        <v>3506850000</v>
      </c>
    </row>
    <row r="1044" spans="1:7">
      <c r="A1044" s="16">
        <v>43577</v>
      </c>
      <c r="B1044" s="17" t="s">
        <v>5075</v>
      </c>
      <c r="C1044" s="17" t="s">
        <v>5076</v>
      </c>
      <c r="D1044" s="17" t="s">
        <v>5077</v>
      </c>
      <c r="E1044" s="17" t="s">
        <v>5078</v>
      </c>
      <c r="F1044" s="17" t="s">
        <v>5078</v>
      </c>
      <c r="G1044">
        <v>2997950000</v>
      </c>
    </row>
    <row r="1045" spans="1:7">
      <c r="A1045" s="16">
        <v>43578</v>
      </c>
      <c r="B1045" s="17" t="s">
        <v>5079</v>
      </c>
      <c r="C1045" s="17" t="s">
        <v>5080</v>
      </c>
      <c r="D1045" s="17" t="s">
        <v>5081</v>
      </c>
      <c r="E1045" s="17" t="s">
        <v>5082</v>
      </c>
      <c r="F1045" s="17" t="s">
        <v>5082</v>
      </c>
      <c r="G1045">
        <v>3635030000</v>
      </c>
    </row>
    <row r="1046" spans="1:7">
      <c r="A1046" s="16">
        <v>43579</v>
      </c>
      <c r="B1046" s="17" t="s">
        <v>5083</v>
      </c>
      <c r="C1046" s="17" t="s">
        <v>5084</v>
      </c>
      <c r="D1046" s="17" t="s">
        <v>5085</v>
      </c>
      <c r="E1046" s="17" t="s">
        <v>5086</v>
      </c>
      <c r="F1046" s="17" t="s">
        <v>5086</v>
      </c>
      <c r="G1046">
        <v>3448960000</v>
      </c>
    </row>
    <row r="1047" spans="1:7">
      <c r="A1047" s="16">
        <v>43580</v>
      </c>
      <c r="B1047" s="17" t="s">
        <v>5087</v>
      </c>
      <c r="C1047" s="17" t="s">
        <v>5088</v>
      </c>
      <c r="D1047" s="17" t="s">
        <v>5089</v>
      </c>
      <c r="E1047" s="17" t="s">
        <v>5090</v>
      </c>
      <c r="F1047" s="17" t="s">
        <v>5090</v>
      </c>
      <c r="G1047">
        <v>3425280000</v>
      </c>
    </row>
    <row r="1048" spans="1:7">
      <c r="A1048" s="16">
        <v>43581</v>
      </c>
      <c r="B1048" s="17" t="s">
        <v>5091</v>
      </c>
      <c r="C1048" s="17" t="s">
        <v>5092</v>
      </c>
      <c r="D1048" s="17" t="s">
        <v>5093</v>
      </c>
      <c r="E1048" s="17" t="s">
        <v>5092</v>
      </c>
      <c r="F1048" s="17" t="s">
        <v>5092</v>
      </c>
      <c r="G1048">
        <v>3248500000</v>
      </c>
    </row>
    <row r="1049" spans="1:7">
      <c r="A1049" s="16">
        <v>43584</v>
      </c>
      <c r="B1049" s="17" t="s">
        <v>5094</v>
      </c>
      <c r="C1049" s="17" t="s">
        <v>5095</v>
      </c>
      <c r="D1049" s="17" t="s">
        <v>5096</v>
      </c>
      <c r="E1049" s="17" t="s">
        <v>5097</v>
      </c>
      <c r="F1049" s="17" t="s">
        <v>5097</v>
      </c>
      <c r="G1049">
        <v>3118780000</v>
      </c>
    </row>
    <row r="1050" spans="1:7">
      <c r="A1050" s="16">
        <v>43585</v>
      </c>
      <c r="B1050" s="17" t="s">
        <v>5098</v>
      </c>
      <c r="C1050" s="17" t="s">
        <v>5099</v>
      </c>
      <c r="D1050" s="17" t="s">
        <v>5100</v>
      </c>
      <c r="E1050" s="17" t="s">
        <v>5101</v>
      </c>
      <c r="F1050" s="17" t="s">
        <v>5101</v>
      </c>
      <c r="G1050">
        <v>3919330000</v>
      </c>
    </row>
    <row r="1051" spans="1:7">
      <c r="A1051" s="16">
        <v>43586</v>
      </c>
      <c r="B1051" s="17" t="s">
        <v>5102</v>
      </c>
      <c r="C1051" s="17" t="s">
        <v>5103</v>
      </c>
      <c r="D1051" s="17" t="s">
        <v>5104</v>
      </c>
      <c r="E1051" s="17" t="s">
        <v>5105</v>
      </c>
      <c r="F1051" s="17" t="s">
        <v>5105</v>
      </c>
      <c r="G1051">
        <v>3645850000</v>
      </c>
    </row>
    <row r="1052" spans="1:7">
      <c r="A1052" s="16">
        <v>43587</v>
      </c>
      <c r="B1052" s="17" t="s">
        <v>5106</v>
      </c>
      <c r="C1052" s="17" t="s">
        <v>5107</v>
      </c>
      <c r="D1052" s="17" t="s">
        <v>5108</v>
      </c>
      <c r="E1052" s="17" t="s">
        <v>5109</v>
      </c>
      <c r="F1052" s="17" t="s">
        <v>5109</v>
      </c>
      <c r="G1052">
        <v>3778890000</v>
      </c>
    </row>
    <row r="1053" spans="1:7">
      <c r="A1053" s="16">
        <v>43588</v>
      </c>
      <c r="B1053" s="17" t="s">
        <v>5110</v>
      </c>
      <c r="C1053" s="17" t="s">
        <v>5111</v>
      </c>
      <c r="D1053" s="17" t="s">
        <v>5110</v>
      </c>
      <c r="E1053" s="17" t="s">
        <v>5112</v>
      </c>
      <c r="F1053" s="17" t="s">
        <v>5112</v>
      </c>
      <c r="G1053">
        <v>3338120000</v>
      </c>
    </row>
    <row r="1054" spans="1:7">
      <c r="A1054" s="16">
        <v>43591</v>
      </c>
      <c r="B1054" s="17" t="s">
        <v>5113</v>
      </c>
      <c r="C1054" s="17" t="s">
        <v>5114</v>
      </c>
      <c r="D1054" s="17" t="s">
        <v>5115</v>
      </c>
      <c r="E1054" s="17" t="s">
        <v>5116</v>
      </c>
      <c r="F1054" s="17" t="s">
        <v>5116</v>
      </c>
      <c r="G1054">
        <v>3181520000</v>
      </c>
    </row>
    <row r="1055" spans="1:7">
      <c r="A1055" s="16">
        <v>43592</v>
      </c>
      <c r="B1055" s="17" t="s">
        <v>5117</v>
      </c>
      <c r="C1055" s="17" t="s">
        <v>5117</v>
      </c>
      <c r="D1055" s="17" t="s">
        <v>5118</v>
      </c>
      <c r="E1055" s="17" t="s">
        <v>5119</v>
      </c>
      <c r="F1055" s="17" t="s">
        <v>5119</v>
      </c>
      <c r="G1055">
        <v>3767100000</v>
      </c>
    </row>
    <row r="1056" spans="1:7">
      <c r="A1056" s="16">
        <v>43593</v>
      </c>
      <c r="B1056" s="17" t="s">
        <v>5120</v>
      </c>
      <c r="C1056" s="17" t="s">
        <v>5121</v>
      </c>
      <c r="D1056" s="17" t="s">
        <v>5122</v>
      </c>
      <c r="E1056" s="17" t="s">
        <v>5123</v>
      </c>
      <c r="F1056" s="17" t="s">
        <v>5123</v>
      </c>
      <c r="G1056">
        <v>3485790000</v>
      </c>
    </row>
    <row r="1057" spans="1:7">
      <c r="A1057" s="16">
        <v>43594</v>
      </c>
      <c r="B1057" s="17" t="s">
        <v>5124</v>
      </c>
      <c r="C1057" s="17" t="s">
        <v>5125</v>
      </c>
      <c r="D1057" s="17" t="s">
        <v>5126</v>
      </c>
      <c r="E1057" s="17" t="s">
        <v>5127</v>
      </c>
      <c r="F1057" s="17" t="s">
        <v>5127</v>
      </c>
      <c r="G1057">
        <v>3638820000</v>
      </c>
    </row>
    <row r="1058" spans="1:7">
      <c r="A1058" s="16">
        <v>43595</v>
      </c>
      <c r="B1058" s="17" t="s">
        <v>5128</v>
      </c>
      <c r="C1058" s="17" t="s">
        <v>5129</v>
      </c>
      <c r="D1058" s="17" t="s">
        <v>5130</v>
      </c>
      <c r="E1058" s="17" t="s">
        <v>5131</v>
      </c>
      <c r="F1058" s="17" t="s">
        <v>5131</v>
      </c>
      <c r="G1058">
        <v>3529600000</v>
      </c>
    </row>
    <row r="1059" spans="1:7">
      <c r="A1059" s="16">
        <v>43598</v>
      </c>
      <c r="B1059" s="17" t="s">
        <v>5132</v>
      </c>
      <c r="C1059" s="17" t="s">
        <v>5132</v>
      </c>
      <c r="D1059" s="17" t="s">
        <v>5133</v>
      </c>
      <c r="E1059" s="17" t="s">
        <v>5134</v>
      </c>
      <c r="F1059" s="17" t="s">
        <v>5134</v>
      </c>
      <c r="G1059">
        <v>3894030000</v>
      </c>
    </row>
    <row r="1060" spans="1:7">
      <c r="A1060" s="16">
        <v>43599</v>
      </c>
      <c r="B1060" s="17" t="s">
        <v>5135</v>
      </c>
      <c r="C1060" s="17" t="s">
        <v>5136</v>
      </c>
      <c r="D1060" s="17" t="s">
        <v>5135</v>
      </c>
      <c r="E1060" s="17" t="s">
        <v>5137</v>
      </c>
      <c r="F1060" s="17" t="s">
        <v>5137</v>
      </c>
      <c r="G1060">
        <v>3322720000</v>
      </c>
    </row>
    <row r="1061" spans="1:7">
      <c r="A1061" s="16">
        <v>43600</v>
      </c>
      <c r="B1061" s="17" t="s">
        <v>5138</v>
      </c>
      <c r="C1061" s="17" t="s">
        <v>5139</v>
      </c>
      <c r="D1061" s="17" t="s">
        <v>5140</v>
      </c>
      <c r="E1061" s="17" t="s">
        <v>5141</v>
      </c>
      <c r="F1061" s="17" t="s">
        <v>5141</v>
      </c>
      <c r="G1061">
        <v>3125950000</v>
      </c>
    </row>
    <row r="1062" spans="1:7">
      <c r="A1062" s="16">
        <v>43601</v>
      </c>
      <c r="B1062" s="17" t="s">
        <v>5142</v>
      </c>
      <c r="C1062" s="17" t="s">
        <v>5143</v>
      </c>
      <c r="D1062" s="17" t="s">
        <v>5142</v>
      </c>
      <c r="E1062" s="17" t="s">
        <v>5144</v>
      </c>
      <c r="F1062" s="17" t="s">
        <v>5144</v>
      </c>
      <c r="G1062">
        <v>3338060000</v>
      </c>
    </row>
    <row r="1063" spans="1:7">
      <c r="A1063" s="16">
        <v>43602</v>
      </c>
      <c r="B1063" s="17" t="s">
        <v>5145</v>
      </c>
      <c r="C1063" s="17" t="s">
        <v>5146</v>
      </c>
      <c r="D1063" s="17" t="s">
        <v>5147</v>
      </c>
      <c r="E1063" s="17" t="s">
        <v>5148</v>
      </c>
      <c r="F1063" s="17" t="s">
        <v>5148</v>
      </c>
      <c r="G1063">
        <v>3257950000</v>
      </c>
    </row>
    <row r="1064" spans="1:7">
      <c r="A1064" s="16">
        <v>43605</v>
      </c>
      <c r="B1064" s="17" t="s">
        <v>5149</v>
      </c>
      <c r="C1064" s="17" t="s">
        <v>5150</v>
      </c>
      <c r="D1064" s="17" t="s">
        <v>5151</v>
      </c>
      <c r="E1064" s="17" t="s">
        <v>5152</v>
      </c>
      <c r="F1064" s="17" t="s">
        <v>5152</v>
      </c>
      <c r="G1064">
        <v>3288870000</v>
      </c>
    </row>
    <row r="1065" spans="1:7">
      <c r="A1065" s="16">
        <v>43606</v>
      </c>
      <c r="B1065" s="17" t="s">
        <v>5153</v>
      </c>
      <c r="C1065" s="17" t="s">
        <v>5154</v>
      </c>
      <c r="D1065" s="17" t="s">
        <v>5153</v>
      </c>
      <c r="E1065" s="17" t="s">
        <v>5155</v>
      </c>
      <c r="F1065" s="17" t="s">
        <v>5155</v>
      </c>
      <c r="G1065">
        <v>3218700000</v>
      </c>
    </row>
    <row r="1066" spans="1:7">
      <c r="A1066" s="16">
        <v>43607</v>
      </c>
      <c r="B1066" s="17" t="s">
        <v>5156</v>
      </c>
      <c r="C1066" s="17" t="s">
        <v>5157</v>
      </c>
      <c r="D1066" s="17" t="s">
        <v>5158</v>
      </c>
      <c r="E1066" s="17" t="s">
        <v>5159</v>
      </c>
      <c r="F1066" s="17" t="s">
        <v>5159</v>
      </c>
      <c r="G1066">
        <v>3192510000</v>
      </c>
    </row>
    <row r="1067" spans="1:7">
      <c r="A1067" s="16">
        <v>43608</v>
      </c>
      <c r="B1067" s="17" t="s">
        <v>5160</v>
      </c>
      <c r="C1067" s="17" t="s">
        <v>5160</v>
      </c>
      <c r="D1067" s="17" t="s">
        <v>5161</v>
      </c>
      <c r="E1067" s="17" t="s">
        <v>5162</v>
      </c>
      <c r="F1067" s="17" t="s">
        <v>5162</v>
      </c>
      <c r="G1067">
        <v>3891980000</v>
      </c>
    </row>
    <row r="1068" spans="1:7">
      <c r="A1068" s="16">
        <v>43609</v>
      </c>
      <c r="B1068" s="17" t="s">
        <v>3913</v>
      </c>
      <c r="C1068" s="17" t="s">
        <v>5163</v>
      </c>
      <c r="D1068" s="17" t="s">
        <v>5164</v>
      </c>
      <c r="E1068" s="17" t="s">
        <v>5165</v>
      </c>
      <c r="F1068" s="17" t="s">
        <v>5165</v>
      </c>
      <c r="G1068">
        <v>2887390000</v>
      </c>
    </row>
    <row r="1069" spans="1:7">
      <c r="A1069" s="16">
        <v>43613</v>
      </c>
      <c r="B1069" s="17" t="s">
        <v>5166</v>
      </c>
      <c r="C1069" s="17" t="s">
        <v>5167</v>
      </c>
      <c r="D1069" s="17" t="s">
        <v>5168</v>
      </c>
      <c r="E1069" s="17" t="s">
        <v>5169</v>
      </c>
      <c r="F1069" s="17" t="s">
        <v>5169</v>
      </c>
      <c r="G1069">
        <v>4121410000</v>
      </c>
    </row>
    <row r="1070" spans="1:7">
      <c r="A1070" s="16">
        <v>43614</v>
      </c>
      <c r="B1070" s="17" t="s">
        <v>5170</v>
      </c>
      <c r="C1070" s="17" t="s">
        <v>5171</v>
      </c>
      <c r="D1070" s="17" t="s">
        <v>5172</v>
      </c>
      <c r="E1070" s="17" t="s">
        <v>4019</v>
      </c>
      <c r="F1070" s="17" t="s">
        <v>4019</v>
      </c>
      <c r="G1070">
        <v>3700050000</v>
      </c>
    </row>
    <row r="1071" spans="1:7">
      <c r="A1071" s="16">
        <v>43615</v>
      </c>
      <c r="B1071" s="17" t="s">
        <v>5173</v>
      </c>
      <c r="C1071" s="17" t="s">
        <v>5174</v>
      </c>
      <c r="D1071" s="17" t="s">
        <v>5175</v>
      </c>
      <c r="E1071" s="17" t="s">
        <v>5176</v>
      </c>
      <c r="F1071" s="17" t="s">
        <v>5176</v>
      </c>
      <c r="G1071">
        <v>3273790000</v>
      </c>
    </row>
    <row r="1072" spans="1:7">
      <c r="A1072" s="16">
        <v>43616</v>
      </c>
      <c r="B1072" s="17" t="s">
        <v>5177</v>
      </c>
      <c r="C1072" s="17" t="s">
        <v>5178</v>
      </c>
      <c r="D1072" s="17" t="s">
        <v>5179</v>
      </c>
      <c r="E1072" s="17" t="s">
        <v>5180</v>
      </c>
      <c r="F1072" s="17" t="s">
        <v>5180</v>
      </c>
      <c r="G1072">
        <v>3981020000</v>
      </c>
    </row>
    <row r="1073" spans="1:7">
      <c r="A1073" s="16">
        <v>43619</v>
      </c>
      <c r="B1073" s="17" t="s">
        <v>5181</v>
      </c>
      <c r="C1073" s="17" t="s">
        <v>5182</v>
      </c>
      <c r="D1073" s="17" t="s">
        <v>5183</v>
      </c>
      <c r="E1073" s="17" t="s">
        <v>5184</v>
      </c>
      <c r="F1073" s="17" t="s">
        <v>5184</v>
      </c>
      <c r="G1073">
        <v>3943810000</v>
      </c>
    </row>
    <row r="1074" spans="1:7">
      <c r="A1074" s="16">
        <v>43620</v>
      </c>
      <c r="B1074" s="17" t="s">
        <v>5185</v>
      </c>
      <c r="C1074" s="17" t="s">
        <v>4366</v>
      </c>
      <c r="D1074" s="17" t="s">
        <v>5185</v>
      </c>
      <c r="E1074" s="17" t="s">
        <v>5186</v>
      </c>
      <c r="F1074" s="17" t="s">
        <v>5186</v>
      </c>
      <c r="G1074">
        <v>3810430000</v>
      </c>
    </row>
    <row r="1075" spans="1:7">
      <c r="A1075" s="16">
        <v>43621</v>
      </c>
      <c r="B1075" s="17" t="s">
        <v>5187</v>
      </c>
      <c r="C1075" s="17" t="s">
        <v>5188</v>
      </c>
      <c r="D1075" s="17" t="s">
        <v>5189</v>
      </c>
      <c r="E1075" s="17" t="s">
        <v>5190</v>
      </c>
      <c r="F1075" s="17" t="s">
        <v>5190</v>
      </c>
      <c r="G1075">
        <v>3548830000</v>
      </c>
    </row>
    <row r="1076" spans="1:7">
      <c r="A1076" s="16">
        <v>43622</v>
      </c>
      <c r="B1076" s="17" t="s">
        <v>5191</v>
      </c>
      <c r="C1076" s="17" t="s">
        <v>5192</v>
      </c>
      <c r="D1076" s="17" t="s">
        <v>5193</v>
      </c>
      <c r="E1076" s="17" t="s">
        <v>5194</v>
      </c>
      <c r="F1076" s="17" t="s">
        <v>5194</v>
      </c>
      <c r="G1076">
        <v>3396410000</v>
      </c>
    </row>
    <row r="1077" spans="1:7">
      <c r="A1077" s="16">
        <v>43623</v>
      </c>
      <c r="B1077" s="17" t="s">
        <v>5195</v>
      </c>
      <c r="C1077" s="17" t="s">
        <v>5196</v>
      </c>
      <c r="D1077" s="17" t="s">
        <v>5195</v>
      </c>
      <c r="E1077" s="17" t="s">
        <v>5197</v>
      </c>
      <c r="F1077" s="17" t="s">
        <v>5197</v>
      </c>
      <c r="G1077">
        <v>3220250000</v>
      </c>
    </row>
    <row r="1078" spans="1:7">
      <c r="A1078" s="16">
        <v>43626</v>
      </c>
      <c r="B1078" s="17" t="s">
        <v>5198</v>
      </c>
      <c r="C1078" s="17" t="s">
        <v>5199</v>
      </c>
      <c r="D1078" s="17" t="s">
        <v>5200</v>
      </c>
      <c r="E1078" s="17" t="s">
        <v>5201</v>
      </c>
      <c r="F1078" s="17" t="s">
        <v>5201</v>
      </c>
      <c r="G1078">
        <v>3209210000</v>
      </c>
    </row>
    <row r="1079" spans="1:7">
      <c r="A1079" s="16">
        <v>43627</v>
      </c>
      <c r="B1079" s="17" t="s">
        <v>5202</v>
      </c>
      <c r="C1079" s="17" t="s">
        <v>5203</v>
      </c>
      <c r="D1079" s="17" t="s">
        <v>5204</v>
      </c>
      <c r="E1079" s="17" t="s">
        <v>5205</v>
      </c>
      <c r="F1079" s="17" t="s">
        <v>5205</v>
      </c>
      <c r="G1079">
        <v>3548420000</v>
      </c>
    </row>
    <row r="1080" spans="1:7">
      <c r="A1080" s="16">
        <v>43628</v>
      </c>
      <c r="B1080" s="17" t="s">
        <v>5206</v>
      </c>
      <c r="C1080" s="17" t="s">
        <v>5207</v>
      </c>
      <c r="D1080" s="17" t="s">
        <v>5208</v>
      </c>
      <c r="E1080" s="17" t="s">
        <v>5209</v>
      </c>
      <c r="F1080" s="17" t="s">
        <v>5209</v>
      </c>
      <c r="G1080">
        <v>3034130000</v>
      </c>
    </row>
    <row r="1081" spans="1:7">
      <c r="A1081" s="16">
        <v>43629</v>
      </c>
      <c r="B1081" s="17" t="s">
        <v>5210</v>
      </c>
      <c r="C1081" s="17" t="s">
        <v>5211</v>
      </c>
      <c r="D1081" s="17" t="s">
        <v>5054</v>
      </c>
      <c r="E1081" s="17" t="s">
        <v>5212</v>
      </c>
      <c r="F1081" s="17" t="s">
        <v>5212</v>
      </c>
      <c r="G1081">
        <v>3069810000</v>
      </c>
    </row>
    <row r="1082" spans="1:7">
      <c r="A1082" s="16">
        <v>43630</v>
      </c>
      <c r="B1082" s="17" t="s">
        <v>5213</v>
      </c>
      <c r="C1082" s="17" t="s">
        <v>5214</v>
      </c>
      <c r="D1082" s="17" t="s">
        <v>5215</v>
      </c>
      <c r="E1082" s="17" t="s">
        <v>5216</v>
      </c>
      <c r="F1082" s="17" t="s">
        <v>5216</v>
      </c>
      <c r="G1082">
        <v>2922330000</v>
      </c>
    </row>
    <row r="1083" spans="1:7">
      <c r="A1083" s="16">
        <v>43633</v>
      </c>
      <c r="B1083" s="17" t="s">
        <v>5217</v>
      </c>
      <c r="C1083" s="17" t="s">
        <v>5218</v>
      </c>
      <c r="D1083" s="17" t="s">
        <v>5219</v>
      </c>
      <c r="E1083" s="17" t="s">
        <v>5220</v>
      </c>
      <c r="F1083" s="17" t="s">
        <v>5220</v>
      </c>
      <c r="G1083">
        <v>2810140000</v>
      </c>
    </row>
    <row r="1084" spans="1:7">
      <c r="A1084" s="16">
        <v>43634</v>
      </c>
      <c r="B1084" s="17" t="s">
        <v>5221</v>
      </c>
      <c r="C1084" s="17" t="s">
        <v>5222</v>
      </c>
      <c r="D1084" s="17" t="s">
        <v>5223</v>
      </c>
      <c r="E1084" s="17" t="s">
        <v>5224</v>
      </c>
      <c r="F1084" s="17" t="s">
        <v>5224</v>
      </c>
      <c r="G1084">
        <v>3437620000</v>
      </c>
    </row>
    <row r="1085" spans="1:7">
      <c r="A1085" s="16">
        <v>43635</v>
      </c>
      <c r="B1085" s="17" t="s">
        <v>5225</v>
      </c>
      <c r="C1085" s="17" t="s">
        <v>5226</v>
      </c>
      <c r="D1085" s="17" t="s">
        <v>5227</v>
      </c>
      <c r="E1085" s="17" t="s">
        <v>5228</v>
      </c>
      <c r="F1085" s="17" t="s">
        <v>5228</v>
      </c>
      <c r="G1085">
        <v>3287890000</v>
      </c>
    </row>
    <row r="1086" spans="1:7">
      <c r="A1086" s="16">
        <v>43636</v>
      </c>
      <c r="B1086" s="17" t="s">
        <v>5229</v>
      </c>
      <c r="C1086" s="17" t="s">
        <v>5230</v>
      </c>
      <c r="D1086" s="17" t="s">
        <v>5231</v>
      </c>
      <c r="E1086" s="17" t="s">
        <v>5232</v>
      </c>
      <c r="F1086" s="17" t="s">
        <v>5232</v>
      </c>
      <c r="G1086">
        <v>3905940000</v>
      </c>
    </row>
    <row r="1087" spans="1:7">
      <c r="A1087" s="16">
        <v>43637</v>
      </c>
      <c r="B1087" s="17" t="s">
        <v>5233</v>
      </c>
      <c r="C1087" s="17" t="s">
        <v>5234</v>
      </c>
      <c r="D1087" s="17" t="s">
        <v>5235</v>
      </c>
      <c r="E1087" s="17" t="s">
        <v>5236</v>
      </c>
      <c r="F1087" s="17" t="s">
        <v>5236</v>
      </c>
      <c r="G1087">
        <v>5000120000</v>
      </c>
    </row>
    <row r="1088" spans="1:7">
      <c r="A1088" s="16">
        <v>43640</v>
      </c>
      <c r="B1088" s="17" t="s">
        <v>5237</v>
      </c>
      <c r="C1088" s="17" t="s">
        <v>5238</v>
      </c>
      <c r="D1088" s="17" t="s">
        <v>5239</v>
      </c>
      <c r="E1088" s="17" t="s">
        <v>5240</v>
      </c>
      <c r="F1088" s="17" t="s">
        <v>5240</v>
      </c>
      <c r="G1088">
        <v>3136250000</v>
      </c>
    </row>
    <row r="1089" spans="1:7">
      <c r="A1089" s="16">
        <v>43641</v>
      </c>
      <c r="B1089" s="17" t="s">
        <v>5241</v>
      </c>
      <c r="C1089" s="17" t="s">
        <v>5242</v>
      </c>
      <c r="D1089" s="17" t="s">
        <v>5243</v>
      </c>
      <c r="E1089" s="17" t="s">
        <v>5244</v>
      </c>
      <c r="F1089" s="17" t="s">
        <v>5244</v>
      </c>
      <c r="G1089">
        <v>3578050000</v>
      </c>
    </row>
    <row r="1090" spans="1:7">
      <c r="A1090" s="16">
        <v>43642</v>
      </c>
      <c r="B1090" s="17" t="s">
        <v>5245</v>
      </c>
      <c r="C1090" s="17" t="s">
        <v>5246</v>
      </c>
      <c r="D1090" s="17" t="s">
        <v>5247</v>
      </c>
      <c r="E1090" s="17" t="s">
        <v>5248</v>
      </c>
      <c r="F1090" s="17" t="s">
        <v>5248</v>
      </c>
      <c r="G1090">
        <v>3478130000</v>
      </c>
    </row>
    <row r="1091" spans="1:7">
      <c r="A1091" s="16">
        <v>43643</v>
      </c>
      <c r="B1091" s="17" t="s">
        <v>5249</v>
      </c>
      <c r="C1091" s="17" t="s">
        <v>5250</v>
      </c>
      <c r="D1091" s="17" t="s">
        <v>5251</v>
      </c>
      <c r="E1091" s="17" t="s">
        <v>5252</v>
      </c>
      <c r="F1091" s="17" t="s">
        <v>5252</v>
      </c>
      <c r="G1091">
        <v>3122920000</v>
      </c>
    </row>
    <row r="1092" spans="1:7">
      <c r="A1092" s="16">
        <v>43644</v>
      </c>
      <c r="B1092" s="17" t="s">
        <v>5253</v>
      </c>
      <c r="C1092" s="17" t="s">
        <v>5254</v>
      </c>
      <c r="D1092" s="17" t="s">
        <v>5255</v>
      </c>
      <c r="E1092" s="17" t="s">
        <v>5256</v>
      </c>
      <c r="F1092" s="17" t="s">
        <v>5256</v>
      </c>
      <c r="G1092">
        <v>5420700000</v>
      </c>
    </row>
    <row r="1093" spans="1:7">
      <c r="A1093" s="16">
        <v>43647</v>
      </c>
      <c r="B1093" s="17" t="s">
        <v>5257</v>
      </c>
      <c r="C1093" s="17" t="s">
        <v>5258</v>
      </c>
      <c r="D1093" s="17" t="s">
        <v>5259</v>
      </c>
      <c r="E1093" s="17" t="s">
        <v>5260</v>
      </c>
      <c r="F1093" s="17" t="s">
        <v>5260</v>
      </c>
      <c r="G1093">
        <v>3513270000</v>
      </c>
    </row>
    <row r="1094" spans="1:7">
      <c r="A1094" s="16">
        <v>43648</v>
      </c>
      <c r="B1094" s="17" t="s">
        <v>5261</v>
      </c>
      <c r="C1094" s="17" t="s">
        <v>5262</v>
      </c>
      <c r="D1094" s="17" t="s">
        <v>5263</v>
      </c>
      <c r="E1094" s="17" t="s">
        <v>5264</v>
      </c>
      <c r="F1094" s="17" t="s">
        <v>5264</v>
      </c>
      <c r="G1094">
        <v>3206840000</v>
      </c>
    </row>
    <row r="1095" spans="1:7">
      <c r="A1095" s="16">
        <v>43649</v>
      </c>
      <c r="B1095" s="17" t="s">
        <v>5265</v>
      </c>
      <c r="C1095" s="17" t="s">
        <v>5266</v>
      </c>
      <c r="D1095" s="17" t="s">
        <v>5267</v>
      </c>
      <c r="E1095" s="17" t="s">
        <v>5268</v>
      </c>
      <c r="F1095" s="17" t="s">
        <v>5268</v>
      </c>
      <c r="G1095">
        <v>1963720000</v>
      </c>
    </row>
    <row r="1096" spans="1:7">
      <c r="A1096" s="16">
        <v>43651</v>
      </c>
      <c r="B1096" s="17" t="s">
        <v>5269</v>
      </c>
      <c r="C1096" s="17" t="s">
        <v>5270</v>
      </c>
      <c r="D1096" s="17" t="s">
        <v>5271</v>
      </c>
      <c r="E1096" s="17" t="s">
        <v>5272</v>
      </c>
      <c r="F1096" s="17" t="s">
        <v>5272</v>
      </c>
      <c r="G1096">
        <v>2434210000</v>
      </c>
    </row>
    <row r="1097" spans="1:7">
      <c r="A1097" s="16">
        <v>43654</v>
      </c>
      <c r="B1097" s="17" t="s">
        <v>5273</v>
      </c>
      <c r="C1097" s="17" t="s">
        <v>5274</v>
      </c>
      <c r="D1097" s="17" t="s">
        <v>5275</v>
      </c>
      <c r="E1097" s="17" t="s">
        <v>5276</v>
      </c>
      <c r="F1097" s="17" t="s">
        <v>5276</v>
      </c>
      <c r="G1097">
        <v>2904550000</v>
      </c>
    </row>
    <row r="1098" spans="1:7">
      <c r="A1098" s="16">
        <v>43655</v>
      </c>
      <c r="B1098" s="17" t="s">
        <v>5277</v>
      </c>
      <c r="C1098" s="17" t="s">
        <v>5278</v>
      </c>
      <c r="D1098" s="17" t="s">
        <v>5279</v>
      </c>
      <c r="E1098" s="17" t="s">
        <v>5280</v>
      </c>
      <c r="F1098" s="17" t="s">
        <v>5280</v>
      </c>
      <c r="G1098">
        <v>3028210000</v>
      </c>
    </row>
    <row r="1099" spans="1:7">
      <c r="A1099" s="16">
        <v>43656</v>
      </c>
      <c r="B1099" s="17" t="s">
        <v>5281</v>
      </c>
      <c r="C1099" s="17" t="s">
        <v>5282</v>
      </c>
      <c r="D1099" s="17" t="s">
        <v>5283</v>
      </c>
      <c r="E1099" s="17" t="s">
        <v>5284</v>
      </c>
      <c r="F1099" s="17" t="s">
        <v>5284</v>
      </c>
      <c r="G1099">
        <v>3154240000</v>
      </c>
    </row>
    <row r="1100" spans="1:7">
      <c r="A1100" s="16">
        <v>43657</v>
      </c>
      <c r="B1100" s="17" t="s">
        <v>5285</v>
      </c>
      <c r="C1100" s="17" t="s">
        <v>5286</v>
      </c>
      <c r="D1100" s="17" t="s">
        <v>5287</v>
      </c>
      <c r="E1100" s="17" t="s">
        <v>5288</v>
      </c>
      <c r="F1100" s="17" t="s">
        <v>5288</v>
      </c>
      <c r="G1100">
        <v>3154620000</v>
      </c>
    </row>
    <row r="1101" spans="1:7">
      <c r="A1101" s="16">
        <v>43658</v>
      </c>
      <c r="B1101" s="17" t="s">
        <v>5289</v>
      </c>
      <c r="C1101" s="17" t="s">
        <v>5290</v>
      </c>
      <c r="D1101" s="17" t="s">
        <v>5291</v>
      </c>
      <c r="E1101" s="17" t="s">
        <v>5292</v>
      </c>
      <c r="F1101" s="17" t="s">
        <v>5292</v>
      </c>
      <c r="G1101">
        <v>2974960000</v>
      </c>
    </row>
    <row r="1102" spans="1:7">
      <c r="A1102" s="16">
        <v>43661</v>
      </c>
      <c r="B1102" s="17" t="s">
        <v>5293</v>
      </c>
      <c r="C1102" s="17" t="s">
        <v>5293</v>
      </c>
      <c r="D1102" s="17" t="s">
        <v>5294</v>
      </c>
      <c r="E1102" s="17" t="s">
        <v>5295</v>
      </c>
      <c r="F1102" s="17" t="s">
        <v>5295</v>
      </c>
      <c r="G1102">
        <v>2874970000</v>
      </c>
    </row>
    <row r="1103" spans="1:7">
      <c r="A1103" s="16">
        <v>43662</v>
      </c>
      <c r="B1103" s="17" t="s">
        <v>5296</v>
      </c>
      <c r="C1103" s="17" t="s">
        <v>5297</v>
      </c>
      <c r="D1103" s="17" t="s">
        <v>5298</v>
      </c>
      <c r="E1103" s="17" t="s">
        <v>5299</v>
      </c>
      <c r="F1103" s="17" t="s">
        <v>5299</v>
      </c>
      <c r="G1103">
        <v>3290650000</v>
      </c>
    </row>
    <row r="1104" spans="1:7">
      <c r="A1104" s="16">
        <v>43663</v>
      </c>
      <c r="B1104" s="17" t="s">
        <v>5300</v>
      </c>
      <c r="C1104" s="17" t="s">
        <v>5301</v>
      </c>
      <c r="D1104" s="17" t="s">
        <v>5269</v>
      </c>
      <c r="E1104" s="17" t="s">
        <v>5302</v>
      </c>
      <c r="F1104" s="17" t="s">
        <v>5302</v>
      </c>
      <c r="G1104">
        <v>3181600000</v>
      </c>
    </row>
    <row r="1105" spans="1:7">
      <c r="A1105" s="16">
        <v>43664</v>
      </c>
      <c r="B1105" s="17" t="s">
        <v>5303</v>
      </c>
      <c r="C1105" s="17" t="s">
        <v>5304</v>
      </c>
      <c r="D1105" s="17" t="s">
        <v>5305</v>
      </c>
      <c r="E1105" s="17" t="s">
        <v>5306</v>
      </c>
      <c r="F1105" s="17" t="s">
        <v>5306</v>
      </c>
      <c r="G1105">
        <v>3296580000</v>
      </c>
    </row>
    <row r="1106" spans="1:7">
      <c r="A1106" s="16">
        <v>43665</v>
      </c>
      <c r="B1106" s="17" t="s">
        <v>5307</v>
      </c>
      <c r="C1106" s="17" t="s">
        <v>5308</v>
      </c>
      <c r="D1106" s="17" t="s">
        <v>5309</v>
      </c>
      <c r="E1106" s="17" t="s">
        <v>5310</v>
      </c>
      <c r="F1106" s="17" t="s">
        <v>5310</v>
      </c>
      <c r="G1106">
        <v>3260360000</v>
      </c>
    </row>
    <row r="1107" spans="1:7">
      <c r="A1107" s="16">
        <v>43668</v>
      </c>
      <c r="B1107" s="17" t="s">
        <v>5311</v>
      </c>
      <c r="C1107" s="17" t="s">
        <v>5312</v>
      </c>
      <c r="D1107" s="17" t="s">
        <v>5313</v>
      </c>
      <c r="E1107" s="17" t="s">
        <v>5314</v>
      </c>
      <c r="F1107" s="17" t="s">
        <v>5314</v>
      </c>
      <c r="G1107">
        <v>3003720000</v>
      </c>
    </row>
    <row r="1108" spans="1:7">
      <c r="A1108" s="16">
        <v>43669</v>
      </c>
      <c r="B1108" s="17" t="s">
        <v>5315</v>
      </c>
      <c r="C1108" s="17" t="s">
        <v>5316</v>
      </c>
      <c r="D1108" s="17" t="s">
        <v>5317</v>
      </c>
      <c r="E1108" s="17" t="s">
        <v>5318</v>
      </c>
      <c r="F1108" s="17" t="s">
        <v>5318</v>
      </c>
      <c r="G1108">
        <v>3313660000</v>
      </c>
    </row>
    <row r="1109" spans="1:7">
      <c r="A1109" s="16">
        <v>43670</v>
      </c>
      <c r="B1109" s="17" t="s">
        <v>5319</v>
      </c>
      <c r="C1109" s="17" t="s">
        <v>5320</v>
      </c>
      <c r="D1109" s="17" t="s">
        <v>5321</v>
      </c>
      <c r="E1109" s="17" t="s">
        <v>5322</v>
      </c>
      <c r="F1109" s="17" t="s">
        <v>5322</v>
      </c>
      <c r="G1109">
        <v>3428980000</v>
      </c>
    </row>
    <row r="1110" spans="1:7">
      <c r="A1110" s="16">
        <v>43671</v>
      </c>
      <c r="B1110" s="17" t="s">
        <v>5323</v>
      </c>
      <c r="C1110" s="17" t="s">
        <v>5324</v>
      </c>
      <c r="D1110" s="17" t="s">
        <v>5325</v>
      </c>
      <c r="E1110" s="17" t="s">
        <v>5326</v>
      </c>
      <c r="F1110" s="17" t="s">
        <v>5326</v>
      </c>
      <c r="G1110">
        <v>3645270000</v>
      </c>
    </row>
    <row r="1111" spans="1:7">
      <c r="A1111" s="16">
        <v>43672</v>
      </c>
      <c r="B1111" s="17" t="s">
        <v>5327</v>
      </c>
      <c r="C1111" s="17" t="s">
        <v>5328</v>
      </c>
      <c r="D1111" s="17" t="s">
        <v>5329</v>
      </c>
      <c r="E1111" s="17" t="s">
        <v>5330</v>
      </c>
      <c r="F1111" s="17" t="s">
        <v>5330</v>
      </c>
      <c r="G1111">
        <v>3257590000</v>
      </c>
    </row>
    <row r="1112" spans="1:7">
      <c r="A1112" s="16">
        <v>43675</v>
      </c>
      <c r="B1112" s="17" t="s">
        <v>5331</v>
      </c>
      <c r="C1112" s="17" t="s">
        <v>5332</v>
      </c>
      <c r="D1112" s="17" t="s">
        <v>5295</v>
      </c>
      <c r="E1112" s="17" t="s">
        <v>5333</v>
      </c>
      <c r="F1112" s="17" t="s">
        <v>5333</v>
      </c>
      <c r="G1112">
        <v>3203710000</v>
      </c>
    </row>
    <row r="1113" spans="1:7">
      <c r="A1113" s="16">
        <v>43676</v>
      </c>
      <c r="B1113" s="17" t="s">
        <v>5334</v>
      </c>
      <c r="C1113" s="17" t="s">
        <v>5335</v>
      </c>
      <c r="D1113" s="17" t="s">
        <v>5336</v>
      </c>
      <c r="E1113" s="17" t="s">
        <v>5337</v>
      </c>
      <c r="F1113" s="17" t="s">
        <v>5337</v>
      </c>
      <c r="G1113">
        <v>3634330000</v>
      </c>
    </row>
    <row r="1114" spans="1:7">
      <c r="A1114" s="16">
        <v>43677</v>
      </c>
      <c r="B1114" s="17" t="s">
        <v>5338</v>
      </c>
      <c r="C1114" s="17" t="s">
        <v>5339</v>
      </c>
      <c r="D1114" s="17" t="s">
        <v>5340</v>
      </c>
      <c r="E1114" s="17" t="s">
        <v>5341</v>
      </c>
      <c r="F1114" s="17" t="s">
        <v>5341</v>
      </c>
      <c r="G1114">
        <v>4623430000</v>
      </c>
    </row>
    <row r="1115" spans="1:7">
      <c r="A1115" s="16">
        <v>43678</v>
      </c>
      <c r="B1115" s="17" t="s">
        <v>5342</v>
      </c>
      <c r="C1115" s="17" t="s">
        <v>5343</v>
      </c>
      <c r="D1115" s="17" t="s">
        <v>5344</v>
      </c>
      <c r="E1115" s="17" t="s">
        <v>5345</v>
      </c>
      <c r="F1115" s="17" t="s">
        <v>5345</v>
      </c>
      <c r="G1115">
        <v>4762300000</v>
      </c>
    </row>
    <row r="1116" spans="1:7">
      <c r="A1116" s="16">
        <v>43679</v>
      </c>
      <c r="B1116" s="17" t="s">
        <v>5346</v>
      </c>
      <c r="C1116" s="17" t="s">
        <v>5347</v>
      </c>
      <c r="D1116" s="17" t="s">
        <v>5348</v>
      </c>
      <c r="E1116" s="17" t="s">
        <v>5349</v>
      </c>
      <c r="F1116" s="17" t="s">
        <v>5349</v>
      </c>
      <c r="G1116">
        <v>3874660000</v>
      </c>
    </row>
    <row r="1117" spans="1:7">
      <c r="A1117" s="16">
        <v>43682</v>
      </c>
      <c r="B1117" s="17" t="s">
        <v>5350</v>
      </c>
      <c r="C1117" s="17" t="s">
        <v>5350</v>
      </c>
      <c r="D1117" s="17" t="s">
        <v>5351</v>
      </c>
      <c r="E1117" s="17" t="s">
        <v>5352</v>
      </c>
      <c r="F1117" s="17" t="s">
        <v>5352</v>
      </c>
      <c r="G1117">
        <v>4513730000</v>
      </c>
    </row>
    <row r="1118" spans="1:7">
      <c r="A1118" s="16">
        <v>43683</v>
      </c>
      <c r="B1118" s="17" t="s">
        <v>5353</v>
      </c>
      <c r="C1118" s="17" t="s">
        <v>5354</v>
      </c>
      <c r="D1118" s="17" t="s">
        <v>5355</v>
      </c>
      <c r="E1118" s="17" t="s">
        <v>5356</v>
      </c>
      <c r="F1118" s="17" t="s">
        <v>5356</v>
      </c>
      <c r="G1118">
        <v>4154240000</v>
      </c>
    </row>
    <row r="1119" spans="1:7">
      <c r="A1119" s="16">
        <v>43684</v>
      </c>
      <c r="B1119" s="17" t="s">
        <v>5357</v>
      </c>
      <c r="C1119" s="17" t="s">
        <v>5358</v>
      </c>
      <c r="D1119" s="17" t="s">
        <v>5359</v>
      </c>
      <c r="E1119" s="17" t="s">
        <v>5360</v>
      </c>
      <c r="F1119" s="17" t="s">
        <v>5360</v>
      </c>
      <c r="G1119">
        <v>4491750000</v>
      </c>
    </row>
    <row r="1120" spans="1:7">
      <c r="A1120" s="16">
        <v>43685</v>
      </c>
      <c r="B1120" s="17" t="s">
        <v>5361</v>
      </c>
      <c r="C1120" s="17" t="s">
        <v>5362</v>
      </c>
      <c r="D1120" s="17" t="s">
        <v>5363</v>
      </c>
      <c r="E1120" s="17" t="s">
        <v>5364</v>
      </c>
      <c r="F1120" s="17" t="s">
        <v>5364</v>
      </c>
      <c r="G1120">
        <v>4106370000</v>
      </c>
    </row>
    <row r="1121" spans="1:7">
      <c r="A1121" s="16">
        <v>43686</v>
      </c>
      <c r="B1121" s="17" t="s">
        <v>5365</v>
      </c>
      <c r="C1121" s="17" t="s">
        <v>5366</v>
      </c>
      <c r="D1121" s="17" t="s">
        <v>5367</v>
      </c>
      <c r="E1121" s="17" t="s">
        <v>5368</v>
      </c>
      <c r="F1121" s="17" t="s">
        <v>5368</v>
      </c>
      <c r="G1121">
        <v>3350640000</v>
      </c>
    </row>
    <row r="1122" spans="1:7">
      <c r="A1122" s="16">
        <v>43689</v>
      </c>
      <c r="B1122" s="17" t="s">
        <v>5369</v>
      </c>
      <c r="C1122" s="17" t="s">
        <v>5370</v>
      </c>
      <c r="D1122" s="17" t="s">
        <v>5371</v>
      </c>
      <c r="E1122" s="17" t="s">
        <v>5372</v>
      </c>
      <c r="F1122" s="17" t="s">
        <v>5372</v>
      </c>
      <c r="G1122">
        <v>2851630000</v>
      </c>
    </row>
    <row r="1123" spans="1:7">
      <c r="A1123" s="16">
        <v>43690</v>
      </c>
      <c r="B1123" s="17" t="s">
        <v>5373</v>
      </c>
      <c r="C1123" s="17" t="s">
        <v>5374</v>
      </c>
      <c r="D1123" s="17" t="s">
        <v>5375</v>
      </c>
      <c r="E1123" s="17" t="s">
        <v>5376</v>
      </c>
      <c r="F1123" s="17" t="s">
        <v>5376</v>
      </c>
      <c r="G1123">
        <v>3853600000</v>
      </c>
    </row>
    <row r="1124" spans="1:7">
      <c r="A1124" s="16">
        <v>43691</v>
      </c>
      <c r="B1124" s="17" t="s">
        <v>5377</v>
      </c>
      <c r="C1124" s="17" t="s">
        <v>5377</v>
      </c>
      <c r="D1124" s="17" t="s">
        <v>5378</v>
      </c>
      <c r="E1124" s="17" t="s">
        <v>5379</v>
      </c>
      <c r="F1124" s="17" t="s">
        <v>5379</v>
      </c>
      <c r="G1124">
        <v>4312530000</v>
      </c>
    </row>
    <row r="1125" spans="1:7">
      <c r="A1125" s="16">
        <v>43692</v>
      </c>
      <c r="B1125" s="17" t="s">
        <v>5380</v>
      </c>
      <c r="C1125" s="17" t="s">
        <v>5381</v>
      </c>
      <c r="D1125" s="17" t="s">
        <v>5382</v>
      </c>
      <c r="E1125" s="17" t="s">
        <v>5383</v>
      </c>
      <c r="F1125" s="17" t="s">
        <v>5383</v>
      </c>
      <c r="G1125">
        <v>4038000000</v>
      </c>
    </row>
    <row r="1126" spans="1:7">
      <c r="A1126" s="16">
        <v>43693</v>
      </c>
      <c r="B1126" s="17" t="s">
        <v>5384</v>
      </c>
      <c r="C1126" s="17" t="s">
        <v>5385</v>
      </c>
      <c r="D1126" s="17" t="s">
        <v>5384</v>
      </c>
      <c r="E1126" s="17" t="s">
        <v>5386</v>
      </c>
      <c r="F1126" s="17" t="s">
        <v>5386</v>
      </c>
      <c r="G1126">
        <v>3498150000</v>
      </c>
    </row>
    <row r="1127" spans="1:7">
      <c r="A1127" s="16">
        <v>43696</v>
      </c>
      <c r="B1127" s="17" t="s">
        <v>5387</v>
      </c>
      <c r="C1127" s="17" t="s">
        <v>5388</v>
      </c>
      <c r="D1127" s="17" t="s">
        <v>5387</v>
      </c>
      <c r="E1127" s="17" t="s">
        <v>5389</v>
      </c>
      <c r="F1127" s="17" t="s">
        <v>5389</v>
      </c>
      <c r="G1127">
        <v>3212880000</v>
      </c>
    </row>
    <row r="1128" spans="1:7">
      <c r="A1128" s="16">
        <v>43697</v>
      </c>
      <c r="B1128" s="17" t="s">
        <v>5390</v>
      </c>
      <c r="C1128" s="17" t="s">
        <v>5391</v>
      </c>
      <c r="D1128" s="17" t="s">
        <v>5392</v>
      </c>
      <c r="E1128" s="17" t="s">
        <v>5393</v>
      </c>
      <c r="F1128" s="17" t="s">
        <v>5393</v>
      </c>
      <c r="G1128">
        <v>3066300000</v>
      </c>
    </row>
    <row r="1129" spans="1:7">
      <c r="A1129" s="16">
        <v>43698</v>
      </c>
      <c r="B1129" s="17" t="s">
        <v>5394</v>
      </c>
      <c r="C1129" s="17" t="s">
        <v>5395</v>
      </c>
      <c r="D1129" s="17" t="s">
        <v>4561</v>
      </c>
      <c r="E1129" s="17" t="s">
        <v>5396</v>
      </c>
      <c r="F1129" s="17" t="s">
        <v>5396</v>
      </c>
      <c r="G1129">
        <v>3011190000</v>
      </c>
    </row>
    <row r="1130" spans="1:7">
      <c r="A1130" s="16">
        <v>43699</v>
      </c>
      <c r="B1130" s="17" t="s">
        <v>5397</v>
      </c>
      <c r="C1130" s="17" t="s">
        <v>5398</v>
      </c>
      <c r="D1130" s="17" t="s">
        <v>5399</v>
      </c>
      <c r="E1130" s="17" t="s">
        <v>5400</v>
      </c>
      <c r="F1130" s="17" t="s">
        <v>5400</v>
      </c>
      <c r="G1130">
        <v>2890880000</v>
      </c>
    </row>
    <row r="1131" spans="1:7">
      <c r="A1131" s="16">
        <v>43700</v>
      </c>
      <c r="B1131" s="17" t="s">
        <v>5401</v>
      </c>
      <c r="C1131" s="17" t="s">
        <v>5402</v>
      </c>
      <c r="D1131" s="17" t="s">
        <v>5403</v>
      </c>
      <c r="E1131" s="17" t="s">
        <v>5404</v>
      </c>
      <c r="F1131" s="17" t="s">
        <v>5404</v>
      </c>
      <c r="G1131">
        <v>3937300000</v>
      </c>
    </row>
    <row r="1132" spans="1:7">
      <c r="A1132" s="16">
        <v>43703</v>
      </c>
      <c r="B1132" s="17" t="s">
        <v>5405</v>
      </c>
      <c r="C1132" s="17" t="s">
        <v>5406</v>
      </c>
      <c r="D1132" s="17" t="s">
        <v>5407</v>
      </c>
      <c r="E1132" s="17" t="s">
        <v>5408</v>
      </c>
      <c r="F1132" s="17" t="s">
        <v>5408</v>
      </c>
      <c r="G1132">
        <v>2857600000</v>
      </c>
    </row>
    <row r="1133" spans="1:7">
      <c r="A1133" s="16">
        <v>43704</v>
      </c>
      <c r="B1133" s="17" t="s">
        <v>5409</v>
      </c>
      <c r="C1133" s="17" t="s">
        <v>5410</v>
      </c>
      <c r="D1133" s="17" t="s">
        <v>5411</v>
      </c>
      <c r="E1133" s="17" t="s">
        <v>5412</v>
      </c>
      <c r="F1133" s="17" t="s">
        <v>5412</v>
      </c>
      <c r="G1133">
        <v>3533630000</v>
      </c>
    </row>
    <row r="1134" spans="1:7">
      <c r="A1134" s="16">
        <v>43705</v>
      </c>
      <c r="B1134" s="17" t="s">
        <v>5413</v>
      </c>
      <c r="C1134" s="17" t="s">
        <v>5414</v>
      </c>
      <c r="D1134" s="17" t="s">
        <v>5415</v>
      </c>
      <c r="E1134" s="17" t="s">
        <v>5416</v>
      </c>
      <c r="F1134" s="17" t="s">
        <v>5416</v>
      </c>
      <c r="G1134">
        <v>3097420000</v>
      </c>
    </row>
    <row r="1135" spans="1:7">
      <c r="A1135" s="16">
        <v>43706</v>
      </c>
      <c r="B1135" s="17" t="s">
        <v>5417</v>
      </c>
      <c r="C1135" s="17" t="s">
        <v>5418</v>
      </c>
      <c r="D1135" s="17" t="s">
        <v>5419</v>
      </c>
      <c r="E1135" s="17" t="s">
        <v>5420</v>
      </c>
      <c r="F1135" s="17" t="s">
        <v>5420</v>
      </c>
      <c r="G1135">
        <v>3176190000</v>
      </c>
    </row>
    <row r="1136" spans="1:7">
      <c r="A1136" s="16">
        <v>43707</v>
      </c>
      <c r="B1136" s="17" t="s">
        <v>5421</v>
      </c>
      <c r="C1136" s="17" t="s">
        <v>5422</v>
      </c>
      <c r="D1136" s="17" t="s">
        <v>5423</v>
      </c>
      <c r="E1136" s="17" t="s">
        <v>5228</v>
      </c>
      <c r="F1136" s="17" t="s">
        <v>5228</v>
      </c>
      <c r="G1136">
        <v>3008450000</v>
      </c>
    </row>
    <row r="1137" spans="1:7">
      <c r="A1137" s="16">
        <v>43711</v>
      </c>
      <c r="B1137" s="17" t="s">
        <v>5424</v>
      </c>
      <c r="C1137" s="17" t="s">
        <v>5425</v>
      </c>
      <c r="D1137" s="17" t="s">
        <v>5426</v>
      </c>
      <c r="E1137" s="17" t="s">
        <v>5427</v>
      </c>
      <c r="F1137" s="17" t="s">
        <v>5427</v>
      </c>
      <c r="G1137">
        <v>3426790000</v>
      </c>
    </row>
    <row r="1138" spans="1:7">
      <c r="A1138" s="16">
        <v>43712</v>
      </c>
      <c r="B1138" s="17" t="s">
        <v>5428</v>
      </c>
      <c r="C1138" s="17" t="s">
        <v>5429</v>
      </c>
      <c r="D1138" s="17" t="s">
        <v>5430</v>
      </c>
      <c r="E1138" s="17" t="s">
        <v>5431</v>
      </c>
      <c r="F1138" s="17" t="s">
        <v>5431</v>
      </c>
      <c r="G1138">
        <v>3163260000</v>
      </c>
    </row>
    <row r="1139" spans="1:7">
      <c r="A1139" s="16">
        <v>43713</v>
      </c>
      <c r="B1139" s="17" t="s">
        <v>5432</v>
      </c>
      <c r="C1139" s="17" t="s">
        <v>5433</v>
      </c>
      <c r="D1139" s="17" t="s">
        <v>5432</v>
      </c>
      <c r="E1139" s="17" t="s">
        <v>5434</v>
      </c>
      <c r="F1139" s="17" t="s">
        <v>5434</v>
      </c>
      <c r="G1139">
        <v>3890700000</v>
      </c>
    </row>
    <row r="1140" spans="1:7">
      <c r="A1140" s="16">
        <v>43714</v>
      </c>
      <c r="B1140" s="17" t="s">
        <v>5435</v>
      </c>
      <c r="C1140" s="17" t="s">
        <v>5314</v>
      </c>
      <c r="D1140" s="17" t="s">
        <v>5436</v>
      </c>
      <c r="E1140" s="17" t="s">
        <v>5437</v>
      </c>
      <c r="F1140" s="17" t="s">
        <v>5437</v>
      </c>
      <c r="G1140">
        <v>3208280000</v>
      </c>
    </row>
    <row r="1141" spans="1:7">
      <c r="A1141" s="16">
        <v>43717</v>
      </c>
      <c r="B1141" s="17" t="s">
        <v>5438</v>
      </c>
      <c r="C1141" s="17" t="s">
        <v>5439</v>
      </c>
      <c r="D1141" s="17" t="s">
        <v>5440</v>
      </c>
      <c r="E1141" s="17" t="s">
        <v>5441</v>
      </c>
      <c r="F1141" s="17" t="s">
        <v>5441</v>
      </c>
      <c r="G1141">
        <v>4002890000</v>
      </c>
    </row>
    <row r="1142" spans="1:7">
      <c r="A1142" s="16">
        <v>43718</v>
      </c>
      <c r="B1142" s="17" t="s">
        <v>5442</v>
      </c>
      <c r="C1142" s="17" t="s">
        <v>5443</v>
      </c>
      <c r="D1142" s="17" t="s">
        <v>5444</v>
      </c>
      <c r="E1142" s="17" t="s">
        <v>5443</v>
      </c>
      <c r="F1142" s="17" t="s">
        <v>5443</v>
      </c>
      <c r="G1142">
        <v>4390770000</v>
      </c>
    </row>
    <row r="1143" spans="1:7">
      <c r="A1143" s="16">
        <v>43719</v>
      </c>
      <c r="B1143" s="17" t="s">
        <v>5445</v>
      </c>
      <c r="C1143" s="17" t="s">
        <v>5446</v>
      </c>
      <c r="D1143" s="17" t="s">
        <v>5447</v>
      </c>
      <c r="E1143" s="17" t="s">
        <v>5446</v>
      </c>
      <c r="F1143" s="17" t="s">
        <v>5446</v>
      </c>
      <c r="G1143">
        <v>3927550000</v>
      </c>
    </row>
    <row r="1144" spans="1:7">
      <c r="A1144" s="16">
        <v>43720</v>
      </c>
      <c r="B1144" s="17" t="s">
        <v>5448</v>
      </c>
      <c r="C1144" s="17" t="s">
        <v>5449</v>
      </c>
      <c r="D1144" s="17" t="s">
        <v>5450</v>
      </c>
      <c r="E1144" s="17" t="s">
        <v>5451</v>
      </c>
      <c r="F1144" s="17" t="s">
        <v>5451</v>
      </c>
      <c r="G1144">
        <v>3791860000</v>
      </c>
    </row>
    <row r="1145" spans="1:7">
      <c r="A1145" s="16">
        <v>43721</v>
      </c>
      <c r="B1145" s="17" t="s">
        <v>5452</v>
      </c>
      <c r="C1145" s="17" t="s">
        <v>5453</v>
      </c>
      <c r="D1145" s="17" t="s">
        <v>5454</v>
      </c>
      <c r="E1145" s="17" t="s">
        <v>5455</v>
      </c>
      <c r="F1145" s="17" t="s">
        <v>5455</v>
      </c>
      <c r="G1145">
        <v>3520060000</v>
      </c>
    </row>
    <row r="1146" spans="1:7">
      <c r="A1146" s="16">
        <v>43724</v>
      </c>
      <c r="B1146" s="17" t="s">
        <v>5456</v>
      </c>
      <c r="C1146" s="17" t="s">
        <v>5457</v>
      </c>
      <c r="D1146" s="17" t="s">
        <v>5458</v>
      </c>
      <c r="E1146" s="17" t="s">
        <v>5459</v>
      </c>
      <c r="F1146" s="17" t="s">
        <v>5459</v>
      </c>
      <c r="G1146">
        <v>4274640000</v>
      </c>
    </row>
    <row r="1147" spans="1:7">
      <c r="A1147" s="16">
        <v>43725</v>
      </c>
      <c r="B1147" s="17" t="s">
        <v>5460</v>
      </c>
      <c r="C1147" s="17" t="s">
        <v>5461</v>
      </c>
      <c r="D1147" s="17" t="s">
        <v>5462</v>
      </c>
      <c r="E1147" s="17" t="s">
        <v>5463</v>
      </c>
      <c r="F1147" s="17" t="s">
        <v>5463</v>
      </c>
      <c r="G1147">
        <v>3671840000</v>
      </c>
    </row>
    <row r="1148" spans="1:7">
      <c r="A1148" s="16">
        <v>43726</v>
      </c>
      <c r="B1148" s="17" t="s">
        <v>5464</v>
      </c>
      <c r="C1148" s="17" t="s">
        <v>5465</v>
      </c>
      <c r="D1148" s="17" t="s">
        <v>5466</v>
      </c>
      <c r="E1148" s="17" t="s">
        <v>5467</v>
      </c>
      <c r="F1148" s="17" t="s">
        <v>5467</v>
      </c>
      <c r="G1148">
        <v>3435540000</v>
      </c>
    </row>
    <row r="1149" spans="1:7">
      <c r="A1149" s="16">
        <v>43727</v>
      </c>
      <c r="B1149" s="17" t="s">
        <v>5468</v>
      </c>
      <c r="C1149" s="17" t="s">
        <v>5469</v>
      </c>
      <c r="D1149" s="17" t="s">
        <v>5470</v>
      </c>
      <c r="E1149" s="17" t="s">
        <v>5471</v>
      </c>
      <c r="F1149" s="17" t="s">
        <v>5471</v>
      </c>
      <c r="G1149">
        <v>3251290000</v>
      </c>
    </row>
    <row r="1150" spans="1:7">
      <c r="A1150" s="16">
        <v>43728</v>
      </c>
      <c r="B1150" s="17" t="s">
        <v>5472</v>
      </c>
      <c r="C1150" s="17" t="s">
        <v>5473</v>
      </c>
      <c r="D1150" s="17" t="s">
        <v>5474</v>
      </c>
      <c r="E1150" s="17" t="s">
        <v>5475</v>
      </c>
      <c r="F1150" s="17" t="s">
        <v>5475</v>
      </c>
      <c r="G1150">
        <v>6094740000</v>
      </c>
    </row>
    <row r="1151" spans="1:7">
      <c r="A1151" s="16">
        <v>43731</v>
      </c>
      <c r="B1151" s="17" t="s">
        <v>5476</v>
      </c>
      <c r="C1151" s="17" t="s">
        <v>5477</v>
      </c>
      <c r="D1151" s="17" t="s">
        <v>5478</v>
      </c>
      <c r="E1151" s="17" t="s">
        <v>5479</v>
      </c>
      <c r="F1151" s="17" t="s">
        <v>5479</v>
      </c>
      <c r="G1151">
        <v>3186590000</v>
      </c>
    </row>
    <row r="1152" spans="1:7">
      <c r="A1152" s="16">
        <v>43732</v>
      </c>
      <c r="B1152" s="17" t="s">
        <v>5480</v>
      </c>
      <c r="C1152" s="17" t="s">
        <v>5481</v>
      </c>
      <c r="D1152" s="17" t="s">
        <v>5482</v>
      </c>
      <c r="E1152" s="17" t="s">
        <v>5483</v>
      </c>
      <c r="F1152" s="17" t="s">
        <v>5483</v>
      </c>
      <c r="G1152">
        <v>3868160000</v>
      </c>
    </row>
    <row r="1153" spans="1:7">
      <c r="A1153" s="16">
        <v>43733</v>
      </c>
      <c r="B1153" s="17" t="s">
        <v>5484</v>
      </c>
      <c r="C1153" s="17" t="s">
        <v>5485</v>
      </c>
      <c r="D1153" s="17" t="s">
        <v>5486</v>
      </c>
      <c r="E1153" s="17" t="s">
        <v>5487</v>
      </c>
      <c r="F1153" s="17" t="s">
        <v>5487</v>
      </c>
      <c r="G1153">
        <v>3318870000</v>
      </c>
    </row>
    <row r="1154" spans="1:7">
      <c r="A1154" s="16">
        <v>43734</v>
      </c>
      <c r="B1154" s="17" t="s">
        <v>5488</v>
      </c>
      <c r="C1154" s="17" t="s">
        <v>5489</v>
      </c>
      <c r="D1154" s="17" t="s">
        <v>5490</v>
      </c>
      <c r="E1154" s="17" t="s">
        <v>5491</v>
      </c>
      <c r="F1154" s="17" t="s">
        <v>5491</v>
      </c>
      <c r="G1154">
        <v>3077240000</v>
      </c>
    </row>
    <row r="1155" spans="1:7">
      <c r="A1155" s="16">
        <v>43735</v>
      </c>
      <c r="B1155" s="17" t="s">
        <v>5492</v>
      </c>
      <c r="C1155" s="17" t="s">
        <v>5493</v>
      </c>
      <c r="D1155" s="17" t="s">
        <v>5494</v>
      </c>
      <c r="E1155" s="17" t="s">
        <v>5495</v>
      </c>
      <c r="F1155" s="17" t="s">
        <v>5495</v>
      </c>
      <c r="G1155">
        <v>3243650000</v>
      </c>
    </row>
    <row r="1156" spans="1:7">
      <c r="A1156" s="16">
        <v>43738</v>
      </c>
      <c r="B1156" s="17" t="s">
        <v>5496</v>
      </c>
      <c r="C1156" s="17" t="s">
        <v>5497</v>
      </c>
      <c r="D1156" s="17" t="s">
        <v>5496</v>
      </c>
      <c r="E1156" s="17" t="s">
        <v>5498</v>
      </c>
      <c r="F1156" s="17" t="s">
        <v>5498</v>
      </c>
      <c r="G1156">
        <v>3247610000</v>
      </c>
    </row>
    <row r="1157" spans="1:7">
      <c r="A1157" s="16">
        <v>43739</v>
      </c>
      <c r="B1157" s="17" t="s">
        <v>5499</v>
      </c>
      <c r="C1157" s="17" t="s">
        <v>5500</v>
      </c>
      <c r="D1157" s="17" t="s">
        <v>5501</v>
      </c>
      <c r="E1157" s="17" t="s">
        <v>5502</v>
      </c>
      <c r="F1157" s="17" t="s">
        <v>5502</v>
      </c>
      <c r="G1157">
        <v>3558040000</v>
      </c>
    </row>
    <row r="1158" spans="1:7">
      <c r="A1158" s="16">
        <v>43740</v>
      </c>
      <c r="B1158" s="17" t="s">
        <v>5503</v>
      </c>
      <c r="C1158" s="17" t="s">
        <v>5503</v>
      </c>
      <c r="D1158" s="17" t="s">
        <v>5504</v>
      </c>
      <c r="E1158" s="17" t="s">
        <v>5505</v>
      </c>
      <c r="F1158" s="17" t="s">
        <v>5505</v>
      </c>
      <c r="G1158">
        <v>3912520000</v>
      </c>
    </row>
    <row r="1159" spans="1:7">
      <c r="A1159" s="16">
        <v>43741</v>
      </c>
      <c r="B1159" s="17" t="s">
        <v>5506</v>
      </c>
      <c r="C1159" s="17" t="s">
        <v>5507</v>
      </c>
      <c r="D1159" s="17" t="s">
        <v>5508</v>
      </c>
      <c r="E1159" s="17" t="s">
        <v>5509</v>
      </c>
      <c r="F1159" s="17" t="s">
        <v>5509</v>
      </c>
      <c r="G1159">
        <v>3503640000</v>
      </c>
    </row>
    <row r="1160" spans="1:7">
      <c r="A1160" s="16">
        <v>43742</v>
      </c>
      <c r="B1160" s="17" t="s">
        <v>5510</v>
      </c>
      <c r="C1160" s="17" t="s">
        <v>5511</v>
      </c>
      <c r="D1160" s="17" t="s">
        <v>5510</v>
      </c>
      <c r="E1160" s="17" t="s">
        <v>5512</v>
      </c>
      <c r="F1160" s="17" t="s">
        <v>5512</v>
      </c>
      <c r="G1160">
        <v>2990830000</v>
      </c>
    </row>
    <row r="1161" spans="1:7">
      <c r="A1161" s="16">
        <v>43745</v>
      </c>
      <c r="B1161" s="17" t="s">
        <v>5513</v>
      </c>
      <c r="C1161" s="17" t="s">
        <v>5514</v>
      </c>
      <c r="D1161" s="17" t="s">
        <v>5515</v>
      </c>
      <c r="E1161" s="17" t="s">
        <v>5516</v>
      </c>
      <c r="F1161" s="17" t="s">
        <v>5516</v>
      </c>
      <c r="G1161">
        <v>2940140000</v>
      </c>
    </row>
    <row r="1162" spans="1:7">
      <c r="A1162" s="16">
        <v>43746</v>
      </c>
      <c r="B1162" s="17" t="s">
        <v>5517</v>
      </c>
      <c r="C1162" s="17" t="s">
        <v>5518</v>
      </c>
      <c r="D1162" s="17" t="s">
        <v>5519</v>
      </c>
      <c r="E1162" s="17" t="s">
        <v>5520</v>
      </c>
      <c r="F1162" s="17" t="s">
        <v>5520</v>
      </c>
      <c r="G1162">
        <v>3356450000</v>
      </c>
    </row>
    <row r="1163" spans="1:7">
      <c r="A1163" s="16">
        <v>43747</v>
      </c>
      <c r="B1163" s="17" t="s">
        <v>5521</v>
      </c>
      <c r="C1163" s="17" t="s">
        <v>5522</v>
      </c>
      <c r="D1163" s="17" t="s">
        <v>5058</v>
      </c>
      <c r="E1163" s="17" t="s">
        <v>5523</v>
      </c>
      <c r="F1163" s="17" t="s">
        <v>5523</v>
      </c>
      <c r="G1163">
        <v>2726820000</v>
      </c>
    </row>
    <row r="1164" spans="1:7">
      <c r="A1164" s="16">
        <v>43748</v>
      </c>
      <c r="B1164" s="17" t="s">
        <v>5524</v>
      </c>
      <c r="C1164" s="17" t="s">
        <v>5525</v>
      </c>
      <c r="D1164" s="17" t="s">
        <v>5526</v>
      </c>
      <c r="E1164" s="17" t="s">
        <v>5527</v>
      </c>
      <c r="F1164" s="17" t="s">
        <v>5527</v>
      </c>
      <c r="G1164">
        <v>3217250000</v>
      </c>
    </row>
    <row r="1165" spans="1:7">
      <c r="A1165" s="16">
        <v>43749</v>
      </c>
      <c r="B1165" s="17" t="s">
        <v>5528</v>
      </c>
      <c r="C1165" s="17" t="s">
        <v>5529</v>
      </c>
      <c r="D1165" s="17" t="s">
        <v>5528</v>
      </c>
      <c r="E1165" s="17" t="s">
        <v>5530</v>
      </c>
      <c r="F1165" s="17" t="s">
        <v>5530</v>
      </c>
      <c r="G1165">
        <v>3580460000</v>
      </c>
    </row>
    <row r="1166" spans="1:7">
      <c r="A1166" s="16">
        <v>43752</v>
      </c>
      <c r="B1166" s="17" t="s">
        <v>5531</v>
      </c>
      <c r="C1166" s="17" t="s">
        <v>5532</v>
      </c>
      <c r="D1166" s="17" t="s">
        <v>5533</v>
      </c>
      <c r="E1166" s="17" t="s">
        <v>5534</v>
      </c>
      <c r="F1166" s="17" t="s">
        <v>5534</v>
      </c>
      <c r="G1166">
        <v>2557020000</v>
      </c>
    </row>
    <row r="1167" spans="1:7">
      <c r="A1167" s="16">
        <v>43753</v>
      </c>
      <c r="B1167" s="17" t="s">
        <v>5535</v>
      </c>
      <c r="C1167" s="17" t="s">
        <v>5536</v>
      </c>
      <c r="D1167" s="17" t="s">
        <v>5535</v>
      </c>
      <c r="E1167" s="17" t="s">
        <v>5537</v>
      </c>
      <c r="F1167" s="17" t="s">
        <v>5537</v>
      </c>
      <c r="G1167">
        <v>3340740000</v>
      </c>
    </row>
    <row r="1168" spans="1:7">
      <c r="A1168" s="16">
        <v>43754</v>
      </c>
      <c r="B1168" s="17" t="s">
        <v>5538</v>
      </c>
      <c r="C1168" s="17" t="s">
        <v>5539</v>
      </c>
      <c r="D1168" s="17" t="s">
        <v>5540</v>
      </c>
      <c r="E1168" s="17" t="s">
        <v>5541</v>
      </c>
      <c r="F1168" s="17" t="s">
        <v>5541</v>
      </c>
      <c r="G1168">
        <v>3222570000</v>
      </c>
    </row>
    <row r="1169" spans="1:7">
      <c r="A1169" s="16">
        <v>43755</v>
      </c>
      <c r="B1169" s="17" t="s">
        <v>5542</v>
      </c>
      <c r="C1169" s="17" t="s">
        <v>5543</v>
      </c>
      <c r="D1169" s="17" t="s">
        <v>5544</v>
      </c>
      <c r="E1169" s="17" t="s">
        <v>5545</v>
      </c>
      <c r="F1169" s="17" t="s">
        <v>5545</v>
      </c>
      <c r="G1169">
        <v>3115960000</v>
      </c>
    </row>
    <row r="1170" spans="1:7">
      <c r="A1170" s="16">
        <v>43756</v>
      </c>
      <c r="B1170" s="17" t="s">
        <v>5546</v>
      </c>
      <c r="C1170" s="17" t="s">
        <v>5547</v>
      </c>
      <c r="D1170" s="17" t="s">
        <v>5548</v>
      </c>
      <c r="E1170" s="17" t="s">
        <v>5549</v>
      </c>
      <c r="F1170" s="17" t="s">
        <v>5549</v>
      </c>
      <c r="G1170">
        <v>3264290000</v>
      </c>
    </row>
    <row r="1171" spans="1:7">
      <c r="A1171" s="16">
        <v>43759</v>
      </c>
      <c r="B1171" s="17" t="s">
        <v>5550</v>
      </c>
      <c r="C1171" s="17" t="s">
        <v>5551</v>
      </c>
      <c r="D1171" s="17" t="s">
        <v>5552</v>
      </c>
      <c r="E1171" s="17" t="s">
        <v>5553</v>
      </c>
      <c r="F1171" s="17" t="s">
        <v>5553</v>
      </c>
      <c r="G1171">
        <v>3271620000</v>
      </c>
    </row>
    <row r="1172" spans="1:7">
      <c r="A1172" s="16">
        <v>43760</v>
      </c>
      <c r="B1172" s="17" t="s">
        <v>5554</v>
      </c>
      <c r="C1172" s="17" t="s">
        <v>5555</v>
      </c>
      <c r="D1172" s="17" t="s">
        <v>5556</v>
      </c>
      <c r="E1172" s="17" t="s">
        <v>5557</v>
      </c>
      <c r="F1172" s="17" t="s">
        <v>5557</v>
      </c>
      <c r="G1172">
        <v>3523890000</v>
      </c>
    </row>
    <row r="1173" spans="1:7">
      <c r="A1173" s="16">
        <v>43761</v>
      </c>
      <c r="B1173" s="17" t="s">
        <v>5558</v>
      </c>
      <c r="C1173" s="17" t="s">
        <v>5559</v>
      </c>
      <c r="D1173" s="17" t="s">
        <v>5560</v>
      </c>
      <c r="E1173" s="17" t="s">
        <v>5561</v>
      </c>
      <c r="F1173" s="17" t="s">
        <v>5561</v>
      </c>
      <c r="G1173">
        <v>3392870000</v>
      </c>
    </row>
    <row r="1174" spans="1:7">
      <c r="A1174" s="16">
        <v>43762</v>
      </c>
      <c r="B1174" s="17" t="s">
        <v>5562</v>
      </c>
      <c r="C1174" s="17" t="s">
        <v>5563</v>
      </c>
      <c r="D1174" s="17" t="s">
        <v>5564</v>
      </c>
      <c r="E1174" s="17" t="s">
        <v>5565</v>
      </c>
      <c r="F1174" s="17" t="s">
        <v>5565</v>
      </c>
      <c r="G1174">
        <v>3692600000</v>
      </c>
    </row>
    <row r="1175" spans="1:7">
      <c r="A1175" s="16">
        <v>43763</v>
      </c>
      <c r="B1175" s="17" t="s">
        <v>5566</v>
      </c>
      <c r="C1175" s="17" t="s">
        <v>5567</v>
      </c>
      <c r="D1175" s="17" t="s">
        <v>5568</v>
      </c>
      <c r="E1175" s="17" t="s">
        <v>5569</v>
      </c>
      <c r="F1175" s="17" t="s">
        <v>5569</v>
      </c>
      <c r="G1175">
        <v>3370370000</v>
      </c>
    </row>
    <row r="1176" spans="1:7">
      <c r="A1176" s="16">
        <v>43766</v>
      </c>
      <c r="B1176" s="17" t="s">
        <v>5570</v>
      </c>
      <c r="C1176" s="17" t="s">
        <v>5571</v>
      </c>
      <c r="D1176" s="17" t="s">
        <v>5570</v>
      </c>
      <c r="E1176" s="17" t="s">
        <v>5572</v>
      </c>
      <c r="F1176" s="17" t="s">
        <v>5572</v>
      </c>
      <c r="G1176">
        <v>3521230000</v>
      </c>
    </row>
    <row r="1177" spans="1:7">
      <c r="A1177" s="16">
        <v>43767</v>
      </c>
      <c r="B1177" s="17" t="s">
        <v>5573</v>
      </c>
      <c r="C1177" s="17" t="s">
        <v>5574</v>
      </c>
      <c r="D1177" s="17" t="s">
        <v>5575</v>
      </c>
      <c r="E1177" s="17" t="s">
        <v>5576</v>
      </c>
      <c r="F1177" s="17" t="s">
        <v>5576</v>
      </c>
      <c r="G1177">
        <v>3589930000</v>
      </c>
    </row>
    <row r="1178" spans="1:7">
      <c r="A1178" s="16">
        <v>43768</v>
      </c>
      <c r="B1178" s="17" t="s">
        <v>5577</v>
      </c>
      <c r="C1178" s="17" t="s">
        <v>5578</v>
      </c>
      <c r="D1178" s="17" t="s">
        <v>5579</v>
      </c>
      <c r="E1178" s="17" t="s">
        <v>5580</v>
      </c>
      <c r="F1178" s="17" t="s">
        <v>5580</v>
      </c>
      <c r="G1178">
        <v>3776030000</v>
      </c>
    </row>
    <row r="1179" spans="1:7">
      <c r="A1179" s="16">
        <v>43769</v>
      </c>
      <c r="B1179" s="17" t="s">
        <v>5581</v>
      </c>
      <c r="C1179" s="17" t="s">
        <v>5581</v>
      </c>
      <c r="D1179" s="17" t="s">
        <v>5582</v>
      </c>
      <c r="E1179" s="17" t="s">
        <v>5583</v>
      </c>
      <c r="F1179" s="17" t="s">
        <v>5583</v>
      </c>
      <c r="G1179">
        <v>4139280000</v>
      </c>
    </row>
    <row r="1180" spans="1:7">
      <c r="A1180" s="16">
        <v>43770</v>
      </c>
      <c r="B1180" s="17" t="s">
        <v>5584</v>
      </c>
      <c r="C1180" s="17" t="s">
        <v>5585</v>
      </c>
      <c r="D1180" s="17" t="s">
        <v>5584</v>
      </c>
      <c r="E1180" s="17" t="s">
        <v>5586</v>
      </c>
      <c r="F1180" s="17" t="s">
        <v>5586</v>
      </c>
      <c r="G1180">
        <v>3930200000</v>
      </c>
    </row>
    <row r="1181" spans="1:7">
      <c r="A1181" s="16">
        <v>43773</v>
      </c>
      <c r="B1181" s="17" t="s">
        <v>5587</v>
      </c>
      <c r="C1181" s="17" t="s">
        <v>5588</v>
      </c>
      <c r="D1181" s="17" t="s">
        <v>5589</v>
      </c>
      <c r="E1181" s="17" t="s">
        <v>5590</v>
      </c>
      <c r="F1181" s="17" t="s">
        <v>5590</v>
      </c>
      <c r="G1181">
        <v>4146850000</v>
      </c>
    </row>
    <row r="1182" spans="1:7">
      <c r="A1182" s="16">
        <v>43774</v>
      </c>
      <c r="B1182" s="17" t="s">
        <v>5591</v>
      </c>
      <c r="C1182" s="17" t="s">
        <v>5592</v>
      </c>
      <c r="D1182" s="17" t="s">
        <v>5593</v>
      </c>
      <c r="E1182" s="17" t="s">
        <v>5594</v>
      </c>
      <c r="F1182" s="17" t="s">
        <v>5594</v>
      </c>
      <c r="G1182">
        <v>4486130000</v>
      </c>
    </row>
    <row r="1183" spans="1:7">
      <c r="A1183" s="16">
        <v>43775</v>
      </c>
      <c r="B1183" s="17" t="s">
        <v>5595</v>
      </c>
      <c r="C1183" s="17" t="s">
        <v>5596</v>
      </c>
      <c r="D1183" s="17" t="s">
        <v>5597</v>
      </c>
      <c r="E1183" s="17" t="s">
        <v>5598</v>
      </c>
      <c r="F1183" s="17" t="s">
        <v>5598</v>
      </c>
      <c r="G1183">
        <v>4458190000</v>
      </c>
    </row>
    <row r="1184" spans="1:7">
      <c r="A1184" s="16">
        <v>43776</v>
      </c>
      <c r="B1184" s="17" t="s">
        <v>5599</v>
      </c>
      <c r="C1184" s="17" t="s">
        <v>5600</v>
      </c>
      <c r="D1184" s="17" t="s">
        <v>5601</v>
      </c>
      <c r="E1184" s="17" t="s">
        <v>5602</v>
      </c>
      <c r="F1184" s="17" t="s">
        <v>5602</v>
      </c>
      <c r="G1184">
        <v>4144640000</v>
      </c>
    </row>
    <row r="1185" spans="1:7">
      <c r="A1185" s="16">
        <v>43777</v>
      </c>
      <c r="B1185" s="17" t="s">
        <v>5603</v>
      </c>
      <c r="C1185" s="17" t="s">
        <v>5604</v>
      </c>
      <c r="D1185" s="17" t="s">
        <v>5605</v>
      </c>
      <c r="E1185" s="17" t="s">
        <v>5606</v>
      </c>
      <c r="F1185" s="17" t="s">
        <v>5606</v>
      </c>
      <c r="G1185">
        <v>3499150000</v>
      </c>
    </row>
    <row r="1186" spans="1:7">
      <c r="A1186" s="16">
        <v>43780</v>
      </c>
      <c r="B1186" s="17" t="s">
        <v>5607</v>
      </c>
      <c r="C1186" s="17" t="s">
        <v>5608</v>
      </c>
      <c r="D1186" s="17" t="s">
        <v>5609</v>
      </c>
      <c r="E1186" s="17" t="s">
        <v>5610</v>
      </c>
      <c r="F1186" s="17" t="s">
        <v>5610</v>
      </c>
      <c r="G1186">
        <v>3035530000</v>
      </c>
    </row>
    <row r="1187" spans="1:7">
      <c r="A1187" s="16">
        <v>43781</v>
      </c>
      <c r="B1187" s="17" t="s">
        <v>5611</v>
      </c>
      <c r="C1187" s="17" t="s">
        <v>5612</v>
      </c>
      <c r="D1187" s="17" t="s">
        <v>5613</v>
      </c>
      <c r="E1187" s="17" t="s">
        <v>5614</v>
      </c>
      <c r="F1187" s="17" t="s">
        <v>5614</v>
      </c>
      <c r="G1187">
        <v>3466010000</v>
      </c>
    </row>
    <row r="1188" spans="1:7">
      <c r="A1188" s="16">
        <v>43782</v>
      </c>
      <c r="B1188" s="17" t="s">
        <v>5615</v>
      </c>
      <c r="C1188" s="17" t="s">
        <v>5616</v>
      </c>
      <c r="D1188" s="17" t="s">
        <v>5617</v>
      </c>
      <c r="E1188" s="17" t="s">
        <v>5618</v>
      </c>
      <c r="F1188" s="17" t="s">
        <v>5618</v>
      </c>
      <c r="G1188">
        <v>3509280000</v>
      </c>
    </row>
    <row r="1189" spans="1:7">
      <c r="A1189" s="16">
        <v>43783</v>
      </c>
      <c r="B1189" s="17" t="s">
        <v>5619</v>
      </c>
      <c r="C1189" s="17" t="s">
        <v>5620</v>
      </c>
      <c r="D1189" s="17" t="s">
        <v>5621</v>
      </c>
      <c r="E1189" s="17" t="s">
        <v>5622</v>
      </c>
      <c r="F1189" s="17" t="s">
        <v>5622</v>
      </c>
      <c r="G1189">
        <v>3276070000</v>
      </c>
    </row>
    <row r="1190" spans="1:7">
      <c r="A1190" s="16">
        <v>43784</v>
      </c>
      <c r="B1190" s="17" t="s">
        <v>5623</v>
      </c>
      <c r="C1190" s="17" t="s">
        <v>5624</v>
      </c>
      <c r="D1190" s="17" t="s">
        <v>5625</v>
      </c>
      <c r="E1190" s="17" t="s">
        <v>5624</v>
      </c>
      <c r="F1190" s="17" t="s">
        <v>5624</v>
      </c>
      <c r="G1190">
        <v>3335650000</v>
      </c>
    </row>
    <row r="1191" spans="1:7">
      <c r="A1191" s="16">
        <v>43787</v>
      </c>
      <c r="B1191" s="17" t="s">
        <v>5626</v>
      </c>
      <c r="C1191" s="17" t="s">
        <v>5627</v>
      </c>
      <c r="D1191" s="17" t="s">
        <v>5628</v>
      </c>
      <c r="E1191" s="17" t="s">
        <v>5629</v>
      </c>
      <c r="F1191" s="17" t="s">
        <v>5629</v>
      </c>
      <c r="G1191">
        <v>3436690000</v>
      </c>
    </row>
    <row r="1192" spans="1:7">
      <c r="A1192" s="16">
        <v>43788</v>
      </c>
      <c r="B1192" s="17" t="s">
        <v>5630</v>
      </c>
      <c r="C1192" s="17" t="s">
        <v>5631</v>
      </c>
      <c r="D1192" s="17" t="s">
        <v>5632</v>
      </c>
      <c r="E1192" s="17" t="s">
        <v>5633</v>
      </c>
      <c r="F1192" s="17" t="s">
        <v>5633</v>
      </c>
      <c r="G1192">
        <v>3590070000</v>
      </c>
    </row>
    <row r="1193" spans="1:7">
      <c r="A1193" s="16">
        <v>43789</v>
      </c>
      <c r="B1193" s="17" t="s">
        <v>5634</v>
      </c>
      <c r="C1193" s="17" t="s">
        <v>5635</v>
      </c>
      <c r="D1193" s="17" t="s">
        <v>5636</v>
      </c>
      <c r="E1193" s="17" t="s">
        <v>5637</v>
      </c>
      <c r="F1193" s="17" t="s">
        <v>5637</v>
      </c>
      <c r="G1193">
        <v>4034890000</v>
      </c>
    </row>
    <row r="1194" spans="1:7">
      <c r="A1194" s="16">
        <v>43790</v>
      </c>
      <c r="B1194" s="17" t="s">
        <v>5638</v>
      </c>
      <c r="C1194" s="17" t="s">
        <v>5639</v>
      </c>
      <c r="D1194" s="17" t="s">
        <v>5640</v>
      </c>
      <c r="E1194" s="17" t="s">
        <v>5641</v>
      </c>
      <c r="F1194" s="17" t="s">
        <v>5641</v>
      </c>
      <c r="G1194">
        <v>3720560000</v>
      </c>
    </row>
    <row r="1195" spans="1:7">
      <c r="A1195" s="16">
        <v>43791</v>
      </c>
      <c r="B1195" s="17" t="s">
        <v>5642</v>
      </c>
      <c r="C1195" s="17" t="s">
        <v>5643</v>
      </c>
      <c r="D1195" s="17" t="s">
        <v>5644</v>
      </c>
      <c r="E1195" s="17" t="s">
        <v>5645</v>
      </c>
      <c r="F1195" s="17" t="s">
        <v>5645</v>
      </c>
      <c r="G1195">
        <v>3226780000</v>
      </c>
    </row>
    <row r="1196" spans="1:7">
      <c r="A1196" s="16">
        <v>43794</v>
      </c>
      <c r="B1196" s="17" t="s">
        <v>5646</v>
      </c>
      <c r="C1196" s="17" t="s">
        <v>5647</v>
      </c>
      <c r="D1196" s="17" t="s">
        <v>5646</v>
      </c>
      <c r="E1196" s="17" t="s">
        <v>5648</v>
      </c>
      <c r="F1196" s="17" t="s">
        <v>5648</v>
      </c>
      <c r="G1196">
        <v>3511530000</v>
      </c>
    </row>
    <row r="1197" spans="1:7">
      <c r="A1197" s="16">
        <v>43795</v>
      </c>
      <c r="B1197" s="17" t="s">
        <v>5649</v>
      </c>
      <c r="C1197" s="17" t="s">
        <v>5650</v>
      </c>
      <c r="D1197" s="17" t="s">
        <v>5651</v>
      </c>
      <c r="E1197" s="17" t="s">
        <v>5652</v>
      </c>
      <c r="F1197" s="17" t="s">
        <v>5652</v>
      </c>
      <c r="G1197">
        <v>4595590000</v>
      </c>
    </row>
    <row r="1198" spans="1:7">
      <c r="A1198" s="16">
        <v>43796</v>
      </c>
      <c r="B1198" s="17" t="s">
        <v>5653</v>
      </c>
      <c r="C1198" s="17" t="s">
        <v>5654</v>
      </c>
      <c r="D1198" s="17" t="s">
        <v>5655</v>
      </c>
      <c r="E1198" s="17" t="s">
        <v>5656</v>
      </c>
      <c r="F1198" s="17" t="s">
        <v>5656</v>
      </c>
      <c r="G1198">
        <v>3033090000</v>
      </c>
    </row>
    <row r="1199" spans="1:7">
      <c r="A1199" s="16">
        <v>43798</v>
      </c>
      <c r="B1199" s="17" t="s">
        <v>5657</v>
      </c>
      <c r="C1199" s="17" t="s">
        <v>5658</v>
      </c>
      <c r="D1199" s="17" t="s">
        <v>5659</v>
      </c>
      <c r="E1199" s="17" t="s">
        <v>5660</v>
      </c>
      <c r="F1199" s="17" t="s">
        <v>5660</v>
      </c>
      <c r="G1199">
        <v>1743020000</v>
      </c>
    </row>
    <row r="1200" spans="1:7">
      <c r="A1200" s="16">
        <v>43801</v>
      </c>
      <c r="B1200" s="17" t="s">
        <v>5661</v>
      </c>
      <c r="C1200" s="17" t="s">
        <v>5662</v>
      </c>
      <c r="D1200" s="17" t="s">
        <v>5663</v>
      </c>
      <c r="E1200" s="17" t="s">
        <v>5664</v>
      </c>
      <c r="F1200" s="17" t="s">
        <v>5664</v>
      </c>
      <c r="G1200">
        <v>3268740000</v>
      </c>
    </row>
    <row r="1201" spans="1:7">
      <c r="A1201" s="16">
        <v>43802</v>
      </c>
      <c r="B1201" s="17" t="s">
        <v>5665</v>
      </c>
      <c r="C1201" s="17" t="s">
        <v>5666</v>
      </c>
      <c r="D1201" s="17" t="s">
        <v>5667</v>
      </c>
      <c r="E1201" s="17" t="s">
        <v>5668</v>
      </c>
      <c r="F1201" s="17" t="s">
        <v>5668</v>
      </c>
      <c r="G1201">
        <v>3653390000</v>
      </c>
    </row>
    <row r="1202" spans="1:7">
      <c r="A1202" s="16">
        <v>43803</v>
      </c>
      <c r="B1202" s="17" t="s">
        <v>5669</v>
      </c>
      <c r="C1202" s="17" t="s">
        <v>5670</v>
      </c>
      <c r="D1202" s="17" t="s">
        <v>5671</v>
      </c>
      <c r="E1202" s="17" t="s">
        <v>5672</v>
      </c>
      <c r="F1202" s="17" t="s">
        <v>5672</v>
      </c>
      <c r="G1202">
        <v>3695030000</v>
      </c>
    </row>
    <row r="1203" spans="1:7">
      <c r="A1203" s="16">
        <v>43804</v>
      </c>
      <c r="B1203" s="17" t="s">
        <v>5673</v>
      </c>
      <c r="C1203" s="17" t="s">
        <v>5674</v>
      </c>
      <c r="D1203" s="17" t="s">
        <v>5675</v>
      </c>
      <c r="E1203" s="17" t="s">
        <v>5676</v>
      </c>
      <c r="F1203" s="17" t="s">
        <v>5676</v>
      </c>
      <c r="G1203">
        <v>3355750000</v>
      </c>
    </row>
    <row r="1204" spans="1:7">
      <c r="A1204" s="16">
        <v>43805</v>
      </c>
      <c r="B1204" s="17" t="s">
        <v>5677</v>
      </c>
      <c r="C1204" s="17" t="s">
        <v>5678</v>
      </c>
      <c r="D1204" s="17" t="s">
        <v>5677</v>
      </c>
      <c r="E1204" s="17" t="s">
        <v>5679</v>
      </c>
      <c r="F1204" s="17" t="s">
        <v>5679</v>
      </c>
      <c r="G1204">
        <v>3479480000</v>
      </c>
    </row>
    <row r="1205" spans="1:7">
      <c r="A1205" s="16">
        <v>43808</v>
      </c>
      <c r="B1205" s="17" t="s">
        <v>5680</v>
      </c>
      <c r="C1205" s="17" t="s">
        <v>5681</v>
      </c>
      <c r="D1205" s="17" t="s">
        <v>5682</v>
      </c>
      <c r="E1205" s="17" t="s">
        <v>5683</v>
      </c>
      <c r="F1205" s="17" t="s">
        <v>5683</v>
      </c>
      <c r="G1205">
        <v>3345990000</v>
      </c>
    </row>
    <row r="1206" spans="1:7">
      <c r="A1206" s="16">
        <v>43809</v>
      </c>
      <c r="B1206" s="17" t="s">
        <v>5684</v>
      </c>
      <c r="C1206" s="17" t="s">
        <v>5685</v>
      </c>
      <c r="D1206" s="17" t="s">
        <v>5686</v>
      </c>
      <c r="E1206" s="17" t="s">
        <v>5687</v>
      </c>
      <c r="F1206" s="17" t="s">
        <v>5687</v>
      </c>
      <c r="G1206">
        <v>3343790000</v>
      </c>
    </row>
    <row r="1207" spans="1:7">
      <c r="A1207" s="16">
        <v>43810</v>
      </c>
      <c r="B1207" s="17" t="s">
        <v>5688</v>
      </c>
      <c r="C1207" s="17" t="s">
        <v>5689</v>
      </c>
      <c r="D1207" s="17" t="s">
        <v>5690</v>
      </c>
      <c r="E1207" s="17" t="s">
        <v>5691</v>
      </c>
      <c r="F1207" s="17" t="s">
        <v>5691</v>
      </c>
      <c r="G1207">
        <v>3252540000</v>
      </c>
    </row>
    <row r="1208" spans="1:7">
      <c r="A1208" s="16">
        <v>43811</v>
      </c>
      <c r="B1208" s="17" t="s">
        <v>5692</v>
      </c>
      <c r="C1208" s="17" t="s">
        <v>5693</v>
      </c>
      <c r="D1208" s="17" t="s">
        <v>5694</v>
      </c>
      <c r="E1208" s="17" t="s">
        <v>5695</v>
      </c>
      <c r="F1208" s="17" t="s">
        <v>5695</v>
      </c>
      <c r="G1208">
        <v>3990690000</v>
      </c>
    </row>
    <row r="1209" spans="1:7">
      <c r="A1209" s="16">
        <v>43812</v>
      </c>
      <c r="B1209" s="17" t="s">
        <v>5696</v>
      </c>
      <c r="C1209" s="17" t="s">
        <v>5697</v>
      </c>
      <c r="D1209" s="17" t="s">
        <v>5698</v>
      </c>
      <c r="E1209" s="17" t="s">
        <v>5699</v>
      </c>
      <c r="F1209" s="17" t="s">
        <v>5699</v>
      </c>
      <c r="G1209">
        <v>3736870000</v>
      </c>
    </row>
    <row r="1210" spans="1:7">
      <c r="A1210" s="16">
        <v>43815</v>
      </c>
      <c r="B1210" s="17" t="s">
        <v>5700</v>
      </c>
      <c r="C1210" s="17" t="s">
        <v>5701</v>
      </c>
      <c r="D1210" s="17" t="s">
        <v>5700</v>
      </c>
      <c r="E1210" s="17" t="s">
        <v>5702</v>
      </c>
      <c r="F1210" s="17" t="s">
        <v>5702</v>
      </c>
      <c r="G1210">
        <v>4051790000</v>
      </c>
    </row>
    <row r="1211" spans="1:7">
      <c r="A1211" s="16">
        <v>43816</v>
      </c>
      <c r="B1211" s="17" t="s">
        <v>5703</v>
      </c>
      <c r="C1211" s="17" t="s">
        <v>5704</v>
      </c>
      <c r="D1211" s="17" t="s">
        <v>5705</v>
      </c>
      <c r="E1211" s="17" t="s">
        <v>5706</v>
      </c>
      <c r="F1211" s="17" t="s">
        <v>5706</v>
      </c>
      <c r="G1211">
        <v>3837540000</v>
      </c>
    </row>
    <row r="1212" spans="1:7">
      <c r="A1212" s="16">
        <v>43817</v>
      </c>
      <c r="B1212" s="17" t="s">
        <v>5707</v>
      </c>
      <c r="C1212" s="17" t="s">
        <v>5708</v>
      </c>
      <c r="D1212" s="17" t="s">
        <v>5709</v>
      </c>
      <c r="E1212" s="17" t="s">
        <v>5709</v>
      </c>
      <c r="F1212" s="17" t="s">
        <v>5709</v>
      </c>
      <c r="G1212">
        <v>4014080000</v>
      </c>
    </row>
    <row r="1213" spans="1:7">
      <c r="A1213" s="16">
        <v>43818</v>
      </c>
      <c r="B1213" s="17" t="s">
        <v>5710</v>
      </c>
      <c r="C1213" s="17" t="s">
        <v>5711</v>
      </c>
      <c r="D1213" s="17" t="s">
        <v>5710</v>
      </c>
      <c r="E1213" s="17" t="s">
        <v>5712</v>
      </c>
      <c r="F1213" s="17" t="s">
        <v>5712</v>
      </c>
      <c r="G1213">
        <v>3720450000</v>
      </c>
    </row>
    <row r="1214" spans="1:7">
      <c r="A1214" s="16">
        <v>43819</v>
      </c>
      <c r="B1214" s="17" t="s">
        <v>5713</v>
      </c>
      <c r="C1214" s="17" t="s">
        <v>5714</v>
      </c>
      <c r="D1214" s="17" t="s">
        <v>5715</v>
      </c>
      <c r="E1214" s="17" t="s">
        <v>5716</v>
      </c>
      <c r="F1214" s="17" t="s">
        <v>5716</v>
      </c>
      <c r="G1214">
        <v>6454270000</v>
      </c>
    </row>
    <row r="1215" spans="1:7">
      <c r="A1215" s="16">
        <v>43822</v>
      </c>
      <c r="B1215" s="17" t="s">
        <v>5717</v>
      </c>
      <c r="C1215" s="17" t="s">
        <v>5718</v>
      </c>
      <c r="D1215" s="17" t="s">
        <v>5719</v>
      </c>
      <c r="E1215" s="17" t="s">
        <v>5720</v>
      </c>
      <c r="F1215" s="17" t="s">
        <v>5720</v>
      </c>
      <c r="G1215">
        <v>3060610000</v>
      </c>
    </row>
    <row r="1216" spans="1:7">
      <c r="A1216" s="16">
        <v>43823</v>
      </c>
      <c r="B1216" s="17" t="s">
        <v>5721</v>
      </c>
      <c r="C1216" s="17" t="s">
        <v>5722</v>
      </c>
      <c r="D1216" s="17" t="s">
        <v>5723</v>
      </c>
      <c r="E1216" s="17" t="s">
        <v>5724</v>
      </c>
      <c r="F1216" s="17" t="s">
        <v>5724</v>
      </c>
      <c r="G1216">
        <v>1296540000</v>
      </c>
    </row>
    <row r="1217" spans="1:7">
      <c r="A1217" s="16">
        <v>43825</v>
      </c>
      <c r="B1217" s="17" t="s">
        <v>5725</v>
      </c>
      <c r="C1217" s="17" t="s">
        <v>5726</v>
      </c>
      <c r="D1217" s="17" t="s">
        <v>5725</v>
      </c>
      <c r="E1217" s="17" t="s">
        <v>5727</v>
      </c>
      <c r="F1217" s="17" t="s">
        <v>5727</v>
      </c>
      <c r="G1217">
        <v>2160680000</v>
      </c>
    </row>
    <row r="1218" spans="1:7">
      <c r="A1218" s="16">
        <v>43826</v>
      </c>
      <c r="B1218" s="17" t="s">
        <v>5728</v>
      </c>
      <c r="C1218" s="17" t="s">
        <v>5729</v>
      </c>
      <c r="D1218" s="17" t="s">
        <v>5730</v>
      </c>
      <c r="E1218" s="17" t="s">
        <v>5731</v>
      </c>
      <c r="F1218" s="17" t="s">
        <v>5731</v>
      </c>
      <c r="G1218">
        <v>2428670000</v>
      </c>
    </row>
    <row r="1219" spans="1:7">
      <c r="A1219" s="16">
        <v>43829</v>
      </c>
      <c r="B1219" s="17" t="s">
        <v>5732</v>
      </c>
      <c r="C1219" s="17" t="s">
        <v>5733</v>
      </c>
      <c r="D1219" s="17" t="s">
        <v>5734</v>
      </c>
      <c r="E1219" s="17" t="s">
        <v>5735</v>
      </c>
      <c r="F1219" s="17" t="s">
        <v>5735</v>
      </c>
      <c r="G1219">
        <v>3013290000</v>
      </c>
    </row>
    <row r="1220" spans="1:7">
      <c r="A1220" s="16">
        <v>43830</v>
      </c>
      <c r="B1220" s="17" t="s">
        <v>5736</v>
      </c>
      <c r="C1220" s="17" t="s">
        <v>5737</v>
      </c>
      <c r="D1220" s="17" t="s">
        <v>5738</v>
      </c>
      <c r="E1220" s="17" t="s">
        <v>5739</v>
      </c>
      <c r="F1220" s="17" t="s">
        <v>5739</v>
      </c>
      <c r="G1220">
        <v>2893810000</v>
      </c>
    </row>
    <row r="1221" spans="1:7">
      <c r="A1221" s="16">
        <v>43832</v>
      </c>
      <c r="B1221" s="17" t="s">
        <v>5740</v>
      </c>
      <c r="C1221" s="17" t="s">
        <v>5741</v>
      </c>
      <c r="D1221" s="17" t="s">
        <v>5742</v>
      </c>
      <c r="E1221" s="17" t="s">
        <v>5743</v>
      </c>
      <c r="F1221" s="17" t="s">
        <v>5743</v>
      </c>
      <c r="G1221">
        <v>3458250000</v>
      </c>
    </row>
    <row r="1222" spans="1:7">
      <c r="A1222" s="16">
        <v>43833</v>
      </c>
      <c r="B1222" s="17" t="s">
        <v>5744</v>
      </c>
      <c r="C1222" s="17" t="s">
        <v>5745</v>
      </c>
      <c r="D1222" s="17" t="s">
        <v>5746</v>
      </c>
      <c r="E1222" s="17" t="s">
        <v>5747</v>
      </c>
      <c r="F1222" s="17" t="s">
        <v>5747</v>
      </c>
      <c r="G1222">
        <v>3461290000</v>
      </c>
    </row>
    <row r="1223" spans="1:7">
      <c r="A1223" s="16">
        <v>43836</v>
      </c>
      <c r="B1223" s="17" t="s">
        <v>5748</v>
      </c>
      <c r="C1223" s="17" t="s">
        <v>5749</v>
      </c>
      <c r="D1223" s="17" t="s">
        <v>5750</v>
      </c>
      <c r="E1223" s="17" t="s">
        <v>5751</v>
      </c>
      <c r="F1223" s="17" t="s">
        <v>5751</v>
      </c>
      <c r="G1223">
        <v>3674070000</v>
      </c>
    </row>
    <row r="1224" spans="1:7">
      <c r="A1224" s="16">
        <v>43837</v>
      </c>
      <c r="B1224" s="17" t="s">
        <v>5752</v>
      </c>
      <c r="C1224" s="17" t="s">
        <v>5753</v>
      </c>
      <c r="D1224" s="17" t="s">
        <v>5754</v>
      </c>
      <c r="E1224" s="17" t="s">
        <v>5755</v>
      </c>
      <c r="F1224" s="17" t="s">
        <v>5755</v>
      </c>
      <c r="G1224">
        <v>3420380000</v>
      </c>
    </row>
    <row r="1225" spans="1:7">
      <c r="A1225" s="16">
        <v>43838</v>
      </c>
      <c r="B1225" s="17" t="s">
        <v>5756</v>
      </c>
      <c r="C1225" s="17" t="s">
        <v>5757</v>
      </c>
      <c r="D1225" s="17" t="s">
        <v>5758</v>
      </c>
      <c r="E1225" s="17" t="s">
        <v>5759</v>
      </c>
      <c r="F1225" s="17" t="s">
        <v>5759</v>
      </c>
      <c r="G1225">
        <v>3720890000</v>
      </c>
    </row>
    <row r="1226" spans="1:7">
      <c r="A1226" s="16">
        <v>43839</v>
      </c>
      <c r="B1226" s="17" t="s">
        <v>5760</v>
      </c>
      <c r="C1226" s="17" t="s">
        <v>5761</v>
      </c>
      <c r="D1226" s="17" t="s">
        <v>5762</v>
      </c>
      <c r="E1226" s="17" t="s">
        <v>5763</v>
      </c>
      <c r="F1226" s="17" t="s">
        <v>5763</v>
      </c>
      <c r="G1226">
        <v>3638390000</v>
      </c>
    </row>
    <row r="1227" spans="1:7">
      <c r="A1227" s="16">
        <v>43840</v>
      </c>
      <c r="B1227" s="17" t="s">
        <v>5764</v>
      </c>
      <c r="C1227" s="17" t="s">
        <v>5765</v>
      </c>
      <c r="D1227" s="17" t="s">
        <v>5766</v>
      </c>
      <c r="E1227" s="17" t="s">
        <v>5767</v>
      </c>
      <c r="F1227" s="17" t="s">
        <v>5767</v>
      </c>
      <c r="G1227">
        <v>3212970000</v>
      </c>
    </row>
    <row r="1228" spans="1:7">
      <c r="A1228" s="16">
        <v>43843</v>
      </c>
      <c r="B1228" s="17" t="s">
        <v>5768</v>
      </c>
      <c r="C1228" s="17" t="s">
        <v>5769</v>
      </c>
      <c r="D1228" s="17" t="s">
        <v>5770</v>
      </c>
      <c r="E1228" s="17" t="s">
        <v>5769</v>
      </c>
      <c r="F1228" s="17" t="s">
        <v>5769</v>
      </c>
      <c r="G1228">
        <v>3456380000</v>
      </c>
    </row>
    <row r="1229" spans="1:7">
      <c r="A1229" s="16">
        <v>43844</v>
      </c>
      <c r="B1229" s="17" t="s">
        <v>5771</v>
      </c>
      <c r="C1229" s="17" t="s">
        <v>5772</v>
      </c>
      <c r="D1229" s="17" t="s">
        <v>5773</v>
      </c>
      <c r="E1229" s="17" t="s">
        <v>5774</v>
      </c>
      <c r="F1229" s="17" t="s">
        <v>5774</v>
      </c>
      <c r="G1229">
        <v>3665130000</v>
      </c>
    </row>
    <row r="1230" spans="1:7">
      <c r="A1230" s="16">
        <v>43845</v>
      </c>
      <c r="B1230" s="17" t="s">
        <v>5775</v>
      </c>
      <c r="C1230" s="17" t="s">
        <v>5776</v>
      </c>
      <c r="D1230" s="17" t="s">
        <v>5777</v>
      </c>
      <c r="E1230" s="17" t="s">
        <v>5778</v>
      </c>
      <c r="F1230" s="17" t="s">
        <v>5778</v>
      </c>
      <c r="G1230">
        <v>3716840000</v>
      </c>
    </row>
    <row r="1231" spans="1:7">
      <c r="A1231" s="16">
        <v>43846</v>
      </c>
      <c r="B1231" s="17" t="s">
        <v>5779</v>
      </c>
      <c r="C1231" s="17" t="s">
        <v>5780</v>
      </c>
      <c r="D1231" s="17" t="s">
        <v>5781</v>
      </c>
      <c r="E1231" s="17" t="s">
        <v>5782</v>
      </c>
      <c r="F1231" s="17" t="s">
        <v>5782</v>
      </c>
      <c r="G1231">
        <v>3535080000</v>
      </c>
    </row>
    <row r="1232" spans="1:7">
      <c r="A1232" s="16">
        <v>43847</v>
      </c>
      <c r="B1232" s="17" t="s">
        <v>5783</v>
      </c>
      <c r="C1232" s="17" t="s">
        <v>5784</v>
      </c>
      <c r="D1232" s="17" t="s">
        <v>5785</v>
      </c>
      <c r="E1232" s="17" t="s">
        <v>5786</v>
      </c>
      <c r="F1232" s="17" t="s">
        <v>5786</v>
      </c>
      <c r="G1232">
        <v>3698170000</v>
      </c>
    </row>
    <row r="1233" spans="1:7">
      <c r="A1233" s="16">
        <v>43851</v>
      </c>
      <c r="B1233" s="17" t="s">
        <v>5787</v>
      </c>
      <c r="C1233" s="17" t="s">
        <v>5788</v>
      </c>
      <c r="D1233" s="17" t="s">
        <v>5789</v>
      </c>
      <c r="E1233" s="17" t="s">
        <v>5790</v>
      </c>
      <c r="F1233" s="17" t="s">
        <v>5790</v>
      </c>
      <c r="G1233">
        <v>4105340000</v>
      </c>
    </row>
    <row r="1234" spans="1:7">
      <c r="A1234" s="16">
        <v>43852</v>
      </c>
      <c r="B1234" s="17" t="s">
        <v>5791</v>
      </c>
      <c r="C1234" s="17" t="s">
        <v>5792</v>
      </c>
      <c r="D1234" s="17" t="s">
        <v>5793</v>
      </c>
      <c r="E1234" s="17" t="s">
        <v>5794</v>
      </c>
      <c r="F1234" s="17" t="s">
        <v>5794</v>
      </c>
      <c r="G1234">
        <v>3619850000</v>
      </c>
    </row>
    <row r="1235" spans="1:7">
      <c r="A1235" s="16">
        <v>43853</v>
      </c>
      <c r="B1235" s="17" t="s">
        <v>5795</v>
      </c>
      <c r="C1235" s="17" t="s">
        <v>5796</v>
      </c>
      <c r="D1235" s="17" t="s">
        <v>5797</v>
      </c>
      <c r="E1235" s="17" t="s">
        <v>5798</v>
      </c>
      <c r="F1235" s="17" t="s">
        <v>5798</v>
      </c>
      <c r="G1235">
        <v>3764860000</v>
      </c>
    </row>
    <row r="1236" spans="1:7">
      <c r="A1236" s="16">
        <v>43854</v>
      </c>
      <c r="B1236" s="17" t="s">
        <v>5799</v>
      </c>
      <c r="C1236" s="17" t="s">
        <v>5800</v>
      </c>
      <c r="D1236" s="17" t="s">
        <v>5801</v>
      </c>
      <c r="E1236" s="17" t="s">
        <v>5802</v>
      </c>
      <c r="F1236" s="17" t="s">
        <v>5802</v>
      </c>
      <c r="G1236">
        <v>3707130000</v>
      </c>
    </row>
    <row r="1237" spans="1:7">
      <c r="A1237" s="16">
        <v>43857</v>
      </c>
      <c r="B1237" s="17" t="s">
        <v>5803</v>
      </c>
      <c r="C1237" s="17" t="s">
        <v>5804</v>
      </c>
      <c r="D1237" s="17" t="s">
        <v>5805</v>
      </c>
      <c r="E1237" s="17" t="s">
        <v>5806</v>
      </c>
      <c r="F1237" s="17" t="s">
        <v>5806</v>
      </c>
      <c r="G1237">
        <v>3823100000</v>
      </c>
    </row>
    <row r="1238" spans="1:7">
      <c r="A1238" s="16">
        <v>43858</v>
      </c>
      <c r="B1238" s="17" t="s">
        <v>5807</v>
      </c>
      <c r="C1238" s="17" t="s">
        <v>5808</v>
      </c>
      <c r="D1238" s="17" t="s">
        <v>5809</v>
      </c>
      <c r="E1238" s="17" t="s">
        <v>5810</v>
      </c>
      <c r="F1238" s="17" t="s">
        <v>5810</v>
      </c>
      <c r="G1238">
        <v>3526720000</v>
      </c>
    </row>
    <row r="1239" spans="1:7">
      <c r="A1239" s="16">
        <v>43859</v>
      </c>
      <c r="B1239" s="17" t="s">
        <v>5811</v>
      </c>
      <c r="C1239" s="17" t="s">
        <v>5812</v>
      </c>
      <c r="D1239" s="17" t="s">
        <v>5813</v>
      </c>
      <c r="E1239" s="17" t="s">
        <v>5814</v>
      </c>
      <c r="F1239" s="17" t="s">
        <v>5814</v>
      </c>
      <c r="G1239">
        <v>3584500000</v>
      </c>
    </row>
    <row r="1240" spans="1:7">
      <c r="A1240" s="16">
        <v>43860</v>
      </c>
      <c r="B1240" s="17" t="s">
        <v>5815</v>
      </c>
      <c r="C1240" s="17" t="s">
        <v>5816</v>
      </c>
      <c r="D1240" s="17" t="s">
        <v>5817</v>
      </c>
      <c r="E1240" s="17" t="s">
        <v>5818</v>
      </c>
      <c r="F1240" s="17" t="s">
        <v>5818</v>
      </c>
      <c r="G1240">
        <v>3787250000</v>
      </c>
    </row>
    <row r="1241" spans="1:7">
      <c r="A1241" s="16">
        <v>43861</v>
      </c>
      <c r="B1241" s="17" t="s">
        <v>5819</v>
      </c>
      <c r="C1241" s="17" t="s">
        <v>5819</v>
      </c>
      <c r="D1241" s="17" t="s">
        <v>5820</v>
      </c>
      <c r="E1241" s="17" t="s">
        <v>5821</v>
      </c>
      <c r="F1241" s="17" t="s">
        <v>5821</v>
      </c>
      <c r="G1241">
        <v>4527830000</v>
      </c>
    </row>
    <row r="1242" spans="1:7">
      <c r="A1242" s="16">
        <v>43864</v>
      </c>
      <c r="B1242" s="17" t="s">
        <v>5822</v>
      </c>
      <c r="C1242" s="17" t="s">
        <v>5823</v>
      </c>
      <c r="D1242" s="17" t="s">
        <v>5822</v>
      </c>
      <c r="E1242" s="17" t="s">
        <v>5824</v>
      </c>
      <c r="F1242" s="17" t="s">
        <v>5824</v>
      </c>
      <c r="G1242">
        <v>3757910000</v>
      </c>
    </row>
    <row r="1243" spans="1:7">
      <c r="A1243" s="16">
        <v>43865</v>
      </c>
      <c r="B1243" s="17" t="s">
        <v>5825</v>
      </c>
      <c r="C1243" s="17" t="s">
        <v>5826</v>
      </c>
      <c r="D1243" s="17" t="s">
        <v>5825</v>
      </c>
      <c r="E1243" s="17" t="s">
        <v>5827</v>
      </c>
      <c r="F1243" s="17" t="s">
        <v>5827</v>
      </c>
      <c r="G1243">
        <v>3995320000</v>
      </c>
    </row>
    <row r="1244" spans="1:7">
      <c r="A1244" s="16">
        <v>43866</v>
      </c>
      <c r="B1244" s="17" t="s">
        <v>5828</v>
      </c>
      <c r="C1244" s="17" t="s">
        <v>5829</v>
      </c>
      <c r="D1244" s="17" t="s">
        <v>5830</v>
      </c>
      <c r="E1244" s="17" t="s">
        <v>5831</v>
      </c>
      <c r="F1244" s="17" t="s">
        <v>5831</v>
      </c>
      <c r="G1244">
        <v>4117730000</v>
      </c>
    </row>
    <row r="1245" spans="1:7">
      <c r="A1245" s="16">
        <v>43867</v>
      </c>
      <c r="B1245" s="17" t="s">
        <v>5832</v>
      </c>
      <c r="C1245" s="17" t="s">
        <v>5833</v>
      </c>
      <c r="D1245" s="17" t="s">
        <v>5834</v>
      </c>
      <c r="E1245" s="17" t="s">
        <v>5835</v>
      </c>
      <c r="F1245" s="17" t="s">
        <v>5835</v>
      </c>
      <c r="G1245">
        <v>3868370000</v>
      </c>
    </row>
    <row r="1246" spans="1:7">
      <c r="A1246" s="16">
        <v>43868</v>
      </c>
      <c r="B1246" s="17" t="s">
        <v>5836</v>
      </c>
      <c r="C1246" s="17" t="s">
        <v>5837</v>
      </c>
      <c r="D1246" s="17" t="s">
        <v>5838</v>
      </c>
      <c r="E1246" s="17" t="s">
        <v>5839</v>
      </c>
      <c r="F1246" s="17" t="s">
        <v>5839</v>
      </c>
      <c r="G1246">
        <v>3730650000</v>
      </c>
    </row>
    <row r="1247" spans="1:7">
      <c r="A1247" s="16">
        <v>43871</v>
      </c>
      <c r="B1247" s="17" t="s">
        <v>5840</v>
      </c>
      <c r="C1247" s="17" t="s">
        <v>5841</v>
      </c>
      <c r="D1247" s="17" t="s">
        <v>5842</v>
      </c>
      <c r="E1247" s="17" t="s">
        <v>5843</v>
      </c>
      <c r="F1247" s="17" t="s">
        <v>5843</v>
      </c>
      <c r="G1247">
        <v>3450350000</v>
      </c>
    </row>
    <row r="1248" spans="1:7">
      <c r="A1248" s="16">
        <v>43872</v>
      </c>
      <c r="B1248" s="17" t="s">
        <v>5844</v>
      </c>
      <c r="C1248" s="17" t="s">
        <v>5845</v>
      </c>
      <c r="D1248" s="17" t="s">
        <v>5846</v>
      </c>
      <c r="E1248" s="17" t="s">
        <v>5847</v>
      </c>
      <c r="F1248" s="17" t="s">
        <v>5847</v>
      </c>
      <c r="G1248">
        <v>3760550000</v>
      </c>
    </row>
    <row r="1249" spans="1:7">
      <c r="A1249" s="16">
        <v>43873</v>
      </c>
      <c r="B1249" s="17" t="s">
        <v>5848</v>
      </c>
      <c r="C1249" s="17" t="s">
        <v>5849</v>
      </c>
      <c r="D1249" s="17" t="s">
        <v>5850</v>
      </c>
      <c r="E1249" s="17" t="s">
        <v>5851</v>
      </c>
      <c r="F1249" s="17" t="s">
        <v>5851</v>
      </c>
      <c r="G1249">
        <v>3926380000</v>
      </c>
    </row>
    <row r="1250" spans="1:7">
      <c r="A1250" s="16">
        <v>43874</v>
      </c>
      <c r="B1250" s="17" t="s">
        <v>5852</v>
      </c>
      <c r="C1250" s="17" t="s">
        <v>5853</v>
      </c>
      <c r="D1250" s="17" t="s">
        <v>5854</v>
      </c>
      <c r="E1250" s="17" t="s">
        <v>5855</v>
      </c>
      <c r="F1250" s="17" t="s">
        <v>5855</v>
      </c>
      <c r="G1250">
        <v>3498240000</v>
      </c>
    </row>
    <row r="1251" spans="1:7">
      <c r="A1251" s="16">
        <v>43875</v>
      </c>
      <c r="B1251" s="17" t="s">
        <v>5856</v>
      </c>
      <c r="C1251" s="17" t="s">
        <v>5857</v>
      </c>
      <c r="D1251" s="17" t="s">
        <v>5858</v>
      </c>
      <c r="E1251" s="17" t="s">
        <v>5859</v>
      </c>
      <c r="F1251" s="17" t="s">
        <v>5859</v>
      </c>
      <c r="G1251">
        <v>3398040000</v>
      </c>
    </row>
    <row r="1252" spans="1:7">
      <c r="A1252" s="16">
        <v>43879</v>
      </c>
      <c r="B1252" s="17" t="s">
        <v>5860</v>
      </c>
      <c r="C1252" s="17" t="s">
        <v>5861</v>
      </c>
      <c r="D1252" s="17" t="s">
        <v>5862</v>
      </c>
      <c r="E1252" s="17" t="s">
        <v>5863</v>
      </c>
      <c r="F1252" s="17" t="s">
        <v>5863</v>
      </c>
      <c r="G1252">
        <v>3746720000</v>
      </c>
    </row>
    <row r="1253" spans="1:7">
      <c r="A1253" s="16">
        <v>43880</v>
      </c>
      <c r="B1253" s="17" t="s">
        <v>5864</v>
      </c>
      <c r="C1253" s="17" t="s">
        <v>5865</v>
      </c>
      <c r="D1253" s="17" t="s">
        <v>5866</v>
      </c>
      <c r="E1253" s="17" t="s">
        <v>5867</v>
      </c>
      <c r="F1253" s="17" t="s">
        <v>5867</v>
      </c>
      <c r="G1253">
        <v>3600150000</v>
      </c>
    </row>
    <row r="1254" spans="1:7">
      <c r="A1254" s="16">
        <v>43881</v>
      </c>
      <c r="B1254" s="17" t="s">
        <v>5868</v>
      </c>
      <c r="C1254" s="17" t="s">
        <v>5869</v>
      </c>
      <c r="D1254" s="17" t="s">
        <v>5870</v>
      </c>
      <c r="E1254" s="17" t="s">
        <v>5871</v>
      </c>
      <c r="F1254" s="17" t="s">
        <v>5871</v>
      </c>
      <c r="G1254">
        <v>4007320000</v>
      </c>
    </row>
    <row r="1255" spans="1:7">
      <c r="A1255" s="16">
        <v>43882</v>
      </c>
      <c r="B1255" s="17" t="s">
        <v>5872</v>
      </c>
      <c r="C1255" s="17" t="s">
        <v>5873</v>
      </c>
      <c r="D1255" s="17" t="s">
        <v>5874</v>
      </c>
      <c r="E1255" s="17" t="s">
        <v>5875</v>
      </c>
      <c r="F1255" s="17" t="s">
        <v>5875</v>
      </c>
      <c r="G1255">
        <v>3899270000</v>
      </c>
    </row>
    <row r="1256" spans="1:7">
      <c r="A1256" s="16">
        <v>43885</v>
      </c>
      <c r="B1256" s="17" t="s">
        <v>5876</v>
      </c>
      <c r="C1256" s="17" t="s">
        <v>5877</v>
      </c>
      <c r="D1256" s="17" t="s">
        <v>5878</v>
      </c>
      <c r="E1256" s="17" t="s">
        <v>5879</v>
      </c>
      <c r="F1256" s="17" t="s">
        <v>5879</v>
      </c>
      <c r="G1256">
        <v>4842960000</v>
      </c>
    </row>
    <row r="1257" spans="1:7">
      <c r="A1257" s="16">
        <v>43886</v>
      </c>
      <c r="B1257" s="17" t="s">
        <v>5880</v>
      </c>
      <c r="C1257" s="17" t="s">
        <v>5881</v>
      </c>
      <c r="D1257" s="17" t="s">
        <v>5882</v>
      </c>
      <c r="E1257" s="17" t="s">
        <v>5883</v>
      </c>
      <c r="F1257" s="17" t="s">
        <v>5883</v>
      </c>
      <c r="G1257">
        <v>5591510000</v>
      </c>
    </row>
    <row r="1258" spans="1:7">
      <c r="A1258" s="16">
        <v>43887</v>
      </c>
      <c r="B1258" s="17" t="s">
        <v>5884</v>
      </c>
      <c r="C1258" s="17" t="s">
        <v>5885</v>
      </c>
      <c r="D1258" s="17" t="s">
        <v>5886</v>
      </c>
      <c r="E1258" s="17" t="s">
        <v>5887</v>
      </c>
      <c r="F1258" s="17" t="s">
        <v>5887</v>
      </c>
      <c r="G1258">
        <v>5478110000</v>
      </c>
    </row>
    <row r="1259" spans="1:7">
      <c r="A1259" s="16">
        <v>43888</v>
      </c>
      <c r="B1259" s="17" t="s">
        <v>5888</v>
      </c>
      <c r="C1259" s="17" t="s">
        <v>5889</v>
      </c>
      <c r="D1259" s="17" t="s">
        <v>5890</v>
      </c>
      <c r="E1259" s="17" t="s">
        <v>5891</v>
      </c>
      <c r="F1259" s="17" t="s">
        <v>5891</v>
      </c>
      <c r="G1259">
        <v>7058840000</v>
      </c>
    </row>
    <row r="1260" spans="1:7">
      <c r="A1260" s="16">
        <v>43889</v>
      </c>
      <c r="B1260" s="17" t="s">
        <v>5892</v>
      </c>
      <c r="C1260" s="17" t="s">
        <v>5893</v>
      </c>
      <c r="D1260" s="17" t="s">
        <v>5894</v>
      </c>
      <c r="E1260" s="17" t="s">
        <v>5895</v>
      </c>
      <c r="F1260" s="17" t="s">
        <v>5895</v>
      </c>
      <c r="G1260">
        <v>8563850000</v>
      </c>
    </row>
    <row r="1261" spans="1:7">
      <c r="A1261" s="16">
        <v>43892</v>
      </c>
      <c r="B1261" s="17" t="s">
        <v>5896</v>
      </c>
      <c r="C1261" s="17" t="s">
        <v>5897</v>
      </c>
      <c r="D1261" s="17" t="s">
        <v>5898</v>
      </c>
      <c r="E1261" s="17" t="s">
        <v>5899</v>
      </c>
      <c r="F1261" s="17" t="s">
        <v>5899</v>
      </c>
      <c r="G1261">
        <v>6376400000</v>
      </c>
    </row>
    <row r="1262" spans="1:7">
      <c r="A1262" s="16">
        <v>43893</v>
      </c>
      <c r="B1262" s="17" t="s">
        <v>5900</v>
      </c>
      <c r="C1262" s="17" t="s">
        <v>5901</v>
      </c>
      <c r="D1262" s="17" t="s">
        <v>5902</v>
      </c>
      <c r="E1262" s="17" t="s">
        <v>5903</v>
      </c>
      <c r="F1262" s="17" t="s">
        <v>5903</v>
      </c>
      <c r="G1262">
        <v>6355940000</v>
      </c>
    </row>
    <row r="1263" spans="1:7">
      <c r="A1263" s="16">
        <v>43894</v>
      </c>
      <c r="B1263" s="17" t="s">
        <v>5904</v>
      </c>
      <c r="C1263" s="17" t="s">
        <v>5905</v>
      </c>
      <c r="D1263" s="17" t="s">
        <v>5906</v>
      </c>
      <c r="E1263" s="17" t="s">
        <v>5907</v>
      </c>
      <c r="F1263" s="17" t="s">
        <v>5907</v>
      </c>
      <c r="G1263">
        <v>5035480000</v>
      </c>
    </row>
    <row r="1264" spans="1:7">
      <c r="A1264" s="16">
        <v>43895</v>
      </c>
      <c r="B1264" s="17" t="s">
        <v>5908</v>
      </c>
      <c r="C1264" s="17" t="s">
        <v>5909</v>
      </c>
      <c r="D1264" s="17" t="s">
        <v>5910</v>
      </c>
      <c r="E1264" s="17" t="s">
        <v>5911</v>
      </c>
      <c r="F1264" s="17" t="s">
        <v>5911</v>
      </c>
      <c r="G1264">
        <v>5575550000</v>
      </c>
    </row>
    <row r="1265" spans="1:7">
      <c r="A1265" s="16">
        <v>43896</v>
      </c>
      <c r="B1265" s="17" t="s">
        <v>5912</v>
      </c>
      <c r="C1265" s="17" t="s">
        <v>5913</v>
      </c>
      <c r="D1265" s="17" t="s">
        <v>5914</v>
      </c>
      <c r="E1265" s="17" t="s">
        <v>5915</v>
      </c>
      <c r="F1265" s="17" t="s">
        <v>5915</v>
      </c>
      <c r="G1265">
        <v>6552140000</v>
      </c>
    </row>
    <row r="1266" spans="1:7">
      <c r="A1266" s="16">
        <v>43899</v>
      </c>
      <c r="B1266" s="17" t="s">
        <v>5916</v>
      </c>
      <c r="C1266" s="17" t="s">
        <v>5916</v>
      </c>
      <c r="D1266" s="17" t="s">
        <v>5917</v>
      </c>
      <c r="E1266" s="17" t="s">
        <v>5918</v>
      </c>
      <c r="F1266" s="17" t="s">
        <v>5918</v>
      </c>
      <c r="G1266">
        <v>8423050000</v>
      </c>
    </row>
    <row r="1267" spans="1:7">
      <c r="A1267" s="16">
        <v>43900</v>
      </c>
      <c r="B1267" s="17" t="s">
        <v>5919</v>
      </c>
      <c r="C1267" s="17" t="s">
        <v>5920</v>
      </c>
      <c r="D1267" s="17" t="s">
        <v>5921</v>
      </c>
      <c r="E1267" s="17" t="s">
        <v>5922</v>
      </c>
      <c r="F1267" s="17" t="s">
        <v>5922</v>
      </c>
      <c r="G1267">
        <v>7635960000</v>
      </c>
    </row>
    <row r="1268" spans="1:7">
      <c r="A1268" s="16">
        <v>43901</v>
      </c>
      <c r="B1268" s="17" t="s">
        <v>5923</v>
      </c>
      <c r="C1268" s="17" t="s">
        <v>5923</v>
      </c>
      <c r="D1268" s="17" t="s">
        <v>5924</v>
      </c>
      <c r="E1268" s="17" t="s">
        <v>4036</v>
      </c>
      <c r="F1268" s="17" t="s">
        <v>4036</v>
      </c>
      <c r="G1268">
        <v>7374110000</v>
      </c>
    </row>
    <row r="1269" spans="1:7">
      <c r="A1269" s="16">
        <v>43902</v>
      </c>
      <c r="B1269" s="17" t="s">
        <v>4740</v>
      </c>
      <c r="C1269" s="17" t="s">
        <v>5925</v>
      </c>
      <c r="D1269" s="17" t="s">
        <v>5926</v>
      </c>
      <c r="E1269" s="17" t="s">
        <v>5927</v>
      </c>
      <c r="F1269" s="17" t="s">
        <v>5927</v>
      </c>
      <c r="G1269">
        <v>8829380000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T1269"/>
  <sheetViews>
    <sheetView tabSelected="1" workbookViewId="0">
      <selection activeCell="N8" sqref="N8"/>
    </sheetView>
  </sheetViews>
  <sheetFormatPr baseColWidth="10" defaultColWidth="8.83203125" defaultRowHeight="16"/>
  <cols>
    <col min="1" max="1" width="10.5" style="21" bestFit="1" customWidth="1"/>
    <col min="2" max="2" width="9.6640625" style="21" customWidth="1"/>
    <col min="3" max="3" width="12.1640625" style="21" bestFit="1" customWidth="1"/>
    <col min="4" max="4" width="16.5" style="20" bestFit="1" customWidth="1"/>
    <col min="5" max="5" width="13.83203125" style="38" bestFit="1" customWidth="1"/>
    <col min="6" max="6" width="13.6640625" style="21" customWidth="1"/>
    <col min="7" max="7" width="8.83203125" style="21" customWidth="1"/>
    <col min="8" max="8" width="8.83203125" style="21"/>
    <col min="9" max="9" width="9.33203125" style="21" bestFit="1" customWidth="1"/>
    <col min="10" max="10" width="11.5" style="21" customWidth="1"/>
    <col min="11" max="11" width="10.83203125" style="21" bestFit="1" customWidth="1"/>
    <col min="12" max="13" width="8.83203125" style="21" customWidth="1"/>
    <col min="14" max="14" width="13" style="21" customWidth="1"/>
    <col min="15" max="15" width="13.83203125" style="21" customWidth="1"/>
    <col min="16" max="16" width="12.83203125" style="21" customWidth="1"/>
    <col min="17" max="16384" width="8.83203125" style="21"/>
  </cols>
  <sheetData>
    <row r="1" spans="1:16" ht="15">
      <c r="A1" s="20" t="s">
        <v>52</v>
      </c>
      <c r="B1" s="20" t="s">
        <v>57</v>
      </c>
      <c r="C1" s="20" t="s">
        <v>58</v>
      </c>
      <c r="D1" s="20" t="s">
        <v>5932</v>
      </c>
      <c r="E1" s="20" t="s">
        <v>5933</v>
      </c>
      <c r="F1" s="20" t="s">
        <v>5929</v>
      </c>
      <c r="G1" s="20"/>
    </row>
    <row r="2" spans="1:16">
      <c r="A2" s="22">
        <v>42065</v>
      </c>
      <c r="B2" s="21">
        <v>39.565928999999997</v>
      </c>
      <c r="C2" s="23">
        <v>31924000</v>
      </c>
      <c r="D2" s="24">
        <f>LN(B3/B2)</f>
        <v>-1.3768311448059681E-2</v>
      </c>
      <c r="E2" s="25">
        <f>C3-C2</f>
        <v>-175400</v>
      </c>
      <c r="F2" s="20">
        <v>1</v>
      </c>
      <c r="H2" s="26" t="s">
        <v>5934</v>
      </c>
      <c r="I2" s="27"/>
      <c r="J2" s="27"/>
      <c r="K2" s="28"/>
      <c r="M2" s="29"/>
      <c r="N2" s="29" t="s">
        <v>5935</v>
      </c>
      <c r="O2" s="29" t="s">
        <v>5936</v>
      </c>
      <c r="P2" s="29" t="s">
        <v>5937</v>
      </c>
    </row>
    <row r="3" spans="1:16">
      <c r="A3" s="22">
        <v>42066</v>
      </c>
      <c r="B3" s="21">
        <v>39.024906000000001</v>
      </c>
      <c r="C3" s="23">
        <v>31748600</v>
      </c>
      <c r="D3" s="24">
        <f t="shared" ref="D3:D66" si="0">LN(B4/B3)</f>
        <v>-5.0961788074067507E-3</v>
      </c>
      <c r="E3" s="25">
        <f t="shared" ref="E3:E66" si="1">C4-C3</f>
        <v>-5999900</v>
      </c>
      <c r="F3" s="20">
        <v>1</v>
      </c>
      <c r="H3" s="26" t="s">
        <v>5932</v>
      </c>
      <c r="I3" s="28"/>
      <c r="J3" s="26" t="s">
        <v>5938</v>
      </c>
      <c r="K3" s="28"/>
      <c r="M3" s="29" t="s">
        <v>5939</v>
      </c>
      <c r="N3" s="21">
        <f>_xlfn.COVARIANCE.P(E2:E1268,D2:D1268)/_xlfn.VAR.P(E2:E1268)</f>
        <v>-1.2201152223516392E-10</v>
      </c>
      <c r="O3" s="29">
        <f>SLOPE(D2:D1268,E2:E1268)</f>
        <v>-1.2201152223516108E-10</v>
      </c>
      <c r="P3" s="29">
        <f t="array" ref="P3:P4">MMULT(MINVERSE(MMULT(TRANSPOSE(X),X)),MMULT(TRANSPOSE(X),Y))</f>
        <v>-1.2201152223516387E-10</v>
      </c>
    </row>
    <row r="4" spans="1:16">
      <c r="A4" s="22">
        <v>42067</v>
      </c>
      <c r="B4" s="21">
        <v>38.826534000000002</v>
      </c>
      <c r="C4" s="23">
        <v>25748700</v>
      </c>
      <c r="D4" s="24">
        <f t="shared" si="0"/>
        <v>1.1607483086424407E-3</v>
      </c>
      <c r="E4" s="25">
        <f t="shared" si="1"/>
        <v>-2555200</v>
      </c>
      <c r="F4" s="20">
        <v>1</v>
      </c>
      <c r="H4" s="29" t="s">
        <v>5940</v>
      </c>
      <c r="I4" s="30">
        <f>MIN(Y)</f>
        <v>-9.9641666399704232E-2</v>
      </c>
      <c r="J4" s="29" t="s">
        <v>5940</v>
      </c>
      <c r="K4" s="31">
        <f>MIN(a)</f>
        <v>7425600</v>
      </c>
      <c r="M4" s="29" t="s">
        <v>5941</v>
      </c>
      <c r="N4" s="29"/>
      <c r="O4" s="29"/>
      <c r="P4" s="29">
        <v>9.9796109731252404E-4</v>
      </c>
    </row>
    <row r="5" spans="1:16">
      <c r="A5" s="22">
        <v>42068</v>
      </c>
      <c r="B5" s="21">
        <v>38.871628000000001</v>
      </c>
      <c r="C5" s="23">
        <v>23193500</v>
      </c>
      <c r="D5" s="24">
        <f t="shared" si="0"/>
        <v>-1.7550532558731884E-2</v>
      </c>
      <c r="E5" s="25">
        <f t="shared" si="1"/>
        <v>13055300</v>
      </c>
      <c r="F5" s="20">
        <v>1</v>
      </c>
      <c r="H5" s="29" t="s">
        <v>5942</v>
      </c>
      <c r="I5" s="30">
        <f>QUARTILE(Y,1)</f>
        <v>-5.5894394747032523E-3</v>
      </c>
      <c r="J5" s="29" t="s">
        <v>5942</v>
      </c>
      <c r="K5" s="31">
        <f>QUARTILE(a,1)</f>
        <v>20717950</v>
      </c>
    </row>
    <row r="6" spans="1:16">
      <c r="A6" s="22">
        <v>42069</v>
      </c>
      <c r="B6" s="21">
        <v>38.195362000000003</v>
      </c>
      <c r="C6" s="23">
        <v>36248800</v>
      </c>
      <c r="D6" s="24">
        <f t="shared" si="0"/>
        <v>1.1501137740280422E-2</v>
      </c>
      <c r="E6" s="25">
        <f t="shared" si="1"/>
        <v>-4140800</v>
      </c>
      <c r="F6" s="20">
        <v>1</v>
      </c>
      <c r="H6" s="29" t="s">
        <v>5943</v>
      </c>
      <c r="I6" s="30">
        <f>MEDIAN(Y)</f>
        <v>9.5418916899277998E-4</v>
      </c>
      <c r="J6" s="29" t="s">
        <v>5943</v>
      </c>
      <c r="K6" s="31">
        <f>MEDIAN(a)</f>
        <v>25850650</v>
      </c>
    </row>
    <row r="7" spans="1:16">
      <c r="A7" s="22">
        <v>42072</v>
      </c>
      <c r="B7" s="21">
        <v>38.637188000000002</v>
      </c>
      <c r="C7" s="23">
        <v>32108000</v>
      </c>
      <c r="D7" s="24">
        <f t="shared" si="0"/>
        <v>-1.9322169458859333E-2</v>
      </c>
      <c r="E7" s="25">
        <f t="shared" si="1"/>
        <v>7051700</v>
      </c>
      <c r="F7" s="20">
        <v>1</v>
      </c>
      <c r="H7" s="29" t="s">
        <v>5944</v>
      </c>
      <c r="I7" s="30">
        <f>AVERAGE(Y)</f>
        <v>9.9205770414703947E-4</v>
      </c>
      <c r="J7" s="29" t="s">
        <v>5944</v>
      </c>
      <c r="K7" s="31">
        <f>AVERAGE(a)</f>
        <v>29261729.02208202</v>
      </c>
    </row>
    <row r="8" spans="1:16">
      <c r="A8" s="22">
        <v>42073</v>
      </c>
      <c r="B8" s="21">
        <v>37.897799999999997</v>
      </c>
      <c r="C8" s="23">
        <v>39159700</v>
      </c>
      <c r="D8" s="24">
        <f t="shared" si="0"/>
        <v>-1.1902758294672618E-3</v>
      </c>
      <c r="E8" s="25">
        <f t="shared" si="1"/>
        <v>-6944400</v>
      </c>
      <c r="F8" s="20">
        <v>1</v>
      </c>
      <c r="H8" s="29" t="s">
        <v>5945</v>
      </c>
      <c r="I8" s="30">
        <f>QUARTILE(Y,3)</f>
        <v>8.1828621028716859E-3</v>
      </c>
      <c r="J8" s="29" t="s">
        <v>5945</v>
      </c>
      <c r="K8" s="31">
        <f>QUARTILE(a,3)</f>
        <v>33428250</v>
      </c>
    </row>
    <row r="9" spans="1:16">
      <c r="A9" s="22">
        <v>42074</v>
      </c>
      <c r="B9" s="21">
        <v>37.852718000000003</v>
      </c>
      <c r="C9" s="23">
        <v>32215300</v>
      </c>
      <c r="D9" s="24">
        <f t="shared" si="0"/>
        <v>-2.3133421658477208E-2</v>
      </c>
      <c r="E9" s="25">
        <f t="shared" si="1"/>
        <v>27777200</v>
      </c>
      <c r="F9" s="20">
        <v>1</v>
      </c>
      <c r="H9" s="29" t="s">
        <v>5946</v>
      </c>
      <c r="I9" s="30">
        <f>MAX(Y)</f>
        <v>9.941303979719146E-2</v>
      </c>
      <c r="J9" s="29" t="s">
        <v>5946</v>
      </c>
      <c r="K9" s="31">
        <f>MAX(a)</f>
        <v>135227100</v>
      </c>
    </row>
    <row r="10" spans="1:16">
      <c r="A10" s="22">
        <v>42075</v>
      </c>
      <c r="B10" s="21">
        <v>36.987105999999997</v>
      </c>
      <c r="C10" s="23">
        <v>59992500</v>
      </c>
      <c r="D10" s="24">
        <f t="shared" si="0"/>
        <v>8.7379601820990593E-3</v>
      </c>
      <c r="E10" s="25">
        <f t="shared" si="1"/>
        <v>-1984800</v>
      </c>
      <c r="F10" s="20">
        <v>1</v>
      </c>
    </row>
    <row r="11" spans="1:16">
      <c r="A11" s="22">
        <v>42076</v>
      </c>
      <c r="B11" s="21">
        <v>37.311714000000002</v>
      </c>
      <c r="C11" s="23">
        <v>58007700</v>
      </c>
      <c r="D11" s="24">
        <f t="shared" si="0"/>
        <v>4.3403004236584374E-3</v>
      </c>
      <c r="E11" s="25">
        <f t="shared" si="1"/>
        <v>-22734200</v>
      </c>
      <c r="F11" s="20">
        <v>1</v>
      </c>
    </row>
    <row r="12" spans="1:16">
      <c r="A12" s="22">
        <v>42079</v>
      </c>
      <c r="B12" s="21">
        <v>37.47401</v>
      </c>
      <c r="C12" s="23">
        <v>35273500</v>
      </c>
      <c r="D12" s="24">
        <f t="shared" si="0"/>
        <v>3.3629668996688635E-3</v>
      </c>
      <c r="E12" s="25">
        <f t="shared" si="1"/>
        <v>-3600100</v>
      </c>
      <c r="F12" s="20">
        <v>1</v>
      </c>
    </row>
    <row r="13" spans="1:16">
      <c r="A13" s="22">
        <v>42080</v>
      </c>
      <c r="B13" s="21">
        <v>37.600245999999999</v>
      </c>
      <c r="C13" s="23">
        <v>31673400</v>
      </c>
      <c r="D13" s="24">
        <f t="shared" si="0"/>
        <v>1.9002956387131672E-2</v>
      </c>
      <c r="E13" s="25">
        <f t="shared" si="1"/>
        <v>12521400</v>
      </c>
      <c r="F13" s="20">
        <v>1</v>
      </c>
    </row>
    <row r="14" spans="1:16">
      <c r="A14" s="22">
        <v>42081</v>
      </c>
      <c r="B14" s="21">
        <v>38.321593999999997</v>
      </c>
      <c r="C14" s="23">
        <v>44194800</v>
      </c>
      <c r="D14" s="24">
        <f t="shared" si="0"/>
        <v>-4.9532209806805788E-3</v>
      </c>
      <c r="E14" s="25">
        <f t="shared" si="1"/>
        <v>-10315700</v>
      </c>
      <c r="F14" s="20">
        <v>1</v>
      </c>
    </row>
    <row r="15" spans="1:16">
      <c r="A15" s="22">
        <v>42082</v>
      </c>
      <c r="B15" s="21">
        <v>38.132247999999997</v>
      </c>
      <c r="C15" s="23">
        <v>33879100</v>
      </c>
      <c r="D15" s="24">
        <f t="shared" si="0"/>
        <v>1.3854865241454638E-2</v>
      </c>
      <c r="E15" s="25">
        <f t="shared" si="1"/>
        <v>38025400</v>
      </c>
      <c r="F15" s="20">
        <v>1</v>
      </c>
    </row>
    <row r="16" spans="1:16">
      <c r="A16" s="22">
        <v>42083</v>
      </c>
      <c r="B16" s="21">
        <v>38.664242000000002</v>
      </c>
      <c r="C16" s="23">
        <v>71904500</v>
      </c>
      <c r="D16" s="24">
        <f t="shared" si="0"/>
        <v>-4.6648285866928959E-4</v>
      </c>
      <c r="E16" s="25">
        <f t="shared" si="1"/>
        <v>-45658400</v>
      </c>
      <c r="F16" s="20">
        <v>1</v>
      </c>
    </row>
    <row r="17" spans="1:12">
      <c r="A17" s="22">
        <v>42086</v>
      </c>
      <c r="B17" s="21">
        <v>38.646210000000004</v>
      </c>
      <c r="C17" s="23">
        <v>26246100</v>
      </c>
      <c r="D17" s="24">
        <f t="shared" si="0"/>
        <v>9.3264480599716479E-4</v>
      </c>
      <c r="E17" s="25">
        <f t="shared" si="1"/>
        <v>-732800</v>
      </c>
      <c r="F17" s="20">
        <v>1</v>
      </c>
    </row>
    <row r="18" spans="1:12">
      <c r="A18" s="22">
        <v>42087</v>
      </c>
      <c r="B18" s="21">
        <v>38.682270000000003</v>
      </c>
      <c r="C18" s="23">
        <v>25513300</v>
      </c>
      <c r="D18" s="24">
        <f t="shared" si="0"/>
        <v>-3.4142669542604226E-2</v>
      </c>
      <c r="E18" s="25">
        <f t="shared" si="1"/>
        <v>17956600</v>
      </c>
      <c r="F18" s="20">
        <v>1</v>
      </c>
    </row>
    <row r="19" spans="1:12">
      <c r="A19" s="22">
        <v>42088</v>
      </c>
      <c r="B19" s="21">
        <v>37.383845999999998</v>
      </c>
      <c r="C19" s="23">
        <v>43469900</v>
      </c>
      <c r="D19" s="24">
        <f t="shared" si="0"/>
        <v>-6.0482648642400192E-3</v>
      </c>
      <c r="E19" s="25">
        <f t="shared" si="1"/>
        <v>-5974300</v>
      </c>
      <c r="F19" s="20">
        <v>1</v>
      </c>
    </row>
    <row r="20" spans="1:12">
      <c r="A20" s="22">
        <v>42089</v>
      </c>
      <c r="B20" s="21">
        <v>37.158420999999997</v>
      </c>
      <c r="C20" s="23">
        <v>37495600</v>
      </c>
      <c r="D20" s="24">
        <f t="shared" si="0"/>
        <v>-5.8405480142997793E-3</v>
      </c>
      <c r="E20" s="25">
        <f t="shared" si="1"/>
        <v>-3094200</v>
      </c>
      <c r="F20" s="20">
        <v>1</v>
      </c>
    </row>
    <row r="21" spans="1:12">
      <c r="A21" s="22">
        <v>42090</v>
      </c>
      <c r="B21" s="21">
        <v>36.942028000000001</v>
      </c>
      <c r="C21" s="23">
        <v>34401400</v>
      </c>
      <c r="D21" s="24">
        <f t="shared" si="0"/>
        <v>-2.4414200760991864E-4</v>
      </c>
      <c r="E21" s="25">
        <f t="shared" si="1"/>
        <v>648300</v>
      </c>
      <c r="F21" s="20">
        <v>1</v>
      </c>
    </row>
    <row r="22" spans="1:12">
      <c r="A22" s="22">
        <v>42093</v>
      </c>
      <c r="B22" s="21">
        <v>36.933010000000003</v>
      </c>
      <c r="C22" s="23">
        <v>35049700</v>
      </c>
      <c r="D22" s="24">
        <f t="shared" si="0"/>
        <v>-7.3514331696913965E-3</v>
      </c>
      <c r="E22" s="25">
        <f t="shared" si="1"/>
        <v>-162500</v>
      </c>
      <c r="F22" s="20">
        <v>1</v>
      </c>
    </row>
    <row r="23" spans="1:12">
      <c r="A23" s="22">
        <v>42094</v>
      </c>
      <c r="B23" s="21">
        <v>36.662495</v>
      </c>
      <c r="C23" s="23">
        <v>34887200</v>
      </c>
      <c r="D23" s="24">
        <f t="shared" si="0"/>
        <v>1.4747254195854192E-3</v>
      </c>
      <c r="E23" s="25">
        <f t="shared" si="1"/>
        <v>1978100</v>
      </c>
      <c r="F23" s="20">
        <v>1</v>
      </c>
    </row>
    <row r="24" spans="1:12">
      <c r="A24" s="22">
        <v>42095</v>
      </c>
      <c r="B24" s="21">
        <v>36.716602000000002</v>
      </c>
      <c r="C24" s="23">
        <v>36865300</v>
      </c>
      <c r="D24" s="24">
        <f t="shared" si="0"/>
        <v>-1.0615895997254489E-2</v>
      </c>
      <c r="E24" s="25">
        <f t="shared" si="1"/>
        <v>622200</v>
      </c>
      <c r="F24" s="20">
        <v>1</v>
      </c>
    </row>
    <row r="25" spans="1:12">
      <c r="A25" s="22">
        <v>42096</v>
      </c>
      <c r="B25" s="21">
        <v>36.328884000000002</v>
      </c>
      <c r="C25" s="23">
        <v>37487500</v>
      </c>
      <c r="D25" s="24">
        <f t="shared" si="0"/>
        <v>3.0793849628447816E-2</v>
      </c>
      <c r="E25" s="25">
        <f t="shared" si="1"/>
        <v>1736200</v>
      </c>
      <c r="F25" s="20">
        <v>1</v>
      </c>
    </row>
    <row r="26" spans="1:12">
      <c r="A26" s="22">
        <v>42100</v>
      </c>
      <c r="B26" s="21">
        <v>37.464993</v>
      </c>
      <c r="C26" s="23">
        <v>39223700</v>
      </c>
      <c r="D26" s="24">
        <f t="shared" si="0"/>
        <v>-4.8152532001892679E-4</v>
      </c>
      <c r="E26" s="25">
        <f t="shared" si="1"/>
        <v>-10414300</v>
      </c>
      <c r="F26" s="20">
        <v>1</v>
      </c>
    </row>
    <row r="27" spans="1:12">
      <c r="A27" s="22">
        <v>42101</v>
      </c>
      <c r="B27" s="21">
        <v>37.446956999999998</v>
      </c>
      <c r="C27" s="23">
        <v>28809400</v>
      </c>
      <c r="D27" s="24">
        <f t="shared" si="0"/>
        <v>-2.652220572064361E-3</v>
      </c>
      <c r="E27" s="25">
        <f t="shared" si="1"/>
        <v>-4056000</v>
      </c>
      <c r="F27" s="20">
        <v>1</v>
      </c>
    </row>
    <row r="28" spans="1:12">
      <c r="A28" s="22">
        <v>42102</v>
      </c>
      <c r="B28" s="21">
        <v>37.347771000000002</v>
      </c>
      <c r="C28" s="23">
        <v>24753400</v>
      </c>
      <c r="D28" s="24">
        <f t="shared" si="0"/>
        <v>1.4478998734120689E-3</v>
      </c>
      <c r="E28" s="25">
        <f t="shared" si="1"/>
        <v>970500</v>
      </c>
      <c r="F28" s="20">
        <v>1</v>
      </c>
    </row>
    <row r="29" spans="1:12">
      <c r="A29" s="22">
        <v>42103</v>
      </c>
      <c r="B29" s="21">
        <v>37.401885999999998</v>
      </c>
      <c r="C29" s="23">
        <v>25723900</v>
      </c>
      <c r="D29" s="24">
        <f t="shared" si="0"/>
        <v>5.7690246752736766E-3</v>
      </c>
      <c r="E29" s="25">
        <f t="shared" si="1"/>
        <v>2298100</v>
      </c>
      <c r="F29" s="20">
        <v>1</v>
      </c>
    </row>
    <row r="30" spans="1:12" ht="14.5" customHeight="1">
      <c r="A30" s="22">
        <v>42104</v>
      </c>
      <c r="B30" s="21">
        <v>37.618282000000001</v>
      </c>
      <c r="C30" s="23">
        <v>28022000</v>
      </c>
      <c r="D30" s="24">
        <f t="shared" si="0"/>
        <v>9.5843601813830727E-4</v>
      </c>
      <c r="E30" s="25">
        <f t="shared" si="1"/>
        <v>2254700</v>
      </c>
      <c r="F30" s="20">
        <v>1</v>
      </c>
      <c r="G30" s="32" t="s">
        <v>5947</v>
      </c>
      <c r="H30" s="33" t="s">
        <v>5948</v>
      </c>
      <c r="I30" s="33" t="s">
        <v>5949</v>
      </c>
    </row>
    <row r="31" spans="1:12">
      <c r="A31" s="22">
        <v>42107</v>
      </c>
      <c r="B31" s="21">
        <v>37.654353999999998</v>
      </c>
      <c r="C31" s="23">
        <v>30276700</v>
      </c>
      <c r="D31" s="24">
        <f t="shared" si="0"/>
        <v>-2.6374865730509718E-3</v>
      </c>
      <c r="E31" s="25">
        <f t="shared" si="1"/>
        <v>-6032300</v>
      </c>
      <c r="F31" s="20">
        <v>1</v>
      </c>
      <c r="G31" s="32"/>
      <c r="H31" s="33"/>
      <c r="I31" s="33"/>
      <c r="K31" s="29" t="s">
        <v>5944</v>
      </c>
      <c r="L31" s="29">
        <f>AVERAGE(Y)</f>
        <v>9.9205770414703947E-4</v>
      </c>
    </row>
    <row r="32" spans="1:12">
      <c r="A32" s="22">
        <v>42108</v>
      </c>
      <c r="B32" s="21">
        <v>37.555171999999999</v>
      </c>
      <c r="C32" s="23">
        <v>24244400</v>
      </c>
      <c r="D32" s="24">
        <f t="shared" si="0"/>
        <v>1.453938825103551E-2</v>
      </c>
      <c r="E32" s="25">
        <f t="shared" si="1"/>
        <v>3099200</v>
      </c>
      <c r="F32" s="20">
        <v>1</v>
      </c>
      <c r="G32" s="29">
        <v>0</v>
      </c>
      <c r="H32" s="33"/>
      <c r="I32" s="29">
        <f>B1269</f>
        <v>139.05999800000001</v>
      </c>
      <c r="K32" s="29" t="s">
        <v>5950</v>
      </c>
      <c r="L32" s="29">
        <f>STDEV(Y)</f>
        <v>1.5398852696814833E-2</v>
      </c>
    </row>
    <row r="33" spans="1:20">
      <c r="A33" s="22">
        <v>42109</v>
      </c>
      <c r="B33" s="21">
        <v>38.10519</v>
      </c>
      <c r="C33" s="23">
        <v>27343600</v>
      </c>
      <c r="D33" s="24">
        <f t="shared" si="0"/>
        <v>-2.368885485668657E-3</v>
      </c>
      <c r="E33" s="25">
        <f t="shared" si="1"/>
        <v>-4833900</v>
      </c>
      <c r="F33" s="20">
        <v>1</v>
      </c>
      <c r="G33" s="21">
        <v>1</v>
      </c>
      <c r="H33" s="21">
        <v>0.95868472271831706</v>
      </c>
      <c r="I33" s="21">
        <f>I32*EXP($L$31*$L$33+$L$32*H33*SQRT($L$33))</f>
        <v>139.19044734610154</v>
      </c>
      <c r="K33" s="34" t="s">
        <v>5951</v>
      </c>
      <c r="L33" s="29">
        <v>4.0000000000000001E-3</v>
      </c>
    </row>
    <row r="34" spans="1:20">
      <c r="A34" s="22">
        <v>42110</v>
      </c>
      <c r="B34" s="21">
        <v>38.015030000000003</v>
      </c>
      <c r="C34" s="23">
        <v>22509700</v>
      </c>
      <c r="D34" s="24">
        <f t="shared" si="0"/>
        <v>-1.2891249088891527E-2</v>
      </c>
      <c r="E34" s="25">
        <f t="shared" si="1"/>
        <v>19877900</v>
      </c>
      <c r="F34" s="20">
        <v>1</v>
      </c>
      <c r="G34" s="21">
        <v>2</v>
      </c>
      <c r="H34" s="21">
        <v>1.0757207746792119</v>
      </c>
      <c r="I34" s="21">
        <f t="shared" ref="I34:I97" si="2">I33*EXP($L$31*$L$33+$L$32*H34*SQRT($L$33))</f>
        <v>139.33690012152903</v>
      </c>
    </row>
    <row r="35" spans="1:20">
      <c r="A35" s="22">
        <v>42111</v>
      </c>
      <c r="B35" s="21">
        <v>37.528114000000002</v>
      </c>
      <c r="C35" s="23">
        <v>42387600</v>
      </c>
      <c r="D35" s="24">
        <f t="shared" si="0"/>
        <v>3.0523996278372018E-2</v>
      </c>
      <c r="E35" s="25">
        <f t="shared" si="1"/>
        <v>3670100</v>
      </c>
      <c r="F35" s="20">
        <v>1</v>
      </c>
      <c r="G35" s="21">
        <v>3</v>
      </c>
      <c r="H35" s="21">
        <v>-0.79704022937221453</v>
      </c>
      <c r="I35" s="21">
        <f t="shared" si="2"/>
        <v>139.22933506390251</v>
      </c>
    </row>
    <row r="36" spans="1:20">
      <c r="A36" s="22">
        <v>42114</v>
      </c>
      <c r="B36" s="21">
        <v>38.691284000000003</v>
      </c>
      <c r="C36" s="23">
        <v>46057700</v>
      </c>
      <c r="D36" s="24">
        <f t="shared" si="0"/>
        <v>-6.3117854925977988E-3</v>
      </c>
      <c r="E36" s="25">
        <f t="shared" si="1"/>
        <v>-20043900</v>
      </c>
      <c r="F36" s="20">
        <v>1</v>
      </c>
      <c r="G36" s="21">
        <v>4</v>
      </c>
      <c r="H36" s="21">
        <v>0.68477675085887313</v>
      </c>
      <c r="I36" s="21">
        <f t="shared" si="2"/>
        <v>139.32277236237263</v>
      </c>
    </row>
    <row r="37" spans="1:20">
      <c r="A37" s="22">
        <v>42115</v>
      </c>
      <c r="B37" s="21">
        <v>38.447842000000001</v>
      </c>
      <c r="C37" s="23">
        <v>26013800</v>
      </c>
      <c r="D37" s="24">
        <f t="shared" si="0"/>
        <v>8.1746552651517698E-3</v>
      </c>
      <c r="E37" s="25">
        <f t="shared" si="1"/>
        <v>-949500</v>
      </c>
      <c r="F37" s="20">
        <v>1</v>
      </c>
      <c r="G37" s="21">
        <v>5</v>
      </c>
      <c r="H37" s="21">
        <v>-1.3679391486220993</v>
      </c>
      <c r="I37" s="21">
        <f t="shared" si="2"/>
        <v>139.13783556707267</v>
      </c>
    </row>
    <row r="38" spans="1:20">
      <c r="A38" s="22">
        <v>42116</v>
      </c>
      <c r="B38" s="21">
        <v>38.763427999999998</v>
      </c>
      <c r="C38" s="23">
        <v>25064300</v>
      </c>
      <c r="D38" s="24">
        <f t="shared" si="0"/>
        <v>8.1083717551697441E-3</v>
      </c>
      <c r="E38" s="25">
        <f t="shared" si="1"/>
        <v>21245200</v>
      </c>
      <c r="F38" s="20">
        <v>1</v>
      </c>
      <c r="G38" s="21">
        <v>6</v>
      </c>
      <c r="H38" s="21">
        <v>-0.12929831427754834</v>
      </c>
      <c r="I38" s="21">
        <f t="shared" si="2"/>
        <v>139.12086783057086</v>
      </c>
    </row>
    <row r="39" spans="1:20">
      <c r="A39" s="22">
        <v>42117</v>
      </c>
      <c r="B39" s="21">
        <v>39.079014000000001</v>
      </c>
      <c r="C39" s="23">
        <v>46309500</v>
      </c>
      <c r="D39" s="24">
        <f t="shared" si="0"/>
        <v>9.941303979719146E-2</v>
      </c>
      <c r="E39" s="25">
        <f t="shared" si="1"/>
        <v>84624200</v>
      </c>
      <c r="F39" s="20">
        <v>1</v>
      </c>
      <c r="G39" s="21">
        <v>7</v>
      </c>
      <c r="H39" s="21">
        <v>-1.2121086001570802</v>
      </c>
      <c r="I39" s="21">
        <f t="shared" si="2"/>
        <v>138.95728626296426</v>
      </c>
    </row>
    <row r="40" spans="1:20">
      <c r="A40" s="22">
        <v>42118</v>
      </c>
      <c r="B40" s="21">
        <v>43.163646999999997</v>
      </c>
      <c r="C40" s="23">
        <v>130933700</v>
      </c>
      <c r="D40" s="24">
        <f t="shared" si="0"/>
        <v>3.3367764041909065E-3</v>
      </c>
      <c r="E40" s="25">
        <f t="shared" si="1"/>
        <v>-71685500</v>
      </c>
      <c r="F40" s="20">
        <v>1</v>
      </c>
      <c r="G40" s="21">
        <v>8</v>
      </c>
      <c r="H40" s="21">
        <v>1.0847702469618525</v>
      </c>
      <c r="I40" s="21">
        <f t="shared" si="2"/>
        <v>139.10471968688202</v>
      </c>
    </row>
    <row r="41" spans="1:20">
      <c r="A41" s="22">
        <v>42121</v>
      </c>
      <c r="B41" s="21">
        <v>43.307915000000001</v>
      </c>
      <c r="C41" s="23">
        <v>59248200</v>
      </c>
      <c r="D41" s="24">
        <f t="shared" si="0"/>
        <v>2.3254588944977974E-2</v>
      </c>
      <c r="E41" s="25">
        <f t="shared" si="1"/>
        <v>1482600</v>
      </c>
      <c r="F41" s="20">
        <v>1</v>
      </c>
      <c r="G41" s="21">
        <v>9</v>
      </c>
      <c r="H41" s="21">
        <v>1.255671122635249</v>
      </c>
      <c r="I41" s="21">
        <f t="shared" si="2"/>
        <v>139.27548888444028</v>
      </c>
    </row>
    <row r="42" spans="1:20">
      <c r="A42" s="22">
        <v>42122</v>
      </c>
      <c r="B42" s="21">
        <v>44.326824000000002</v>
      </c>
      <c r="C42" s="23">
        <v>60730800</v>
      </c>
      <c r="D42" s="24">
        <f t="shared" si="0"/>
        <v>-2.0363932918983029E-3</v>
      </c>
      <c r="E42" s="25">
        <f t="shared" si="1"/>
        <v>-12926200</v>
      </c>
      <c r="F42" s="20">
        <v>1</v>
      </c>
      <c r="G42" s="21">
        <v>10</v>
      </c>
      <c r="H42" s="21">
        <v>1.6503054212080315</v>
      </c>
      <c r="I42" s="21">
        <f t="shared" si="2"/>
        <v>139.50007258354836</v>
      </c>
    </row>
    <row r="43" spans="1:20">
      <c r="A43" s="22">
        <v>42123</v>
      </c>
      <c r="B43" s="21">
        <v>44.236649</v>
      </c>
      <c r="C43" s="23">
        <v>47804600</v>
      </c>
      <c r="D43" s="24">
        <f t="shared" si="0"/>
        <v>-8.5978113505696466E-3</v>
      </c>
      <c r="E43" s="25">
        <f t="shared" si="1"/>
        <v>16920900</v>
      </c>
      <c r="F43" s="20">
        <v>1</v>
      </c>
      <c r="G43" s="21">
        <v>11</v>
      </c>
      <c r="H43" s="21">
        <v>0.92777099780505523</v>
      </c>
      <c r="I43" s="21">
        <f t="shared" si="2"/>
        <v>139.62673092791795</v>
      </c>
    </row>
    <row r="44" spans="1:20">
      <c r="A44" s="22">
        <v>42124</v>
      </c>
      <c r="B44" s="21">
        <v>43.857940999999997</v>
      </c>
      <c r="C44" s="23">
        <v>64725500</v>
      </c>
      <c r="D44" s="24">
        <f t="shared" si="0"/>
        <v>4.1131182161018557E-4</v>
      </c>
      <c r="E44" s="25">
        <f t="shared" si="1"/>
        <v>-25788200</v>
      </c>
      <c r="F44" s="20">
        <v>1</v>
      </c>
      <c r="G44" s="21">
        <v>12</v>
      </c>
      <c r="H44" s="21">
        <v>-1.6332342056557536</v>
      </c>
      <c r="I44" s="21">
        <f t="shared" si="2"/>
        <v>139.40536738965545</v>
      </c>
      <c r="O44" s="35" t="s">
        <v>5952</v>
      </c>
      <c r="P44" s="35" t="s">
        <v>5953</v>
      </c>
      <c r="Q44" s="35" t="s">
        <v>5954</v>
      </c>
      <c r="S44" s="36" t="s">
        <v>5955</v>
      </c>
      <c r="T44" s="36"/>
    </row>
    <row r="45" spans="1:20">
      <c r="A45" s="22">
        <v>42125</v>
      </c>
      <c r="B45" s="21">
        <v>43.875984000000003</v>
      </c>
      <c r="C45" s="23">
        <v>38937300</v>
      </c>
      <c r="D45" s="24">
        <f t="shared" si="0"/>
        <v>-8.6688854005277684E-3</v>
      </c>
      <c r="E45" s="25">
        <f t="shared" si="1"/>
        <v>-4897800</v>
      </c>
      <c r="F45" s="20">
        <v>1</v>
      </c>
      <c r="G45" s="21">
        <v>13</v>
      </c>
      <c r="H45" s="21">
        <v>-0.13114913599565625</v>
      </c>
      <c r="I45" s="21">
        <f t="shared" si="2"/>
        <v>139.38811577613885</v>
      </c>
      <c r="O45" s="37" t="s">
        <v>5956</v>
      </c>
      <c r="P45" s="30">
        <f>I4</f>
        <v>-9.9641666399704232E-2</v>
      </c>
      <c r="Q45" s="29">
        <f t="array" ref="Q45:Q65">FREQUENCY($D$2:$D$1268,$P$45:$P$65)</f>
        <v>1</v>
      </c>
      <c r="S45" s="29" t="s">
        <v>5957</v>
      </c>
      <c r="T45" s="29">
        <v>20</v>
      </c>
    </row>
    <row r="46" spans="1:20">
      <c r="A46" s="22">
        <v>42128</v>
      </c>
      <c r="B46" s="21">
        <v>43.497272000000002</v>
      </c>
      <c r="C46" s="23">
        <v>34039500</v>
      </c>
      <c r="D46" s="24">
        <f t="shared" si="0"/>
        <v>-1.3355902190165577E-2</v>
      </c>
      <c r="E46" s="25">
        <f t="shared" si="1"/>
        <v>16329700</v>
      </c>
      <c r="F46" s="20">
        <v>1</v>
      </c>
      <c r="G46" s="21">
        <v>14</v>
      </c>
      <c r="H46" s="21">
        <v>0.4129447006562259</v>
      </c>
      <c r="I46" s="21">
        <f t="shared" si="2"/>
        <v>139.44473819205518</v>
      </c>
      <c r="O46" s="37" t="s">
        <v>5958</v>
      </c>
      <c r="P46" s="30">
        <f t="shared" ref="P46:P65" si="3">P45+$T$46</f>
        <v>-8.9688931089859453E-2</v>
      </c>
      <c r="Q46" s="29">
        <v>0</v>
      </c>
      <c r="S46" s="29" t="s">
        <v>5959</v>
      </c>
      <c r="T46" s="29">
        <f>(I9-I4)/T45</f>
        <v>9.9527353098447843E-3</v>
      </c>
    </row>
    <row r="47" spans="1:20">
      <c r="A47" s="22">
        <v>42129</v>
      </c>
      <c r="B47" s="21">
        <v>42.920189000000001</v>
      </c>
      <c r="C47" s="23">
        <v>50369200</v>
      </c>
      <c r="D47" s="24">
        <f t="shared" si="0"/>
        <v>-2.8122769561925828E-2</v>
      </c>
      <c r="E47" s="25">
        <f t="shared" si="1"/>
        <v>2063800</v>
      </c>
      <c r="F47" s="20">
        <v>1</v>
      </c>
      <c r="G47" s="21">
        <v>15</v>
      </c>
      <c r="H47" s="21">
        <v>-0.29383613764366601</v>
      </c>
      <c r="I47" s="21">
        <f t="shared" si="2"/>
        <v>139.4053922415317</v>
      </c>
      <c r="O47" s="37" t="s">
        <v>5960</v>
      </c>
      <c r="P47" s="30">
        <f t="shared" si="3"/>
        <v>-7.9736195780014674E-2</v>
      </c>
      <c r="Q47" s="29">
        <v>0</v>
      </c>
    </row>
    <row r="48" spans="1:20">
      <c r="A48" s="22">
        <v>42130</v>
      </c>
      <c r="B48" s="21">
        <v>41.729968999999997</v>
      </c>
      <c r="C48" s="23">
        <v>52433000</v>
      </c>
      <c r="D48" s="24">
        <f t="shared" si="0"/>
        <v>9.0342722324336534E-3</v>
      </c>
      <c r="E48" s="25">
        <f t="shared" si="1"/>
        <v>-19461300</v>
      </c>
      <c r="F48" s="20">
        <v>1</v>
      </c>
      <c r="G48" s="21">
        <v>16</v>
      </c>
      <c r="H48" s="21">
        <v>1.4325632946565747</v>
      </c>
      <c r="I48" s="21">
        <f t="shared" si="2"/>
        <v>139.60057843320504</v>
      </c>
      <c r="O48" s="37" t="s">
        <v>5961</v>
      </c>
      <c r="P48" s="30">
        <f t="shared" si="3"/>
        <v>-6.9783460470169895E-2</v>
      </c>
      <c r="Q48" s="29">
        <v>3</v>
      </c>
    </row>
    <row r="49" spans="1:17">
      <c r="A49" s="22">
        <v>42131</v>
      </c>
      <c r="B49" s="21">
        <v>42.108677</v>
      </c>
      <c r="C49" s="23">
        <v>32971700</v>
      </c>
      <c r="D49" s="24">
        <f t="shared" si="0"/>
        <v>2.2234926198898688E-2</v>
      </c>
      <c r="E49" s="25">
        <f t="shared" si="1"/>
        <v>2393200</v>
      </c>
      <c r="F49" s="20">
        <v>1</v>
      </c>
      <c r="G49" s="21">
        <v>17</v>
      </c>
      <c r="H49" s="21">
        <v>-0.58535988500807434</v>
      </c>
      <c r="I49" s="21">
        <f t="shared" si="2"/>
        <v>139.52157025883133</v>
      </c>
      <c r="O49" s="37" t="s">
        <v>5962</v>
      </c>
      <c r="P49" s="30">
        <f t="shared" si="3"/>
        <v>-5.9830725160325109E-2</v>
      </c>
      <c r="Q49" s="29">
        <v>0</v>
      </c>
    </row>
    <row r="50" spans="1:17">
      <c r="A50" s="22">
        <v>42132</v>
      </c>
      <c r="B50" s="21">
        <v>43.055447000000001</v>
      </c>
      <c r="C50" s="23">
        <v>35364900</v>
      </c>
      <c r="D50" s="24">
        <f t="shared" si="0"/>
        <v>-7.9901324541186824E-3</v>
      </c>
      <c r="E50" s="25">
        <f t="shared" si="1"/>
        <v>-10755500</v>
      </c>
      <c r="F50" s="20">
        <v>1</v>
      </c>
      <c r="G50" s="21">
        <v>18</v>
      </c>
      <c r="H50" s="21">
        <v>-0.10118810678250156</v>
      </c>
      <c r="I50" s="21">
        <f t="shared" si="2"/>
        <v>139.50837496443324</v>
      </c>
      <c r="O50" s="37" t="s">
        <v>5963</v>
      </c>
      <c r="P50" s="30">
        <f t="shared" si="3"/>
        <v>-4.9877989850480323E-2</v>
      </c>
      <c r="Q50" s="29">
        <v>4</v>
      </c>
    </row>
    <row r="51" spans="1:17">
      <c r="A51" s="22">
        <v>42135</v>
      </c>
      <c r="B51" s="21">
        <v>42.712798999999997</v>
      </c>
      <c r="C51" s="23">
        <v>24609400</v>
      </c>
      <c r="D51" s="24">
        <f t="shared" si="0"/>
        <v>-4.2200003560420883E-4</v>
      </c>
      <c r="E51" s="25">
        <f t="shared" si="1"/>
        <v>5318900</v>
      </c>
      <c r="F51" s="20">
        <v>1</v>
      </c>
      <c r="G51" s="21">
        <v>19</v>
      </c>
      <c r="H51" s="21">
        <v>-0.92413074526120909</v>
      </c>
      <c r="I51" s="21">
        <f t="shared" si="2"/>
        <v>139.38342433776799</v>
      </c>
      <c r="O51" s="37" t="s">
        <v>5964</v>
      </c>
      <c r="P51" s="30">
        <f t="shared" si="3"/>
        <v>-3.9925254540635537E-2</v>
      </c>
      <c r="Q51" s="29">
        <v>9</v>
      </c>
    </row>
    <row r="52" spans="1:17">
      <c r="A52" s="22">
        <v>42136</v>
      </c>
      <c r="B52" s="21">
        <v>42.694777999999999</v>
      </c>
      <c r="C52" s="23">
        <v>29928300</v>
      </c>
      <c r="D52" s="24">
        <f t="shared" si="0"/>
        <v>5.8958377763066649E-3</v>
      </c>
      <c r="E52" s="25">
        <f t="shared" si="1"/>
        <v>4256300</v>
      </c>
      <c r="F52" s="20">
        <v>1</v>
      </c>
      <c r="G52" s="21">
        <v>20</v>
      </c>
      <c r="H52" s="21">
        <v>0.68110693973721936</v>
      </c>
      <c r="I52" s="21">
        <f t="shared" si="2"/>
        <v>139.47646654767479</v>
      </c>
      <c r="O52" s="37" t="s">
        <v>5965</v>
      </c>
      <c r="P52" s="30">
        <f t="shared" si="3"/>
        <v>-2.9972519230790751E-2</v>
      </c>
      <c r="Q52" s="29">
        <v>22</v>
      </c>
    </row>
    <row r="53" spans="1:17">
      <c r="A53" s="22">
        <v>42137</v>
      </c>
      <c r="B53" s="21">
        <v>42.947243</v>
      </c>
      <c r="C53" s="23">
        <v>34184600</v>
      </c>
      <c r="D53" s="24">
        <f t="shared" si="0"/>
        <v>2.2626823614754207E-2</v>
      </c>
      <c r="E53" s="25">
        <f t="shared" si="1"/>
        <v>-1203700</v>
      </c>
      <c r="F53" s="20">
        <v>1</v>
      </c>
      <c r="G53" s="21">
        <v>21</v>
      </c>
      <c r="H53" s="21">
        <v>0.92178652266738936</v>
      </c>
      <c r="I53" s="21">
        <f t="shared" si="2"/>
        <v>139.60228980793519</v>
      </c>
      <c r="O53" s="37" t="s">
        <v>5966</v>
      </c>
      <c r="P53" s="30">
        <f t="shared" si="3"/>
        <v>-2.0019783920945965E-2</v>
      </c>
      <c r="Q53" s="29">
        <v>42</v>
      </c>
    </row>
    <row r="54" spans="1:17">
      <c r="A54" s="22">
        <v>42138</v>
      </c>
      <c r="B54" s="21">
        <v>43.930079999999997</v>
      </c>
      <c r="C54" s="23">
        <v>32980900</v>
      </c>
      <c r="D54" s="24">
        <f t="shared" si="0"/>
        <v>-8.6582329741158419E-3</v>
      </c>
      <c r="E54" s="25">
        <f t="shared" si="1"/>
        <v>-4338200</v>
      </c>
      <c r="F54" s="20">
        <v>1</v>
      </c>
      <c r="G54" s="21">
        <v>22</v>
      </c>
      <c r="H54" s="21">
        <v>0.84406565292738378</v>
      </c>
      <c r="I54" s="21">
        <f t="shared" si="2"/>
        <v>139.71765051920804</v>
      </c>
      <c r="O54" s="37" t="s">
        <v>5967</v>
      </c>
      <c r="P54" s="30">
        <f t="shared" si="3"/>
        <v>-1.006704861110118E-2</v>
      </c>
      <c r="Q54" s="29">
        <v>124</v>
      </c>
    </row>
    <row r="55" spans="1:17">
      <c r="A55" s="22">
        <v>42139</v>
      </c>
      <c r="B55" s="21">
        <v>43.551364999999997</v>
      </c>
      <c r="C55" s="23">
        <v>28642700</v>
      </c>
      <c r="D55" s="24">
        <f t="shared" si="0"/>
        <v>-6.0220873433690612E-3</v>
      </c>
      <c r="E55" s="25">
        <f t="shared" si="1"/>
        <v>-4506200</v>
      </c>
      <c r="F55" s="20">
        <v>1</v>
      </c>
      <c r="G55" s="21">
        <v>23</v>
      </c>
      <c r="H55" s="21">
        <v>-1.2673694982368033</v>
      </c>
      <c r="I55" s="21">
        <f t="shared" si="2"/>
        <v>139.54585680832989</v>
      </c>
      <c r="O55" s="37" t="s">
        <v>5968</v>
      </c>
      <c r="P55" s="30">
        <f t="shared" si="3"/>
        <v>-1.1431330125639613E-4</v>
      </c>
      <c r="Q55" s="29">
        <v>360</v>
      </c>
    </row>
    <row r="56" spans="1:17">
      <c r="A56" s="22">
        <v>42142</v>
      </c>
      <c r="B56" s="21">
        <v>43.289883000000003</v>
      </c>
      <c r="C56" s="23">
        <v>24136500</v>
      </c>
      <c r="D56" s="24">
        <f t="shared" si="0"/>
        <v>-2.5189077010013151E-3</v>
      </c>
      <c r="E56" s="25">
        <f t="shared" si="1"/>
        <v>4438300</v>
      </c>
      <c r="F56" s="20">
        <v>1</v>
      </c>
      <c r="G56" s="21">
        <v>24</v>
      </c>
      <c r="H56" s="21">
        <v>0.18584614736028016</v>
      </c>
      <c r="I56" s="21">
        <f t="shared" si="2"/>
        <v>139.57167035894312</v>
      </c>
      <c r="O56" s="37" t="s">
        <v>5969</v>
      </c>
      <c r="P56" s="30">
        <f t="shared" si="3"/>
        <v>9.8384220085883881E-3</v>
      </c>
      <c r="Q56" s="29">
        <v>425</v>
      </c>
    </row>
    <row r="57" spans="1:17">
      <c r="A57" s="22">
        <v>42143</v>
      </c>
      <c r="B57" s="21">
        <v>43.180976999999999</v>
      </c>
      <c r="C57" s="23">
        <v>28574800</v>
      </c>
      <c r="D57" s="24">
        <f t="shared" si="0"/>
        <v>0</v>
      </c>
      <c r="E57" s="25">
        <f t="shared" si="1"/>
        <v>-3526900</v>
      </c>
      <c r="F57" s="20">
        <v>1</v>
      </c>
      <c r="G57" s="21">
        <v>25</v>
      </c>
      <c r="H57" s="21">
        <v>-0.67408109316602349</v>
      </c>
      <c r="I57" s="21">
        <f t="shared" si="2"/>
        <v>139.48062600876528</v>
      </c>
      <c r="O57" s="37" t="s">
        <v>5970</v>
      </c>
      <c r="P57" s="30">
        <f t="shared" si="3"/>
        <v>1.9791157318433172E-2</v>
      </c>
      <c r="Q57" s="29">
        <v>184</v>
      </c>
    </row>
    <row r="58" spans="1:17">
      <c r="A58" s="22">
        <v>42144</v>
      </c>
      <c r="B58" s="21">
        <v>43.180976999999999</v>
      </c>
      <c r="C58" s="23">
        <v>25047900</v>
      </c>
      <c r="D58" s="24">
        <f t="shared" si="0"/>
        <v>-3.3684904014661416E-3</v>
      </c>
      <c r="E58" s="25">
        <f t="shared" si="1"/>
        <v>-2637200</v>
      </c>
      <c r="F58" s="20">
        <v>1</v>
      </c>
      <c r="G58" s="21">
        <v>26</v>
      </c>
      <c r="H58" s="21">
        <v>0.80738118413137272</v>
      </c>
      <c r="I58" s="21">
        <f t="shared" si="2"/>
        <v>139.59089888325886</v>
      </c>
      <c r="O58" s="37" t="s">
        <v>5971</v>
      </c>
      <c r="P58" s="30">
        <f t="shared" si="3"/>
        <v>2.9743892628277958E-2</v>
      </c>
      <c r="Q58" s="29">
        <v>62</v>
      </c>
    </row>
    <row r="59" spans="1:17">
      <c r="A59" s="22">
        <v>42145</v>
      </c>
      <c r="B59" s="21">
        <v>43.035767</v>
      </c>
      <c r="C59" s="23">
        <v>22410700</v>
      </c>
      <c r="D59" s="24">
        <f t="shared" si="0"/>
        <v>-1.1026517611970578E-2</v>
      </c>
      <c r="E59" s="25">
        <f t="shared" si="1"/>
        <v>3309900</v>
      </c>
      <c r="F59" s="20">
        <v>1</v>
      </c>
      <c r="G59" s="21">
        <v>27</v>
      </c>
      <c r="H59" s="21">
        <v>-0.14211423149390612</v>
      </c>
      <c r="I59" s="21">
        <f t="shared" si="2"/>
        <v>139.57213381051963</v>
      </c>
      <c r="O59" s="37" t="s">
        <v>5972</v>
      </c>
      <c r="P59" s="30">
        <f t="shared" si="3"/>
        <v>3.9696627938122744E-2</v>
      </c>
      <c r="Q59" s="29">
        <v>18</v>
      </c>
    </row>
    <row r="60" spans="1:17">
      <c r="A60" s="22">
        <v>42146</v>
      </c>
      <c r="B60" s="21">
        <v>42.563839000000002</v>
      </c>
      <c r="C60" s="23">
        <v>25720600</v>
      </c>
      <c r="D60" s="24">
        <f t="shared" si="0"/>
        <v>-6.6314467112802396E-3</v>
      </c>
      <c r="E60" s="25">
        <f t="shared" si="1"/>
        <v>3861300</v>
      </c>
      <c r="F60" s="20">
        <v>1</v>
      </c>
      <c r="G60" s="21">
        <v>28</v>
      </c>
      <c r="H60" s="21">
        <v>-0.78157881944207475</v>
      </c>
      <c r="I60" s="21">
        <f t="shared" si="2"/>
        <v>139.46648722893727</v>
      </c>
      <c r="O60" s="37" t="s">
        <v>5973</v>
      </c>
      <c r="P60" s="30">
        <f t="shared" si="3"/>
        <v>4.964936324796753E-2</v>
      </c>
      <c r="Q60" s="29">
        <v>2</v>
      </c>
    </row>
    <row r="61" spans="1:17">
      <c r="A61" s="22">
        <v>42150</v>
      </c>
      <c r="B61" s="21">
        <v>42.282513000000002</v>
      </c>
      <c r="C61" s="23">
        <v>29581900</v>
      </c>
      <c r="D61" s="24">
        <f t="shared" si="0"/>
        <v>2.1656742018019877E-2</v>
      </c>
      <c r="E61" s="25">
        <f t="shared" si="1"/>
        <v>-2246300</v>
      </c>
      <c r="F61" s="20">
        <v>1</v>
      </c>
      <c r="G61" s="21">
        <v>29</v>
      </c>
      <c r="H61" s="21">
        <v>8.3134636952308938E-2</v>
      </c>
      <c r="I61" s="21">
        <f t="shared" si="2"/>
        <v>139.47833315050286</v>
      </c>
      <c r="O61" s="37" t="s">
        <v>5974</v>
      </c>
      <c r="P61" s="30">
        <f t="shared" si="3"/>
        <v>5.9602098557812316E-2</v>
      </c>
      <c r="Q61" s="29">
        <v>4</v>
      </c>
    </row>
    <row r="62" spans="1:17">
      <c r="A62" s="22">
        <v>42151</v>
      </c>
      <c r="B62" s="21">
        <v>43.208202</v>
      </c>
      <c r="C62" s="23">
        <v>27335600</v>
      </c>
      <c r="D62" s="24">
        <f t="shared" si="0"/>
        <v>-3.3662714900568437E-3</v>
      </c>
      <c r="E62" s="25">
        <f t="shared" si="1"/>
        <v>-8051900</v>
      </c>
      <c r="F62" s="20">
        <v>1</v>
      </c>
      <c r="G62" s="21">
        <v>30</v>
      </c>
      <c r="H62" s="21">
        <v>0.41769794734136667</v>
      </c>
      <c r="I62" s="21">
        <f t="shared" si="2"/>
        <v>139.5356381556353</v>
      </c>
      <c r="O62" s="37" t="s">
        <v>5975</v>
      </c>
      <c r="P62" s="30">
        <f t="shared" si="3"/>
        <v>6.9554833867657095E-2</v>
      </c>
      <c r="Q62" s="29">
        <v>4</v>
      </c>
    </row>
    <row r="63" spans="1:17">
      <c r="A63" s="22">
        <v>42152</v>
      </c>
      <c r="B63" s="21">
        <v>43.062995999999998</v>
      </c>
      <c r="C63" s="23">
        <v>19283700</v>
      </c>
      <c r="D63" s="24">
        <f t="shared" si="0"/>
        <v>-1.2512059695715226E-2</v>
      </c>
      <c r="E63" s="25">
        <f t="shared" si="1"/>
        <v>17235900</v>
      </c>
      <c r="F63" s="20">
        <v>1</v>
      </c>
      <c r="G63" s="21">
        <v>31</v>
      </c>
      <c r="H63" s="21">
        <v>0.2090928319375962</v>
      </c>
      <c r="I63" s="21">
        <f t="shared" si="2"/>
        <v>139.56460954450824</v>
      </c>
      <c r="O63" s="37" t="s">
        <v>5976</v>
      </c>
      <c r="P63" s="30">
        <f t="shared" si="3"/>
        <v>7.9507569177501874E-2</v>
      </c>
      <c r="Q63" s="29">
        <v>1</v>
      </c>
    </row>
    <row r="64" spans="1:17">
      <c r="A64" s="22">
        <v>42153</v>
      </c>
      <c r="B64" s="21">
        <v>42.527546000000001</v>
      </c>
      <c r="C64" s="23">
        <v>36519600</v>
      </c>
      <c r="D64" s="24">
        <f t="shared" si="0"/>
        <v>7.8646980235912729E-3</v>
      </c>
      <c r="E64" s="25">
        <f t="shared" si="1"/>
        <v>-7682300</v>
      </c>
      <c r="F64" s="20">
        <v>1</v>
      </c>
      <c r="G64" s="21">
        <v>32</v>
      </c>
      <c r="H64" s="21">
        <v>0.80135578173212707</v>
      </c>
      <c r="I64" s="21">
        <f t="shared" si="2"/>
        <v>139.67412917887549</v>
      </c>
      <c r="O64" s="37" t="s">
        <v>5977</v>
      </c>
      <c r="P64" s="30">
        <f t="shared" si="3"/>
        <v>8.9460304487346654E-2</v>
      </c>
      <c r="Q64" s="29">
        <v>0</v>
      </c>
    </row>
    <row r="65" spans="1:17">
      <c r="A65" s="22">
        <v>42156</v>
      </c>
      <c r="B65" s="21">
        <v>42.863331000000002</v>
      </c>
      <c r="C65" s="23">
        <v>28837300</v>
      </c>
      <c r="D65" s="24">
        <f t="shared" si="0"/>
        <v>-6.5852407954766334E-3</v>
      </c>
      <c r="E65" s="25">
        <f t="shared" si="1"/>
        <v>-7339000</v>
      </c>
      <c r="F65" s="20">
        <v>1</v>
      </c>
      <c r="G65" s="21">
        <v>33</v>
      </c>
      <c r="H65" s="21">
        <v>-1.306234480580315</v>
      </c>
      <c r="I65" s="21">
        <f t="shared" si="2"/>
        <v>139.49710878222965</v>
      </c>
      <c r="O65" s="37" t="s">
        <v>5978</v>
      </c>
      <c r="P65" s="30">
        <f t="shared" si="3"/>
        <v>9.9413039797191433E-2</v>
      </c>
      <c r="Q65" s="29">
        <v>1</v>
      </c>
    </row>
    <row r="66" spans="1:17">
      <c r="A66" s="22">
        <v>42157</v>
      </c>
      <c r="B66" s="21">
        <v>42.581992999999997</v>
      </c>
      <c r="C66" s="23">
        <v>21498300</v>
      </c>
      <c r="D66" s="24">
        <f t="shared" si="0"/>
        <v>-1.4930592569772619E-3</v>
      </c>
      <c r="E66" s="25">
        <f t="shared" si="1"/>
        <v>6503900</v>
      </c>
      <c r="F66" s="20">
        <v>1</v>
      </c>
      <c r="G66" s="21">
        <v>34</v>
      </c>
      <c r="H66" s="21">
        <v>-0.22185531634022482</v>
      </c>
      <c r="I66" s="21">
        <f t="shared" si="2"/>
        <v>139.46752477138753</v>
      </c>
    </row>
    <row r="67" spans="1:17">
      <c r="A67" s="22">
        <v>42158</v>
      </c>
      <c r="B67" s="21">
        <v>42.518462999999997</v>
      </c>
      <c r="C67" s="23">
        <v>28002200</v>
      </c>
      <c r="D67" s="24">
        <f t="shared" ref="D67:D130" si="4">LN(B68/B67)</f>
        <v>-1.0513851451671684E-2</v>
      </c>
      <c r="E67" s="25">
        <f t="shared" ref="E67:E130" si="5">C68-C67</f>
        <v>-256700</v>
      </c>
      <c r="F67" s="20">
        <v>1</v>
      </c>
      <c r="G67" s="21">
        <v>35</v>
      </c>
      <c r="H67" s="21">
        <v>-0.79012124842847697</v>
      </c>
      <c r="I67" s="21">
        <f t="shared" si="2"/>
        <v>139.36079794802387</v>
      </c>
    </row>
    <row r="68" spans="1:17">
      <c r="A68" s="22">
        <v>42159</v>
      </c>
      <c r="B68" s="21">
        <v>42.073771999999998</v>
      </c>
      <c r="C68" s="23">
        <v>27745500</v>
      </c>
      <c r="D68" s="24">
        <f t="shared" si="4"/>
        <v>-4.7568891288222084E-3</v>
      </c>
      <c r="E68" s="25">
        <f t="shared" si="5"/>
        <v>-2307400</v>
      </c>
      <c r="F68" s="20">
        <v>1</v>
      </c>
      <c r="G68" s="21">
        <v>36</v>
      </c>
      <c r="H68" s="21">
        <v>0.39203996493597515</v>
      </c>
      <c r="I68" s="21">
        <f t="shared" si="2"/>
        <v>139.41457085358468</v>
      </c>
    </row>
    <row r="69" spans="1:17">
      <c r="A69" s="22">
        <v>42160</v>
      </c>
      <c r="B69" s="21">
        <v>41.874107000000002</v>
      </c>
      <c r="C69" s="23">
        <v>25438100</v>
      </c>
      <c r="D69" s="24">
        <f t="shared" si="4"/>
        <v>-8.9256119842607388E-3</v>
      </c>
      <c r="E69" s="25">
        <f t="shared" si="5"/>
        <v>-3316500</v>
      </c>
      <c r="F69" s="20">
        <v>1</v>
      </c>
      <c r="G69" s="21">
        <v>37</v>
      </c>
      <c r="H69" s="21">
        <v>5.3644180297851562</v>
      </c>
      <c r="I69" s="21">
        <f t="shared" si="2"/>
        <v>140.14539807470507</v>
      </c>
    </row>
    <row r="70" spans="1:17">
      <c r="A70" s="22">
        <v>42163</v>
      </c>
      <c r="B70" s="21">
        <v>41.502018</v>
      </c>
      <c r="C70" s="23">
        <v>22121600</v>
      </c>
      <c r="D70" s="24">
        <f t="shared" si="4"/>
        <v>-1.7509650484590067E-3</v>
      </c>
      <c r="E70" s="25">
        <f t="shared" si="5"/>
        <v>2284500</v>
      </c>
      <c r="F70" s="20">
        <v>1</v>
      </c>
      <c r="G70" s="21">
        <v>38</v>
      </c>
      <c r="H70" s="21">
        <v>1.2005489224975463</v>
      </c>
      <c r="I70" s="21">
        <f t="shared" si="2"/>
        <v>140.30991224065582</v>
      </c>
    </row>
    <row r="71" spans="1:17">
      <c r="A71" s="22">
        <v>42164</v>
      </c>
      <c r="B71" s="21">
        <v>41.429412999999997</v>
      </c>
      <c r="C71" s="23">
        <v>24406100</v>
      </c>
      <c r="D71" s="24">
        <f t="shared" si="4"/>
        <v>2.0811483053928825E-2</v>
      </c>
      <c r="E71" s="25">
        <f t="shared" si="5"/>
        <v>4011300</v>
      </c>
      <c r="F71" s="20">
        <v>1</v>
      </c>
      <c r="G71" s="21">
        <v>39</v>
      </c>
      <c r="H71" s="21">
        <v>-0.77784761742805131</v>
      </c>
      <c r="I71" s="21">
        <f t="shared" si="2"/>
        <v>140.20421669146049</v>
      </c>
    </row>
    <row r="72" spans="1:17">
      <c r="A72" s="22">
        <v>42165</v>
      </c>
      <c r="B72" s="21">
        <v>42.300654999999999</v>
      </c>
      <c r="C72" s="23">
        <v>28417400</v>
      </c>
      <c r="D72" s="24">
        <f t="shared" si="4"/>
        <v>-3.6540108231191107E-3</v>
      </c>
      <c r="E72" s="25">
        <f t="shared" si="5"/>
        <v>-1069600</v>
      </c>
      <c r="F72" s="20">
        <v>1</v>
      </c>
      <c r="G72" s="21">
        <v>40</v>
      </c>
      <c r="H72" s="21">
        <v>-0.15077375792316161</v>
      </c>
      <c r="I72" s="21">
        <f t="shared" si="2"/>
        <v>140.18418690999508</v>
      </c>
    </row>
    <row r="73" spans="1:17">
      <c r="A73" s="22">
        <v>42166</v>
      </c>
      <c r="B73" s="21">
        <v>42.146369999999997</v>
      </c>
      <c r="C73" s="23">
        <v>27347800</v>
      </c>
      <c r="D73" s="24">
        <f t="shared" si="4"/>
        <v>-1.017200440280357E-2</v>
      </c>
      <c r="E73" s="25">
        <f t="shared" si="5"/>
        <v>-3416800</v>
      </c>
      <c r="F73" s="20">
        <v>1</v>
      </c>
      <c r="G73" s="21">
        <v>41</v>
      </c>
      <c r="H73" s="21">
        <v>-1.6572130334679969</v>
      </c>
      <c r="I73" s="21">
        <f t="shared" si="2"/>
        <v>139.95867106340737</v>
      </c>
    </row>
    <row r="74" spans="1:17">
      <c r="A74" s="22">
        <v>42167</v>
      </c>
      <c r="B74" s="21">
        <v>41.719830000000002</v>
      </c>
      <c r="C74" s="23">
        <v>23931000</v>
      </c>
      <c r="D74" s="24">
        <f t="shared" si="4"/>
        <v>-1.0716488615458807E-2</v>
      </c>
      <c r="E74" s="25">
        <f t="shared" si="5"/>
        <v>9323500</v>
      </c>
      <c r="F74" s="20">
        <v>1</v>
      </c>
      <c r="G74" s="21">
        <v>42</v>
      </c>
      <c r="H74" s="21">
        <v>-1.3779526852886193</v>
      </c>
      <c r="I74" s="21">
        <f t="shared" si="2"/>
        <v>139.77152708058102</v>
      </c>
    </row>
    <row r="75" spans="1:17">
      <c r="A75" s="22">
        <v>42170</v>
      </c>
      <c r="B75" s="21">
        <v>41.275126999999998</v>
      </c>
      <c r="C75" s="23">
        <v>33254500</v>
      </c>
      <c r="D75" s="24">
        <f t="shared" si="4"/>
        <v>7.6664556595903155E-3</v>
      </c>
      <c r="E75" s="25">
        <f t="shared" si="5"/>
        <v>-6184200</v>
      </c>
      <c r="F75" s="20">
        <v>1</v>
      </c>
      <c r="G75" s="21">
        <v>43</v>
      </c>
      <c r="H75" s="21">
        <v>1.0132885108760092</v>
      </c>
      <c r="I75" s="21">
        <f t="shared" si="2"/>
        <v>139.91008399468325</v>
      </c>
    </row>
    <row r="76" spans="1:17">
      <c r="A76" s="22">
        <v>42171</v>
      </c>
      <c r="B76" s="21">
        <v>41.592776999999998</v>
      </c>
      <c r="C76" s="23">
        <v>27070300</v>
      </c>
      <c r="D76" s="24">
        <f t="shared" si="4"/>
        <v>3.050032955868595E-3</v>
      </c>
      <c r="E76" s="25">
        <f t="shared" si="5"/>
        <v>1633800</v>
      </c>
      <c r="F76" s="20">
        <v>1</v>
      </c>
      <c r="G76" s="21">
        <v>44</v>
      </c>
      <c r="H76" s="21">
        <v>-1.2167470231361222</v>
      </c>
      <c r="I76" s="21">
        <f t="shared" si="2"/>
        <v>139.74494316279913</v>
      </c>
    </row>
    <row r="77" spans="1:17">
      <c r="A77" s="22">
        <v>42172</v>
      </c>
      <c r="B77" s="21">
        <v>41.719830000000002</v>
      </c>
      <c r="C77" s="23">
        <v>28704100</v>
      </c>
      <c r="D77" s="24">
        <f t="shared" si="4"/>
        <v>1.6183269096378152E-2</v>
      </c>
      <c r="E77" s="25">
        <f t="shared" si="5"/>
        <v>3954200</v>
      </c>
      <c r="F77" s="20">
        <v>1</v>
      </c>
      <c r="G77" s="21">
        <v>45</v>
      </c>
      <c r="H77" s="21">
        <v>0.58354544307803735</v>
      </c>
      <c r="I77" s="21">
        <f t="shared" si="2"/>
        <v>139.8249404564076</v>
      </c>
    </row>
    <row r="78" spans="1:17">
      <c r="A78" s="22">
        <v>42173</v>
      </c>
      <c r="B78" s="21">
        <v>42.400486000000001</v>
      </c>
      <c r="C78" s="23">
        <v>32658300</v>
      </c>
      <c r="D78" s="24">
        <f t="shared" si="4"/>
        <v>-1.3359324403997673E-2</v>
      </c>
      <c r="E78" s="25">
        <f t="shared" si="5"/>
        <v>31178700</v>
      </c>
      <c r="F78" s="20">
        <v>1</v>
      </c>
      <c r="G78" s="21">
        <v>46</v>
      </c>
      <c r="H78" s="21">
        <v>2.6130874175578356</v>
      </c>
      <c r="I78" s="21">
        <f t="shared" si="2"/>
        <v>140.1817916892098</v>
      </c>
    </row>
    <row r="79" spans="1:17">
      <c r="A79" s="22">
        <v>42174</v>
      </c>
      <c r="B79" s="21">
        <v>41.837811000000002</v>
      </c>
      <c r="C79" s="23">
        <v>63837000</v>
      </c>
      <c r="D79" s="24">
        <f t="shared" si="4"/>
        <v>2.8159686454809012E-3</v>
      </c>
      <c r="E79" s="25">
        <f t="shared" si="5"/>
        <v>-43518900</v>
      </c>
      <c r="F79" s="20">
        <v>1</v>
      </c>
      <c r="G79" s="21">
        <v>47</v>
      </c>
      <c r="H79" s="21">
        <v>-0.32134721550391987</v>
      </c>
      <c r="I79" s="21">
        <f t="shared" si="2"/>
        <v>140.13848294985468</v>
      </c>
    </row>
    <row r="80" spans="1:17">
      <c r="A80" s="22">
        <v>42177</v>
      </c>
      <c r="B80" s="21">
        <v>41.955790999999998</v>
      </c>
      <c r="C80" s="23">
        <v>20318100</v>
      </c>
      <c r="D80" s="24">
        <f t="shared" si="4"/>
        <v>-6.9458525189793358E-3</v>
      </c>
      <c r="E80" s="25">
        <f t="shared" si="5"/>
        <v>5578400</v>
      </c>
      <c r="F80" s="20">
        <v>1</v>
      </c>
      <c r="G80" s="21">
        <v>48</v>
      </c>
      <c r="H80" s="21">
        <v>0.27821670300909318</v>
      </c>
      <c r="I80" s="21">
        <f t="shared" si="2"/>
        <v>140.17701595483393</v>
      </c>
    </row>
    <row r="81" spans="1:9">
      <c r="A81" s="22">
        <v>42178</v>
      </c>
      <c r="B81" s="21">
        <v>41.665382000000001</v>
      </c>
      <c r="C81" s="23">
        <v>25896500</v>
      </c>
      <c r="D81" s="24">
        <f t="shared" si="4"/>
        <v>-5.8984309166137611E-3</v>
      </c>
      <c r="E81" s="25">
        <f t="shared" si="5"/>
        <v>8994400</v>
      </c>
      <c r="F81" s="20">
        <v>1</v>
      </c>
      <c r="G81" s="21">
        <v>49</v>
      </c>
      <c r="H81" s="21">
        <v>-0.41736370803846512</v>
      </c>
      <c r="I81" s="21">
        <f t="shared" si="2"/>
        <v>140.1206052152215</v>
      </c>
    </row>
    <row r="82" spans="1:9">
      <c r="A82" s="22">
        <v>42179</v>
      </c>
      <c r="B82" s="21">
        <v>41.420344999999998</v>
      </c>
      <c r="C82" s="23">
        <v>34890900</v>
      </c>
      <c r="D82" s="24">
        <f t="shared" si="4"/>
        <v>2.1890226972566925E-4</v>
      </c>
      <c r="E82" s="25">
        <f t="shared" si="5"/>
        <v>-14274900</v>
      </c>
      <c r="F82" s="20">
        <v>1</v>
      </c>
      <c r="G82" s="21">
        <v>50</v>
      </c>
      <c r="H82" s="21">
        <v>0.52713176046381705</v>
      </c>
      <c r="I82" s="21">
        <f t="shared" si="2"/>
        <v>140.19311488499042</v>
      </c>
    </row>
    <row r="83" spans="1:9">
      <c r="A83" s="22">
        <v>42180</v>
      </c>
      <c r="B83" s="21">
        <v>41.429412999999997</v>
      </c>
      <c r="C83" s="23">
        <v>20616000</v>
      </c>
      <c r="D83" s="24">
        <f t="shared" si="4"/>
        <v>-8.5800785525848716E-3</v>
      </c>
      <c r="E83" s="25">
        <f t="shared" si="5"/>
        <v>29219300</v>
      </c>
      <c r="F83" s="20">
        <v>1</v>
      </c>
      <c r="G83" s="21">
        <v>51</v>
      </c>
      <c r="H83" s="21">
        <v>1.2921782399644144</v>
      </c>
      <c r="I83" s="21">
        <f t="shared" si="2"/>
        <v>140.37021094888206</v>
      </c>
    </row>
    <row r="84" spans="1:9">
      <c r="A84" s="22">
        <v>42181</v>
      </c>
      <c r="B84" s="21">
        <v>41.075465999999999</v>
      </c>
      <c r="C84" s="23">
        <v>49835300</v>
      </c>
      <c r="D84" s="24">
        <f t="shared" si="4"/>
        <v>-1.9860009180122394E-2</v>
      </c>
      <c r="E84" s="25">
        <f t="shared" si="5"/>
        <v>-15753600</v>
      </c>
      <c r="F84" s="20">
        <v>1</v>
      </c>
      <c r="G84" s="21">
        <v>52</v>
      </c>
      <c r="H84" s="21">
        <v>-1.142657310992945</v>
      </c>
      <c r="I84" s="21">
        <f t="shared" si="2"/>
        <v>140.21464406462948</v>
      </c>
    </row>
    <row r="85" spans="1:9">
      <c r="A85" s="22">
        <v>42184</v>
      </c>
      <c r="B85" s="21">
        <v>40.267753999999996</v>
      </c>
      <c r="C85" s="23">
        <v>34081700</v>
      </c>
      <c r="D85" s="24">
        <f t="shared" si="4"/>
        <v>-4.9704932756641299E-3</v>
      </c>
      <c r="E85" s="25">
        <f t="shared" si="5"/>
        <v>1863700</v>
      </c>
      <c r="F85" s="20">
        <v>1</v>
      </c>
      <c r="G85" s="21">
        <v>53</v>
      </c>
      <c r="H85" s="21">
        <v>-0.29144075597287156</v>
      </c>
      <c r="I85" s="21">
        <f t="shared" si="2"/>
        <v>140.17540788877065</v>
      </c>
    </row>
    <row r="86" spans="1:9">
      <c r="A86" s="22">
        <v>42185</v>
      </c>
      <c r="B86" s="21">
        <v>40.068100000000001</v>
      </c>
      <c r="C86" s="23">
        <v>35945400</v>
      </c>
      <c r="D86" s="24">
        <f t="shared" si="4"/>
        <v>6.7719253383289732E-3</v>
      </c>
      <c r="E86" s="25">
        <f t="shared" si="5"/>
        <v>-7601500</v>
      </c>
      <c r="F86" s="20">
        <v>1</v>
      </c>
      <c r="G86" s="21">
        <v>54</v>
      </c>
      <c r="H86" s="21">
        <v>-1.5264595276676118</v>
      </c>
      <c r="I86" s="21">
        <f t="shared" si="2"/>
        <v>139.96772880227607</v>
      </c>
    </row>
    <row r="87" spans="1:9">
      <c r="A87" s="22">
        <v>42186</v>
      </c>
      <c r="B87" s="21">
        <v>40.340358999999999</v>
      </c>
      <c r="C87" s="23">
        <v>28343900</v>
      </c>
      <c r="D87" s="24">
        <f t="shared" si="4"/>
        <v>-1.1257597579990846E-3</v>
      </c>
      <c r="E87" s="25">
        <f t="shared" si="5"/>
        <v>-6591900</v>
      </c>
      <c r="F87" s="20">
        <v>1</v>
      </c>
      <c r="G87" s="21">
        <v>55</v>
      </c>
      <c r="H87" s="21">
        <v>-0.23811480787117034</v>
      </c>
      <c r="I87" s="21">
        <f t="shared" si="2"/>
        <v>139.93582904574495</v>
      </c>
    </row>
    <row r="88" spans="1:9">
      <c r="A88" s="22">
        <v>42187</v>
      </c>
      <c r="B88" s="21">
        <v>40.294970999999997</v>
      </c>
      <c r="C88" s="23">
        <v>21752000</v>
      </c>
      <c r="D88" s="24">
        <f t="shared" si="4"/>
        <v>-2.251402826934709E-4</v>
      </c>
      <c r="E88" s="25">
        <f t="shared" si="5"/>
        <v>1282000</v>
      </c>
      <c r="F88" s="20">
        <v>1</v>
      </c>
      <c r="G88" s="21">
        <v>56</v>
      </c>
      <c r="H88" s="21">
        <v>7.3312094173161313E-2</v>
      </c>
      <c r="I88" s="21">
        <f t="shared" si="2"/>
        <v>139.94637606182812</v>
      </c>
    </row>
    <row r="89" spans="1:9">
      <c r="A89" s="22">
        <v>42191</v>
      </c>
      <c r="B89" s="21">
        <v>40.285899999999998</v>
      </c>
      <c r="C89" s="23">
        <v>23034000</v>
      </c>
      <c r="D89" s="24">
        <f t="shared" si="4"/>
        <v>-2.0293924503410219E-3</v>
      </c>
      <c r="E89" s="25">
        <f t="shared" si="5"/>
        <v>13401800</v>
      </c>
      <c r="F89" s="20">
        <v>1</v>
      </c>
      <c r="G89" s="21">
        <v>57</v>
      </c>
      <c r="H89" s="21">
        <v>-0.34487811717553996</v>
      </c>
      <c r="I89" s="21">
        <f t="shared" si="2"/>
        <v>139.89993393606125</v>
      </c>
    </row>
    <row r="90" spans="1:9">
      <c r="A90" s="22">
        <v>42192</v>
      </c>
      <c r="B90" s="21">
        <v>40.204227000000003</v>
      </c>
      <c r="C90" s="23">
        <v>36435800</v>
      </c>
      <c r="D90" s="24">
        <f t="shared" si="4"/>
        <v>-1.35527805215972E-3</v>
      </c>
      <c r="E90" s="25">
        <f t="shared" si="5"/>
        <v>3350100</v>
      </c>
      <c r="F90" s="20">
        <v>1</v>
      </c>
      <c r="G90" s="21">
        <v>58</v>
      </c>
      <c r="H90" s="21">
        <v>0.72787656790751498</v>
      </c>
      <c r="I90" s="21">
        <f t="shared" si="2"/>
        <v>139.99969768148475</v>
      </c>
    </row>
    <row r="91" spans="1:9">
      <c r="A91" s="22">
        <v>42193</v>
      </c>
      <c r="B91" s="21">
        <v>40.149776000000003</v>
      </c>
      <c r="C91" s="23">
        <v>39785900</v>
      </c>
      <c r="D91" s="24">
        <f t="shared" si="4"/>
        <v>6.3092804120309619E-3</v>
      </c>
      <c r="E91" s="25">
        <f t="shared" si="5"/>
        <v>-7361200</v>
      </c>
      <c r="F91" s="20">
        <v>1</v>
      </c>
      <c r="G91" s="21">
        <v>59</v>
      </c>
      <c r="H91" s="21">
        <v>0.68632516558864154</v>
      </c>
      <c r="I91" s="21">
        <f t="shared" si="2"/>
        <v>140.09386323651259</v>
      </c>
    </row>
    <row r="92" spans="1:9">
      <c r="A92" s="22">
        <v>42194</v>
      </c>
      <c r="B92" s="21">
        <v>40.403892999999997</v>
      </c>
      <c r="C92" s="23">
        <v>32424700</v>
      </c>
      <c r="D92" s="24">
        <f t="shared" si="4"/>
        <v>2.0194479166491183E-3</v>
      </c>
      <c r="E92" s="25">
        <f t="shared" si="5"/>
        <v>-6958900</v>
      </c>
      <c r="F92" s="20">
        <v>1</v>
      </c>
      <c r="G92" s="21">
        <v>60</v>
      </c>
      <c r="H92" s="21">
        <v>1.7393540474586189</v>
      </c>
      <c r="I92" s="21">
        <f t="shared" si="2"/>
        <v>140.33193637106899</v>
      </c>
    </row>
    <row r="93" spans="1:9">
      <c r="A93" s="22">
        <v>42195</v>
      </c>
      <c r="B93" s="21">
        <v>40.485568999999998</v>
      </c>
      <c r="C93" s="23">
        <v>25465800</v>
      </c>
      <c r="D93" s="24">
        <f t="shared" si="4"/>
        <v>2.0633118692152942E-2</v>
      </c>
      <c r="E93" s="25">
        <f t="shared" si="5"/>
        <v>2712500</v>
      </c>
      <c r="F93" s="20">
        <v>1</v>
      </c>
      <c r="G93" s="21">
        <v>61</v>
      </c>
      <c r="H93" s="21">
        <v>-1.1818860912171658</v>
      </c>
      <c r="I93" s="21">
        <f t="shared" si="2"/>
        <v>140.17105653102925</v>
      </c>
    </row>
    <row r="94" spans="1:9">
      <c r="A94" s="22">
        <v>42198</v>
      </c>
      <c r="B94" s="21">
        <v>41.329590000000003</v>
      </c>
      <c r="C94" s="23">
        <v>28178300</v>
      </c>
      <c r="D94" s="24">
        <f t="shared" si="4"/>
        <v>1.7548281301833419E-3</v>
      </c>
      <c r="E94" s="25">
        <f t="shared" si="5"/>
        <v>-5298000</v>
      </c>
      <c r="F94" s="20">
        <v>1</v>
      </c>
      <c r="G94" s="21">
        <v>62</v>
      </c>
      <c r="H94" s="21">
        <v>2.2783569875173271</v>
      </c>
      <c r="I94" s="21">
        <f t="shared" si="2"/>
        <v>140.48298660376545</v>
      </c>
    </row>
    <row r="95" spans="1:9">
      <c r="A95" s="22">
        <v>42199</v>
      </c>
      <c r="B95" s="21">
        <v>41.402180000000001</v>
      </c>
      <c r="C95" s="23">
        <v>22880300</v>
      </c>
      <c r="D95" s="24">
        <f t="shared" si="4"/>
        <v>3.0642932396240247E-3</v>
      </c>
      <c r="E95" s="25">
        <f t="shared" si="5"/>
        <v>3749300</v>
      </c>
      <c r="F95" s="20">
        <v>1</v>
      </c>
      <c r="G95" s="21">
        <v>63</v>
      </c>
      <c r="H95" s="21">
        <v>0.86378349806182086</v>
      </c>
      <c r="I95" s="21">
        <f t="shared" si="2"/>
        <v>140.60177508533533</v>
      </c>
    </row>
    <row r="96" spans="1:9">
      <c r="A96" s="22">
        <v>42200</v>
      </c>
      <c r="B96" s="21">
        <v>41.529243000000001</v>
      </c>
      <c r="C96" s="23">
        <v>26629600</v>
      </c>
      <c r="D96" s="24">
        <f t="shared" si="4"/>
        <v>1.9476962468357735E-2</v>
      </c>
      <c r="E96" s="25">
        <f t="shared" si="5"/>
        <v>-357900</v>
      </c>
      <c r="F96" s="20">
        <v>1</v>
      </c>
      <c r="G96" s="21">
        <v>64</v>
      </c>
      <c r="H96" s="21">
        <v>-1.0423491403344087</v>
      </c>
      <c r="I96" s="21">
        <f t="shared" si="2"/>
        <v>140.45967254678408</v>
      </c>
    </row>
    <row r="97" spans="1:9">
      <c r="A97" s="22">
        <v>42201</v>
      </c>
      <c r="B97" s="21">
        <v>42.346035000000001</v>
      </c>
      <c r="C97" s="23">
        <v>26271700</v>
      </c>
      <c r="D97" s="24">
        <f t="shared" si="4"/>
        <v>-8.5761437534061572E-4</v>
      </c>
      <c r="E97" s="25">
        <f t="shared" si="5"/>
        <v>3195400</v>
      </c>
      <c r="F97" s="20">
        <v>1</v>
      </c>
      <c r="G97" s="21">
        <v>65</v>
      </c>
      <c r="H97" s="21">
        <v>-2.7229543775320053</v>
      </c>
      <c r="I97" s="21">
        <f t="shared" si="2"/>
        <v>140.08823554957252</v>
      </c>
    </row>
    <row r="98" spans="1:9">
      <c r="A98" s="22">
        <v>42202</v>
      </c>
      <c r="B98" s="21">
        <v>42.309733999999999</v>
      </c>
      <c r="C98" s="23">
        <v>29467100</v>
      </c>
      <c r="D98" s="24">
        <f t="shared" si="4"/>
        <v>6.4142865997689532E-3</v>
      </c>
      <c r="E98" s="25">
        <f t="shared" si="5"/>
        <v>1164800</v>
      </c>
      <c r="F98" s="20">
        <v>1</v>
      </c>
      <c r="G98" s="21">
        <v>66</v>
      </c>
      <c r="H98" s="21">
        <v>-2.0235120246070437E-2</v>
      </c>
      <c r="I98" s="21">
        <f t="shared" ref="I98:I161" si="6">I97*EXP($L$31*$L$33+$L$32*H98*SQRT($L$33))</f>
        <v>140.08603072742324</v>
      </c>
    </row>
    <row r="99" spans="1:9">
      <c r="A99" s="22">
        <v>42205</v>
      </c>
      <c r="B99" s="21">
        <v>42.581992999999997</v>
      </c>
      <c r="C99" s="23">
        <v>30631900</v>
      </c>
      <c r="D99" s="24">
        <f t="shared" si="4"/>
        <v>7.6433712469604889E-3</v>
      </c>
      <c r="E99" s="25">
        <f t="shared" si="5"/>
        <v>12150000</v>
      </c>
      <c r="F99" s="20">
        <v>1</v>
      </c>
      <c r="G99" s="21">
        <v>67</v>
      </c>
      <c r="H99" s="21">
        <v>-0.60637262322416063</v>
      </c>
      <c r="I99" s="21">
        <f t="shared" si="6"/>
        <v>140.00388266912734</v>
      </c>
    </row>
    <row r="100" spans="1:9">
      <c r="A100" s="22">
        <v>42206</v>
      </c>
      <c r="B100" s="21">
        <v>42.908709999999999</v>
      </c>
      <c r="C100" s="23">
        <v>42781900</v>
      </c>
      <c r="D100" s="24">
        <f t="shared" si="4"/>
        <v>-3.7496127309554039E-2</v>
      </c>
      <c r="E100" s="25">
        <f t="shared" si="5"/>
        <v>16370500</v>
      </c>
      <c r="F100" s="20">
        <v>1</v>
      </c>
      <c r="G100" s="21">
        <v>68</v>
      </c>
      <c r="H100" s="21">
        <v>-4.6718469093320891E-2</v>
      </c>
      <c r="I100" s="21">
        <f t="shared" si="6"/>
        <v>139.99806824595612</v>
      </c>
    </row>
    <row r="101" spans="1:9">
      <c r="A101" s="22">
        <v>42207</v>
      </c>
      <c r="B101" s="21">
        <v>41.329590000000003</v>
      </c>
      <c r="C101" s="23">
        <v>59152400</v>
      </c>
      <c r="D101" s="24">
        <f t="shared" si="4"/>
        <v>1.2438581658724265E-2</v>
      </c>
      <c r="E101" s="25">
        <f t="shared" si="5"/>
        <v>-25218400</v>
      </c>
      <c r="F101" s="20">
        <v>1</v>
      </c>
      <c r="G101" s="21">
        <v>69</v>
      </c>
      <c r="H101" s="21">
        <v>0.98767259260057472</v>
      </c>
      <c r="I101" s="21">
        <f t="shared" si="6"/>
        <v>140.13335370200704</v>
      </c>
    </row>
    <row r="102" spans="1:9">
      <c r="A102" s="22">
        <v>42208</v>
      </c>
      <c r="B102" s="21">
        <v>41.846882000000001</v>
      </c>
      <c r="C102" s="23">
        <v>33934000</v>
      </c>
      <c r="D102" s="24">
        <f t="shared" si="4"/>
        <v>-3.6936349546662331E-3</v>
      </c>
      <c r="E102" s="25">
        <f t="shared" si="5"/>
        <v>-1600800</v>
      </c>
      <c r="F102" s="20">
        <v>1</v>
      </c>
      <c r="G102" s="21">
        <v>70</v>
      </c>
      <c r="H102" s="21">
        <v>-0.22569793145521544</v>
      </c>
      <c r="I102" s="21">
        <f t="shared" si="6"/>
        <v>140.10311044191047</v>
      </c>
    </row>
    <row r="103" spans="1:9">
      <c r="A103" s="22">
        <v>42209</v>
      </c>
      <c r="B103" s="21">
        <v>41.692599999999999</v>
      </c>
      <c r="C103" s="23">
        <v>32333200</v>
      </c>
      <c r="D103" s="24">
        <f t="shared" si="4"/>
        <v>-1.2926158517456295E-2</v>
      </c>
      <c r="E103" s="25">
        <f t="shared" si="5"/>
        <v>7368200</v>
      </c>
      <c r="F103" s="20">
        <v>1</v>
      </c>
      <c r="G103" s="21">
        <v>71</v>
      </c>
      <c r="H103" s="21">
        <v>-6.9708221417386085E-2</v>
      </c>
      <c r="I103" s="21">
        <f t="shared" si="6"/>
        <v>140.09415516492265</v>
      </c>
    </row>
    <row r="104" spans="1:9">
      <c r="A104" s="22">
        <v>42212</v>
      </c>
      <c r="B104" s="21">
        <v>41.157142999999998</v>
      </c>
      <c r="C104" s="23">
        <v>39701400</v>
      </c>
      <c r="D104" s="24">
        <f t="shared" si="4"/>
        <v>-2.2044776013179648E-4</v>
      </c>
      <c r="E104" s="25">
        <f t="shared" si="5"/>
        <v>-5372500</v>
      </c>
      <c r="F104" s="20">
        <v>1</v>
      </c>
      <c r="G104" s="21">
        <v>72</v>
      </c>
      <c r="H104" s="21">
        <v>-0.45031129047856666</v>
      </c>
      <c r="I104" s="21">
        <f t="shared" si="6"/>
        <v>140.03328431805477</v>
      </c>
    </row>
    <row r="105" spans="1:9">
      <c r="A105" s="22">
        <v>42213</v>
      </c>
      <c r="B105" s="21">
        <v>41.148071000000002</v>
      </c>
      <c r="C105" s="23">
        <v>34328900</v>
      </c>
      <c r="D105" s="24">
        <f t="shared" si="4"/>
        <v>2.0736325540690864E-2</v>
      </c>
      <c r="E105" s="25">
        <f t="shared" si="5"/>
        <v>6617000</v>
      </c>
      <c r="F105" s="20">
        <v>1</v>
      </c>
      <c r="G105" s="21">
        <v>73</v>
      </c>
      <c r="H105" s="21">
        <v>-1.9600520317908376</v>
      </c>
      <c r="I105" s="21">
        <f t="shared" si="6"/>
        <v>139.76678266922414</v>
      </c>
    </row>
    <row r="106" spans="1:9">
      <c r="A106" s="22">
        <v>42214</v>
      </c>
      <c r="B106" s="21">
        <v>42.010238999999999</v>
      </c>
      <c r="C106" s="23">
        <v>40945900</v>
      </c>
      <c r="D106" s="24">
        <f t="shared" si="4"/>
        <v>1.2665230013537171E-2</v>
      </c>
      <c r="E106" s="25">
        <f t="shared" si="5"/>
        <v>-1168000</v>
      </c>
      <c r="F106" s="20">
        <v>1</v>
      </c>
      <c r="G106" s="21">
        <v>74</v>
      </c>
      <c r="H106" s="21">
        <v>4.181856638751924E-2</v>
      </c>
      <c r="I106" s="21">
        <f t="shared" si="6"/>
        <v>139.77302978402878</v>
      </c>
    </row>
    <row r="107" spans="1:9">
      <c r="A107" s="22">
        <v>42215</v>
      </c>
      <c r="B107" s="21">
        <v>42.545692000000003</v>
      </c>
      <c r="C107" s="23">
        <v>39777900</v>
      </c>
      <c r="D107" s="24">
        <f t="shared" si="4"/>
        <v>-3.846861855213368E-3</v>
      </c>
      <c r="E107" s="25">
        <f t="shared" si="5"/>
        <v>-8576400</v>
      </c>
      <c r="F107" s="20">
        <v>1</v>
      </c>
      <c r="G107" s="21">
        <v>75</v>
      </c>
      <c r="H107" s="21">
        <v>0.42924511944875121</v>
      </c>
      <c r="I107" s="21">
        <f t="shared" si="6"/>
        <v>139.83202839335019</v>
      </c>
    </row>
    <row r="108" spans="1:9">
      <c r="A108" s="22">
        <v>42216</v>
      </c>
      <c r="B108" s="21">
        <v>42.382339000000002</v>
      </c>
      <c r="C108" s="23">
        <v>31201500</v>
      </c>
      <c r="D108" s="24">
        <f t="shared" si="4"/>
        <v>2.352527732137536E-3</v>
      </c>
      <c r="E108" s="25">
        <f t="shared" si="5"/>
        <v>-7075600</v>
      </c>
      <c r="F108" s="20">
        <v>1</v>
      </c>
      <c r="G108" s="21">
        <v>76</v>
      </c>
      <c r="H108" s="21">
        <v>0.46730974645470269</v>
      </c>
      <c r="I108" s="21">
        <f t="shared" si="6"/>
        <v>139.89623797078755</v>
      </c>
    </row>
    <row r="109" spans="1:9">
      <c r="A109" s="22">
        <v>42219</v>
      </c>
      <c r="B109" s="21">
        <v>42.482162000000002</v>
      </c>
      <c r="C109" s="23">
        <v>24125900</v>
      </c>
      <c r="D109" s="24">
        <f t="shared" si="4"/>
        <v>1.5474593949255053E-2</v>
      </c>
      <c r="E109" s="25">
        <f t="shared" si="5"/>
        <v>9278000</v>
      </c>
      <c r="F109" s="20">
        <v>1</v>
      </c>
      <c r="G109" s="21">
        <v>77</v>
      </c>
      <c r="H109" s="21">
        <v>0.66222355599165894</v>
      </c>
      <c r="I109" s="21">
        <f t="shared" si="6"/>
        <v>139.98704801468207</v>
      </c>
    </row>
    <row r="110" spans="1:9">
      <c r="A110" s="22">
        <v>42220</v>
      </c>
      <c r="B110" s="21">
        <v>43.144669</v>
      </c>
      <c r="C110" s="23">
        <v>33403900</v>
      </c>
      <c r="D110" s="24">
        <f t="shared" si="4"/>
        <v>8.4118692007114574E-4</v>
      </c>
      <c r="E110" s="25">
        <f t="shared" si="5"/>
        <v>-6444200</v>
      </c>
      <c r="F110" s="20">
        <v>1</v>
      </c>
      <c r="G110" s="21">
        <v>78</v>
      </c>
      <c r="H110" s="21">
        <v>-0.69234033617249224</v>
      </c>
      <c r="I110" s="21">
        <f t="shared" si="6"/>
        <v>139.89324498709547</v>
      </c>
    </row>
    <row r="111" spans="1:9">
      <c r="A111" s="22">
        <v>42221</v>
      </c>
      <c r="B111" s="21">
        <v>43.180976999999999</v>
      </c>
      <c r="C111" s="23">
        <v>26959700</v>
      </c>
      <c r="D111" s="24">
        <f t="shared" si="4"/>
        <v>-2.0382873264123535E-2</v>
      </c>
      <c r="E111" s="25">
        <f t="shared" si="5"/>
        <v>408300</v>
      </c>
      <c r="F111" s="20">
        <v>1</v>
      </c>
      <c r="G111" s="21">
        <v>79</v>
      </c>
      <c r="H111" s="21">
        <v>-1.2735426935250871</v>
      </c>
      <c r="I111" s="21">
        <f t="shared" si="6"/>
        <v>139.72039534943912</v>
      </c>
    </row>
    <row r="112" spans="1:9">
      <c r="A112" s="22">
        <v>42222</v>
      </c>
      <c r="B112" s="21">
        <v>42.309733999999999</v>
      </c>
      <c r="C112" s="23">
        <v>27368000</v>
      </c>
      <c r="D112" s="24">
        <f t="shared" si="4"/>
        <v>2.5708047894536057E-3</v>
      </c>
      <c r="E112" s="25">
        <f t="shared" si="5"/>
        <v>-8205000</v>
      </c>
      <c r="F112" s="20">
        <v>1</v>
      </c>
      <c r="G112" s="21">
        <v>80</v>
      </c>
      <c r="H112" s="21">
        <v>0.37384779716376215</v>
      </c>
      <c r="I112" s="21">
        <f t="shared" si="6"/>
        <v>139.7718305755912</v>
      </c>
    </row>
    <row r="113" spans="1:9">
      <c r="A113" s="22">
        <v>42223</v>
      </c>
      <c r="B113" s="21">
        <v>42.418644</v>
      </c>
      <c r="C113" s="23">
        <v>19163000</v>
      </c>
      <c r="D113" s="24">
        <f t="shared" si="4"/>
        <v>1.2543702087368323E-2</v>
      </c>
      <c r="E113" s="25">
        <f t="shared" si="5"/>
        <v>3916900</v>
      </c>
      <c r="F113" s="20">
        <v>1</v>
      </c>
      <c r="G113" s="21">
        <v>81</v>
      </c>
      <c r="H113" s="21">
        <v>0.39088376979634631</v>
      </c>
      <c r="I113" s="21">
        <f t="shared" si="6"/>
        <v>139.8256046319421</v>
      </c>
    </row>
    <row r="114" spans="1:9">
      <c r="A114" s="22">
        <v>42226</v>
      </c>
      <c r="B114" s="21">
        <v>42.954082</v>
      </c>
      <c r="C114" s="23">
        <v>23079900</v>
      </c>
      <c r="D114" s="24">
        <f t="shared" si="4"/>
        <v>-1.9629225518271561E-2</v>
      </c>
      <c r="E114" s="25">
        <f t="shared" si="5"/>
        <v>6157500</v>
      </c>
      <c r="F114" s="20">
        <v>1</v>
      </c>
      <c r="G114" s="21">
        <v>82</v>
      </c>
      <c r="H114" s="21">
        <v>-0.65007952798623592</v>
      </c>
      <c r="I114" s="21">
        <f t="shared" si="6"/>
        <v>139.73766101432068</v>
      </c>
    </row>
    <row r="115" spans="1:9">
      <c r="A115" s="22">
        <v>42227</v>
      </c>
      <c r="B115" s="21">
        <v>42.119148000000003</v>
      </c>
      <c r="C115" s="23">
        <v>29237400</v>
      </c>
      <c r="D115" s="24">
        <f t="shared" si="4"/>
        <v>7.0855234309032877E-3</v>
      </c>
      <c r="E115" s="25">
        <f t="shared" si="5"/>
        <v>944000</v>
      </c>
      <c r="F115" s="20">
        <v>1</v>
      </c>
      <c r="G115" s="21">
        <v>83</v>
      </c>
      <c r="H115" s="21">
        <v>-0.15402520148199983</v>
      </c>
      <c r="I115" s="21">
        <f t="shared" si="6"/>
        <v>139.71725545492862</v>
      </c>
    </row>
    <row r="116" spans="1:9">
      <c r="A116" s="22">
        <v>42228</v>
      </c>
      <c r="B116" s="21">
        <v>42.418644</v>
      </c>
      <c r="C116" s="23">
        <v>30181400</v>
      </c>
      <c r="D116" s="24">
        <f t="shared" si="4"/>
        <v>-2.1396183448128971E-4</v>
      </c>
      <c r="E116" s="25">
        <f t="shared" si="5"/>
        <v>-7554200</v>
      </c>
      <c r="F116" s="20">
        <v>1</v>
      </c>
      <c r="G116" s="21">
        <v>84</v>
      </c>
      <c r="H116" s="21">
        <v>0.78386619861703366</v>
      </c>
      <c r="I116" s="21">
        <f t="shared" si="6"/>
        <v>139.82451318633161</v>
      </c>
    </row>
    <row r="117" spans="1:9">
      <c r="A117" s="22">
        <v>42229</v>
      </c>
      <c r="B117" s="21">
        <v>42.409568999999998</v>
      </c>
      <c r="C117" s="23">
        <v>22627200</v>
      </c>
      <c r="D117" s="24">
        <f t="shared" si="4"/>
        <v>5.76124267990092E-3</v>
      </c>
      <c r="E117" s="25">
        <f t="shared" si="5"/>
        <v>-1153800</v>
      </c>
      <c r="F117" s="20">
        <v>1</v>
      </c>
      <c r="G117" s="21">
        <v>85</v>
      </c>
      <c r="H117" s="21">
        <v>1.5555497157038189</v>
      </c>
      <c r="I117" s="21">
        <f t="shared" si="6"/>
        <v>140.0370584984563</v>
      </c>
    </row>
    <row r="118" spans="1:9">
      <c r="A118" s="22">
        <v>42230</v>
      </c>
      <c r="B118" s="21">
        <v>42.654606000000001</v>
      </c>
      <c r="C118" s="23">
        <v>21473400</v>
      </c>
      <c r="D118" s="24">
        <f t="shared" si="4"/>
        <v>6.7852199424491399E-3</v>
      </c>
      <c r="E118" s="25">
        <f t="shared" si="5"/>
        <v>-373700</v>
      </c>
      <c r="F118" s="20">
        <v>1</v>
      </c>
      <c r="G118" s="21">
        <v>86</v>
      </c>
      <c r="H118" s="21">
        <v>0.99216777016408741</v>
      </c>
      <c r="I118" s="21">
        <f t="shared" si="6"/>
        <v>140.17299529339962</v>
      </c>
    </row>
    <row r="119" spans="1:9">
      <c r="A119" s="22">
        <v>42233</v>
      </c>
      <c r="B119" s="21">
        <v>42.945011000000001</v>
      </c>
      <c r="C119" s="23">
        <v>21099700</v>
      </c>
      <c r="D119" s="24">
        <f t="shared" si="4"/>
        <v>5.5155087936888609E-3</v>
      </c>
      <c r="E119" s="25">
        <f t="shared" si="5"/>
        <v>2474400</v>
      </c>
      <c r="F119" s="20">
        <v>1</v>
      </c>
      <c r="G119" s="21">
        <v>87</v>
      </c>
      <c r="H119" s="21">
        <v>0.55538521337439306</v>
      </c>
      <c r="I119" s="21">
        <f t="shared" si="6"/>
        <v>140.24939116395572</v>
      </c>
    </row>
    <row r="120" spans="1:9">
      <c r="A120" s="22">
        <v>42234</v>
      </c>
      <c r="B120" s="21">
        <v>43.182529000000002</v>
      </c>
      <c r="C120" s="23">
        <v>23574100</v>
      </c>
      <c r="D120" s="24">
        <f t="shared" si="4"/>
        <v>-1.4060797270217718E-2</v>
      </c>
      <c r="E120" s="25">
        <f t="shared" si="5"/>
        <v>7911400</v>
      </c>
      <c r="F120" s="20">
        <v>1</v>
      </c>
      <c r="G120" s="21">
        <v>88</v>
      </c>
      <c r="H120" s="21">
        <v>1.0685175766411703</v>
      </c>
      <c r="I120" s="21">
        <f t="shared" si="6"/>
        <v>140.39597321651834</v>
      </c>
    </row>
    <row r="121" spans="1:9">
      <c r="A121" s="22">
        <v>42235</v>
      </c>
      <c r="B121" s="21">
        <v>42.579597</v>
      </c>
      <c r="C121" s="23">
        <v>31485500</v>
      </c>
      <c r="D121" s="24">
        <f t="shared" si="4"/>
        <v>-2.0592235292877046E-2</v>
      </c>
      <c r="E121" s="25">
        <f t="shared" si="5"/>
        <v>4752700</v>
      </c>
      <c r="F121" s="20">
        <v>1</v>
      </c>
      <c r="G121" s="21">
        <v>89</v>
      </c>
      <c r="H121" s="21">
        <v>-0.73477394835208543</v>
      </c>
      <c r="I121" s="21">
        <f t="shared" si="6"/>
        <v>140.29609811185577</v>
      </c>
    </row>
    <row r="122" spans="1:9">
      <c r="A122" s="22">
        <v>42236</v>
      </c>
      <c r="B122" s="21">
        <v>41.711753999999999</v>
      </c>
      <c r="C122" s="23">
        <v>36238200</v>
      </c>
      <c r="D122" s="24">
        <f t="shared" si="4"/>
        <v>-5.8395986855485658E-2</v>
      </c>
      <c r="E122" s="25">
        <f t="shared" si="5"/>
        <v>33814900</v>
      </c>
      <c r="F122" s="20">
        <v>1</v>
      </c>
      <c r="G122" s="21">
        <v>90</v>
      </c>
      <c r="H122" s="21">
        <v>1.185121618618723</v>
      </c>
      <c r="I122" s="21">
        <f t="shared" si="6"/>
        <v>140.45867880394604</v>
      </c>
    </row>
    <row r="123" spans="1:9">
      <c r="A123" s="22">
        <v>42237</v>
      </c>
      <c r="B123" s="21">
        <v>39.345711000000001</v>
      </c>
      <c r="C123" s="23">
        <v>70053100</v>
      </c>
      <c r="D123" s="24">
        <f t="shared" si="4"/>
        <v>-3.280551546552387E-2</v>
      </c>
      <c r="E123" s="25">
        <f t="shared" si="5"/>
        <v>18700600</v>
      </c>
      <c r="F123" s="20">
        <v>1</v>
      </c>
      <c r="G123" s="21">
        <v>91</v>
      </c>
      <c r="H123" s="21">
        <v>-7.6918240665690973E-2</v>
      </c>
      <c r="I123" s="21">
        <f t="shared" si="6"/>
        <v>140.44871457869874</v>
      </c>
    </row>
    <row r="124" spans="1:9">
      <c r="A124" s="22">
        <v>42240</v>
      </c>
      <c r="B124" s="21">
        <v>38.075896999999998</v>
      </c>
      <c r="C124" s="23">
        <v>88753700</v>
      </c>
      <c r="D124" s="24">
        <f t="shared" si="4"/>
        <v>-2.9460321426897956E-2</v>
      </c>
      <c r="E124" s="25">
        <f t="shared" si="5"/>
        <v>-18137100</v>
      </c>
      <c r="F124" s="20">
        <v>1</v>
      </c>
      <c r="G124" s="21">
        <v>92</v>
      </c>
      <c r="H124" s="21">
        <v>-2.1016421669628471</v>
      </c>
      <c r="I124" s="21">
        <f t="shared" si="6"/>
        <v>140.16209320097499</v>
      </c>
    </row>
    <row r="125" spans="1:9">
      <c r="A125" s="22">
        <v>42241</v>
      </c>
      <c r="B125" s="21">
        <v>36.970531000000001</v>
      </c>
      <c r="C125" s="23">
        <v>70616600</v>
      </c>
      <c r="D125" s="24">
        <f t="shared" si="4"/>
        <v>5.3872263222360363E-2</v>
      </c>
      <c r="E125" s="25">
        <f t="shared" si="5"/>
        <v>-7208600</v>
      </c>
      <c r="F125" s="20">
        <v>1</v>
      </c>
      <c r="G125" s="21">
        <v>93</v>
      </c>
      <c r="H125" s="21">
        <v>-1.0216308510280214</v>
      </c>
      <c r="I125" s="21">
        <f t="shared" si="6"/>
        <v>140.02326036010274</v>
      </c>
    </row>
    <row r="126" spans="1:9">
      <c r="A126" s="22">
        <v>42242</v>
      </c>
      <c r="B126" s="21">
        <v>39.016841999999997</v>
      </c>
      <c r="C126" s="23">
        <v>63408000</v>
      </c>
      <c r="D126" s="24">
        <f t="shared" si="4"/>
        <v>2.7481060109153684E-2</v>
      </c>
      <c r="E126" s="25">
        <f t="shared" si="5"/>
        <v>-12464800</v>
      </c>
      <c r="F126" s="20">
        <v>1</v>
      </c>
      <c r="G126" s="21">
        <v>94</v>
      </c>
      <c r="H126" s="21">
        <v>0.7261826340254629</v>
      </c>
      <c r="I126" s="21">
        <f t="shared" si="6"/>
        <v>140.12288088442591</v>
      </c>
    </row>
    <row r="127" spans="1:9">
      <c r="A127" s="22">
        <v>42243</v>
      </c>
      <c r="B127" s="21">
        <v>40.103935</v>
      </c>
      <c r="C127" s="23">
        <v>50943200</v>
      </c>
      <c r="D127" s="24">
        <f t="shared" si="4"/>
        <v>6.8331537053691234E-4</v>
      </c>
      <c r="E127" s="25">
        <f t="shared" si="5"/>
        <v>-22696500</v>
      </c>
      <c r="F127" s="20">
        <v>1</v>
      </c>
      <c r="G127" s="21">
        <v>95</v>
      </c>
      <c r="H127" s="21">
        <v>-0.58064529184775893</v>
      </c>
      <c r="I127" s="21">
        <f t="shared" si="6"/>
        <v>140.04422013178478</v>
      </c>
    </row>
    <row r="128" spans="1:9">
      <c r="A128" s="22">
        <v>42244</v>
      </c>
      <c r="B128" s="21">
        <v>40.131348000000003</v>
      </c>
      <c r="C128" s="23">
        <v>28246700</v>
      </c>
      <c r="D128" s="24">
        <f t="shared" si="4"/>
        <v>-9.3771304217321917E-3</v>
      </c>
      <c r="E128" s="25">
        <f t="shared" si="5"/>
        <v>6195000</v>
      </c>
      <c r="F128" s="20">
        <v>1</v>
      </c>
      <c r="G128" s="21">
        <v>96</v>
      </c>
      <c r="H128" s="21">
        <v>1.5933255781419575</v>
      </c>
      <c r="I128" s="21">
        <f t="shared" si="6"/>
        <v>140.2622596061907</v>
      </c>
    </row>
    <row r="129" spans="1:9">
      <c r="A129" s="22">
        <v>42247</v>
      </c>
      <c r="B129" s="21">
        <v>39.756790000000002</v>
      </c>
      <c r="C129" s="23">
        <v>34441700</v>
      </c>
      <c r="D129" s="24">
        <f t="shared" si="4"/>
        <v>-3.9845761719502097E-2</v>
      </c>
      <c r="E129" s="25">
        <f t="shared" si="5"/>
        <v>15247200</v>
      </c>
      <c r="F129" s="20">
        <v>1</v>
      </c>
      <c r="G129" s="21">
        <v>97</v>
      </c>
      <c r="H129" s="21">
        <v>-1.8083028408000246</v>
      </c>
      <c r="I129" s="21">
        <f t="shared" si="6"/>
        <v>140.01601361056581</v>
      </c>
    </row>
    <row r="130" spans="1:9">
      <c r="A130" s="22">
        <v>42248</v>
      </c>
      <c r="B130" s="21">
        <v>38.203795999999997</v>
      </c>
      <c r="C130" s="23">
        <v>49688900</v>
      </c>
      <c r="D130" s="24">
        <f t="shared" si="4"/>
        <v>3.6162533195583275E-2</v>
      </c>
      <c r="E130" s="25">
        <f t="shared" si="5"/>
        <v>-12017400</v>
      </c>
      <c r="F130" s="20">
        <v>1</v>
      </c>
      <c r="G130" s="21">
        <v>98</v>
      </c>
      <c r="H130" s="21">
        <v>1.2990858522243798</v>
      </c>
      <c r="I130" s="21">
        <f t="shared" si="6"/>
        <v>140.19382908967572</v>
      </c>
    </row>
    <row r="131" spans="1:9">
      <c r="A131" s="22">
        <v>42249</v>
      </c>
      <c r="B131" s="21">
        <v>39.610626000000003</v>
      </c>
      <c r="C131" s="23">
        <v>37671500</v>
      </c>
      <c r="D131" s="24">
        <f t="shared" ref="D131:D194" si="7">LN(B132/B131)</f>
        <v>3.223629086871108E-3</v>
      </c>
      <c r="E131" s="25">
        <f t="shared" ref="E131:E194" si="8">C132-C131</f>
        <v>-9386300</v>
      </c>
      <c r="F131" s="20">
        <v>1</v>
      </c>
      <c r="G131" s="21">
        <v>99</v>
      </c>
      <c r="H131" s="21">
        <v>-0.77185632108012214</v>
      </c>
      <c r="I131" s="21">
        <f t="shared" si="6"/>
        <v>140.08903839995185</v>
      </c>
    </row>
    <row r="132" spans="1:9">
      <c r="A132" s="22">
        <v>42250</v>
      </c>
      <c r="B132" s="21">
        <v>39.738522000000003</v>
      </c>
      <c r="C132" s="23">
        <v>28285200</v>
      </c>
      <c r="D132" s="24">
        <f t="shared" si="7"/>
        <v>-2.0671713043898698E-2</v>
      </c>
      <c r="E132" s="25">
        <f t="shared" si="8"/>
        <v>8853600</v>
      </c>
      <c r="F132" s="20">
        <v>1</v>
      </c>
      <c r="G132" s="21">
        <v>100</v>
      </c>
      <c r="H132" s="21">
        <v>2.1507548808585852</v>
      </c>
      <c r="I132" s="21">
        <f t="shared" si="6"/>
        <v>140.38333903384989</v>
      </c>
    </row>
    <row r="133" spans="1:9">
      <c r="A133" s="22">
        <v>42251</v>
      </c>
      <c r="B133" s="21">
        <v>38.925491000000001</v>
      </c>
      <c r="C133" s="23">
        <v>37138800</v>
      </c>
      <c r="D133" s="24">
        <f t="shared" si="7"/>
        <v>2.9597293510733837E-2</v>
      </c>
      <c r="E133" s="25">
        <f t="shared" si="8"/>
        <v>-4669000</v>
      </c>
      <c r="F133" s="20">
        <v>1</v>
      </c>
      <c r="G133" s="21">
        <v>101</v>
      </c>
      <c r="H133" s="21">
        <v>0.29903162612754386</v>
      </c>
      <c r="I133" s="21">
        <f t="shared" si="6"/>
        <v>140.42478600533104</v>
      </c>
    </row>
    <row r="134" spans="1:9">
      <c r="A134" s="22">
        <v>42255</v>
      </c>
      <c r="B134" s="21">
        <v>40.094799000000002</v>
      </c>
      <c r="C134" s="23">
        <v>32469800</v>
      </c>
      <c r="D134" s="24">
        <f t="shared" si="7"/>
        <v>-1.885965241768427E-2</v>
      </c>
      <c r="E134" s="25">
        <f t="shared" si="8"/>
        <v>999700</v>
      </c>
      <c r="F134" s="20">
        <v>1</v>
      </c>
      <c r="G134" s="21">
        <v>102</v>
      </c>
      <c r="H134" s="21">
        <v>-0.75506704888539389</v>
      </c>
      <c r="I134" s="21">
        <f t="shared" si="6"/>
        <v>140.32211710163912</v>
      </c>
    </row>
    <row r="135" spans="1:9">
      <c r="A135" s="22">
        <v>42256</v>
      </c>
      <c r="B135" s="21">
        <v>39.345711000000001</v>
      </c>
      <c r="C135" s="23">
        <v>33469500</v>
      </c>
      <c r="D135" s="24">
        <f t="shared" si="7"/>
        <v>5.0947735810866245E-3</v>
      </c>
      <c r="E135" s="25">
        <f t="shared" si="8"/>
        <v>-2102900</v>
      </c>
      <c r="F135" s="20">
        <v>1</v>
      </c>
      <c r="G135" s="21">
        <v>103</v>
      </c>
      <c r="H135" s="21">
        <v>6.5184622144442983E-2</v>
      </c>
      <c r="I135" s="21">
        <f t="shared" si="6"/>
        <v>140.33158244489513</v>
      </c>
    </row>
    <row r="136" spans="1:9">
      <c r="A136" s="22">
        <v>42257</v>
      </c>
      <c r="B136" s="21">
        <v>39.546680000000002</v>
      </c>
      <c r="C136" s="23">
        <v>31366600</v>
      </c>
      <c r="D136" s="24">
        <f t="shared" si="7"/>
        <v>4.3795631321570079E-3</v>
      </c>
      <c r="E136" s="25">
        <f t="shared" si="8"/>
        <v>-4234100</v>
      </c>
      <c r="F136" s="20">
        <v>1</v>
      </c>
      <c r="G136" s="21">
        <v>104</v>
      </c>
      <c r="H136" s="21">
        <v>0.89531795310904272</v>
      </c>
      <c r="I136" s="21">
        <f t="shared" si="6"/>
        <v>140.45455643365676</v>
      </c>
    </row>
    <row r="137" spans="1:9">
      <c r="A137" s="22">
        <v>42258</v>
      </c>
      <c r="B137" s="21">
        <v>39.720256999999997</v>
      </c>
      <c r="C137" s="23">
        <v>27132500</v>
      </c>
      <c r="D137" s="24">
        <f t="shared" si="7"/>
        <v>-1.0171199231793002E-2</v>
      </c>
      <c r="E137" s="25">
        <f t="shared" si="8"/>
        <v>-3476500</v>
      </c>
      <c r="F137" s="20">
        <v>1</v>
      </c>
      <c r="G137" s="21">
        <v>105</v>
      </c>
      <c r="H137" s="21">
        <v>-0.88305114331888035</v>
      </c>
      <c r="I137" s="21">
        <f t="shared" si="6"/>
        <v>140.33437271602023</v>
      </c>
    </row>
    <row r="138" spans="1:9">
      <c r="A138" s="22">
        <v>42261</v>
      </c>
      <c r="B138" s="21">
        <v>39.318302000000003</v>
      </c>
      <c r="C138" s="23">
        <v>23656000</v>
      </c>
      <c r="D138" s="24">
        <f t="shared" si="7"/>
        <v>2.160510505802829E-2</v>
      </c>
      <c r="E138" s="25">
        <f t="shared" si="8"/>
        <v>5226200</v>
      </c>
      <c r="F138" s="20">
        <v>1</v>
      </c>
      <c r="G138" s="21">
        <v>106</v>
      </c>
      <c r="H138" s="21">
        <v>-0.24118435248965397</v>
      </c>
      <c r="I138" s="21">
        <f t="shared" si="6"/>
        <v>140.30196997109746</v>
      </c>
    </row>
    <row r="139" spans="1:9">
      <c r="A139" s="22">
        <v>42262</v>
      </c>
      <c r="B139" s="21">
        <v>40.177021000000003</v>
      </c>
      <c r="C139" s="23">
        <v>28882200</v>
      </c>
      <c r="D139" s="24">
        <f t="shared" si="7"/>
        <v>7.2495586542115813E-3</v>
      </c>
      <c r="E139" s="25">
        <f t="shared" si="8"/>
        <v>-5510000</v>
      </c>
      <c r="F139" s="20">
        <v>1</v>
      </c>
      <c r="G139" s="21">
        <v>107</v>
      </c>
      <c r="H139" s="21">
        <v>-1.4867191566736437</v>
      </c>
      <c r="I139" s="21">
        <f t="shared" si="6"/>
        <v>140.09952561207297</v>
      </c>
    </row>
    <row r="140" spans="1:9">
      <c r="A140" s="22">
        <v>42263</v>
      </c>
      <c r="B140" s="21">
        <v>40.469344999999997</v>
      </c>
      <c r="C140" s="23">
        <v>23372200</v>
      </c>
      <c r="D140" s="24">
        <f t="shared" si="7"/>
        <v>-1.129417867391361E-3</v>
      </c>
      <c r="E140" s="25">
        <f t="shared" si="8"/>
        <v>9396000</v>
      </c>
      <c r="F140" s="20">
        <v>1</v>
      </c>
      <c r="G140" s="21">
        <v>108</v>
      </c>
      <c r="H140" s="21">
        <v>0.42229316932207439</v>
      </c>
      <c r="I140" s="21">
        <f t="shared" si="6"/>
        <v>140.15771308591968</v>
      </c>
    </row>
    <row r="141" spans="1:9">
      <c r="A141" s="22">
        <v>42264</v>
      </c>
      <c r="B141" s="21">
        <v>40.423664000000002</v>
      </c>
      <c r="C141" s="23">
        <v>32768200</v>
      </c>
      <c r="D141" s="24">
        <f t="shared" si="7"/>
        <v>-1.755404661305528E-2</v>
      </c>
      <c r="E141" s="25">
        <f t="shared" si="8"/>
        <v>30375500</v>
      </c>
      <c r="F141" s="20">
        <v>1</v>
      </c>
      <c r="G141" s="21">
        <v>109</v>
      </c>
      <c r="H141" s="21">
        <v>-1.6449575923616067</v>
      </c>
      <c r="I141" s="21">
        <f t="shared" si="6"/>
        <v>139.93391002501008</v>
      </c>
    </row>
    <row r="142" spans="1:9">
      <c r="A142" s="22">
        <v>42265</v>
      </c>
      <c r="B142" s="21">
        <v>39.720256999999997</v>
      </c>
      <c r="C142" s="23">
        <v>63143700</v>
      </c>
      <c r="D142" s="24">
        <f t="shared" si="7"/>
        <v>1.4385538647366958E-2</v>
      </c>
      <c r="E142" s="25">
        <f t="shared" si="8"/>
        <v>-36966500</v>
      </c>
      <c r="F142" s="20">
        <v>1</v>
      </c>
      <c r="G142" s="21">
        <v>110</v>
      </c>
      <c r="H142" s="21">
        <v>-1.3869021131540649</v>
      </c>
      <c r="I142" s="21">
        <f t="shared" si="6"/>
        <v>139.74558113336954</v>
      </c>
    </row>
    <row r="143" spans="1:9">
      <c r="A143" s="22">
        <v>42268</v>
      </c>
      <c r="B143" s="21">
        <v>40.295783999999998</v>
      </c>
      <c r="C143" s="23">
        <v>26177200</v>
      </c>
      <c r="D143" s="24">
        <f t="shared" si="7"/>
        <v>-4.7723889215184846E-3</v>
      </c>
      <c r="E143" s="25">
        <f t="shared" si="8"/>
        <v>1908700</v>
      </c>
      <c r="F143" s="20">
        <v>1</v>
      </c>
      <c r="G143" s="21">
        <v>111</v>
      </c>
      <c r="H143" s="21">
        <v>0.80219933806802146</v>
      </c>
      <c r="I143" s="21">
        <f t="shared" si="6"/>
        <v>139.85535767811487</v>
      </c>
    </row>
    <row r="144" spans="1:9">
      <c r="A144" s="22">
        <v>42269</v>
      </c>
      <c r="B144" s="21">
        <v>40.103935</v>
      </c>
      <c r="C144" s="23">
        <v>28085900</v>
      </c>
      <c r="D144" s="24">
        <f t="shared" si="7"/>
        <v>-6.8365784840493079E-4</v>
      </c>
      <c r="E144" s="25">
        <f t="shared" si="8"/>
        <v>-10940700</v>
      </c>
      <c r="F144" s="20">
        <v>1</v>
      </c>
      <c r="G144" s="21">
        <v>112</v>
      </c>
      <c r="H144" s="21">
        <v>0.2969522938656155</v>
      </c>
      <c r="I144" s="21">
        <f t="shared" si="6"/>
        <v>139.89636546598641</v>
      </c>
    </row>
    <row r="145" spans="1:9">
      <c r="A145" s="22">
        <v>42270</v>
      </c>
      <c r="B145" s="21">
        <v>40.076526999999999</v>
      </c>
      <c r="C145" s="23">
        <v>17145200</v>
      </c>
      <c r="D145" s="24">
        <f t="shared" si="7"/>
        <v>9.1143997329487265E-4</v>
      </c>
      <c r="E145" s="25">
        <f t="shared" si="8"/>
        <v>10760400</v>
      </c>
      <c r="F145" s="20">
        <v>1</v>
      </c>
      <c r="G145" s="21">
        <v>113</v>
      </c>
      <c r="H145" s="21">
        <v>0.57711758927325718</v>
      </c>
      <c r="I145" s="21">
        <f t="shared" si="6"/>
        <v>139.97557317157535</v>
      </c>
    </row>
    <row r="146" spans="1:9">
      <c r="A146" s="22">
        <v>42271</v>
      </c>
      <c r="B146" s="21">
        <v>40.113070999999998</v>
      </c>
      <c r="C146" s="23">
        <v>27905600</v>
      </c>
      <c r="D146" s="24">
        <f t="shared" si="7"/>
        <v>6.8296049432493464E-4</v>
      </c>
      <c r="E146" s="25">
        <f t="shared" si="8"/>
        <v>1479000</v>
      </c>
      <c r="F146" s="20">
        <v>1</v>
      </c>
      <c r="G146" s="21">
        <v>114</v>
      </c>
      <c r="H146" s="21">
        <v>1.2183522812847514</v>
      </c>
      <c r="I146" s="21">
        <f t="shared" si="6"/>
        <v>140.14231786876817</v>
      </c>
    </row>
    <row r="147" spans="1:9">
      <c r="A147" s="22">
        <v>42272</v>
      </c>
      <c r="B147" s="21">
        <v>40.140476</v>
      </c>
      <c r="C147" s="23">
        <v>29384600</v>
      </c>
      <c r="D147" s="24">
        <f t="shared" si="7"/>
        <v>-1.4903455477220384E-2</v>
      </c>
      <c r="E147" s="25">
        <f t="shared" si="8"/>
        <v>-1770800</v>
      </c>
      <c r="F147" s="20">
        <v>1</v>
      </c>
      <c r="G147" s="21">
        <v>115</v>
      </c>
      <c r="H147" s="21">
        <v>0.72051761890179478</v>
      </c>
      <c r="I147" s="21">
        <f t="shared" si="6"/>
        <v>140.2412493549717</v>
      </c>
    </row>
    <row r="148" spans="1:9">
      <c r="A148" s="22">
        <v>42275</v>
      </c>
      <c r="B148" s="21">
        <v>39.546680000000002</v>
      </c>
      <c r="C148" s="23">
        <v>27613800</v>
      </c>
      <c r="D148" s="24">
        <f t="shared" si="7"/>
        <v>3.4592817064886105E-3</v>
      </c>
      <c r="E148" s="25">
        <f t="shared" si="8"/>
        <v>5149800</v>
      </c>
      <c r="F148" s="20">
        <v>1</v>
      </c>
      <c r="G148" s="21">
        <v>116</v>
      </c>
      <c r="H148" s="21">
        <v>-1.6952435544226319</v>
      </c>
      <c r="I148" s="21">
        <f t="shared" si="6"/>
        <v>140.01045587099352</v>
      </c>
    </row>
    <row r="149" spans="1:9">
      <c r="A149" s="22">
        <v>42276</v>
      </c>
      <c r="B149" s="21">
        <v>39.683720000000001</v>
      </c>
      <c r="C149" s="23">
        <v>32763600</v>
      </c>
      <c r="D149" s="24">
        <f t="shared" si="7"/>
        <v>1.8700506594695895E-2</v>
      </c>
      <c r="E149" s="25">
        <f t="shared" si="8"/>
        <v>2195300</v>
      </c>
      <c r="F149" s="20">
        <v>1</v>
      </c>
      <c r="G149" s="21">
        <v>117</v>
      </c>
      <c r="H149" s="21">
        <v>0.73337105277460068</v>
      </c>
      <c r="I149" s="21">
        <f t="shared" si="6"/>
        <v>140.11104818063092</v>
      </c>
    </row>
    <row r="150" spans="1:9">
      <c r="A150" s="22">
        <v>42277</v>
      </c>
      <c r="B150" s="21">
        <v>40.432808000000001</v>
      </c>
      <c r="C150" s="23">
        <v>34958900</v>
      </c>
      <c r="D150" s="24">
        <f t="shared" si="7"/>
        <v>7.8766589539375625E-3</v>
      </c>
      <c r="E150" s="25">
        <f t="shared" si="8"/>
        <v>-6301000</v>
      </c>
      <c r="F150" s="20">
        <v>1</v>
      </c>
      <c r="G150" s="21">
        <v>118</v>
      </c>
      <c r="H150" s="21">
        <v>7.8223365562735125E-2</v>
      </c>
      <c r="I150" s="21">
        <f t="shared" si="6"/>
        <v>140.12227862468592</v>
      </c>
    </row>
    <row r="151" spans="1:9">
      <c r="A151" s="22">
        <v>42278</v>
      </c>
      <c r="B151" s="21">
        <v>40.752541000000001</v>
      </c>
      <c r="C151" s="23">
        <v>28657900</v>
      </c>
      <c r="D151" s="24">
        <f t="shared" si="7"/>
        <v>2.1291721765409038E-2</v>
      </c>
      <c r="E151" s="25">
        <f t="shared" si="8"/>
        <v>13181100</v>
      </c>
      <c r="F151" s="20">
        <v>1</v>
      </c>
      <c r="G151" s="21">
        <v>119</v>
      </c>
      <c r="H151" s="21">
        <v>-1.5622526916558854</v>
      </c>
      <c r="I151" s="21">
        <f t="shared" si="6"/>
        <v>139.90980101233092</v>
      </c>
    </row>
    <row r="152" spans="1:9">
      <c r="A152" s="22">
        <v>42279</v>
      </c>
      <c r="B152" s="21">
        <v>41.629536000000002</v>
      </c>
      <c r="C152" s="23">
        <v>41839000</v>
      </c>
      <c r="D152" s="24">
        <f t="shared" si="7"/>
        <v>2.2994524491624951E-2</v>
      </c>
      <c r="E152" s="25">
        <f t="shared" si="8"/>
        <v>-7469700</v>
      </c>
      <c r="F152" s="20">
        <v>1</v>
      </c>
      <c r="G152" s="21">
        <v>120</v>
      </c>
      <c r="H152" s="21">
        <v>0.47175149120448623</v>
      </c>
      <c r="I152" s="21">
        <f t="shared" si="6"/>
        <v>139.97465181097502</v>
      </c>
    </row>
    <row r="153" spans="1:9">
      <c r="A153" s="22">
        <v>42282</v>
      </c>
      <c r="B153" s="21">
        <v>42.597878000000001</v>
      </c>
      <c r="C153" s="23">
        <v>34369300</v>
      </c>
      <c r="D153" s="24">
        <f t="shared" si="7"/>
        <v>2.5699451053421739E-3</v>
      </c>
      <c r="E153" s="25">
        <f t="shared" si="8"/>
        <v>-7352100</v>
      </c>
      <c r="F153" s="20">
        <v>1</v>
      </c>
      <c r="G153" s="21">
        <v>121</v>
      </c>
      <c r="H153" s="21">
        <v>0.60904085330548696</v>
      </c>
      <c r="I153" s="21">
        <f t="shared" si="6"/>
        <v>140.05825823435791</v>
      </c>
    </row>
    <row r="154" spans="1:9">
      <c r="A154" s="22">
        <v>42283</v>
      </c>
      <c r="B154" s="21">
        <v>42.707492999999999</v>
      </c>
      <c r="C154" s="23">
        <v>27017200</v>
      </c>
      <c r="D154" s="24">
        <f t="shared" si="7"/>
        <v>1.0688661866825508E-3</v>
      </c>
      <c r="E154" s="25">
        <f t="shared" si="8"/>
        <v>694300</v>
      </c>
      <c r="F154" s="20">
        <v>1</v>
      </c>
      <c r="G154" s="21">
        <v>122</v>
      </c>
      <c r="H154" s="21">
        <v>0.66174720814160537</v>
      </c>
      <c r="I154" s="21">
        <f t="shared" si="6"/>
        <v>140.14910843162767</v>
      </c>
    </row>
    <row r="155" spans="1:9">
      <c r="A155" s="22">
        <v>42284</v>
      </c>
      <c r="B155" s="21">
        <v>42.753166</v>
      </c>
      <c r="C155" s="23">
        <v>27711500</v>
      </c>
      <c r="D155" s="24">
        <f t="shared" si="7"/>
        <v>1.3793461191161781E-2</v>
      </c>
      <c r="E155" s="25">
        <f t="shared" si="8"/>
        <v>6061200</v>
      </c>
      <c r="F155" s="20">
        <v>1</v>
      </c>
      <c r="G155" s="21">
        <v>123</v>
      </c>
      <c r="H155" s="21">
        <v>-2.2732456272933632</v>
      </c>
      <c r="I155" s="21">
        <f t="shared" si="6"/>
        <v>139.83972564894597</v>
      </c>
    </row>
    <row r="156" spans="1:9">
      <c r="A156" s="22">
        <v>42285</v>
      </c>
      <c r="B156" s="21">
        <v>43.346966000000002</v>
      </c>
      <c r="C156" s="23">
        <v>33772700</v>
      </c>
      <c r="D156" s="24">
        <f t="shared" si="7"/>
        <v>-7.1909775101593161E-3</v>
      </c>
      <c r="E156" s="25">
        <f t="shared" si="8"/>
        <v>-5172100</v>
      </c>
      <c r="F156" s="20">
        <v>1</v>
      </c>
      <c r="G156" s="21">
        <v>124</v>
      </c>
      <c r="H156" s="21">
        <v>-0.30503770176437683</v>
      </c>
      <c r="I156" s="21">
        <f t="shared" si="6"/>
        <v>139.7987431328738</v>
      </c>
    </row>
    <row r="157" spans="1:9">
      <c r="A157" s="22">
        <v>42286</v>
      </c>
      <c r="B157" s="21">
        <v>43.036377000000002</v>
      </c>
      <c r="C157" s="23">
        <v>28600600</v>
      </c>
      <c r="D157" s="24">
        <f t="shared" si="7"/>
        <v>-2.3379180784943777E-3</v>
      </c>
      <c r="E157" s="25">
        <f t="shared" si="8"/>
        <v>-8831500</v>
      </c>
      <c r="F157" s="20">
        <v>1</v>
      </c>
      <c r="G157" s="21">
        <v>125</v>
      </c>
      <c r="H157" s="21">
        <v>1.4608849596697837</v>
      </c>
      <c r="I157" s="21">
        <f t="shared" si="6"/>
        <v>139.99834155065221</v>
      </c>
    </row>
    <row r="158" spans="1:9">
      <c r="A158" s="22">
        <v>42289</v>
      </c>
      <c r="B158" s="21">
        <v>42.935879</v>
      </c>
      <c r="C158" s="23">
        <v>19769100</v>
      </c>
      <c r="D158" s="24">
        <f t="shared" si="7"/>
        <v>-2.3433267150641123E-3</v>
      </c>
      <c r="E158" s="25">
        <f t="shared" si="8"/>
        <v>218700</v>
      </c>
      <c r="F158" s="20">
        <v>1</v>
      </c>
      <c r="G158" s="21">
        <v>126</v>
      </c>
      <c r="H158" s="21">
        <v>-0.322636424243683</v>
      </c>
      <c r="I158" s="21">
        <f t="shared" si="6"/>
        <v>139.9549137640881</v>
      </c>
    </row>
    <row r="159" spans="1:9">
      <c r="A159" s="22">
        <v>42290</v>
      </c>
      <c r="B159" s="21">
        <v>42.835383999999998</v>
      </c>
      <c r="C159" s="23">
        <v>19987800</v>
      </c>
      <c r="D159" s="24">
        <f t="shared" si="7"/>
        <v>-4.4883412049868711E-3</v>
      </c>
      <c r="E159" s="25">
        <f t="shared" si="8"/>
        <v>4710000</v>
      </c>
      <c r="F159" s="20">
        <v>1</v>
      </c>
      <c r="G159" s="21">
        <v>127</v>
      </c>
      <c r="H159" s="21">
        <v>-1.1794281817856245</v>
      </c>
      <c r="I159" s="21">
        <f t="shared" si="6"/>
        <v>139.79480078925232</v>
      </c>
    </row>
    <row r="160" spans="1:9">
      <c r="A160" s="22">
        <v>42291</v>
      </c>
      <c r="B160" s="21">
        <v>42.643554999999999</v>
      </c>
      <c r="C160" s="23">
        <v>24697800</v>
      </c>
      <c r="D160" s="24">
        <f t="shared" si="7"/>
        <v>7.0444276995301732E-3</v>
      </c>
      <c r="E160" s="25">
        <f t="shared" si="8"/>
        <v>2491600</v>
      </c>
      <c r="F160" s="20">
        <v>1</v>
      </c>
      <c r="G160" s="21">
        <v>128</v>
      </c>
      <c r="H160" s="21">
        <v>-1.3515500540961511</v>
      </c>
      <c r="I160" s="21">
        <f t="shared" si="6"/>
        <v>139.61146581294255</v>
      </c>
    </row>
    <row r="161" spans="1:9">
      <c r="A161" s="22">
        <v>42292</v>
      </c>
      <c r="B161" s="21">
        <v>42.945014999999998</v>
      </c>
      <c r="C161" s="23">
        <v>27189400</v>
      </c>
      <c r="D161" s="24">
        <f t="shared" si="7"/>
        <v>1.0579854547575101E-2</v>
      </c>
      <c r="E161" s="25">
        <f t="shared" si="8"/>
        <v>-739100</v>
      </c>
      <c r="F161" s="20">
        <v>1</v>
      </c>
      <c r="G161" s="21">
        <v>129</v>
      </c>
      <c r="H161" s="21">
        <v>0.53841745284444187</v>
      </c>
      <c r="I161" s="21">
        <f t="shared" si="6"/>
        <v>139.68524731824667</v>
      </c>
    </row>
    <row r="162" spans="1:9">
      <c r="A162" s="22">
        <v>42293</v>
      </c>
      <c r="B162" s="21">
        <v>43.401778999999998</v>
      </c>
      <c r="C162" s="23">
        <v>26450300</v>
      </c>
      <c r="D162" s="24">
        <f t="shared" si="7"/>
        <v>2.3125056930151954E-3</v>
      </c>
      <c r="E162" s="25">
        <f t="shared" si="8"/>
        <v>2937300</v>
      </c>
      <c r="F162" s="20">
        <v>1</v>
      </c>
      <c r="G162" s="21">
        <v>130</v>
      </c>
      <c r="H162" s="21">
        <v>-0.36721075957757421</v>
      </c>
      <c r="I162" s="21">
        <f t="shared" ref="I162:I225" si="9">I161*EXP($L$31*$L$33+$L$32*H162*SQRT($L$33))</f>
        <v>139.635854742421</v>
      </c>
    </row>
    <row r="163" spans="1:9">
      <c r="A163" s="22">
        <v>42296</v>
      </c>
      <c r="B163" s="21">
        <v>43.502262000000002</v>
      </c>
      <c r="C163" s="23">
        <v>29387600</v>
      </c>
      <c r="D163" s="24">
        <f t="shared" si="7"/>
        <v>3.1450462728073413E-3</v>
      </c>
      <c r="E163" s="25">
        <f t="shared" si="8"/>
        <v>1414600</v>
      </c>
      <c r="F163" s="20">
        <v>1</v>
      </c>
      <c r="G163" s="21">
        <v>131</v>
      </c>
      <c r="H163" s="21">
        <v>-0.93437847681343555</v>
      </c>
      <c r="I163" s="21">
        <f t="shared" si="9"/>
        <v>139.50939757791977</v>
      </c>
    </row>
    <row r="164" spans="1:9">
      <c r="A164" s="22">
        <v>42297</v>
      </c>
      <c r="B164" s="21">
        <v>43.639294</v>
      </c>
      <c r="C164" s="23">
        <v>30802200</v>
      </c>
      <c r="D164" s="24">
        <f t="shared" si="7"/>
        <v>-1.2003895543930682E-2</v>
      </c>
      <c r="E164" s="25">
        <f t="shared" si="8"/>
        <v>-5657900</v>
      </c>
      <c r="F164" s="20">
        <v>1</v>
      </c>
      <c r="G164" s="21">
        <v>132</v>
      </c>
      <c r="H164" s="21">
        <v>-1.5403384168166667</v>
      </c>
      <c r="I164" s="21">
        <f t="shared" si="9"/>
        <v>139.30082231898282</v>
      </c>
    </row>
    <row r="165" spans="1:9">
      <c r="A165" s="22">
        <v>42298</v>
      </c>
      <c r="B165" s="21">
        <v>43.118583999999998</v>
      </c>
      <c r="C165" s="23">
        <v>25144300</v>
      </c>
      <c r="D165" s="24">
        <f t="shared" si="7"/>
        <v>1.7431892606980873E-2</v>
      </c>
      <c r="E165" s="25">
        <f t="shared" si="8"/>
        <v>31492800</v>
      </c>
      <c r="F165" s="20">
        <v>1</v>
      </c>
      <c r="G165" s="21">
        <v>133</v>
      </c>
      <c r="H165" s="21">
        <v>1.2041732588841114</v>
      </c>
      <c r="I165" s="21">
        <f t="shared" si="9"/>
        <v>139.46483733106368</v>
      </c>
    </row>
    <row r="166" spans="1:9">
      <c r="A166" s="22">
        <v>42299</v>
      </c>
      <c r="B166" s="21">
        <v>43.876812000000001</v>
      </c>
      <c r="C166" s="23">
        <v>56637100</v>
      </c>
      <c r="D166" s="24">
        <f t="shared" si="7"/>
        <v>9.6010341863869891E-2</v>
      </c>
      <c r="E166" s="25">
        <f t="shared" si="8"/>
        <v>78590000</v>
      </c>
      <c r="F166" s="20">
        <v>1</v>
      </c>
      <c r="G166" s="21">
        <v>134</v>
      </c>
      <c r="H166" s="21">
        <v>1.5059322322485968</v>
      </c>
      <c r="I166" s="21">
        <f t="shared" si="9"/>
        <v>139.67008647657161</v>
      </c>
    </row>
    <row r="167" spans="1:9">
      <c r="A167" s="22">
        <v>42300</v>
      </c>
      <c r="B167" s="21">
        <v>48.298298000000003</v>
      </c>
      <c r="C167" s="23">
        <v>135227100</v>
      </c>
      <c r="D167" s="24">
        <f t="shared" si="7"/>
        <v>2.5766749933295443E-2</v>
      </c>
      <c r="E167" s="25">
        <f t="shared" si="8"/>
        <v>-70593800</v>
      </c>
      <c r="F167" s="20">
        <v>1</v>
      </c>
      <c r="G167" s="21">
        <v>135</v>
      </c>
      <c r="H167" s="21">
        <v>0.88712567958282307</v>
      </c>
      <c r="I167" s="21">
        <f t="shared" si="9"/>
        <v>139.79136545585573</v>
      </c>
    </row>
    <row r="168" spans="1:9">
      <c r="A168" s="22">
        <v>42303</v>
      </c>
      <c r="B168" s="21">
        <v>49.558959999999999</v>
      </c>
      <c r="C168" s="23">
        <v>64633300</v>
      </c>
      <c r="D168" s="24">
        <f t="shared" si="7"/>
        <v>-1.0376261396837363E-2</v>
      </c>
      <c r="E168" s="25">
        <f t="shared" si="8"/>
        <v>-13633400</v>
      </c>
      <c r="F168" s="20">
        <v>1</v>
      </c>
      <c r="G168" s="21">
        <v>136</v>
      </c>
      <c r="H168" s="21">
        <v>1.0660846783139277</v>
      </c>
      <c r="I168" s="21">
        <f t="shared" si="9"/>
        <v>139.93713723108795</v>
      </c>
    </row>
    <row r="169" spans="1:9">
      <c r="A169" s="22">
        <v>42304</v>
      </c>
      <c r="B169" s="21">
        <v>49.047381999999999</v>
      </c>
      <c r="C169" s="23">
        <v>50999900</v>
      </c>
      <c r="D169" s="24">
        <f t="shared" si="7"/>
        <v>5.3869148624334628E-3</v>
      </c>
      <c r="E169" s="25">
        <f t="shared" si="8"/>
        <v>-3999100</v>
      </c>
      <c r="F169" s="20">
        <v>1</v>
      </c>
      <c r="G169" s="21">
        <v>137</v>
      </c>
      <c r="H169" s="21">
        <v>1.5169598555075936</v>
      </c>
      <c r="I169" s="21">
        <f t="shared" si="9"/>
        <v>140.14458658701989</v>
      </c>
    </row>
    <row r="170" spans="1:9">
      <c r="A170" s="22">
        <v>42305</v>
      </c>
      <c r="B170" s="21">
        <v>49.312308999999999</v>
      </c>
      <c r="C170" s="23">
        <v>47000800</v>
      </c>
      <c r="D170" s="24">
        <f t="shared" si="7"/>
        <v>-1.1552182678462914E-2</v>
      </c>
      <c r="E170" s="25">
        <f t="shared" si="8"/>
        <v>-16798700</v>
      </c>
      <c r="F170" s="20">
        <v>1</v>
      </c>
      <c r="G170" s="21">
        <v>138</v>
      </c>
      <c r="H170" s="21">
        <v>0.88158230937551707</v>
      </c>
      <c r="I170" s="21">
        <f t="shared" si="9"/>
        <v>140.26552032762271</v>
      </c>
    </row>
    <row r="171" spans="1:9">
      <c r="A171" s="22">
        <v>42306</v>
      </c>
      <c r="B171" s="21">
        <v>48.745922</v>
      </c>
      <c r="C171" s="23">
        <v>30202100</v>
      </c>
      <c r="D171" s="24">
        <f t="shared" si="7"/>
        <v>-1.3585196180799525E-2</v>
      </c>
      <c r="E171" s="25">
        <f t="shared" si="8"/>
        <v>16417700</v>
      </c>
      <c r="F171" s="20">
        <v>1</v>
      </c>
      <c r="G171" s="21">
        <v>139</v>
      </c>
      <c r="H171" s="21">
        <v>-1.2079726730007678</v>
      </c>
      <c r="I171" s="21">
        <f t="shared" si="9"/>
        <v>140.10115717949685</v>
      </c>
    </row>
    <row r="172" spans="1:9">
      <c r="A172" s="22">
        <v>42307</v>
      </c>
      <c r="B172" s="21">
        <v>48.088177000000002</v>
      </c>
      <c r="C172" s="23">
        <v>46619800</v>
      </c>
      <c r="D172" s="24">
        <f t="shared" si="7"/>
        <v>1.1333716399645224E-2</v>
      </c>
      <c r="E172" s="25">
        <f t="shared" si="8"/>
        <v>-16334800</v>
      </c>
      <c r="F172" s="20">
        <v>1</v>
      </c>
      <c r="G172" s="21">
        <v>140</v>
      </c>
      <c r="H172" s="21">
        <v>-1.1370889296813402</v>
      </c>
      <c r="I172" s="21">
        <f t="shared" si="9"/>
        <v>139.94664741925433</v>
      </c>
    </row>
    <row r="173" spans="1:9">
      <c r="A173" s="22">
        <v>42310</v>
      </c>
      <c r="B173" s="21">
        <v>48.636294999999997</v>
      </c>
      <c r="C173" s="23">
        <v>30285000</v>
      </c>
      <c r="D173" s="24">
        <f t="shared" si="7"/>
        <v>1.694827145021682E-2</v>
      </c>
      <c r="E173" s="25">
        <f t="shared" si="8"/>
        <v>6311900</v>
      </c>
      <c r="F173" s="20">
        <v>1</v>
      </c>
      <c r="G173" s="21">
        <v>141</v>
      </c>
      <c r="H173" s="21">
        <v>0.49004256652551703</v>
      </c>
      <c r="I173" s="21">
        <f t="shared" si="9"/>
        <v>140.01400946213494</v>
      </c>
    </row>
    <row r="174" spans="1:9">
      <c r="A174" s="22">
        <v>42311</v>
      </c>
      <c r="B174" s="21">
        <v>49.467621000000001</v>
      </c>
      <c r="C174" s="23">
        <v>36596900</v>
      </c>
      <c r="D174" s="24">
        <f t="shared" si="7"/>
        <v>4.6060120226487462E-3</v>
      </c>
      <c r="E174" s="25">
        <f t="shared" si="8"/>
        <v>490900</v>
      </c>
      <c r="F174" s="20">
        <v>1</v>
      </c>
      <c r="G174" s="21">
        <v>142</v>
      </c>
      <c r="H174" s="21">
        <v>0.23520442482549697</v>
      </c>
      <c r="I174" s="21">
        <f t="shared" si="9"/>
        <v>140.04664155870063</v>
      </c>
    </row>
    <row r="175" spans="1:9">
      <c r="A175" s="22">
        <v>42312</v>
      </c>
      <c r="B175" s="21">
        <v>49.695995000000003</v>
      </c>
      <c r="C175" s="23">
        <v>37087800</v>
      </c>
      <c r="D175" s="24">
        <f t="shared" si="7"/>
        <v>-3.6782363203320413E-4</v>
      </c>
      <c r="E175" s="25">
        <f t="shared" si="8"/>
        <v>-5619300</v>
      </c>
      <c r="F175" s="20">
        <v>1</v>
      </c>
      <c r="G175" s="21">
        <v>143</v>
      </c>
      <c r="H175" s="21">
        <v>-0.15309524314943701</v>
      </c>
      <c r="I175" s="21">
        <f t="shared" si="9"/>
        <v>140.02631770065551</v>
      </c>
    </row>
    <row r="176" spans="1:9">
      <c r="A176" s="22">
        <v>42313</v>
      </c>
      <c r="B176" s="21">
        <v>49.677719000000003</v>
      </c>
      <c r="C176" s="23">
        <v>31468500</v>
      </c>
      <c r="D176" s="24">
        <f t="shared" si="7"/>
        <v>9.8811261692956214E-3</v>
      </c>
      <c r="E176" s="25">
        <f t="shared" si="8"/>
        <v>1382700</v>
      </c>
      <c r="F176" s="20">
        <v>1</v>
      </c>
      <c r="G176" s="21">
        <v>144</v>
      </c>
      <c r="H176" s="21">
        <v>0.71626118369749747</v>
      </c>
      <c r="I176" s="21">
        <f t="shared" si="9"/>
        <v>140.12458642726759</v>
      </c>
    </row>
    <row r="177" spans="1:9">
      <c r="A177" s="22">
        <v>42314</v>
      </c>
      <c r="B177" s="21">
        <v>50.171024000000003</v>
      </c>
      <c r="C177" s="23">
        <v>32851200</v>
      </c>
      <c r="D177" s="24">
        <f t="shared" si="7"/>
        <v>-1.3934806840555409E-2</v>
      </c>
      <c r="E177" s="25">
        <f t="shared" si="8"/>
        <v>-338100</v>
      </c>
      <c r="F177" s="20">
        <v>1</v>
      </c>
      <c r="G177" s="21">
        <v>145</v>
      </c>
      <c r="H177" s="21">
        <v>-1.5164778233156539</v>
      </c>
      <c r="I177" s="21">
        <f t="shared" si="9"/>
        <v>139.91834281366704</v>
      </c>
    </row>
    <row r="178" spans="1:9">
      <c r="A178" s="22">
        <v>42317</v>
      </c>
      <c r="B178" s="21">
        <v>49.476748999999998</v>
      </c>
      <c r="C178" s="23">
        <v>32513100</v>
      </c>
      <c r="D178" s="24">
        <f t="shared" si="7"/>
        <v>-1.2074177126860566E-2</v>
      </c>
      <c r="E178" s="25">
        <f t="shared" si="8"/>
        <v>22770600</v>
      </c>
      <c r="F178" s="20">
        <v>1</v>
      </c>
      <c r="G178" s="21">
        <v>146</v>
      </c>
      <c r="H178" s="21">
        <v>-0.65234871726715937</v>
      </c>
      <c r="I178" s="21">
        <f t="shared" si="9"/>
        <v>139.83003184572289</v>
      </c>
    </row>
    <row r="179" spans="1:9">
      <c r="A179" s="22">
        <v>42318</v>
      </c>
      <c r="B179" s="21">
        <v>48.882950000000001</v>
      </c>
      <c r="C179" s="23">
        <v>55283700</v>
      </c>
      <c r="D179" s="24">
        <f t="shared" si="7"/>
        <v>2.6130984569026319E-3</v>
      </c>
      <c r="E179" s="25">
        <f t="shared" si="8"/>
        <v>-18767400</v>
      </c>
      <c r="F179" s="20">
        <v>1</v>
      </c>
      <c r="G179" s="21">
        <v>147</v>
      </c>
      <c r="H179" s="21">
        <v>-1.0999110600096174</v>
      </c>
      <c r="I179" s="21">
        <f t="shared" si="9"/>
        <v>139.68087854868062</v>
      </c>
    </row>
    <row r="180" spans="1:9">
      <c r="A180" s="22">
        <v>42319</v>
      </c>
      <c r="B180" s="21">
        <v>49.010852999999997</v>
      </c>
      <c r="C180" s="23">
        <v>36516300</v>
      </c>
      <c r="D180" s="24">
        <f t="shared" si="7"/>
        <v>-6.1702056261658854E-3</v>
      </c>
      <c r="E180" s="25">
        <f t="shared" si="8"/>
        <v>-1155200</v>
      </c>
      <c r="F180" s="20">
        <v>1</v>
      </c>
      <c r="G180" s="21">
        <v>148</v>
      </c>
      <c r="H180" s="21">
        <v>-0.27885221243195701</v>
      </c>
      <c r="I180" s="21">
        <f t="shared" si="9"/>
        <v>139.64350376826283</v>
      </c>
    </row>
    <row r="181" spans="1:9">
      <c r="A181" s="22">
        <v>42320</v>
      </c>
      <c r="B181" s="21">
        <v>48.709377000000003</v>
      </c>
      <c r="C181" s="23">
        <v>35361100</v>
      </c>
      <c r="D181" s="24">
        <f t="shared" si="7"/>
        <v>-9.0428081502747573E-3</v>
      </c>
      <c r="E181" s="25">
        <f t="shared" si="8"/>
        <v>1487100</v>
      </c>
      <c r="F181" s="20">
        <v>1</v>
      </c>
      <c r="G181" s="21">
        <v>149</v>
      </c>
      <c r="H181" s="21">
        <v>0.47834532779233996</v>
      </c>
      <c r="I181" s="21">
        <f t="shared" si="9"/>
        <v>139.70912831388728</v>
      </c>
    </row>
    <row r="182" spans="1:9">
      <c r="A182" s="22">
        <v>42321</v>
      </c>
      <c r="B182" s="21">
        <v>48.270893000000001</v>
      </c>
      <c r="C182" s="23">
        <v>36848200</v>
      </c>
      <c r="D182" s="24">
        <f t="shared" si="7"/>
        <v>1.7446980443482234E-2</v>
      </c>
      <c r="E182" s="25">
        <f t="shared" si="8"/>
        <v>-4683000</v>
      </c>
      <c r="F182" s="20">
        <v>1</v>
      </c>
      <c r="G182" s="21">
        <v>150</v>
      </c>
      <c r="H182" s="21">
        <v>1.6217290976783261</v>
      </c>
      <c r="I182" s="21">
        <f t="shared" si="9"/>
        <v>139.9305168390506</v>
      </c>
    </row>
    <row r="183" spans="1:9">
      <c r="A183" s="22">
        <v>42324</v>
      </c>
      <c r="B183" s="21">
        <v>49.120463999999998</v>
      </c>
      <c r="C183" s="23">
        <v>32165200</v>
      </c>
      <c r="D183" s="24">
        <f t="shared" si="7"/>
        <v>-8.2719888237969014E-3</v>
      </c>
      <c r="E183" s="25">
        <f t="shared" si="8"/>
        <v>-613900</v>
      </c>
      <c r="F183" s="20">
        <v>1</v>
      </c>
      <c r="G183" s="21">
        <v>151</v>
      </c>
      <c r="H183" s="21">
        <v>-0.59857711676158942</v>
      </c>
      <c r="I183" s="21">
        <f t="shared" si="9"/>
        <v>139.84952172530751</v>
      </c>
    </row>
    <row r="184" spans="1:9">
      <c r="A184" s="22">
        <v>42325</v>
      </c>
      <c r="B184" s="21">
        <v>48.715815999999997</v>
      </c>
      <c r="C184" s="23">
        <v>31551300</v>
      </c>
      <c r="D184" s="24">
        <f t="shared" si="7"/>
        <v>1.6476577252365367E-2</v>
      </c>
      <c r="E184" s="25">
        <f t="shared" si="8"/>
        <v>-1841300</v>
      </c>
      <c r="F184" s="20">
        <v>1</v>
      </c>
      <c r="G184" s="21">
        <v>152</v>
      </c>
      <c r="H184" s="21">
        <v>0.77557160693686455</v>
      </c>
      <c r="I184" s="21">
        <f t="shared" si="9"/>
        <v>139.95575040258208</v>
      </c>
    </row>
    <row r="185" spans="1:9">
      <c r="A185" s="22">
        <v>42326</v>
      </c>
      <c r="B185" s="21">
        <v>49.525134999999999</v>
      </c>
      <c r="C185" s="23">
        <v>29710000</v>
      </c>
      <c r="D185" s="24">
        <f t="shared" si="7"/>
        <v>1.6699783455071612E-3</v>
      </c>
      <c r="E185" s="25">
        <f t="shared" si="8"/>
        <v>-1560800</v>
      </c>
      <c r="F185" s="20">
        <v>1</v>
      </c>
      <c r="G185" s="21">
        <v>153</v>
      </c>
      <c r="H185" s="21">
        <v>0.73547425927245058</v>
      </c>
      <c r="I185" s="21">
        <f t="shared" si="9"/>
        <v>140.05659029042587</v>
      </c>
    </row>
    <row r="186" spans="1:9">
      <c r="A186" s="22">
        <v>42327</v>
      </c>
      <c r="B186" s="21">
        <v>49.607909999999997</v>
      </c>
      <c r="C186" s="23">
        <v>28149200</v>
      </c>
      <c r="D186" s="24">
        <f t="shared" si="7"/>
        <v>4.6238768624269743E-3</v>
      </c>
      <c r="E186" s="25">
        <f t="shared" si="8"/>
        <v>8998400</v>
      </c>
      <c r="F186" s="20">
        <v>1</v>
      </c>
      <c r="G186" s="21">
        <v>154</v>
      </c>
      <c r="H186" s="21">
        <v>1.1469273886177689</v>
      </c>
      <c r="I186" s="21">
        <f t="shared" si="9"/>
        <v>140.21367770763072</v>
      </c>
    </row>
    <row r="187" spans="1:9">
      <c r="A187" s="22">
        <v>42328</v>
      </c>
      <c r="B187" s="21">
        <v>49.837822000000003</v>
      </c>
      <c r="C187" s="23">
        <v>37147600</v>
      </c>
      <c r="D187" s="24">
        <f t="shared" si="7"/>
        <v>0</v>
      </c>
      <c r="E187" s="25">
        <f t="shared" si="8"/>
        <v>-8911700</v>
      </c>
      <c r="F187" s="20">
        <v>1</v>
      </c>
      <c r="G187" s="21">
        <v>155</v>
      </c>
      <c r="H187" s="21">
        <v>-1.3879048310627695</v>
      </c>
      <c r="I187" s="21">
        <f t="shared" si="9"/>
        <v>140.02483555082253</v>
      </c>
    </row>
    <row r="188" spans="1:9">
      <c r="A188" s="22">
        <v>42331</v>
      </c>
      <c r="B188" s="21">
        <v>49.837822000000003</v>
      </c>
      <c r="C188" s="23">
        <v>28235900</v>
      </c>
      <c r="D188" s="24">
        <f t="shared" si="7"/>
        <v>1.1066388857208221E-3</v>
      </c>
      <c r="E188" s="25">
        <f t="shared" si="8"/>
        <v>-3635900</v>
      </c>
      <c r="F188" s="20">
        <v>1</v>
      </c>
      <c r="G188" s="21">
        <v>156</v>
      </c>
      <c r="H188" s="21">
        <v>-0.88192109615192749</v>
      </c>
      <c r="I188" s="21">
        <f t="shared" si="9"/>
        <v>139.90517350979428</v>
      </c>
    </row>
    <row r="189" spans="1:9">
      <c r="A189" s="22">
        <v>42332</v>
      </c>
      <c r="B189" s="21">
        <v>49.893005000000002</v>
      </c>
      <c r="C189" s="23">
        <v>24600000</v>
      </c>
      <c r="D189" s="24">
        <f t="shared" si="7"/>
        <v>-1.0376094976570433E-2</v>
      </c>
      <c r="E189" s="25">
        <f t="shared" si="8"/>
        <v>-3594900</v>
      </c>
      <c r="F189" s="20">
        <v>1</v>
      </c>
      <c r="G189" s="21">
        <v>157</v>
      </c>
      <c r="H189" s="21">
        <v>-0.63222842072718777</v>
      </c>
      <c r="I189" s="21">
        <f t="shared" si="9"/>
        <v>139.81961063934799</v>
      </c>
    </row>
    <row r="190" spans="1:9">
      <c r="A190" s="22">
        <v>42333</v>
      </c>
      <c r="B190" s="21">
        <v>49.377986999999997</v>
      </c>
      <c r="C190" s="23">
        <v>21005100</v>
      </c>
      <c r="D190" s="24">
        <f t="shared" si="7"/>
        <v>4.4599262778052592E-3</v>
      </c>
      <c r="E190" s="25">
        <f t="shared" si="8"/>
        <v>-11996000</v>
      </c>
      <c r="F190" s="20">
        <v>1</v>
      </c>
      <c r="G190" s="21">
        <v>158</v>
      </c>
      <c r="H190" s="21">
        <v>0.24346945792785846</v>
      </c>
      <c r="I190" s="21">
        <f t="shared" si="9"/>
        <v>139.85332315810322</v>
      </c>
    </row>
    <row r="191" spans="1:9">
      <c r="A191" s="22">
        <v>42335</v>
      </c>
      <c r="B191" s="21">
        <v>49.598700999999998</v>
      </c>
      <c r="C191" s="23">
        <v>9009100</v>
      </c>
      <c r="D191" s="24">
        <f t="shared" si="7"/>
        <v>7.7579564392454784E-3</v>
      </c>
      <c r="E191" s="25">
        <f t="shared" si="8"/>
        <v>47232300</v>
      </c>
      <c r="F191" s="20">
        <v>1</v>
      </c>
      <c r="G191" s="21">
        <v>159</v>
      </c>
      <c r="H191" s="21">
        <v>-0.78886841947678477</v>
      </c>
      <c r="I191" s="21">
        <f t="shared" si="9"/>
        <v>139.74647161480326</v>
      </c>
    </row>
    <row r="192" spans="1:9">
      <c r="A192" s="22">
        <v>42338</v>
      </c>
      <c r="B192" s="21">
        <v>49.984982000000002</v>
      </c>
      <c r="C192" s="23">
        <v>56241400</v>
      </c>
      <c r="D192" s="24">
        <f t="shared" si="7"/>
        <v>1.5880541999533173E-2</v>
      </c>
      <c r="E192" s="25">
        <f t="shared" si="8"/>
        <v>-16288600</v>
      </c>
      <c r="F192" s="20">
        <v>1</v>
      </c>
      <c r="G192" s="21">
        <v>160</v>
      </c>
      <c r="H192" s="21">
        <v>-1.0418216334073804</v>
      </c>
      <c r="I192" s="21">
        <f t="shared" si="9"/>
        <v>139.60530523044145</v>
      </c>
    </row>
    <row r="193" spans="1:9">
      <c r="A193" s="22">
        <v>42339</v>
      </c>
      <c r="B193" s="21">
        <v>50.785107000000004</v>
      </c>
      <c r="C193" s="23">
        <v>39952800</v>
      </c>
      <c r="D193" s="24">
        <f t="shared" si="7"/>
        <v>-1.8119157644044503E-4</v>
      </c>
      <c r="E193" s="25">
        <f t="shared" si="8"/>
        <v>7322100</v>
      </c>
      <c r="F193" s="20">
        <v>1</v>
      </c>
      <c r="G193" s="21">
        <v>161</v>
      </c>
      <c r="H193" s="21">
        <v>0.14110923984844703</v>
      </c>
      <c r="I193" s="21">
        <f t="shared" si="9"/>
        <v>139.62504622756813</v>
      </c>
    </row>
    <row r="194" spans="1:9">
      <c r="A194" s="22">
        <v>42340</v>
      </c>
      <c r="B194" s="21">
        <v>50.775905999999999</v>
      </c>
      <c r="C194" s="23">
        <v>47274900</v>
      </c>
      <c r="D194" s="24">
        <f t="shared" si="7"/>
        <v>-1.8463095021513502E-2</v>
      </c>
      <c r="E194" s="25">
        <f t="shared" si="8"/>
        <v>-8647100</v>
      </c>
      <c r="F194" s="20">
        <v>1</v>
      </c>
      <c r="G194" s="21">
        <v>162</v>
      </c>
      <c r="H194" s="21">
        <v>-7.4232957558706403E-2</v>
      </c>
      <c r="I194" s="21">
        <f t="shared" si="9"/>
        <v>139.61550626569397</v>
      </c>
    </row>
    <row r="195" spans="1:9">
      <c r="A195" s="22">
        <v>42341</v>
      </c>
      <c r="B195" s="21">
        <v>49.847026999999997</v>
      </c>
      <c r="C195" s="23">
        <v>38627800</v>
      </c>
      <c r="D195" s="24">
        <f t="shared" ref="D195:D258" si="10">LN(B196/B195)</f>
        <v>3.1062297876566062E-2</v>
      </c>
      <c r="E195" s="25">
        <f t="shared" ref="E195:E258" si="11">C196-C195</f>
        <v>5335900</v>
      </c>
      <c r="F195" s="20">
        <v>1</v>
      </c>
      <c r="G195" s="21">
        <v>163</v>
      </c>
      <c r="H195" s="21">
        <v>8.7280795924016275E-2</v>
      </c>
      <c r="I195" s="21">
        <f t="shared" si="9"/>
        <v>139.62792865838506</v>
      </c>
    </row>
    <row r="196" spans="1:9">
      <c r="A196" s="22">
        <v>42342</v>
      </c>
      <c r="B196" s="21">
        <v>51.419688999999998</v>
      </c>
      <c r="C196" s="23">
        <v>43963700</v>
      </c>
      <c r="D196" s="24">
        <f t="shared" si="10"/>
        <v>-1.7900406110543203E-3</v>
      </c>
      <c r="E196" s="25">
        <f t="shared" si="11"/>
        <v>-13253900</v>
      </c>
      <c r="F196" s="20">
        <v>1</v>
      </c>
      <c r="G196" s="21">
        <v>164</v>
      </c>
      <c r="H196" s="21">
        <v>0.7415042091452051</v>
      </c>
      <c r="I196" s="21">
        <f t="shared" si="9"/>
        <v>139.72935292180671</v>
      </c>
    </row>
    <row r="197" spans="1:9">
      <c r="A197" s="22">
        <v>42345</v>
      </c>
      <c r="B197" s="21">
        <v>51.327728</v>
      </c>
      <c r="C197" s="23">
        <v>30709800</v>
      </c>
      <c r="D197" s="24">
        <f t="shared" si="10"/>
        <v>-3.5858395150707842E-4</v>
      </c>
      <c r="E197" s="25">
        <f t="shared" si="11"/>
        <v>2168200</v>
      </c>
      <c r="F197" s="20">
        <v>1</v>
      </c>
      <c r="G197" s="21">
        <v>165</v>
      </c>
      <c r="H197" s="21">
        <v>0.58954128689947538</v>
      </c>
      <c r="I197" s="21">
        <f t="shared" si="9"/>
        <v>139.81015769663901</v>
      </c>
    </row>
    <row r="198" spans="1:9">
      <c r="A198" s="22">
        <v>42346</v>
      </c>
      <c r="B198" s="21">
        <v>51.309325999999999</v>
      </c>
      <c r="C198" s="23">
        <v>32878000</v>
      </c>
      <c r="D198" s="24">
        <f t="shared" si="10"/>
        <v>-1.4625133416565681E-2</v>
      </c>
      <c r="E198" s="25">
        <f t="shared" si="11"/>
        <v>3495200</v>
      </c>
      <c r="F198" s="20">
        <v>1</v>
      </c>
      <c r="G198" s="21">
        <v>166</v>
      </c>
      <c r="H198" s="21">
        <v>0.12343662092462182</v>
      </c>
      <c r="I198" s="21">
        <f t="shared" si="9"/>
        <v>139.8275209959414</v>
      </c>
    </row>
    <row r="199" spans="1:9">
      <c r="A199" s="22">
        <v>42347</v>
      </c>
      <c r="B199" s="21">
        <v>50.564380999999997</v>
      </c>
      <c r="C199" s="23">
        <v>36373200</v>
      </c>
      <c r="D199" s="24">
        <f t="shared" si="10"/>
        <v>5.2608386669390798E-3</v>
      </c>
      <c r="E199" s="25">
        <f t="shared" si="11"/>
        <v>-4597400</v>
      </c>
      <c r="F199" s="20">
        <v>1</v>
      </c>
      <c r="G199" s="21">
        <v>167</v>
      </c>
      <c r="H199" s="21">
        <v>0.11527049537107814</v>
      </c>
      <c r="I199" s="21">
        <f t="shared" si="9"/>
        <v>139.84377426088122</v>
      </c>
    </row>
    <row r="200" spans="1:9">
      <c r="A200" s="22">
        <v>42348</v>
      </c>
      <c r="B200" s="21">
        <v>50.831093000000003</v>
      </c>
      <c r="C200" s="23">
        <v>31775800</v>
      </c>
      <c r="D200" s="24">
        <f t="shared" si="10"/>
        <v>-2.213578320434605E-2</v>
      </c>
      <c r="E200" s="25">
        <f t="shared" si="11"/>
        <v>7773700</v>
      </c>
      <c r="F200" s="20">
        <v>1</v>
      </c>
      <c r="G200" s="21">
        <v>168</v>
      </c>
      <c r="H200" s="21">
        <v>-1.5527348296018317</v>
      </c>
      <c r="I200" s="21">
        <f t="shared" si="9"/>
        <v>139.6330132915308</v>
      </c>
    </row>
    <row r="201" spans="1:9">
      <c r="A201" s="22">
        <v>42349</v>
      </c>
      <c r="B201" s="21">
        <v>49.718268999999999</v>
      </c>
      <c r="C201" s="23">
        <v>39549500</v>
      </c>
      <c r="D201" s="24">
        <f t="shared" si="10"/>
        <v>1.9780968159192374E-2</v>
      </c>
      <c r="E201" s="25">
        <f t="shared" si="11"/>
        <v>7219400</v>
      </c>
      <c r="F201" s="20">
        <v>1</v>
      </c>
      <c r="G201" s="21">
        <v>169</v>
      </c>
      <c r="H201" s="21">
        <v>0.50206836021970958</v>
      </c>
      <c r="I201" s="21">
        <f t="shared" si="9"/>
        <v>139.70186055203217</v>
      </c>
    </row>
    <row r="202" spans="1:9">
      <c r="A202" s="22">
        <v>42352</v>
      </c>
      <c r="B202" s="21">
        <v>50.711536000000002</v>
      </c>
      <c r="C202" s="23">
        <v>46768900</v>
      </c>
      <c r="D202" s="24">
        <f t="shared" si="10"/>
        <v>1.0875237669344189E-3</v>
      </c>
      <c r="E202" s="25">
        <f t="shared" si="11"/>
        <v>-6925900</v>
      </c>
      <c r="F202" s="20">
        <v>1</v>
      </c>
      <c r="G202" s="21">
        <v>170</v>
      </c>
      <c r="H202" s="21">
        <v>0.53735675464849919</v>
      </c>
      <c r="I202" s="21">
        <f t="shared" si="9"/>
        <v>139.7755454374194</v>
      </c>
    </row>
    <row r="203" spans="1:9">
      <c r="A203" s="22">
        <v>42353</v>
      </c>
      <c r="B203" s="21">
        <v>50.766716000000002</v>
      </c>
      <c r="C203" s="23">
        <v>39843000</v>
      </c>
      <c r="D203" s="24">
        <f t="shared" si="10"/>
        <v>1.6707402016952855E-2</v>
      </c>
      <c r="E203" s="25">
        <f t="shared" si="11"/>
        <v>-2339700</v>
      </c>
      <c r="F203" s="20">
        <v>1</v>
      </c>
      <c r="G203" s="21">
        <v>171</v>
      </c>
      <c r="H203" s="21">
        <v>-1.0619078238960356</v>
      </c>
      <c r="I203" s="21">
        <f t="shared" si="9"/>
        <v>139.63161816652192</v>
      </c>
    </row>
    <row r="204" spans="1:9">
      <c r="A204" s="22">
        <v>42354</v>
      </c>
      <c r="B204" s="21">
        <v>51.622020999999997</v>
      </c>
      <c r="C204" s="23">
        <v>37503300</v>
      </c>
      <c r="D204" s="24">
        <f t="shared" si="10"/>
        <v>-7.6903731646692525E-3</v>
      </c>
      <c r="E204" s="25">
        <f t="shared" si="11"/>
        <v>3777600</v>
      </c>
      <c r="F204" s="20">
        <v>1</v>
      </c>
      <c r="G204" s="21">
        <v>172</v>
      </c>
      <c r="H204" s="21">
        <v>-0.54355268730432726</v>
      </c>
      <c r="I204" s="21">
        <f t="shared" si="9"/>
        <v>139.55827462039557</v>
      </c>
    </row>
    <row r="205" spans="1:9">
      <c r="A205" s="22">
        <v>42355</v>
      </c>
      <c r="B205" s="21">
        <v>51.226551000000001</v>
      </c>
      <c r="C205" s="23">
        <v>41280900</v>
      </c>
      <c r="D205" s="24">
        <f t="shared" si="10"/>
        <v>-2.8591602796468902E-2</v>
      </c>
      <c r="E205" s="25">
        <f t="shared" si="11"/>
        <v>43403300</v>
      </c>
      <c r="F205" s="20">
        <v>1</v>
      </c>
      <c r="G205" s="21">
        <v>173</v>
      </c>
      <c r="H205" s="21">
        <v>-0.68390704655030277</v>
      </c>
      <c r="I205" s="21">
        <f t="shared" si="9"/>
        <v>139.46590437135055</v>
      </c>
    </row>
    <row r="206" spans="1:9">
      <c r="A206" s="22">
        <v>42356</v>
      </c>
      <c r="B206" s="21">
        <v>49.782642000000003</v>
      </c>
      <c r="C206" s="23">
        <v>84684200</v>
      </c>
      <c r="D206" s="24">
        <f t="shared" si="10"/>
        <v>1.2849152655981E-2</v>
      </c>
      <c r="E206" s="25">
        <f t="shared" si="11"/>
        <v>-47437900</v>
      </c>
      <c r="F206" s="20">
        <v>1</v>
      </c>
      <c r="G206" s="21">
        <v>174</v>
      </c>
      <c r="H206" s="21">
        <v>-0.63250809034798294</v>
      </c>
      <c r="I206" s="21">
        <f t="shared" si="9"/>
        <v>139.38057218459559</v>
      </c>
    </row>
    <row r="207" spans="1:9">
      <c r="A207" s="22">
        <v>42359</v>
      </c>
      <c r="B207" s="21">
        <v>50.426434</v>
      </c>
      <c r="C207" s="23">
        <v>37246300</v>
      </c>
      <c r="D207" s="24">
        <f t="shared" si="10"/>
        <v>9.4388514952909626E-3</v>
      </c>
      <c r="E207" s="25">
        <f t="shared" si="11"/>
        <v>-8924100</v>
      </c>
      <c r="F207" s="20">
        <v>1</v>
      </c>
      <c r="G207" s="21">
        <v>175</v>
      </c>
      <c r="H207" s="21">
        <v>0.98232931122765876</v>
      </c>
      <c r="I207" s="21">
        <f t="shared" si="9"/>
        <v>139.51453491339046</v>
      </c>
    </row>
    <row r="208" spans="1:9">
      <c r="A208" s="22">
        <v>42360</v>
      </c>
      <c r="B208" s="21">
        <v>50.904654999999998</v>
      </c>
      <c r="C208" s="23">
        <v>28322200</v>
      </c>
      <c r="D208" s="24">
        <f t="shared" si="10"/>
        <v>8.4556134371104943E-3</v>
      </c>
      <c r="E208" s="25">
        <f t="shared" si="11"/>
        <v>-1042400</v>
      </c>
      <c r="F208" s="20">
        <v>1</v>
      </c>
      <c r="G208" s="21">
        <v>176</v>
      </c>
      <c r="H208" s="21">
        <v>2.085216692648828</v>
      </c>
      <c r="I208" s="21">
        <f t="shared" si="9"/>
        <v>139.79870523538744</v>
      </c>
    </row>
    <row r="209" spans="1:9">
      <c r="A209" s="22">
        <v>42361</v>
      </c>
      <c r="B209" s="21">
        <v>51.336910000000003</v>
      </c>
      <c r="C209" s="23">
        <v>27279800</v>
      </c>
      <c r="D209" s="24">
        <f t="shared" si="10"/>
        <v>-2.6907087088831896E-3</v>
      </c>
      <c r="E209" s="25">
        <f t="shared" si="11"/>
        <v>-17721300</v>
      </c>
      <c r="F209" s="20">
        <v>1</v>
      </c>
      <c r="G209" s="21">
        <v>177</v>
      </c>
      <c r="H209" s="21">
        <v>-0.6685240805381909</v>
      </c>
      <c r="I209" s="21">
        <f t="shared" si="9"/>
        <v>139.70826889002433</v>
      </c>
    </row>
    <row r="210" spans="1:9">
      <c r="A210" s="22">
        <v>42362</v>
      </c>
      <c r="B210" s="21">
        <v>51.198962999999999</v>
      </c>
      <c r="C210" s="23">
        <v>9558500</v>
      </c>
      <c r="D210" s="24">
        <f t="shared" si="10"/>
        <v>5.0171628048982777E-3</v>
      </c>
      <c r="E210" s="25">
        <f t="shared" si="11"/>
        <v>12899800</v>
      </c>
      <c r="F210" s="20">
        <v>1</v>
      </c>
      <c r="G210" s="21">
        <v>178</v>
      </c>
      <c r="H210" s="21">
        <v>1.5085561244632117</v>
      </c>
      <c r="I210" s="21">
        <f t="shared" si="9"/>
        <v>139.91423383243793</v>
      </c>
    </row>
    <row r="211" spans="1:9">
      <c r="A211" s="22">
        <v>42366</v>
      </c>
      <c r="B211" s="21">
        <v>51.456482000000001</v>
      </c>
      <c r="C211" s="23">
        <v>22458300</v>
      </c>
      <c r="D211" s="24">
        <f t="shared" si="10"/>
        <v>1.0666668985140803E-2</v>
      </c>
      <c r="E211" s="25">
        <f t="shared" si="11"/>
        <v>5273100</v>
      </c>
      <c r="F211" s="20">
        <v>1</v>
      </c>
      <c r="G211" s="21">
        <v>179</v>
      </c>
      <c r="H211" s="21">
        <v>-1.3343969840207137</v>
      </c>
      <c r="I211" s="21">
        <f t="shared" si="9"/>
        <v>139.73307652014449</v>
      </c>
    </row>
    <row r="212" spans="1:9">
      <c r="A212" s="22">
        <v>42367</v>
      </c>
      <c r="B212" s="21">
        <v>52.008288999999998</v>
      </c>
      <c r="C212" s="23">
        <v>27731400</v>
      </c>
      <c r="D212" s="24">
        <f t="shared" si="10"/>
        <v>-4.2531437405504552E-3</v>
      </c>
      <c r="E212" s="25">
        <f t="shared" si="11"/>
        <v>-6026900</v>
      </c>
      <c r="F212" s="20">
        <v>1</v>
      </c>
      <c r="G212" s="21">
        <v>180</v>
      </c>
      <c r="H212" s="21">
        <v>-0.1158093709818786</v>
      </c>
      <c r="I212" s="21">
        <f t="shared" si="9"/>
        <v>139.71787165653404</v>
      </c>
    </row>
    <row r="213" spans="1:9">
      <c r="A213" s="22">
        <v>42368</v>
      </c>
      <c r="B213" s="21">
        <v>51.787559999999999</v>
      </c>
      <c r="C213" s="23">
        <v>21704500</v>
      </c>
      <c r="D213" s="24">
        <f t="shared" si="10"/>
        <v>-1.4849406838983623E-2</v>
      </c>
      <c r="E213" s="25">
        <f t="shared" si="11"/>
        <v>5629600</v>
      </c>
      <c r="F213" s="20">
        <v>1</v>
      </c>
      <c r="G213" s="21">
        <v>181</v>
      </c>
      <c r="H213" s="21">
        <v>-1.859689291450195</v>
      </c>
      <c r="I213" s="21">
        <f t="shared" si="9"/>
        <v>139.46560156275893</v>
      </c>
    </row>
    <row r="214" spans="1:9">
      <c r="A214" s="22">
        <v>42369</v>
      </c>
      <c r="B214" s="21">
        <v>51.024227000000003</v>
      </c>
      <c r="C214" s="23">
        <v>27334100</v>
      </c>
      <c r="D214" s="24">
        <f t="shared" si="10"/>
        <v>-1.2332519255532371E-2</v>
      </c>
      <c r="E214" s="25">
        <f t="shared" si="11"/>
        <v>26443900</v>
      </c>
      <c r="F214" s="20">
        <v>1</v>
      </c>
      <c r="G214" s="21">
        <v>182</v>
      </c>
      <c r="H214" s="21">
        <v>-0.51399183575995266</v>
      </c>
      <c r="I214" s="21">
        <f t="shared" si="9"/>
        <v>139.39635832385582</v>
      </c>
    </row>
    <row r="215" spans="1:9">
      <c r="A215" s="22">
        <v>42373</v>
      </c>
      <c r="B215" s="21">
        <v>50.398834000000001</v>
      </c>
      <c r="C215" s="23">
        <v>53778000</v>
      </c>
      <c r="D215" s="24">
        <f t="shared" si="10"/>
        <v>4.5517741361898482E-3</v>
      </c>
      <c r="E215" s="25">
        <f t="shared" si="11"/>
        <v>-19698300</v>
      </c>
      <c r="F215" s="20">
        <v>1</v>
      </c>
      <c r="G215" s="21">
        <v>183</v>
      </c>
      <c r="H215" s="21">
        <v>1.7777711036615074</v>
      </c>
      <c r="I215" s="21">
        <f t="shared" si="9"/>
        <v>139.63847056626167</v>
      </c>
    </row>
    <row r="216" spans="1:9">
      <c r="A216" s="22">
        <v>42374</v>
      </c>
      <c r="B216" s="21">
        <v>50.628760999999997</v>
      </c>
      <c r="C216" s="23">
        <v>34079700</v>
      </c>
      <c r="D216" s="24">
        <f t="shared" si="10"/>
        <v>-1.8332362368935567E-2</v>
      </c>
      <c r="E216" s="25">
        <f t="shared" si="11"/>
        <v>5439200</v>
      </c>
      <c r="F216" s="20">
        <v>1</v>
      </c>
      <c r="G216" s="21">
        <v>184</v>
      </c>
      <c r="H216" s="21">
        <v>0.23229517864820082</v>
      </c>
      <c r="I216" s="21">
        <f t="shared" si="9"/>
        <v>139.67061940353415</v>
      </c>
    </row>
    <row r="217" spans="1:9">
      <c r="A217" s="22">
        <v>42375</v>
      </c>
      <c r="B217" s="21">
        <v>49.709071999999999</v>
      </c>
      <c r="C217" s="23">
        <v>39518900</v>
      </c>
      <c r="D217" s="24">
        <f t="shared" si="10"/>
        <v>-3.5402006250485209E-2</v>
      </c>
      <c r="E217" s="25">
        <f t="shared" si="11"/>
        <v>17046000</v>
      </c>
      <c r="F217" s="20">
        <v>1</v>
      </c>
      <c r="G217" s="21">
        <v>185</v>
      </c>
      <c r="H217" s="21">
        <v>-0.54027509577281307</v>
      </c>
      <c r="I217" s="21">
        <f t="shared" si="9"/>
        <v>139.59770097716367</v>
      </c>
    </row>
    <row r="218" spans="1:9">
      <c r="A218" s="22">
        <v>42376</v>
      </c>
      <c r="B218" s="21">
        <v>47.980057000000002</v>
      </c>
      <c r="C218" s="23">
        <v>56564900</v>
      </c>
      <c r="D218" s="24">
        <f t="shared" si="10"/>
        <v>3.0623928952350295E-3</v>
      </c>
      <c r="E218" s="25">
        <f t="shared" si="11"/>
        <v>-7810900</v>
      </c>
      <c r="F218" s="20">
        <v>1</v>
      </c>
      <c r="G218" s="21">
        <v>186</v>
      </c>
      <c r="H218" s="21">
        <v>0.49366917664883658</v>
      </c>
      <c r="I218" s="21">
        <f t="shared" si="9"/>
        <v>139.66538835347197</v>
      </c>
    </row>
    <row r="219" spans="1:9">
      <c r="A219" s="22">
        <v>42377</v>
      </c>
      <c r="B219" s="21">
        <v>48.127215999999997</v>
      </c>
      <c r="C219" s="23">
        <v>48754000</v>
      </c>
      <c r="D219" s="24">
        <f t="shared" si="10"/>
        <v>-5.7362379902426894E-4</v>
      </c>
      <c r="E219" s="25">
        <f t="shared" si="11"/>
        <v>-11810200</v>
      </c>
      <c r="F219" s="20">
        <v>1</v>
      </c>
      <c r="G219" s="21">
        <v>187</v>
      </c>
      <c r="H219" s="21">
        <v>0.42966462387994397</v>
      </c>
      <c r="I219" s="21">
        <f t="shared" si="9"/>
        <v>139.72439861269325</v>
      </c>
    </row>
    <row r="220" spans="1:9">
      <c r="A220" s="22">
        <v>42380</v>
      </c>
      <c r="B220" s="21">
        <v>48.099617000000002</v>
      </c>
      <c r="C220" s="23">
        <v>36943800</v>
      </c>
      <c r="D220" s="24">
        <f t="shared" si="10"/>
        <v>9.1360910320976776E-3</v>
      </c>
      <c r="E220" s="25">
        <f t="shared" si="11"/>
        <v>-848300</v>
      </c>
      <c r="F220" s="20">
        <v>1</v>
      </c>
      <c r="G220" s="21">
        <v>188</v>
      </c>
      <c r="H220" s="21">
        <v>0.65320136855007149</v>
      </c>
      <c r="I220" s="21">
        <f t="shared" si="9"/>
        <v>139.81386859110611</v>
      </c>
    </row>
    <row r="221" spans="1:9">
      <c r="A221" s="22">
        <v>42381</v>
      </c>
      <c r="B221" s="21">
        <v>48.541072999999997</v>
      </c>
      <c r="C221" s="23">
        <v>36095500</v>
      </c>
      <c r="D221" s="24">
        <f t="shared" si="10"/>
        <v>-2.1835764426521929E-2</v>
      </c>
      <c r="E221" s="25">
        <f t="shared" si="11"/>
        <v>30788100</v>
      </c>
      <c r="F221" s="20">
        <v>1</v>
      </c>
      <c r="G221" s="21">
        <v>189</v>
      </c>
      <c r="H221" s="21">
        <v>3.3244305086554959E-2</v>
      </c>
      <c r="I221" s="21">
        <f t="shared" si="9"/>
        <v>139.81895024050257</v>
      </c>
    </row>
    <row r="222" spans="1:9">
      <c r="A222" s="22">
        <v>42382</v>
      </c>
      <c r="B222" s="21">
        <v>47.492629999999998</v>
      </c>
      <c r="C222" s="23">
        <v>66883600</v>
      </c>
      <c r="D222" s="24">
        <f t="shared" si="10"/>
        <v>2.8068674600969207E-2</v>
      </c>
      <c r="E222" s="25">
        <f t="shared" si="11"/>
        <v>-14501700</v>
      </c>
      <c r="F222" s="20">
        <v>1</v>
      </c>
      <c r="G222" s="21">
        <v>190</v>
      </c>
      <c r="H222" s="21">
        <v>0.32086290957522579</v>
      </c>
      <c r="I222" s="21">
        <f t="shared" si="9"/>
        <v>139.86320427648485</v>
      </c>
    </row>
    <row r="223" spans="1:9">
      <c r="A223" s="22">
        <v>42383</v>
      </c>
      <c r="B223" s="21">
        <v>48.844569999999997</v>
      </c>
      <c r="C223" s="23">
        <v>52381900</v>
      </c>
      <c r="D223" s="24">
        <f t="shared" si="10"/>
        <v>-4.0735652928348666E-2</v>
      </c>
      <c r="E223" s="25">
        <f t="shared" si="11"/>
        <v>19438800</v>
      </c>
      <c r="F223" s="20">
        <v>1</v>
      </c>
      <c r="G223" s="21">
        <v>191</v>
      </c>
      <c r="H223" s="21">
        <v>-0.69428551796590909</v>
      </c>
      <c r="I223" s="21">
        <f t="shared" si="9"/>
        <v>139.769219451309</v>
      </c>
    </row>
    <row r="224" spans="1:9">
      <c r="A224" s="22">
        <v>42384</v>
      </c>
      <c r="B224" s="21">
        <v>46.894835999999998</v>
      </c>
      <c r="C224" s="23">
        <v>71820700</v>
      </c>
      <c r="D224" s="24">
        <f t="shared" si="10"/>
        <v>-8.4687771601467694E-3</v>
      </c>
      <c r="E224" s="25">
        <f t="shared" si="11"/>
        <v>-28256200</v>
      </c>
      <c r="F224" s="20">
        <v>1</v>
      </c>
      <c r="G224" s="21">
        <v>192</v>
      </c>
      <c r="H224" s="21">
        <v>-0.38321559259202331</v>
      </c>
      <c r="I224" s="21">
        <f t="shared" si="9"/>
        <v>139.7176193525454</v>
      </c>
    </row>
    <row r="225" spans="1:9">
      <c r="A225" s="22">
        <v>42388</v>
      </c>
      <c r="B225" s="21">
        <v>46.499370999999996</v>
      </c>
      <c r="C225" s="23">
        <v>43564500</v>
      </c>
      <c r="D225" s="24">
        <f t="shared" si="10"/>
        <v>4.5386708979081591E-3</v>
      </c>
      <c r="E225" s="25">
        <f t="shared" si="11"/>
        <v>19708500</v>
      </c>
      <c r="F225" s="20">
        <v>1</v>
      </c>
      <c r="G225" s="21">
        <v>193</v>
      </c>
      <c r="H225" s="21">
        <v>-0.97627435025060549</v>
      </c>
      <c r="I225" s="21">
        <f t="shared" si="9"/>
        <v>139.58539255392947</v>
      </c>
    </row>
    <row r="226" spans="1:9">
      <c r="A226" s="22">
        <v>42389</v>
      </c>
      <c r="B226" s="21">
        <v>46.710895999999998</v>
      </c>
      <c r="C226" s="23">
        <v>63273000</v>
      </c>
      <c r="D226" s="24">
        <f t="shared" si="10"/>
        <v>-6.1224404291956372E-3</v>
      </c>
      <c r="E226" s="25">
        <f t="shared" si="11"/>
        <v>-23081800</v>
      </c>
      <c r="F226" s="20">
        <v>1</v>
      </c>
      <c r="G226" s="21">
        <v>194</v>
      </c>
      <c r="H226" s="21">
        <v>0.73177034209948033</v>
      </c>
      <c r="I226" s="21">
        <f t="shared" ref="I226:I289" si="12">I225*EXP($L$31*$L$33+$L$32*H226*SQRT($L$33))</f>
        <v>139.68546170904278</v>
      </c>
    </row>
    <row r="227" spans="1:9">
      <c r="A227" s="22">
        <v>42390</v>
      </c>
      <c r="B227" s="21">
        <v>46.425784999999998</v>
      </c>
      <c r="C227" s="23">
        <v>40191200</v>
      </c>
      <c r="D227" s="24">
        <f t="shared" si="10"/>
        <v>3.5227889610421302E-2</v>
      </c>
      <c r="E227" s="25">
        <f t="shared" si="11"/>
        <v>-2635400</v>
      </c>
      <c r="F227" s="20">
        <v>1</v>
      </c>
      <c r="G227" s="21">
        <v>195</v>
      </c>
      <c r="H227" s="21">
        <v>2.0175139070488513</v>
      </c>
      <c r="I227" s="21">
        <f t="shared" si="12"/>
        <v>139.96075137820606</v>
      </c>
    </row>
    <row r="228" spans="1:9">
      <c r="A228" s="22">
        <v>42391</v>
      </c>
      <c r="B228" s="21">
        <v>48.090415999999998</v>
      </c>
      <c r="C228" s="23">
        <v>37555800</v>
      </c>
      <c r="D228" s="24">
        <f t="shared" si="10"/>
        <v>-9.6079767461112586E-3</v>
      </c>
      <c r="E228" s="25">
        <f t="shared" si="11"/>
        <v>-2848100</v>
      </c>
      <c r="F228" s="20">
        <v>1</v>
      </c>
      <c r="G228" s="21">
        <v>196</v>
      </c>
      <c r="H228" s="21">
        <v>-0.45514298108173534</v>
      </c>
      <c r="I228" s="21">
        <f t="shared" si="12"/>
        <v>139.89928017987782</v>
      </c>
    </row>
    <row r="229" spans="1:9">
      <c r="A229" s="22">
        <v>42394</v>
      </c>
      <c r="B229" s="21">
        <v>47.630577000000002</v>
      </c>
      <c r="C229" s="23">
        <v>34707700</v>
      </c>
      <c r="D229" s="24">
        <f t="shared" si="10"/>
        <v>7.3105164527174395E-3</v>
      </c>
      <c r="E229" s="25">
        <f t="shared" si="11"/>
        <v>-5806900</v>
      </c>
      <c r="F229" s="20">
        <v>1</v>
      </c>
      <c r="G229" s="21">
        <v>197</v>
      </c>
      <c r="H229" s="21">
        <v>0.63615743783884682</v>
      </c>
      <c r="I229" s="21">
        <f t="shared" si="12"/>
        <v>139.98653845153785</v>
      </c>
    </row>
    <row r="230" spans="1:9">
      <c r="A230" s="22">
        <v>42395</v>
      </c>
      <c r="B230" s="21">
        <v>47.980057000000002</v>
      </c>
      <c r="C230" s="23">
        <v>28900800</v>
      </c>
      <c r="D230" s="24">
        <f t="shared" si="10"/>
        <v>-1.8377464109427085E-2</v>
      </c>
      <c r="E230" s="25">
        <f t="shared" si="11"/>
        <v>7874400</v>
      </c>
      <c r="F230" s="20">
        <v>1</v>
      </c>
      <c r="G230" s="21">
        <v>198</v>
      </c>
      <c r="H230" s="21">
        <v>-2.773390406218823E-2</v>
      </c>
      <c r="I230" s="21">
        <f t="shared" si="12"/>
        <v>139.9833129095328</v>
      </c>
    </row>
    <row r="231" spans="1:9">
      <c r="A231" s="22">
        <v>42396</v>
      </c>
      <c r="B231" s="21">
        <v>47.106358</v>
      </c>
      <c r="C231" s="23">
        <v>36775200</v>
      </c>
      <c r="D231" s="24">
        <f t="shared" si="10"/>
        <v>1.6266737053267588E-2</v>
      </c>
      <c r="E231" s="25">
        <f t="shared" si="11"/>
        <v>25738600</v>
      </c>
      <c r="F231" s="20">
        <v>1</v>
      </c>
      <c r="G231" s="21">
        <v>199</v>
      </c>
      <c r="H231" s="21">
        <v>0.58735849961522035</v>
      </c>
      <c r="I231" s="21">
        <f t="shared" si="12"/>
        <v>140.06396679478385</v>
      </c>
    </row>
    <row r="232" spans="1:9">
      <c r="A232" s="22">
        <v>42397</v>
      </c>
      <c r="B232" s="21">
        <v>47.878891000000003</v>
      </c>
      <c r="C232" s="23">
        <v>62513800</v>
      </c>
      <c r="D232" s="24">
        <f t="shared" si="10"/>
        <v>5.6571335950979185E-2</v>
      </c>
      <c r="E232" s="25">
        <f t="shared" si="11"/>
        <v>21097900</v>
      </c>
      <c r="F232" s="20">
        <v>1</v>
      </c>
      <c r="G232" s="21">
        <v>200</v>
      </c>
      <c r="H232" s="21">
        <v>0.49297796067548916</v>
      </c>
      <c r="I232" s="21">
        <f t="shared" si="12"/>
        <v>140.13178591738605</v>
      </c>
    </row>
    <row r="233" spans="1:9">
      <c r="A233" s="22">
        <v>42398</v>
      </c>
      <c r="B233" s="21">
        <v>50.665543</v>
      </c>
      <c r="C233" s="23">
        <v>83611700</v>
      </c>
      <c r="D233" s="24">
        <f t="shared" si="10"/>
        <v>-6.9216842380070516E-3</v>
      </c>
      <c r="E233" s="25">
        <f t="shared" si="11"/>
        <v>-39403200</v>
      </c>
      <c r="F233" s="20">
        <v>1</v>
      </c>
      <c r="G233" s="21">
        <v>201</v>
      </c>
      <c r="H233" s="21">
        <v>1.387702468491625</v>
      </c>
      <c r="I233" s="21">
        <f t="shared" si="12"/>
        <v>140.32185831084934</v>
      </c>
    </row>
    <row r="234" spans="1:9">
      <c r="A234" s="22">
        <v>42401</v>
      </c>
      <c r="B234" s="21">
        <v>50.316063</v>
      </c>
      <c r="C234" s="23">
        <v>44208500</v>
      </c>
      <c r="D234" s="24">
        <f t="shared" si="10"/>
        <v>-3.1754484337117479E-2</v>
      </c>
      <c r="E234" s="25">
        <f t="shared" si="11"/>
        <v>12105300</v>
      </c>
      <c r="F234" s="20">
        <v>1</v>
      </c>
      <c r="G234" s="21">
        <v>202</v>
      </c>
      <c r="H234" s="21">
        <v>1.7559068510308862</v>
      </c>
      <c r="I234" s="21">
        <f t="shared" si="12"/>
        <v>140.56258487680412</v>
      </c>
    </row>
    <row r="235" spans="1:9">
      <c r="A235" s="22">
        <v>42402</v>
      </c>
      <c r="B235" s="21">
        <v>48.743403999999998</v>
      </c>
      <c r="C235" s="23">
        <v>56313800</v>
      </c>
      <c r="D235" s="24">
        <f t="shared" si="10"/>
        <v>-1.5976142500679243E-2</v>
      </c>
      <c r="E235" s="25">
        <f t="shared" si="11"/>
        <v>1246000</v>
      </c>
      <c r="F235" s="20">
        <v>1</v>
      </c>
      <c r="G235" s="21">
        <v>203</v>
      </c>
      <c r="H235" s="21">
        <v>0.78792936619720422</v>
      </c>
      <c r="I235" s="21">
        <f t="shared" si="12"/>
        <v>140.6710482042923</v>
      </c>
    </row>
    <row r="236" spans="1:9">
      <c r="A236" s="22">
        <v>42403</v>
      </c>
      <c r="B236" s="21">
        <v>47.970860000000002</v>
      </c>
      <c r="C236" s="23">
        <v>57559800</v>
      </c>
      <c r="D236" s="24">
        <f t="shared" si="10"/>
        <v>-3.0720134114768575E-3</v>
      </c>
      <c r="E236" s="25">
        <f t="shared" si="11"/>
        <v>-10572700</v>
      </c>
      <c r="F236" s="20">
        <v>1</v>
      </c>
      <c r="G236" s="21">
        <v>204</v>
      </c>
      <c r="H236" s="21">
        <v>9.442373993806541E-2</v>
      </c>
      <c r="I236" s="21">
        <f t="shared" si="12"/>
        <v>140.68454319408181</v>
      </c>
    </row>
    <row r="237" spans="1:9">
      <c r="A237" s="22">
        <v>42404</v>
      </c>
      <c r="B237" s="21">
        <v>47.823718999999997</v>
      </c>
      <c r="C237" s="23">
        <v>46987100</v>
      </c>
      <c r="D237" s="24">
        <f t="shared" si="10"/>
        <v>-3.6025802680615358E-2</v>
      </c>
      <c r="E237" s="25">
        <f t="shared" si="11"/>
        <v>15021900</v>
      </c>
      <c r="F237" s="20">
        <v>1</v>
      </c>
      <c r="G237" s="21">
        <v>205</v>
      </c>
      <c r="H237" s="21">
        <v>1.0181565812672488</v>
      </c>
      <c r="I237" s="21">
        <f t="shared" si="12"/>
        <v>140.82467284646685</v>
      </c>
    </row>
    <row r="238" spans="1:9">
      <c r="A238" s="22">
        <v>42405</v>
      </c>
      <c r="B238" s="21">
        <v>46.131495999999999</v>
      </c>
      <c r="C238" s="23">
        <v>62009000</v>
      </c>
      <c r="D238" s="24">
        <f t="shared" si="10"/>
        <v>-1.5065499379468647E-2</v>
      </c>
      <c r="E238" s="25">
        <f t="shared" si="11"/>
        <v>-2718500</v>
      </c>
      <c r="F238" s="20">
        <v>1</v>
      </c>
      <c r="G238" s="21">
        <v>206</v>
      </c>
      <c r="H238" s="21">
        <v>2.2993481252342463</v>
      </c>
      <c r="I238" s="21">
        <f t="shared" si="12"/>
        <v>141.14094282550127</v>
      </c>
    </row>
    <row r="239" spans="1:9">
      <c r="A239" s="22">
        <v>42408</v>
      </c>
      <c r="B239" s="21">
        <v>45.441710999999998</v>
      </c>
      <c r="C239" s="23">
        <v>59290500</v>
      </c>
      <c r="D239" s="24">
        <f t="shared" si="10"/>
        <v>-2.6342654596727974E-3</v>
      </c>
      <c r="E239" s="25">
        <f t="shared" si="11"/>
        <v>-12550000</v>
      </c>
      <c r="F239" s="20">
        <v>1</v>
      </c>
      <c r="G239" s="21">
        <v>207</v>
      </c>
      <c r="H239" s="21">
        <v>0.12066266208421439</v>
      </c>
      <c r="I239" s="21">
        <f t="shared" si="12"/>
        <v>141.15809004677155</v>
      </c>
    </row>
    <row r="240" spans="1:9">
      <c r="A240" s="22">
        <v>42409</v>
      </c>
      <c r="B240" s="21">
        <v>45.322163000000003</v>
      </c>
      <c r="C240" s="23">
        <v>46740500</v>
      </c>
      <c r="D240" s="24">
        <f t="shared" si="10"/>
        <v>8.6878817658467278E-3</v>
      </c>
      <c r="E240" s="25">
        <f t="shared" si="11"/>
        <v>-8503500</v>
      </c>
      <c r="F240" s="20">
        <v>1</v>
      </c>
      <c r="G240" s="21">
        <v>208</v>
      </c>
      <c r="H240" s="21">
        <v>0.93402377387974411</v>
      </c>
      <c r="I240" s="21">
        <f t="shared" si="12"/>
        <v>141.28711416350725</v>
      </c>
    </row>
    <row r="241" spans="1:9">
      <c r="A241" s="22">
        <v>42410</v>
      </c>
      <c r="B241" s="21">
        <v>45.717632000000002</v>
      </c>
      <c r="C241" s="23">
        <v>38237000</v>
      </c>
      <c r="D241" s="24">
        <f t="shared" si="10"/>
        <v>-4.025077877510556E-4</v>
      </c>
      <c r="E241" s="25">
        <f t="shared" si="11"/>
        <v>10641600</v>
      </c>
      <c r="F241" s="20">
        <v>1</v>
      </c>
      <c r="G241" s="21">
        <v>209</v>
      </c>
      <c r="H241" s="21">
        <v>1.1295287549728528</v>
      </c>
      <c r="I241" s="21">
        <f t="shared" si="12"/>
        <v>141.44318500526651</v>
      </c>
    </row>
    <row r="242" spans="1:9">
      <c r="A242" s="22">
        <v>42411</v>
      </c>
      <c r="B242" s="21">
        <v>45.699233999999997</v>
      </c>
      <c r="C242" s="23">
        <v>48878600</v>
      </c>
      <c r="D242" s="24">
        <f t="shared" si="10"/>
        <v>1.616977583925451E-2</v>
      </c>
      <c r="E242" s="25">
        <f t="shared" si="11"/>
        <v>-14635300</v>
      </c>
      <c r="F242" s="20">
        <v>1</v>
      </c>
      <c r="G242" s="21">
        <v>210</v>
      </c>
      <c r="H242" s="21">
        <v>-0.26147631615458522</v>
      </c>
      <c r="I242" s="21">
        <f t="shared" si="12"/>
        <v>141.40773163776339</v>
      </c>
    </row>
    <row r="243" spans="1:9">
      <c r="A243" s="22">
        <v>42412</v>
      </c>
      <c r="B243" s="21">
        <v>46.444186999999999</v>
      </c>
      <c r="C243" s="23">
        <v>34243300</v>
      </c>
      <c r="D243" s="24">
        <f t="shared" si="10"/>
        <v>1.8769677484794516E-2</v>
      </c>
      <c r="E243" s="25">
        <f t="shared" si="11"/>
        <v>3047900</v>
      </c>
      <c r="F243" s="20">
        <v>1</v>
      </c>
      <c r="G243" s="21">
        <v>211</v>
      </c>
      <c r="H243" s="21">
        <v>-0.12567284102260601</v>
      </c>
      <c r="I243" s="21">
        <f t="shared" si="12"/>
        <v>141.39098632328356</v>
      </c>
    </row>
    <row r="244" spans="1:9">
      <c r="A244" s="22">
        <v>42416</v>
      </c>
      <c r="B244" s="21">
        <v>47.324162000000001</v>
      </c>
      <c r="C244" s="23">
        <v>37291200</v>
      </c>
      <c r="D244" s="24">
        <f t="shared" si="10"/>
        <v>2.5699376378345323E-2</v>
      </c>
      <c r="E244" s="25">
        <f t="shared" si="11"/>
        <v>3497800</v>
      </c>
      <c r="F244" s="20">
        <v>1</v>
      </c>
      <c r="G244" s="21">
        <v>212</v>
      </c>
      <c r="H244" s="21">
        <v>-1.9198887457605451</v>
      </c>
      <c r="I244" s="21">
        <f t="shared" si="12"/>
        <v>141.12742093532779</v>
      </c>
    </row>
    <row r="245" spans="1:9">
      <c r="A245" s="22">
        <v>42417</v>
      </c>
      <c r="B245" s="21">
        <v>48.556125999999999</v>
      </c>
      <c r="C245" s="23">
        <v>40789000</v>
      </c>
      <c r="D245" s="24">
        <f t="shared" si="10"/>
        <v>-4.3973808063303647E-3</v>
      </c>
      <c r="E245" s="25">
        <f t="shared" si="11"/>
        <v>-13613000</v>
      </c>
      <c r="F245" s="20">
        <v>1</v>
      </c>
      <c r="G245" s="21">
        <v>213</v>
      </c>
      <c r="H245" s="21">
        <v>0.48900801630225033</v>
      </c>
      <c r="I245" s="21">
        <f t="shared" si="12"/>
        <v>141.19520907037963</v>
      </c>
    </row>
    <row r="246" spans="1:9">
      <c r="A246" s="22">
        <v>42418</v>
      </c>
      <c r="B246" s="21">
        <v>48.343074999999999</v>
      </c>
      <c r="C246" s="23">
        <v>27176000</v>
      </c>
      <c r="D246" s="24">
        <f t="shared" si="10"/>
        <v>-7.1148909516451017E-3</v>
      </c>
      <c r="E246" s="25">
        <f t="shared" si="11"/>
        <v>6383100</v>
      </c>
      <c r="F246" s="20">
        <v>1</v>
      </c>
      <c r="G246" s="21">
        <v>214</v>
      </c>
      <c r="H246" s="21">
        <v>-0.76969399742665701</v>
      </c>
      <c r="I246" s="21">
        <f t="shared" si="12"/>
        <v>141.08996700105047</v>
      </c>
    </row>
    <row r="247" spans="1:9">
      <c r="A247" s="22">
        <v>42419</v>
      </c>
      <c r="B247" s="21">
        <v>48.000340000000001</v>
      </c>
      <c r="C247" s="23">
        <v>33559100</v>
      </c>
      <c r="D247" s="24">
        <f t="shared" si="10"/>
        <v>1.589031821626324E-2</v>
      </c>
      <c r="E247" s="25">
        <f t="shared" si="11"/>
        <v>-8550800</v>
      </c>
      <c r="F247" s="20">
        <v>1</v>
      </c>
      <c r="G247" s="21">
        <v>215</v>
      </c>
      <c r="H247" s="21">
        <v>1.9164190234732814E-2</v>
      </c>
      <c r="I247" s="21">
        <f t="shared" si="12"/>
        <v>141.09316024279181</v>
      </c>
    </row>
    <row r="248" spans="1:9">
      <c r="A248" s="22">
        <v>42422</v>
      </c>
      <c r="B248" s="21">
        <v>48.769173000000002</v>
      </c>
      <c r="C248" s="23">
        <v>25008300</v>
      </c>
      <c r="D248" s="24">
        <f t="shared" si="10"/>
        <v>-2.8317462151091363E-2</v>
      </c>
      <c r="E248" s="25">
        <f t="shared" si="11"/>
        <v>3887000</v>
      </c>
      <c r="F248" s="20">
        <v>1</v>
      </c>
      <c r="G248" s="21">
        <v>216</v>
      </c>
      <c r="H248" s="21">
        <v>-0.82048700278392062</v>
      </c>
      <c r="I248" s="21">
        <f t="shared" si="12"/>
        <v>140.98102004899101</v>
      </c>
    </row>
    <row r="249" spans="1:9">
      <c r="A249" s="22">
        <v>42423</v>
      </c>
      <c r="B249" s="21">
        <v>47.407524000000002</v>
      </c>
      <c r="C249" s="23">
        <v>28895300</v>
      </c>
      <c r="D249" s="24">
        <f t="shared" si="10"/>
        <v>3.5108453328123639E-3</v>
      </c>
      <c r="E249" s="25">
        <f t="shared" si="11"/>
        <v>4119200</v>
      </c>
      <c r="F249" s="20">
        <v>1</v>
      </c>
      <c r="G249" s="21">
        <v>217</v>
      </c>
      <c r="H249" s="21">
        <v>-0.58508703659754246</v>
      </c>
      <c r="I249" s="21">
        <f t="shared" si="12"/>
        <v>140.90126804317163</v>
      </c>
    </row>
    <row r="250" spans="1:9">
      <c r="A250" s="22">
        <v>42424</v>
      </c>
      <c r="B250" s="21">
        <v>47.574257000000003</v>
      </c>
      <c r="C250" s="23">
        <v>33014500</v>
      </c>
      <c r="D250" s="24">
        <f t="shared" si="10"/>
        <v>1.4305462659591844E-2</v>
      </c>
      <c r="E250" s="25">
        <f t="shared" si="11"/>
        <v>-6075000</v>
      </c>
      <c r="F250" s="20">
        <v>1</v>
      </c>
      <c r="G250" s="21">
        <v>218</v>
      </c>
      <c r="H250" s="21">
        <v>4.7867843022686429E-2</v>
      </c>
      <c r="I250" s="21">
        <f t="shared" si="12"/>
        <v>140.90839601731329</v>
      </c>
    </row>
    <row r="251" spans="1:9">
      <c r="A251" s="22">
        <v>42425</v>
      </c>
      <c r="B251" s="21">
        <v>48.259720000000002</v>
      </c>
      <c r="C251" s="23">
        <v>26939500</v>
      </c>
      <c r="D251" s="24">
        <f t="shared" si="10"/>
        <v>-1.5474508693411999E-2</v>
      </c>
      <c r="E251" s="25">
        <f t="shared" si="11"/>
        <v>9036400</v>
      </c>
      <c r="F251" s="20">
        <v>1</v>
      </c>
      <c r="G251" s="21">
        <v>219</v>
      </c>
      <c r="H251" s="21">
        <v>-1.9208528101444244</v>
      </c>
      <c r="I251" s="21">
        <f t="shared" si="12"/>
        <v>140.64559816690505</v>
      </c>
    </row>
    <row r="252" spans="1:9">
      <c r="A252" s="22">
        <v>42426</v>
      </c>
      <c r="B252" s="21">
        <v>47.518673</v>
      </c>
      <c r="C252" s="23">
        <v>35975900</v>
      </c>
      <c r="D252" s="24">
        <f t="shared" si="10"/>
        <v>-8.2206046845456557E-3</v>
      </c>
      <c r="E252" s="25">
        <f t="shared" si="11"/>
        <v>-4321900</v>
      </c>
      <c r="F252" s="20">
        <v>1</v>
      </c>
      <c r="G252" s="21">
        <v>220</v>
      </c>
      <c r="H252" s="21">
        <v>-4.4747139327228069E-3</v>
      </c>
      <c r="I252" s="21">
        <f t="shared" si="12"/>
        <v>140.64554335266163</v>
      </c>
    </row>
    <row r="253" spans="1:9">
      <c r="A253" s="22">
        <v>42429</v>
      </c>
      <c r="B253" s="21">
        <v>47.129641999999997</v>
      </c>
      <c r="C253" s="23">
        <v>31654000</v>
      </c>
      <c r="D253" s="24">
        <f t="shared" si="10"/>
        <v>3.2865957201118103E-2</v>
      </c>
      <c r="E253" s="25">
        <f t="shared" si="11"/>
        <v>1370500</v>
      </c>
      <c r="F253" s="20">
        <v>1</v>
      </c>
      <c r="G253" s="21">
        <v>221</v>
      </c>
      <c r="H253" s="21">
        <v>0.15317255019908771</v>
      </c>
      <c r="I253" s="21">
        <f t="shared" si="12"/>
        <v>140.66708407228606</v>
      </c>
    </row>
    <row r="254" spans="1:9">
      <c r="A254" s="22">
        <v>42430</v>
      </c>
      <c r="B254" s="21">
        <v>48.704338</v>
      </c>
      <c r="C254" s="23">
        <v>33024500</v>
      </c>
      <c r="D254" s="24">
        <f t="shared" si="10"/>
        <v>7.0122656116572511E-3</v>
      </c>
      <c r="E254" s="25">
        <f t="shared" si="11"/>
        <v>-3734600</v>
      </c>
      <c r="F254" s="20">
        <v>1</v>
      </c>
      <c r="G254" s="21">
        <v>222</v>
      </c>
      <c r="H254" s="21">
        <v>-1.55222096509533</v>
      </c>
      <c r="I254" s="21">
        <f t="shared" si="12"/>
        <v>140.45515257026941</v>
      </c>
    </row>
    <row r="255" spans="1:9">
      <c r="A255" s="22">
        <v>42431</v>
      </c>
      <c r="B255" s="21">
        <v>49.047066000000001</v>
      </c>
      <c r="C255" s="23">
        <v>29289900</v>
      </c>
      <c r="D255" s="24">
        <f t="shared" si="10"/>
        <v>-1.1396317877581009E-2</v>
      </c>
      <c r="E255" s="25">
        <f t="shared" si="11"/>
        <v>-4862100</v>
      </c>
      <c r="F255" s="20">
        <v>1</v>
      </c>
      <c r="G255" s="21">
        <v>223</v>
      </c>
      <c r="H255" s="21">
        <v>0.41611201595515013</v>
      </c>
      <c r="I255" s="21">
        <f t="shared" si="12"/>
        <v>140.51264187462561</v>
      </c>
    </row>
    <row r="256" spans="1:9">
      <c r="A256" s="22">
        <v>42432</v>
      </c>
      <c r="B256" s="21">
        <v>48.491283000000003</v>
      </c>
      <c r="C256" s="23">
        <v>24427800</v>
      </c>
      <c r="D256" s="24">
        <f t="shared" si="10"/>
        <v>-6.1314659739033677E-3</v>
      </c>
      <c r="E256" s="25">
        <f t="shared" si="11"/>
        <v>8606400</v>
      </c>
      <c r="F256" s="20">
        <v>1</v>
      </c>
      <c r="G256" s="21">
        <v>224</v>
      </c>
      <c r="H256" s="21">
        <v>0.19005142348760273</v>
      </c>
      <c r="I256" s="21">
        <f t="shared" si="12"/>
        <v>140.5392098486588</v>
      </c>
    </row>
    <row r="257" spans="1:9">
      <c r="A257" s="22">
        <v>42433</v>
      </c>
      <c r="B257" s="21">
        <v>48.194870000000002</v>
      </c>
      <c r="C257" s="23">
        <v>33034200</v>
      </c>
      <c r="D257" s="24">
        <f t="shared" si="10"/>
        <v>-1.940675854204265E-2</v>
      </c>
      <c r="E257" s="25">
        <f t="shared" si="11"/>
        <v>5373600</v>
      </c>
      <c r="F257" s="20">
        <v>1</v>
      </c>
      <c r="G257" s="21">
        <v>225</v>
      </c>
      <c r="H257" s="21">
        <v>-1.0954408935504034</v>
      </c>
      <c r="I257" s="21">
        <f t="shared" si="12"/>
        <v>140.38991127975805</v>
      </c>
    </row>
    <row r="258" spans="1:9">
      <c r="A258" s="22">
        <v>42436</v>
      </c>
      <c r="B258" s="21">
        <v>47.268580999999998</v>
      </c>
      <c r="C258" s="23">
        <v>38407800</v>
      </c>
      <c r="D258" s="24">
        <f t="shared" si="10"/>
        <v>1.2076483184280604E-2</v>
      </c>
      <c r="E258" s="25">
        <f t="shared" si="11"/>
        <v>-4572700</v>
      </c>
      <c r="F258" s="20">
        <v>1</v>
      </c>
      <c r="G258" s="21">
        <v>226</v>
      </c>
      <c r="H258" s="21">
        <v>0.46449599722109269</v>
      </c>
      <c r="I258" s="21">
        <f t="shared" si="12"/>
        <v>140.45399214027043</v>
      </c>
    </row>
    <row r="259" spans="1:9">
      <c r="A259" s="22">
        <v>42437</v>
      </c>
      <c r="B259" s="21">
        <v>47.842880000000001</v>
      </c>
      <c r="C259" s="23">
        <v>33835100</v>
      </c>
      <c r="D259" s="24">
        <f t="shared" ref="D259:D322" si="13">LN(B260/B259)</f>
        <v>2.2778485649539042E-2</v>
      </c>
      <c r="E259" s="25">
        <f t="shared" ref="E259:E322" si="14">C260-C259</f>
        <v>-5583500</v>
      </c>
      <c r="F259" s="20">
        <v>1</v>
      </c>
      <c r="G259" s="21">
        <v>227</v>
      </c>
      <c r="H259" s="21">
        <v>-8.6743057181593031E-2</v>
      </c>
      <c r="I259" s="21">
        <f t="shared" si="12"/>
        <v>140.44268441849965</v>
      </c>
    </row>
    <row r="260" spans="1:9">
      <c r="A260" s="22">
        <v>42438</v>
      </c>
      <c r="B260" s="21">
        <v>48.945174999999999</v>
      </c>
      <c r="C260" s="23">
        <v>28251600</v>
      </c>
      <c r="D260" s="24">
        <f t="shared" si="13"/>
        <v>-1.5063678983937869E-2</v>
      </c>
      <c r="E260" s="25">
        <f t="shared" si="14"/>
        <v>10136200</v>
      </c>
      <c r="F260" s="20">
        <v>1</v>
      </c>
      <c r="G260" s="21">
        <v>228</v>
      </c>
      <c r="H260" s="21">
        <v>-1.3269800547277555</v>
      </c>
      <c r="I260" s="21">
        <f t="shared" si="12"/>
        <v>140.26185604790467</v>
      </c>
    </row>
    <row r="261" spans="1:9">
      <c r="A261" s="22">
        <v>42439</v>
      </c>
      <c r="B261" s="21">
        <v>48.213405999999999</v>
      </c>
      <c r="C261" s="23">
        <v>38387800</v>
      </c>
      <c r="D261" s="24">
        <f t="shared" si="13"/>
        <v>1.9406777495663809E-2</v>
      </c>
      <c r="E261" s="25">
        <f t="shared" si="14"/>
        <v>-6112100</v>
      </c>
      <c r="F261" s="20">
        <v>1</v>
      </c>
      <c r="G261" s="21">
        <v>229</v>
      </c>
      <c r="H261" s="21">
        <v>-1.4481065591098741</v>
      </c>
      <c r="I261" s="21">
        <f t="shared" si="12"/>
        <v>140.06473662706225</v>
      </c>
    </row>
    <row r="262" spans="1:9">
      <c r="A262" s="22">
        <v>42440</v>
      </c>
      <c r="B262" s="21">
        <v>49.158211000000001</v>
      </c>
      <c r="C262" s="23">
        <v>32275700</v>
      </c>
      <c r="D262" s="24">
        <f t="shared" si="13"/>
        <v>1.8825103454395121E-3</v>
      </c>
      <c r="E262" s="25">
        <f t="shared" si="14"/>
        <v>-8192100</v>
      </c>
      <c r="F262" s="20">
        <v>1</v>
      </c>
      <c r="G262" s="21">
        <v>230</v>
      </c>
      <c r="H262" s="21">
        <v>0.19620756575022824</v>
      </c>
      <c r="I262" s="21">
        <f t="shared" si="12"/>
        <v>140.09205983419136</v>
      </c>
    </row>
    <row r="263" spans="1:9">
      <c r="A263" s="22">
        <v>42443</v>
      </c>
      <c r="B263" s="21">
        <v>49.250838999999999</v>
      </c>
      <c r="C263" s="23">
        <v>24083600</v>
      </c>
      <c r="D263" s="24">
        <f t="shared" si="13"/>
        <v>7.8680794868955101E-3</v>
      </c>
      <c r="E263" s="25">
        <f t="shared" si="14"/>
        <v>-2978800</v>
      </c>
      <c r="F263" s="20">
        <v>1</v>
      </c>
      <c r="G263" s="21">
        <v>231</v>
      </c>
      <c r="H263" s="21">
        <v>-1.1953761713812128</v>
      </c>
      <c r="I263" s="21">
        <f t="shared" si="12"/>
        <v>139.92961657150957</v>
      </c>
    </row>
    <row r="264" spans="1:9">
      <c r="A264" s="22">
        <v>42444</v>
      </c>
      <c r="B264" s="21">
        <v>49.639876999999998</v>
      </c>
      <c r="C264" s="23">
        <v>21104800</v>
      </c>
      <c r="D264" s="24">
        <f t="shared" si="13"/>
        <v>1.4082262313828465E-2</v>
      </c>
      <c r="E264" s="25">
        <f t="shared" si="14"/>
        <v>10586900</v>
      </c>
      <c r="F264" s="20">
        <v>1</v>
      </c>
      <c r="G264" s="21">
        <v>232</v>
      </c>
      <c r="H264" s="21">
        <v>0.42095507524209097</v>
      </c>
      <c r="I264" s="21">
        <f t="shared" si="12"/>
        <v>139.98755104776072</v>
      </c>
    </row>
    <row r="265" spans="1:9">
      <c r="A265" s="22">
        <v>42445</v>
      </c>
      <c r="B265" s="21">
        <v>50.343864000000004</v>
      </c>
      <c r="C265" s="23">
        <v>31691700</v>
      </c>
      <c r="D265" s="24">
        <f t="shared" si="13"/>
        <v>5.6875291246620665E-3</v>
      </c>
      <c r="E265" s="25">
        <f t="shared" si="14"/>
        <v>-3467800</v>
      </c>
      <c r="F265" s="20">
        <v>1</v>
      </c>
      <c r="G265" s="21">
        <v>233</v>
      </c>
      <c r="H265" s="21">
        <v>-1.2788950698450208</v>
      </c>
      <c r="I265" s="21">
        <f t="shared" si="12"/>
        <v>139.81385607379545</v>
      </c>
    </row>
    <row r="266" spans="1:9">
      <c r="A266" s="22">
        <v>42446</v>
      </c>
      <c r="B266" s="21">
        <v>50.631011999999998</v>
      </c>
      <c r="C266" s="23">
        <v>28223900</v>
      </c>
      <c r="D266" s="24">
        <f t="shared" si="13"/>
        <v>-2.1637453642729433E-2</v>
      </c>
      <c r="E266" s="25">
        <f t="shared" si="14"/>
        <v>39401600</v>
      </c>
      <c r="F266" s="20">
        <v>1</v>
      </c>
      <c r="G266" s="21">
        <v>234</v>
      </c>
      <c r="H266" s="21">
        <v>-0.35749053495237604</v>
      </c>
      <c r="I266" s="21">
        <f t="shared" si="12"/>
        <v>139.76574112406675</v>
      </c>
    </row>
    <row r="267" spans="1:9">
      <c r="A267" s="22">
        <v>42447</v>
      </c>
      <c r="B267" s="21">
        <v>49.547252999999998</v>
      </c>
      <c r="C267" s="23">
        <v>67625500</v>
      </c>
      <c r="D267" s="24">
        <f t="shared" si="13"/>
        <v>6.8933607022788959E-3</v>
      </c>
      <c r="E267" s="25">
        <f t="shared" si="14"/>
        <v>-43699800</v>
      </c>
      <c r="F267" s="20">
        <v>1</v>
      </c>
      <c r="G267" s="21">
        <v>235</v>
      </c>
      <c r="H267" s="21">
        <v>1.5586329027428292</v>
      </c>
      <c r="I267" s="21">
        <f t="shared" si="12"/>
        <v>139.97861741684002</v>
      </c>
    </row>
    <row r="268" spans="1:9">
      <c r="A268" s="22">
        <v>42450</v>
      </c>
      <c r="B268" s="21">
        <v>49.889980000000001</v>
      </c>
      <c r="C268" s="23">
        <v>23925700</v>
      </c>
      <c r="D268" s="24">
        <f t="shared" si="13"/>
        <v>3.8914578928896711E-3</v>
      </c>
      <c r="E268" s="25">
        <f t="shared" si="14"/>
        <v>-801600</v>
      </c>
      <c r="F268" s="20">
        <v>1</v>
      </c>
      <c r="G268" s="21">
        <v>236</v>
      </c>
      <c r="H268" s="21">
        <v>-0.26924226403934881</v>
      </c>
      <c r="I268" s="21">
        <f t="shared" si="12"/>
        <v>139.94247271518498</v>
      </c>
    </row>
    <row r="269" spans="1:9">
      <c r="A269" s="22">
        <v>42451</v>
      </c>
      <c r="B269" s="21">
        <v>50.084502999999998</v>
      </c>
      <c r="C269" s="23">
        <v>23124100</v>
      </c>
      <c r="D269" s="24">
        <f t="shared" si="13"/>
        <v>-1.8510666472256489E-3</v>
      </c>
      <c r="E269" s="25">
        <f t="shared" si="14"/>
        <v>-2995100</v>
      </c>
      <c r="F269" s="20">
        <v>1</v>
      </c>
      <c r="G269" s="21">
        <v>237</v>
      </c>
      <c r="H269" s="21">
        <v>-1.1096290108980611</v>
      </c>
      <c r="I269" s="21">
        <f t="shared" si="12"/>
        <v>139.79187642778467</v>
      </c>
    </row>
    <row r="270" spans="1:9">
      <c r="A270" s="22">
        <v>42452</v>
      </c>
      <c r="B270" s="21">
        <v>49.991878999999997</v>
      </c>
      <c r="C270" s="23">
        <v>20129000</v>
      </c>
      <c r="D270" s="24">
        <f t="shared" si="13"/>
        <v>4.4370440109774804E-3</v>
      </c>
      <c r="E270" s="25">
        <f t="shared" si="14"/>
        <v>-179000</v>
      </c>
      <c r="F270" s="20">
        <v>1</v>
      </c>
      <c r="G270" s="21">
        <v>238</v>
      </c>
      <c r="H270" s="21">
        <v>-1.4678107618237846</v>
      </c>
      <c r="I270" s="21">
        <f t="shared" si="12"/>
        <v>139.59273867666363</v>
      </c>
    </row>
    <row r="271" spans="1:9">
      <c r="A271" s="22">
        <v>42453</v>
      </c>
      <c r="B271" s="21">
        <v>50.214188</v>
      </c>
      <c r="C271" s="23">
        <v>19950000</v>
      </c>
      <c r="D271" s="24">
        <f t="shared" si="13"/>
        <v>-1.2436569164414211E-2</v>
      </c>
      <c r="E271" s="25">
        <f t="shared" si="14"/>
        <v>-2924900</v>
      </c>
      <c r="F271" s="20">
        <v>1</v>
      </c>
      <c r="G271" s="21">
        <v>239</v>
      </c>
      <c r="H271" s="21">
        <v>1.3990120351081714</v>
      </c>
      <c r="I271" s="21">
        <f t="shared" si="12"/>
        <v>139.7836195520851</v>
      </c>
    </row>
    <row r="272" spans="1:9">
      <c r="A272" s="22">
        <v>42457</v>
      </c>
      <c r="B272" s="21">
        <v>49.593563000000003</v>
      </c>
      <c r="C272" s="23">
        <v>17025100</v>
      </c>
      <c r="D272" s="24">
        <f t="shared" si="13"/>
        <v>2.1617544546860264E-2</v>
      </c>
      <c r="E272" s="25">
        <f t="shared" si="14"/>
        <v>6899200</v>
      </c>
      <c r="F272" s="20">
        <v>1</v>
      </c>
      <c r="G272" s="21">
        <v>240</v>
      </c>
      <c r="H272" s="21">
        <v>6.3107563619269058E-3</v>
      </c>
      <c r="I272" s="21">
        <f t="shared" si="12"/>
        <v>139.78503337730641</v>
      </c>
    </row>
    <row r="273" spans="1:9">
      <c r="A273" s="22">
        <v>42458</v>
      </c>
      <c r="B273" s="21">
        <v>50.677326000000001</v>
      </c>
      <c r="C273" s="23">
        <v>23924300</v>
      </c>
      <c r="D273" s="24">
        <f t="shared" si="13"/>
        <v>6.1954805899919509E-3</v>
      </c>
      <c r="E273" s="25">
        <f t="shared" si="14"/>
        <v>-916000</v>
      </c>
      <c r="F273" s="20">
        <v>1</v>
      </c>
      <c r="G273" s="21">
        <v>241</v>
      </c>
      <c r="H273" s="21">
        <v>0.10865051081054844</v>
      </c>
      <c r="I273" s="21">
        <f t="shared" si="12"/>
        <v>139.80038037095019</v>
      </c>
    </row>
    <row r="274" spans="1:9">
      <c r="A274" s="22">
        <v>42459</v>
      </c>
      <c r="B274" s="21">
        <v>50.992271000000002</v>
      </c>
      <c r="C274" s="23">
        <v>23008300</v>
      </c>
      <c r="D274" s="24">
        <f t="shared" si="13"/>
        <v>3.26422095055301E-3</v>
      </c>
      <c r="E274" s="25">
        <f t="shared" si="14"/>
        <v>3352200</v>
      </c>
      <c r="F274" s="20">
        <v>1</v>
      </c>
      <c r="G274" s="21">
        <v>242</v>
      </c>
      <c r="H274" s="21">
        <v>-1.9131675799144432</v>
      </c>
      <c r="I274" s="21">
        <f t="shared" si="12"/>
        <v>139.54069341710408</v>
      </c>
    </row>
    <row r="275" spans="1:9">
      <c r="A275" s="22">
        <v>42460</v>
      </c>
      <c r="B275" s="21">
        <v>51.158993000000002</v>
      </c>
      <c r="C275" s="23">
        <v>26360500</v>
      </c>
      <c r="D275" s="24">
        <f t="shared" si="13"/>
        <v>6.1374835744563063E-3</v>
      </c>
      <c r="E275" s="25">
        <f t="shared" si="14"/>
        <v>-1961300</v>
      </c>
      <c r="F275" s="20">
        <v>1</v>
      </c>
      <c r="G275" s="21">
        <v>243</v>
      </c>
      <c r="H275" s="21">
        <v>-0.48616584535920992</v>
      </c>
      <c r="I275" s="21">
        <f t="shared" si="12"/>
        <v>139.47519261976322</v>
      </c>
    </row>
    <row r="276" spans="1:9">
      <c r="A276" s="22">
        <v>42461</v>
      </c>
      <c r="B276" s="21">
        <v>51.473945999999998</v>
      </c>
      <c r="C276" s="23">
        <v>24399200</v>
      </c>
      <c r="D276" s="24">
        <f t="shared" si="13"/>
        <v>-2.522531125640872E-3</v>
      </c>
      <c r="E276" s="25">
        <f t="shared" si="14"/>
        <v>-5470400</v>
      </c>
      <c r="F276" s="20">
        <v>1</v>
      </c>
      <c r="G276" s="21">
        <v>244</v>
      </c>
      <c r="H276" s="21">
        <v>-1.569287633174099</v>
      </c>
      <c r="I276" s="21">
        <f t="shared" si="12"/>
        <v>139.26274208404342</v>
      </c>
    </row>
    <row r="277" spans="1:9">
      <c r="A277" s="22">
        <v>42464</v>
      </c>
      <c r="B277" s="21">
        <v>51.344265</v>
      </c>
      <c r="C277" s="23">
        <v>18928800</v>
      </c>
      <c r="D277" s="24">
        <f t="shared" si="13"/>
        <v>-1.5819980335477723E-2</v>
      </c>
      <c r="E277" s="25">
        <f t="shared" si="14"/>
        <v>343500</v>
      </c>
      <c r="F277" s="20">
        <v>1</v>
      </c>
      <c r="G277" s="21">
        <v>245</v>
      </c>
      <c r="H277" s="21">
        <v>-1.5583736967528239</v>
      </c>
      <c r="I277" s="21">
        <f t="shared" si="12"/>
        <v>139.05209315784182</v>
      </c>
    </row>
    <row r="278" spans="1:9">
      <c r="A278" s="22">
        <v>42465</v>
      </c>
      <c r="B278" s="21">
        <v>50.538390999999997</v>
      </c>
      <c r="C278" s="23">
        <v>19272300</v>
      </c>
      <c r="D278" s="24">
        <f t="shared" si="13"/>
        <v>1.0211388161959581E-2</v>
      </c>
      <c r="E278" s="25">
        <f t="shared" si="14"/>
        <v>1916400</v>
      </c>
      <c r="F278" s="20">
        <v>1</v>
      </c>
      <c r="G278" s="21">
        <v>246</v>
      </c>
      <c r="H278" s="21">
        <v>0.60233332987991162</v>
      </c>
      <c r="I278" s="21">
        <f t="shared" si="12"/>
        <v>139.13423964004093</v>
      </c>
    </row>
    <row r="279" spans="1:9">
      <c r="A279" s="22">
        <v>42466</v>
      </c>
      <c r="B279" s="21">
        <v>51.057102</v>
      </c>
      <c r="C279" s="23">
        <v>21188700</v>
      </c>
      <c r="D279" s="24">
        <f t="shared" si="13"/>
        <v>-1.2045894315818513E-2</v>
      </c>
      <c r="E279" s="25">
        <f t="shared" si="14"/>
        <v>-1963600</v>
      </c>
      <c r="F279" s="20">
        <v>1</v>
      </c>
      <c r="G279" s="21">
        <v>247</v>
      </c>
      <c r="H279" s="21">
        <v>-1.417570274497848</v>
      </c>
      <c r="I279" s="21">
        <f t="shared" si="12"/>
        <v>138.94283697193268</v>
      </c>
    </row>
    <row r="280" spans="1:9">
      <c r="A280" s="22">
        <v>42467</v>
      </c>
      <c r="B280" s="21">
        <v>50.445762999999999</v>
      </c>
      <c r="C280" s="23">
        <v>19225100</v>
      </c>
      <c r="D280" s="24">
        <f t="shared" si="13"/>
        <v>-7.3484103713979132E-4</v>
      </c>
      <c r="E280" s="25">
        <f t="shared" si="14"/>
        <v>2942100</v>
      </c>
      <c r="F280" s="20">
        <v>1</v>
      </c>
      <c r="G280" s="21">
        <v>248</v>
      </c>
      <c r="H280" s="21">
        <v>-0.32739421840233263</v>
      </c>
      <c r="I280" s="21">
        <f t="shared" si="12"/>
        <v>138.89909299272529</v>
      </c>
    </row>
    <row r="281" spans="1:9">
      <c r="A281" s="22">
        <v>42468</v>
      </c>
      <c r="B281" s="21">
        <v>50.408707</v>
      </c>
      <c r="C281" s="23">
        <v>22167200</v>
      </c>
      <c r="D281" s="24">
        <f t="shared" si="13"/>
        <v>-2.0233432091915828E-3</v>
      </c>
      <c r="E281" s="25">
        <f t="shared" si="14"/>
        <v>-753000</v>
      </c>
      <c r="F281" s="20">
        <v>1</v>
      </c>
      <c r="G281" s="21">
        <v>249</v>
      </c>
      <c r="H281" s="21">
        <v>0.60784486777265556</v>
      </c>
      <c r="I281" s="21">
        <f t="shared" si="12"/>
        <v>138.98189510460907</v>
      </c>
    </row>
    <row r="282" spans="1:9">
      <c r="A282" s="22">
        <v>42471</v>
      </c>
      <c r="B282" s="21">
        <v>50.306815999999998</v>
      </c>
      <c r="C282" s="23">
        <v>21414200</v>
      </c>
      <c r="D282" s="24">
        <f t="shared" si="13"/>
        <v>6.2408299687991952E-3</v>
      </c>
      <c r="E282" s="25">
        <f t="shared" si="14"/>
        <v>3530100</v>
      </c>
      <c r="F282" s="20">
        <v>1</v>
      </c>
      <c r="G282" s="21">
        <v>250</v>
      </c>
      <c r="H282" s="21">
        <v>0.24946302801254205</v>
      </c>
      <c r="I282" s="21">
        <f t="shared" si="12"/>
        <v>139.0162171000278</v>
      </c>
    </row>
    <row r="283" spans="1:9">
      <c r="A283" s="22">
        <v>42472</v>
      </c>
      <c r="B283" s="21">
        <v>50.621754000000003</v>
      </c>
      <c r="C283" s="23">
        <v>24944300</v>
      </c>
      <c r="D283" s="24">
        <f t="shared" si="13"/>
        <v>1.2727287121834725E-2</v>
      </c>
      <c r="E283" s="25">
        <f t="shared" si="14"/>
        <v>-4126300</v>
      </c>
      <c r="F283" s="20">
        <v>1</v>
      </c>
      <c r="G283" s="20"/>
      <c r="I283" s="21">
        <f t="shared" si="12"/>
        <v>139.01676874955905</v>
      </c>
    </row>
    <row r="284" spans="1:9">
      <c r="A284" s="22">
        <v>42473</v>
      </c>
      <c r="B284" s="21">
        <v>51.270149000000004</v>
      </c>
      <c r="C284" s="23">
        <v>20818000</v>
      </c>
      <c r="D284" s="24">
        <f t="shared" si="13"/>
        <v>1.8071261668581466E-4</v>
      </c>
      <c r="E284" s="25">
        <f t="shared" si="14"/>
        <v>59100</v>
      </c>
      <c r="F284" s="20">
        <v>1</v>
      </c>
      <c r="G284" s="20"/>
      <c r="I284" s="21">
        <f t="shared" si="12"/>
        <v>139.01732040127936</v>
      </c>
    </row>
    <row r="285" spans="1:9">
      <c r="A285" s="22">
        <v>42474</v>
      </c>
      <c r="B285" s="21">
        <v>51.279415</v>
      </c>
      <c r="C285" s="23">
        <v>20877100</v>
      </c>
      <c r="D285" s="24">
        <f t="shared" si="13"/>
        <v>5.2248226093667329E-3</v>
      </c>
      <c r="E285" s="25">
        <f t="shared" si="14"/>
        <v>7916700</v>
      </c>
      <c r="F285" s="20">
        <v>1</v>
      </c>
      <c r="G285" s="20"/>
      <c r="I285" s="21">
        <f t="shared" si="12"/>
        <v>139.01787205518877</v>
      </c>
    </row>
    <row r="286" spans="1:9">
      <c r="A286" s="22">
        <v>42475</v>
      </c>
      <c r="B286" s="21">
        <v>51.548042000000002</v>
      </c>
      <c r="C286" s="23">
        <v>28793800</v>
      </c>
      <c r="D286" s="24">
        <f t="shared" si="13"/>
        <v>1.4450326920736856E-2</v>
      </c>
      <c r="E286" s="25">
        <f t="shared" si="14"/>
        <v>-5007800</v>
      </c>
      <c r="F286" s="20">
        <v>1</v>
      </c>
      <c r="G286" s="20"/>
      <c r="I286" s="21">
        <f t="shared" si="12"/>
        <v>139.01842371128728</v>
      </c>
    </row>
    <row r="287" spans="1:9">
      <c r="A287" s="22">
        <v>42478</v>
      </c>
      <c r="B287" s="21">
        <v>52.298335999999999</v>
      </c>
      <c r="C287" s="23">
        <v>23786000</v>
      </c>
      <c r="D287" s="24">
        <f t="shared" si="13"/>
        <v>-1.2406174907049132E-3</v>
      </c>
      <c r="E287" s="25">
        <f t="shared" si="14"/>
        <v>5810800</v>
      </c>
      <c r="F287" s="20">
        <v>1</v>
      </c>
      <c r="G287" s="20"/>
      <c r="I287" s="21">
        <f t="shared" si="12"/>
        <v>139.01897536957489</v>
      </c>
    </row>
    <row r="288" spans="1:9">
      <c r="A288" s="22">
        <v>42479</v>
      </c>
      <c r="B288" s="21">
        <v>52.233494</v>
      </c>
      <c r="C288" s="23">
        <v>29596800</v>
      </c>
      <c r="D288" s="24">
        <f t="shared" si="13"/>
        <v>-1.4288430924479692E-2</v>
      </c>
      <c r="E288" s="25">
        <f t="shared" si="14"/>
        <v>6598900</v>
      </c>
      <c r="F288" s="20">
        <v>1</v>
      </c>
      <c r="G288" s="20"/>
      <c r="I288" s="21">
        <f t="shared" si="12"/>
        <v>139.01952703005162</v>
      </c>
    </row>
    <row r="289" spans="1:9">
      <c r="A289" s="22">
        <v>42480</v>
      </c>
      <c r="B289" s="21">
        <v>51.492466</v>
      </c>
      <c r="C289" s="23">
        <v>36195700</v>
      </c>
      <c r="D289" s="24">
        <f t="shared" si="13"/>
        <v>3.4120509744119841E-3</v>
      </c>
      <c r="E289" s="25">
        <f t="shared" si="14"/>
        <v>2713400</v>
      </c>
      <c r="F289" s="20">
        <v>1</v>
      </c>
      <c r="G289" s="20"/>
      <c r="I289" s="21">
        <f t="shared" si="12"/>
        <v>139.02007869271745</v>
      </c>
    </row>
    <row r="290" spans="1:9">
      <c r="A290" s="22">
        <v>42481</v>
      </c>
      <c r="B290" s="21">
        <v>51.668461000000001</v>
      </c>
      <c r="C290" s="23">
        <v>38909100</v>
      </c>
      <c r="D290" s="24">
        <f t="shared" si="13"/>
        <v>-7.4411442397984112E-2</v>
      </c>
      <c r="E290" s="25">
        <f t="shared" si="14"/>
        <v>87925000</v>
      </c>
      <c r="F290" s="20">
        <v>1</v>
      </c>
      <c r="G290" s="20"/>
      <c r="I290" s="21">
        <f t="shared" ref="I290:I353" si="15">I289*EXP($L$31*$L$33+$L$32*H290*SQRT($L$33))</f>
        <v>139.02063035757243</v>
      </c>
    </row>
    <row r="291" spans="1:9">
      <c r="A291" s="22">
        <v>42482</v>
      </c>
      <c r="B291" s="21">
        <v>47.963298999999999</v>
      </c>
      <c r="C291" s="23">
        <v>126834100</v>
      </c>
      <c r="D291" s="24">
        <f t="shared" si="13"/>
        <v>6.3529625949324065E-3</v>
      </c>
      <c r="E291" s="25">
        <f t="shared" si="14"/>
        <v>-93607200</v>
      </c>
      <c r="F291" s="20">
        <v>1</v>
      </c>
      <c r="G291" s="20"/>
      <c r="I291" s="21">
        <f t="shared" si="15"/>
        <v>139.02118202461654</v>
      </c>
    </row>
    <row r="292" spans="1:9">
      <c r="A292" s="22">
        <v>42485</v>
      </c>
      <c r="B292" s="21">
        <v>48.268977999999997</v>
      </c>
      <c r="C292" s="23">
        <v>33226900</v>
      </c>
      <c r="D292" s="24">
        <f t="shared" si="13"/>
        <v>-1.2940844010853879E-2</v>
      </c>
      <c r="E292" s="25">
        <f t="shared" si="14"/>
        <v>305700</v>
      </c>
      <c r="F292" s="20">
        <v>1</v>
      </c>
      <c r="G292" s="20"/>
      <c r="I292" s="21">
        <f t="shared" si="15"/>
        <v>139.0217336938498</v>
      </c>
    </row>
    <row r="293" spans="1:9">
      <c r="A293" s="22">
        <v>42486</v>
      </c>
      <c r="B293" s="21">
        <v>47.648361000000001</v>
      </c>
      <c r="C293" s="23">
        <v>33532600</v>
      </c>
      <c r="D293" s="24">
        <f t="shared" si="13"/>
        <v>-9.7676308707387426E-3</v>
      </c>
      <c r="E293" s="25">
        <f t="shared" si="14"/>
        <v>9836700</v>
      </c>
      <c r="F293" s="20">
        <v>1</v>
      </c>
      <c r="G293" s="20"/>
      <c r="I293" s="21">
        <f t="shared" si="15"/>
        <v>139.02228536527221</v>
      </c>
    </row>
    <row r="294" spans="1:9">
      <c r="A294" s="22">
        <v>42487</v>
      </c>
      <c r="B294" s="21">
        <v>47.185214999999999</v>
      </c>
      <c r="C294" s="23">
        <v>43369300</v>
      </c>
      <c r="D294" s="24">
        <f t="shared" si="13"/>
        <v>-2.0627452752892229E-2</v>
      </c>
      <c r="E294" s="25">
        <f t="shared" si="14"/>
        <v>-234500</v>
      </c>
      <c r="F294" s="20">
        <v>1</v>
      </c>
      <c r="G294" s="20"/>
      <c r="I294" s="21">
        <f t="shared" si="15"/>
        <v>139.02283703888378</v>
      </c>
    </row>
    <row r="295" spans="1:9">
      <c r="A295" s="22">
        <v>42488</v>
      </c>
      <c r="B295" s="21">
        <v>46.221874</v>
      </c>
      <c r="C295" s="23">
        <v>43134800</v>
      </c>
      <c r="D295" s="24">
        <f t="shared" si="13"/>
        <v>-6.0149789370757181E-4</v>
      </c>
      <c r="E295" s="25">
        <f t="shared" si="14"/>
        <v>5276900</v>
      </c>
      <c r="F295" s="20">
        <v>1</v>
      </c>
      <c r="G295" s="20"/>
      <c r="I295" s="21">
        <f t="shared" si="15"/>
        <v>139.02338871468453</v>
      </c>
    </row>
    <row r="296" spans="1:9">
      <c r="A296" s="22">
        <v>42489</v>
      </c>
      <c r="B296" s="21">
        <v>46.19408</v>
      </c>
      <c r="C296" s="23">
        <v>48411700</v>
      </c>
      <c r="D296" s="24">
        <f t="shared" si="13"/>
        <v>1.4729745578614725E-2</v>
      </c>
      <c r="E296" s="25">
        <f t="shared" si="14"/>
        <v>-15297200</v>
      </c>
      <c r="F296" s="20">
        <v>1</v>
      </c>
      <c r="G296" s="20"/>
      <c r="I296" s="21">
        <f t="shared" si="15"/>
        <v>139.02394039267446</v>
      </c>
    </row>
    <row r="297" spans="1:9">
      <c r="A297" s="22">
        <v>42492</v>
      </c>
      <c r="B297" s="21">
        <v>46.879542999999998</v>
      </c>
      <c r="C297" s="23">
        <v>33114500</v>
      </c>
      <c r="D297" s="24">
        <f t="shared" si="13"/>
        <v>-1.6535979370793395E-2</v>
      </c>
      <c r="E297" s="25">
        <f t="shared" si="14"/>
        <v>-6654300</v>
      </c>
      <c r="F297" s="20">
        <v>1</v>
      </c>
      <c r="G297" s="20"/>
      <c r="I297" s="21">
        <f t="shared" si="15"/>
        <v>139.02449207285358</v>
      </c>
    </row>
    <row r="298" spans="1:9">
      <c r="A298" s="22">
        <v>42493</v>
      </c>
      <c r="B298" s="21">
        <v>46.110717999999999</v>
      </c>
      <c r="C298" s="23">
        <v>26460200</v>
      </c>
      <c r="D298" s="24">
        <f t="shared" si="13"/>
        <v>1.8062337921786256E-3</v>
      </c>
      <c r="E298" s="25">
        <f t="shared" si="14"/>
        <v>-2202600</v>
      </c>
      <c r="F298" s="20">
        <v>1</v>
      </c>
      <c r="G298" s="20"/>
      <c r="I298" s="21">
        <f t="shared" si="15"/>
        <v>139.0250437552219</v>
      </c>
    </row>
    <row r="299" spans="1:9">
      <c r="A299" s="22">
        <v>42494</v>
      </c>
      <c r="B299" s="21">
        <v>46.19408</v>
      </c>
      <c r="C299" s="23">
        <v>24257600</v>
      </c>
      <c r="D299" s="24">
        <f t="shared" si="13"/>
        <v>1.4027237305049337E-3</v>
      </c>
      <c r="E299" s="25">
        <f t="shared" si="14"/>
        <v>1133100</v>
      </c>
      <c r="F299" s="20">
        <v>1</v>
      </c>
      <c r="G299" s="20"/>
      <c r="I299" s="21">
        <f t="shared" si="15"/>
        <v>139.02559543977941</v>
      </c>
    </row>
    <row r="300" spans="1:9">
      <c r="A300" s="22">
        <v>42495</v>
      </c>
      <c r="B300" s="21">
        <v>46.258923000000003</v>
      </c>
      <c r="C300" s="23">
        <v>25390700</v>
      </c>
      <c r="D300" s="24">
        <f t="shared" si="13"/>
        <v>8.9704899002581908E-3</v>
      </c>
      <c r="E300" s="25">
        <f t="shared" si="14"/>
        <v>-603400</v>
      </c>
      <c r="F300" s="20">
        <v>1</v>
      </c>
      <c r="G300" s="20"/>
      <c r="I300" s="21">
        <f t="shared" si="15"/>
        <v>139.02614712652615</v>
      </c>
    </row>
    <row r="301" spans="1:9">
      <c r="A301" s="22">
        <v>42496</v>
      </c>
      <c r="B301" s="21">
        <v>46.675755000000002</v>
      </c>
      <c r="C301" s="23">
        <v>24787300</v>
      </c>
      <c r="D301" s="24">
        <f t="shared" si="13"/>
        <v>-6.3706557187930063E-3</v>
      </c>
      <c r="E301" s="25">
        <f t="shared" si="14"/>
        <v>-6835700</v>
      </c>
      <c r="F301" s="20">
        <v>1</v>
      </c>
      <c r="G301" s="20"/>
      <c r="I301" s="21">
        <f t="shared" si="15"/>
        <v>139.02669881546211</v>
      </c>
    </row>
    <row r="302" spans="1:9">
      <c r="A302" s="22">
        <v>42499</v>
      </c>
      <c r="B302" s="21">
        <v>46.379345000000001</v>
      </c>
      <c r="C302" s="23">
        <v>17951600</v>
      </c>
      <c r="D302" s="24">
        <f t="shared" si="13"/>
        <v>1.8795652745107989E-2</v>
      </c>
      <c r="E302" s="25">
        <f t="shared" si="14"/>
        <v>4939400</v>
      </c>
      <c r="F302" s="20">
        <v>1</v>
      </c>
      <c r="G302" s="20"/>
      <c r="I302" s="21">
        <f t="shared" si="15"/>
        <v>139.02725050658731</v>
      </c>
    </row>
    <row r="303" spans="1:9">
      <c r="A303" s="22">
        <v>42500</v>
      </c>
      <c r="B303" s="21">
        <v>47.259318999999998</v>
      </c>
      <c r="C303" s="23">
        <v>22891000</v>
      </c>
      <c r="D303" s="24">
        <f t="shared" si="13"/>
        <v>5.8785934885470124E-4</v>
      </c>
      <c r="E303" s="25">
        <f t="shared" si="14"/>
        <v>1148100</v>
      </c>
      <c r="F303" s="20">
        <v>1</v>
      </c>
      <c r="G303" s="20"/>
      <c r="I303" s="21">
        <f t="shared" si="15"/>
        <v>139.02780219990174</v>
      </c>
    </row>
    <row r="304" spans="1:9">
      <c r="A304" s="22">
        <v>42501</v>
      </c>
      <c r="B304" s="21">
        <v>47.287109000000001</v>
      </c>
      <c r="C304" s="23">
        <v>24039100</v>
      </c>
      <c r="D304" s="24">
        <f t="shared" si="13"/>
        <v>8.9703678164369041E-3</v>
      </c>
      <c r="E304" s="25">
        <f t="shared" si="14"/>
        <v>63700</v>
      </c>
      <c r="F304" s="20">
        <v>1</v>
      </c>
      <c r="G304" s="20"/>
      <c r="I304" s="21">
        <f t="shared" si="15"/>
        <v>139.02835389540542</v>
      </c>
    </row>
    <row r="305" spans="1:9">
      <c r="A305" s="22">
        <v>42502</v>
      </c>
      <c r="B305" s="21">
        <v>47.713200000000001</v>
      </c>
      <c r="C305" s="23">
        <v>24102800</v>
      </c>
      <c r="D305" s="24">
        <f t="shared" si="13"/>
        <v>-8.3827693032107343E-3</v>
      </c>
      <c r="E305" s="25">
        <f t="shared" si="14"/>
        <v>-1510500</v>
      </c>
      <c r="F305" s="20">
        <v>1</v>
      </c>
      <c r="G305" s="20"/>
      <c r="I305" s="21">
        <f t="shared" si="15"/>
        <v>139.02890559309836</v>
      </c>
    </row>
    <row r="306" spans="1:9">
      <c r="A306" s="22">
        <v>42503</v>
      </c>
      <c r="B306" s="21">
        <v>47.314903000000001</v>
      </c>
      <c r="C306" s="23">
        <v>22592300</v>
      </c>
      <c r="D306" s="24">
        <f t="shared" si="13"/>
        <v>1.4576025138070815E-2</v>
      </c>
      <c r="E306" s="25">
        <f t="shared" si="14"/>
        <v>-2560300</v>
      </c>
      <c r="F306" s="20">
        <v>1</v>
      </c>
      <c r="G306" s="20"/>
      <c r="I306" s="21">
        <f t="shared" si="15"/>
        <v>139.02945729298057</v>
      </c>
    </row>
    <row r="307" spans="1:9">
      <c r="A307" s="22">
        <v>42506</v>
      </c>
      <c r="B307" s="21">
        <v>48.009616999999999</v>
      </c>
      <c r="C307" s="23">
        <v>20032000</v>
      </c>
      <c r="D307" s="24">
        <f t="shared" si="13"/>
        <v>-1.8827943248916488E-2</v>
      </c>
      <c r="E307" s="25">
        <f t="shared" si="14"/>
        <v>7771500</v>
      </c>
      <c r="F307" s="20">
        <v>1</v>
      </c>
      <c r="G307" s="20"/>
      <c r="I307" s="21">
        <f t="shared" si="15"/>
        <v>139.03000899505207</v>
      </c>
    </row>
    <row r="308" spans="1:9">
      <c r="A308" s="22">
        <v>42507</v>
      </c>
      <c r="B308" s="21">
        <v>47.114151</v>
      </c>
      <c r="C308" s="23">
        <v>27803500</v>
      </c>
      <c r="D308" s="24">
        <f t="shared" si="13"/>
        <v>5.9218568579288301E-3</v>
      </c>
      <c r="E308" s="25">
        <f t="shared" si="14"/>
        <v>-2896000</v>
      </c>
      <c r="F308" s="20">
        <v>1</v>
      </c>
      <c r="G308" s="20"/>
      <c r="I308" s="21">
        <f t="shared" si="15"/>
        <v>139.03056069931284</v>
      </c>
    </row>
    <row r="309" spans="1:9">
      <c r="A309" s="22">
        <v>42508</v>
      </c>
      <c r="B309" s="21">
        <v>47.393982000000001</v>
      </c>
      <c r="C309" s="23">
        <v>24907500</v>
      </c>
      <c r="D309" s="24">
        <f t="shared" si="13"/>
        <v>-9.6906008041141543E-3</v>
      </c>
      <c r="E309" s="25">
        <f t="shared" si="14"/>
        <v>-1065100</v>
      </c>
      <c r="F309" s="20">
        <v>1</v>
      </c>
      <c r="G309" s="20"/>
      <c r="I309" s="21">
        <f t="shared" si="15"/>
        <v>139.03111240576291</v>
      </c>
    </row>
    <row r="310" spans="1:9">
      <c r="A310" s="22">
        <v>42509</v>
      </c>
      <c r="B310" s="21">
        <v>46.936923999999998</v>
      </c>
      <c r="C310" s="23">
        <v>23842400</v>
      </c>
      <c r="D310" s="24">
        <f t="shared" si="13"/>
        <v>5.944150603756285E-3</v>
      </c>
      <c r="E310" s="25">
        <f t="shared" si="14"/>
        <v>63400</v>
      </c>
      <c r="F310" s="20">
        <v>1</v>
      </c>
      <c r="G310" s="20"/>
      <c r="I310" s="21">
        <f t="shared" si="15"/>
        <v>139.03166411440228</v>
      </c>
    </row>
    <row r="311" spans="1:9">
      <c r="A311" s="22">
        <v>42510</v>
      </c>
      <c r="B311" s="21">
        <v>47.216754999999999</v>
      </c>
      <c r="C311" s="23">
        <v>23905800</v>
      </c>
      <c r="D311" s="24">
        <f t="shared" si="13"/>
        <v>-1.1723638771838109E-2</v>
      </c>
      <c r="E311" s="25">
        <f t="shared" si="14"/>
        <v>2212900</v>
      </c>
      <c r="F311" s="20">
        <v>1</v>
      </c>
      <c r="G311" s="20"/>
      <c r="I311" s="21">
        <f t="shared" si="15"/>
        <v>139.03221582523096</v>
      </c>
    </row>
    <row r="312" spans="1:9">
      <c r="A312" s="22">
        <v>42513</v>
      </c>
      <c r="B312" s="21">
        <v>46.666435</v>
      </c>
      <c r="C312" s="23">
        <v>26118700</v>
      </c>
      <c r="D312" s="24">
        <f t="shared" si="13"/>
        <v>3.0704973644792227E-2</v>
      </c>
      <c r="E312" s="25">
        <f t="shared" si="14"/>
        <v>8639200</v>
      </c>
      <c r="F312" s="20">
        <v>1</v>
      </c>
      <c r="G312" s="20"/>
      <c r="I312" s="21">
        <f t="shared" si="15"/>
        <v>139.03276753824898</v>
      </c>
    </row>
    <row r="313" spans="1:9">
      <c r="A313" s="22">
        <v>42514</v>
      </c>
      <c r="B313" s="21">
        <v>48.121552000000001</v>
      </c>
      <c r="C313" s="23">
        <v>34757900</v>
      </c>
      <c r="D313" s="24">
        <f t="shared" si="13"/>
        <v>1.0220762009192735E-2</v>
      </c>
      <c r="E313" s="25">
        <f t="shared" si="14"/>
        <v>-10717700</v>
      </c>
      <c r="F313" s="20">
        <v>1</v>
      </c>
      <c r="G313" s="20"/>
      <c r="I313" s="21">
        <f t="shared" si="15"/>
        <v>139.03331925345631</v>
      </c>
    </row>
    <row r="314" spans="1:9">
      <c r="A314" s="22">
        <v>42515</v>
      </c>
      <c r="B314" s="21">
        <v>48.615912999999999</v>
      </c>
      <c r="C314" s="23">
        <v>24040200</v>
      </c>
      <c r="D314" s="24">
        <f t="shared" si="13"/>
        <v>-4.4227655294624343E-3</v>
      </c>
      <c r="E314" s="25">
        <f t="shared" si="14"/>
        <v>295000</v>
      </c>
      <c r="F314" s="20">
        <v>1</v>
      </c>
      <c r="G314" s="20"/>
      <c r="I314" s="21">
        <f t="shared" si="15"/>
        <v>139.03387097085297</v>
      </c>
    </row>
    <row r="315" spans="1:9">
      <c r="A315" s="22">
        <v>42516</v>
      </c>
      <c r="B315" s="21">
        <v>48.401370999999997</v>
      </c>
      <c r="C315" s="23">
        <v>24335200</v>
      </c>
      <c r="D315" s="24">
        <f t="shared" si="13"/>
        <v>8.252807055401476E-3</v>
      </c>
      <c r="E315" s="25">
        <f t="shared" si="14"/>
        <v>-6613800</v>
      </c>
      <c r="F315" s="20">
        <v>1</v>
      </c>
      <c r="G315" s="20"/>
      <c r="I315" s="21">
        <f t="shared" si="15"/>
        <v>139.03442269043899</v>
      </c>
    </row>
    <row r="316" spans="1:9">
      <c r="A316" s="22">
        <v>42517</v>
      </c>
      <c r="B316" s="21">
        <v>48.802470999999997</v>
      </c>
      <c r="C316" s="23">
        <v>17721400</v>
      </c>
      <c r="D316" s="24">
        <f t="shared" si="13"/>
        <v>1.2913330198325404E-2</v>
      </c>
      <c r="E316" s="25">
        <f t="shared" si="14"/>
        <v>19931700</v>
      </c>
      <c r="F316" s="20">
        <v>1</v>
      </c>
      <c r="G316" s="20"/>
      <c r="I316" s="21">
        <f t="shared" si="15"/>
        <v>139.03497441221435</v>
      </c>
    </row>
    <row r="317" spans="1:9">
      <c r="A317" s="22">
        <v>42521</v>
      </c>
      <c r="B317" s="21">
        <v>49.43676</v>
      </c>
      <c r="C317" s="23">
        <v>37653100</v>
      </c>
      <c r="D317" s="24">
        <f t="shared" si="13"/>
        <v>-2.8345185282298716E-3</v>
      </c>
      <c r="E317" s="25">
        <f t="shared" si="14"/>
        <v>-12328300</v>
      </c>
      <c r="F317" s="20">
        <v>1</v>
      </c>
      <c r="G317" s="20"/>
      <c r="I317" s="21">
        <f t="shared" si="15"/>
        <v>139.0355261361791</v>
      </c>
    </row>
    <row r="318" spans="1:9">
      <c r="A318" s="22">
        <v>42522</v>
      </c>
      <c r="B318" s="21">
        <v>49.296829000000002</v>
      </c>
      <c r="C318" s="23">
        <v>25324800</v>
      </c>
      <c r="D318" s="24">
        <f t="shared" si="13"/>
        <v>-7.0252318098765962E-3</v>
      </c>
      <c r="E318" s="25">
        <f t="shared" si="14"/>
        <v>-2484000</v>
      </c>
      <c r="F318" s="20">
        <v>1</v>
      </c>
      <c r="G318" s="20"/>
      <c r="I318" s="21">
        <f t="shared" si="15"/>
        <v>139.0360778623332</v>
      </c>
    </row>
    <row r="319" spans="1:9">
      <c r="A319" s="22">
        <v>42523</v>
      </c>
      <c r="B319" s="21">
        <v>48.951720999999999</v>
      </c>
      <c r="C319" s="23">
        <v>22840800</v>
      </c>
      <c r="D319" s="24">
        <f t="shared" si="13"/>
        <v>-1.3235402424586963E-2</v>
      </c>
      <c r="E319" s="25">
        <f t="shared" si="14"/>
        <v>527500</v>
      </c>
      <c r="F319" s="20">
        <v>1</v>
      </c>
      <c r="G319" s="20"/>
      <c r="I319" s="21">
        <f t="shared" si="15"/>
        <v>139.03662959067668</v>
      </c>
    </row>
    <row r="320" spans="1:9">
      <c r="A320" s="22">
        <v>42524</v>
      </c>
      <c r="B320" s="21">
        <v>48.308093999999997</v>
      </c>
      <c r="C320" s="23">
        <v>23368300</v>
      </c>
      <c r="D320" s="24">
        <f t="shared" si="13"/>
        <v>6.5438601857471454E-3</v>
      </c>
      <c r="E320" s="25">
        <f t="shared" si="14"/>
        <v>-5125000</v>
      </c>
      <c r="F320" s="20">
        <v>1</v>
      </c>
      <c r="G320" s="20"/>
      <c r="I320" s="21">
        <f t="shared" si="15"/>
        <v>139.03718132120957</v>
      </c>
    </row>
    <row r="321" spans="1:9">
      <c r="A321" s="22">
        <v>42527</v>
      </c>
      <c r="B321" s="21">
        <v>48.625252000000003</v>
      </c>
      <c r="C321" s="23">
        <v>18243300</v>
      </c>
      <c r="D321" s="24">
        <f t="shared" si="13"/>
        <v>-5.7577199629593007E-4</v>
      </c>
      <c r="E321" s="25">
        <f t="shared" si="14"/>
        <v>2623500</v>
      </c>
      <c r="F321" s="20">
        <v>1</v>
      </c>
      <c r="G321" s="20"/>
      <c r="I321" s="21">
        <f t="shared" si="15"/>
        <v>139.03773305393185</v>
      </c>
    </row>
    <row r="322" spans="1:9">
      <c r="A322" s="22">
        <v>42528</v>
      </c>
      <c r="B322" s="21">
        <v>48.597262999999998</v>
      </c>
      <c r="C322" s="23">
        <v>20866800</v>
      </c>
      <c r="D322" s="24">
        <f t="shared" si="13"/>
        <v>-1.1525188871450748E-3</v>
      </c>
      <c r="E322" s="25">
        <f t="shared" si="14"/>
        <v>282600</v>
      </c>
      <c r="F322" s="20">
        <v>1</v>
      </c>
      <c r="G322" s="20"/>
      <c r="I322" s="21">
        <f t="shared" si="15"/>
        <v>139.03828478884353</v>
      </c>
    </row>
    <row r="323" spans="1:9">
      <c r="A323" s="22">
        <v>42529</v>
      </c>
      <c r="B323" s="21">
        <v>48.541285999999999</v>
      </c>
      <c r="C323" s="23">
        <v>21149400</v>
      </c>
      <c r="D323" s="24">
        <f t="shared" ref="D323:D386" si="16">LN(B324/B323)</f>
        <v>-8.1035034452882713E-3</v>
      </c>
      <c r="E323" s="25">
        <f t="shared" ref="E323:E386" si="17">C324-C323</f>
        <v>-843700</v>
      </c>
      <c r="F323" s="20">
        <v>1</v>
      </c>
      <c r="G323" s="20"/>
      <c r="I323" s="21">
        <f t="shared" si="15"/>
        <v>139.03883652594462</v>
      </c>
    </row>
    <row r="324" spans="1:9">
      <c r="A324" s="22">
        <v>42530</v>
      </c>
      <c r="B324" s="21">
        <v>48.149521</v>
      </c>
      <c r="C324" s="23">
        <v>20305700</v>
      </c>
      <c r="D324" s="24">
        <f t="shared" si="16"/>
        <v>-2.7156737020389175E-3</v>
      </c>
      <c r="E324" s="25">
        <f t="shared" si="17"/>
        <v>5527500</v>
      </c>
      <c r="F324" s="20">
        <v>1</v>
      </c>
      <c r="G324" s="20"/>
      <c r="I324" s="21">
        <f t="shared" si="15"/>
        <v>139.03938826523515</v>
      </c>
    </row>
    <row r="325" spans="1:9">
      <c r="A325" s="22">
        <v>42531</v>
      </c>
      <c r="B325" s="21">
        <v>48.018940000000001</v>
      </c>
      <c r="C325" s="23">
        <v>25833200</v>
      </c>
      <c r="D325" s="24">
        <f t="shared" si="16"/>
        <v>-2.6374412971467271E-2</v>
      </c>
      <c r="E325" s="25">
        <f t="shared" si="17"/>
        <v>57384600</v>
      </c>
      <c r="F325" s="20">
        <v>1</v>
      </c>
      <c r="G325" s="20"/>
      <c r="I325" s="21">
        <f t="shared" si="15"/>
        <v>139.03994000671511</v>
      </c>
    </row>
    <row r="326" spans="1:9">
      <c r="A326" s="22">
        <v>42534</v>
      </c>
      <c r="B326" s="21">
        <v>46.769024000000002</v>
      </c>
      <c r="C326" s="23">
        <v>83217800</v>
      </c>
      <c r="D326" s="24">
        <f t="shared" si="16"/>
        <v>-6.2017017456178014E-3</v>
      </c>
      <c r="E326" s="25">
        <f t="shared" si="17"/>
        <v>-40640700</v>
      </c>
      <c r="F326" s="20">
        <v>1</v>
      </c>
      <c r="G326" s="20"/>
      <c r="I326" s="21">
        <f t="shared" si="15"/>
        <v>139.04049175038452</v>
      </c>
    </row>
    <row r="327" spans="1:9">
      <c r="A327" s="22">
        <v>42535</v>
      </c>
      <c r="B327" s="21">
        <v>46.479874000000002</v>
      </c>
      <c r="C327" s="23">
        <v>42577100</v>
      </c>
      <c r="D327" s="24">
        <f t="shared" si="16"/>
        <v>-2.813535909444778E-3</v>
      </c>
      <c r="E327" s="25">
        <f t="shared" si="17"/>
        <v>-8819500</v>
      </c>
      <c r="F327" s="20">
        <v>1</v>
      </c>
      <c r="G327" s="20"/>
      <c r="I327" s="21">
        <f t="shared" si="15"/>
        <v>139.04104349624336</v>
      </c>
    </row>
    <row r="328" spans="1:9">
      <c r="A328" s="22">
        <v>42536</v>
      </c>
      <c r="B328" s="21">
        <v>46.349285000000002</v>
      </c>
      <c r="C328" s="23">
        <v>33757600</v>
      </c>
      <c r="D328" s="24">
        <f t="shared" si="16"/>
        <v>1.3989053952315877E-2</v>
      </c>
      <c r="E328" s="25">
        <f t="shared" si="17"/>
        <v>-2569000</v>
      </c>
      <c r="F328" s="20">
        <v>1</v>
      </c>
      <c r="G328" s="20"/>
      <c r="I328" s="21">
        <f t="shared" si="15"/>
        <v>139.04159524429167</v>
      </c>
    </row>
    <row r="329" spans="1:9">
      <c r="A329" s="22">
        <v>42537</v>
      </c>
      <c r="B329" s="21">
        <v>47.002223999999998</v>
      </c>
      <c r="C329" s="23">
        <v>31188600</v>
      </c>
      <c r="D329" s="24">
        <f t="shared" si="16"/>
        <v>-5.1730919664616862E-3</v>
      </c>
      <c r="E329" s="25">
        <f t="shared" si="17"/>
        <v>14521900</v>
      </c>
      <c r="F329" s="20">
        <v>1</v>
      </c>
      <c r="G329" s="20"/>
      <c r="I329" s="21">
        <f t="shared" si="15"/>
        <v>139.04214699452945</v>
      </c>
    </row>
    <row r="330" spans="1:9">
      <c r="A330" s="22">
        <v>42538</v>
      </c>
      <c r="B330" s="21">
        <v>46.759704999999997</v>
      </c>
      <c r="C330" s="23">
        <v>45710500</v>
      </c>
      <c r="D330" s="24">
        <f t="shared" si="16"/>
        <v>-1.1975164170631382E-3</v>
      </c>
      <c r="E330" s="25">
        <f t="shared" si="17"/>
        <v>-10102600</v>
      </c>
      <c r="F330" s="20">
        <v>1</v>
      </c>
      <c r="G330" s="20"/>
      <c r="I330" s="21">
        <f t="shared" si="15"/>
        <v>139.04269874695672</v>
      </c>
    </row>
    <row r="331" spans="1:9">
      <c r="A331" s="22">
        <v>42541</v>
      </c>
      <c r="B331" s="21">
        <v>46.703743000000003</v>
      </c>
      <c r="C331" s="23">
        <v>35607900</v>
      </c>
      <c r="D331" s="24">
        <f t="shared" si="16"/>
        <v>2.2122001107661764E-2</v>
      </c>
      <c r="E331" s="25">
        <f t="shared" si="17"/>
        <v>-1510100</v>
      </c>
      <c r="F331" s="20">
        <v>1</v>
      </c>
      <c r="G331" s="20"/>
      <c r="I331" s="21">
        <f t="shared" si="15"/>
        <v>139.04325050157345</v>
      </c>
    </row>
    <row r="332" spans="1:9">
      <c r="A332" s="22">
        <v>42542</v>
      </c>
      <c r="B332" s="21">
        <v>47.748435999999998</v>
      </c>
      <c r="C332" s="23">
        <v>34097800</v>
      </c>
      <c r="D332" s="24">
        <f t="shared" si="16"/>
        <v>-3.9144390782076535E-3</v>
      </c>
      <c r="E332" s="25">
        <f t="shared" si="17"/>
        <v>-5281000</v>
      </c>
      <c r="F332" s="20">
        <v>1</v>
      </c>
      <c r="G332" s="20"/>
      <c r="I332" s="21">
        <f t="shared" si="15"/>
        <v>139.04380225837969</v>
      </c>
    </row>
    <row r="333" spans="1:9">
      <c r="A333" s="22">
        <v>42543</v>
      </c>
      <c r="B333" s="21">
        <v>47.561892999999998</v>
      </c>
      <c r="C333" s="23">
        <v>28816800</v>
      </c>
      <c r="D333" s="24">
        <f t="shared" si="16"/>
        <v>1.7881759660826769E-2</v>
      </c>
      <c r="E333" s="25">
        <f t="shared" si="17"/>
        <v>212000</v>
      </c>
      <c r="F333" s="20">
        <v>1</v>
      </c>
      <c r="G333" s="20"/>
      <c r="I333" s="21">
        <f t="shared" si="15"/>
        <v>139.04435401737541</v>
      </c>
    </row>
    <row r="334" spans="1:9">
      <c r="A334" s="22">
        <v>42544</v>
      </c>
      <c r="B334" s="21">
        <v>48.420032999999997</v>
      </c>
      <c r="C334" s="23">
        <v>29028800</v>
      </c>
      <c r="D334" s="24">
        <f t="shared" si="16"/>
        <v>-4.0894231349627289E-2</v>
      </c>
      <c r="E334" s="25">
        <f t="shared" si="17"/>
        <v>104474200</v>
      </c>
      <c r="F334" s="20">
        <v>1</v>
      </c>
      <c r="G334" s="20"/>
      <c r="I334" s="21">
        <f t="shared" si="15"/>
        <v>139.04490577856066</v>
      </c>
    </row>
    <row r="335" spans="1:9">
      <c r="A335" s="22">
        <v>42545</v>
      </c>
      <c r="B335" s="21">
        <v>46.479874000000002</v>
      </c>
      <c r="C335" s="23">
        <v>133503000</v>
      </c>
      <c r="D335" s="24">
        <f t="shared" si="16"/>
        <v>-2.8497790147080718E-2</v>
      </c>
      <c r="E335" s="25">
        <f t="shared" si="17"/>
        <v>-83286700</v>
      </c>
      <c r="F335" s="20">
        <v>1</v>
      </c>
      <c r="G335" s="20"/>
      <c r="I335" s="21">
        <f t="shared" si="15"/>
        <v>139.04545754193543</v>
      </c>
    </row>
    <row r="336" spans="1:9">
      <c r="A336" s="22">
        <v>42548</v>
      </c>
      <c r="B336" s="21">
        <v>45.173996000000002</v>
      </c>
      <c r="C336" s="23">
        <v>50216300</v>
      </c>
      <c r="D336" s="24">
        <f t="shared" si="16"/>
        <v>2.0640279735181927E-2</v>
      </c>
      <c r="E336" s="25">
        <f t="shared" si="17"/>
        <v>-12075600</v>
      </c>
      <c r="F336" s="20">
        <v>1</v>
      </c>
      <c r="G336" s="20"/>
      <c r="I336" s="21">
        <f t="shared" si="15"/>
        <v>139.04600930749973</v>
      </c>
    </row>
    <row r="337" spans="1:9">
      <c r="A337" s="22">
        <v>42549</v>
      </c>
      <c r="B337" s="21">
        <v>46.116089000000002</v>
      </c>
      <c r="C337" s="23">
        <v>38140700</v>
      </c>
      <c r="D337" s="24">
        <f t="shared" si="16"/>
        <v>2.2005317033806541E-2</v>
      </c>
      <c r="E337" s="25">
        <f t="shared" si="17"/>
        <v>-6836700</v>
      </c>
      <c r="F337" s="20">
        <v>1</v>
      </c>
      <c r="G337" s="20"/>
      <c r="I337" s="21">
        <f t="shared" si="15"/>
        <v>139.04656107525358</v>
      </c>
    </row>
    <row r="338" spans="1:9">
      <c r="A338" s="22">
        <v>42550</v>
      </c>
      <c r="B338" s="21">
        <v>47.142136000000001</v>
      </c>
      <c r="C338" s="23">
        <v>31304000</v>
      </c>
      <c r="D338" s="24">
        <f t="shared" si="16"/>
        <v>1.2388355330803137E-2</v>
      </c>
      <c r="E338" s="25">
        <f t="shared" si="17"/>
        <v>-2776200</v>
      </c>
      <c r="F338" s="20">
        <v>1</v>
      </c>
      <c r="G338" s="20"/>
      <c r="I338" s="21">
        <f t="shared" si="15"/>
        <v>139.04711284519695</v>
      </c>
    </row>
    <row r="339" spans="1:9">
      <c r="A339" s="22">
        <v>42551</v>
      </c>
      <c r="B339" s="21">
        <v>47.729782</v>
      </c>
      <c r="C339" s="23">
        <v>28527800</v>
      </c>
      <c r="D339" s="24">
        <f t="shared" si="16"/>
        <v>-1.9543167880627156E-4</v>
      </c>
      <c r="E339" s="25">
        <f t="shared" si="17"/>
        <v>-7127400</v>
      </c>
      <c r="F339" s="20">
        <v>1</v>
      </c>
      <c r="G339" s="20"/>
      <c r="I339" s="21">
        <f t="shared" si="15"/>
        <v>139.0476646173299</v>
      </c>
    </row>
    <row r="340" spans="1:9">
      <c r="A340" s="22">
        <v>42552</v>
      </c>
      <c r="B340" s="21">
        <v>47.720455000000001</v>
      </c>
      <c r="C340" s="23">
        <v>21400400</v>
      </c>
      <c r="D340" s="24">
        <f t="shared" si="16"/>
        <v>1.9543167880628753E-4</v>
      </c>
      <c r="E340" s="25">
        <f t="shared" si="17"/>
        <v>3406000</v>
      </c>
      <c r="F340" s="20">
        <v>1</v>
      </c>
      <c r="G340" s="20"/>
      <c r="I340" s="21">
        <f t="shared" si="15"/>
        <v>139.0482163916524</v>
      </c>
    </row>
    <row r="341" spans="1:9">
      <c r="A341" s="22">
        <v>42556</v>
      </c>
      <c r="B341" s="21">
        <v>47.729782</v>
      </c>
      <c r="C341" s="23">
        <v>24806400</v>
      </c>
      <c r="D341" s="24">
        <f t="shared" si="16"/>
        <v>4.0956427650919499E-3</v>
      </c>
      <c r="E341" s="25">
        <f t="shared" si="17"/>
        <v>3361100</v>
      </c>
      <c r="F341" s="20">
        <v>1</v>
      </c>
      <c r="G341" s="20"/>
      <c r="I341" s="21">
        <f t="shared" si="15"/>
        <v>139.04876816816449</v>
      </c>
    </row>
    <row r="342" spans="1:9">
      <c r="A342" s="22">
        <v>42557</v>
      </c>
      <c r="B342" s="21">
        <v>47.925666999999997</v>
      </c>
      <c r="C342" s="23">
        <v>28167500</v>
      </c>
      <c r="D342" s="24">
        <f t="shared" si="16"/>
        <v>0</v>
      </c>
      <c r="E342" s="25">
        <f t="shared" si="17"/>
        <v>-8582300</v>
      </c>
      <c r="F342" s="20">
        <v>1</v>
      </c>
      <c r="G342" s="20"/>
      <c r="I342" s="21">
        <f t="shared" si="15"/>
        <v>139.04931994686615</v>
      </c>
    </row>
    <row r="343" spans="1:9">
      <c r="A343" s="22">
        <v>42558</v>
      </c>
      <c r="B343" s="21">
        <v>47.925666999999997</v>
      </c>
      <c r="C343" s="23">
        <v>19585200</v>
      </c>
      <c r="D343" s="24">
        <f t="shared" si="16"/>
        <v>1.7747289104323494E-2</v>
      </c>
      <c r="E343" s="25">
        <f t="shared" si="17"/>
        <v>8805800</v>
      </c>
      <c r="F343" s="20">
        <v>1</v>
      </c>
      <c r="G343" s="20"/>
      <c r="I343" s="21">
        <f t="shared" si="15"/>
        <v>139.04987172775739</v>
      </c>
    </row>
    <row r="344" spans="1:9">
      <c r="A344" s="22">
        <v>42559</v>
      </c>
      <c r="B344" s="21">
        <v>48.783810000000003</v>
      </c>
      <c r="C344" s="23">
        <v>28391000</v>
      </c>
      <c r="D344" s="24">
        <f t="shared" si="16"/>
        <v>5.5297803944637236E-3</v>
      </c>
      <c r="E344" s="25">
        <f t="shared" si="17"/>
        <v>-6121800</v>
      </c>
      <c r="F344" s="20">
        <v>1</v>
      </c>
      <c r="G344" s="20"/>
      <c r="I344" s="21">
        <f t="shared" si="15"/>
        <v>139.05042351083824</v>
      </c>
    </row>
    <row r="345" spans="1:9">
      <c r="A345" s="22">
        <v>42562</v>
      </c>
      <c r="B345" s="21">
        <v>49.054321000000002</v>
      </c>
      <c r="C345" s="23">
        <v>22269200</v>
      </c>
      <c r="D345" s="24">
        <f t="shared" si="16"/>
        <v>1.1720264868072225E-2</v>
      </c>
      <c r="E345" s="25">
        <f t="shared" si="17"/>
        <v>5048400</v>
      </c>
      <c r="F345" s="20">
        <v>1</v>
      </c>
      <c r="G345" s="20"/>
      <c r="I345" s="21">
        <f t="shared" si="15"/>
        <v>139.0509752961087</v>
      </c>
    </row>
    <row r="346" spans="1:9">
      <c r="A346" s="22">
        <v>42563</v>
      </c>
      <c r="B346" s="21">
        <v>49.632632999999998</v>
      </c>
      <c r="C346" s="23">
        <v>27317600</v>
      </c>
      <c r="D346" s="24">
        <f t="shared" si="16"/>
        <v>5.6220701000599558E-3</v>
      </c>
      <c r="E346" s="25">
        <f t="shared" si="17"/>
        <v>-1960800</v>
      </c>
      <c r="F346" s="20">
        <v>1</v>
      </c>
      <c r="G346" s="20"/>
      <c r="I346" s="21">
        <f t="shared" si="15"/>
        <v>139.05152708356877</v>
      </c>
    </row>
    <row r="347" spans="1:9">
      <c r="A347" s="22">
        <v>42564</v>
      </c>
      <c r="B347" s="21">
        <v>49.912457000000003</v>
      </c>
      <c r="C347" s="23">
        <v>25356800</v>
      </c>
      <c r="D347" s="24">
        <f t="shared" si="16"/>
        <v>4.2892340467701991E-3</v>
      </c>
      <c r="E347" s="25">
        <f t="shared" si="17"/>
        <v>-811300</v>
      </c>
      <c r="F347" s="20">
        <v>1</v>
      </c>
      <c r="G347" s="20"/>
      <c r="I347" s="21">
        <f t="shared" si="15"/>
        <v>139.05207887321845</v>
      </c>
    </row>
    <row r="348" spans="1:9">
      <c r="A348" s="22">
        <v>42565</v>
      </c>
      <c r="B348" s="21">
        <v>50.127003000000002</v>
      </c>
      <c r="C348" s="23">
        <v>24545500</v>
      </c>
      <c r="D348" s="24">
        <f t="shared" si="16"/>
        <v>-7.4454661684181028E-4</v>
      </c>
      <c r="E348" s="25">
        <f t="shared" si="17"/>
        <v>7478900</v>
      </c>
      <c r="F348" s="20">
        <v>1</v>
      </c>
      <c r="G348" s="20"/>
      <c r="I348" s="21">
        <f t="shared" si="15"/>
        <v>139.05263066505776</v>
      </c>
    </row>
    <row r="349" spans="1:9">
      <c r="A349" s="22">
        <v>42566</v>
      </c>
      <c r="B349" s="21">
        <v>50.089694999999999</v>
      </c>
      <c r="C349" s="23">
        <v>32024400</v>
      </c>
      <c r="D349" s="24">
        <f t="shared" si="16"/>
        <v>4.8299515737065526E-3</v>
      </c>
      <c r="E349" s="25">
        <f t="shared" si="17"/>
        <v>-590500</v>
      </c>
      <c r="F349" s="20">
        <v>1</v>
      </c>
      <c r="G349" s="20"/>
      <c r="I349" s="21">
        <f t="shared" si="15"/>
        <v>139.05318245908671</v>
      </c>
    </row>
    <row r="350" spans="1:9">
      <c r="A350" s="22">
        <v>42569</v>
      </c>
      <c r="B350" s="21">
        <v>50.332211000000001</v>
      </c>
      <c r="C350" s="23">
        <v>31433900</v>
      </c>
      <c r="D350" s="24">
        <f t="shared" si="16"/>
        <v>-1.625444551863587E-2</v>
      </c>
      <c r="E350" s="25">
        <f t="shared" si="17"/>
        <v>21902600</v>
      </c>
      <c r="F350" s="20">
        <v>1</v>
      </c>
      <c r="G350" s="20"/>
      <c r="I350" s="21">
        <f t="shared" si="15"/>
        <v>139.05373425530533</v>
      </c>
    </row>
    <row r="351" spans="1:9">
      <c r="A351" s="22">
        <v>42570</v>
      </c>
      <c r="B351" s="21">
        <v>49.520702</v>
      </c>
      <c r="C351" s="23">
        <v>53336500</v>
      </c>
      <c r="D351" s="24">
        <f t="shared" si="16"/>
        <v>5.175462325935256E-2</v>
      </c>
      <c r="E351" s="25">
        <f t="shared" si="17"/>
        <v>36556800</v>
      </c>
      <c r="F351" s="20">
        <v>1</v>
      </c>
      <c r="G351" s="20"/>
      <c r="I351" s="21">
        <f t="shared" si="15"/>
        <v>139.05428605371361</v>
      </c>
    </row>
    <row r="352" spans="1:9">
      <c r="A352" s="22">
        <v>42571</v>
      </c>
      <c r="B352" s="21">
        <v>52.151108000000001</v>
      </c>
      <c r="C352" s="23">
        <v>89893300</v>
      </c>
      <c r="D352" s="24">
        <f t="shared" si="16"/>
        <v>-1.9692977209827857E-3</v>
      </c>
      <c r="E352" s="25">
        <f t="shared" si="17"/>
        <v>-57116600</v>
      </c>
      <c r="F352" s="20">
        <v>1</v>
      </c>
      <c r="G352" s="20"/>
      <c r="I352" s="21">
        <f t="shared" si="15"/>
        <v>139.05483785431156</v>
      </c>
    </row>
    <row r="353" spans="1:9">
      <c r="A353" s="22">
        <v>42572</v>
      </c>
      <c r="B353" s="21">
        <v>52.048507999999998</v>
      </c>
      <c r="C353" s="23">
        <v>32776700</v>
      </c>
      <c r="D353" s="24">
        <f t="shared" si="16"/>
        <v>1.3704994933452414E-2</v>
      </c>
      <c r="E353" s="25">
        <f t="shared" si="17"/>
        <v>-619500</v>
      </c>
      <c r="F353" s="20">
        <v>1</v>
      </c>
      <c r="G353" s="20"/>
      <c r="I353" s="21">
        <f t="shared" si="15"/>
        <v>139.05538965709917</v>
      </c>
    </row>
    <row r="354" spans="1:9">
      <c r="A354" s="22">
        <v>42573</v>
      </c>
      <c r="B354" s="21">
        <v>52.766742999999998</v>
      </c>
      <c r="C354" s="23">
        <v>32157200</v>
      </c>
      <c r="D354" s="24">
        <f t="shared" si="16"/>
        <v>2.8240588255450281E-3</v>
      </c>
      <c r="E354" s="25">
        <f t="shared" si="17"/>
        <v>-6546600</v>
      </c>
      <c r="F354" s="20">
        <v>1</v>
      </c>
      <c r="G354" s="20"/>
      <c r="I354" s="21">
        <f t="shared" ref="I354:I417" si="18">I353*EXP($L$31*$L$33+$L$32*H354*SQRT($L$33))</f>
        <v>139.05594146207648</v>
      </c>
    </row>
    <row r="355" spans="1:9">
      <c r="A355" s="22">
        <v>42576</v>
      </c>
      <c r="B355" s="21">
        <v>52.915970000000002</v>
      </c>
      <c r="C355" s="23">
        <v>25610600</v>
      </c>
      <c r="D355" s="24">
        <f t="shared" si="16"/>
        <v>5.2869867263157747E-4</v>
      </c>
      <c r="E355" s="25">
        <f t="shared" si="17"/>
        <v>2468400</v>
      </c>
      <c r="F355" s="20">
        <v>1</v>
      </c>
      <c r="G355" s="20"/>
      <c r="I355" s="21">
        <f t="shared" si="18"/>
        <v>139.05649326924348</v>
      </c>
    </row>
    <row r="356" spans="1:9">
      <c r="A356" s="22">
        <v>42577</v>
      </c>
      <c r="B356" s="21">
        <v>52.943953999999998</v>
      </c>
      <c r="C356" s="23">
        <v>28079000</v>
      </c>
      <c r="D356" s="24">
        <f t="shared" si="16"/>
        <v>-1.0092948240735753E-2</v>
      </c>
      <c r="E356" s="25">
        <f t="shared" si="17"/>
        <v>4248500</v>
      </c>
      <c r="F356" s="20">
        <v>1</v>
      </c>
      <c r="G356" s="20"/>
      <c r="I356" s="21">
        <f t="shared" si="18"/>
        <v>139.05704507860017</v>
      </c>
    </row>
    <row r="357" spans="1:9">
      <c r="A357" s="22">
        <v>42578</v>
      </c>
      <c r="B357" s="21">
        <v>52.412281</v>
      </c>
      <c r="C357" s="23">
        <v>32327500</v>
      </c>
      <c r="D357" s="24">
        <f t="shared" si="16"/>
        <v>3.5592192221810135E-4</v>
      </c>
      <c r="E357" s="25">
        <f t="shared" si="17"/>
        <v>5222900</v>
      </c>
      <c r="F357" s="20">
        <v>1</v>
      </c>
      <c r="G357" s="20"/>
      <c r="I357" s="21">
        <f t="shared" si="18"/>
        <v>139.05759689014658</v>
      </c>
    </row>
    <row r="358" spans="1:9">
      <c r="A358" s="22">
        <v>42579</v>
      </c>
      <c r="B358" s="21">
        <v>52.430939000000002</v>
      </c>
      <c r="C358" s="23">
        <v>37550400</v>
      </c>
      <c r="D358" s="24">
        <f t="shared" si="16"/>
        <v>8.3266361288818636E-3</v>
      </c>
      <c r="E358" s="25">
        <f t="shared" si="17"/>
        <v>-6991700</v>
      </c>
      <c r="F358" s="20">
        <v>1</v>
      </c>
      <c r="G358" s="20"/>
      <c r="I358" s="21">
        <f t="shared" si="18"/>
        <v>139.05814870388272</v>
      </c>
    </row>
    <row r="359" spans="1:9">
      <c r="A359" s="22">
        <v>42580</v>
      </c>
      <c r="B359" s="21">
        <v>52.869335</v>
      </c>
      <c r="C359" s="23">
        <v>30558700</v>
      </c>
      <c r="D359" s="24">
        <f t="shared" si="16"/>
        <v>-1.7657754503992279E-3</v>
      </c>
      <c r="E359" s="25">
        <f t="shared" si="17"/>
        <v>-4555300</v>
      </c>
      <c r="F359" s="20">
        <v>1</v>
      </c>
      <c r="G359" s="20"/>
      <c r="I359" s="21">
        <f t="shared" si="18"/>
        <v>139.05870051980858</v>
      </c>
    </row>
    <row r="360" spans="1:9">
      <c r="A360" s="22">
        <v>42583</v>
      </c>
      <c r="B360" s="21">
        <v>52.776062000000003</v>
      </c>
      <c r="C360" s="23">
        <v>26003400</v>
      </c>
      <c r="D360" s="24">
        <f t="shared" si="16"/>
        <v>0</v>
      </c>
      <c r="E360" s="25">
        <f t="shared" si="17"/>
        <v>9118600</v>
      </c>
      <c r="F360" s="20">
        <v>1</v>
      </c>
      <c r="G360" s="20"/>
      <c r="I360" s="21">
        <f t="shared" si="18"/>
        <v>139.05925233792416</v>
      </c>
    </row>
    <row r="361" spans="1:9">
      <c r="A361" s="22">
        <v>42584</v>
      </c>
      <c r="B361" s="21">
        <v>52.776062000000003</v>
      </c>
      <c r="C361" s="23">
        <v>35122000</v>
      </c>
      <c r="D361" s="24">
        <f t="shared" si="16"/>
        <v>6.8693444441762881E-3</v>
      </c>
      <c r="E361" s="25">
        <f t="shared" si="17"/>
        <v>-13046400</v>
      </c>
      <c r="F361" s="20">
        <v>1</v>
      </c>
      <c r="G361" s="20"/>
      <c r="I361" s="21">
        <f t="shared" si="18"/>
        <v>139.0598041582295</v>
      </c>
    </row>
    <row r="362" spans="1:9">
      <c r="A362" s="22">
        <v>42585</v>
      </c>
      <c r="B362" s="21">
        <v>53.139847000000003</v>
      </c>
      <c r="C362" s="23">
        <v>22075600</v>
      </c>
      <c r="D362" s="24">
        <f t="shared" si="16"/>
        <v>7.3451660023315596E-3</v>
      </c>
      <c r="E362" s="25">
        <f t="shared" si="17"/>
        <v>4512100</v>
      </c>
      <c r="F362" s="20">
        <v>1</v>
      </c>
      <c r="G362" s="20"/>
      <c r="I362" s="21">
        <f t="shared" si="18"/>
        <v>139.06035598072458</v>
      </c>
    </row>
    <row r="363" spans="1:9">
      <c r="A363" s="22">
        <v>42586</v>
      </c>
      <c r="B363" s="21">
        <v>53.531604999999999</v>
      </c>
      <c r="C363" s="23">
        <v>26587700</v>
      </c>
      <c r="D363" s="24">
        <f t="shared" si="16"/>
        <v>9.8829481971962167E-3</v>
      </c>
      <c r="E363" s="25">
        <f t="shared" si="17"/>
        <v>2747500</v>
      </c>
      <c r="F363" s="20">
        <v>1</v>
      </c>
      <c r="G363" s="20"/>
      <c r="I363" s="21">
        <f t="shared" si="18"/>
        <v>139.06090780540944</v>
      </c>
    </row>
    <row r="364" spans="1:9">
      <c r="A364" s="22">
        <v>42587</v>
      </c>
      <c r="B364" s="21">
        <v>54.063277999999997</v>
      </c>
      <c r="C364" s="23">
        <v>29335200</v>
      </c>
      <c r="D364" s="24">
        <f t="shared" si="16"/>
        <v>1.7239911321753341E-3</v>
      </c>
      <c r="E364" s="25">
        <f t="shared" si="17"/>
        <v>-9861700</v>
      </c>
      <c r="F364" s="20">
        <v>1</v>
      </c>
      <c r="G364" s="20"/>
      <c r="I364" s="21">
        <f t="shared" si="18"/>
        <v>139.06145963228408</v>
      </c>
    </row>
    <row r="365" spans="1:9">
      <c r="A365" s="22">
        <v>42590</v>
      </c>
      <c r="B365" s="21">
        <v>54.156562999999998</v>
      </c>
      <c r="C365" s="23">
        <v>19473500</v>
      </c>
      <c r="D365" s="24">
        <f t="shared" si="16"/>
        <v>2.4082736882421628E-3</v>
      </c>
      <c r="E365" s="25">
        <f t="shared" si="17"/>
        <v>-2552800</v>
      </c>
      <c r="F365" s="20">
        <v>1</v>
      </c>
      <c r="G365" s="20"/>
      <c r="I365" s="21">
        <f t="shared" si="18"/>
        <v>139.0620114613485</v>
      </c>
    </row>
    <row r="366" spans="1:9">
      <c r="A366" s="22">
        <v>42591</v>
      </c>
      <c r="B366" s="21">
        <v>54.287143999999998</v>
      </c>
      <c r="C366" s="23">
        <v>16920700</v>
      </c>
      <c r="D366" s="24">
        <f t="shared" si="16"/>
        <v>-3.0973287475699112E-3</v>
      </c>
      <c r="E366" s="25">
        <f t="shared" si="17"/>
        <v>-1163800</v>
      </c>
      <c r="F366" s="20">
        <v>1</v>
      </c>
      <c r="G366" s="20"/>
      <c r="I366" s="21">
        <f t="shared" si="18"/>
        <v>139.0625632926027</v>
      </c>
    </row>
    <row r="367" spans="1:9">
      <c r="A367" s="22">
        <v>42592</v>
      </c>
      <c r="B367" s="21">
        <v>54.119259</v>
      </c>
      <c r="C367" s="23">
        <v>15756900</v>
      </c>
      <c r="D367" s="24">
        <f t="shared" si="16"/>
        <v>4.8141247452686354E-3</v>
      </c>
      <c r="E367" s="25">
        <f t="shared" si="17"/>
        <v>2405400</v>
      </c>
      <c r="F367" s="20">
        <v>1</v>
      </c>
      <c r="G367" s="20"/>
      <c r="I367" s="21">
        <f t="shared" si="18"/>
        <v>139.06311512604671</v>
      </c>
    </row>
    <row r="368" spans="1:9">
      <c r="A368" s="22">
        <v>42593</v>
      </c>
      <c r="B368" s="21">
        <v>54.380423999999998</v>
      </c>
      <c r="C368" s="23">
        <v>18162300</v>
      </c>
      <c r="D368" s="24">
        <f t="shared" si="16"/>
        <v>-6.1940124536607908E-3</v>
      </c>
      <c r="E368" s="25">
        <f t="shared" si="17"/>
        <v>3492900</v>
      </c>
      <c r="F368" s="20">
        <v>1</v>
      </c>
      <c r="G368" s="20"/>
      <c r="I368" s="21">
        <f t="shared" si="18"/>
        <v>139.06366696168052</v>
      </c>
    </row>
    <row r="369" spans="1:9">
      <c r="A369" s="22">
        <v>42594</v>
      </c>
      <c r="B369" s="21">
        <v>54.044632</v>
      </c>
      <c r="C369" s="23">
        <v>21655200</v>
      </c>
      <c r="D369" s="24">
        <f t="shared" si="16"/>
        <v>3.1017281592625717E-3</v>
      </c>
      <c r="E369" s="25">
        <f t="shared" si="17"/>
        <v>-2371300</v>
      </c>
      <c r="F369" s="20">
        <v>1</v>
      </c>
      <c r="G369" s="20"/>
      <c r="I369" s="21">
        <f t="shared" si="18"/>
        <v>139.06421879950415</v>
      </c>
    </row>
    <row r="370" spans="1:9">
      <c r="A370" s="22">
        <v>42597</v>
      </c>
      <c r="B370" s="21">
        <v>54.212524000000002</v>
      </c>
      <c r="C370" s="23">
        <v>19283900</v>
      </c>
      <c r="D370" s="24">
        <f t="shared" si="16"/>
        <v>-5.555636743185639E-3</v>
      </c>
      <c r="E370" s="25">
        <f t="shared" si="17"/>
        <v>1239600</v>
      </c>
      <c r="F370" s="20">
        <v>1</v>
      </c>
      <c r="G370" s="20"/>
      <c r="I370" s="21">
        <f t="shared" si="18"/>
        <v>139.0647706395176</v>
      </c>
    </row>
    <row r="371" spans="1:9">
      <c r="A371" s="22">
        <v>42598</v>
      </c>
      <c r="B371" s="21">
        <v>53.912174</v>
      </c>
      <c r="C371" s="23">
        <v>20523500</v>
      </c>
      <c r="D371" s="24">
        <f t="shared" si="16"/>
        <v>2.086940805799332E-3</v>
      </c>
      <c r="E371" s="25">
        <f t="shared" si="17"/>
        <v>-1667100</v>
      </c>
      <c r="F371" s="20">
        <v>1</v>
      </c>
      <c r="G371" s="20"/>
      <c r="I371" s="21">
        <f t="shared" si="18"/>
        <v>139.0653224817209</v>
      </c>
    </row>
    <row r="372" spans="1:9">
      <c r="A372" s="22">
        <v>42599</v>
      </c>
      <c r="B372" s="21">
        <v>54.024802999999999</v>
      </c>
      <c r="C372" s="23">
        <v>18856400</v>
      </c>
      <c r="D372" s="24">
        <f t="shared" si="16"/>
        <v>6.9484668124726741E-4</v>
      </c>
      <c r="E372" s="25">
        <f t="shared" si="17"/>
        <v>-4642100</v>
      </c>
      <c r="F372" s="20">
        <v>1</v>
      </c>
      <c r="G372" s="20"/>
      <c r="I372" s="21">
        <f t="shared" si="18"/>
        <v>139.06587432611403</v>
      </c>
    </row>
    <row r="373" spans="1:9">
      <c r="A373" s="22">
        <v>42600</v>
      </c>
      <c r="B373" s="21">
        <v>54.062354999999997</v>
      </c>
      <c r="C373" s="23">
        <v>14214300</v>
      </c>
      <c r="D373" s="24">
        <f t="shared" si="16"/>
        <v>3.4709444407597043E-4</v>
      </c>
      <c r="E373" s="25">
        <f t="shared" si="17"/>
        <v>3056700</v>
      </c>
      <c r="F373" s="20">
        <v>1</v>
      </c>
      <c r="G373" s="20"/>
      <c r="I373" s="21">
        <f t="shared" si="18"/>
        <v>139.06642617269699</v>
      </c>
    </row>
    <row r="374" spans="1:9">
      <c r="A374" s="22">
        <v>42601</v>
      </c>
      <c r="B374" s="21">
        <v>54.081122999999998</v>
      </c>
      <c r="C374" s="23">
        <v>17271000</v>
      </c>
      <c r="D374" s="24">
        <f t="shared" si="16"/>
        <v>8.6737567202079598E-4</v>
      </c>
      <c r="E374" s="25">
        <f t="shared" si="17"/>
        <v>-2049100</v>
      </c>
      <c r="F374" s="20">
        <v>1</v>
      </c>
      <c r="G374" s="20"/>
      <c r="I374" s="21">
        <f t="shared" si="18"/>
        <v>139.06697802146982</v>
      </c>
    </row>
    <row r="375" spans="1:9">
      <c r="A375" s="22">
        <v>42604</v>
      </c>
      <c r="B375" s="21">
        <v>54.128051999999997</v>
      </c>
      <c r="C375" s="23">
        <v>15221900</v>
      </c>
      <c r="D375" s="24">
        <f t="shared" si="16"/>
        <v>3.8075661618286456E-3</v>
      </c>
      <c r="E375" s="25">
        <f t="shared" si="17"/>
        <v>3510500</v>
      </c>
      <c r="F375" s="20">
        <v>1</v>
      </c>
      <c r="G375" s="20"/>
      <c r="I375" s="21">
        <f t="shared" si="18"/>
        <v>139.06752987243252</v>
      </c>
    </row>
    <row r="376" spans="1:9">
      <c r="A376" s="22">
        <v>42605</v>
      </c>
      <c r="B376" s="21">
        <v>54.334541000000002</v>
      </c>
      <c r="C376" s="23">
        <v>18732400</v>
      </c>
      <c r="D376" s="24">
        <f t="shared" si="16"/>
        <v>1.0359493835763183E-3</v>
      </c>
      <c r="E376" s="25">
        <f t="shared" si="17"/>
        <v>-580900</v>
      </c>
      <c r="F376" s="20">
        <v>1</v>
      </c>
      <c r="G376" s="20"/>
      <c r="I376" s="21">
        <f t="shared" si="18"/>
        <v>139.0680817255851</v>
      </c>
    </row>
    <row r="377" spans="1:9">
      <c r="A377" s="22">
        <v>42606</v>
      </c>
      <c r="B377" s="21">
        <v>54.390858000000001</v>
      </c>
      <c r="C377" s="23">
        <v>18151500</v>
      </c>
      <c r="D377" s="24">
        <f t="shared" si="16"/>
        <v>3.7891302940359474E-3</v>
      </c>
      <c r="E377" s="25">
        <f t="shared" si="17"/>
        <v>401100</v>
      </c>
      <c r="F377" s="20">
        <v>1</v>
      </c>
      <c r="G377" s="20"/>
      <c r="I377" s="21">
        <f t="shared" si="18"/>
        <v>139.06863358092755</v>
      </c>
    </row>
    <row r="378" spans="1:9">
      <c r="A378" s="22">
        <v>42607</v>
      </c>
      <c r="B378" s="21">
        <v>54.597343000000002</v>
      </c>
      <c r="C378" s="23">
        <v>18552600</v>
      </c>
      <c r="D378" s="24">
        <f t="shared" si="16"/>
        <v>-2.40968474768598E-3</v>
      </c>
      <c r="E378" s="25">
        <f t="shared" si="17"/>
        <v>2418600</v>
      </c>
      <c r="F378" s="20">
        <v>1</v>
      </c>
      <c r="G378" s="20"/>
      <c r="I378" s="21">
        <f t="shared" si="18"/>
        <v>139.0691854384599</v>
      </c>
    </row>
    <row r="379" spans="1:9">
      <c r="A379" s="22">
        <v>42608</v>
      </c>
      <c r="B379" s="21">
        <v>54.465938999999999</v>
      </c>
      <c r="C379" s="23">
        <v>20971200</v>
      </c>
      <c r="D379" s="24">
        <f t="shared" si="16"/>
        <v>1.2056048721944494E-3</v>
      </c>
      <c r="E379" s="25">
        <f t="shared" si="17"/>
        <v>-4554000</v>
      </c>
      <c r="F379" s="20">
        <v>1</v>
      </c>
      <c r="G379" s="20"/>
      <c r="I379" s="21">
        <f t="shared" si="18"/>
        <v>139.06973729818216</v>
      </c>
    </row>
    <row r="380" spans="1:9">
      <c r="A380" s="22">
        <v>42611</v>
      </c>
      <c r="B380" s="21">
        <v>54.531643000000003</v>
      </c>
      <c r="C380" s="23">
        <v>16417200</v>
      </c>
      <c r="D380" s="24">
        <f t="shared" si="16"/>
        <v>-3.6209998021206934E-3</v>
      </c>
      <c r="E380" s="25">
        <f t="shared" si="17"/>
        <v>513000</v>
      </c>
      <c r="F380" s="20">
        <v>1</v>
      </c>
      <c r="G380" s="20"/>
      <c r="I380" s="21">
        <f t="shared" si="18"/>
        <v>139.07028916009432</v>
      </c>
    </row>
    <row r="381" spans="1:9">
      <c r="A381" s="22">
        <v>42612</v>
      </c>
      <c r="B381" s="21">
        <v>54.334541000000002</v>
      </c>
      <c r="C381" s="23">
        <v>16930200</v>
      </c>
      <c r="D381" s="24">
        <f t="shared" si="16"/>
        <v>-7.4555400951986485E-3</v>
      </c>
      <c r="E381" s="25">
        <f t="shared" si="17"/>
        <v>3930100</v>
      </c>
      <c r="F381" s="20">
        <v>1</v>
      </c>
      <c r="G381" s="20"/>
      <c r="I381" s="21">
        <f t="shared" si="18"/>
        <v>139.0708410241964</v>
      </c>
    </row>
    <row r="382" spans="1:9">
      <c r="A382" s="22">
        <v>42613</v>
      </c>
      <c r="B382" s="21">
        <v>53.930954</v>
      </c>
      <c r="C382" s="23">
        <v>20860300</v>
      </c>
      <c r="D382" s="24">
        <f t="shared" si="16"/>
        <v>2.2598374053360059E-3</v>
      </c>
      <c r="E382" s="25">
        <f t="shared" si="17"/>
        <v>5215100</v>
      </c>
      <c r="F382" s="20">
        <v>1</v>
      </c>
      <c r="G382" s="20"/>
      <c r="I382" s="21">
        <f t="shared" si="18"/>
        <v>139.07139289048843</v>
      </c>
    </row>
    <row r="383" spans="1:9">
      <c r="A383" s="22">
        <v>42614</v>
      </c>
      <c r="B383" s="21">
        <v>54.052967000000002</v>
      </c>
      <c r="C383" s="23">
        <v>26075400</v>
      </c>
      <c r="D383" s="24">
        <f t="shared" si="16"/>
        <v>1.3881365280338648E-3</v>
      </c>
      <c r="E383" s="25">
        <f t="shared" si="17"/>
        <v>-7174900</v>
      </c>
      <c r="F383" s="20">
        <v>1</v>
      </c>
      <c r="G383" s="20"/>
      <c r="I383" s="21">
        <f t="shared" si="18"/>
        <v>139.07194475897037</v>
      </c>
    </row>
    <row r="384" spans="1:9">
      <c r="A384" s="22">
        <v>42615</v>
      </c>
      <c r="B384" s="21">
        <v>54.128051999999997</v>
      </c>
      <c r="C384" s="23">
        <v>18900500</v>
      </c>
      <c r="D384" s="24">
        <f t="shared" si="16"/>
        <v>-1.0408338589450485E-3</v>
      </c>
      <c r="E384" s="25">
        <f t="shared" si="17"/>
        <v>-2622100</v>
      </c>
      <c r="F384" s="20">
        <v>1</v>
      </c>
      <c r="G384" s="20"/>
      <c r="I384" s="21">
        <f t="shared" si="18"/>
        <v>139.07249662964227</v>
      </c>
    </row>
    <row r="385" spans="1:9">
      <c r="A385" s="22">
        <v>42619</v>
      </c>
      <c r="B385" s="21">
        <v>54.071742999999998</v>
      </c>
      <c r="C385" s="23">
        <v>16278400</v>
      </c>
      <c r="D385" s="24">
        <f t="shared" si="16"/>
        <v>8.6737824993545008E-4</v>
      </c>
      <c r="E385" s="25">
        <f t="shared" si="17"/>
        <v>1215000</v>
      </c>
      <c r="F385" s="20">
        <v>1</v>
      </c>
      <c r="G385" s="20"/>
      <c r="I385" s="21">
        <f t="shared" si="18"/>
        <v>139.07304850250412</v>
      </c>
    </row>
    <row r="386" spans="1:9">
      <c r="A386" s="22">
        <v>42620</v>
      </c>
      <c r="B386" s="21">
        <v>54.118664000000003</v>
      </c>
      <c r="C386" s="23">
        <v>17493400</v>
      </c>
      <c r="D386" s="24">
        <f t="shared" si="16"/>
        <v>-3.9968780161540032E-3</v>
      </c>
      <c r="E386" s="25">
        <f t="shared" si="17"/>
        <v>2652700</v>
      </c>
      <c r="F386" s="20">
        <v>1</v>
      </c>
      <c r="G386" s="20"/>
      <c r="I386" s="21">
        <f t="shared" si="18"/>
        <v>139.07360037755595</v>
      </c>
    </row>
    <row r="387" spans="1:9">
      <c r="A387" s="22">
        <v>42621</v>
      </c>
      <c r="B387" s="21">
        <v>53.902790000000003</v>
      </c>
      <c r="C387" s="23">
        <v>20146100</v>
      </c>
      <c r="D387" s="24">
        <f t="shared" ref="D387:D450" si="19">LN(B388/B387)</f>
        <v>-2.147203196679838E-2</v>
      </c>
      <c r="E387" s="25">
        <f t="shared" ref="E387:E450" si="20">C388-C387</f>
        <v>14967800</v>
      </c>
      <c r="F387" s="20">
        <v>1</v>
      </c>
      <c r="G387" s="20"/>
      <c r="I387" s="21">
        <f t="shared" si="18"/>
        <v>139.07415225479772</v>
      </c>
    </row>
    <row r="388" spans="1:9">
      <c r="A388" s="22">
        <v>42622</v>
      </c>
      <c r="B388" s="21">
        <v>52.757725000000001</v>
      </c>
      <c r="C388" s="23">
        <v>35113900</v>
      </c>
      <c r="D388" s="24">
        <f t="shared" si="19"/>
        <v>1.4833411620385931E-2</v>
      </c>
      <c r="E388" s="25">
        <f t="shared" si="20"/>
        <v>-5810900</v>
      </c>
      <c r="F388" s="20">
        <v>1</v>
      </c>
      <c r="G388" s="20"/>
      <c r="I388" s="21">
        <f t="shared" si="18"/>
        <v>139.07470413422951</v>
      </c>
    </row>
    <row r="389" spans="1:9">
      <c r="A389" s="22">
        <v>42625</v>
      </c>
      <c r="B389" s="21">
        <v>53.546135</v>
      </c>
      <c r="C389" s="23">
        <v>29303000</v>
      </c>
      <c r="D389" s="24">
        <f t="shared" si="19"/>
        <v>-9.1565503840041976E-3</v>
      </c>
      <c r="E389" s="25">
        <f t="shared" si="20"/>
        <v>827200</v>
      </c>
      <c r="F389" s="20">
        <v>1</v>
      </c>
      <c r="G389" s="20"/>
      <c r="I389" s="21">
        <f t="shared" si="18"/>
        <v>139.07525601585127</v>
      </c>
    </row>
    <row r="390" spans="1:9">
      <c r="A390" s="22">
        <v>42626</v>
      </c>
      <c r="B390" s="21">
        <v>53.058075000000002</v>
      </c>
      <c r="C390" s="23">
        <v>30130200</v>
      </c>
      <c r="D390" s="24">
        <f t="shared" si="19"/>
        <v>-4.787889102740815E-3</v>
      </c>
      <c r="E390" s="25">
        <f t="shared" si="20"/>
        <v>-6067700</v>
      </c>
      <c r="F390" s="20">
        <v>1</v>
      </c>
      <c r="G390" s="20"/>
      <c r="I390" s="21">
        <f t="shared" si="18"/>
        <v>139.07580789966303</v>
      </c>
    </row>
    <row r="391" spans="1:9">
      <c r="A391" s="22">
        <v>42627</v>
      </c>
      <c r="B391" s="21">
        <v>52.804645999999998</v>
      </c>
      <c r="C391" s="23">
        <v>24062500</v>
      </c>
      <c r="D391" s="24">
        <f t="shared" si="19"/>
        <v>1.6395261667068891E-2</v>
      </c>
      <c r="E391" s="25">
        <f t="shared" si="20"/>
        <v>2784500</v>
      </c>
      <c r="F391" s="20">
        <v>1</v>
      </c>
      <c r="G391" s="20"/>
      <c r="I391" s="21">
        <f t="shared" si="18"/>
        <v>139.07635978566481</v>
      </c>
    </row>
    <row r="392" spans="1:9">
      <c r="A392" s="22">
        <v>42628</v>
      </c>
      <c r="B392" s="21">
        <v>53.677528000000002</v>
      </c>
      <c r="C392" s="23">
        <v>26847000</v>
      </c>
      <c r="D392" s="24">
        <f t="shared" si="19"/>
        <v>1.0486972001422087E-3</v>
      </c>
      <c r="E392" s="25">
        <f t="shared" si="20"/>
        <v>17760000</v>
      </c>
      <c r="F392" s="20">
        <v>1</v>
      </c>
      <c r="G392" s="20"/>
      <c r="I392" s="21">
        <f t="shared" si="18"/>
        <v>139.07691167385659</v>
      </c>
    </row>
    <row r="393" spans="1:9">
      <c r="A393" s="22">
        <v>42629</v>
      </c>
      <c r="B393" s="21">
        <v>53.733848999999999</v>
      </c>
      <c r="C393" s="23">
        <v>44607000</v>
      </c>
      <c r="D393" s="24">
        <f t="shared" si="19"/>
        <v>-5.6051357493384765E-3</v>
      </c>
      <c r="E393" s="25">
        <f t="shared" si="20"/>
        <v>-23669900</v>
      </c>
      <c r="F393" s="20">
        <v>1</v>
      </c>
      <c r="G393" s="20"/>
      <c r="I393" s="21">
        <f t="shared" si="18"/>
        <v>139.0774635642384</v>
      </c>
    </row>
    <row r="394" spans="1:9">
      <c r="A394" s="22">
        <v>42632</v>
      </c>
      <c r="B394" s="21">
        <v>53.433506000000001</v>
      </c>
      <c r="C394" s="23">
        <v>20937100</v>
      </c>
      <c r="D394" s="24">
        <f t="shared" si="19"/>
        <v>-2.1102093810686047E-3</v>
      </c>
      <c r="E394" s="25">
        <f t="shared" si="20"/>
        <v>-3553100</v>
      </c>
      <c r="F394" s="20">
        <v>1</v>
      </c>
      <c r="G394" s="20"/>
      <c r="I394" s="21">
        <f t="shared" si="18"/>
        <v>139.07801545681025</v>
      </c>
    </row>
    <row r="395" spans="1:9">
      <c r="A395" s="22">
        <v>42633</v>
      </c>
      <c r="B395" s="21">
        <v>53.320869000000002</v>
      </c>
      <c r="C395" s="23">
        <v>17384000</v>
      </c>
      <c r="D395" s="24">
        <f t="shared" si="19"/>
        <v>1.6584103523791315E-2</v>
      </c>
      <c r="E395" s="25">
        <f t="shared" si="20"/>
        <v>16323300</v>
      </c>
      <c r="F395" s="20">
        <v>1</v>
      </c>
      <c r="G395" s="20"/>
      <c r="I395" s="21">
        <f t="shared" si="18"/>
        <v>139.07856735157213</v>
      </c>
    </row>
    <row r="396" spans="1:9">
      <c r="A396" s="22">
        <v>42634</v>
      </c>
      <c r="B396" s="21">
        <v>54.212521000000002</v>
      </c>
      <c r="C396" s="23">
        <v>33707300</v>
      </c>
      <c r="D396" s="24">
        <f t="shared" si="19"/>
        <v>1.0384088463847056E-3</v>
      </c>
      <c r="E396" s="25">
        <f t="shared" si="20"/>
        <v>-13885100</v>
      </c>
      <c r="F396" s="20">
        <v>1</v>
      </c>
      <c r="G396" s="20"/>
      <c r="I396" s="21">
        <f t="shared" si="18"/>
        <v>139.07911924852405</v>
      </c>
    </row>
    <row r="397" spans="1:9">
      <c r="A397" s="22">
        <v>42635</v>
      </c>
      <c r="B397" s="21">
        <v>54.268844999999999</v>
      </c>
      <c r="C397" s="23">
        <v>19822200</v>
      </c>
      <c r="D397" s="24">
        <f t="shared" si="19"/>
        <v>-6.7680662738225624E-3</v>
      </c>
      <c r="E397" s="25">
        <f t="shared" si="20"/>
        <v>133100</v>
      </c>
      <c r="F397" s="20">
        <v>1</v>
      </c>
      <c r="G397" s="20"/>
      <c r="I397" s="21">
        <f t="shared" si="18"/>
        <v>139.07967114766603</v>
      </c>
    </row>
    <row r="398" spans="1:9">
      <c r="A398" s="22">
        <v>42636</v>
      </c>
      <c r="B398" s="21">
        <v>53.902790000000003</v>
      </c>
      <c r="C398" s="23">
        <v>19955300</v>
      </c>
      <c r="D398" s="24">
        <f t="shared" si="19"/>
        <v>-9.2712359859912375E-3</v>
      </c>
      <c r="E398" s="25">
        <f t="shared" si="20"/>
        <v>1733400</v>
      </c>
      <c r="F398" s="20">
        <v>1</v>
      </c>
      <c r="G398" s="20"/>
      <c r="I398" s="21">
        <f t="shared" si="18"/>
        <v>139.08022304899808</v>
      </c>
    </row>
    <row r="399" spans="1:9">
      <c r="A399" s="22">
        <v>42639</v>
      </c>
      <c r="B399" s="21">
        <v>53.405354000000003</v>
      </c>
      <c r="C399" s="23">
        <v>21688700</v>
      </c>
      <c r="D399" s="24">
        <f t="shared" si="19"/>
        <v>1.8285085156559942E-2</v>
      </c>
      <c r="E399" s="25">
        <f t="shared" si="20"/>
        <v>6376400</v>
      </c>
      <c r="F399" s="20">
        <v>1</v>
      </c>
      <c r="G399" s="20"/>
      <c r="I399" s="21">
        <f t="shared" si="18"/>
        <v>139.08077495252022</v>
      </c>
    </row>
    <row r="400" spans="1:9">
      <c r="A400" s="22">
        <v>42640</v>
      </c>
      <c r="B400" s="21">
        <v>54.390858000000001</v>
      </c>
      <c r="C400" s="23">
        <v>28065100</v>
      </c>
      <c r="D400" s="24">
        <f t="shared" si="19"/>
        <v>1.3794455463499158E-3</v>
      </c>
      <c r="E400" s="25">
        <f t="shared" si="20"/>
        <v>-7528700</v>
      </c>
      <c r="F400" s="20">
        <v>1</v>
      </c>
      <c r="G400" s="20"/>
      <c r="I400" s="21">
        <f t="shared" si="18"/>
        <v>139.08132685823242</v>
      </c>
    </row>
    <row r="401" spans="1:9">
      <c r="A401" s="22">
        <v>42641</v>
      </c>
      <c r="B401" s="21">
        <v>54.465938999999999</v>
      </c>
      <c r="C401" s="23">
        <v>20536400</v>
      </c>
      <c r="D401" s="24">
        <f t="shared" si="19"/>
        <v>-1.0915648986803698E-2</v>
      </c>
      <c r="E401" s="25">
        <f t="shared" si="20"/>
        <v>4927100</v>
      </c>
      <c r="F401" s="20">
        <v>1</v>
      </c>
      <c r="G401" s="20"/>
      <c r="I401" s="21">
        <f t="shared" si="18"/>
        <v>139.08187876613474</v>
      </c>
    </row>
    <row r="402" spans="1:9">
      <c r="A402" s="22">
        <v>42642</v>
      </c>
      <c r="B402" s="21">
        <v>53.874640999999997</v>
      </c>
      <c r="C402" s="23">
        <v>25463500</v>
      </c>
      <c r="D402" s="24">
        <f t="shared" si="19"/>
        <v>3.4782177789520227E-3</v>
      </c>
      <c r="E402" s="25">
        <f t="shared" si="20"/>
        <v>4447300</v>
      </c>
      <c r="F402" s="20">
        <v>1</v>
      </c>
      <c r="G402" s="20"/>
      <c r="I402" s="21">
        <f t="shared" si="18"/>
        <v>139.08243067622715</v>
      </c>
    </row>
    <row r="403" spans="1:9">
      <c r="A403" s="22">
        <v>42643</v>
      </c>
      <c r="B403" s="21">
        <v>54.062354999999997</v>
      </c>
      <c r="C403" s="23">
        <v>29910800</v>
      </c>
      <c r="D403" s="24">
        <f t="shared" si="19"/>
        <v>-3.129895618244664E-3</v>
      </c>
      <c r="E403" s="25">
        <f t="shared" si="20"/>
        <v>-10721300</v>
      </c>
      <c r="F403" s="20">
        <v>1</v>
      </c>
      <c r="G403" s="20"/>
      <c r="I403" s="21">
        <f t="shared" si="18"/>
        <v>139.08298258850968</v>
      </c>
    </row>
    <row r="404" spans="1:9">
      <c r="A404" s="22">
        <v>42646</v>
      </c>
      <c r="B404" s="21">
        <v>53.893410000000003</v>
      </c>
      <c r="C404" s="23">
        <v>19189500</v>
      </c>
      <c r="D404" s="24">
        <f t="shared" si="19"/>
        <v>-3.1397412438898069E-3</v>
      </c>
      <c r="E404" s="25">
        <f t="shared" si="20"/>
        <v>896400</v>
      </c>
      <c r="F404" s="20">
        <v>1</v>
      </c>
      <c r="G404" s="20"/>
      <c r="I404" s="21">
        <f t="shared" si="18"/>
        <v>139.08353450298233</v>
      </c>
    </row>
    <row r="405" spans="1:9">
      <c r="A405" s="22">
        <v>42647</v>
      </c>
      <c r="B405" s="21">
        <v>53.724463999999998</v>
      </c>
      <c r="C405" s="23">
        <v>20085900</v>
      </c>
      <c r="D405" s="24">
        <f t="shared" si="19"/>
        <v>6.9638531921274319E-3</v>
      </c>
      <c r="E405" s="25">
        <f t="shared" si="20"/>
        <v>-3359500</v>
      </c>
      <c r="F405" s="20">
        <v>1</v>
      </c>
      <c r="G405" s="20"/>
      <c r="I405" s="21">
        <f t="shared" si="18"/>
        <v>139.0840864196451</v>
      </c>
    </row>
    <row r="406" spans="1:9">
      <c r="A406" s="22">
        <v>42648</v>
      </c>
      <c r="B406" s="21">
        <v>54.099899000000001</v>
      </c>
      <c r="C406" s="23">
        <v>16726400</v>
      </c>
      <c r="D406" s="24">
        <f t="shared" si="19"/>
        <v>1.7333799196320055E-3</v>
      </c>
      <c r="E406" s="25">
        <f t="shared" si="20"/>
        <v>-513800</v>
      </c>
      <c r="F406" s="20">
        <v>1</v>
      </c>
      <c r="G406" s="20"/>
      <c r="I406" s="21">
        <f t="shared" si="18"/>
        <v>139.084638338498</v>
      </c>
    </row>
    <row r="407" spans="1:9">
      <c r="A407" s="22">
        <v>42649</v>
      </c>
      <c r="B407" s="21">
        <v>54.193756</v>
      </c>
      <c r="C407" s="23">
        <v>16212600</v>
      </c>
      <c r="D407" s="24">
        <f t="shared" si="19"/>
        <v>1.0385654519599226E-3</v>
      </c>
      <c r="E407" s="25">
        <f t="shared" si="20"/>
        <v>3876400</v>
      </c>
      <c r="F407" s="20">
        <v>1</v>
      </c>
      <c r="G407" s="20"/>
      <c r="I407" s="21">
        <f t="shared" si="18"/>
        <v>139.08519025954104</v>
      </c>
    </row>
    <row r="408" spans="1:9">
      <c r="A408" s="22">
        <v>42650</v>
      </c>
      <c r="B408" s="21">
        <v>54.250069000000003</v>
      </c>
      <c r="C408" s="23">
        <v>20089000</v>
      </c>
      <c r="D408" s="24">
        <f t="shared" si="19"/>
        <v>4.1436743278642539E-3</v>
      </c>
      <c r="E408" s="25">
        <f t="shared" si="20"/>
        <v>-1892500</v>
      </c>
      <c r="F408" s="20">
        <v>1</v>
      </c>
      <c r="G408" s="20"/>
      <c r="I408" s="21">
        <f t="shared" si="18"/>
        <v>139.08574218277425</v>
      </c>
    </row>
    <row r="409" spans="1:9">
      <c r="A409" s="22">
        <v>42653</v>
      </c>
      <c r="B409" s="21">
        <v>54.47533</v>
      </c>
      <c r="C409" s="23">
        <v>18196500</v>
      </c>
      <c r="D409" s="24">
        <f t="shared" si="19"/>
        <v>-1.475349770460437E-2</v>
      </c>
      <c r="E409" s="25">
        <f t="shared" si="20"/>
        <v>8300900</v>
      </c>
      <c r="F409" s="20">
        <v>1</v>
      </c>
      <c r="G409" s="20"/>
      <c r="I409" s="21">
        <f t="shared" si="18"/>
        <v>139.08629410819762</v>
      </c>
    </row>
    <row r="410" spans="1:9">
      <c r="A410" s="22">
        <v>42654</v>
      </c>
      <c r="B410" s="21">
        <v>53.677528000000002</v>
      </c>
      <c r="C410" s="23">
        <v>26497400</v>
      </c>
      <c r="D410" s="24">
        <f t="shared" si="19"/>
        <v>-1.3997768802515409E-3</v>
      </c>
      <c r="E410" s="25">
        <f t="shared" si="20"/>
        <v>-4319900</v>
      </c>
      <c r="F410" s="20">
        <v>1</v>
      </c>
      <c r="G410" s="20"/>
      <c r="I410" s="21">
        <f t="shared" si="18"/>
        <v>139.08684603581116</v>
      </c>
    </row>
    <row r="411" spans="1:9">
      <c r="A411" s="22">
        <v>42655</v>
      </c>
      <c r="B411" s="21">
        <v>53.602443999999998</v>
      </c>
      <c r="C411" s="23">
        <v>22177500</v>
      </c>
      <c r="D411" s="24">
        <f t="shared" si="19"/>
        <v>-3.3322972356284561E-3</v>
      </c>
      <c r="E411" s="25">
        <f t="shared" si="20"/>
        <v>3136200</v>
      </c>
      <c r="F411" s="20">
        <v>1</v>
      </c>
      <c r="G411" s="20"/>
      <c r="I411" s="21">
        <f t="shared" si="18"/>
        <v>139.08739796561488</v>
      </c>
    </row>
    <row r="412" spans="1:9">
      <c r="A412" s="22">
        <v>42656</v>
      </c>
      <c r="B412" s="21">
        <v>53.424121999999997</v>
      </c>
      <c r="C412" s="23">
        <v>25313700</v>
      </c>
      <c r="D412" s="24">
        <f t="shared" si="19"/>
        <v>8.7458401727908246E-3</v>
      </c>
      <c r="E412" s="25">
        <f t="shared" si="20"/>
        <v>2088800</v>
      </c>
      <c r="F412" s="20">
        <v>1</v>
      </c>
      <c r="G412" s="20"/>
      <c r="I412" s="21">
        <f t="shared" si="18"/>
        <v>139.08794989760878</v>
      </c>
    </row>
    <row r="413" spans="1:9">
      <c r="A413" s="22">
        <v>42657</v>
      </c>
      <c r="B413" s="21">
        <v>53.893410000000003</v>
      </c>
      <c r="C413" s="23">
        <v>27402500</v>
      </c>
      <c r="D413" s="24">
        <f t="shared" si="19"/>
        <v>-3.4892148161157735E-3</v>
      </c>
      <c r="E413" s="25">
        <f t="shared" si="20"/>
        <v>-3572500</v>
      </c>
      <c r="F413" s="20">
        <v>1</v>
      </c>
      <c r="G413" s="20"/>
      <c r="I413" s="21">
        <f t="shared" si="18"/>
        <v>139.08850183179288</v>
      </c>
    </row>
    <row r="414" spans="1:9">
      <c r="A414" s="22">
        <v>42660</v>
      </c>
      <c r="B414" s="21">
        <v>53.705691999999999</v>
      </c>
      <c r="C414" s="23">
        <v>23830000</v>
      </c>
      <c r="D414" s="24">
        <f t="shared" si="19"/>
        <v>7.6601249414474928E-3</v>
      </c>
      <c r="E414" s="25">
        <f t="shared" si="20"/>
        <v>-4680500</v>
      </c>
      <c r="F414" s="20">
        <v>1</v>
      </c>
      <c r="G414" s="20"/>
      <c r="I414" s="21">
        <f t="shared" si="18"/>
        <v>139.08905376816719</v>
      </c>
    </row>
    <row r="415" spans="1:9">
      <c r="A415" s="22">
        <v>42661</v>
      </c>
      <c r="B415" s="21">
        <v>54.118664000000003</v>
      </c>
      <c r="C415" s="23">
        <v>19149500</v>
      </c>
      <c r="D415" s="24">
        <f t="shared" si="19"/>
        <v>-2.2570909921353841E-3</v>
      </c>
      <c r="E415" s="25">
        <f t="shared" si="20"/>
        <v>3728900</v>
      </c>
      <c r="F415" s="20">
        <v>1</v>
      </c>
      <c r="G415" s="20"/>
      <c r="I415" s="21">
        <f t="shared" si="18"/>
        <v>139.08960570673173</v>
      </c>
    </row>
    <row r="416" spans="1:9">
      <c r="A416" s="22">
        <v>42662</v>
      </c>
      <c r="B416" s="21">
        <v>53.996651</v>
      </c>
      <c r="C416" s="23">
        <v>22878400</v>
      </c>
      <c r="D416" s="24">
        <f t="shared" si="19"/>
        <v>-4.8788879899650016E-3</v>
      </c>
      <c r="E416" s="25">
        <f t="shared" si="20"/>
        <v>26577200</v>
      </c>
      <c r="F416" s="20">
        <v>1</v>
      </c>
      <c r="G416" s="20"/>
      <c r="I416" s="21">
        <f t="shared" si="18"/>
        <v>139.09015764748648</v>
      </c>
    </row>
    <row r="417" spans="1:9">
      <c r="A417" s="22">
        <v>42663</v>
      </c>
      <c r="B417" s="21">
        <v>53.733848999999999</v>
      </c>
      <c r="C417" s="23">
        <v>49455600</v>
      </c>
      <c r="D417" s="24">
        <f t="shared" si="19"/>
        <v>4.1234103402741959E-2</v>
      </c>
      <c r="E417" s="25">
        <f t="shared" si="20"/>
        <v>30576600</v>
      </c>
      <c r="F417" s="20">
        <v>1</v>
      </c>
      <c r="G417" s="20"/>
      <c r="I417" s="21">
        <f t="shared" si="18"/>
        <v>139.09070959043146</v>
      </c>
    </row>
    <row r="418" spans="1:9">
      <c r="A418" s="22">
        <v>42664</v>
      </c>
      <c r="B418" s="21">
        <v>55.995831000000003</v>
      </c>
      <c r="C418" s="23">
        <v>80032200</v>
      </c>
      <c r="D418" s="24">
        <f t="shared" si="19"/>
        <v>2.2212093319171761E-2</v>
      </c>
      <c r="E418" s="25">
        <f t="shared" si="20"/>
        <v>-25965200</v>
      </c>
      <c r="F418" s="20">
        <v>1</v>
      </c>
      <c r="G418" s="20"/>
      <c r="I418" s="21">
        <f t="shared" ref="I418:I481" si="21">I417*EXP($L$31*$L$33+$L$32*H418*SQRT($L$33))</f>
        <v>139.0912615355667</v>
      </c>
    </row>
    <row r="419" spans="1:9">
      <c r="A419" s="22">
        <v>42667</v>
      </c>
      <c r="B419" s="21">
        <v>57.253532</v>
      </c>
      <c r="C419" s="23">
        <v>54067000</v>
      </c>
      <c r="D419" s="24">
        <f t="shared" si="19"/>
        <v>-1.6391598538948899E-4</v>
      </c>
      <c r="E419" s="25">
        <f t="shared" si="20"/>
        <v>-18929800</v>
      </c>
      <c r="F419" s="20">
        <v>1</v>
      </c>
      <c r="G419" s="20"/>
      <c r="I419" s="21">
        <f t="shared" si="21"/>
        <v>139.09181348289218</v>
      </c>
    </row>
    <row r="420" spans="1:9">
      <c r="A420" s="22">
        <v>42668</v>
      </c>
      <c r="B420" s="21">
        <v>57.244148000000003</v>
      </c>
      <c r="C420" s="23">
        <v>35137200</v>
      </c>
      <c r="D420" s="24">
        <f t="shared" si="19"/>
        <v>-5.9202419412056869E-3</v>
      </c>
      <c r="E420" s="25">
        <f t="shared" si="20"/>
        <v>-5225600</v>
      </c>
      <c r="F420" s="20">
        <v>1</v>
      </c>
      <c r="G420" s="20"/>
      <c r="I420" s="21">
        <f t="shared" si="21"/>
        <v>139.09236543240792</v>
      </c>
    </row>
    <row r="421" spans="1:9">
      <c r="A421" s="22">
        <v>42669</v>
      </c>
      <c r="B421" s="21">
        <v>56.90625</v>
      </c>
      <c r="C421" s="23">
        <v>29911600</v>
      </c>
      <c r="D421" s="24">
        <f t="shared" si="19"/>
        <v>-8.7798958598569749E-3</v>
      </c>
      <c r="E421" s="25">
        <f t="shared" si="20"/>
        <v>-1431700</v>
      </c>
      <c r="F421" s="20">
        <v>1</v>
      </c>
      <c r="G421" s="20"/>
      <c r="I421" s="21">
        <f t="shared" si="21"/>
        <v>139.09291738411392</v>
      </c>
    </row>
    <row r="422" spans="1:9">
      <c r="A422" s="22">
        <v>42670</v>
      </c>
      <c r="B422" s="21">
        <v>56.408805999999998</v>
      </c>
      <c r="C422" s="23">
        <v>28479900</v>
      </c>
      <c r="D422" s="24">
        <f t="shared" si="19"/>
        <v>-3.8342972020306947E-3</v>
      </c>
      <c r="E422" s="25">
        <f t="shared" si="20"/>
        <v>5094800</v>
      </c>
      <c r="F422" s="20">
        <v>1</v>
      </c>
      <c r="G422" s="20"/>
      <c r="I422" s="21">
        <f t="shared" si="21"/>
        <v>139.09346933801021</v>
      </c>
    </row>
    <row r="423" spans="1:9">
      <c r="A423" s="22">
        <v>42671</v>
      </c>
      <c r="B423" s="21">
        <v>56.192931999999999</v>
      </c>
      <c r="C423" s="23">
        <v>33574700</v>
      </c>
      <c r="D423" s="24">
        <f t="shared" si="19"/>
        <v>8.3479208286350241E-4</v>
      </c>
      <c r="E423" s="25">
        <f t="shared" si="20"/>
        <v>-7140000</v>
      </c>
      <c r="F423" s="20">
        <v>1</v>
      </c>
      <c r="G423" s="20"/>
      <c r="I423" s="21">
        <f t="shared" si="21"/>
        <v>139.09402129409676</v>
      </c>
    </row>
    <row r="424" spans="1:9">
      <c r="A424" s="22">
        <v>42674</v>
      </c>
      <c r="B424" s="21">
        <v>56.239860999999998</v>
      </c>
      <c r="C424" s="23">
        <v>26434700</v>
      </c>
      <c r="D424" s="24">
        <f t="shared" si="19"/>
        <v>-2.0046088530261811E-3</v>
      </c>
      <c r="E424" s="25">
        <f t="shared" si="20"/>
        <v>-1901700</v>
      </c>
      <c r="F424" s="20">
        <v>1</v>
      </c>
      <c r="G424" s="20"/>
      <c r="I424" s="21">
        <f t="shared" si="21"/>
        <v>139.09457325237364</v>
      </c>
    </row>
    <row r="425" spans="1:9">
      <c r="A425" s="22">
        <v>42675</v>
      </c>
      <c r="B425" s="21">
        <v>56.127234999999999</v>
      </c>
      <c r="C425" s="23">
        <v>24533000</v>
      </c>
      <c r="D425" s="24">
        <f t="shared" si="19"/>
        <v>-6.2065557824073567E-3</v>
      </c>
      <c r="E425" s="25">
        <f t="shared" si="20"/>
        <v>-2386000</v>
      </c>
      <c r="F425" s="20">
        <v>1</v>
      </c>
      <c r="G425" s="20"/>
      <c r="I425" s="21">
        <f t="shared" si="21"/>
        <v>139.0951252128408</v>
      </c>
    </row>
    <row r="426" spans="1:9">
      <c r="A426" s="22">
        <v>42676</v>
      </c>
      <c r="B426" s="21">
        <v>55.779957000000003</v>
      </c>
      <c r="C426" s="23">
        <v>22147000</v>
      </c>
      <c r="D426" s="24">
        <f t="shared" si="19"/>
        <v>-3.7086642123059627E-3</v>
      </c>
      <c r="E426" s="25">
        <f t="shared" si="20"/>
        <v>-546600</v>
      </c>
      <c r="F426" s="20">
        <v>1</v>
      </c>
      <c r="G426" s="20"/>
      <c r="I426" s="21">
        <f t="shared" si="21"/>
        <v>139.09567717549828</v>
      </c>
    </row>
    <row r="427" spans="1:9">
      <c r="A427" s="22">
        <v>42677</v>
      </c>
      <c r="B427" s="21">
        <v>55.573470999999998</v>
      </c>
      <c r="C427" s="23">
        <v>21600400</v>
      </c>
      <c r="D427" s="24">
        <f t="shared" si="19"/>
        <v>-8.4803898981084726E-3</v>
      </c>
      <c r="E427" s="25">
        <f t="shared" si="20"/>
        <v>7096600</v>
      </c>
      <c r="F427" s="20">
        <v>1</v>
      </c>
      <c r="G427" s="20"/>
      <c r="I427" s="21">
        <f t="shared" si="21"/>
        <v>139.09622914034608</v>
      </c>
    </row>
    <row r="428" spans="1:9">
      <c r="A428" s="22">
        <v>42678</v>
      </c>
      <c r="B428" s="21">
        <v>55.104179000000002</v>
      </c>
      <c r="C428" s="23">
        <v>28697000</v>
      </c>
      <c r="D428" s="24">
        <f t="shared" si="19"/>
        <v>2.8710121975447467E-2</v>
      </c>
      <c r="E428" s="25">
        <f t="shared" si="20"/>
        <v>2967800</v>
      </c>
      <c r="F428" s="20">
        <v>1</v>
      </c>
      <c r="G428" s="20"/>
      <c r="I428" s="21">
        <f t="shared" si="21"/>
        <v>139.0967811073842</v>
      </c>
    </row>
    <row r="429" spans="1:9">
      <c r="A429" s="22">
        <v>42681</v>
      </c>
      <c r="B429" s="21">
        <v>56.709156</v>
      </c>
      <c r="C429" s="23">
        <v>31664800</v>
      </c>
      <c r="D429" s="24">
        <f t="shared" si="19"/>
        <v>8.2717848524831671E-4</v>
      </c>
      <c r="E429" s="25">
        <f t="shared" si="20"/>
        <v>-8729400</v>
      </c>
      <c r="F429" s="20">
        <v>1</v>
      </c>
      <c r="G429" s="20"/>
      <c r="I429" s="21">
        <f t="shared" si="21"/>
        <v>139.09733307661267</v>
      </c>
    </row>
    <row r="430" spans="1:9">
      <c r="A430" s="22">
        <v>42682</v>
      </c>
      <c r="B430" s="21">
        <v>56.756084000000001</v>
      </c>
      <c r="C430" s="23">
        <v>22935400</v>
      </c>
      <c r="D430" s="24">
        <f t="shared" si="19"/>
        <v>-4.9735957025007051E-3</v>
      </c>
      <c r="E430" s="25">
        <f t="shared" si="20"/>
        <v>26697100</v>
      </c>
      <c r="F430" s="20">
        <v>1</v>
      </c>
      <c r="G430" s="20"/>
      <c r="I430" s="21">
        <f t="shared" si="21"/>
        <v>139.09788504803149</v>
      </c>
    </row>
    <row r="431" spans="1:9">
      <c r="A431" s="22">
        <v>42683</v>
      </c>
      <c r="B431" s="21">
        <v>56.474502999999999</v>
      </c>
      <c r="C431" s="23">
        <v>49632500</v>
      </c>
      <c r="D431" s="24">
        <f t="shared" si="19"/>
        <v>-2.4733942272061361E-2</v>
      </c>
      <c r="E431" s="25">
        <f t="shared" si="20"/>
        <v>8189900</v>
      </c>
      <c r="F431" s="20">
        <v>1</v>
      </c>
      <c r="G431" s="20"/>
      <c r="I431" s="21">
        <f t="shared" si="21"/>
        <v>139.09843702164065</v>
      </c>
    </row>
    <row r="432" spans="1:9">
      <c r="A432" s="22">
        <v>42684</v>
      </c>
      <c r="B432" s="21">
        <v>55.094799000000002</v>
      </c>
      <c r="C432" s="23">
        <v>57822400</v>
      </c>
      <c r="D432" s="24">
        <f t="shared" si="19"/>
        <v>5.4365806884573613E-3</v>
      </c>
      <c r="E432" s="25">
        <f t="shared" si="20"/>
        <v>-19054600</v>
      </c>
      <c r="F432" s="20">
        <v>1</v>
      </c>
      <c r="G432" s="20"/>
      <c r="I432" s="21">
        <f t="shared" si="21"/>
        <v>139.09898899744016</v>
      </c>
    </row>
    <row r="433" spans="1:9">
      <c r="A433" s="22">
        <v>42685</v>
      </c>
      <c r="B433" s="21">
        <v>55.395142</v>
      </c>
      <c r="C433" s="23">
        <v>38767800</v>
      </c>
      <c r="D433" s="24">
        <f t="shared" si="19"/>
        <v>-1.5366653754768322E-2</v>
      </c>
      <c r="E433" s="25">
        <f t="shared" si="20"/>
        <v>2560600</v>
      </c>
      <c r="F433" s="20">
        <v>1</v>
      </c>
      <c r="G433" s="20"/>
      <c r="I433" s="21">
        <f t="shared" si="21"/>
        <v>139.09954097543005</v>
      </c>
    </row>
    <row r="434" spans="1:9">
      <c r="A434" s="22">
        <v>42688</v>
      </c>
      <c r="B434" s="21">
        <v>54.550410999999997</v>
      </c>
      <c r="C434" s="23">
        <v>41328400</v>
      </c>
      <c r="D434" s="24">
        <f t="shared" si="19"/>
        <v>1.9554809598097734E-2</v>
      </c>
      <c r="E434" s="25">
        <f t="shared" si="20"/>
        <v>-5424300</v>
      </c>
      <c r="F434" s="20">
        <v>1</v>
      </c>
      <c r="G434" s="20"/>
      <c r="I434" s="21">
        <f t="shared" si="21"/>
        <v>139.10009295561031</v>
      </c>
    </row>
    <row r="435" spans="1:9">
      <c r="A435" s="22">
        <v>42689</v>
      </c>
      <c r="B435" s="21">
        <v>55.627631999999998</v>
      </c>
      <c r="C435" s="23">
        <v>35904100</v>
      </c>
      <c r="D435" s="24">
        <f t="shared" si="19"/>
        <v>1.3162558527800176E-2</v>
      </c>
      <c r="E435" s="25">
        <f t="shared" si="20"/>
        <v>-8571600</v>
      </c>
      <c r="F435" s="20">
        <v>1</v>
      </c>
      <c r="G435" s="20"/>
      <c r="I435" s="21">
        <f t="shared" si="21"/>
        <v>139.10064493798097</v>
      </c>
    </row>
    <row r="436" spans="1:9">
      <c r="A436" s="22">
        <v>42690</v>
      </c>
      <c r="B436" s="21">
        <v>56.364674000000001</v>
      </c>
      <c r="C436" s="23">
        <v>27332500</v>
      </c>
      <c r="D436" s="24">
        <f t="shared" si="19"/>
        <v>1.6460452249956337E-2</v>
      </c>
      <c r="E436" s="25">
        <f t="shared" si="20"/>
        <v>4800200</v>
      </c>
      <c r="F436" s="20">
        <v>1</v>
      </c>
      <c r="G436" s="20"/>
      <c r="I436" s="21">
        <f t="shared" si="21"/>
        <v>139.10119692254204</v>
      </c>
    </row>
    <row r="437" spans="1:9">
      <c r="A437" s="22">
        <v>42691</v>
      </c>
      <c r="B437" s="21">
        <v>57.300139999999999</v>
      </c>
      <c r="C437" s="23">
        <v>32132700</v>
      </c>
      <c r="D437" s="24">
        <f t="shared" si="19"/>
        <v>-4.7937461916815836E-3</v>
      </c>
      <c r="E437" s="25">
        <f t="shared" si="20"/>
        <v>-4446400</v>
      </c>
      <c r="F437" s="20">
        <v>1</v>
      </c>
      <c r="G437" s="20"/>
      <c r="I437" s="21">
        <f t="shared" si="21"/>
        <v>139.10174890929352</v>
      </c>
    </row>
    <row r="438" spans="1:9">
      <c r="A438" s="22">
        <v>42692</v>
      </c>
      <c r="B438" s="21">
        <v>57.026114999999997</v>
      </c>
      <c r="C438" s="23">
        <v>27686300</v>
      </c>
      <c r="D438" s="24">
        <f t="shared" si="19"/>
        <v>8.4151303087385797E-3</v>
      </c>
      <c r="E438" s="25">
        <f t="shared" si="20"/>
        <v>-8033700</v>
      </c>
      <c r="F438" s="20">
        <v>1</v>
      </c>
      <c r="G438" s="20"/>
      <c r="I438" s="21">
        <f t="shared" si="21"/>
        <v>139.1023008982354</v>
      </c>
    </row>
    <row r="439" spans="1:9">
      <c r="A439" s="22">
        <v>42695</v>
      </c>
      <c r="B439" s="21">
        <v>57.508021999999997</v>
      </c>
      <c r="C439" s="23">
        <v>19652600</v>
      </c>
      <c r="D439" s="24">
        <f t="shared" si="19"/>
        <v>4.2628962382468055E-3</v>
      </c>
      <c r="E439" s="25">
        <f t="shared" si="20"/>
        <v>3554100</v>
      </c>
      <c r="F439" s="20">
        <v>1</v>
      </c>
      <c r="G439" s="20"/>
      <c r="I439" s="21">
        <f t="shared" si="21"/>
        <v>139.10285288936771</v>
      </c>
    </row>
    <row r="440" spans="1:9">
      <c r="A440" s="22">
        <v>42696</v>
      </c>
      <c r="B440" s="21">
        <v>57.753695999999998</v>
      </c>
      <c r="C440" s="23">
        <v>23206700</v>
      </c>
      <c r="D440" s="24">
        <f t="shared" si="19"/>
        <v>-1.1849819387498198E-2</v>
      </c>
      <c r="E440" s="25">
        <f t="shared" si="20"/>
        <v>-1357800</v>
      </c>
      <c r="F440" s="20">
        <v>1</v>
      </c>
      <c r="G440" s="20"/>
      <c r="I440" s="21">
        <f t="shared" si="21"/>
        <v>139.10340488269046</v>
      </c>
    </row>
    <row r="441" spans="1:9">
      <c r="A441" s="22">
        <v>42697</v>
      </c>
      <c r="B441" s="21">
        <v>57.073363999999998</v>
      </c>
      <c r="C441" s="23">
        <v>21848900</v>
      </c>
      <c r="D441" s="24">
        <f t="shared" si="19"/>
        <v>2.1499521296984526E-3</v>
      </c>
      <c r="E441" s="25">
        <f t="shared" si="20"/>
        <v>-13439300</v>
      </c>
      <c r="F441" s="20">
        <v>1</v>
      </c>
      <c r="G441" s="20"/>
      <c r="I441" s="21">
        <f t="shared" si="21"/>
        <v>139.10395687820363</v>
      </c>
    </row>
    <row r="442" spans="1:9">
      <c r="A442" s="22">
        <v>42699</v>
      </c>
      <c r="B442" s="21">
        <v>57.196201000000002</v>
      </c>
      <c r="C442" s="23">
        <v>8409600</v>
      </c>
      <c r="D442" s="24">
        <f t="shared" si="19"/>
        <v>1.3207536595512359E-3</v>
      </c>
      <c r="E442" s="25">
        <f t="shared" si="20"/>
        <v>12323000</v>
      </c>
      <c r="F442" s="20">
        <v>1</v>
      </c>
      <c r="G442" s="20"/>
      <c r="I442" s="21">
        <f t="shared" si="21"/>
        <v>139.10450887590727</v>
      </c>
    </row>
    <row r="443" spans="1:9">
      <c r="A443" s="22">
        <v>42702</v>
      </c>
      <c r="B443" s="21">
        <v>57.271793000000002</v>
      </c>
      <c r="C443" s="23">
        <v>20732600</v>
      </c>
      <c r="D443" s="24">
        <f t="shared" si="19"/>
        <v>7.8883059611460603E-3</v>
      </c>
      <c r="E443" s="25">
        <f t="shared" si="20"/>
        <v>1634100</v>
      </c>
      <c r="F443" s="20">
        <v>1</v>
      </c>
      <c r="G443" s="20"/>
      <c r="I443" s="21">
        <f t="shared" si="21"/>
        <v>139.10506087580137</v>
      </c>
    </row>
    <row r="444" spans="1:9">
      <c r="A444" s="22">
        <v>42703</v>
      </c>
      <c r="B444" s="21">
        <v>57.725357000000002</v>
      </c>
      <c r="C444" s="23">
        <v>22366700</v>
      </c>
      <c r="D444" s="24">
        <f t="shared" si="19"/>
        <v>-1.3679648770969496E-2</v>
      </c>
      <c r="E444" s="25">
        <f t="shared" si="20"/>
        <v>12288700</v>
      </c>
      <c r="F444" s="20">
        <v>1</v>
      </c>
      <c r="G444" s="20"/>
      <c r="I444" s="21">
        <f t="shared" si="21"/>
        <v>139.10561287788593</v>
      </c>
    </row>
    <row r="445" spans="1:9">
      <c r="A445" s="22">
        <v>42704</v>
      </c>
      <c r="B445" s="21">
        <v>56.941071000000001</v>
      </c>
      <c r="C445" s="23">
        <v>34655400</v>
      </c>
      <c r="D445" s="24">
        <f t="shared" si="19"/>
        <v>-1.7747053059727808E-2</v>
      </c>
      <c r="E445" s="25">
        <f t="shared" si="20"/>
        <v>-113300</v>
      </c>
      <c r="F445" s="20">
        <v>1</v>
      </c>
      <c r="G445" s="20"/>
      <c r="I445" s="21">
        <f t="shared" si="21"/>
        <v>139.10616488216095</v>
      </c>
    </row>
    <row r="446" spans="1:9">
      <c r="A446" s="22">
        <v>42705</v>
      </c>
      <c r="B446" s="21">
        <v>55.939449000000003</v>
      </c>
      <c r="C446" s="23">
        <v>34542100</v>
      </c>
      <c r="D446" s="24">
        <f t="shared" si="19"/>
        <v>8.4428891859689701E-4</v>
      </c>
      <c r="E446" s="25">
        <f t="shared" si="20"/>
        <v>-9026400</v>
      </c>
      <c r="F446" s="20">
        <v>1</v>
      </c>
      <c r="G446" s="20"/>
      <c r="I446" s="21">
        <f t="shared" si="21"/>
        <v>139.10671688862647</v>
      </c>
    </row>
    <row r="447" spans="1:9">
      <c r="A447" s="22">
        <v>42706</v>
      </c>
      <c r="B447" s="21">
        <v>55.986697999999997</v>
      </c>
      <c r="C447" s="23">
        <v>25515700</v>
      </c>
      <c r="D447" s="24">
        <f t="shared" si="19"/>
        <v>1.6238769788901021E-2</v>
      </c>
      <c r="E447" s="25">
        <f t="shared" si="20"/>
        <v>-1963000</v>
      </c>
      <c r="F447" s="20">
        <v>1</v>
      </c>
      <c r="G447" s="20"/>
      <c r="I447" s="21">
        <f t="shared" si="21"/>
        <v>139.10726889728247</v>
      </c>
    </row>
    <row r="448" spans="1:9">
      <c r="A448" s="22">
        <v>42709</v>
      </c>
      <c r="B448" s="21">
        <v>56.903275000000001</v>
      </c>
      <c r="C448" s="23">
        <v>23552700</v>
      </c>
      <c r="D448" s="24">
        <f t="shared" si="19"/>
        <v>-4.4936016222929835E-3</v>
      </c>
      <c r="E448" s="25">
        <f t="shared" si="20"/>
        <v>-3645700</v>
      </c>
      <c r="F448" s="20">
        <v>1</v>
      </c>
      <c r="G448" s="20"/>
      <c r="I448" s="21">
        <f t="shared" si="21"/>
        <v>139.10782090812899</v>
      </c>
    </row>
    <row r="449" spans="1:9">
      <c r="A449" s="22">
        <v>42710</v>
      </c>
      <c r="B449" s="21">
        <v>56.648147999999999</v>
      </c>
      <c r="C449" s="23">
        <v>19907000</v>
      </c>
      <c r="D449" s="24">
        <f t="shared" si="19"/>
        <v>2.3410200522157924E-2</v>
      </c>
      <c r="E449" s="25">
        <f t="shared" si="20"/>
        <v>10902000</v>
      </c>
      <c r="F449" s="20">
        <v>1</v>
      </c>
      <c r="G449" s="20"/>
      <c r="I449" s="21">
        <f t="shared" si="21"/>
        <v>139.10837292116599</v>
      </c>
    </row>
    <row r="450" spans="1:9">
      <c r="A450" s="22">
        <v>42711</v>
      </c>
      <c r="B450" s="21">
        <v>57.989936999999998</v>
      </c>
      <c r="C450" s="23">
        <v>30809000</v>
      </c>
      <c r="D450" s="24">
        <f t="shared" si="19"/>
        <v>-5.8834638784353785E-3</v>
      </c>
      <c r="E450" s="25">
        <f t="shared" si="20"/>
        <v>-9588200</v>
      </c>
      <c r="F450" s="20">
        <v>1</v>
      </c>
      <c r="G450" s="20"/>
      <c r="I450" s="21">
        <f t="shared" si="21"/>
        <v>139.10892493639355</v>
      </c>
    </row>
    <row r="451" spans="1:9">
      <c r="A451" s="22">
        <v>42712</v>
      </c>
      <c r="B451" s="21">
        <v>57.649757000000001</v>
      </c>
      <c r="C451" s="23">
        <v>21220800</v>
      </c>
      <c r="D451" s="24">
        <f t="shared" ref="D451:D514" si="22">LN(B452/B451)</f>
        <v>1.5612831168618254E-2</v>
      </c>
      <c r="E451" s="25">
        <f t="shared" ref="E451:E514" si="23">C452-C451</f>
        <v>6128600</v>
      </c>
      <c r="F451" s="20">
        <v>1</v>
      </c>
      <c r="G451" s="20"/>
      <c r="I451" s="21">
        <f t="shared" si="21"/>
        <v>139.10947695381162</v>
      </c>
    </row>
    <row r="452" spans="1:9">
      <c r="A452" s="22">
        <v>42713</v>
      </c>
      <c r="B452" s="21">
        <v>58.556896000000002</v>
      </c>
      <c r="C452" s="23">
        <v>27349400</v>
      </c>
      <c r="D452" s="24">
        <f t="shared" si="22"/>
        <v>3.2220239421265058E-3</v>
      </c>
      <c r="E452" s="25">
        <f t="shared" si="23"/>
        <v>-7151300</v>
      </c>
      <c r="F452" s="20">
        <v>1</v>
      </c>
      <c r="G452" s="20"/>
      <c r="I452" s="21">
        <f t="shared" si="21"/>
        <v>139.11002897342024</v>
      </c>
    </row>
    <row r="453" spans="1:9">
      <c r="A453" s="22">
        <v>42716</v>
      </c>
      <c r="B453" s="21">
        <v>58.745871999999999</v>
      </c>
      <c r="C453" s="23">
        <v>20198100</v>
      </c>
      <c r="D453" s="24">
        <f t="shared" si="22"/>
        <v>1.294466842241331E-2</v>
      </c>
      <c r="E453" s="25">
        <f t="shared" si="23"/>
        <v>15520800</v>
      </c>
      <c r="F453" s="20">
        <v>1</v>
      </c>
      <c r="G453" s="20"/>
      <c r="I453" s="21">
        <f t="shared" si="21"/>
        <v>139.11058099521938</v>
      </c>
    </row>
    <row r="454" spans="1:9">
      <c r="A454" s="22">
        <v>42717</v>
      </c>
      <c r="B454" s="21">
        <v>59.511260999999998</v>
      </c>
      <c r="C454" s="23">
        <v>35718900</v>
      </c>
      <c r="D454" s="24">
        <f t="shared" si="22"/>
        <v>-4.7748159161737393E-3</v>
      </c>
      <c r="E454" s="25">
        <f t="shared" si="23"/>
        <v>-5366200</v>
      </c>
      <c r="F454" s="20">
        <v>1</v>
      </c>
      <c r="G454" s="20"/>
      <c r="I454" s="21">
        <f t="shared" si="21"/>
        <v>139.11113301920909</v>
      </c>
    </row>
    <row r="455" spans="1:9">
      <c r="A455" s="22">
        <v>42718</v>
      </c>
      <c r="B455" s="21">
        <v>59.227783000000002</v>
      </c>
      <c r="C455" s="23">
        <v>30352700</v>
      </c>
      <c r="D455" s="24">
        <f t="shared" si="22"/>
        <v>-1.596707743164903E-3</v>
      </c>
      <c r="E455" s="25">
        <f t="shared" si="23"/>
        <v>-2682800</v>
      </c>
      <c r="F455" s="20">
        <v>1</v>
      </c>
      <c r="G455" s="20"/>
      <c r="I455" s="21">
        <f t="shared" si="21"/>
        <v>139.11168504538935</v>
      </c>
    </row>
    <row r="456" spans="1:9">
      <c r="A456" s="22">
        <v>42719</v>
      </c>
      <c r="B456" s="21">
        <v>59.133288999999998</v>
      </c>
      <c r="C456" s="23">
        <v>27669900</v>
      </c>
      <c r="D456" s="24">
        <f t="shared" si="22"/>
        <v>-4.4843213778294156E-3</v>
      </c>
      <c r="E456" s="25">
        <f t="shared" si="23"/>
        <v>14783200</v>
      </c>
      <c r="F456" s="20">
        <v>1</v>
      </c>
      <c r="G456" s="20"/>
      <c r="I456" s="21">
        <f t="shared" si="21"/>
        <v>139.11223707376018</v>
      </c>
    </row>
    <row r="457" spans="1:9">
      <c r="A457" s="22">
        <v>42720</v>
      </c>
      <c r="B457" s="21">
        <v>58.86871</v>
      </c>
      <c r="C457" s="23">
        <v>42453100</v>
      </c>
      <c r="D457" s="24">
        <f t="shared" si="22"/>
        <v>2.096640213326981E-2</v>
      </c>
      <c r="E457" s="25">
        <f t="shared" si="23"/>
        <v>-8114900</v>
      </c>
      <c r="F457" s="20">
        <v>1</v>
      </c>
      <c r="G457" s="20"/>
      <c r="I457" s="21">
        <f t="shared" si="21"/>
        <v>139.11278910432159</v>
      </c>
    </row>
    <row r="458" spans="1:9">
      <c r="A458" s="22">
        <v>42723</v>
      </c>
      <c r="B458" s="21">
        <v>60.116005000000001</v>
      </c>
      <c r="C458" s="23">
        <v>34338200</v>
      </c>
      <c r="D458" s="24">
        <f t="shared" si="22"/>
        <v>-1.258160133481834E-3</v>
      </c>
      <c r="E458" s="25">
        <f t="shared" si="23"/>
        <v>-8309800</v>
      </c>
      <c r="F458" s="20">
        <v>1</v>
      </c>
      <c r="G458" s="20"/>
      <c r="I458" s="21">
        <f t="shared" si="21"/>
        <v>139.1133411370736</v>
      </c>
    </row>
    <row r="459" spans="1:9">
      <c r="A459" s="22">
        <v>42724</v>
      </c>
      <c r="B459" s="21">
        <v>60.040416999999998</v>
      </c>
      <c r="C459" s="23">
        <v>26028400</v>
      </c>
      <c r="D459" s="24">
        <f t="shared" si="22"/>
        <v>0</v>
      </c>
      <c r="E459" s="25">
        <f t="shared" si="23"/>
        <v>-8932100</v>
      </c>
      <c r="F459" s="20">
        <v>1</v>
      </c>
      <c r="G459" s="20"/>
      <c r="I459" s="21">
        <f t="shared" si="21"/>
        <v>139.11389317201622</v>
      </c>
    </row>
    <row r="460" spans="1:9">
      <c r="A460" s="22">
        <v>42725</v>
      </c>
      <c r="B460" s="21">
        <v>60.040416999999998</v>
      </c>
      <c r="C460" s="23">
        <v>17096300</v>
      </c>
      <c r="D460" s="24">
        <f t="shared" si="22"/>
        <v>1.5754811991009003E-4</v>
      </c>
      <c r="E460" s="25">
        <f t="shared" si="23"/>
        <v>5080300</v>
      </c>
      <c r="F460" s="20">
        <v>1</v>
      </c>
      <c r="G460" s="20"/>
      <c r="I460" s="21">
        <f t="shared" si="21"/>
        <v>139.11444520914944</v>
      </c>
    </row>
    <row r="461" spans="1:9">
      <c r="A461" s="22">
        <v>42726</v>
      </c>
      <c r="B461" s="21">
        <v>60.049877000000002</v>
      </c>
      <c r="C461" s="23">
        <v>22176600</v>
      </c>
      <c r="D461" s="24">
        <f t="shared" si="22"/>
        <v>-4.8901153331598751E-3</v>
      </c>
      <c r="E461" s="25">
        <f t="shared" si="23"/>
        <v>-9772800</v>
      </c>
      <c r="F461" s="20">
        <v>1</v>
      </c>
      <c r="G461" s="20"/>
      <c r="I461" s="21">
        <f t="shared" si="21"/>
        <v>139.11499724847326</v>
      </c>
    </row>
    <row r="462" spans="1:9">
      <c r="A462" s="22">
        <v>42727</v>
      </c>
      <c r="B462" s="21">
        <v>59.756943</v>
      </c>
      <c r="C462" s="23">
        <v>12403800</v>
      </c>
      <c r="D462" s="24">
        <f t="shared" si="22"/>
        <v>6.3222870462476108E-4</v>
      </c>
      <c r="E462" s="25">
        <f t="shared" si="23"/>
        <v>-640600</v>
      </c>
      <c r="F462" s="20">
        <v>1</v>
      </c>
      <c r="G462" s="20"/>
      <c r="I462" s="21">
        <f t="shared" si="21"/>
        <v>139.11554928998771</v>
      </c>
    </row>
    <row r="463" spans="1:9">
      <c r="A463" s="22">
        <v>42731</v>
      </c>
      <c r="B463" s="21">
        <v>59.794735000000003</v>
      </c>
      <c r="C463" s="23">
        <v>11763200</v>
      </c>
      <c r="D463" s="24">
        <f t="shared" si="22"/>
        <v>-4.5932943851405188E-3</v>
      </c>
      <c r="E463" s="25">
        <f t="shared" si="23"/>
        <v>2890100</v>
      </c>
      <c r="F463" s="20">
        <v>1</v>
      </c>
      <c r="G463" s="20"/>
      <c r="I463" s="21">
        <f t="shared" si="21"/>
        <v>139.1161013336928</v>
      </c>
    </row>
    <row r="464" spans="1:9">
      <c r="A464" s="22">
        <v>42732</v>
      </c>
      <c r="B464" s="21">
        <v>59.520710000000001</v>
      </c>
      <c r="C464" s="23">
        <v>14653300</v>
      </c>
      <c r="D464" s="24">
        <f t="shared" si="22"/>
        <v>-1.4297175542953779E-3</v>
      </c>
      <c r="E464" s="25">
        <f t="shared" si="23"/>
        <v>-4402700</v>
      </c>
      <c r="F464" s="20">
        <v>1</v>
      </c>
      <c r="G464" s="20"/>
      <c r="I464" s="21">
        <f t="shared" si="21"/>
        <v>139.11665337958851</v>
      </c>
    </row>
    <row r="465" spans="1:9">
      <c r="A465" s="22">
        <v>42733</v>
      </c>
      <c r="B465" s="21">
        <v>59.435673000000001</v>
      </c>
      <c r="C465" s="23">
        <v>10250600</v>
      </c>
      <c r="D465" s="24">
        <f t="shared" si="22"/>
        <v>-1.2156418519510815E-2</v>
      </c>
      <c r="E465" s="25">
        <f t="shared" si="23"/>
        <v>15329300</v>
      </c>
      <c r="F465" s="20">
        <v>1</v>
      </c>
      <c r="G465" s="20"/>
      <c r="I465" s="21">
        <f t="shared" si="21"/>
        <v>139.11720542767489</v>
      </c>
    </row>
    <row r="466" spans="1:9">
      <c r="A466" s="22">
        <v>42734</v>
      </c>
      <c r="B466" s="21">
        <v>58.717522000000002</v>
      </c>
      <c r="C466" s="23">
        <v>25579900</v>
      </c>
      <c r="D466" s="24">
        <f t="shared" si="22"/>
        <v>7.0558483456131804E-3</v>
      </c>
      <c r="E466" s="25">
        <f t="shared" si="23"/>
        <v>-4885800</v>
      </c>
      <c r="F466" s="20">
        <v>1</v>
      </c>
      <c r="G466" s="20"/>
      <c r="I466" s="21">
        <f t="shared" si="21"/>
        <v>139.11775747795193</v>
      </c>
    </row>
    <row r="467" spans="1:9">
      <c r="A467" s="22">
        <v>42738</v>
      </c>
      <c r="B467" s="21">
        <v>59.133288999999998</v>
      </c>
      <c r="C467" s="23">
        <v>20694100</v>
      </c>
      <c r="D467" s="24">
        <f t="shared" si="22"/>
        <v>-4.4843213778294156E-3</v>
      </c>
      <c r="E467" s="25">
        <f t="shared" si="23"/>
        <v>645900</v>
      </c>
      <c r="F467" s="20">
        <v>1</v>
      </c>
      <c r="G467" s="20"/>
      <c r="I467" s="21">
        <f t="shared" si="21"/>
        <v>139.11830953041962</v>
      </c>
    </row>
    <row r="468" spans="1:9">
      <c r="A468" s="22">
        <v>42739</v>
      </c>
      <c r="B468" s="21">
        <v>58.86871</v>
      </c>
      <c r="C468" s="23">
        <v>21340000</v>
      </c>
      <c r="D468" s="24">
        <f t="shared" si="22"/>
        <v>0</v>
      </c>
      <c r="E468" s="25">
        <f t="shared" si="23"/>
        <v>3536000</v>
      </c>
      <c r="F468" s="20">
        <v>1</v>
      </c>
      <c r="G468" s="20"/>
      <c r="I468" s="21">
        <f t="shared" si="21"/>
        <v>139.11886158507801</v>
      </c>
    </row>
    <row r="469" spans="1:9">
      <c r="A469" s="22">
        <v>42740</v>
      </c>
      <c r="B469" s="21">
        <v>58.86871</v>
      </c>
      <c r="C469" s="23">
        <v>24876000</v>
      </c>
      <c r="D469" s="24">
        <f t="shared" si="22"/>
        <v>8.630430007330072E-3</v>
      </c>
      <c r="E469" s="25">
        <f t="shared" si="23"/>
        <v>-4953100</v>
      </c>
      <c r="F469" s="20">
        <v>1</v>
      </c>
      <c r="G469" s="20"/>
      <c r="I469" s="21">
        <f t="shared" si="21"/>
        <v>139.11941364192708</v>
      </c>
    </row>
    <row r="470" spans="1:9">
      <c r="A470" s="22">
        <v>42741</v>
      </c>
      <c r="B470" s="21">
        <v>59.378971</v>
      </c>
      <c r="C470" s="23">
        <v>19922900</v>
      </c>
      <c r="D470" s="24">
        <f t="shared" si="22"/>
        <v>-3.187751047522734E-3</v>
      </c>
      <c r="E470" s="25">
        <f t="shared" si="23"/>
        <v>459800</v>
      </c>
      <c r="F470" s="20">
        <v>1</v>
      </c>
      <c r="G470" s="20"/>
      <c r="I470" s="21">
        <f t="shared" si="21"/>
        <v>139.11996570096684</v>
      </c>
    </row>
    <row r="471" spans="1:9">
      <c r="A471" s="22">
        <v>42744</v>
      </c>
      <c r="B471" s="21">
        <v>59.189987000000002</v>
      </c>
      <c r="C471" s="23">
        <v>20382700</v>
      </c>
      <c r="D471" s="24">
        <f t="shared" si="22"/>
        <v>-3.1939555533410394E-4</v>
      </c>
      <c r="E471" s="25">
        <f t="shared" si="23"/>
        <v>-1789700</v>
      </c>
      <c r="F471" s="20">
        <v>1</v>
      </c>
      <c r="G471" s="20"/>
      <c r="I471" s="21">
        <f t="shared" si="21"/>
        <v>139.1205177621973</v>
      </c>
    </row>
    <row r="472" spans="1:9">
      <c r="A472" s="22">
        <v>42745</v>
      </c>
      <c r="B472" s="21">
        <v>59.171084999999998</v>
      </c>
      <c r="C472" s="23">
        <v>18593000</v>
      </c>
      <c r="D472" s="24">
        <f t="shared" si="22"/>
        <v>9.0612582788648123E-3</v>
      </c>
      <c r="E472" s="25">
        <f t="shared" si="23"/>
        <v>2924300</v>
      </c>
      <c r="F472" s="20">
        <v>1</v>
      </c>
      <c r="G472" s="20"/>
      <c r="I472" s="21">
        <f t="shared" si="21"/>
        <v>139.12106982561846</v>
      </c>
    </row>
    <row r="473" spans="1:9">
      <c r="A473" s="22">
        <v>42746</v>
      </c>
      <c r="B473" s="21">
        <v>59.709685999999998</v>
      </c>
      <c r="C473" s="23">
        <v>21517300</v>
      </c>
      <c r="D473" s="24">
        <f t="shared" si="22"/>
        <v>-9.2209605140577203E-3</v>
      </c>
      <c r="E473" s="25">
        <f t="shared" si="23"/>
        <v>-549100</v>
      </c>
      <c r="F473" s="20">
        <v>1</v>
      </c>
      <c r="G473" s="20"/>
      <c r="I473" s="21">
        <f t="shared" si="21"/>
        <v>139.12162189123035</v>
      </c>
    </row>
    <row r="474" spans="1:9">
      <c r="A474" s="22">
        <v>42747</v>
      </c>
      <c r="B474" s="21">
        <v>59.161636000000001</v>
      </c>
      <c r="C474" s="23">
        <v>20968200</v>
      </c>
      <c r="D474" s="24">
        <f t="shared" si="22"/>
        <v>1.436537802539763E-3</v>
      </c>
      <c r="E474" s="25">
        <f t="shared" si="23"/>
        <v>-1545900</v>
      </c>
      <c r="F474" s="20">
        <v>1</v>
      </c>
      <c r="G474" s="20"/>
      <c r="I474" s="21">
        <f t="shared" si="21"/>
        <v>139.12217395903298</v>
      </c>
    </row>
    <row r="475" spans="1:9">
      <c r="A475" s="22">
        <v>42748</v>
      </c>
      <c r="B475" s="21">
        <v>59.246684999999999</v>
      </c>
      <c r="C475" s="23">
        <v>19422300</v>
      </c>
      <c r="D475" s="24">
        <f t="shared" si="22"/>
        <v>-2.7150746887982611E-3</v>
      </c>
      <c r="E475" s="25">
        <f t="shared" si="23"/>
        <v>1241700</v>
      </c>
      <c r="F475" s="20">
        <v>1</v>
      </c>
      <c r="G475" s="20"/>
      <c r="I475" s="21">
        <f t="shared" si="21"/>
        <v>139.12272602902632</v>
      </c>
    </row>
    <row r="476" spans="1:9">
      <c r="A476" s="22">
        <v>42752</v>
      </c>
      <c r="B476" s="21">
        <v>59.086044000000001</v>
      </c>
      <c r="C476" s="23">
        <v>20664000</v>
      </c>
      <c r="D476" s="24">
        <f t="shared" si="22"/>
        <v>-4.7987308179068324E-4</v>
      </c>
      <c r="E476" s="25">
        <f t="shared" si="23"/>
        <v>-993900</v>
      </c>
      <c r="F476" s="20">
        <v>1</v>
      </c>
      <c r="G476" s="20"/>
      <c r="I476" s="21">
        <f t="shared" si="21"/>
        <v>139.12327810121042</v>
      </c>
    </row>
    <row r="477" spans="1:9">
      <c r="A477" s="22">
        <v>42753</v>
      </c>
      <c r="B477" s="21">
        <v>59.057696999999997</v>
      </c>
      <c r="C477" s="23">
        <v>19670100</v>
      </c>
      <c r="D477" s="24">
        <f t="shared" si="22"/>
        <v>-3.2051712012308789E-3</v>
      </c>
      <c r="E477" s="25">
        <f t="shared" si="23"/>
        <v>-1218400</v>
      </c>
      <c r="F477" s="20">
        <v>1</v>
      </c>
      <c r="G477" s="20"/>
      <c r="I477" s="21">
        <f t="shared" si="21"/>
        <v>139.12383017558528</v>
      </c>
    </row>
    <row r="478" spans="1:9">
      <c r="A478" s="22">
        <v>42754</v>
      </c>
      <c r="B478" s="21">
        <v>58.86871</v>
      </c>
      <c r="C478" s="23">
        <v>18451700</v>
      </c>
      <c r="D478" s="24">
        <f t="shared" si="22"/>
        <v>7.0377909669801257E-3</v>
      </c>
      <c r="E478" s="25">
        <f t="shared" si="23"/>
        <v>11761800</v>
      </c>
      <c r="F478" s="20">
        <v>1</v>
      </c>
      <c r="G478" s="20"/>
      <c r="I478" s="21">
        <f t="shared" si="21"/>
        <v>139.12438225215089</v>
      </c>
    </row>
    <row r="479" spans="1:9">
      <c r="A479" s="22">
        <v>42755</v>
      </c>
      <c r="B479" s="21">
        <v>59.284477000000003</v>
      </c>
      <c r="C479" s="23">
        <v>30213500</v>
      </c>
      <c r="D479" s="24">
        <f t="shared" si="22"/>
        <v>3.5005175298943986E-3</v>
      </c>
      <c r="E479" s="25">
        <f t="shared" si="23"/>
        <v>-7115900</v>
      </c>
      <c r="F479" s="20">
        <v>1</v>
      </c>
      <c r="G479" s="20"/>
      <c r="I479" s="21">
        <f t="shared" si="21"/>
        <v>139.12493433090728</v>
      </c>
    </row>
    <row r="480" spans="1:9">
      <c r="A480" s="22">
        <v>42758</v>
      </c>
      <c r="B480" s="21">
        <v>59.492367000000002</v>
      </c>
      <c r="C480" s="23">
        <v>23097600</v>
      </c>
      <c r="D480" s="24">
        <f t="shared" si="22"/>
        <v>8.855245939413052E-3</v>
      </c>
      <c r="E480" s="25">
        <f t="shared" si="23"/>
        <v>1575300</v>
      </c>
      <c r="F480" s="20">
        <v>1</v>
      </c>
      <c r="G480" s="20"/>
      <c r="I480" s="21">
        <f t="shared" si="21"/>
        <v>139.12548641185444</v>
      </c>
    </row>
    <row r="481" spans="1:9">
      <c r="A481" s="22">
        <v>42759</v>
      </c>
      <c r="B481" s="21">
        <v>60.021526000000001</v>
      </c>
      <c r="C481" s="23">
        <v>24672900</v>
      </c>
      <c r="D481" s="24">
        <f t="shared" si="22"/>
        <v>2.5155463948327013E-3</v>
      </c>
      <c r="E481" s="25">
        <f t="shared" si="23"/>
        <v>-1000200</v>
      </c>
      <c r="F481" s="20">
        <v>1</v>
      </c>
      <c r="G481" s="20"/>
      <c r="I481" s="21">
        <f t="shared" si="21"/>
        <v>139.1260384949924</v>
      </c>
    </row>
    <row r="482" spans="1:9">
      <c r="A482" s="22">
        <v>42760</v>
      </c>
      <c r="B482" s="21">
        <v>60.172702999999998</v>
      </c>
      <c r="C482" s="23">
        <v>23672700</v>
      </c>
      <c r="D482" s="24">
        <f t="shared" si="22"/>
        <v>9.2224404235437662E-3</v>
      </c>
      <c r="E482" s="25">
        <f t="shared" si="23"/>
        <v>19881900</v>
      </c>
      <c r="F482" s="20">
        <v>1</v>
      </c>
      <c r="G482" s="20"/>
      <c r="I482" s="21">
        <f t="shared" ref="I482:I545" si="24">I481*EXP($L$31*$L$33+$L$32*H482*SQRT($L$33))</f>
        <v>139.12659058032116</v>
      </c>
    </row>
    <row r="483" spans="1:9">
      <c r="A483" s="22">
        <v>42761</v>
      </c>
      <c r="B483" s="21">
        <v>60.730209000000002</v>
      </c>
      <c r="C483" s="23">
        <v>43554600</v>
      </c>
      <c r="D483" s="24">
        <f t="shared" si="22"/>
        <v>2.3222882777023501E-2</v>
      </c>
      <c r="E483" s="25">
        <f t="shared" si="23"/>
        <v>1263400</v>
      </c>
      <c r="F483" s="20">
        <v>1</v>
      </c>
      <c r="G483" s="20"/>
      <c r="I483" s="21">
        <f t="shared" si="24"/>
        <v>139.12714266784073</v>
      </c>
    </row>
    <row r="484" spans="1:9">
      <c r="A484" s="22">
        <v>42762</v>
      </c>
      <c r="B484" s="21">
        <v>62.157043000000002</v>
      </c>
      <c r="C484" s="23">
        <v>44818000</v>
      </c>
      <c r="D484" s="24">
        <f t="shared" si="22"/>
        <v>-9.9306977116690263E-3</v>
      </c>
      <c r="E484" s="25">
        <f t="shared" si="23"/>
        <v>-13166600</v>
      </c>
      <c r="F484" s="20">
        <v>1</v>
      </c>
      <c r="G484" s="20"/>
      <c r="I484" s="21">
        <f t="shared" si="24"/>
        <v>139.1276947575511</v>
      </c>
    </row>
    <row r="485" spans="1:9">
      <c r="A485" s="22">
        <v>42765</v>
      </c>
      <c r="B485" s="21">
        <v>61.542834999999997</v>
      </c>
      <c r="C485" s="23">
        <v>31651400</v>
      </c>
      <c r="D485" s="24">
        <f t="shared" si="22"/>
        <v>-7.3970520980604342E-3</v>
      </c>
      <c r="E485" s="25">
        <f t="shared" si="23"/>
        <v>-6380900</v>
      </c>
      <c r="F485" s="20">
        <v>1</v>
      </c>
      <c r="G485" s="20"/>
      <c r="I485" s="21">
        <f t="shared" si="24"/>
        <v>139.1282468494523</v>
      </c>
    </row>
    <row r="486" spans="1:9">
      <c r="A486" s="22">
        <v>42766</v>
      </c>
      <c r="B486" s="21">
        <v>61.089278999999998</v>
      </c>
      <c r="C486" s="23">
        <v>25270500</v>
      </c>
      <c r="D486" s="24">
        <f t="shared" si="22"/>
        <v>-1.6689004479861578E-2</v>
      </c>
      <c r="E486" s="25">
        <f t="shared" si="23"/>
        <v>14401000</v>
      </c>
      <c r="F486" s="20">
        <v>1</v>
      </c>
      <c r="G486" s="20"/>
      <c r="I486" s="21">
        <f t="shared" si="24"/>
        <v>139.12879894354433</v>
      </c>
    </row>
    <row r="487" spans="1:9">
      <c r="A487" s="22">
        <v>42767</v>
      </c>
      <c r="B487" s="21">
        <v>60.078220000000002</v>
      </c>
      <c r="C487" s="23">
        <v>39671500</v>
      </c>
      <c r="D487" s="24">
        <f t="shared" si="22"/>
        <v>-6.4696762184890729E-3</v>
      </c>
      <c r="E487" s="25">
        <f t="shared" si="23"/>
        <v>6155500</v>
      </c>
      <c r="F487" s="20">
        <v>1</v>
      </c>
      <c r="G487" s="20"/>
      <c r="I487" s="21">
        <f t="shared" si="24"/>
        <v>139.12935103982718</v>
      </c>
    </row>
    <row r="488" spans="1:9">
      <c r="A488" s="22">
        <v>42768</v>
      </c>
      <c r="B488" s="21">
        <v>59.690787999999998</v>
      </c>
      <c r="C488" s="23">
        <v>45827000</v>
      </c>
      <c r="D488" s="24">
        <f t="shared" si="22"/>
        <v>8.0411073075126009E-3</v>
      </c>
      <c r="E488" s="25">
        <f t="shared" si="23"/>
        <v>-15525200</v>
      </c>
      <c r="F488" s="20">
        <v>1</v>
      </c>
      <c r="G488" s="20"/>
      <c r="I488" s="21">
        <f t="shared" si="24"/>
        <v>139.1299031383009</v>
      </c>
    </row>
    <row r="489" spans="1:9">
      <c r="A489" s="22">
        <v>42769</v>
      </c>
      <c r="B489" s="21">
        <v>60.172702999999998</v>
      </c>
      <c r="C489" s="23">
        <v>30301800</v>
      </c>
      <c r="D489" s="24">
        <f t="shared" si="22"/>
        <v>-6.2832270117336238E-4</v>
      </c>
      <c r="E489" s="25">
        <f t="shared" si="23"/>
        <v>-10505400</v>
      </c>
      <c r="F489" s="20">
        <v>1</v>
      </c>
      <c r="G489" s="20"/>
      <c r="I489" s="21">
        <f t="shared" si="24"/>
        <v>139.13045523896548</v>
      </c>
    </row>
    <row r="490" spans="1:9">
      <c r="A490" s="22">
        <v>42772</v>
      </c>
      <c r="B490" s="21">
        <v>60.134906999999998</v>
      </c>
      <c r="C490" s="23">
        <v>19796400</v>
      </c>
      <c r="D490" s="24">
        <f t="shared" si="22"/>
        <v>-3.3052535749836876E-3</v>
      </c>
      <c r="E490" s="25">
        <f t="shared" si="23"/>
        <v>480800</v>
      </c>
      <c r="F490" s="20">
        <v>1</v>
      </c>
      <c r="G490" s="20"/>
      <c r="I490" s="21">
        <f t="shared" si="24"/>
        <v>139.13100734182092</v>
      </c>
    </row>
    <row r="491" spans="1:9">
      <c r="A491" s="22">
        <v>42773</v>
      </c>
      <c r="B491" s="21">
        <v>59.936473999999997</v>
      </c>
      <c r="C491" s="23">
        <v>20277200</v>
      </c>
      <c r="D491" s="24">
        <f t="shared" si="22"/>
        <v>-1.4197929252623837E-3</v>
      </c>
      <c r="E491" s="25">
        <f t="shared" si="23"/>
        <v>-2180800</v>
      </c>
      <c r="F491" s="20">
        <v>1</v>
      </c>
      <c r="G491" s="20"/>
      <c r="I491" s="21">
        <f t="shared" si="24"/>
        <v>139.13155944686724</v>
      </c>
    </row>
    <row r="492" spans="1:9">
      <c r="A492" s="22">
        <v>42774</v>
      </c>
      <c r="B492" s="21">
        <v>59.851436999999997</v>
      </c>
      <c r="C492" s="23">
        <v>18096400</v>
      </c>
      <c r="D492" s="24">
        <f t="shared" si="22"/>
        <v>1.1303008555086095E-2</v>
      </c>
      <c r="E492" s="25">
        <f t="shared" si="23"/>
        <v>4548000</v>
      </c>
      <c r="F492" s="20">
        <v>1</v>
      </c>
      <c r="G492" s="20"/>
      <c r="I492" s="21">
        <f t="shared" si="24"/>
        <v>139.13211155410445</v>
      </c>
    </row>
    <row r="493" spans="1:9">
      <c r="A493" s="22">
        <v>42775</v>
      </c>
      <c r="B493" s="21">
        <v>60.531776000000001</v>
      </c>
      <c r="C493" s="23">
        <v>22644400</v>
      </c>
      <c r="D493" s="24">
        <f t="shared" si="22"/>
        <v>-9.3697172557742777E-4</v>
      </c>
      <c r="E493" s="25">
        <f t="shared" si="23"/>
        <v>-4473700</v>
      </c>
      <c r="F493" s="20">
        <v>1</v>
      </c>
      <c r="G493" s="20"/>
      <c r="I493" s="21">
        <f t="shared" si="24"/>
        <v>139.13266366353255</v>
      </c>
    </row>
    <row r="494" spans="1:9">
      <c r="A494" s="22">
        <v>42776</v>
      </c>
      <c r="B494" s="21">
        <v>60.475085999999997</v>
      </c>
      <c r="C494" s="23">
        <v>18170700</v>
      </c>
      <c r="D494" s="24">
        <f t="shared" si="22"/>
        <v>1.1187112251050743E-2</v>
      </c>
      <c r="E494" s="25">
        <f t="shared" si="23"/>
        <v>4749400</v>
      </c>
      <c r="F494" s="20">
        <v>1</v>
      </c>
      <c r="G494" s="20"/>
      <c r="I494" s="21">
        <f t="shared" si="24"/>
        <v>139.13321577515157</v>
      </c>
    </row>
    <row r="495" spans="1:9">
      <c r="A495" s="22">
        <v>42779</v>
      </c>
      <c r="B495" s="21">
        <v>61.155425999999999</v>
      </c>
      <c r="C495" s="23">
        <v>22920100</v>
      </c>
      <c r="D495" s="24">
        <f t="shared" si="22"/>
        <v>3.7240262217257607E-3</v>
      </c>
      <c r="E495" s="25">
        <f t="shared" si="23"/>
        <v>188300</v>
      </c>
      <c r="F495" s="20">
        <v>1</v>
      </c>
      <c r="G495" s="20"/>
      <c r="I495" s="21">
        <f t="shared" si="24"/>
        <v>139.13376788896147</v>
      </c>
    </row>
    <row r="496" spans="1:9">
      <c r="A496" s="22">
        <v>42780</v>
      </c>
      <c r="B496" s="21">
        <v>61.383595</v>
      </c>
      <c r="C496" s="23">
        <v>23108400</v>
      </c>
      <c r="D496" s="24">
        <f t="shared" si="22"/>
        <v>-6.1978754107283639E-4</v>
      </c>
      <c r="E496" s="25">
        <f t="shared" si="23"/>
        <v>-6103200</v>
      </c>
      <c r="F496" s="20">
        <v>1</v>
      </c>
      <c r="G496" s="20"/>
      <c r="I496" s="21">
        <f t="shared" si="24"/>
        <v>139.13432000496232</v>
      </c>
    </row>
    <row r="497" spans="1:9">
      <c r="A497" s="22">
        <v>42781</v>
      </c>
      <c r="B497" s="21">
        <v>61.345562000000001</v>
      </c>
      <c r="C497" s="23">
        <v>17005200</v>
      </c>
      <c r="D497" s="24">
        <f t="shared" si="22"/>
        <v>-1.5516588557045483E-4</v>
      </c>
      <c r="E497" s="25">
        <f t="shared" si="23"/>
        <v>3541100</v>
      </c>
      <c r="F497" s="20">
        <v>1</v>
      </c>
      <c r="G497" s="20"/>
      <c r="I497" s="21">
        <f t="shared" si="24"/>
        <v>139.13487212315408</v>
      </c>
    </row>
    <row r="498" spans="1:9">
      <c r="A498" s="22">
        <v>42782</v>
      </c>
      <c r="B498" s="21">
        <v>61.336044000000001</v>
      </c>
      <c r="C498" s="23">
        <v>20546300</v>
      </c>
      <c r="D498" s="24">
        <f t="shared" si="22"/>
        <v>1.5489160841066958E-3</v>
      </c>
      <c r="E498" s="25">
        <f t="shared" si="23"/>
        <v>702500</v>
      </c>
      <c r="F498" s="20">
        <v>1</v>
      </c>
      <c r="G498" s="20"/>
      <c r="I498" s="21">
        <f t="shared" si="24"/>
        <v>139.13542424353679</v>
      </c>
    </row>
    <row r="499" spans="1:9">
      <c r="A499" s="22">
        <v>42783</v>
      </c>
      <c r="B499" s="21">
        <v>61.431122000000002</v>
      </c>
      <c r="C499" s="23">
        <v>21248800</v>
      </c>
      <c r="D499" s="24">
        <f t="shared" si="22"/>
        <v>-2.0137916247740749E-3</v>
      </c>
      <c r="E499" s="25">
        <f t="shared" si="23"/>
        <v>-592900</v>
      </c>
      <c r="F499" s="20">
        <v>1</v>
      </c>
      <c r="G499" s="20"/>
      <c r="I499" s="21">
        <f t="shared" si="24"/>
        <v>139.13597636611044</v>
      </c>
    </row>
    <row r="500" spans="1:9">
      <c r="A500" s="22">
        <v>42787</v>
      </c>
      <c r="B500" s="21">
        <v>61.307537000000004</v>
      </c>
      <c r="C500" s="23">
        <v>20655900</v>
      </c>
      <c r="D500" s="24">
        <f t="shared" si="22"/>
        <v>-2.0179041984498907E-3</v>
      </c>
      <c r="E500" s="25">
        <f t="shared" si="23"/>
        <v>-1363200</v>
      </c>
      <c r="F500" s="20">
        <v>1</v>
      </c>
      <c r="G500" s="20"/>
      <c r="I500" s="21">
        <f t="shared" si="24"/>
        <v>139.13652849087504</v>
      </c>
    </row>
    <row r="501" spans="1:9">
      <c r="A501" s="22">
        <v>42788</v>
      </c>
      <c r="B501" s="21">
        <v>61.183948999999998</v>
      </c>
      <c r="C501" s="23">
        <v>19292700</v>
      </c>
      <c r="D501" s="24">
        <f t="shared" si="22"/>
        <v>4.0316958232240801E-3</v>
      </c>
      <c r="E501" s="25">
        <f t="shared" si="23"/>
        <v>980400</v>
      </c>
      <c r="F501" s="20">
        <v>1</v>
      </c>
      <c r="G501" s="20"/>
      <c r="I501" s="21">
        <f t="shared" si="24"/>
        <v>139.13708061783061</v>
      </c>
    </row>
    <row r="502" spans="1:9">
      <c r="A502" s="22">
        <v>42789</v>
      </c>
      <c r="B502" s="21">
        <v>61.431122000000002</v>
      </c>
      <c r="C502" s="23">
        <v>20273100</v>
      </c>
      <c r="D502" s="24">
        <f t="shared" si="22"/>
        <v>0</v>
      </c>
      <c r="E502" s="25">
        <f t="shared" si="23"/>
        <v>1523700</v>
      </c>
      <c r="F502" s="20">
        <v>1</v>
      </c>
      <c r="G502" s="20"/>
      <c r="I502" s="21">
        <f t="shared" si="24"/>
        <v>139.13763274697715</v>
      </c>
    </row>
    <row r="503" spans="1:9">
      <c r="A503" s="22">
        <v>42790</v>
      </c>
      <c r="B503" s="21">
        <v>61.431122000000002</v>
      </c>
      <c r="C503" s="23">
        <v>21796800</v>
      </c>
      <c r="D503" s="24">
        <f t="shared" si="22"/>
        <v>-6.0535655531597241E-3</v>
      </c>
      <c r="E503" s="25">
        <f t="shared" si="23"/>
        <v>-5925300</v>
      </c>
      <c r="F503" s="20">
        <v>1</v>
      </c>
      <c r="G503" s="20"/>
      <c r="I503" s="21">
        <f t="shared" si="24"/>
        <v>139.13818487831466</v>
      </c>
    </row>
    <row r="504" spans="1:9">
      <c r="A504" s="22">
        <v>42793</v>
      </c>
      <c r="B504" s="21">
        <v>61.060367999999997</v>
      </c>
      <c r="C504" s="23">
        <v>15871500</v>
      </c>
      <c r="D504" s="24">
        <f t="shared" si="22"/>
        <v>-3.8999231506218835E-3</v>
      </c>
      <c r="E504" s="25">
        <f t="shared" si="23"/>
        <v>7368300</v>
      </c>
      <c r="F504" s="20">
        <v>1</v>
      </c>
      <c r="G504" s="20"/>
      <c r="I504" s="21">
        <f t="shared" si="24"/>
        <v>139.13873701184318</v>
      </c>
    </row>
    <row r="505" spans="1:9">
      <c r="A505" s="22">
        <v>42794</v>
      </c>
      <c r="B505" s="21">
        <v>60.822701000000002</v>
      </c>
      <c r="C505" s="23">
        <v>23239800</v>
      </c>
      <c r="D505" s="24">
        <f t="shared" si="22"/>
        <v>1.4893447418472367E-2</v>
      </c>
      <c r="E505" s="25">
        <f t="shared" si="23"/>
        <v>3697700</v>
      </c>
      <c r="F505" s="20">
        <v>1</v>
      </c>
      <c r="G505" s="20"/>
      <c r="I505" s="21">
        <f t="shared" si="24"/>
        <v>139.13928914756266</v>
      </c>
    </row>
    <row r="506" spans="1:9">
      <c r="A506" s="22">
        <v>42795</v>
      </c>
      <c r="B506" s="21">
        <v>61.735340000000001</v>
      </c>
      <c r="C506" s="23">
        <v>26937500</v>
      </c>
      <c r="D506" s="24">
        <f t="shared" si="22"/>
        <v>-1.4424620580563974E-2</v>
      </c>
      <c r="E506" s="25">
        <f t="shared" si="23"/>
        <v>-2397900</v>
      </c>
      <c r="F506" s="20">
        <v>1</v>
      </c>
      <c r="G506" s="20"/>
      <c r="I506" s="21">
        <f t="shared" si="24"/>
        <v>139.13984128547318</v>
      </c>
    </row>
    <row r="507" spans="1:9">
      <c r="A507" s="22">
        <v>42796</v>
      </c>
      <c r="B507" s="21">
        <v>60.851222999999997</v>
      </c>
      <c r="C507" s="23">
        <v>24539600</v>
      </c>
      <c r="D507" s="24">
        <f t="shared" si="22"/>
        <v>3.742280864986975E-3</v>
      </c>
      <c r="E507" s="25">
        <f t="shared" si="23"/>
        <v>-6403700</v>
      </c>
      <c r="F507" s="20">
        <v>1</v>
      </c>
      <c r="G507" s="20"/>
      <c r="I507" s="21">
        <f t="shared" si="24"/>
        <v>139.1403934255747</v>
      </c>
    </row>
    <row r="508" spans="1:9">
      <c r="A508" s="22">
        <v>42797</v>
      </c>
      <c r="B508" s="21">
        <v>61.079371999999999</v>
      </c>
      <c r="C508" s="23">
        <v>18135900</v>
      </c>
      <c r="D508" s="24">
        <f t="shared" si="22"/>
        <v>3.1130051816180966E-4</v>
      </c>
      <c r="E508" s="25">
        <f t="shared" si="23"/>
        <v>614400</v>
      </c>
      <c r="F508" s="20">
        <v>1</v>
      </c>
      <c r="G508" s="20"/>
      <c r="I508" s="21">
        <f t="shared" si="24"/>
        <v>139.14094556786725</v>
      </c>
    </row>
    <row r="509" spans="1:9">
      <c r="A509" s="22">
        <v>42800</v>
      </c>
      <c r="B509" s="21">
        <v>61.098388999999997</v>
      </c>
      <c r="C509" s="23">
        <v>18750300</v>
      </c>
      <c r="D509" s="24">
        <f t="shared" si="22"/>
        <v>2.020792482206804E-3</v>
      </c>
      <c r="E509" s="25">
        <f t="shared" si="23"/>
        <v>-229300</v>
      </c>
      <c r="F509" s="20">
        <v>1</v>
      </c>
      <c r="G509" s="20"/>
      <c r="I509" s="21">
        <f t="shared" si="24"/>
        <v>139.14149771235083</v>
      </c>
    </row>
    <row r="510" spans="1:9">
      <c r="A510" s="22">
        <v>42801</v>
      </c>
      <c r="B510" s="21">
        <v>61.221981</v>
      </c>
      <c r="C510" s="23">
        <v>18521000</v>
      </c>
      <c r="D510" s="24">
        <f t="shared" si="22"/>
        <v>9.1196232748189422E-3</v>
      </c>
      <c r="E510" s="25">
        <f t="shared" si="23"/>
        <v>2989900</v>
      </c>
      <c r="F510" s="20">
        <v>1</v>
      </c>
      <c r="G510" s="20"/>
      <c r="I510" s="21">
        <f t="shared" si="24"/>
        <v>139.14204985902543</v>
      </c>
    </row>
    <row r="511" spans="1:9">
      <c r="A511" s="22">
        <v>42802</v>
      </c>
      <c r="B511" s="21">
        <v>61.782856000000002</v>
      </c>
      <c r="C511" s="23">
        <v>21510900</v>
      </c>
      <c r="D511" s="24">
        <f t="shared" si="22"/>
        <v>-4.0085182797614327E-3</v>
      </c>
      <c r="E511" s="25">
        <f t="shared" si="23"/>
        <v>-1664100</v>
      </c>
      <c r="F511" s="20">
        <v>1</v>
      </c>
      <c r="G511" s="20"/>
      <c r="I511" s="21">
        <f t="shared" si="24"/>
        <v>139.1426020078911</v>
      </c>
    </row>
    <row r="512" spans="1:9">
      <c r="A512" s="22">
        <v>42803</v>
      </c>
      <c r="B512" s="21">
        <v>61.535693999999999</v>
      </c>
      <c r="C512" s="23">
        <v>19846800</v>
      </c>
      <c r="D512" s="24">
        <f t="shared" si="22"/>
        <v>3.0847773724717903E-3</v>
      </c>
      <c r="E512" s="25">
        <f t="shared" si="23"/>
        <v>-308600</v>
      </c>
      <c r="F512" s="20">
        <v>1</v>
      </c>
      <c r="G512" s="20"/>
      <c r="I512" s="21">
        <f t="shared" si="24"/>
        <v>139.14315415894782</v>
      </c>
    </row>
    <row r="513" spans="1:9">
      <c r="A513" s="22">
        <v>42804</v>
      </c>
      <c r="B513" s="21">
        <v>61.725811</v>
      </c>
      <c r="C513" s="23">
        <v>19538200</v>
      </c>
      <c r="D513" s="24">
        <f t="shared" si="22"/>
        <v>-3.3938490277727203E-3</v>
      </c>
      <c r="E513" s="25">
        <f t="shared" si="23"/>
        <v>561800</v>
      </c>
      <c r="F513" s="20">
        <v>1</v>
      </c>
      <c r="G513" s="20"/>
      <c r="I513" s="21">
        <f t="shared" si="24"/>
        <v>139.1437063121956</v>
      </c>
    </row>
    <row r="514" spans="1:9">
      <c r="A514" s="22">
        <v>42807</v>
      </c>
      <c r="B514" s="21">
        <v>61.516677999999999</v>
      </c>
      <c r="C514" s="23">
        <v>20100000</v>
      </c>
      <c r="D514" s="24">
        <f t="shared" si="22"/>
        <v>-4.6468886841219432E-3</v>
      </c>
      <c r="E514" s="25">
        <f t="shared" si="23"/>
        <v>-5819800</v>
      </c>
      <c r="F514" s="20">
        <v>1</v>
      </c>
      <c r="G514" s="20"/>
      <c r="I514" s="21">
        <f t="shared" si="24"/>
        <v>139.14425846763447</v>
      </c>
    </row>
    <row r="515" spans="1:9">
      <c r="A515" s="22">
        <v>42808</v>
      </c>
      <c r="B515" s="21">
        <v>61.231479999999998</v>
      </c>
      <c r="C515" s="23">
        <v>14280200</v>
      </c>
      <c r="D515" s="24">
        <f t="shared" ref="D515:D578" si="25">LN(B516/B515)</f>
        <v>5.2648877618172978E-3</v>
      </c>
      <c r="E515" s="25">
        <f t="shared" ref="E515:E578" si="26">C516-C515</f>
        <v>10553600</v>
      </c>
      <c r="F515" s="20">
        <v>1</v>
      </c>
      <c r="G515" s="20"/>
      <c r="I515" s="21">
        <f t="shared" si="24"/>
        <v>139.14481062526443</v>
      </c>
    </row>
    <row r="516" spans="1:9">
      <c r="A516" s="22">
        <v>42809</v>
      </c>
      <c r="B516" s="21">
        <v>61.554707000000001</v>
      </c>
      <c r="C516" s="23">
        <v>24833800</v>
      </c>
      <c r="D516" s="24">
        <f t="shared" si="25"/>
        <v>-1.7003725665953814E-3</v>
      </c>
      <c r="E516" s="25">
        <f t="shared" si="26"/>
        <v>-4159500</v>
      </c>
      <c r="F516" s="20">
        <v>1</v>
      </c>
      <c r="G516" s="20"/>
      <c r="I516" s="21">
        <f t="shared" si="24"/>
        <v>139.14536278508547</v>
      </c>
    </row>
    <row r="517" spans="1:9">
      <c r="A517" s="22">
        <v>42810</v>
      </c>
      <c r="B517" s="21">
        <v>61.450130000000001</v>
      </c>
      <c r="C517" s="23">
        <v>20674300</v>
      </c>
      <c r="D517" s="24">
        <f t="shared" si="25"/>
        <v>3.551870758037071E-3</v>
      </c>
      <c r="E517" s="25">
        <f t="shared" si="26"/>
        <v>28545400</v>
      </c>
      <c r="F517" s="20">
        <v>1</v>
      </c>
      <c r="G517" s="20"/>
      <c r="I517" s="21">
        <f t="shared" si="24"/>
        <v>139.14591494709762</v>
      </c>
    </row>
    <row r="518" spans="1:9">
      <c r="A518" s="22">
        <v>42811</v>
      </c>
      <c r="B518" s="21">
        <v>61.668781000000003</v>
      </c>
      <c r="C518" s="23">
        <v>49219700</v>
      </c>
      <c r="D518" s="24">
        <f t="shared" si="25"/>
        <v>9.2435175863562764E-4</v>
      </c>
      <c r="E518" s="25">
        <f t="shared" si="26"/>
        <v>-34621600</v>
      </c>
      <c r="F518" s="20">
        <v>1</v>
      </c>
      <c r="G518" s="20"/>
      <c r="I518" s="21">
        <f t="shared" si="24"/>
        <v>139.14646711130089</v>
      </c>
    </row>
    <row r="519" spans="1:9">
      <c r="A519" s="22">
        <v>42814</v>
      </c>
      <c r="B519" s="21">
        <v>61.725811</v>
      </c>
      <c r="C519" s="23">
        <v>14598100</v>
      </c>
      <c r="D519" s="24">
        <f t="shared" si="25"/>
        <v>-1.115065430877646E-2</v>
      </c>
      <c r="E519" s="25">
        <f t="shared" si="26"/>
        <v>12042400</v>
      </c>
      <c r="F519" s="20">
        <v>1</v>
      </c>
      <c r="G519" s="20"/>
      <c r="I519" s="21">
        <f t="shared" si="24"/>
        <v>139.14701927769528</v>
      </c>
    </row>
    <row r="520" spans="1:9">
      <c r="A520" s="22">
        <v>42815</v>
      </c>
      <c r="B520" s="21">
        <v>61.041350999999999</v>
      </c>
      <c r="C520" s="23">
        <v>26640500</v>
      </c>
      <c r="D520" s="24">
        <f t="shared" si="25"/>
        <v>1.2689667895071904E-2</v>
      </c>
      <c r="E520" s="25">
        <f t="shared" si="26"/>
        <v>-5960500</v>
      </c>
      <c r="F520" s="20">
        <v>1</v>
      </c>
      <c r="G520" s="20"/>
      <c r="I520" s="21">
        <f t="shared" si="24"/>
        <v>139.14757144628078</v>
      </c>
    </row>
    <row r="521" spans="1:9">
      <c r="A521" s="22">
        <v>42816</v>
      </c>
      <c r="B521" s="21">
        <v>61.820881</v>
      </c>
      <c r="C521" s="23">
        <v>20680000</v>
      </c>
      <c r="D521" s="24">
        <f t="shared" si="25"/>
        <v>-2.4633653449310784E-3</v>
      </c>
      <c r="E521" s="25">
        <f t="shared" si="26"/>
        <v>-1410800</v>
      </c>
      <c r="F521" s="20">
        <v>1</v>
      </c>
      <c r="G521" s="20"/>
      <c r="I521" s="21">
        <f t="shared" si="24"/>
        <v>139.14812361705742</v>
      </c>
    </row>
    <row r="522" spans="1:9">
      <c r="A522" s="22">
        <v>42817</v>
      </c>
      <c r="B522" s="21">
        <v>61.668781000000003</v>
      </c>
      <c r="C522" s="23">
        <v>19269200</v>
      </c>
      <c r="D522" s="24">
        <f t="shared" si="25"/>
        <v>1.6944621980806904E-3</v>
      </c>
      <c r="E522" s="25">
        <f t="shared" si="26"/>
        <v>3347900</v>
      </c>
      <c r="F522" s="20">
        <v>1</v>
      </c>
      <c r="G522" s="20"/>
      <c r="I522" s="21">
        <f t="shared" si="24"/>
        <v>139.14867579002521</v>
      </c>
    </row>
    <row r="523" spans="1:9">
      <c r="A523" s="22">
        <v>42818</v>
      </c>
      <c r="B523" s="21">
        <v>61.773364999999998</v>
      </c>
      <c r="C523" s="23">
        <v>22617100</v>
      </c>
      <c r="D523" s="24">
        <f t="shared" si="25"/>
        <v>1.8448374119978503E-3</v>
      </c>
      <c r="E523" s="25">
        <f t="shared" si="26"/>
        <v>-4002400</v>
      </c>
      <c r="F523" s="20">
        <v>1</v>
      </c>
      <c r="G523" s="20"/>
      <c r="I523" s="21">
        <f t="shared" si="24"/>
        <v>139.14922796518417</v>
      </c>
    </row>
    <row r="524" spans="1:9">
      <c r="A524" s="22">
        <v>42821</v>
      </c>
      <c r="B524" s="21">
        <v>61.887431999999997</v>
      </c>
      <c r="C524" s="23">
        <v>18614700</v>
      </c>
      <c r="D524" s="24">
        <f t="shared" si="25"/>
        <v>2.9143707607694374E-3</v>
      </c>
      <c r="E524" s="25">
        <f t="shared" si="26"/>
        <v>1465700</v>
      </c>
      <c r="F524" s="20">
        <v>1</v>
      </c>
      <c r="G524" s="20"/>
      <c r="I524" s="21">
        <f t="shared" si="24"/>
        <v>139.14978014253427</v>
      </c>
    </row>
    <row r="525" spans="1:9">
      <c r="A525" s="22">
        <v>42822</v>
      </c>
      <c r="B525" s="21">
        <v>62.068058000000001</v>
      </c>
      <c r="C525" s="23">
        <v>20080400</v>
      </c>
      <c r="D525" s="24">
        <f t="shared" si="25"/>
        <v>2.7531158940651006E-3</v>
      </c>
      <c r="E525" s="25">
        <f t="shared" si="26"/>
        <v>-6462000</v>
      </c>
      <c r="F525" s="20">
        <v>1</v>
      </c>
      <c r="G525" s="20"/>
      <c r="I525" s="21">
        <f t="shared" si="24"/>
        <v>139.15033232207554</v>
      </c>
    </row>
    <row r="526" spans="1:9">
      <c r="A526" s="22">
        <v>42823</v>
      </c>
      <c r="B526" s="21">
        <v>62.239173999999998</v>
      </c>
      <c r="C526" s="23">
        <v>13618400</v>
      </c>
      <c r="D526" s="24">
        <f t="shared" si="25"/>
        <v>3.6590434776777115E-3</v>
      </c>
      <c r="E526" s="25">
        <f t="shared" si="26"/>
        <v>1504400</v>
      </c>
      <c r="F526" s="20">
        <v>1</v>
      </c>
      <c r="G526" s="20"/>
      <c r="I526" s="21">
        <f t="shared" si="24"/>
        <v>139.15088450380799</v>
      </c>
    </row>
    <row r="527" spans="1:9">
      <c r="A527" s="22">
        <v>42824</v>
      </c>
      <c r="B527" s="21">
        <v>62.467326999999997</v>
      </c>
      <c r="C527" s="23">
        <v>15122800</v>
      </c>
      <c r="D527" s="24">
        <f t="shared" si="25"/>
        <v>2.2802077289912769E-3</v>
      </c>
      <c r="E527" s="25">
        <f t="shared" si="26"/>
        <v>5917500</v>
      </c>
      <c r="F527" s="20">
        <v>1</v>
      </c>
      <c r="G527" s="20"/>
      <c r="I527" s="21">
        <f t="shared" si="24"/>
        <v>139.15143668773163</v>
      </c>
    </row>
    <row r="528" spans="1:9">
      <c r="A528" s="22">
        <v>42825</v>
      </c>
      <c r="B528" s="21">
        <v>62.609927999999996</v>
      </c>
      <c r="C528" s="23">
        <v>21040300</v>
      </c>
      <c r="D528" s="24">
        <f t="shared" si="25"/>
        <v>-4.7180336787318181E-3</v>
      </c>
      <c r="E528" s="25">
        <f t="shared" si="26"/>
        <v>-639400</v>
      </c>
      <c r="F528" s="20">
        <v>1</v>
      </c>
      <c r="G528" s="20"/>
      <c r="I528" s="21">
        <f t="shared" si="24"/>
        <v>139.15198887384648</v>
      </c>
    </row>
    <row r="529" spans="1:9">
      <c r="A529" s="22">
        <v>42828</v>
      </c>
      <c r="B529" s="21">
        <v>62.315227999999998</v>
      </c>
      <c r="C529" s="23">
        <v>20400900</v>
      </c>
      <c r="D529" s="24">
        <f t="shared" si="25"/>
        <v>2.7422587773322446E-3</v>
      </c>
      <c r="E529" s="25">
        <f t="shared" si="26"/>
        <v>-7403500</v>
      </c>
      <c r="F529" s="20">
        <v>1</v>
      </c>
      <c r="G529" s="20"/>
      <c r="I529" s="21">
        <f t="shared" si="24"/>
        <v>139.15254106215252</v>
      </c>
    </row>
    <row r="530" spans="1:9">
      <c r="A530" s="22">
        <v>42829</v>
      </c>
      <c r="B530" s="21">
        <v>62.486347000000002</v>
      </c>
      <c r="C530" s="23">
        <v>12997400</v>
      </c>
      <c r="D530" s="24">
        <f t="shared" si="25"/>
        <v>-2.5897234288631086E-3</v>
      </c>
      <c r="E530" s="25">
        <f t="shared" si="26"/>
        <v>8451200</v>
      </c>
      <c r="F530" s="20">
        <v>1</v>
      </c>
      <c r="G530" s="20"/>
      <c r="I530" s="21">
        <f t="shared" si="24"/>
        <v>139.1530932526498</v>
      </c>
    </row>
    <row r="531" spans="1:9">
      <c r="A531" s="22">
        <v>42830</v>
      </c>
      <c r="B531" s="21">
        <v>62.324733999999999</v>
      </c>
      <c r="C531" s="23">
        <v>21448600</v>
      </c>
      <c r="D531" s="24">
        <f t="shared" si="25"/>
        <v>2.5897234288631194E-3</v>
      </c>
      <c r="E531" s="25">
        <f t="shared" si="26"/>
        <v>-3345100</v>
      </c>
      <c r="F531" s="20">
        <v>1</v>
      </c>
      <c r="G531" s="20"/>
      <c r="I531" s="21">
        <f t="shared" si="24"/>
        <v>139.1536454453383</v>
      </c>
    </row>
    <row r="532" spans="1:9">
      <c r="A532" s="22">
        <v>42831</v>
      </c>
      <c r="B532" s="21">
        <v>62.486347000000002</v>
      </c>
      <c r="C532" s="23">
        <v>18103500</v>
      </c>
      <c r="D532" s="24">
        <f t="shared" si="25"/>
        <v>-7.6107974082114446E-4</v>
      </c>
      <c r="E532" s="25">
        <f t="shared" si="26"/>
        <v>-3995000</v>
      </c>
      <c r="F532" s="20">
        <v>1</v>
      </c>
      <c r="G532" s="20"/>
      <c r="I532" s="21">
        <f t="shared" si="24"/>
        <v>139.15419764021803</v>
      </c>
    </row>
    <row r="533" spans="1:9">
      <c r="A533" s="22">
        <v>42832</v>
      </c>
      <c r="B533" s="21">
        <v>62.438808000000002</v>
      </c>
      <c r="C533" s="23">
        <v>14108500</v>
      </c>
      <c r="D533" s="24">
        <f t="shared" si="25"/>
        <v>-2.2867048085163585E-3</v>
      </c>
      <c r="E533" s="25">
        <f t="shared" si="26"/>
        <v>3844200</v>
      </c>
      <c r="F533" s="20">
        <v>1</v>
      </c>
      <c r="G533" s="20"/>
      <c r="I533" s="21">
        <f t="shared" si="24"/>
        <v>139.15474983728899</v>
      </c>
    </row>
    <row r="534" spans="1:9">
      <c r="A534" s="22">
        <v>42835</v>
      </c>
      <c r="B534" s="21">
        <v>62.296191999999998</v>
      </c>
      <c r="C534" s="23">
        <v>17952700</v>
      </c>
      <c r="D534" s="24">
        <f t="shared" si="25"/>
        <v>-7.6303428745693965E-4</v>
      </c>
      <c r="E534" s="25">
        <f t="shared" si="26"/>
        <v>838800</v>
      </c>
      <c r="F534" s="20">
        <v>1</v>
      </c>
      <c r="G534" s="20"/>
      <c r="I534" s="21">
        <f t="shared" si="24"/>
        <v>139.15530203655121</v>
      </c>
    </row>
    <row r="535" spans="1:9">
      <c r="A535" s="22">
        <v>42836</v>
      </c>
      <c r="B535" s="21">
        <v>62.248676000000003</v>
      </c>
      <c r="C535" s="23">
        <v>18791500</v>
      </c>
      <c r="D535" s="24">
        <f t="shared" si="25"/>
        <v>-3.8252677391408746E-3</v>
      </c>
      <c r="E535" s="25">
        <f t="shared" si="26"/>
        <v>-1683000</v>
      </c>
      <c r="F535" s="20">
        <v>1</v>
      </c>
      <c r="G535" s="20"/>
      <c r="I535" s="21">
        <f t="shared" si="24"/>
        <v>139.15585423800468</v>
      </c>
    </row>
    <row r="536" spans="1:9">
      <c r="A536" s="22">
        <v>42837</v>
      </c>
      <c r="B536" s="21">
        <v>62.011012999999998</v>
      </c>
      <c r="C536" s="23">
        <v>17108500</v>
      </c>
      <c r="D536" s="24">
        <f t="shared" si="25"/>
        <v>-4.3017995836237798E-3</v>
      </c>
      <c r="E536" s="25">
        <f t="shared" si="26"/>
        <v>788000</v>
      </c>
      <c r="F536" s="20">
        <v>1</v>
      </c>
      <c r="G536" s="20"/>
      <c r="I536" s="21">
        <f t="shared" si="24"/>
        <v>139.15640644164941</v>
      </c>
    </row>
    <row r="537" spans="1:9">
      <c r="A537" s="22">
        <v>42838</v>
      </c>
      <c r="B537" s="21">
        <v>61.744827000000001</v>
      </c>
      <c r="C537" s="23">
        <v>17896500</v>
      </c>
      <c r="D537" s="24">
        <f t="shared" si="25"/>
        <v>8.1270673227645338E-3</v>
      </c>
      <c r="E537" s="25">
        <f t="shared" si="26"/>
        <v>-1207200</v>
      </c>
      <c r="F537" s="20">
        <v>1</v>
      </c>
      <c r="G537" s="20"/>
      <c r="I537" s="21">
        <f t="shared" si="24"/>
        <v>139.15695864748542</v>
      </c>
    </row>
    <row r="538" spans="1:9">
      <c r="A538" s="22">
        <v>42842</v>
      </c>
      <c r="B538" s="21">
        <v>62.248676000000003</v>
      </c>
      <c r="C538" s="23">
        <v>16689300</v>
      </c>
      <c r="D538" s="24">
        <f t="shared" si="25"/>
        <v>-1.3753038455331771E-3</v>
      </c>
      <c r="E538" s="25">
        <f t="shared" si="26"/>
        <v>-1533700</v>
      </c>
      <c r="F538" s="20">
        <v>1</v>
      </c>
      <c r="G538" s="20"/>
      <c r="I538" s="21">
        <f t="shared" si="24"/>
        <v>139.15751085551273</v>
      </c>
    </row>
    <row r="539" spans="1:9">
      <c r="A539" s="22">
        <v>42843</v>
      </c>
      <c r="B539" s="21">
        <v>62.163124000000003</v>
      </c>
      <c r="C539" s="23">
        <v>15155600</v>
      </c>
      <c r="D539" s="24">
        <f t="shared" si="25"/>
        <v>-5.3670195483738851E-3</v>
      </c>
      <c r="E539" s="25">
        <f t="shared" si="26"/>
        <v>11837200</v>
      </c>
      <c r="F539" s="20">
        <v>1</v>
      </c>
      <c r="G539" s="20"/>
      <c r="I539" s="21">
        <f t="shared" si="24"/>
        <v>139.15806306573131</v>
      </c>
    </row>
    <row r="540" spans="1:9">
      <c r="A540" s="22">
        <v>42844</v>
      </c>
      <c r="B540" s="21">
        <v>61.830387000000002</v>
      </c>
      <c r="C540" s="23">
        <v>26992800</v>
      </c>
      <c r="D540" s="24">
        <f t="shared" si="25"/>
        <v>7.0478253908320557E-3</v>
      </c>
      <c r="E540" s="25">
        <f t="shared" si="26"/>
        <v>-4693300</v>
      </c>
      <c r="F540" s="20">
        <v>1</v>
      </c>
      <c r="G540" s="20"/>
      <c r="I540" s="21">
        <f t="shared" si="24"/>
        <v>139.15861527814121</v>
      </c>
    </row>
    <row r="541" spans="1:9">
      <c r="A541" s="22">
        <v>42845</v>
      </c>
      <c r="B541" s="21">
        <v>62.267696000000001</v>
      </c>
      <c r="C541" s="23">
        <v>22299500</v>
      </c>
      <c r="D541" s="24">
        <f t="shared" si="25"/>
        <v>1.364691918635037E-2</v>
      </c>
      <c r="E541" s="25">
        <f t="shared" si="26"/>
        <v>10223100</v>
      </c>
      <c r="F541" s="20">
        <v>1</v>
      </c>
      <c r="G541" s="20"/>
      <c r="I541" s="21">
        <f t="shared" si="24"/>
        <v>139.15916749274243</v>
      </c>
    </row>
    <row r="542" spans="1:9">
      <c r="A542" s="22">
        <v>42846</v>
      </c>
      <c r="B542" s="21">
        <v>63.123283000000001</v>
      </c>
      <c r="C542" s="23">
        <v>32522600</v>
      </c>
      <c r="D542" s="24">
        <f t="shared" si="25"/>
        <v>1.6874737671429926E-2</v>
      </c>
      <c r="E542" s="25">
        <f t="shared" si="26"/>
        <v>-2752600</v>
      </c>
      <c r="F542" s="20">
        <v>1</v>
      </c>
      <c r="G542" s="20"/>
      <c r="I542" s="21">
        <f t="shared" si="24"/>
        <v>139.15971970953495</v>
      </c>
    </row>
    <row r="543" spans="1:9">
      <c r="A543" s="22">
        <v>42849</v>
      </c>
      <c r="B543" s="21">
        <v>64.197509999999994</v>
      </c>
      <c r="C543" s="23">
        <v>29770000</v>
      </c>
      <c r="D543" s="24">
        <f t="shared" si="25"/>
        <v>5.7588900915260411E-3</v>
      </c>
      <c r="E543" s="25">
        <f t="shared" si="26"/>
        <v>472700</v>
      </c>
      <c r="F543" s="20">
        <v>1</v>
      </c>
      <c r="G543" s="20"/>
      <c r="I543" s="21">
        <f t="shared" si="24"/>
        <v>139.1602719285188</v>
      </c>
    </row>
    <row r="544" spans="1:9">
      <c r="A544" s="22">
        <v>42850</v>
      </c>
      <c r="B544" s="21">
        <v>64.568282999999994</v>
      </c>
      <c r="C544" s="23">
        <v>30242700</v>
      </c>
      <c r="D544" s="24">
        <f t="shared" si="25"/>
        <v>-1.3261581213085385E-3</v>
      </c>
      <c r="E544" s="25">
        <f t="shared" si="26"/>
        <v>-4051900</v>
      </c>
      <c r="F544" s="20">
        <v>1</v>
      </c>
      <c r="G544" s="20"/>
      <c r="I544" s="21">
        <f t="shared" si="24"/>
        <v>139.16082414969398</v>
      </c>
    </row>
    <row r="545" spans="1:9">
      <c r="A545" s="22">
        <v>42851</v>
      </c>
      <c r="B545" s="21">
        <v>64.482712000000006</v>
      </c>
      <c r="C545" s="23">
        <v>26190800</v>
      </c>
      <c r="D545" s="24">
        <f t="shared" si="25"/>
        <v>6.4657671879984691E-3</v>
      </c>
      <c r="E545" s="25">
        <f t="shared" si="26"/>
        <v>8780200</v>
      </c>
      <c r="F545" s="20">
        <v>1</v>
      </c>
      <c r="G545" s="20"/>
      <c r="I545" s="21">
        <f t="shared" si="24"/>
        <v>139.16137637306051</v>
      </c>
    </row>
    <row r="546" spans="1:9">
      <c r="A546" s="22">
        <v>42852</v>
      </c>
      <c r="B546" s="21">
        <v>64.900993</v>
      </c>
      <c r="C546" s="23">
        <v>34971000</v>
      </c>
      <c r="D546" s="24">
        <f t="shared" si="25"/>
        <v>2.7793579830991707E-3</v>
      </c>
      <c r="E546" s="25">
        <f t="shared" si="26"/>
        <v>4577800</v>
      </c>
      <c r="F546" s="20">
        <v>1</v>
      </c>
      <c r="G546" s="20"/>
      <c r="I546" s="21">
        <f t="shared" ref="I546:I609" si="27">I545*EXP($L$31*$L$33+$L$32*H546*SQRT($L$33))</f>
        <v>139.1619285986184</v>
      </c>
    </row>
    <row r="547" spans="1:9">
      <c r="A547" s="22">
        <v>42853</v>
      </c>
      <c r="B547" s="21">
        <v>65.081626999999997</v>
      </c>
      <c r="C547" s="23">
        <v>39548800</v>
      </c>
      <c r="D547" s="24">
        <f t="shared" si="25"/>
        <v>1.378123628824697E-2</v>
      </c>
      <c r="E547" s="25">
        <f t="shared" si="26"/>
        <v>-7594400</v>
      </c>
      <c r="F547" s="20">
        <v>1</v>
      </c>
      <c r="G547" s="20"/>
      <c r="I547" s="21">
        <f t="shared" si="27"/>
        <v>139.16248082636764</v>
      </c>
    </row>
    <row r="548" spans="1:9">
      <c r="A548" s="22">
        <v>42856</v>
      </c>
      <c r="B548" s="21">
        <v>65.984741</v>
      </c>
      <c r="C548" s="23">
        <v>31954400</v>
      </c>
      <c r="D548" s="24">
        <f t="shared" si="25"/>
        <v>-1.5861084665518377E-3</v>
      </c>
      <c r="E548" s="25">
        <f t="shared" si="26"/>
        <v>-8048300</v>
      </c>
      <c r="F548" s="20">
        <v>1</v>
      </c>
      <c r="G548" s="20"/>
      <c r="I548" s="21">
        <f t="shared" si="27"/>
        <v>139.16303305630828</v>
      </c>
    </row>
    <row r="549" spans="1:9">
      <c r="A549" s="22">
        <v>42857</v>
      </c>
      <c r="B549" s="21">
        <v>65.880165000000005</v>
      </c>
      <c r="C549" s="23">
        <v>23906100</v>
      </c>
      <c r="D549" s="24">
        <f t="shared" si="25"/>
        <v>-3.1794339326517689E-3</v>
      </c>
      <c r="E549" s="25">
        <f t="shared" si="26"/>
        <v>5021900</v>
      </c>
      <c r="F549" s="20">
        <v>1</v>
      </c>
      <c r="G549" s="20"/>
      <c r="I549" s="21">
        <f t="shared" si="27"/>
        <v>139.16358528844029</v>
      </c>
    </row>
    <row r="550" spans="1:9">
      <c r="A550" s="22">
        <v>42858</v>
      </c>
      <c r="B550" s="21">
        <v>65.671036000000001</v>
      </c>
      <c r="C550" s="23">
        <v>28928000</v>
      </c>
      <c r="D550" s="24">
        <f t="shared" si="25"/>
        <v>-3.9165213059795421E-3</v>
      </c>
      <c r="E550" s="25">
        <f t="shared" si="26"/>
        <v>-7178600</v>
      </c>
      <c r="F550" s="20">
        <v>1</v>
      </c>
      <c r="G550" s="20"/>
      <c r="I550" s="21">
        <f t="shared" si="27"/>
        <v>139.16413752276367</v>
      </c>
    </row>
    <row r="551" spans="1:9">
      <c r="A551" s="22">
        <v>42859</v>
      </c>
      <c r="B551" s="21">
        <v>65.414337000000003</v>
      </c>
      <c r="C551" s="23">
        <v>21749400</v>
      </c>
      <c r="D551" s="24">
        <f t="shared" si="25"/>
        <v>2.7576835201142728E-3</v>
      </c>
      <c r="E551" s="25">
        <f t="shared" si="26"/>
        <v>-2620600</v>
      </c>
      <c r="F551" s="20">
        <v>1</v>
      </c>
      <c r="G551" s="20"/>
      <c r="I551" s="21">
        <f t="shared" si="27"/>
        <v>139.16468975927845</v>
      </c>
    </row>
    <row r="552" spans="1:9">
      <c r="A552" s="22">
        <v>42860</v>
      </c>
      <c r="B552" s="21">
        <v>65.594977999999998</v>
      </c>
      <c r="C552" s="23">
        <v>19128800</v>
      </c>
      <c r="D552" s="24">
        <f t="shared" si="25"/>
        <v>-8.7026223536195736E-4</v>
      </c>
      <c r="E552" s="25">
        <f t="shared" si="26"/>
        <v>-562700</v>
      </c>
      <c r="F552" s="20">
        <v>1</v>
      </c>
      <c r="G552" s="20"/>
      <c r="I552" s="21">
        <f t="shared" si="27"/>
        <v>139.16524199798465</v>
      </c>
    </row>
    <row r="553" spans="1:9">
      <c r="A553" s="22">
        <v>42863</v>
      </c>
      <c r="B553" s="21">
        <v>65.537918000000005</v>
      </c>
      <c r="C553" s="23">
        <v>18566100</v>
      </c>
      <c r="D553" s="24">
        <f t="shared" si="25"/>
        <v>1.4499099363549479E-3</v>
      </c>
      <c r="E553" s="25">
        <f t="shared" si="26"/>
        <v>4292300</v>
      </c>
      <c r="F553" s="20">
        <v>1</v>
      </c>
      <c r="G553" s="20"/>
      <c r="I553" s="21">
        <f t="shared" si="27"/>
        <v>139.16579423888226</v>
      </c>
    </row>
    <row r="554" spans="1:9">
      <c r="A554" s="22">
        <v>42864</v>
      </c>
      <c r="B554" s="21">
        <v>65.633010999999996</v>
      </c>
      <c r="C554" s="23">
        <v>22858400</v>
      </c>
      <c r="D554" s="24">
        <f t="shared" si="25"/>
        <v>3.903027315391187E-3</v>
      </c>
      <c r="E554" s="25">
        <f t="shared" si="26"/>
        <v>-4880600</v>
      </c>
      <c r="F554" s="20">
        <v>1</v>
      </c>
      <c r="G554" s="20"/>
      <c r="I554" s="21">
        <f t="shared" si="27"/>
        <v>139.16634648197129</v>
      </c>
    </row>
    <row r="555" spans="1:9">
      <c r="A555" s="22">
        <v>42865</v>
      </c>
      <c r="B555" s="21">
        <v>65.889679000000001</v>
      </c>
      <c r="C555" s="23">
        <v>17977800</v>
      </c>
      <c r="D555" s="24">
        <f t="shared" si="25"/>
        <v>-1.2339531119562427E-2</v>
      </c>
      <c r="E555" s="25">
        <f t="shared" si="26"/>
        <v>10811600</v>
      </c>
      <c r="F555" s="20">
        <v>1</v>
      </c>
      <c r="G555" s="20"/>
      <c r="I555" s="21">
        <f t="shared" si="27"/>
        <v>139.16689872725175</v>
      </c>
    </row>
    <row r="556" spans="1:9">
      <c r="A556" s="22">
        <v>42866</v>
      </c>
      <c r="B556" s="21">
        <v>65.081626999999997</v>
      </c>
      <c r="C556" s="23">
        <v>28789400</v>
      </c>
      <c r="D556" s="24">
        <f t="shared" si="25"/>
        <v>-1.1692158233145044E-3</v>
      </c>
      <c r="E556" s="25">
        <f t="shared" si="26"/>
        <v>-10075300</v>
      </c>
      <c r="F556" s="20">
        <v>1</v>
      </c>
      <c r="G556" s="20"/>
      <c r="I556" s="21">
        <f t="shared" si="27"/>
        <v>139.16745097472366</v>
      </c>
    </row>
    <row r="557" spans="1:9">
      <c r="A557" s="22">
        <v>42867</v>
      </c>
      <c r="B557" s="21">
        <v>65.005577000000002</v>
      </c>
      <c r="C557" s="23">
        <v>18714100</v>
      </c>
      <c r="D557" s="24">
        <f t="shared" si="25"/>
        <v>7.3091623394578025E-4</v>
      </c>
      <c r="E557" s="25">
        <f t="shared" si="26"/>
        <v>12816200</v>
      </c>
      <c r="F557" s="20">
        <v>1</v>
      </c>
      <c r="G557" s="20"/>
      <c r="I557" s="21">
        <f t="shared" si="27"/>
        <v>139.16800322438704</v>
      </c>
    </row>
    <row r="558" spans="1:9">
      <c r="A558" s="22">
        <v>42870</v>
      </c>
      <c r="B558" s="21">
        <v>65.053107999999995</v>
      </c>
      <c r="C558" s="23">
        <v>31530300</v>
      </c>
      <c r="D558" s="24">
        <f t="shared" si="25"/>
        <v>1.9935207611500846E-2</v>
      </c>
      <c r="E558" s="25">
        <f t="shared" si="26"/>
        <v>3425700</v>
      </c>
      <c r="F558" s="20">
        <v>1</v>
      </c>
      <c r="G558" s="20"/>
      <c r="I558" s="21">
        <f t="shared" si="27"/>
        <v>139.16855547624186</v>
      </c>
    </row>
    <row r="559" spans="1:9">
      <c r="A559" s="22">
        <v>42871</v>
      </c>
      <c r="B559" s="21">
        <v>66.362967999999995</v>
      </c>
      <c r="C559" s="23">
        <v>34956000</v>
      </c>
      <c r="D559" s="24">
        <f t="shared" si="25"/>
        <v>-2.8199817794360427E-2</v>
      </c>
      <c r="E559" s="25">
        <f t="shared" si="26"/>
        <v>-4407200</v>
      </c>
      <c r="F559" s="20">
        <v>1</v>
      </c>
      <c r="G559" s="20"/>
      <c r="I559" s="21">
        <f t="shared" si="27"/>
        <v>139.16910773028815</v>
      </c>
    </row>
    <row r="560" spans="1:9">
      <c r="A560" s="22">
        <v>42872</v>
      </c>
      <c r="B560" s="21">
        <v>64.517685</v>
      </c>
      <c r="C560" s="23">
        <v>30548800</v>
      </c>
      <c r="D560" s="24">
        <f t="shared" si="25"/>
        <v>3.4026033717746511E-3</v>
      </c>
      <c r="E560" s="25">
        <f t="shared" si="26"/>
        <v>-5347500</v>
      </c>
      <c r="F560" s="20">
        <v>1</v>
      </c>
      <c r="G560" s="20"/>
      <c r="I560" s="21">
        <f t="shared" si="27"/>
        <v>139.16965998652591</v>
      </c>
    </row>
    <row r="561" spans="1:9">
      <c r="A561" s="22">
        <v>42873</v>
      </c>
      <c r="B561" s="21">
        <v>64.737587000000005</v>
      </c>
      <c r="C561" s="23">
        <v>25201300</v>
      </c>
      <c r="D561" s="24">
        <f t="shared" si="25"/>
        <v>-2.9526620605626876E-4</v>
      </c>
      <c r="E561" s="25">
        <f t="shared" si="26"/>
        <v>1759800</v>
      </c>
      <c r="F561" s="20">
        <v>1</v>
      </c>
      <c r="G561" s="20"/>
      <c r="I561" s="21">
        <f t="shared" si="27"/>
        <v>139.17021224495517</v>
      </c>
    </row>
    <row r="562" spans="1:9">
      <c r="A562" s="22">
        <v>42874</v>
      </c>
      <c r="B562" s="21">
        <v>64.718474999999998</v>
      </c>
      <c r="C562" s="23">
        <v>26961100</v>
      </c>
      <c r="D562" s="24">
        <f t="shared" si="25"/>
        <v>1.1164898531311139E-2</v>
      </c>
      <c r="E562" s="25">
        <f t="shared" si="26"/>
        <v>-10723500</v>
      </c>
      <c r="F562" s="20">
        <v>1</v>
      </c>
      <c r="G562" s="20"/>
      <c r="I562" s="21">
        <f t="shared" si="27"/>
        <v>139.1707645055759</v>
      </c>
    </row>
    <row r="563" spans="1:9">
      <c r="A563" s="22">
        <v>42877</v>
      </c>
      <c r="B563" s="21">
        <v>65.445098999999999</v>
      </c>
      <c r="C563" s="23">
        <v>16237600</v>
      </c>
      <c r="D563" s="24">
        <f t="shared" si="25"/>
        <v>3.3545881332865523E-3</v>
      </c>
      <c r="E563" s="25">
        <f t="shared" si="26"/>
        <v>-811800</v>
      </c>
      <c r="F563" s="20">
        <v>1</v>
      </c>
      <c r="G563" s="20"/>
      <c r="I563" s="21">
        <f t="shared" si="27"/>
        <v>139.17131676838815</v>
      </c>
    </row>
    <row r="564" spans="1:9">
      <c r="A564" s="22">
        <v>42878</v>
      </c>
      <c r="B564" s="21">
        <v>65.665008999999998</v>
      </c>
      <c r="C564" s="23">
        <v>15425800</v>
      </c>
      <c r="D564" s="24">
        <f t="shared" si="25"/>
        <v>1.309596504494805E-3</v>
      </c>
      <c r="E564" s="25">
        <f t="shared" si="26"/>
        <v>-831900</v>
      </c>
      <c r="F564" s="20">
        <v>1</v>
      </c>
      <c r="G564" s="20"/>
      <c r="I564" s="21">
        <f t="shared" si="27"/>
        <v>139.17186903339191</v>
      </c>
    </row>
    <row r="565" spans="1:9">
      <c r="A565" s="22">
        <v>42879</v>
      </c>
      <c r="B565" s="21">
        <v>65.751059999999995</v>
      </c>
      <c r="C565" s="23">
        <v>14593900</v>
      </c>
      <c r="D565" s="24">
        <f t="shared" si="25"/>
        <v>1.2284357492404665E-2</v>
      </c>
      <c r="E565" s="25">
        <f t="shared" si="26"/>
        <v>7260200</v>
      </c>
      <c r="F565" s="20">
        <v>1</v>
      </c>
      <c r="G565" s="20"/>
      <c r="I565" s="21">
        <f t="shared" si="27"/>
        <v>139.17242130058719</v>
      </c>
    </row>
    <row r="566" spans="1:9">
      <c r="A566" s="22">
        <v>42880</v>
      </c>
      <c r="B566" s="21">
        <v>66.563750999999996</v>
      </c>
      <c r="C566" s="23">
        <v>21854100</v>
      </c>
      <c r="D566" s="24">
        <f t="shared" si="25"/>
        <v>4.8714188751061826E-3</v>
      </c>
      <c r="E566" s="25">
        <f t="shared" si="26"/>
        <v>-2026200</v>
      </c>
      <c r="F566" s="20">
        <v>1</v>
      </c>
      <c r="G566" s="20"/>
      <c r="I566" s="21">
        <f t="shared" si="27"/>
        <v>139.17297356997398</v>
      </c>
    </row>
    <row r="567" spans="1:9">
      <c r="A567" s="22">
        <v>42881</v>
      </c>
      <c r="B567" s="21">
        <v>66.888801999999998</v>
      </c>
      <c r="C567" s="23">
        <v>19827900</v>
      </c>
      <c r="D567" s="24">
        <f t="shared" si="25"/>
        <v>6.4120896244082995E-3</v>
      </c>
      <c r="E567" s="25">
        <f t="shared" si="26"/>
        <v>-2755100</v>
      </c>
      <c r="F567" s="20">
        <v>1</v>
      </c>
      <c r="G567" s="20"/>
      <c r="I567" s="21">
        <f t="shared" si="27"/>
        <v>139.1735258415523</v>
      </c>
    </row>
    <row r="568" spans="1:9">
      <c r="A568" s="22">
        <v>42885</v>
      </c>
      <c r="B568" s="21">
        <v>67.319076999999993</v>
      </c>
      <c r="C568" s="23">
        <v>17072800</v>
      </c>
      <c r="D568" s="24">
        <f t="shared" si="25"/>
        <v>-8.1287072548552781E-3</v>
      </c>
      <c r="E568" s="25">
        <f t="shared" si="26"/>
        <v>13363600</v>
      </c>
      <c r="F568" s="20">
        <v>1</v>
      </c>
      <c r="G568" s="20"/>
      <c r="I568" s="21">
        <f t="shared" si="27"/>
        <v>139.17407811532217</v>
      </c>
    </row>
    <row r="569" spans="1:9">
      <c r="A569" s="22">
        <v>42886</v>
      </c>
      <c r="B569" s="21">
        <v>66.774078000000003</v>
      </c>
      <c r="C569" s="23">
        <v>30436400</v>
      </c>
      <c r="D569" s="24">
        <f t="shared" si="25"/>
        <v>3.7159242707276766E-3</v>
      </c>
      <c r="E569" s="25">
        <f t="shared" si="26"/>
        <v>-8832800</v>
      </c>
      <c r="F569" s="20">
        <v>1</v>
      </c>
      <c r="G569" s="20"/>
      <c r="I569" s="21">
        <f t="shared" si="27"/>
        <v>139.17463039128361</v>
      </c>
    </row>
    <row r="570" spans="1:9">
      <c r="A570" s="22">
        <v>42887</v>
      </c>
      <c r="B570" s="21">
        <v>67.022666999999998</v>
      </c>
      <c r="C570" s="23">
        <v>21603600</v>
      </c>
      <c r="D570" s="24">
        <f t="shared" si="25"/>
        <v>2.3404433186981079E-2</v>
      </c>
      <c r="E570" s="25">
        <f t="shared" si="26"/>
        <v>13166700</v>
      </c>
      <c r="F570" s="20">
        <v>1</v>
      </c>
      <c r="G570" s="20"/>
      <c r="I570" s="21">
        <f t="shared" si="27"/>
        <v>139.17518266943662</v>
      </c>
    </row>
    <row r="571" spans="1:9">
      <c r="A571" s="22">
        <v>42888</v>
      </c>
      <c r="B571" s="21">
        <v>68.609795000000005</v>
      </c>
      <c r="C571" s="23">
        <v>34770300</v>
      </c>
      <c r="D571" s="24">
        <f t="shared" si="25"/>
        <v>7.2203141385030825E-3</v>
      </c>
      <c r="E571" s="25">
        <f t="shared" si="26"/>
        <v>-1453500</v>
      </c>
      <c r="F571" s="20">
        <v>1</v>
      </c>
      <c r="G571" s="20"/>
      <c r="I571" s="21">
        <f t="shared" si="27"/>
        <v>139.1757349497812</v>
      </c>
    </row>
    <row r="572" spans="1:9">
      <c r="A572" s="22">
        <v>42891</v>
      </c>
      <c r="B572" s="21">
        <v>69.106971999999999</v>
      </c>
      <c r="C572" s="23">
        <v>33316800</v>
      </c>
      <c r="D572" s="24">
        <f t="shared" si="25"/>
        <v>3.314873830460596E-3</v>
      </c>
      <c r="E572" s="25">
        <f t="shared" si="26"/>
        <v>-1805700</v>
      </c>
      <c r="F572" s="20">
        <v>1</v>
      </c>
      <c r="G572" s="20"/>
      <c r="I572" s="21">
        <f t="shared" si="27"/>
        <v>139.17628723231735</v>
      </c>
    </row>
    <row r="573" spans="1:9">
      <c r="A573" s="22">
        <v>42892</v>
      </c>
      <c r="B573" s="21">
        <v>69.336433</v>
      </c>
      <c r="C573" s="23">
        <v>31511100</v>
      </c>
      <c r="D573" s="24">
        <f t="shared" si="25"/>
        <v>-1.7941726566914622E-3</v>
      </c>
      <c r="E573" s="25">
        <f t="shared" si="26"/>
        <v>-9209300</v>
      </c>
      <c r="F573" s="20">
        <v>1</v>
      </c>
      <c r="G573" s="20"/>
      <c r="I573" s="21">
        <f t="shared" si="27"/>
        <v>139.1768395170451</v>
      </c>
    </row>
    <row r="574" spans="1:9">
      <c r="A574" s="22">
        <v>42893</v>
      </c>
      <c r="B574" s="21">
        <v>69.212142999999998</v>
      </c>
      <c r="C574" s="23">
        <v>22301800</v>
      </c>
      <c r="D574" s="24">
        <f t="shared" si="25"/>
        <v>-6.0967438535315431E-3</v>
      </c>
      <c r="E574" s="25">
        <f t="shared" si="26"/>
        <v>2286500</v>
      </c>
      <c r="F574" s="20">
        <v>1</v>
      </c>
      <c r="G574" s="20"/>
      <c r="I574" s="21">
        <f t="shared" si="27"/>
        <v>139.17739180396444</v>
      </c>
    </row>
    <row r="575" spans="1:9">
      <c r="A575" s="22">
        <v>42894</v>
      </c>
      <c r="B575" s="21">
        <v>68.791458000000006</v>
      </c>
      <c r="C575" s="23">
        <v>24588300</v>
      </c>
      <c r="D575" s="24">
        <f t="shared" si="25"/>
        <v>-2.2915128980887309E-2</v>
      </c>
      <c r="E575" s="25">
        <f t="shared" si="26"/>
        <v>24599100</v>
      </c>
      <c r="F575" s="20">
        <v>1</v>
      </c>
      <c r="G575" s="20"/>
      <c r="I575" s="21">
        <f t="shared" si="27"/>
        <v>139.17794409307538</v>
      </c>
    </row>
    <row r="576" spans="1:9">
      <c r="A576" s="22">
        <v>42895</v>
      </c>
      <c r="B576" s="21">
        <v>67.233017000000004</v>
      </c>
      <c r="C576" s="23">
        <v>49187400</v>
      </c>
      <c r="D576" s="24">
        <f t="shared" si="25"/>
        <v>-7.7090799341699191E-3</v>
      </c>
      <c r="E576" s="25">
        <f t="shared" si="26"/>
        <v>-1425700</v>
      </c>
      <c r="F576" s="20">
        <v>1</v>
      </c>
      <c r="G576" s="20"/>
      <c r="I576" s="21">
        <f t="shared" si="27"/>
        <v>139.17849638437795</v>
      </c>
    </row>
    <row r="577" spans="1:9">
      <c r="A577" s="22">
        <v>42898</v>
      </c>
      <c r="B577" s="21">
        <v>66.716705000000005</v>
      </c>
      <c r="C577" s="23">
        <v>47761700</v>
      </c>
      <c r="D577" s="24">
        <f t="shared" si="25"/>
        <v>1.2390827542803885E-2</v>
      </c>
      <c r="E577" s="25">
        <f t="shared" si="26"/>
        <v>-22503100</v>
      </c>
      <c r="F577" s="20">
        <v>1</v>
      </c>
      <c r="G577" s="20"/>
      <c r="I577" s="21">
        <f t="shared" si="27"/>
        <v>139.17904867787212</v>
      </c>
    </row>
    <row r="578" spans="1:9">
      <c r="A578" s="22">
        <v>42899</v>
      </c>
      <c r="B578" s="21">
        <v>67.548523000000003</v>
      </c>
      <c r="C578" s="23">
        <v>25258600</v>
      </c>
      <c r="D578" s="24">
        <f t="shared" si="25"/>
        <v>-5.3930499777684725E-3</v>
      </c>
      <c r="E578" s="25">
        <f t="shared" si="26"/>
        <v>252100</v>
      </c>
      <c r="F578" s="20">
        <v>1</v>
      </c>
      <c r="G578" s="20"/>
      <c r="I578" s="21">
        <f t="shared" si="27"/>
        <v>139.17960097355794</v>
      </c>
    </row>
    <row r="579" spans="1:9">
      <c r="A579" s="22">
        <v>42900</v>
      </c>
      <c r="B579" s="21">
        <v>67.185210999999995</v>
      </c>
      <c r="C579" s="23">
        <v>25510700</v>
      </c>
      <c r="D579" s="24">
        <f t="shared" ref="D579:D642" si="28">LN(B580/B579)</f>
        <v>-5.2792361069481982E-3</v>
      </c>
      <c r="E579" s="25">
        <f t="shared" ref="E579:E642" si="29">C580-C579</f>
        <v>558000</v>
      </c>
      <c r="F579" s="20">
        <v>1</v>
      </c>
      <c r="G579" s="20"/>
      <c r="I579" s="21">
        <f t="shared" si="27"/>
        <v>139.18015327143539</v>
      </c>
    </row>
    <row r="580" spans="1:9">
      <c r="A580" s="22">
        <v>42901</v>
      </c>
      <c r="B580" s="21">
        <v>66.831458999999995</v>
      </c>
      <c r="C580" s="23">
        <v>26068700</v>
      </c>
      <c r="D580" s="24">
        <f t="shared" si="28"/>
        <v>1.4296212179432713E-3</v>
      </c>
      <c r="E580" s="25">
        <f t="shared" si="29"/>
        <v>22276400</v>
      </c>
      <c r="F580" s="20">
        <v>1</v>
      </c>
      <c r="G580" s="20"/>
      <c r="I580" s="21">
        <f t="shared" si="27"/>
        <v>139.18070557150449</v>
      </c>
    </row>
    <row r="581" spans="1:9">
      <c r="A581" s="22">
        <v>42902</v>
      </c>
      <c r="B581" s="21">
        <v>66.927070999999998</v>
      </c>
      <c r="C581" s="23">
        <v>48345100</v>
      </c>
      <c r="D581" s="24">
        <f t="shared" si="28"/>
        <v>1.2351765892940254E-2</v>
      </c>
      <c r="E581" s="25">
        <f t="shared" si="29"/>
        <v>-24546800</v>
      </c>
      <c r="F581" s="20">
        <v>1</v>
      </c>
      <c r="G581" s="20"/>
      <c r="I581" s="21">
        <f t="shared" si="27"/>
        <v>139.18125787376525</v>
      </c>
    </row>
    <row r="582" spans="1:9">
      <c r="A582" s="22">
        <v>42905</v>
      </c>
      <c r="B582" s="21">
        <v>67.758865</v>
      </c>
      <c r="C582" s="23">
        <v>23798300</v>
      </c>
      <c r="D582" s="24">
        <f t="shared" si="28"/>
        <v>-1.3638470622301188E-2</v>
      </c>
      <c r="E582" s="25">
        <f t="shared" si="29"/>
        <v>-2286100</v>
      </c>
      <c r="F582" s="20">
        <v>1</v>
      </c>
      <c r="G582" s="20"/>
      <c r="I582" s="21">
        <f t="shared" si="27"/>
        <v>139.18181017821769</v>
      </c>
    </row>
    <row r="583" spans="1:9">
      <c r="A583" s="22">
        <v>42906</v>
      </c>
      <c r="B583" s="21">
        <v>66.841010999999995</v>
      </c>
      <c r="C583" s="23">
        <v>21512200</v>
      </c>
      <c r="D583" s="24">
        <f t="shared" si="28"/>
        <v>5.1363196183659083E-3</v>
      </c>
      <c r="E583" s="25">
        <f t="shared" si="29"/>
        <v>-1621100</v>
      </c>
      <c r="F583" s="20">
        <v>1</v>
      </c>
      <c r="G583" s="20"/>
      <c r="I583" s="21">
        <f t="shared" si="27"/>
        <v>139.18236248486178</v>
      </c>
    </row>
    <row r="584" spans="1:9">
      <c r="A584" s="22">
        <v>42907</v>
      </c>
      <c r="B584" s="21">
        <v>67.185210999999995</v>
      </c>
      <c r="C584" s="23">
        <v>19891100</v>
      </c>
      <c r="D584" s="24">
        <f t="shared" si="28"/>
        <v>-1.4240754892722043E-4</v>
      </c>
      <c r="E584" s="25">
        <f t="shared" si="29"/>
        <v>3074600</v>
      </c>
      <c r="F584" s="20">
        <v>1</v>
      </c>
      <c r="G584" s="20"/>
      <c r="I584" s="21">
        <f t="shared" si="27"/>
        <v>139.18291479369756</v>
      </c>
    </row>
    <row r="585" spans="1:9">
      <c r="A585" s="22">
        <v>42908</v>
      </c>
      <c r="B585" s="21">
        <v>67.175644000000005</v>
      </c>
      <c r="C585" s="23">
        <v>22965700</v>
      </c>
      <c r="D585" s="24">
        <f t="shared" si="28"/>
        <v>1.3430599637776784E-2</v>
      </c>
      <c r="E585" s="25">
        <f t="shared" si="29"/>
        <v>4651600</v>
      </c>
      <c r="F585" s="20">
        <v>1</v>
      </c>
      <c r="G585" s="20"/>
      <c r="I585" s="21">
        <f t="shared" si="27"/>
        <v>139.18346710472505</v>
      </c>
    </row>
    <row r="586" spans="1:9">
      <c r="A586" s="22">
        <v>42909</v>
      </c>
      <c r="B586" s="21">
        <v>68.083939000000001</v>
      </c>
      <c r="C586" s="23">
        <v>27617300</v>
      </c>
      <c r="D586" s="24">
        <f t="shared" si="28"/>
        <v>-9.5952023661622192E-3</v>
      </c>
      <c r="E586" s="25">
        <f t="shared" si="29"/>
        <v>-8010300</v>
      </c>
      <c r="F586" s="20">
        <v>1</v>
      </c>
      <c r="G586" s="20"/>
      <c r="I586" s="21">
        <f t="shared" si="27"/>
        <v>139.18401941794423</v>
      </c>
    </row>
    <row r="587" spans="1:9">
      <c r="A587" s="22">
        <v>42912</v>
      </c>
      <c r="B587" s="21">
        <v>67.433784000000003</v>
      </c>
      <c r="C587" s="23">
        <v>19607000</v>
      </c>
      <c r="D587" s="24">
        <f t="shared" si="28"/>
        <v>-1.8892685268761641E-2</v>
      </c>
      <c r="E587" s="25">
        <f t="shared" si="29"/>
        <v>5608100</v>
      </c>
      <c r="F587" s="20">
        <v>1</v>
      </c>
      <c r="G587" s="20"/>
      <c r="I587" s="21">
        <f t="shared" si="27"/>
        <v>139.18457173335511</v>
      </c>
    </row>
    <row r="588" spans="1:9">
      <c r="A588" s="22">
        <v>42913</v>
      </c>
      <c r="B588" s="21">
        <v>66.171738000000005</v>
      </c>
      <c r="C588" s="23">
        <v>25215100</v>
      </c>
      <c r="D588" s="24">
        <f t="shared" si="28"/>
        <v>8.4887914779397337E-3</v>
      </c>
      <c r="E588" s="25">
        <f t="shared" si="29"/>
        <v>591100</v>
      </c>
      <c r="F588" s="20">
        <v>1</v>
      </c>
      <c r="G588" s="20"/>
      <c r="I588" s="21">
        <f t="shared" si="27"/>
        <v>139.18512405095774</v>
      </c>
    </row>
    <row r="589" spans="1:9">
      <c r="A589" s="22">
        <v>42914</v>
      </c>
      <c r="B589" s="21">
        <v>66.735847000000007</v>
      </c>
      <c r="C589" s="23">
        <v>25806200</v>
      </c>
      <c r="D589" s="24">
        <f t="shared" si="28"/>
        <v>-1.8946287169094855E-2</v>
      </c>
      <c r="E589" s="25">
        <f t="shared" si="29"/>
        <v>3112500</v>
      </c>
      <c r="F589" s="20">
        <v>1</v>
      </c>
      <c r="G589" s="20"/>
      <c r="I589" s="21">
        <f t="shared" si="27"/>
        <v>139.18567637075208</v>
      </c>
    </row>
    <row r="590" spans="1:9">
      <c r="A590" s="22">
        <v>42915</v>
      </c>
      <c r="B590" s="21">
        <v>65.483352999999994</v>
      </c>
      <c r="C590" s="23">
        <v>28918700</v>
      </c>
      <c r="D590" s="24">
        <f t="shared" si="28"/>
        <v>6.4036352340090773E-3</v>
      </c>
      <c r="E590" s="25">
        <f t="shared" si="29"/>
        <v>-4757600</v>
      </c>
      <c r="F590" s="20">
        <v>1</v>
      </c>
      <c r="G590" s="20"/>
      <c r="I590" s="21">
        <f t="shared" si="27"/>
        <v>139.18622869273815</v>
      </c>
    </row>
    <row r="591" spans="1:9">
      <c r="A591" s="22">
        <v>42916</v>
      </c>
      <c r="B591" s="21">
        <v>65.904030000000006</v>
      </c>
      <c r="C591" s="23">
        <v>24161100</v>
      </c>
      <c r="D591" s="24">
        <f t="shared" si="28"/>
        <v>-1.1086947908740097E-2</v>
      </c>
      <c r="E591" s="25">
        <f t="shared" si="29"/>
        <v>-7995600</v>
      </c>
      <c r="F591" s="20">
        <v>1</v>
      </c>
      <c r="G591" s="20"/>
      <c r="I591" s="21">
        <f t="shared" si="27"/>
        <v>139.18678101691597</v>
      </c>
    </row>
    <row r="592" spans="1:9">
      <c r="A592" s="22">
        <v>42919</v>
      </c>
      <c r="B592" s="21">
        <v>65.177391</v>
      </c>
      <c r="C592" s="23">
        <v>16165500</v>
      </c>
      <c r="D592" s="24">
        <f t="shared" si="28"/>
        <v>1.32606267084719E-2</v>
      </c>
      <c r="E592" s="25">
        <f t="shared" si="29"/>
        <v>5010800</v>
      </c>
      <c r="F592" s="20">
        <v>1</v>
      </c>
      <c r="G592" s="20"/>
      <c r="I592" s="21">
        <f t="shared" si="27"/>
        <v>139.18733334328556</v>
      </c>
    </row>
    <row r="593" spans="1:9">
      <c r="A593" s="22">
        <v>42921</v>
      </c>
      <c r="B593" s="21">
        <v>66.047439999999995</v>
      </c>
      <c r="C593" s="23">
        <v>21176300</v>
      </c>
      <c r="D593" s="24">
        <f t="shared" si="28"/>
        <v>-7.4100041005069443E-3</v>
      </c>
      <c r="E593" s="25">
        <f t="shared" si="29"/>
        <v>-58700</v>
      </c>
      <c r="F593" s="20">
        <v>1</v>
      </c>
      <c r="G593" s="20"/>
      <c r="I593" s="21">
        <f t="shared" si="27"/>
        <v>139.18788567184691</v>
      </c>
    </row>
    <row r="594" spans="1:9">
      <c r="A594" s="22">
        <v>42922</v>
      </c>
      <c r="B594" s="21">
        <v>65.559837000000002</v>
      </c>
      <c r="C594" s="23">
        <v>21117600</v>
      </c>
      <c r="D594" s="24">
        <f t="shared" si="28"/>
        <v>1.2895929350948764E-2</v>
      </c>
      <c r="E594" s="25">
        <f t="shared" si="29"/>
        <v>-4239300</v>
      </c>
      <c r="F594" s="20">
        <v>1</v>
      </c>
      <c r="G594" s="20"/>
      <c r="I594" s="21">
        <f t="shared" si="27"/>
        <v>139.18843800260004</v>
      </c>
    </row>
    <row r="595" spans="1:9">
      <c r="A595" s="22">
        <v>42923</v>
      </c>
      <c r="B595" s="21">
        <v>66.410767000000007</v>
      </c>
      <c r="C595" s="23">
        <v>16878300</v>
      </c>
      <c r="D595" s="24">
        <f t="shared" si="28"/>
        <v>7.4585075278742301E-3</v>
      </c>
      <c r="E595" s="25">
        <f t="shared" si="29"/>
        <v>-1863800</v>
      </c>
      <c r="F595" s="20">
        <v>1</v>
      </c>
      <c r="G595" s="20"/>
      <c r="I595" s="21">
        <f t="shared" si="27"/>
        <v>139.18899033554493</v>
      </c>
    </row>
    <row r="596" spans="1:9">
      <c r="A596" s="22">
        <v>42926</v>
      </c>
      <c r="B596" s="21">
        <v>66.907944000000001</v>
      </c>
      <c r="C596" s="23">
        <v>15014500</v>
      </c>
      <c r="D596" s="24">
        <f t="shared" si="28"/>
        <v>1.4263357679557205E-4</v>
      </c>
      <c r="E596" s="25">
        <f t="shared" si="29"/>
        <v>2445500</v>
      </c>
      <c r="F596" s="20">
        <v>1</v>
      </c>
      <c r="G596" s="20"/>
      <c r="I596" s="21">
        <f t="shared" si="27"/>
        <v>139.18954267068162</v>
      </c>
    </row>
    <row r="597" spans="1:9">
      <c r="A597" s="22">
        <v>42927</v>
      </c>
      <c r="B597" s="21">
        <v>66.917488000000006</v>
      </c>
      <c r="C597" s="23">
        <v>17460000</v>
      </c>
      <c r="D597" s="24">
        <f t="shared" si="28"/>
        <v>1.6438290699486855E-2</v>
      </c>
      <c r="E597" s="25">
        <f t="shared" si="29"/>
        <v>290900</v>
      </c>
      <c r="F597" s="20">
        <v>1</v>
      </c>
      <c r="G597" s="20"/>
      <c r="I597" s="21">
        <f t="shared" si="27"/>
        <v>139.1900950080101</v>
      </c>
    </row>
    <row r="598" spans="1:9">
      <c r="A598" s="22">
        <v>42928</v>
      </c>
      <c r="B598" s="21">
        <v>68.026588000000004</v>
      </c>
      <c r="C598" s="23">
        <v>17750900</v>
      </c>
      <c r="D598" s="24">
        <f t="shared" si="28"/>
        <v>8.6759944654972079E-3</v>
      </c>
      <c r="E598" s="25">
        <f t="shared" si="29"/>
        <v>2518900</v>
      </c>
      <c r="F598" s="20">
        <v>1</v>
      </c>
      <c r="G598" s="20"/>
      <c r="I598" s="21">
        <f t="shared" si="27"/>
        <v>139.19064734753039</v>
      </c>
    </row>
    <row r="599" spans="1:9">
      <c r="A599" s="22">
        <v>42929</v>
      </c>
      <c r="B599" s="21">
        <v>68.619354000000001</v>
      </c>
      <c r="C599" s="23">
        <v>20269800</v>
      </c>
      <c r="D599" s="24">
        <f t="shared" si="28"/>
        <v>1.397483477809822E-2</v>
      </c>
      <c r="E599" s="25">
        <f t="shared" si="29"/>
        <v>5598300</v>
      </c>
      <c r="F599" s="20">
        <v>1</v>
      </c>
      <c r="G599" s="20"/>
      <c r="I599" s="21">
        <f t="shared" si="27"/>
        <v>139.1911996892425</v>
      </c>
    </row>
    <row r="600" spans="1:9">
      <c r="A600" s="22">
        <v>42930</v>
      </c>
      <c r="B600" s="21">
        <v>69.585030000000003</v>
      </c>
      <c r="C600" s="23">
        <v>25868100</v>
      </c>
      <c r="D600" s="24">
        <f t="shared" si="28"/>
        <v>7.8011617719977496E-3</v>
      </c>
      <c r="E600" s="25">
        <f t="shared" si="29"/>
        <v>-4064200</v>
      </c>
      <c r="F600" s="20">
        <v>1</v>
      </c>
      <c r="G600" s="20"/>
      <c r="I600" s="21">
        <f t="shared" si="27"/>
        <v>139.19175203314643</v>
      </c>
    </row>
    <row r="601" spans="1:9">
      <c r="A601" s="22">
        <v>42933</v>
      </c>
      <c r="B601" s="21">
        <v>70.129997000000003</v>
      </c>
      <c r="C601" s="23">
        <v>21803900</v>
      </c>
      <c r="D601" s="24">
        <f t="shared" si="28"/>
        <v>-6.8190936229443335E-4</v>
      </c>
      <c r="E601" s="25">
        <f t="shared" si="29"/>
        <v>4631400</v>
      </c>
      <c r="F601" s="20">
        <v>1</v>
      </c>
      <c r="G601" s="20"/>
      <c r="I601" s="21">
        <f t="shared" si="27"/>
        <v>139.19230437924219</v>
      </c>
    </row>
    <row r="602" spans="1:9">
      <c r="A602" s="22">
        <v>42934</v>
      </c>
      <c r="B602" s="21">
        <v>70.082190999999995</v>
      </c>
      <c r="C602" s="23">
        <v>26435300</v>
      </c>
      <c r="D602" s="24">
        <f t="shared" si="28"/>
        <v>7.6107939324657212E-3</v>
      </c>
      <c r="E602" s="25">
        <f t="shared" si="29"/>
        <v>-4019100</v>
      </c>
      <c r="F602" s="20">
        <v>1</v>
      </c>
      <c r="G602" s="20"/>
      <c r="I602" s="21">
        <f t="shared" si="27"/>
        <v>139.1928567275298</v>
      </c>
    </row>
    <row r="603" spans="1:9">
      <c r="A603" s="22">
        <v>42935</v>
      </c>
      <c r="B603" s="21">
        <v>70.617607000000007</v>
      </c>
      <c r="C603" s="23">
        <v>22416200</v>
      </c>
      <c r="D603" s="24">
        <f t="shared" si="28"/>
        <v>4.8622983865369779E-3</v>
      </c>
      <c r="E603" s="25">
        <f t="shared" si="29"/>
        <v>19944800</v>
      </c>
      <c r="F603" s="20">
        <v>1</v>
      </c>
      <c r="G603" s="20"/>
      <c r="I603" s="21">
        <f t="shared" si="27"/>
        <v>139.19340907800924</v>
      </c>
    </row>
    <row r="604" spans="1:9">
      <c r="A604" s="22">
        <v>42936</v>
      </c>
      <c r="B604" s="21">
        <v>70.961806999999993</v>
      </c>
      <c r="C604" s="23">
        <v>42361000</v>
      </c>
      <c r="D604" s="24">
        <f t="shared" si="28"/>
        <v>-5.8104575728234057E-3</v>
      </c>
      <c r="E604" s="25">
        <f t="shared" si="29"/>
        <v>4356100</v>
      </c>
      <c r="F604" s="20">
        <v>1</v>
      </c>
      <c r="G604" s="20"/>
      <c r="I604" s="21">
        <f t="shared" si="27"/>
        <v>139.19396143068056</v>
      </c>
    </row>
    <row r="605" spans="1:9">
      <c r="A605" s="22">
        <v>42937</v>
      </c>
      <c r="B605" s="21">
        <v>70.550681999999995</v>
      </c>
      <c r="C605" s="23">
        <v>46717100</v>
      </c>
      <c r="D605" s="24">
        <f t="shared" si="28"/>
        <v>-2.5781503978157031E-3</v>
      </c>
      <c r="E605" s="25">
        <f t="shared" si="29"/>
        <v>-25322300</v>
      </c>
      <c r="F605" s="20">
        <v>1</v>
      </c>
      <c r="G605" s="20"/>
      <c r="I605" s="21">
        <f t="shared" si="27"/>
        <v>139.19451378554373</v>
      </c>
    </row>
    <row r="606" spans="1:9">
      <c r="A606" s="22">
        <v>42940</v>
      </c>
      <c r="B606" s="21">
        <v>70.369026000000005</v>
      </c>
      <c r="C606" s="23">
        <v>21394800</v>
      </c>
      <c r="D606" s="24">
        <f t="shared" si="28"/>
        <v>7.9844920834341616E-3</v>
      </c>
      <c r="E606" s="25">
        <f t="shared" si="29"/>
        <v>623900</v>
      </c>
      <c r="F606" s="20">
        <v>1</v>
      </c>
      <c r="G606" s="20"/>
      <c r="I606" s="21">
        <f t="shared" si="27"/>
        <v>139.19506614259879</v>
      </c>
    </row>
    <row r="607" spans="1:9">
      <c r="A607" s="22">
        <v>42941</v>
      </c>
      <c r="B607" s="21">
        <v>70.933136000000005</v>
      </c>
      <c r="C607" s="23">
        <v>22018700</v>
      </c>
      <c r="D607" s="24">
        <f t="shared" si="28"/>
        <v>-1.8890957996488824E-3</v>
      </c>
      <c r="E607" s="25">
        <f t="shared" si="29"/>
        <v>-5766500</v>
      </c>
      <c r="F607" s="20">
        <v>1</v>
      </c>
      <c r="G607" s="20"/>
      <c r="I607" s="21">
        <f t="shared" si="27"/>
        <v>139.19561850184573</v>
      </c>
    </row>
    <row r="608" spans="1:9">
      <c r="A608" s="22">
        <v>42942</v>
      </c>
      <c r="B608" s="21">
        <v>70.799262999999996</v>
      </c>
      <c r="C608" s="23">
        <v>16252200</v>
      </c>
      <c r="D608" s="24">
        <f t="shared" si="28"/>
        <v>-1.2091607151406758E-2</v>
      </c>
      <c r="E608" s="25">
        <f t="shared" si="29"/>
        <v>20592000</v>
      </c>
      <c r="F608" s="20">
        <v>1</v>
      </c>
      <c r="G608" s="20"/>
      <c r="I608" s="21">
        <f t="shared" si="27"/>
        <v>139.19617086328455</v>
      </c>
    </row>
    <row r="609" spans="1:9">
      <c r="A609" s="22">
        <v>42943</v>
      </c>
      <c r="B609" s="21">
        <v>69.948340999999999</v>
      </c>
      <c r="C609" s="23">
        <v>36844200</v>
      </c>
      <c r="D609" s="24">
        <f t="shared" si="28"/>
        <v>-1.6417861857979824E-3</v>
      </c>
      <c r="E609" s="25">
        <f t="shared" si="29"/>
        <v>-18537500</v>
      </c>
      <c r="F609" s="20">
        <v>1</v>
      </c>
      <c r="G609" s="20"/>
      <c r="I609" s="21">
        <f t="shared" si="27"/>
        <v>139.19672322691528</v>
      </c>
    </row>
    <row r="610" spans="1:9">
      <c r="A610" s="22">
        <v>42944</v>
      </c>
      <c r="B610" s="21">
        <v>69.833595000000003</v>
      </c>
      <c r="C610" s="23">
        <v>18306700</v>
      </c>
      <c r="D610" s="24">
        <f t="shared" si="28"/>
        <v>-4.6657188512514132E-3</v>
      </c>
      <c r="E610" s="25">
        <f t="shared" si="29"/>
        <v>5293400</v>
      </c>
      <c r="F610" s="20">
        <v>1</v>
      </c>
      <c r="G610" s="20"/>
      <c r="I610" s="21">
        <f t="shared" ref="I610:I673" si="30">I609*EXP($L$31*$L$33+$L$32*H610*SQRT($L$33))</f>
        <v>139.19727559273792</v>
      </c>
    </row>
    <row r="611" spans="1:9">
      <c r="A611" s="22">
        <v>42947</v>
      </c>
      <c r="B611" s="21">
        <v>69.508529999999993</v>
      </c>
      <c r="C611" s="23">
        <v>23600100</v>
      </c>
      <c r="D611" s="24">
        <f t="shared" si="28"/>
        <v>-1.6517507592447985E-3</v>
      </c>
      <c r="E611" s="25">
        <f t="shared" si="29"/>
        <v>-1467800</v>
      </c>
      <c r="F611" s="20">
        <v>1</v>
      </c>
      <c r="G611" s="20"/>
      <c r="I611" s="21">
        <f t="shared" si="30"/>
        <v>139.19782796075248</v>
      </c>
    </row>
    <row r="612" spans="1:9">
      <c r="A612" s="22">
        <v>42948</v>
      </c>
      <c r="B612" s="21">
        <v>69.393814000000006</v>
      </c>
      <c r="C612" s="23">
        <v>22132300</v>
      </c>
      <c r="D612" s="24">
        <f t="shared" si="28"/>
        <v>-4.4188159586316085E-3</v>
      </c>
      <c r="E612" s="25">
        <f t="shared" si="29"/>
        <v>4366900</v>
      </c>
      <c r="F612" s="20">
        <v>1</v>
      </c>
      <c r="G612" s="20"/>
      <c r="I612" s="21">
        <f t="shared" si="30"/>
        <v>139.19838033095897</v>
      </c>
    </row>
    <row r="613" spans="1:9">
      <c r="A613" s="22">
        <v>42949</v>
      </c>
      <c r="B613" s="21">
        <v>69.087851999999998</v>
      </c>
      <c r="C613" s="23">
        <v>26499200</v>
      </c>
      <c r="D613" s="24">
        <f t="shared" si="28"/>
        <v>-1.5234390431541154E-3</v>
      </c>
      <c r="E613" s="25">
        <f t="shared" si="29"/>
        <v>-8284800</v>
      </c>
      <c r="F613" s="20">
        <v>1</v>
      </c>
      <c r="G613" s="20"/>
      <c r="I613" s="21">
        <f t="shared" si="30"/>
        <v>139.1989327033574</v>
      </c>
    </row>
    <row r="614" spans="1:9">
      <c r="A614" s="22">
        <v>42950</v>
      </c>
      <c r="B614" s="21">
        <v>68.982680999999999</v>
      </c>
      <c r="C614" s="23">
        <v>18214400</v>
      </c>
      <c r="D614" s="24">
        <f t="shared" si="28"/>
        <v>7.3190088938762778E-3</v>
      </c>
      <c r="E614" s="25">
        <f t="shared" si="29"/>
        <v>4364600</v>
      </c>
      <c r="F614" s="20">
        <v>1</v>
      </c>
      <c r="G614" s="20"/>
      <c r="I614" s="21">
        <f t="shared" si="30"/>
        <v>139.19948507794777</v>
      </c>
    </row>
    <row r="615" spans="1:9">
      <c r="A615" s="22">
        <v>42951</v>
      </c>
      <c r="B615" s="21">
        <v>69.489418000000001</v>
      </c>
      <c r="C615" s="23">
        <v>22579000</v>
      </c>
      <c r="D615" s="24">
        <f t="shared" si="28"/>
        <v>-3.8599402404802217E-3</v>
      </c>
      <c r="E615" s="25">
        <f t="shared" si="29"/>
        <v>-3873300</v>
      </c>
      <c r="F615" s="20">
        <v>1</v>
      </c>
      <c r="G615" s="20"/>
      <c r="I615" s="21">
        <f t="shared" si="30"/>
        <v>139.20003745473011</v>
      </c>
    </row>
    <row r="616" spans="1:9">
      <c r="A616" s="22">
        <v>42954</v>
      </c>
      <c r="B616" s="21">
        <v>69.221710000000002</v>
      </c>
      <c r="C616" s="23">
        <v>18705700</v>
      </c>
      <c r="D616" s="24">
        <f t="shared" si="28"/>
        <v>5.3721777378385703E-3</v>
      </c>
      <c r="E616" s="25">
        <f t="shared" si="29"/>
        <v>3338900</v>
      </c>
      <c r="F616" s="20">
        <v>1</v>
      </c>
      <c r="G616" s="20"/>
      <c r="I616" s="21">
        <f t="shared" si="30"/>
        <v>139.20058983370438</v>
      </c>
    </row>
    <row r="617" spans="1:9">
      <c r="A617" s="22">
        <v>42955</v>
      </c>
      <c r="B617" s="21">
        <v>69.594582000000003</v>
      </c>
      <c r="C617" s="23">
        <v>22044600</v>
      </c>
      <c r="D617" s="24">
        <f t="shared" si="28"/>
        <v>-4.4058238498586415E-3</v>
      </c>
      <c r="E617" s="25">
        <f t="shared" si="29"/>
        <v>168800</v>
      </c>
      <c r="F617" s="20">
        <v>1</v>
      </c>
      <c r="G617" s="20"/>
      <c r="I617" s="21">
        <f t="shared" si="30"/>
        <v>139.20114221487066</v>
      </c>
    </row>
    <row r="618" spans="1:9">
      <c r="A618" s="22">
        <v>42956</v>
      </c>
      <c r="B618" s="21">
        <v>69.288634999999999</v>
      </c>
      <c r="C618" s="23">
        <v>22213400</v>
      </c>
      <c r="D618" s="24">
        <f t="shared" si="28"/>
        <v>-1.4734972691603253E-2</v>
      </c>
      <c r="E618" s="25">
        <f t="shared" si="29"/>
        <v>2521100</v>
      </c>
      <c r="F618" s="20">
        <v>1</v>
      </c>
      <c r="G618" s="20"/>
      <c r="I618" s="21">
        <f t="shared" si="30"/>
        <v>139.2016945982289</v>
      </c>
    </row>
    <row r="619" spans="1:9">
      <c r="A619" s="22">
        <v>42957</v>
      </c>
      <c r="B619" s="21">
        <v>68.275154000000001</v>
      </c>
      <c r="C619" s="23">
        <v>24734500</v>
      </c>
      <c r="D619" s="24">
        <f t="shared" si="28"/>
        <v>1.514879331930615E-2</v>
      </c>
      <c r="E619" s="25">
        <f t="shared" si="29"/>
        <v>-3290800</v>
      </c>
      <c r="F619" s="20">
        <v>1</v>
      </c>
      <c r="G619" s="20"/>
      <c r="I619" s="21">
        <f t="shared" si="30"/>
        <v>139.20224698377913</v>
      </c>
    </row>
    <row r="620" spans="1:9">
      <c r="A620" s="22">
        <v>42958</v>
      </c>
      <c r="B620" s="21">
        <v>69.317313999999996</v>
      </c>
      <c r="C620" s="23">
        <v>21443700</v>
      </c>
      <c r="D620" s="24">
        <f t="shared" si="28"/>
        <v>1.4922514551373891E-2</v>
      </c>
      <c r="E620" s="25">
        <f t="shared" si="29"/>
        <v>-1347100</v>
      </c>
      <c r="F620" s="20">
        <v>1</v>
      </c>
      <c r="G620" s="20"/>
      <c r="I620" s="21">
        <f t="shared" si="30"/>
        <v>139.20279937152137</v>
      </c>
    </row>
    <row r="621" spans="1:9">
      <c r="A621" s="22">
        <v>42961</v>
      </c>
      <c r="B621" s="21">
        <v>70.359459000000001</v>
      </c>
      <c r="C621" s="23">
        <v>20096600</v>
      </c>
      <c r="D621" s="24">
        <f t="shared" si="28"/>
        <v>2.7333029241064752E-4</v>
      </c>
      <c r="E621" s="25">
        <f t="shared" si="29"/>
        <v>-915200</v>
      </c>
      <c r="F621" s="20">
        <v>1</v>
      </c>
      <c r="G621" s="20"/>
      <c r="I621" s="21">
        <f t="shared" si="30"/>
        <v>139.20335176145559</v>
      </c>
    </row>
    <row r="622" spans="1:9">
      <c r="A622" s="22">
        <v>42962</v>
      </c>
      <c r="B622" s="21">
        <v>70.378692999999998</v>
      </c>
      <c r="C622" s="23">
        <v>19181400</v>
      </c>
      <c r="D622" s="24">
        <f t="shared" si="28"/>
        <v>5.8554388606984276E-3</v>
      </c>
      <c r="E622" s="25">
        <f t="shared" si="29"/>
        <v>-1031000</v>
      </c>
      <c r="F622" s="20">
        <v>1</v>
      </c>
      <c r="G622" s="20"/>
      <c r="I622" s="21">
        <f t="shared" si="30"/>
        <v>139.20390415358185</v>
      </c>
    </row>
    <row r="623" spans="1:9">
      <c r="A623" s="22">
        <v>42963</v>
      </c>
      <c r="B623" s="21">
        <v>70.792000000000002</v>
      </c>
      <c r="C623" s="23">
        <v>18150400</v>
      </c>
      <c r="D623" s="24">
        <f t="shared" si="28"/>
        <v>-1.7117821235523693E-2</v>
      </c>
      <c r="E623" s="25">
        <f t="shared" si="29"/>
        <v>4827100</v>
      </c>
      <c r="F623" s="20">
        <v>1</v>
      </c>
      <c r="G623" s="20"/>
      <c r="I623" s="21">
        <f t="shared" si="30"/>
        <v>139.20445654790012</v>
      </c>
    </row>
    <row r="624" spans="1:9">
      <c r="A624" s="22">
        <v>42964</v>
      </c>
      <c r="B624" s="21">
        <v>69.590508</v>
      </c>
      <c r="C624" s="23">
        <v>22977500</v>
      </c>
      <c r="D624" s="24">
        <f t="shared" si="28"/>
        <v>1.2423429098293855E-3</v>
      </c>
      <c r="E624" s="25">
        <f t="shared" si="29"/>
        <v>-4216000</v>
      </c>
      <c r="F624" s="20">
        <v>1</v>
      </c>
      <c r="G624" s="20"/>
      <c r="I624" s="21">
        <f t="shared" si="30"/>
        <v>139.20500894441042</v>
      </c>
    </row>
    <row r="625" spans="1:9">
      <c r="A625" s="22">
        <v>42965</v>
      </c>
      <c r="B625" s="21">
        <v>69.677017000000006</v>
      </c>
      <c r="C625" s="23">
        <v>18761500</v>
      </c>
      <c r="D625" s="24">
        <f t="shared" si="28"/>
        <v>-4.7013179257244979E-3</v>
      </c>
      <c r="E625" s="25">
        <f t="shared" si="29"/>
        <v>-1026700</v>
      </c>
      <c r="F625" s="20">
        <v>1</v>
      </c>
      <c r="G625" s="20"/>
      <c r="I625" s="21">
        <f t="shared" si="30"/>
        <v>139.20556134311278</v>
      </c>
    </row>
    <row r="626" spans="1:9">
      <c r="A626" s="22">
        <v>42968</v>
      </c>
      <c r="B626" s="21">
        <v>69.350211999999999</v>
      </c>
      <c r="C626" s="23">
        <v>17734800</v>
      </c>
      <c r="D626" s="24">
        <f t="shared" si="28"/>
        <v>1.390169688252766E-2</v>
      </c>
      <c r="E626" s="25">
        <f t="shared" si="29"/>
        <v>-3391100</v>
      </c>
      <c r="F626" s="20">
        <v>1</v>
      </c>
      <c r="G626" s="20"/>
      <c r="I626" s="21">
        <f t="shared" si="30"/>
        <v>139.20611374400718</v>
      </c>
    </row>
    <row r="627" spans="1:9">
      <c r="A627" s="22">
        <v>42969</v>
      </c>
      <c r="B627" s="21">
        <v>70.321029999999993</v>
      </c>
      <c r="C627" s="23">
        <v>14343700</v>
      </c>
      <c r="D627" s="24">
        <f t="shared" si="28"/>
        <v>-6.0324048008673636E-3</v>
      </c>
      <c r="E627" s="25">
        <f t="shared" si="29"/>
        <v>-577200</v>
      </c>
      <c r="F627" s="20">
        <v>1</v>
      </c>
      <c r="G627" s="20"/>
      <c r="I627" s="21">
        <f t="shared" si="30"/>
        <v>139.20666614709364</v>
      </c>
    </row>
    <row r="628" spans="1:9">
      <c r="A628" s="22">
        <v>42970</v>
      </c>
      <c r="B628" s="21">
        <v>69.898101999999994</v>
      </c>
      <c r="C628" s="23">
        <v>13766500</v>
      </c>
      <c r="D628" s="24">
        <f t="shared" si="28"/>
        <v>-4.1278594700200051E-4</v>
      </c>
      <c r="E628" s="25">
        <f t="shared" si="29"/>
        <v>3331800</v>
      </c>
      <c r="F628" s="20">
        <v>1</v>
      </c>
      <c r="G628" s="20"/>
      <c r="I628" s="21">
        <f t="shared" si="30"/>
        <v>139.20721855237215</v>
      </c>
    </row>
    <row r="629" spans="1:9">
      <c r="A629" s="22">
        <v>42971</v>
      </c>
      <c r="B629" s="21">
        <v>69.869254999999995</v>
      </c>
      <c r="C629" s="23">
        <v>17098300</v>
      </c>
      <c r="D629" s="24">
        <f t="shared" si="28"/>
        <v>1.7865859039786481E-3</v>
      </c>
      <c r="E629" s="25">
        <f t="shared" si="29"/>
        <v>-4304000</v>
      </c>
      <c r="F629" s="20">
        <v>1</v>
      </c>
      <c r="G629" s="20"/>
      <c r="I629" s="21">
        <f t="shared" si="30"/>
        <v>139.20777095984275</v>
      </c>
    </row>
    <row r="630" spans="1:9">
      <c r="A630" s="22">
        <v>42972</v>
      </c>
      <c r="B630" s="21">
        <v>69.994193999999993</v>
      </c>
      <c r="C630" s="23">
        <v>12794300</v>
      </c>
      <c r="D630" s="24">
        <f t="shared" si="28"/>
        <v>1.3754480656608559E-4</v>
      </c>
      <c r="E630" s="25">
        <f t="shared" si="29"/>
        <v>1775400</v>
      </c>
      <c r="F630" s="20">
        <v>1</v>
      </c>
      <c r="G630" s="20"/>
      <c r="I630" s="21">
        <f t="shared" si="30"/>
        <v>139.20832336950542</v>
      </c>
    </row>
    <row r="631" spans="1:9">
      <c r="A631" s="22">
        <v>42975</v>
      </c>
      <c r="B631" s="21">
        <v>70.003822</v>
      </c>
      <c r="C631" s="23">
        <v>14569700</v>
      </c>
      <c r="D631" s="24">
        <f t="shared" si="28"/>
        <v>3.0160963633496119E-3</v>
      </c>
      <c r="E631" s="25">
        <f t="shared" si="29"/>
        <v>-3091300</v>
      </c>
      <c r="F631" s="20">
        <v>1</v>
      </c>
      <c r="G631" s="20"/>
      <c r="I631" s="21">
        <f t="shared" si="30"/>
        <v>139.20887578136021</v>
      </c>
    </row>
    <row r="632" spans="1:9">
      <c r="A632" s="22">
        <v>42976</v>
      </c>
      <c r="B632" s="21">
        <v>70.215278999999995</v>
      </c>
      <c r="C632" s="23">
        <v>11478400</v>
      </c>
      <c r="D632" s="24">
        <f t="shared" si="28"/>
        <v>1.305603893926781E-2</v>
      </c>
      <c r="E632" s="25">
        <f t="shared" si="29"/>
        <v>5419400</v>
      </c>
      <c r="F632" s="20">
        <v>1</v>
      </c>
      <c r="G632" s="20"/>
      <c r="I632" s="21">
        <f t="shared" si="30"/>
        <v>139.20942819540707</v>
      </c>
    </row>
    <row r="633" spans="1:9">
      <c r="A633" s="22">
        <v>42977</v>
      </c>
      <c r="B633" s="21">
        <v>71.138023000000004</v>
      </c>
      <c r="C633" s="23">
        <v>16897800</v>
      </c>
      <c r="D633" s="24">
        <f t="shared" si="28"/>
        <v>1.0216724441662155E-2</v>
      </c>
      <c r="E633" s="25">
        <f t="shared" si="29"/>
        <v>10755000</v>
      </c>
      <c r="F633" s="20">
        <v>1</v>
      </c>
      <c r="G633" s="20"/>
      <c r="I633" s="21">
        <f t="shared" si="30"/>
        <v>139.20998061164607</v>
      </c>
    </row>
    <row r="634" spans="1:9">
      <c r="A634" s="22">
        <v>42978</v>
      </c>
      <c r="B634" s="21">
        <v>71.868545999999995</v>
      </c>
      <c r="C634" s="23">
        <v>27652800</v>
      </c>
      <c r="D634" s="24">
        <f t="shared" si="28"/>
        <v>-1.1162882755511439E-2</v>
      </c>
      <c r="E634" s="25">
        <f t="shared" si="29"/>
        <v>-5916600</v>
      </c>
      <c r="F634" s="20">
        <v>1</v>
      </c>
      <c r="G634" s="20"/>
      <c r="I634" s="21">
        <f t="shared" si="30"/>
        <v>139.21053303007719</v>
      </c>
    </row>
    <row r="635" spans="1:9">
      <c r="A635" s="22">
        <v>42979</v>
      </c>
      <c r="B635" s="21">
        <v>71.070746999999997</v>
      </c>
      <c r="C635" s="23">
        <v>21736200</v>
      </c>
      <c r="D635" s="24">
        <f t="shared" si="28"/>
        <v>-4.4730349367868528E-3</v>
      </c>
      <c r="E635" s="25">
        <f t="shared" si="29"/>
        <v>-180200</v>
      </c>
      <c r="F635" s="20">
        <v>1</v>
      </c>
      <c r="G635" s="20"/>
      <c r="I635" s="21">
        <f t="shared" si="30"/>
        <v>139.21108545070044</v>
      </c>
    </row>
    <row r="636" spans="1:9">
      <c r="A636" s="22">
        <v>42983</v>
      </c>
      <c r="B636" s="21">
        <v>70.753555000000006</v>
      </c>
      <c r="C636" s="23">
        <v>21556000</v>
      </c>
      <c r="D636" s="24">
        <f t="shared" si="28"/>
        <v>-2.8569515207526762E-3</v>
      </c>
      <c r="E636" s="25">
        <f t="shared" si="29"/>
        <v>-5020200</v>
      </c>
      <c r="F636" s="20">
        <v>1</v>
      </c>
      <c r="G636" s="20"/>
      <c r="I636" s="21">
        <f t="shared" si="30"/>
        <v>139.21163787351583</v>
      </c>
    </row>
    <row r="637" spans="1:9">
      <c r="A637" s="22">
        <v>42984</v>
      </c>
      <c r="B637" s="21">
        <v>70.551704000000001</v>
      </c>
      <c r="C637" s="23">
        <v>16535800</v>
      </c>
      <c r="D637" s="24">
        <f t="shared" si="28"/>
        <v>1.2725058725881368E-2</v>
      </c>
      <c r="E637" s="25">
        <f t="shared" si="29"/>
        <v>935400</v>
      </c>
      <c r="F637" s="20">
        <v>1</v>
      </c>
      <c r="G637" s="20"/>
      <c r="I637" s="21">
        <f t="shared" si="30"/>
        <v>139.21219029852335</v>
      </c>
    </row>
    <row r="638" spans="1:9">
      <c r="A638" s="22">
        <v>42985</v>
      </c>
      <c r="B638" s="21">
        <v>71.455214999999995</v>
      </c>
      <c r="C638" s="23">
        <v>17471200</v>
      </c>
      <c r="D638" s="24">
        <f t="shared" si="28"/>
        <v>-4.8541661595843041E-3</v>
      </c>
      <c r="E638" s="25">
        <f t="shared" si="29"/>
        <v>-2767400</v>
      </c>
      <c r="F638" s="20">
        <v>1</v>
      </c>
      <c r="G638" s="20"/>
      <c r="I638" s="21">
        <f t="shared" si="30"/>
        <v>139.21274272572302</v>
      </c>
    </row>
    <row r="639" spans="1:9">
      <c r="A639" s="22">
        <v>42986</v>
      </c>
      <c r="B639" s="21">
        <v>71.109200000000001</v>
      </c>
      <c r="C639" s="23">
        <v>14703800</v>
      </c>
      <c r="D639" s="24">
        <f t="shared" si="28"/>
        <v>1.0488098273365439E-2</v>
      </c>
      <c r="E639" s="25">
        <f t="shared" si="29"/>
        <v>3206600</v>
      </c>
      <c r="F639" s="20">
        <v>1</v>
      </c>
      <c r="G639" s="20"/>
      <c r="I639" s="21">
        <f t="shared" si="30"/>
        <v>139.21329515511485</v>
      </c>
    </row>
    <row r="640" spans="1:9">
      <c r="A640" s="22">
        <v>42989</v>
      </c>
      <c r="B640" s="21">
        <v>71.858924999999999</v>
      </c>
      <c r="C640" s="23">
        <v>17910400</v>
      </c>
      <c r="D640" s="24">
        <f t="shared" si="28"/>
        <v>-1.0705721656052158E-3</v>
      </c>
      <c r="E640" s="25">
        <f t="shared" si="29"/>
        <v>-3515500</v>
      </c>
      <c r="F640" s="20">
        <v>1</v>
      </c>
      <c r="G640" s="20"/>
      <c r="I640" s="21">
        <f t="shared" si="30"/>
        <v>139.21384758669885</v>
      </c>
    </row>
    <row r="641" spans="1:9">
      <c r="A641" s="22">
        <v>42990</v>
      </c>
      <c r="B641" s="21">
        <v>71.782036000000005</v>
      </c>
      <c r="C641" s="23">
        <v>14394900</v>
      </c>
      <c r="D641" s="24">
        <f t="shared" si="28"/>
        <v>7.0719333027703651E-3</v>
      </c>
      <c r="E641" s="25">
        <f t="shared" si="29"/>
        <v>-1014100</v>
      </c>
      <c r="F641" s="20">
        <v>1</v>
      </c>
      <c r="G641" s="20"/>
      <c r="I641" s="21">
        <f t="shared" si="30"/>
        <v>139.21440002047504</v>
      </c>
    </row>
    <row r="642" spans="1:9">
      <c r="A642" s="22">
        <v>42991</v>
      </c>
      <c r="B642" s="21">
        <v>72.291472999999996</v>
      </c>
      <c r="C642" s="23">
        <v>13380800</v>
      </c>
      <c r="D642" s="24">
        <f t="shared" si="28"/>
        <v>-5.8674827637765631E-3</v>
      </c>
      <c r="E642" s="25">
        <f t="shared" si="29"/>
        <v>2353100</v>
      </c>
      <c r="F642" s="20">
        <v>1</v>
      </c>
      <c r="G642" s="20"/>
      <c r="I642" s="21">
        <f t="shared" si="30"/>
        <v>139.21495245644343</v>
      </c>
    </row>
    <row r="643" spans="1:9">
      <c r="A643" s="22">
        <v>42992</v>
      </c>
      <c r="B643" s="21">
        <v>71.868545999999995</v>
      </c>
      <c r="C643" s="23">
        <v>15733900</v>
      </c>
      <c r="D643" s="24">
        <f t="shared" ref="D643:D706" si="31">LN(B644/B643)</f>
        <v>7.1959407096923627E-3</v>
      </c>
      <c r="E643" s="25">
        <f t="shared" ref="E643:E706" si="32">C644-C643</f>
        <v>22844500</v>
      </c>
      <c r="F643" s="20">
        <v>1</v>
      </c>
      <c r="G643" s="20"/>
      <c r="I643" s="21">
        <f t="shared" si="30"/>
        <v>139.21550489460401</v>
      </c>
    </row>
    <row r="644" spans="1:9">
      <c r="A644" s="22">
        <v>42993</v>
      </c>
      <c r="B644" s="21">
        <v>72.387573000000003</v>
      </c>
      <c r="C644" s="23">
        <v>38578400</v>
      </c>
      <c r="D644" s="24">
        <f t="shared" si="31"/>
        <v>-1.9935569370974344E-3</v>
      </c>
      <c r="E644" s="25">
        <f t="shared" si="32"/>
        <v>-15271400</v>
      </c>
      <c r="F644" s="20">
        <v>1</v>
      </c>
      <c r="G644" s="20"/>
      <c r="I644" s="21">
        <f t="shared" si="30"/>
        <v>139.21605733495679</v>
      </c>
    </row>
    <row r="645" spans="1:9">
      <c r="A645" s="22">
        <v>42996</v>
      </c>
      <c r="B645" s="21">
        <v>72.243408000000002</v>
      </c>
      <c r="C645" s="23">
        <v>23307000</v>
      </c>
      <c r="D645" s="24">
        <f t="shared" si="31"/>
        <v>3.71856625252398E-3</v>
      </c>
      <c r="E645" s="25">
        <f t="shared" si="32"/>
        <v>-7213700</v>
      </c>
      <c r="F645" s="20">
        <v>1</v>
      </c>
      <c r="G645" s="20"/>
      <c r="I645" s="21">
        <f t="shared" si="30"/>
        <v>139.21660977750179</v>
      </c>
    </row>
    <row r="646" spans="1:9">
      <c r="A646" s="22">
        <v>42997</v>
      </c>
      <c r="B646" s="21">
        <v>72.512550000000005</v>
      </c>
      <c r="C646" s="23">
        <v>16093300</v>
      </c>
      <c r="D646" s="24">
        <f t="shared" si="31"/>
        <v>-6.649963036464787E-3</v>
      </c>
      <c r="E646" s="25">
        <f t="shared" si="32"/>
        <v>5494600</v>
      </c>
      <c r="F646" s="20">
        <v>1</v>
      </c>
      <c r="G646" s="20"/>
      <c r="I646" s="21">
        <f t="shared" si="30"/>
        <v>139.21716222223901</v>
      </c>
    </row>
    <row r="647" spans="1:9">
      <c r="A647" s="22">
        <v>42998</v>
      </c>
      <c r="B647" s="21">
        <v>72.031943999999996</v>
      </c>
      <c r="C647" s="23">
        <v>21587900</v>
      </c>
      <c r="D647" s="24">
        <f t="shared" si="31"/>
        <v>-9.789031959026466E-3</v>
      </c>
      <c r="E647" s="25">
        <f t="shared" si="32"/>
        <v>-2401800</v>
      </c>
      <c r="F647" s="20">
        <v>1</v>
      </c>
      <c r="G647" s="20"/>
      <c r="I647" s="21">
        <f t="shared" si="30"/>
        <v>139.21771466916846</v>
      </c>
    </row>
    <row r="648" spans="1:9">
      <c r="A648" s="22">
        <v>42999</v>
      </c>
      <c r="B648" s="21">
        <v>71.330260999999993</v>
      </c>
      <c r="C648" s="23">
        <v>19186100</v>
      </c>
      <c r="D648" s="24">
        <f t="shared" si="31"/>
        <v>2.6915280501624084E-3</v>
      </c>
      <c r="E648" s="25">
        <f t="shared" si="32"/>
        <v>-5074700</v>
      </c>
      <c r="F648" s="20">
        <v>1</v>
      </c>
      <c r="G648" s="20"/>
      <c r="I648" s="21">
        <f t="shared" si="30"/>
        <v>139.21826711829016</v>
      </c>
    </row>
    <row r="649" spans="1:9">
      <c r="A649" s="22">
        <v>43000</v>
      </c>
      <c r="B649" s="21">
        <v>71.522507000000004</v>
      </c>
      <c r="C649" s="23">
        <v>14111400</v>
      </c>
      <c r="D649" s="24">
        <f t="shared" si="31"/>
        <v>-1.5575625953720118E-2</v>
      </c>
      <c r="E649" s="25">
        <f t="shared" si="32"/>
        <v>10037800</v>
      </c>
      <c r="F649" s="20">
        <v>1</v>
      </c>
      <c r="G649" s="20"/>
      <c r="I649" s="21">
        <f t="shared" si="30"/>
        <v>139.21881956960411</v>
      </c>
    </row>
    <row r="650" spans="1:9">
      <c r="A650" s="22">
        <v>43003</v>
      </c>
      <c r="B650" s="21">
        <v>70.41713</v>
      </c>
      <c r="C650" s="23">
        <v>24149200</v>
      </c>
      <c r="D650" s="24">
        <f t="shared" si="31"/>
        <v>0</v>
      </c>
      <c r="E650" s="25">
        <f t="shared" si="32"/>
        <v>-6129600</v>
      </c>
      <c r="F650" s="20">
        <v>1</v>
      </c>
      <c r="G650" s="20"/>
      <c r="I650" s="21">
        <f t="shared" si="30"/>
        <v>139.21937202311031</v>
      </c>
    </row>
    <row r="651" spans="1:9">
      <c r="A651" s="22">
        <v>43004</v>
      </c>
      <c r="B651" s="21">
        <v>70.41713</v>
      </c>
      <c r="C651" s="23">
        <v>18019600</v>
      </c>
      <c r="D651" s="24">
        <f t="shared" si="31"/>
        <v>8.0212949664849459E-3</v>
      </c>
      <c r="E651" s="25">
        <f t="shared" si="32"/>
        <v>1545500</v>
      </c>
      <c r="F651" s="20">
        <v>1</v>
      </c>
      <c r="G651" s="20"/>
      <c r="I651" s="21">
        <f t="shared" si="30"/>
        <v>139.21992447880879</v>
      </c>
    </row>
    <row r="652" spans="1:9">
      <c r="A652" s="22">
        <v>43005</v>
      </c>
      <c r="B652" s="21">
        <v>70.984238000000005</v>
      </c>
      <c r="C652" s="23">
        <v>19565100</v>
      </c>
      <c r="D652" s="24">
        <f t="shared" si="31"/>
        <v>2.7091077464507944E-4</v>
      </c>
      <c r="E652" s="25">
        <f t="shared" si="32"/>
        <v>-8681300</v>
      </c>
      <c r="F652" s="20">
        <v>1</v>
      </c>
      <c r="G652" s="20"/>
      <c r="I652" s="21">
        <f t="shared" si="30"/>
        <v>139.22047693669953</v>
      </c>
    </row>
    <row r="653" spans="1:9">
      <c r="A653" s="22">
        <v>43006</v>
      </c>
      <c r="B653" s="21">
        <v>71.003471000000005</v>
      </c>
      <c r="C653" s="23">
        <v>10883800</v>
      </c>
      <c r="D653" s="24">
        <f t="shared" si="31"/>
        <v>8.3579727726990072E-3</v>
      </c>
      <c r="E653" s="25">
        <f t="shared" si="32"/>
        <v>6195300</v>
      </c>
      <c r="F653" s="20">
        <v>1</v>
      </c>
      <c r="G653" s="20"/>
      <c r="I653" s="21">
        <f t="shared" si="30"/>
        <v>139.22102939678257</v>
      </c>
    </row>
    <row r="654" spans="1:9">
      <c r="A654" s="22">
        <v>43007</v>
      </c>
      <c r="B654" s="21">
        <v>71.599402999999995</v>
      </c>
      <c r="C654" s="23">
        <v>17079100</v>
      </c>
      <c r="D654" s="24">
        <f t="shared" si="31"/>
        <v>1.609527502289455E-3</v>
      </c>
      <c r="E654" s="25">
        <f t="shared" si="32"/>
        <v>-1774300</v>
      </c>
      <c r="F654" s="20">
        <v>1</v>
      </c>
      <c r="G654" s="20"/>
      <c r="I654" s="21">
        <f t="shared" si="30"/>
        <v>139.22158185905789</v>
      </c>
    </row>
    <row r="655" spans="1:9">
      <c r="A655" s="22">
        <v>43010</v>
      </c>
      <c r="B655" s="21">
        <v>71.714737</v>
      </c>
      <c r="C655" s="23">
        <v>15304800</v>
      </c>
      <c r="D655" s="24">
        <f t="shared" si="31"/>
        <v>-4.7018855267785976E-3</v>
      </c>
      <c r="E655" s="25">
        <f t="shared" si="32"/>
        <v>-3114400</v>
      </c>
      <c r="F655" s="20">
        <v>1</v>
      </c>
      <c r="G655" s="20"/>
      <c r="I655" s="21">
        <f t="shared" si="30"/>
        <v>139.22213432352552</v>
      </c>
    </row>
    <row r="656" spans="1:9">
      <c r="A656" s="22">
        <v>43011</v>
      </c>
      <c r="B656" s="21">
        <v>71.378333999999995</v>
      </c>
      <c r="C656" s="23">
        <v>12190400</v>
      </c>
      <c r="D656" s="24">
        <f t="shared" si="31"/>
        <v>5.7736707454368041E-3</v>
      </c>
      <c r="E656" s="25">
        <f t="shared" si="32"/>
        <v>1127300</v>
      </c>
      <c r="F656" s="20">
        <v>1</v>
      </c>
      <c r="G656" s="20"/>
      <c r="I656" s="21">
        <f t="shared" si="30"/>
        <v>139.22268679018546</v>
      </c>
    </row>
    <row r="657" spans="1:9">
      <c r="A657" s="22">
        <v>43012</v>
      </c>
      <c r="B657" s="21">
        <v>71.791640999999998</v>
      </c>
      <c r="C657" s="23">
        <v>13317700</v>
      </c>
      <c r="D657" s="24">
        <f t="shared" si="31"/>
        <v>1.6992237636949112E-2</v>
      </c>
      <c r="E657" s="25">
        <f t="shared" si="32"/>
        <v>7877600</v>
      </c>
      <c r="F657" s="20">
        <v>1</v>
      </c>
      <c r="G657" s="20"/>
      <c r="I657" s="21">
        <f t="shared" si="30"/>
        <v>139.22323925903771</v>
      </c>
    </row>
    <row r="658" spans="1:9">
      <c r="A658" s="22">
        <v>43013</v>
      </c>
      <c r="B658" s="21">
        <v>73.021964999999994</v>
      </c>
      <c r="C658" s="23">
        <v>21195300</v>
      </c>
      <c r="D658" s="24">
        <f t="shared" si="31"/>
        <v>3.9496750821699293E-4</v>
      </c>
      <c r="E658" s="25">
        <f t="shared" si="32"/>
        <v>-7235500</v>
      </c>
      <c r="F658" s="20">
        <v>1</v>
      </c>
      <c r="G658" s="20"/>
      <c r="I658" s="21">
        <f t="shared" si="30"/>
        <v>139.2237917300823</v>
      </c>
    </row>
    <row r="659" spans="1:9">
      <c r="A659" s="22">
        <v>43014</v>
      </c>
      <c r="B659" s="21">
        <v>73.050811999999993</v>
      </c>
      <c r="C659" s="23">
        <v>13959800</v>
      </c>
      <c r="D659" s="24">
        <f t="shared" si="31"/>
        <v>3.808534368775947E-3</v>
      </c>
      <c r="E659" s="25">
        <f t="shared" si="32"/>
        <v>-2573300</v>
      </c>
      <c r="F659" s="20">
        <v>1</v>
      </c>
      <c r="G659" s="20"/>
      <c r="I659" s="21">
        <f t="shared" si="30"/>
        <v>139.22434420331922</v>
      </c>
    </row>
    <row r="660" spans="1:9">
      <c r="A660" s="22">
        <v>43017</v>
      </c>
      <c r="B660" s="21">
        <v>73.329559000000003</v>
      </c>
      <c r="C660" s="23">
        <v>11386500</v>
      </c>
      <c r="D660" s="24">
        <f t="shared" si="31"/>
        <v>0</v>
      </c>
      <c r="E660" s="25">
        <f t="shared" si="32"/>
        <v>2558000</v>
      </c>
      <c r="F660" s="20">
        <v>1</v>
      </c>
      <c r="G660" s="20"/>
      <c r="I660" s="21">
        <f t="shared" si="30"/>
        <v>139.22489667874848</v>
      </c>
    </row>
    <row r="661" spans="1:9">
      <c r="A661" s="22">
        <v>43018</v>
      </c>
      <c r="B661" s="21">
        <v>73.329559000000003</v>
      </c>
      <c r="C661" s="23">
        <v>13944500</v>
      </c>
      <c r="D661" s="24">
        <f t="shared" si="31"/>
        <v>1.7024604159661754E-3</v>
      </c>
      <c r="E661" s="25">
        <f t="shared" si="32"/>
        <v>1444400</v>
      </c>
      <c r="F661" s="20">
        <v>1</v>
      </c>
      <c r="G661" s="20"/>
      <c r="I661" s="21">
        <f t="shared" si="30"/>
        <v>139.2254491563701</v>
      </c>
    </row>
    <row r="662" spans="1:9">
      <c r="A662" s="22">
        <v>43019</v>
      </c>
      <c r="B662" s="21">
        <v>73.454505999999995</v>
      </c>
      <c r="C662" s="23">
        <v>15388900</v>
      </c>
      <c r="D662" s="24">
        <f t="shared" si="31"/>
        <v>9.1181090710511295E-3</v>
      </c>
      <c r="E662" s="25">
        <f t="shared" si="32"/>
        <v>1487600</v>
      </c>
      <c r="F662" s="20">
        <v>1</v>
      </c>
      <c r="G662" s="20"/>
      <c r="I662" s="21">
        <f t="shared" si="30"/>
        <v>139.22600163618409</v>
      </c>
    </row>
    <row r="663" spans="1:9">
      <c r="A663" s="22">
        <v>43020</v>
      </c>
      <c r="B663" s="21">
        <v>74.127335000000002</v>
      </c>
      <c r="C663" s="23">
        <v>16876500</v>
      </c>
      <c r="D663" s="24">
        <f t="shared" si="31"/>
        <v>4.786271818737085E-3</v>
      </c>
      <c r="E663" s="25">
        <f t="shared" si="32"/>
        <v>-1540800</v>
      </c>
      <c r="F663" s="20">
        <v>1</v>
      </c>
      <c r="G663" s="20"/>
      <c r="I663" s="21">
        <f t="shared" si="30"/>
        <v>139.22655411819045</v>
      </c>
    </row>
    <row r="664" spans="1:9">
      <c r="A664" s="22">
        <v>43021</v>
      </c>
      <c r="B664" s="21">
        <v>74.482979</v>
      </c>
      <c r="C664" s="23">
        <v>15335700</v>
      </c>
      <c r="D664" s="24">
        <f t="shared" si="31"/>
        <v>2.0627857175702295E-3</v>
      </c>
      <c r="E664" s="25">
        <f t="shared" si="32"/>
        <v>-2955600</v>
      </c>
      <c r="F664" s="20">
        <v>1</v>
      </c>
      <c r="G664" s="20"/>
      <c r="I664" s="21">
        <f t="shared" si="30"/>
        <v>139.2271066023892</v>
      </c>
    </row>
    <row r="665" spans="1:9">
      <c r="A665" s="22">
        <v>43024</v>
      </c>
      <c r="B665" s="21">
        <v>74.636780000000002</v>
      </c>
      <c r="C665" s="23">
        <v>12380100</v>
      </c>
      <c r="D665" s="24">
        <f t="shared" si="31"/>
        <v>-7.7298742457087395E-4</v>
      </c>
      <c r="E665" s="25">
        <f t="shared" si="32"/>
        <v>4443900</v>
      </c>
      <c r="F665" s="20">
        <v>1</v>
      </c>
      <c r="G665" s="20"/>
      <c r="I665" s="21">
        <f t="shared" si="30"/>
        <v>139.22765908878031</v>
      </c>
    </row>
    <row r="666" spans="1:9">
      <c r="A666" s="22">
        <v>43025</v>
      </c>
      <c r="B666" s="21">
        <v>74.579109000000003</v>
      </c>
      <c r="C666" s="23">
        <v>16824000</v>
      </c>
      <c r="D666" s="24">
        <f t="shared" si="31"/>
        <v>2.5766631325527034E-4</v>
      </c>
      <c r="E666" s="25">
        <f t="shared" si="32"/>
        <v>-3523300</v>
      </c>
      <c r="F666" s="20">
        <v>1</v>
      </c>
      <c r="G666" s="20"/>
      <c r="I666" s="21">
        <f t="shared" si="30"/>
        <v>139.22821157736385</v>
      </c>
    </row>
    <row r="667" spans="1:9">
      <c r="A667" s="22">
        <v>43026</v>
      </c>
      <c r="B667" s="21">
        <v>74.598327999999995</v>
      </c>
      <c r="C667" s="23">
        <v>13300700</v>
      </c>
      <c r="D667" s="24">
        <f t="shared" si="31"/>
        <v>3.8581571583444457E-3</v>
      </c>
      <c r="E667" s="25">
        <f t="shared" si="32"/>
        <v>1792100</v>
      </c>
      <c r="F667" s="20">
        <v>1</v>
      </c>
      <c r="G667" s="20"/>
      <c r="I667" s="21">
        <f t="shared" si="30"/>
        <v>139.22876406813978</v>
      </c>
    </row>
    <row r="668" spans="1:9">
      <c r="A668" s="22">
        <v>43027</v>
      </c>
      <c r="B668" s="21">
        <v>74.886696000000001</v>
      </c>
      <c r="C668" s="23">
        <v>15092800</v>
      </c>
      <c r="D668" s="24">
        <f t="shared" si="31"/>
        <v>1.1485559204868811E-2</v>
      </c>
      <c r="E668" s="25">
        <f t="shared" si="32"/>
        <v>7773600</v>
      </c>
      <c r="F668" s="20">
        <v>1</v>
      </c>
      <c r="G668" s="20"/>
      <c r="I668" s="21">
        <f t="shared" si="30"/>
        <v>139.22931656110813</v>
      </c>
    </row>
    <row r="669" spans="1:9">
      <c r="A669" s="22">
        <v>43028</v>
      </c>
      <c r="B669" s="21">
        <v>75.751769999999993</v>
      </c>
      <c r="C669" s="23">
        <v>22866400</v>
      </c>
      <c r="D669" s="24">
        <f t="shared" si="31"/>
        <v>2.5366486667373816E-4</v>
      </c>
      <c r="E669" s="25">
        <f t="shared" si="32"/>
        <v>-2239200</v>
      </c>
      <c r="F669" s="20">
        <v>1</v>
      </c>
      <c r="G669" s="20"/>
      <c r="I669" s="21">
        <f t="shared" si="30"/>
        <v>139.22986905626891</v>
      </c>
    </row>
    <row r="670" spans="1:9">
      <c r="A670" s="22">
        <v>43031</v>
      </c>
      <c r="B670" s="21">
        <v>75.770988000000003</v>
      </c>
      <c r="C670" s="23">
        <v>20627200</v>
      </c>
      <c r="D670" s="24">
        <f t="shared" si="31"/>
        <v>3.8044265552434633E-4</v>
      </c>
      <c r="E670" s="25">
        <f t="shared" si="32"/>
        <v>-3110000</v>
      </c>
      <c r="F670" s="20">
        <v>1</v>
      </c>
      <c r="G670" s="20"/>
      <c r="I670" s="21">
        <f t="shared" si="30"/>
        <v>139.23042155362211</v>
      </c>
    </row>
    <row r="671" spans="1:9">
      <c r="A671" s="22">
        <v>43032</v>
      </c>
      <c r="B671" s="21">
        <v>75.799819999999997</v>
      </c>
      <c r="C671" s="23">
        <v>17517200</v>
      </c>
      <c r="D671" s="24">
        <f t="shared" si="31"/>
        <v>-2.9206531077623382E-3</v>
      </c>
      <c r="E671" s="25">
        <f t="shared" si="32"/>
        <v>2893600</v>
      </c>
      <c r="F671" s="20">
        <v>1</v>
      </c>
      <c r="G671" s="20"/>
      <c r="I671" s="21">
        <f t="shared" si="30"/>
        <v>139.23097405316776</v>
      </c>
    </row>
    <row r="672" spans="1:9">
      <c r="A672" s="22">
        <v>43033</v>
      </c>
      <c r="B672" s="21">
        <v>75.578757999999993</v>
      </c>
      <c r="C672" s="23">
        <v>20410800</v>
      </c>
      <c r="D672" s="24">
        <f t="shared" si="31"/>
        <v>1.6517318998436311E-3</v>
      </c>
      <c r="E672" s="25">
        <f t="shared" si="32"/>
        <v>11709900</v>
      </c>
      <c r="F672" s="20">
        <v>1</v>
      </c>
      <c r="G672" s="20"/>
      <c r="I672" s="21">
        <f t="shared" si="30"/>
        <v>139.23152655490586</v>
      </c>
    </row>
    <row r="673" spans="1:9">
      <c r="A673" s="22">
        <v>43034</v>
      </c>
      <c r="B673" s="21">
        <v>75.703697000000005</v>
      </c>
      <c r="C673" s="23">
        <v>32120700</v>
      </c>
      <c r="D673" s="24">
        <f t="shared" si="31"/>
        <v>6.2147098317109045E-2</v>
      </c>
      <c r="E673" s="25">
        <f t="shared" si="32"/>
        <v>38946000</v>
      </c>
      <c r="F673" s="20">
        <v>1</v>
      </c>
      <c r="G673" s="20"/>
      <c r="I673" s="21">
        <f t="shared" si="30"/>
        <v>139.2320790588364</v>
      </c>
    </row>
    <row r="674" spans="1:9">
      <c r="A674" s="22">
        <v>43035</v>
      </c>
      <c r="B674" s="21">
        <v>80.557732000000001</v>
      </c>
      <c r="C674" s="23">
        <v>71066700</v>
      </c>
      <c r="D674" s="24">
        <f t="shared" si="31"/>
        <v>9.5418916899277998E-4</v>
      </c>
      <c r="E674" s="25">
        <f t="shared" si="32"/>
        <v>-39310000</v>
      </c>
      <c r="F674" s="20">
        <v>1</v>
      </c>
      <c r="G674" s="20"/>
      <c r="I674" s="21">
        <f t="shared" ref="I674:I737" si="33">I673*EXP($L$31*$L$33+$L$32*H674*SQRT($L$33))</f>
        <v>139.23263156495943</v>
      </c>
    </row>
    <row r="675" spans="1:9">
      <c r="A675" s="22">
        <v>43038</v>
      </c>
      <c r="B675" s="21">
        <v>80.634636</v>
      </c>
      <c r="C675" s="23">
        <v>31756700</v>
      </c>
      <c r="D675" s="24">
        <f t="shared" si="31"/>
        <v>-8.4994907510489836E-3</v>
      </c>
      <c r="E675" s="25">
        <f t="shared" si="32"/>
        <v>-4670100</v>
      </c>
      <c r="F675" s="20">
        <v>1</v>
      </c>
      <c r="G675" s="20"/>
      <c r="I675" s="21">
        <f t="shared" si="33"/>
        <v>139.23318407327494</v>
      </c>
    </row>
    <row r="676" spans="1:9">
      <c r="A676" s="22">
        <v>43039</v>
      </c>
      <c r="B676" s="21">
        <v>79.952186999999995</v>
      </c>
      <c r="C676" s="23">
        <v>27086600</v>
      </c>
      <c r="D676" s="24">
        <f t="shared" si="31"/>
        <v>0</v>
      </c>
      <c r="E676" s="25">
        <f t="shared" si="32"/>
        <v>-4779200</v>
      </c>
      <c r="F676" s="20">
        <v>1</v>
      </c>
      <c r="G676" s="20"/>
      <c r="I676" s="21">
        <f t="shared" si="33"/>
        <v>139.23373658378293</v>
      </c>
    </row>
    <row r="677" spans="1:9">
      <c r="A677" s="22">
        <v>43040</v>
      </c>
      <c r="B677" s="21">
        <v>79.952186999999995</v>
      </c>
      <c r="C677" s="23">
        <v>22307400</v>
      </c>
      <c r="D677" s="24">
        <f t="shared" si="31"/>
        <v>1.0404956324170243E-2</v>
      </c>
      <c r="E677" s="25">
        <f t="shared" si="32"/>
        <v>1685500</v>
      </c>
      <c r="F677" s="20">
        <v>1</v>
      </c>
      <c r="G677" s="20"/>
      <c r="I677" s="21">
        <f t="shared" si="33"/>
        <v>139.23428909648339</v>
      </c>
    </row>
    <row r="678" spans="1:9">
      <c r="A678" s="22">
        <v>43041</v>
      </c>
      <c r="B678" s="21">
        <v>80.788428999999994</v>
      </c>
      <c r="C678" s="23">
        <v>23992900</v>
      </c>
      <c r="D678" s="24">
        <f t="shared" si="31"/>
        <v>1.0701498256046561E-3</v>
      </c>
      <c r="E678" s="25">
        <f t="shared" si="32"/>
        <v>-6359400</v>
      </c>
      <c r="F678" s="20">
        <v>1</v>
      </c>
      <c r="G678" s="20"/>
      <c r="I678" s="21">
        <f t="shared" si="33"/>
        <v>139.23484161137637</v>
      </c>
    </row>
    <row r="679" spans="1:9">
      <c r="A679" s="22">
        <v>43042</v>
      </c>
      <c r="B679" s="21">
        <v>80.874931000000004</v>
      </c>
      <c r="C679" s="23">
        <v>17633500</v>
      </c>
      <c r="D679" s="24">
        <f t="shared" si="31"/>
        <v>3.9145324841498748E-3</v>
      </c>
      <c r="E679" s="25">
        <f t="shared" si="32"/>
        <v>2227400</v>
      </c>
      <c r="F679" s="20">
        <v>1</v>
      </c>
      <c r="G679" s="20"/>
      <c r="I679" s="21">
        <f t="shared" si="33"/>
        <v>139.23539412846185</v>
      </c>
    </row>
    <row r="680" spans="1:9">
      <c r="A680" s="22">
        <v>43045</v>
      </c>
      <c r="B680" s="21">
        <v>81.192138999999997</v>
      </c>
      <c r="C680" s="23">
        <v>19860900</v>
      </c>
      <c r="D680" s="24">
        <f t="shared" si="31"/>
        <v>-2.3707836379158256E-3</v>
      </c>
      <c r="E680" s="25">
        <f t="shared" si="32"/>
        <v>-1921200</v>
      </c>
      <c r="F680" s="20">
        <v>1</v>
      </c>
      <c r="G680" s="20"/>
      <c r="I680" s="21">
        <f t="shared" si="33"/>
        <v>139.23594664773987</v>
      </c>
    </row>
    <row r="681" spans="1:9">
      <c r="A681" s="22">
        <v>43046</v>
      </c>
      <c r="B681" s="21">
        <v>80.999877999999995</v>
      </c>
      <c r="C681" s="23">
        <v>17939700</v>
      </c>
      <c r="D681" s="24">
        <f t="shared" si="31"/>
        <v>3.4354183579071431E-3</v>
      </c>
      <c r="E681" s="25">
        <f t="shared" si="32"/>
        <v>94500</v>
      </c>
      <c r="F681" s="20">
        <v>1</v>
      </c>
      <c r="G681" s="20"/>
      <c r="I681" s="21">
        <f t="shared" si="33"/>
        <v>139.23649916921042</v>
      </c>
    </row>
    <row r="682" spans="1:9">
      <c r="A682" s="22">
        <v>43047</v>
      </c>
      <c r="B682" s="21">
        <v>81.278625000000005</v>
      </c>
      <c r="C682" s="23">
        <v>18034200</v>
      </c>
      <c r="D682" s="24">
        <f t="shared" si="31"/>
        <v>-5.5737432000680272E-3</v>
      </c>
      <c r="E682" s="25">
        <f t="shared" si="32"/>
        <v>3144200</v>
      </c>
      <c r="F682" s="20">
        <v>1</v>
      </c>
      <c r="G682" s="20"/>
      <c r="I682" s="21">
        <f t="shared" si="33"/>
        <v>139.23705169287351</v>
      </c>
    </row>
    <row r="683" spans="1:9">
      <c r="A683" s="22">
        <v>43048</v>
      </c>
      <c r="B683" s="21">
        <v>80.826858999999999</v>
      </c>
      <c r="C683" s="23">
        <v>21178400</v>
      </c>
      <c r="D683" s="24">
        <f t="shared" si="31"/>
        <v>-2.619414519376737E-3</v>
      </c>
      <c r="E683" s="25">
        <f t="shared" si="32"/>
        <v>-1780600</v>
      </c>
      <c r="F683" s="20">
        <v>1</v>
      </c>
      <c r="G683" s="20"/>
      <c r="I683" s="21">
        <f t="shared" si="33"/>
        <v>139.23760421872913</v>
      </c>
    </row>
    <row r="684" spans="1:9">
      <c r="A684" s="22">
        <v>43049</v>
      </c>
      <c r="B684" s="21">
        <v>80.615416999999994</v>
      </c>
      <c r="C684" s="23">
        <v>19397800</v>
      </c>
      <c r="D684" s="24">
        <f t="shared" si="31"/>
        <v>7.1502932359483132E-4</v>
      </c>
      <c r="E684" s="25">
        <f t="shared" si="32"/>
        <v>-5200900</v>
      </c>
      <c r="F684" s="20">
        <v>1</v>
      </c>
      <c r="G684" s="20"/>
      <c r="I684" s="21">
        <f t="shared" si="33"/>
        <v>139.23815674677732</v>
      </c>
    </row>
    <row r="685" spans="1:9">
      <c r="A685" s="22">
        <v>43052</v>
      </c>
      <c r="B685" s="21">
        <v>80.673079999999999</v>
      </c>
      <c r="C685" s="23">
        <v>14196900</v>
      </c>
      <c r="D685" s="24">
        <f t="shared" si="31"/>
        <v>1.4288113661040619E-3</v>
      </c>
      <c r="E685" s="25">
        <f t="shared" si="32"/>
        <v>4604400</v>
      </c>
      <c r="F685" s="20">
        <v>1</v>
      </c>
      <c r="G685" s="20"/>
      <c r="I685" s="21">
        <f t="shared" si="33"/>
        <v>139.23870927701805</v>
      </c>
    </row>
    <row r="686" spans="1:9">
      <c r="A686" s="22">
        <v>43053</v>
      </c>
      <c r="B686" s="21">
        <v>80.788428999999994</v>
      </c>
      <c r="C686" s="23">
        <v>18801300</v>
      </c>
      <c r="D686" s="24">
        <f t="shared" si="31"/>
        <v>-7.8026005352264559E-3</v>
      </c>
      <c r="E686" s="25">
        <f t="shared" si="32"/>
        <v>581800</v>
      </c>
      <c r="F686" s="20">
        <v>1</v>
      </c>
      <c r="G686" s="20"/>
      <c r="I686" s="21">
        <f t="shared" si="33"/>
        <v>139.23926180945136</v>
      </c>
    </row>
    <row r="687" spans="1:9">
      <c r="A687" s="22">
        <v>43054</v>
      </c>
      <c r="B687" s="21">
        <v>80.160522</v>
      </c>
      <c r="C687" s="23">
        <v>19383100</v>
      </c>
      <c r="D687" s="24">
        <f t="shared" si="31"/>
        <v>2.6475477411102375E-3</v>
      </c>
      <c r="E687" s="25">
        <f t="shared" si="32"/>
        <v>1579700</v>
      </c>
      <c r="F687" s="20">
        <v>1</v>
      </c>
      <c r="G687" s="20"/>
      <c r="I687" s="21">
        <f t="shared" si="33"/>
        <v>139.23981434407725</v>
      </c>
    </row>
    <row r="688" spans="1:9">
      <c r="A688" s="22">
        <v>43055</v>
      </c>
      <c r="B688" s="21">
        <v>80.373031999999995</v>
      </c>
      <c r="C688" s="23">
        <v>20962800</v>
      </c>
      <c r="D688" s="24">
        <f t="shared" si="31"/>
        <v>-9.6617524274448773E-3</v>
      </c>
      <c r="E688" s="25">
        <f t="shared" si="32"/>
        <v>1116200</v>
      </c>
      <c r="F688" s="20">
        <v>1</v>
      </c>
      <c r="G688" s="20"/>
      <c r="I688" s="21">
        <f t="shared" si="33"/>
        <v>139.24036688089572</v>
      </c>
    </row>
    <row r="689" spans="1:9">
      <c r="A689" s="22">
        <v>43056</v>
      </c>
      <c r="B689" s="21">
        <v>79.600227000000004</v>
      </c>
      <c r="C689" s="23">
        <v>22079000</v>
      </c>
      <c r="D689" s="24">
        <f t="shared" si="31"/>
        <v>1.5763027342826847E-3</v>
      </c>
      <c r="E689" s="25">
        <f t="shared" si="32"/>
        <v>-5764000</v>
      </c>
      <c r="F689" s="20">
        <v>1</v>
      </c>
      <c r="G689" s="20"/>
      <c r="I689" s="21">
        <f t="shared" si="33"/>
        <v>139.24091941990679</v>
      </c>
    </row>
    <row r="690" spans="1:9">
      <c r="A690" s="22">
        <v>43059</v>
      </c>
      <c r="B690" s="21">
        <v>79.725800000000007</v>
      </c>
      <c r="C690" s="23">
        <v>16315000</v>
      </c>
      <c r="D690" s="24">
        <f t="shared" si="31"/>
        <v>1.4316030973795123E-2</v>
      </c>
      <c r="E690" s="25">
        <f t="shared" si="32"/>
        <v>4922500</v>
      </c>
      <c r="F690" s="20">
        <v>1</v>
      </c>
      <c r="G690" s="20"/>
      <c r="I690" s="21">
        <f t="shared" si="33"/>
        <v>139.24147196111048</v>
      </c>
    </row>
    <row r="691" spans="1:9">
      <c r="A691" s="22">
        <v>43060</v>
      </c>
      <c r="B691" s="21">
        <v>80.875366</v>
      </c>
      <c r="C691" s="23">
        <v>21237500</v>
      </c>
      <c r="D691" s="24">
        <f t="shared" si="31"/>
        <v>-7.3126486612891698E-3</v>
      </c>
      <c r="E691" s="25">
        <f t="shared" si="32"/>
        <v>-684400</v>
      </c>
      <c r="F691" s="20">
        <v>1</v>
      </c>
      <c r="G691" s="20"/>
      <c r="I691" s="21">
        <f t="shared" si="33"/>
        <v>139.24202450450679</v>
      </c>
    </row>
    <row r="692" spans="1:9">
      <c r="A692" s="22">
        <v>43061</v>
      </c>
      <c r="B692" s="21">
        <v>80.286109999999994</v>
      </c>
      <c r="C692" s="23">
        <v>20553100</v>
      </c>
      <c r="D692" s="24">
        <f t="shared" si="31"/>
        <v>1.8029448943927327E-3</v>
      </c>
      <c r="E692" s="25">
        <f t="shared" si="32"/>
        <v>-13127500</v>
      </c>
      <c r="F692" s="20">
        <v>1</v>
      </c>
      <c r="G692" s="20"/>
      <c r="I692" s="21">
        <f t="shared" si="33"/>
        <v>139.24257705009572</v>
      </c>
    </row>
    <row r="693" spans="1:9">
      <c r="A693" s="22">
        <v>43063</v>
      </c>
      <c r="B693" s="21">
        <v>80.430992000000003</v>
      </c>
      <c r="C693" s="23">
        <v>7425600</v>
      </c>
      <c r="D693" s="24">
        <f t="shared" si="31"/>
        <v>7.2999068165429904E-3</v>
      </c>
      <c r="E693" s="25">
        <f t="shared" si="32"/>
        <v>10839600</v>
      </c>
      <c r="F693" s="20">
        <v>1</v>
      </c>
      <c r="G693" s="20"/>
      <c r="I693" s="21">
        <f t="shared" si="33"/>
        <v>139.24312959787727</v>
      </c>
    </row>
    <row r="694" spans="1:9">
      <c r="A694" s="22">
        <v>43066</v>
      </c>
      <c r="B694" s="21">
        <v>81.020279000000002</v>
      </c>
      <c r="C694" s="23">
        <v>18265200</v>
      </c>
      <c r="D694" s="24">
        <f t="shared" si="31"/>
        <v>1.1970447612166072E-2</v>
      </c>
      <c r="E694" s="25">
        <f t="shared" si="32"/>
        <v>3660800</v>
      </c>
      <c r="F694" s="20">
        <v>1</v>
      </c>
      <c r="G694" s="20"/>
      <c r="I694" s="21">
        <f t="shared" si="33"/>
        <v>139.24368214785147</v>
      </c>
    </row>
    <row r="695" spans="1:9">
      <c r="A695" s="22">
        <v>43067</v>
      </c>
      <c r="B695" s="21">
        <v>81.995956000000007</v>
      </c>
      <c r="C695" s="23">
        <v>21926000</v>
      </c>
      <c r="D695" s="24">
        <f t="shared" si="31"/>
        <v>-1.8309917539179574E-2</v>
      </c>
      <c r="E695" s="25">
        <f t="shared" si="32"/>
        <v>5455100</v>
      </c>
      <c r="F695" s="20">
        <v>1</v>
      </c>
      <c r="G695" s="20"/>
      <c r="I695" s="21">
        <f t="shared" si="33"/>
        <v>139.24423470001832</v>
      </c>
    </row>
    <row r="696" spans="1:9">
      <c r="A696" s="22">
        <v>43068</v>
      </c>
      <c r="B696" s="21">
        <v>80.508278000000004</v>
      </c>
      <c r="C696" s="23">
        <v>27381100</v>
      </c>
      <c r="D696" s="24">
        <f t="shared" si="31"/>
        <v>9.9099088807149439E-3</v>
      </c>
      <c r="E696" s="25">
        <f t="shared" si="32"/>
        <v>5673500</v>
      </c>
      <c r="F696" s="20">
        <v>1</v>
      </c>
      <c r="G696" s="20"/>
      <c r="I696" s="21">
        <f t="shared" si="33"/>
        <v>139.24478725437783</v>
      </c>
    </row>
    <row r="697" spans="1:9">
      <c r="A697" s="22">
        <v>43069</v>
      </c>
      <c r="B697" s="21">
        <v>81.310074</v>
      </c>
      <c r="C697" s="23">
        <v>33054600</v>
      </c>
      <c r="D697" s="24">
        <f t="shared" si="31"/>
        <v>1.0688163980256784E-3</v>
      </c>
      <c r="E697" s="25">
        <f t="shared" si="32"/>
        <v>-3522500</v>
      </c>
      <c r="F697" s="20">
        <v>1</v>
      </c>
      <c r="G697" s="20"/>
      <c r="I697" s="21">
        <f t="shared" si="33"/>
        <v>139.24533981093001</v>
      </c>
    </row>
    <row r="698" spans="1:9">
      <c r="A698" s="22">
        <v>43070</v>
      </c>
      <c r="B698" s="21">
        <v>81.397025999999997</v>
      </c>
      <c r="C698" s="23">
        <v>29532100</v>
      </c>
      <c r="D698" s="24">
        <f t="shared" si="31"/>
        <v>-3.8470865724226602E-2</v>
      </c>
      <c r="E698" s="25">
        <f t="shared" si="32"/>
        <v>9562800</v>
      </c>
      <c r="F698" s="20">
        <v>1</v>
      </c>
      <c r="G698" s="20"/>
      <c r="I698" s="21">
        <f t="shared" si="33"/>
        <v>139.24589236967486</v>
      </c>
    </row>
    <row r="699" spans="1:9">
      <c r="A699" s="22">
        <v>43073</v>
      </c>
      <c r="B699" s="21">
        <v>78.325080999999997</v>
      </c>
      <c r="C699" s="23">
        <v>39094900</v>
      </c>
      <c r="D699" s="24">
        <f t="shared" si="31"/>
        <v>6.2701513148409275E-3</v>
      </c>
      <c r="E699" s="25">
        <f t="shared" si="32"/>
        <v>-12942600</v>
      </c>
      <c r="F699" s="20">
        <v>1</v>
      </c>
      <c r="G699" s="20"/>
      <c r="I699" s="21">
        <f t="shared" si="33"/>
        <v>139.2464449306124</v>
      </c>
    </row>
    <row r="700" spans="1:9">
      <c r="A700" s="22">
        <v>43074</v>
      </c>
      <c r="B700" s="21">
        <v>78.817734000000002</v>
      </c>
      <c r="C700" s="23">
        <v>26152300</v>
      </c>
      <c r="D700" s="24">
        <f t="shared" si="31"/>
        <v>1.447977880769807E-2</v>
      </c>
      <c r="E700" s="25">
        <f t="shared" si="32"/>
        <v>9800</v>
      </c>
      <c r="F700" s="20">
        <v>1</v>
      </c>
      <c r="G700" s="20"/>
      <c r="I700" s="21">
        <f t="shared" si="33"/>
        <v>139.24699749374264</v>
      </c>
    </row>
    <row r="701" spans="1:9">
      <c r="A701" s="22">
        <v>43075</v>
      </c>
      <c r="B701" s="21">
        <v>79.967299999999994</v>
      </c>
      <c r="C701" s="23">
        <v>26162100</v>
      </c>
      <c r="D701" s="24">
        <f t="shared" si="31"/>
        <v>-3.5094704756668317E-3</v>
      </c>
      <c r="E701" s="25">
        <f t="shared" si="32"/>
        <v>-2977600</v>
      </c>
      <c r="F701" s="20">
        <v>1</v>
      </c>
      <c r="G701" s="20"/>
      <c r="I701" s="21">
        <f t="shared" si="33"/>
        <v>139.24755005906556</v>
      </c>
    </row>
    <row r="702" spans="1:9">
      <c r="A702" s="22">
        <v>43076</v>
      </c>
      <c r="B702" s="21">
        <v>79.687149000000005</v>
      </c>
      <c r="C702" s="23">
        <v>23184500</v>
      </c>
      <c r="D702" s="24">
        <f t="shared" si="31"/>
        <v>2.0042888855096745E-2</v>
      </c>
      <c r="E702" s="25">
        <f t="shared" si="32"/>
        <v>1304600</v>
      </c>
      <c r="F702" s="20">
        <v>1</v>
      </c>
      <c r="G702" s="20"/>
      <c r="I702" s="21">
        <f t="shared" si="33"/>
        <v>139.24810262658121</v>
      </c>
    </row>
    <row r="703" spans="1:9">
      <c r="A703" s="22">
        <v>43077</v>
      </c>
      <c r="B703" s="21">
        <v>81.300422999999995</v>
      </c>
      <c r="C703" s="23">
        <v>24489100</v>
      </c>
      <c r="D703" s="24">
        <f t="shared" si="31"/>
        <v>1.2633666485233203E-2</v>
      </c>
      <c r="E703" s="25">
        <f t="shared" si="32"/>
        <v>-1631200</v>
      </c>
      <c r="F703" s="20">
        <v>1</v>
      </c>
      <c r="G703" s="20"/>
      <c r="I703" s="21">
        <f t="shared" si="33"/>
        <v>139.24865519628958</v>
      </c>
    </row>
    <row r="704" spans="1:9">
      <c r="A704" s="22">
        <v>43080</v>
      </c>
      <c r="B704" s="21">
        <v>82.334061000000005</v>
      </c>
      <c r="C704" s="23">
        <v>22857900</v>
      </c>
      <c r="D704" s="24">
        <f t="shared" si="31"/>
        <v>4.0980814043230047E-3</v>
      </c>
      <c r="E704" s="25">
        <f t="shared" si="32"/>
        <v>1066200</v>
      </c>
      <c r="F704" s="20">
        <v>1</v>
      </c>
      <c r="G704" s="20"/>
      <c r="I704" s="21">
        <f t="shared" si="33"/>
        <v>139.24920776819067</v>
      </c>
    </row>
    <row r="705" spans="1:9">
      <c r="A705" s="22">
        <v>43081</v>
      </c>
      <c r="B705" s="21">
        <v>82.672165000000007</v>
      </c>
      <c r="C705" s="23">
        <v>23924100</v>
      </c>
      <c r="D705" s="24">
        <f t="shared" si="31"/>
        <v>-2.6911366903609422E-3</v>
      </c>
      <c r="E705" s="25">
        <f t="shared" si="32"/>
        <v>-1861400</v>
      </c>
      <c r="F705" s="20">
        <v>1</v>
      </c>
      <c r="G705" s="20"/>
      <c r="I705" s="21">
        <f t="shared" si="33"/>
        <v>139.2497603422845</v>
      </c>
    </row>
    <row r="706" spans="1:9">
      <c r="A706" s="22">
        <v>43082</v>
      </c>
      <c r="B706" s="21">
        <v>82.449982000000006</v>
      </c>
      <c r="C706" s="23">
        <v>22062700</v>
      </c>
      <c r="D706" s="24">
        <f t="shared" si="31"/>
        <v>-7.7629971061014998E-3</v>
      </c>
      <c r="E706" s="25">
        <f t="shared" si="32"/>
        <v>-2756700</v>
      </c>
      <c r="F706" s="20">
        <v>1</v>
      </c>
      <c r="G706" s="20"/>
      <c r="I706" s="21">
        <f t="shared" si="33"/>
        <v>139.25031291857107</v>
      </c>
    </row>
    <row r="707" spans="1:9">
      <c r="A707" s="22">
        <v>43083</v>
      </c>
      <c r="B707" s="21">
        <v>81.812400999999994</v>
      </c>
      <c r="C707" s="23">
        <v>19306000</v>
      </c>
      <c r="D707" s="24">
        <f t="shared" ref="D707:D770" si="34">LN(B708/B707)</f>
        <v>2.5185063490207805E-2</v>
      </c>
      <c r="E707" s="25">
        <f t="shared" ref="E707:E770" si="35">C708-C707</f>
        <v>34630700</v>
      </c>
      <c r="F707" s="20">
        <v>1</v>
      </c>
      <c r="G707" s="20"/>
      <c r="I707" s="21">
        <f t="shared" si="33"/>
        <v>139.2508654970504</v>
      </c>
    </row>
    <row r="708" spans="1:9">
      <c r="A708" s="22">
        <v>43084</v>
      </c>
      <c r="B708" s="21">
        <v>83.899017000000001</v>
      </c>
      <c r="C708" s="23">
        <v>53936700</v>
      </c>
      <c r="D708" s="24">
        <f t="shared" si="34"/>
        <v>-5.4263566232770708E-3</v>
      </c>
      <c r="E708" s="25">
        <f t="shared" si="35"/>
        <v>-31652900</v>
      </c>
      <c r="F708" s="20">
        <v>1</v>
      </c>
      <c r="G708" s="20"/>
      <c r="I708" s="21">
        <f t="shared" si="33"/>
        <v>139.25141807772249</v>
      </c>
    </row>
    <row r="709" spans="1:9">
      <c r="A709" s="22">
        <v>43087</v>
      </c>
      <c r="B709" s="21">
        <v>83.444984000000005</v>
      </c>
      <c r="C709" s="23">
        <v>22283800</v>
      </c>
      <c r="D709" s="24">
        <f t="shared" si="34"/>
        <v>-6.3874617701972867E-3</v>
      </c>
      <c r="E709" s="25">
        <f t="shared" si="35"/>
        <v>1241000</v>
      </c>
      <c r="F709" s="20">
        <v>1</v>
      </c>
      <c r="G709" s="20"/>
      <c r="I709" s="21">
        <f t="shared" si="33"/>
        <v>139.25197066058735</v>
      </c>
    </row>
    <row r="710" spans="1:9">
      <c r="A710" s="22">
        <v>43088</v>
      </c>
      <c r="B710" s="21">
        <v>82.913680999999997</v>
      </c>
      <c r="C710" s="23">
        <v>23524800</v>
      </c>
      <c r="D710" s="24">
        <f t="shared" si="34"/>
        <v>-3.6183548440730626E-3</v>
      </c>
      <c r="E710" s="25">
        <f t="shared" si="35"/>
        <v>150100</v>
      </c>
      <c r="F710" s="20">
        <v>1</v>
      </c>
      <c r="G710" s="20"/>
      <c r="I710" s="21">
        <f t="shared" si="33"/>
        <v>139.25252324564499</v>
      </c>
    </row>
    <row r="711" spans="1:9">
      <c r="A711" s="22">
        <v>43089</v>
      </c>
      <c r="B711" s="21">
        <v>82.614211999999995</v>
      </c>
      <c r="C711" s="23">
        <v>23674900</v>
      </c>
      <c r="D711" s="24">
        <f t="shared" si="34"/>
        <v>-2.3386120239698803E-4</v>
      </c>
      <c r="E711" s="25">
        <f t="shared" si="35"/>
        <v>-5684200</v>
      </c>
      <c r="F711" s="20">
        <v>1</v>
      </c>
      <c r="G711" s="20"/>
      <c r="I711" s="21">
        <f t="shared" si="33"/>
        <v>139.25307583289543</v>
      </c>
    </row>
    <row r="712" spans="1:9">
      <c r="A712" s="22">
        <v>43090</v>
      </c>
      <c r="B712" s="21">
        <v>82.594893999999996</v>
      </c>
      <c r="C712" s="23">
        <v>17990700</v>
      </c>
      <c r="D712" s="24">
        <f t="shared" si="34"/>
        <v>1.1675584951109309E-4</v>
      </c>
      <c r="E712" s="25">
        <f t="shared" si="35"/>
        <v>-3844900</v>
      </c>
      <c r="F712" s="20">
        <v>1</v>
      </c>
      <c r="G712" s="20"/>
      <c r="I712" s="21">
        <f t="shared" si="33"/>
        <v>139.25362842233866</v>
      </c>
    </row>
    <row r="713" spans="1:9">
      <c r="A713" s="22">
        <v>43091</v>
      </c>
      <c r="B713" s="21">
        <v>82.604538000000005</v>
      </c>
      <c r="C713" s="23">
        <v>14145800</v>
      </c>
      <c r="D713" s="24">
        <f t="shared" si="34"/>
        <v>-1.287137482279528E-3</v>
      </c>
      <c r="E713" s="25">
        <f t="shared" si="35"/>
        <v>-4254600</v>
      </c>
      <c r="F713" s="20">
        <v>1</v>
      </c>
      <c r="G713" s="20"/>
      <c r="I713" s="21">
        <f t="shared" si="33"/>
        <v>139.25418101397472</v>
      </c>
    </row>
    <row r="714" spans="1:9">
      <c r="A714" s="22">
        <v>43095</v>
      </c>
      <c r="B714" s="21">
        <v>82.498283000000001</v>
      </c>
      <c r="C714" s="23">
        <v>9891200</v>
      </c>
      <c r="D714" s="24">
        <f t="shared" si="34"/>
        <v>3.6233457179888806E-3</v>
      </c>
      <c r="E714" s="25">
        <f t="shared" si="35"/>
        <v>4786800</v>
      </c>
      <c r="F714" s="20">
        <v>1</v>
      </c>
      <c r="G714" s="20"/>
      <c r="I714" s="21">
        <f t="shared" si="33"/>
        <v>139.25473360780356</v>
      </c>
    </row>
    <row r="715" spans="1:9">
      <c r="A715" s="22">
        <v>43096</v>
      </c>
      <c r="B715" s="21">
        <v>82.797745000000006</v>
      </c>
      <c r="C715" s="23">
        <v>14678000</v>
      </c>
      <c r="D715" s="24">
        <f t="shared" si="34"/>
        <v>1.1673549597668408E-4</v>
      </c>
      <c r="E715" s="25">
        <f t="shared" si="35"/>
        <v>-4083700</v>
      </c>
      <c r="F715" s="20">
        <v>1</v>
      </c>
      <c r="G715" s="20"/>
      <c r="I715" s="21">
        <f t="shared" si="33"/>
        <v>139.25528620382525</v>
      </c>
    </row>
    <row r="716" spans="1:9">
      <c r="A716" s="22">
        <v>43097</v>
      </c>
      <c r="B716" s="21">
        <v>82.807411000000002</v>
      </c>
      <c r="C716" s="23">
        <v>10594300</v>
      </c>
      <c r="D716" s="24">
        <f t="shared" si="34"/>
        <v>-2.1018503303184923E-3</v>
      </c>
      <c r="E716" s="25">
        <f t="shared" si="35"/>
        <v>8123100</v>
      </c>
      <c r="F716" s="20">
        <v>1</v>
      </c>
      <c r="G716" s="20"/>
      <c r="I716" s="21">
        <f t="shared" si="33"/>
        <v>139.25583880203976</v>
      </c>
    </row>
    <row r="717" spans="1:9">
      <c r="A717" s="22">
        <v>43098</v>
      </c>
      <c r="B717" s="21">
        <v>82.633544999999998</v>
      </c>
      <c r="C717" s="23">
        <v>18717400</v>
      </c>
      <c r="D717" s="24">
        <f t="shared" si="34"/>
        <v>4.7813865766213421E-3</v>
      </c>
      <c r="E717" s="25">
        <f t="shared" si="35"/>
        <v>3766400</v>
      </c>
      <c r="F717" s="20">
        <v>1</v>
      </c>
      <c r="G717" s="20"/>
      <c r="I717" s="21">
        <f t="shared" si="33"/>
        <v>139.25639140244712</v>
      </c>
    </row>
    <row r="718" spans="1:9">
      <c r="A718" s="22">
        <v>43102</v>
      </c>
      <c r="B718" s="21">
        <v>83.029594000000003</v>
      </c>
      <c r="C718" s="23">
        <v>22483800</v>
      </c>
      <c r="D718" s="24">
        <f t="shared" si="34"/>
        <v>4.6429551074176458E-3</v>
      </c>
      <c r="E718" s="25">
        <f t="shared" si="35"/>
        <v>3577600</v>
      </c>
      <c r="F718" s="20">
        <v>1</v>
      </c>
      <c r="G718" s="20"/>
      <c r="I718" s="21">
        <f t="shared" si="33"/>
        <v>139.25694400504733</v>
      </c>
    </row>
    <row r="719" spans="1:9">
      <c r="A719" s="22">
        <v>43103</v>
      </c>
      <c r="B719" s="21">
        <v>83.415993</v>
      </c>
      <c r="C719" s="23">
        <v>26061400</v>
      </c>
      <c r="D719" s="24">
        <f t="shared" si="34"/>
        <v>8.763148703606987E-3</v>
      </c>
      <c r="E719" s="25">
        <f t="shared" si="35"/>
        <v>-4149400</v>
      </c>
      <c r="F719" s="20">
        <v>1</v>
      </c>
      <c r="G719" s="20"/>
      <c r="I719" s="21">
        <f t="shared" si="33"/>
        <v>139.25749660984039</v>
      </c>
    </row>
    <row r="720" spans="1:9">
      <c r="A720" s="22">
        <v>43104</v>
      </c>
      <c r="B720" s="21">
        <v>84.150192000000004</v>
      </c>
      <c r="C720" s="23">
        <v>21912000</v>
      </c>
      <c r="D720" s="24">
        <f t="shared" si="34"/>
        <v>1.2321902357049679E-2</v>
      </c>
      <c r="E720" s="25">
        <f t="shared" si="35"/>
        <v>1495100</v>
      </c>
      <c r="F720" s="20">
        <v>1</v>
      </c>
      <c r="G720" s="20"/>
      <c r="I720" s="21">
        <f t="shared" si="33"/>
        <v>139.25804921682632</v>
      </c>
    </row>
    <row r="721" spans="1:9">
      <c r="A721" s="22">
        <v>43105</v>
      </c>
      <c r="B721" s="21">
        <v>85.193496999999994</v>
      </c>
      <c r="C721" s="23">
        <v>23407100</v>
      </c>
      <c r="D721" s="24">
        <f t="shared" si="34"/>
        <v>1.0198510834357915E-3</v>
      </c>
      <c r="E721" s="25">
        <f t="shared" si="35"/>
        <v>-1294100</v>
      </c>
      <c r="F721" s="20">
        <v>1</v>
      </c>
      <c r="G721" s="20"/>
      <c r="I721" s="21">
        <f t="shared" si="33"/>
        <v>139.25860182600513</v>
      </c>
    </row>
    <row r="722" spans="1:9">
      <c r="A722" s="22">
        <v>43108</v>
      </c>
      <c r="B722" s="21">
        <v>85.280426000000006</v>
      </c>
      <c r="C722" s="23">
        <v>22113000</v>
      </c>
      <c r="D722" s="24">
        <f t="shared" si="34"/>
        <v>-6.7978905428174574E-4</v>
      </c>
      <c r="E722" s="25">
        <f t="shared" si="35"/>
        <v>-2628700</v>
      </c>
      <c r="F722" s="20">
        <v>1</v>
      </c>
      <c r="G722" s="20"/>
      <c r="I722" s="21">
        <f t="shared" si="33"/>
        <v>139.25915443737682</v>
      </c>
    </row>
    <row r="723" spans="1:9">
      <c r="A723" s="22">
        <v>43109</v>
      </c>
      <c r="B723" s="21">
        <v>85.222472999999994</v>
      </c>
      <c r="C723" s="23">
        <v>19484300</v>
      </c>
      <c r="D723" s="24">
        <f t="shared" si="34"/>
        <v>-4.544478400571394E-3</v>
      </c>
      <c r="E723" s="25">
        <f t="shared" si="35"/>
        <v>-832100</v>
      </c>
      <c r="F723" s="20">
        <v>1</v>
      </c>
      <c r="G723" s="20"/>
      <c r="I723" s="21">
        <f t="shared" si="33"/>
        <v>139.25970705094142</v>
      </c>
    </row>
    <row r="724" spans="1:9">
      <c r="A724" s="22">
        <v>43110</v>
      </c>
      <c r="B724" s="21">
        <v>84.836060000000003</v>
      </c>
      <c r="C724" s="23">
        <v>18652200</v>
      </c>
      <c r="D724" s="24">
        <f t="shared" si="34"/>
        <v>2.9561480261048891E-3</v>
      </c>
      <c r="E724" s="25">
        <f t="shared" si="35"/>
        <v>-843300</v>
      </c>
      <c r="F724" s="20">
        <v>1</v>
      </c>
      <c r="G724" s="20"/>
      <c r="I724" s="21">
        <f t="shared" si="33"/>
        <v>139.26025966669891</v>
      </c>
    </row>
    <row r="725" spans="1:9">
      <c r="A725" s="22">
        <v>43111</v>
      </c>
      <c r="B725" s="21">
        <v>85.087219000000005</v>
      </c>
      <c r="C725" s="23">
        <v>17808900</v>
      </c>
      <c r="D725" s="24">
        <f t="shared" si="34"/>
        <v>1.7109833789066713E-2</v>
      </c>
      <c r="E725" s="25">
        <f t="shared" si="35"/>
        <v>6462600</v>
      </c>
      <c r="F725" s="20">
        <v>1</v>
      </c>
      <c r="G725" s="20"/>
      <c r="I725" s="21">
        <f t="shared" si="33"/>
        <v>139.26081228464932</v>
      </c>
    </row>
    <row r="726" spans="1:9">
      <c r="A726" s="22">
        <v>43112</v>
      </c>
      <c r="B726" s="21">
        <v>86.555572999999995</v>
      </c>
      <c r="C726" s="23">
        <v>24271500</v>
      </c>
      <c r="D726" s="24">
        <f t="shared" si="34"/>
        <v>-1.4049126779318397E-2</v>
      </c>
      <c r="E726" s="25">
        <f t="shared" si="35"/>
        <v>12328200</v>
      </c>
      <c r="F726" s="20">
        <v>1</v>
      </c>
      <c r="G726" s="20"/>
      <c r="I726" s="21">
        <f t="shared" si="33"/>
        <v>139.26136490479263</v>
      </c>
    </row>
    <row r="727" spans="1:9">
      <c r="A727" s="22">
        <v>43116</v>
      </c>
      <c r="B727" s="21">
        <v>85.348044999999999</v>
      </c>
      <c r="C727" s="23">
        <v>36599700</v>
      </c>
      <c r="D727" s="24">
        <f t="shared" si="34"/>
        <v>2.0057733441964317E-2</v>
      </c>
      <c r="E727" s="25">
        <f t="shared" si="35"/>
        <v>-10978500</v>
      </c>
      <c r="F727" s="20">
        <v>1</v>
      </c>
      <c r="G727" s="20"/>
      <c r="I727" s="21">
        <f t="shared" si="33"/>
        <v>139.26191752712887</v>
      </c>
    </row>
    <row r="728" spans="1:9">
      <c r="A728" s="22">
        <v>43117</v>
      </c>
      <c r="B728" s="21">
        <v>87.077217000000005</v>
      </c>
      <c r="C728" s="23">
        <v>25621200</v>
      </c>
      <c r="D728" s="24">
        <f t="shared" si="34"/>
        <v>-4.4361278560660247E-4</v>
      </c>
      <c r="E728" s="25">
        <f t="shared" si="35"/>
        <v>-1461500</v>
      </c>
      <c r="F728" s="20">
        <v>1</v>
      </c>
      <c r="G728" s="20"/>
      <c r="I728" s="21">
        <f t="shared" si="33"/>
        <v>139.26247015165805</v>
      </c>
    </row>
    <row r="729" spans="1:9">
      <c r="A729" s="22">
        <v>43118</v>
      </c>
      <c r="B729" s="21">
        <v>87.038596999999996</v>
      </c>
      <c r="C729" s="23">
        <v>24159700</v>
      </c>
      <c r="D729" s="24">
        <f t="shared" si="34"/>
        <v>-1.1105953120086778E-3</v>
      </c>
      <c r="E729" s="25">
        <f t="shared" si="35"/>
        <v>12715300</v>
      </c>
      <c r="F729" s="20">
        <v>1</v>
      </c>
      <c r="G729" s="20"/>
      <c r="I729" s="21">
        <f t="shared" si="33"/>
        <v>139.26302277838019</v>
      </c>
    </row>
    <row r="730" spans="1:9">
      <c r="A730" s="22">
        <v>43119</v>
      </c>
      <c r="B730" s="21">
        <v>86.941986</v>
      </c>
      <c r="C730" s="23">
        <v>36875000</v>
      </c>
      <c r="D730" s="24">
        <f t="shared" si="34"/>
        <v>1.7730703239187778E-2</v>
      </c>
      <c r="E730" s="25">
        <f t="shared" si="35"/>
        <v>-13273400</v>
      </c>
      <c r="F730" s="20">
        <v>1</v>
      </c>
      <c r="G730" s="20"/>
      <c r="I730" s="21">
        <f t="shared" si="33"/>
        <v>139.26357540729526</v>
      </c>
    </row>
    <row r="731" spans="1:9">
      <c r="A731" s="22">
        <v>43122</v>
      </c>
      <c r="B731" s="21">
        <v>88.497275999999999</v>
      </c>
      <c r="C731" s="23">
        <v>23601600</v>
      </c>
      <c r="D731" s="24">
        <f t="shared" si="34"/>
        <v>3.1607354670924628E-3</v>
      </c>
      <c r="E731" s="25">
        <f t="shared" si="35"/>
        <v>-188800</v>
      </c>
      <c r="F731" s="20">
        <v>1</v>
      </c>
      <c r="G731" s="20"/>
      <c r="I731" s="21">
        <f t="shared" si="33"/>
        <v>139.26412803840333</v>
      </c>
    </row>
    <row r="732" spans="1:9">
      <c r="A732" s="22">
        <v>43123</v>
      </c>
      <c r="B732" s="21">
        <v>88.777434999999997</v>
      </c>
      <c r="C732" s="23">
        <v>23412800</v>
      </c>
      <c r="D732" s="24">
        <f t="shared" si="34"/>
        <v>-8.7110732160376205E-4</v>
      </c>
      <c r="E732" s="25">
        <f t="shared" si="35"/>
        <v>9864700</v>
      </c>
      <c r="F732" s="20">
        <v>1</v>
      </c>
      <c r="G732" s="20"/>
      <c r="I732" s="21">
        <f t="shared" si="33"/>
        <v>139.26468067170435</v>
      </c>
    </row>
    <row r="733" spans="1:9">
      <c r="A733" s="22">
        <v>43124</v>
      </c>
      <c r="B733" s="21">
        <v>88.700134000000006</v>
      </c>
      <c r="C733" s="23">
        <v>33277500</v>
      </c>
      <c r="D733" s="24">
        <f t="shared" si="34"/>
        <v>5.5391991063339892E-3</v>
      </c>
      <c r="E733" s="25">
        <f t="shared" si="35"/>
        <v>-6894300</v>
      </c>
      <c r="F733" s="20">
        <v>1</v>
      </c>
      <c r="G733" s="20"/>
      <c r="I733" s="21">
        <f t="shared" si="33"/>
        <v>139.26523330719837</v>
      </c>
    </row>
    <row r="734" spans="1:9">
      <c r="A734" s="22">
        <v>43125</v>
      </c>
      <c r="B734" s="21">
        <v>89.192824999999999</v>
      </c>
      <c r="C734" s="23">
        <v>26383200</v>
      </c>
      <c r="D734" s="24">
        <f t="shared" si="34"/>
        <v>1.8563768244156693E-2</v>
      </c>
      <c r="E734" s="25">
        <f t="shared" si="35"/>
        <v>2789000</v>
      </c>
      <c r="F734" s="20">
        <v>1</v>
      </c>
      <c r="G734" s="20"/>
      <c r="I734" s="21">
        <f t="shared" si="33"/>
        <v>139.26578594488538</v>
      </c>
    </row>
    <row r="735" spans="1:9">
      <c r="A735" s="22">
        <v>43126</v>
      </c>
      <c r="B735" s="21">
        <v>90.864044000000007</v>
      </c>
      <c r="C735" s="23">
        <v>29172200</v>
      </c>
      <c r="D735" s="24">
        <f t="shared" si="34"/>
        <v>-1.4896405549906951E-3</v>
      </c>
      <c r="E735" s="25">
        <f t="shared" si="35"/>
        <v>2397700</v>
      </c>
      <c r="F735" s="20">
        <v>1</v>
      </c>
      <c r="G735" s="20"/>
      <c r="I735" s="21">
        <f t="shared" si="33"/>
        <v>139.26633858476538</v>
      </c>
    </row>
    <row r="736" spans="1:9">
      <c r="A736" s="22">
        <v>43129</v>
      </c>
      <c r="B736" s="21">
        <v>90.728790000000004</v>
      </c>
      <c r="C736" s="23">
        <v>31569900</v>
      </c>
      <c r="D736" s="24">
        <f t="shared" si="34"/>
        <v>-1.2643499359854113E-2</v>
      </c>
      <c r="E736" s="25">
        <f t="shared" si="35"/>
        <v>7065200</v>
      </c>
      <c r="F736" s="20">
        <v>1</v>
      </c>
      <c r="G736" s="20"/>
      <c r="I736" s="21">
        <f t="shared" si="33"/>
        <v>139.26689122683837</v>
      </c>
    </row>
    <row r="737" spans="1:9">
      <c r="A737" s="22">
        <v>43130</v>
      </c>
      <c r="B737" s="21">
        <v>89.588881999999998</v>
      </c>
      <c r="C737" s="23">
        <v>38635100</v>
      </c>
      <c r="D737" s="24">
        <f t="shared" si="34"/>
        <v>2.4182292241189531E-2</v>
      </c>
      <c r="E737" s="25">
        <f t="shared" si="35"/>
        <v>10121200</v>
      </c>
      <c r="F737" s="20">
        <v>1</v>
      </c>
      <c r="G737" s="20"/>
      <c r="I737" s="21">
        <f t="shared" si="33"/>
        <v>139.26744387110438</v>
      </c>
    </row>
    <row r="738" spans="1:9">
      <c r="A738" s="22">
        <v>43131</v>
      </c>
      <c r="B738" s="21">
        <v>91.781754000000006</v>
      </c>
      <c r="C738" s="23">
        <v>48756300</v>
      </c>
      <c r="D738" s="24">
        <f t="shared" si="34"/>
        <v>-7.9251669938118271E-3</v>
      </c>
      <c r="E738" s="25">
        <f t="shared" si="35"/>
        <v>-1528400</v>
      </c>
      <c r="F738" s="20">
        <v>1</v>
      </c>
      <c r="G738" s="20"/>
      <c r="I738" s="21">
        <f t="shared" ref="I738:I801" si="36">I737*EXP($L$31*$L$33+$L$32*H738*SQRT($L$33))</f>
        <v>139.2679965175634</v>
      </c>
    </row>
    <row r="739" spans="1:9">
      <c r="A739" s="22">
        <v>43132</v>
      </c>
      <c r="B739" s="21">
        <v>91.057243</v>
      </c>
      <c r="C739" s="23">
        <v>47227900</v>
      </c>
      <c r="D739" s="24">
        <f t="shared" si="34"/>
        <v>-2.6662616247432578E-2</v>
      </c>
      <c r="E739" s="25">
        <f t="shared" si="35"/>
        <v>639900</v>
      </c>
      <c r="F739" s="20">
        <v>1</v>
      </c>
      <c r="G739" s="20"/>
      <c r="I739" s="21">
        <f t="shared" si="36"/>
        <v>139.26854916621548</v>
      </c>
    </row>
    <row r="740" spans="1:9">
      <c r="A740" s="22">
        <v>43133</v>
      </c>
      <c r="B740" s="21">
        <v>88.661499000000006</v>
      </c>
      <c r="C740" s="23">
        <v>47867800</v>
      </c>
      <c r="D740" s="24">
        <f t="shared" si="34"/>
        <v>-4.2057439760575584E-2</v>
      </c>
      <c r="E740" s="25">
        <f t="shared" si="35"/>
        <v>3163700</v>
      </c>
      <c r="F740" s="20">
        <v>1</v>
      </c>
      <c r="G740" s="20"/>
      <c r="I740" s="21">
        <f t="shared" si="36"/>
        <v>139.2691018170606</v>
      </c>
    </row>
    <row r="741" spans="1:9">
      <c r="A741" s="22">
        <v>43136</v>
      </c>
      <c r="B741" s="21">
        <v>85.009949000000006</v>
      </c>
      <c r="C741" s="23">
        <v>51031500</v>
      </c>
      <c r="D741" s="24">
        <f t="shared" si="34"/>
        <v>3.7142293683010259E-2</v>
      </c>
      <c r="E741" s="25">
        <f t="shared" si="35"/>
        <v>16967100</v>
      </c>
      <c r="F741" s="20">
        <v>1</v>
      </c>
      <c r="G741" s="20"/>
      <c r="I741" s="21">
        <f t="shared" si="36"/>
        <v>139.26965447009877</v>
      </c>
    </row>
    <row r="742" spans="1:9">
      <c r="A742" s="22">
        <v>43137</v>
      </c>
      <c r="B742" s="21">
        <v>88.226783999999995</v>
      </c>
      <c r="C742" s="23">
        <v>67998600</v>
      </c>
      <c r="D742" s="24">
        <f t="shared" si="34"/>
        <v>-1.9012345040210234E-2</v>
      </c>
      <c r="E742" s="25">
        <f t="shared" si="35"/>
        <v>-26891000</v>
      </c>
      <c r="F742" s="20">
        <v>1</v>
      </c>
      <c r="G742" s="20"/>
      <c r="I742" s="21">
        <f t="shared" si="36"/>
        <v>139.27020712532999</v>
      </c>
    </row>
    <row r="743" spans="1:9">
      <c r="A743" s="22">
        <v>43138</v>
      </c>
      <c r="B743" s="21">
        <v>86.565230999999997</v>
      </c>
      <c r="C743" s="23">
        <v>41107600</v>
      </c>
      <c r="D743" s="24">
        <f t="shared" si="34"/>
        <v>-5.2697851614954216E-2</v>
      </c>
      <c r="E743" s="25">
        <f t="shared" si="35"/>
        <v>14521100</v>
      </c>
      <c r="F743" s="20">
        <v>1</v>
      </c>
      <c r="G743" s="20"/>
      <c r="I743" s="21">
        <f t="shared" si="36"/>
        <v>139.27075978275428</v>
      </c>
    </row>
    <row r="744" spans="1:9">
      <c r="A744" s="22">
        <v>43139</v>
      </c>
      <c r="B744" s="21">
        <v>82.121544</v>
      </c>
      <c r="C744" s="23">
        <v>55628700</v>
      </c>
      <c r="D744" s="24">
        <f t="shared" si="34"/>
        <v>3.6611151187977961E-2</v>
      </c>
      <c r="E744" s="25">
        <f t="shared" si="35"/>
        <v>7870400</v>
      </c>
      <c r="F744" s="20">
        <v>1</v>
      </c>
      <c r="G744" s="20"/>
      <c r="I744" s="21">
        <f t="shared" si="36"/>
        <v>139.27131244237165</v>
      </c>
    </row>
    <row r="745" spans="1:9">
      <c r="A745" s="22">
        <v>43140</v>
      </c>
      <c r="B745" s="21">
        <v>85.183823000000004</v>
      </c>
      <c r="C745" s="23">
        <v>63499100</v>
      </c>
      <c r="D745" s="24">
        <f t="shared" si="34"/>
        <v>1.071565962354248E-2</v>
      </c>
      <c r="E745" s="25">
        <f t="shared" si="35"/>
        <v>-27778800</v>
      </c>
      <c r="F745" s="20">
        <v>1</v>
      </c>
      <c r="G745" s="20"/>
      <c r="I745" s="21">
        <f t="shared" si="36"/>
        <v>139.2718651041821</v>
      </c>
    </row>
    <row r="746" spans="1:9">
      <c r="A746" s="22">
        <v>43143</v>
      </c>
      <c r="B746" s="21">
        <v>86.101532000000006</v>
      </c>
      <c r="C746" s="23">
        <v>35720300</v>
      </c>
      <c r="D746" s="24">
        <f t="shared" si="34"/>
        <v>7.8232898594360854E-3</v>
      </c>
      <c r="E746" s="25">
        <f t="shared" si="35"/>
        <v>-9312600</v>
      </c>
      <c r="F746" s="20">
        <v>1</v>
      </c>
      <c r="G746" s="20"/>
      <c r="I746" s="21">
        <f t="shared" si="36"/>
        <v>139.27241776818565</v>
      </c>
    </row>
    <row r="747" spans="1:9">
      <c r="A747" s="22">
        <v>43144</v>
      </c>
      <c r="B747" s="21">
        <v>86.777771000000001</v>
      </c>
      <c r="C747" s="23">
        <v>26407700</v>
      </c>
      <c r="D747" s="24">
        <f t="shared" si="34"/>
        <v>1.5536833321667302E-2</v>
      </c>
      <c r="E747" s="25">
        <f t="shared" si="35"/>
        <v>8553200</v>
      </c>
      <c r="F747" s="20">
        <v>1</v>
      </c>
      <c r="G747" s="20"/>
      <c r="I747" s="21">
        <f t="shared" si="36"/>
        <v>139.2729704343823</v>
      </c>
    </row>
    <row r="748" spans="1:9">
      <c r="A748" s="22">
        <v>43145</v>
      </c>
      <c r="B748" s="21">
        <v>88.136550999999997</v>
      </c>
      <c r="C748" s="23">
        <v>34960900</v>
      </c>
      <c r="D748" s="24">
        <f t="shared" si="34"/>
        <v>2.0167424397732146E-2</v>
      </c>
      <c r="E748" s="25">
        <f t="shared" si="35"/>
        <v>-7137000</v>
      </c>
      <c r="F748" s="20">
        <v>1</v>
      </c>
      <c r="G748" s="20"/>
      <c r="I748" s="21">
        <f t="shared" si="36"/>
        <v>139.27352310277206</v>
      </c>
    </row>
    <row r="749" spans="1:9">
      <c r="A749" s="22">
        <v>43146</v>
      </c>
      <c r="B749" s="21">
        <v>89.932083000000006</v>
      </c>
      <c r="C749" s="23">
        <v>27823900</v>
      </c>
      <c r="D749" s="24">
        <f t="shared" si="34"/>
        <v>-7.1482407500217844E-3</v>
      </c>
      <c r="E749" s="25">
        <f t="shared" si="35"/>
        <v>2773000</v>
      </c>
      <c r="F749" s="20">
        <v>1</v>
      </c>
      <c r="G749" s="20"/>
      <c r="I749" s="21">
        <f t="shared" si="36"/>
        <v>139.27407577335495</v>
      </c>
    </row>
    <row r="750" spans="1:9">
      <c r="A750" s="22">
        <v>43147</v>
      </c>
      <c r="B750" s="21">
        <v>89.291518999999994</v>
      </c>
      <c r="C750" s="23">
        <v>30596900</v>
      </c>
      <c r="D750" s="24">
        <f t="shared" si="34"/>
        <v>7.7955753977355094E-3</v>
      </c>
      <c r="E750" s="25">
        <f t="shared" si="35"/>
        <v>314800</v>
      </c>
      <c r="F750" s="20">
        <v>1</v>
      </c>
      <c r="G750" s="20"/>
      <c r="I750" s="21">
        <f t="shared" si="36"/>
        <v>139.27462844613098</v>
      </c>
    </row>
    <row r="751" spans="1:9">
      <c r="A751" s="22">
        <v>43151</v>
      </c>
      <c r="B751" s="21">
        <v>89.990318000000002</v>
      </c>
      <c r="C751" s="23">
        <v>30911700</v>
      </c>
      <c r="D751" s="24">
        <f t="shared" si="34"/>
        <v>-1.3354671771375719E-2</v>
      </c>
      <c r="E751" s="25">
        <f t="shared" si="35"/>
        <v>-3989200</v>
      </c>
      <c r="F751" s="20">
        <v>1</v>
      </c>
      <c r="G751" s="20"/>
      <c r="I751" s="21">
        <f t="shared" si="36"/>
        <v>139.27518112110013</v>
      </c>
    </row>
    <row r="752" spans="1:9">
      <c r="A752" s="22">
        <v>43152</v>
      </c>
      <c r="B752" s="21">
        <v>88.796515999999997</v>
      </c>
      <c r="C752" s="23">
        <v>26922500</v>
      </c>
      <c r="D752" s="24">
        <f t="shared" si="34"/>
        <v>2.6199673629385225E-3</v>
      </c>
      <c r="E752" s="25">
        <f t="shared" si="35"/>
        <v>-2529700</v>
      </c>
      <c r="F752" s="20">
        <v>1</v>
      </c>
      <c r="G752" s="20"/>
      <c r="I752" s="21">
        <f t="shared" si="36"/>
        <v>139.27573379826242</v>
      </c>
    </row>
    <row r="753" spans="1:9">
      <c r="A753" s="22">
        <v>43153</v>
      </c>
      <c r="B753" s="21">
        <v>89.029465000000002</v>
      </c>
      <c r="C753" s="23">
        <v>24392800</v>
      </c>
      <c r="D753" s="24">
        <f t="shared" si="34"/>
        <v>2.508341119744139E-2</v>
      </c>
      <c r="E753" s="25">
        <f t="shared" si="35"/>
        <v>1936400</v>
      </c>
      <c r="F753" s="20">
        <v>1</v>
      </c>
      <c r="G753" s="20"/>
      <c r="I753" s="21">
        <f t="shared" si="36"/>
        <v>139.27628647761787</v>
      </c>
    </row>
    <row r="754" spans="1:9">
      <c r="A754" s="22">
        <v>43154</v>
      </c>
      <c r="B754" s="21">
        <v>91.290870999999996</v>
      </c>
      <c r="C754" s="23">
        <v>26329200</v>
      </c>
      <c r="D754" s="24">
        <f t="shared" si="34"/>
        <v>1.4355155530152283E-2</v>
      </c>
      <c r="E754" s="25">
        <f t="shared" si="35"/>
        <v>3870600</v>
      </c>
      <c r="F754" s="20">
        <v>1</v>
      </c>
      <c r="G754" s="20"/>
      <c r="I754" s="21">
        <f t="shared" si="36"/>
        <v>139.27683915916649</v>
      </c>
    </row>
    <row r="755" spans="1:9">
      <c r="A755" s="22">
        <v>43157</v>
      </c>
      <c r="B755" s="21">
        <v>92.610816999999997</v>
      </c>
      <c r="C755" s="23">
        <v>30199800</v>
      </c>
      <c r="D755" s="24">
        <f t="shared" si="34"/>
        <v>-1.2867756358039051E-2</v>
      </c>
      <c r="E755" s="25">
        <f t="shared" si="35"/>
        <v>-4330700</v>
      </c>
      <c r="F755" s="20">
        <v>1</v>
      </c>
      <c r="G755" s="20"/>
      <c r="I755" s="21">
        <f t="shared" si="36"/>
        <v>139.27739184290826</v>
      </c>
    </row>
    <row r="756" spans="1:9">
      <c r="A756" s="22">
        <v>43158</v>
      </c>
      <c r="B756" s="21">
        <v>91.426758000000007</v>
      </c>
      <c r="C756" s="23">
        <v>25869100</v>
      </c>
      <c r="D756" s="24">
        <f t="shared" si="34"/>
        <v>-4.5753179261620314E-3</v>
      </c>
      <c r="E756" s="25">
        <f t="shared" si="35"/>
        <v>5298200</v>
      </c>
      <c r="F756" s="20">
        <v>1</v>
      </c>
      <c r="G756" s="20"/>
      <c r="I756" s="21">
        <f t="shared" si="36"/>
        <v>139.27794452884322</v>
      </c>
    </row>
    <row r="757" spans="1:9">
      <c r="A757" s="22">
        <v>43159</v>
      </c>
      <c r="B757" s="21">
        <v>91.009406999999996</v>
      </c>
      <c r="C757" s="23">
        <v>31167300</v>
      </c>
      <c r="D757" s="24">
        <f t="shared" si="34"/>
        <v>-9.8596747739874389E-3</v>
      </c>
      <c r="E757" s="25">
        <f t="shared" si="35"/>
        <v>5968300</v>
      </c>
      <c r="F757" s="20">
        <v>1</v>
      </c>
      <c r="G757" s="20"/>
      <c r="I757" s="21">
        <f t="shared" si="36"/>
        <v>139.27849721697137</v>
      </c>
    </row>
    <row r="758" spans="1:9">
      <c r="A758" s="22">
        <v>43160</v>
      </c>
      <c r="B758" s="21">
        <v>90.116493000000006</v>
      </c>
      <c r="C758" s="23">
        <v>37135600</v>
      </c>
      <c r="D758" s="24">
        <f t="shared" si="34"/>
        <v>2.1517285797879693E-3</v>
      </c>
      <c r="E758" s="25">
        <f t="shared" si="35"/>
        <v>-4305200</v>
      </c>
      <c r="F758" s="20">
        <v>1</v>
      </c>
      <c r="G758" s="20"/>
      <c r="I758" s="21">
        <f t="shared" si="36"/>
        <v>139.27904990729272</v>
      </c>
    </row>
    <row r="759" spans="1:9">
      <c r="A759" s="22">
        <v>43161</v>
      </c>
      <c r="B759" s="21">
        <v>90.310608000000002</v>
      </c>
      <c r="C759" s="23">
        <v>32830400</v>
      </c>
      <c r="D759" s="24">
        <f t="shared" si="34"/>
        <v>6.3205891144218771E-3</v>
      </c>
      <c r="E759" s="25">
        <f t="shared" si="35"/>
        <v>-8928800</v>
      </c>
      <c r="F759" s="20">
        <v>1</v>
      </c>
      <c r="G759" s="20"/>
      <c r="I759" s="21">
        <f t="shared" si="36"/>
        <v>139.27960259980728</v>
      </c>
    </row>
    <row r="760" spans="1:9">
      <c r="A760" s="22">
        <v>43164</v>
      </c>
      <c r="B760" s="21">
        <v>90.883232000000007</v>
      </c>
      <c r="C760" s="23">
        <v>23901600</v>
      </c>
      <c r="D760" s="24">
        <f t="shared" si="34"/>
        <v>-3.4232597479467923E-3</v>
      </c>
      <c r="E760" s="25">
        <f t="shared" si="35"/>
        <v>-1725800</v>
      </c>
      <c r="F760" s="20">
        <v>1</v>
      </c>
      <c r="G760" s="20"/>
      <c r="I760" s="21">
        <f t="shared" si="36"/>
        <v>139.28015529451505</v>
      </c>
    </row>
    <row r="761" spans="1:9">
      <c r="A761" s="22">
        <v>43165</v>
      </c>
      <c r="B761" s="21">
        <v>90.572647000000003</v>
      </c>
      <c r="C761" s="23">
        <v>22175800</v>
      </c>
      <c r="D761" s="24">
        <f t="shared" si="34"/>
        <v>5.7699364384384113E-3</v>
      </c>
      <c r="E761" s="25">
        <f t="shared" si="35"/>
        <v>4540300</v>
      </c>
      <c r="F761" s="20">
        <v>1</v>
      </c>
      <c r="G761" s="20"/>
      <c r="I761" s="21">
        <f t="shared" si="36"/>
        <v>139.28070799141605</v>
      </c>
    </row>
    <row r="762" spans="1:9">
      <c r="A762" s="22">
        <v>43166</v>
      </c>
      <c r="B762" s="21">
        <v>91.096755999999999</v>
      </c>
      <c r="C762" s="23">
        <v>26716100</v>
      </c>
      <c r="D762" s="24">
        <f t="shared" si="34"/>
        <v>6.054463453243699E-3</v>
      </c>
      <c r="E762" s="25">
        <f t="shared" si="35"/>
        <v>-828300</v>
      </c>
      <c r="F762" s="20">
        <v>1</v>
      </c>
      <c r="G762" s="20"/>
      <c r="I762" s="21">
        <f t="shared" si="36"/>
        <v>139.28126069051029</v>
      </c>
    </row>
    <row r="763" spans="1:9">
      <c r="A763" s="22">
        <v>43167</v>
      </c>
      <c r="B763" s="21">
        <v>91.649970999999994</v>
      </c>
      <c r="C763" s="23">
        <v>25887800</v>
      </c>
      <c r="D763" s="24">
        <f t="shared" si="34"/>
        <v>2.2098702944286733E-2</v>
      </c>
      <c r="E763" s="25">
        <f t="shared" si="35"/>
        <v>11049500</v>
      </c>
      <c r="F763" s="20">
        <v>1</v>
      </c>
      <c r="G763" s="20"/>
      <c r="I763" s="21">
        <f t="shared" si="36"/>
        <v>139.28181339179778</v>
      </c>
    </row>
    <row r="764" spans="1:9">
      <c r="A764" s="22">
        <v>43168</v>
      </c>
      <c r="B764" s="21">
        <v>93.697861000000003</v>
      </c>
      <c r="C764" s="23">
        <v>36937300</v>
      </c>
      <c r="D764" s="24">
        <f t="shared" si="34"/>
        <v>2.3794304696755429E-3</v>
      </c>
      <c r="E764" s="25">
        <f t="shared" si="35"/>
        <v>-10863600</v>
      </c>
      <c r="F764" s="20">
        <v>1</v>
      </c>
      <c r="G764" s="20"/>
      <c r="I764" s="21">
        <f t="shared" si="36"/>
        <v>139.28236609527852</v>
      </c>
    </row>
    <row r="765" spans="1:9">
      <c r="A765" s="22">
        <v>43171</v>
      </c>
      <c r="B765" s="21">
        <v>93.921074000000004</v>
      </c>
      <c r="C765" s="23">
        <v>26073700</v>
      </c>
      <c r="D765" s="24">
        <f t="shared" si="34"/>
        <v>-2.4689765256883035E-2</v>
      </c>
      <c r="E765" s="25">
        <f t="shared" si="35"/>
        <v>9314100</v>
      </c>
      <c r="F765" s="20">
        <v>1</v>
      </c>
      <c r="G765" s="20"/>
      <c r="I765" s="21">
        <f t="shared" si="36"/>
        <v>139.2829188009525</v>
      </c>
    </row>
    <row r="766" spans="1:9">
      <c r="A766" s="22">
        <v>43172</v>
      </c>
      <c r="B766" s="21">
        <v>91.630577000000002</v>
      </c>
      <c r="C766" s="23">
        <v>35387800</v>
      </c>
      <c r="D766" s="24">
        <f t="shared" si="34"/>
        <v>-5.9494492130868709E-3</v>
      </c>
      <c r="E766" s="25">
        <f t="shared" si="35"/>
        <v>-3255800</v>
      </c>
      <c r="F766" s="20">
        <v>1</v>
      </c>
      <c r="G766" s="20"/>
      <c r="I766" s="21">
        <f t="shared" si="36"/>
        <v>139.28347150881976</v>
      </c>
    </row>
    <row r="767" spans="1:9">
      <c r="A767" s="22">
        <v>43173</v>
      </c>
      <c r="B767" s="21">
        <v>91.087044000000006</v>
      </c>
      <c r="C767" s="23">
        <v>32132000</v>
      </c>
      <c r="D767" s="24">
        <f t="shared" si="34"/>
        <v>3.5101281926800528E-3</v>
      </c>
      <c r="E767" s="25">
        <f t="shared" si="35"/>
        <v>-4521000</v>
      </c>
      <c r="F767" s="20">
        <v>1</v>
      </c>
      <c r="G767" s="20"/>
      <c r="I767" s="21">
        <f t="shared" si="36"/>
        <v>139.28402421888029</v>
      </c>
    </row>
    <row r="768" spans="1:9">
      <c r="A768" s="22">
        <v>43174</v>
      </c>
      <c r="B768" s="21">
        <v>91.407332999999994</v>
      </c>
      <c r="C768" s="23">
        <v>27611000</v>
      </c>
      <c r="D768" s="24">
        <f t="shared" si="34"/>
        <v>4.4495858771017608E-3</v>
      </c>
      <c r="E768" s="25">
        <f t="shared" si="35"/>
        <v>21470300</v>
      </c>
      <c r="F768" s="20">
        <v>1</v>
      </c>
      <c r="G768" s="20"/>
      <c r="I768" s="21">
        <f t="shared" si="36"/>
        <v>139.2845769311341</v>
      </c>
    </row>
    <row r="769" spans="1:9">
      <c r="A769" s="22">
        <v>43175</v>
      </c>
      <c r="B769" s="21">
        <v>91.814964000000003</v>
      </c>
      <c r="C769" s="23">
        <v>49081300</v>
      </c>
      <c r="D769" s="24">
        <f t="shared" si="34"/>
        <v>-1.8241507685128906E-2</v>
      </c>
      <c r="E769" s="25">
        <f t="shared" si="35"/>
        <v>-15737200</v>
      </c>
      <c r="F769" s="20">
        <v>1</v>
      </c>
      <c r="G769" s="20"/>
      <c r="I769" s="21">
        <f t="shared" si="36"/>
        <v>139.28512964558121</v>
      </c>
    </row>
    <row r="770" spans="1:9">
      <c r="A770" s="22">
        <v>43178</v>
      </c>
      <c r="B770" s="21">
        <v>90.155304000000001</v>
      </c>
      <c r="C770" s="23">
        <v>33344100</v>
      </c>
      <c r="D770" s="24">
        <f t="shared" si="34"/>
        <v>2.5803540570126173E-3</v>
      </c>
      <c r="E770" s="25">
        <f t="shared" si="35"/>
        <v>-10268900</v>
      </c>
      <c r="F770" s="20">
        <v>1</v>
      </c>
      <c r="G770" s="20"/>
      <c r="I770" s="21">
        <f t="shared" si="36"/>
        <v>139.28568236222162</v>
      </c>
    </row>
    <row r="771" spans="1:9">
      <c r="A771" s="22">
        <v>43179</v>
      </c>
      <c r="B771" s="21">
        <v>90.388237000000004</v>
      </c>
      <c r="C771" s="23">
        <v>23075200</v>
      </c>
      <c r="D771" s="24">
        <f t="shared" ref="D771:D834" si="37">LN(B772/B771)</f>
        <v>-7.0038291443563112E-3</v>
      </c>
      <c r="E771" s="25">
        <f t="shared" ref="E771:E834" si="38">C772-C771</f>
        <v>1381900</v>
      </c>
      <c r="F771" s="20">
        <v>1</v>
      </c>
      <c r="G771" s="20"/>
      <c r="I771" s="21">
        <f t="shared" si="36"/>
        <v>139.28623508105534</v>
      </c>
    </row>
    <row r="772" spans="1:9">
      <c r="A772" s="22">
        <v>43180</v>
      </c>
      <c r="B772" s="21">
        <v>89.757384999999999</v>
      </c>
      <c r="C772" s="23">
        <v>24457100</v>
      </c>
      <c r="D772" s="24">
        <f t="shared" si="37"/>
        <v>-2.9518825494487901E-2</v>
      </c>
      <c r="E772" s="25">
        <f t="shared" si="38"/>
        <v>14147600</v>
      </c>
      <c r="F772" s="20">
        <v>1</v>
      </c>
      <c r="G772" s="20"/>
      <c r="I772" s="21">
        <f t="shared" si="36"/>
        <v>139.28678780208239</v>
      </c>
    </row>
    <row r="773" spans="1:9">
      <c r="A773" s="22">
        <v>43181</v>
      </c>
      <c r="B773" s="21">
        <v>87.146575999999996</v>
      </c>
      <c r="C773" s="23">
        <v>38604700</v>
      </c>
      <c r="D773" s="24">
        <f t="shared" si="37"/>
        <v>-2.9498528827014609E-2</v>
      </c>
      <c r="E773" s="25">
        <f t="shared" si="38"/>
        <v>5464200</v>
      </c>
      <c r="F773" s="20">
        <v>1</v>
      </c>
      <c r="G773" s="20"/>
      <c r="I773" s="21">
        <f t="shared" si="36"/>
        <v>139.28734052530277</v>
      </c>
    </row>
    <row r="774" spans="1:9">
      <c r="A774" s="22">
        <v>43182</v>
      </c>
      <c r="B774" s="21">
        <v>84.613426000000004</v>
      </c>
      <c r="C774" s="23">
        <v>44068900</v>
      </c>
      <c r="D774" s="24">
        <f t="shared" si="37"/>
        <v>7.2976552659048302E-2</v>
      </c>
      <c r="E774" s="25">
        <f t="shared" si="38"/>
        <v>12327900</v>
      </c>
      <c r="F774" s="20">
        <v>1</v>
      </c>
      <c r="G774" s="20"/>
      <c r="I774" s="21">
        <f t="shared" si="36"/>
        <v>139.28789325071648</v>
      </c>
    </row>
    <row r="775" spans="1:9">
      <c r="A775" s="22">
        <v>43185</v>
      </c>
      <c r="B775" s="21">
        <v>91.019112000000007</v>
      </c>
      <c r="C775" s="23">
        <v>56396800</v>
      </c>
      <c r="D775" s="24">
        <f t="shared" si="37"/>
        <v>-4.7048235732796186E-2</v>
      </c>
      <c r="E775" s="25">
        <f t="shared" si="38"/>
        <v>172200</v>
      </c>
      <c r="F775" s="20">
        <v>1</v>
      </c>
      <c r="G775" s="20"/>
      <c r="I775" s="21">
        <f t="shared" si="36"/>
        <v>139.28844597832355</v>
      </c>
    </row>
    <row r="776" spans="1:9">
      <c r="A776" s="22">
        <v>43186</v>
      </c>
      <c r="B776" s="21">
        <v>86.835999000000001</v>
      </c>
      <c r="C776" s="23">
        <v>56569000</v>
      </c>
      <c r="D776" s="24">
        <f t="shared" si="37"/>
        <v>-8.946374921592606E-4</v>
      </c>
      <c r="E776" s="25">
        <f t="shared" si="38"/>
        <v>-4067900</v>
      </c>
      <c r="F776" s="20">
        <v>1</v>
      </c>
      <c r="G776" s="20"/>
      <c r="I776" s="21">
        <f t="shared" si="36"/>
        <v>139.28899870812396</v>
      </c>
    </row>
    <row r="777" spans="1:9">
      <c r="A777" s="22">
        <v>43187</v>
      </c>
      <c r="B777" s="21">
        <v>86.758347000000001</v>
      </c>
      <c r="C777" s="23">
        <v>52501100</v>
      </c>
      <c r="D777" s="24">
        <f t="shared" si="37"/>
        <v>2.0813332393389908E-2</v>
      </c>
      <c r="E777" s="25">
        <f t="shared" si="38"/>
        <v>-6633600</v>
      </c>
      <c r="F777" s="20">
        <v>1</v>
      </c>
      <c r="G777" s="20"/>
      <c r="I777" s="21">
        <f t="shared" si="36"/>
        <v>139.28955144011772</v>
      </c>
    </row>
    <row r="778" spans="1:9">
      <c r="A778" s="22">
        <v>43188</v>
      </c>
      <c r="B778" s="21">
        <v>88.582999999999998</v>
      </c>
      <c r="C778" s="23">
        <v>45867500</v>
      </c>
      <c r="D778" s="24">
        <f t="shared" si="37"/>
        <v>-3.059360035516831E-2</v>
      </c>
      <c r="E778" s="25">
        <f t="shared" si="38"/>
        <v>2647900</v>
      </c>
      <c r="F778" s="20">
        <v>1</v>
      </c>
      <c r="G778" s="20"/>
      <c r="I778" s="21">
        <f t="shared" si="36"/>
        <v>139.29010417430487</v>
      </c>
    </row>
    <row r="779" spans="1:9">
      <c r="A779" s="22">
        <v>43192</v>
      </c>
      <c r="B779" s="21">
        <v>85.913962999999995</v>
      </c>
      <c r="C779" s="23">
        <v>48515400</v>
      </c>
      <c r="D779" s="24">
        <f t="shared" si="37"/>
        <v>1.3353669634579311E-2</v>
      </c>
      <c r="E779" s="25">
        <f t="shared" si="38"/>
        <v>-11301600</v>
      </c>
      <c r="F779" s="20">
        <v>1</v>
      </c>
      <c r="G779" s="20"/>
      <c r="I779" s="21">
        <f t="shared" si="36"/>
        <v>139.29065691068541</v>
      </c>
    </row>
    <row r="780" spans="1:9">
      <c r="A780" s="22">
        <v>43193</v>
      </c>
      <c r="B780" s="21">
        <v>87.068923999999996</v>
      </c>
      <c r="C780" s="23">
        <v>37213800</v>
      </c>
      <c r="D780" s="24">
        <f t="shared" si="37"/>
        <v>2.8786984006298137E-2</v>
      </c>
      <c r="E780" s="25">
        <f t="shared" si="38"/>
        <v>-1653800</v>
      </c>
      <c r="F780" s="20">
        <v>1</v>
      </c>
      <c r="G780" s="20"/>
      <c r="I780" s="21">
        <f t="shared" si="36"/>
        <v>139.29120964925934</v>
      </c>
    </row>
    <row r="781" spans="1:9">
      <c r="A781" s="22">
        <v>43194</v>
      </c>
      <c r="B781" s="21">
        <v>89.611801</v>
      </c>
      <c r="C781" s="23">
        <v>35560000</v>
      </c>
      <c r="D781" s="24">
        <f t="shared" si="37"/>
        <v>5.4133347484942537E-4</v>
      </c>
      <c r="E781" s="25">
        <f t="shared" si="38"/>
        <v>-5788100</v>
      </c>
      <c r="F781" s="20">
        <v>1</v>
      </c>
      <c r="G781" s="20"/>
      <c r="I781" s="21">
        <f t="shared" si="36"/>
        <v>139.29176239002666</v>
      </c>
    </row>
    <row r="782" spans="1:9">
      <c r="A782" s="22">
        <v>43195</v>
      </c>
      <c r="B782" s="21">
        <v>89.660324000000003</v>
      </c>
      <c r="C782" s="23">
        <v>29771900</v>
      </c>
      <c r="D782" s="24">
        <f t="shared" si="37"/>
        <v>-2.3548495658870818E-2</v>
      </c>
      <c r="E782" s="25">
        <f t="shared" si="38"/>
        <v>8254100</v>
      </c>
      <c r="F782" s="20">
        <v>1</v>
      </c>
      <c r="G782" s="20"/>
      <c r="I782" s="21">
        <f t="shared" si="36"/>
        <v>139.2923151329874</v>
      </c>
    </row>
    <row r="783" spans="1:9">
      <c r="A783" s="22">
        <v>43196</v>
      </c>
      <c r="B783" s="21">
        <v>87.573623999999995</v>
      </c>
      <c r="C783" s="23">
        <v>38026000</v>
      </c>
      <c r="D783" s="24">
        <f t="shared" si="37"/>
        <v>5.9667621585084239E-3</v>
      </c>
      <c r="E783" s="25">
        <f t="shared" si="38"/>
        <v>-6492100</v>
      </c>
      <c r="F783" s="20">
        <v>1</v>
      </c>
      <c r="G783" s="20"/>
      <c r="I783" s="21">
        <f t="shared" si="36"/>
        <v>139.29286787814155</v>
      </c>
    </row>
    <row r="784" spans="1:9">
      <c r="A784" s="22">
        <v>43199</v>
      </c>
      <c r="B784" s="21">
        <v>88.097717000000003</v>
      </c>
      <c r="C784" s="23">
        <v>31533900</v>
      </c>
      <c r="D784" s="24">
        <f t="shared" si="37"/>
        <v>2.2979510950076019E-2</v>
      </c>
      <c r="E784" s="25">
        <f t="shared" si="38"/>
        <v>-4721900</v>
      </c>
      <c r="F784" s="20">
        <v>1</v>
      </c>
      <c r="G784" s="20"/>
      <c r="I784" s="21">
        <f t="shared" si="36"/>
        <v>139.29342062548912</v>
      </c>
    </row>
    <row r="785" spans="1:9">
      <c r="A785" s="22">
        <v>43200</v>
      </c>
      <c r="B785" s="21">
        <v>90.145599000000004</v>
      </c>
      <c r="C785" s="23">
        <v>26812000</v>
      </c>
      <c r="D785" s="24">
        <f t="shared" si="37"/>
        <v>-1.1042613083194963E-2</v>
      </c>
      <c r="E785" s="25">
        <f t="shared" si="38"/>
        <v>-1939900</v>
      </c>
      <c r="F785" s="20">
        <v>1</v>
      </c>
      <c r="G785" s="20"/>
      <c r="I785" s="21">
        <f t="shared" si="36"/>
        <v>139.29397337503013</v>
      </c>
    </row>
    <row r="786" spans="1:9">
      <c r="A786" s="22">
        <v>43201</v>
      </c>
      <c r="B786" s="21">
        <v>89.155631999999997</v>
      </c>
      <c r="C786" s="23">
        <v>24872100</v>
      </c>
      <c r="D786" s="24">
        <f t="shared" si="37"/>
        <v>1.855102833785607E-2</v>
      </c>
      <c r="E786" s="25">
        <f t="shared" si="38"/>
        <v>1886800</v>
      </c>
      <c r="F786" s="20">
        <v>1</v>
      </c>
      <c r="G786" s="20"/>
      <c r="I786" s="21">
        <f t="shared" si="36"/>
        <v>139.29452612676457</v>
      </c>
    </row>
    <row r="787" spans="1:9">
      <c r="A787" s="22">
        <v>43202</v>
      </c>
      <c r="B787" s="21">
        <v>90.824996999999996</v>
      </c>
      <c r="C787" s="23">
        <v>26758900</v>
      </c>
      <c r="D787" s="24">
        <f t="shared" si="37"/>
        <v>-5.3573806732857476E-3</v>
      </c>
      <c r="E787" s="25">
        <f t="shared" si="38"/>
        <v>-3412800</v>
      </c>
      <c r="F787" s="20">
        <v>1</v>
      </c>
      <c r="G787" s="20"/>
      <c r="I787" s="21">
        <f t="shared" si="36"/>
        <v>139.29507888069247</v>
      </c>
    </row>
    <row r="788" spans="1:9">
      <c r="A788" s="22">
        <v>43203</v>
      </c>
      <c r="B788" s="21">
        <v>90.339714000000001</v>
      </c>
      <c r="C788" s="23">
        <v>23346100</v>
      </c>
      <c r="D788" s="24">
        <f t="shared" si="37"/>
        <v>1.1642372801169483E-2</v>
      </c>
      <c r="E788" s="25">
        <f t="shared" si="38"/>
        <v>-3058000</v>
      </c>
      <c r="F788" s="20">
        <v>1</v>
      </c>
      <c r="G788" s="20"/>
      <c r="I788" s="21">
        <f t="shared" si="36"/>
        <v>139.29563163681382</v>
      </c>
    </row>
    <row r="789" spans="1:9">
      <c r="A789" s="22">
        <v>43206</v>
      </c>
      <c r="B789" s="21">
        <v>91.397628999999995</v>
      </c>
      <c r="C789" s="23">
        <v>20288100</v>
      </c>
      <c r="D789" s="24">
        <f t="shared" si="37"/>
        <v>1.9975337717925451E-2</v>
      </c>
      <c r="E789" s="25">
        <f t="shared" si="38"/>
        <v>6482900</v>
      </c>
      <c r="F789" s="20">
        <v>1</v>
      </c>
      <c r="G789" s="20"/>
      <c r="I789" s="21">
        <f t="shared" si="36"/>
        <v>139.29618439512865</v>
      </c>
    </row>
    <row r="790" spans="1:9">
      <c r="A790" s="22">
        <v>43207</v>
      </c>
      <c r="B790" s="21">
        <v>93.241684000000006</v>
      </c>
      <c r="C790" s="23">
        <v>26771000</v>
      </c>
      <c r="D790" s="24">
        <f t="shared" si="37"/>
        <v>3.8440555330469515E-3</v>
      </c>
      <c r="E790" s="25">
        <f t="shared" si="38"/>
        <v>-5727700</v>
      </c>
      <c r="F790" s="20">
        <v>1</v>
      </c>
      <c r="G790" s="20"/>
      <c r="I790" s="21">
        <f t="shared" si="36"/>
        <v>139.29673715563695</v>
      </c>
    </row>
    <row r="791" spans="1:9">
      <c r="A791" s="22">
        <v>43208</v>
      </c>
      <c r="B791" s="21">
        <v>93.600800000000007</v>
      </c>
      <c r="C791" s="23">
        <v>21043300</v>
      </c>
      <c r="D791" s="24">
        <f t="shared" si="37"/>
        <v>-3.4277404583833025E-3</v>
      </c>
      <c r="E791" s="25">
        <f t="shared" si="38"/>
        <v>2509200</v>
      </c>
      <c r="F791" s="20">
        <v>1</v>
      </c>
      <c r="G791" s="20"/>
      <c r="I791" s="21">
        <f t="shared" si="36"/>
        <v>139.29728991833872</v>
      </c>
    </row>
    <row r="792" spans="1:9">
      <c r="A792" s="22">
        <v>43209</v>
      </c>
      <c r="B792" s="21">
        <v>93.280510000000007</v>
      </c>
      <c r="C792" s="23">
        <v>23552500</v>
      </c>
      <c r="D792" s="24">
        <f t="shared" si="37"/>
        <v>-1.1616504717123973E-2</v>
      </c>
      <c r="E792" s="25">
        <f t="shared" si="38"/>
        <v>7601900</v>
      </c>
      <c r="F792" s="20">
        <v>1</v>
      </c>
      <c r="G792" s="20"/>
      <c r="I792" s="21">
        <f t="shared" si="36"/>
        <v>139.29784268323399</v>
      </c>
    </row>
    <row r="793" spans="1:9">
      <c r="A793" s="22">
        <v>43210</v>
      </c>
      <c r="B793" s="21">
        <v>92.203186000000002</v>
      </c>
      <c r="C793" s="23">
        <v>31154400</v>
      </c>
      <c r="D793" s="24">
        <f t="shared" si="37"/>
        <v>3.6773869742308457E-3</v>
      </c>
      <c r="E793" s="25">
        <f t="shared" si="38"/>
        <v>-8822600</v>
      </c>
      <c r="F793" s="20">
        <v>1</v>
      </c>
      <c r="G793" s="20"/>
      <c r="I793" s="21">
        <f t="shared" si="36"/>
        <v>139.29839545032277</v>
      </c>
    </row>
    <row r="794" spans="1:9">
      <c r="A794" s="22">
        <v>43213</v>
      </c>
      <c r="B794" s="21">
        <v>92.542877000000004</v>
      </c>
      <c r="C794" s="23">
        <v>22331800</v>
      </c>
      <c r="D794" s="24">
        <f t="shared" si="37"/>
        <v>-2.3665310934602744E-2</v>
      </c>
      <c r="E794" s="25">
        <f t="shared" si="38"/>
        <v>12193000</v>
      </c>
      <c r="F794" s="20">
        <v>1</v>
      </c>
      <c r="G794" s="20"/>
      <c r="I794" s="21">
        <f t="shared" si="36"/>
        <v>139.29894821960505</v>
      </c>
    </row>
    <row r="795" spans="1:9">
      <c r="A795" s="22">
        <v>43214</v>
      </c>
      <c r="B795" s="21">
        <v>90.378532000000007</v>
      </c>
      <c r="C795" s="23">
        <v>34524800</v>
      </c>
      <c r="D795" s="24">
        <f t="shared" si="37"/>
        <v>-8.7364449515088538E-3</v>
      </c>
      <c r="E795" s="25">
        <f t="shared" si="38"/>
        <v>-795500</v>
      </c>
      <c r="F795" s="20">
        <v>1</v>
      </c>
      <c r="G795" s="20"/>
      <c r="I795" s="21">
        <f t="shared" si="36"/>
        <v>139.29950099108086</v>
      </c>
    </row>
    <row r="796" spans="1:9">
      <c r="A796" s="22">
        <v>43215</v>
      </c>
      <c r="B796" s="21">
        <v>89.592383999999996</v>
      </c>
      <c r="C796" s="23">
        <v>33729300</v>
      </c>
      <c r="D796" s="24">
        <f t="shared" si="37"/>
        <v>2.0904467571739624E-2</v>
      </c>
      <c r="E796" s="25">
        <f t="shared" si="38"/>
        <v>8799700</v>
      </c>
      <c r="F796" s="20">
        <v>1</v>
      </c>
      <c r="G796" s="20"/>
      <c r="I796" s="21">
        <f t="shared" si="36"/>
        <v>139.3000537647502</v>
      </c>
    </row>
    <row r="797" spans="1:9">
      <c r="A797" s="22">
        <v>43216</v>
      </c>
      <c r="B797" s="21">
        <v>91.484977999999998</v>
      </c>
      <c r="C797" s="23">
        <v>42529000</v>
      </c>
      <c r="D797" s="24">
        <f t="shared" si="37"/>
        <v>1.6414537118590044E-2</v>
      </c>
      <c r="E797" s="25">
        <f t="shared" si="38"/>
        <v>5743800</v>
      </c>
      <c r="F797" s="20">
        <v>1</v>
      </c>
      <c r="G797" s="20"/>
      <c r="I797" s="21">
        <f t="shared" si="36"/>
        <v>139.30060654061307</v>
      </c>
    </row>
    <row r="798" spans="1:9">
      <c r="A798" s="22">
        <v>43217</v>
      </c>
      <c r="B798" s="21">
        <v>92.999054000000001</v>
      </c>
      <c r="C798" s="23">
        <v>48272800</v>
      </c>
      <c r="D798" s="24">
        <f t="shared" si="37"/>
        <v>-2.4296247873295505E-2</v>
      </c>
      <c r="E798" s="25">
        <f t="shared" si="38"/>
        <v>-6749200</v>
      </c>
      <c r="F798" s="20">
        <v>1</v>
      </c>
      <c r="G798" s="20"/>
      <c r="I798" s="21">
        <f t="shared" si="36"/>
        <v>139.30115931866951</v>
      </c>
    </row>
    <row r="799" spans="1:9">
      <c r="A799" s="22">
        <v>43220</v>
      </c>
      <c r="B799" s="21">
        <v>90.766754000000006</v>
      </c>
      <c r="C799" s="23">
        <v>41523600</v>
      </c>
      <c r="D799" s="24">
        <f t="shared" si="37"/>
        <v>1.5701612094846502E-2</v>
      </c>
      <c r="E799" s="25">
        <f t="shared" si="38"/>
        <v>-10114700</v>
      </c>
      <c r="F799" s="20">
        <v>1</v>
      </c>
      <c r="G799" s="20"/>
      <c r="I799" s="21">
        <f t="shared" si="36"/>
        <v>139.3017120989195</v>
      </c>
    </row>
    <row r="800" spans="1:9">
      <c r="A800" s="22">
        <v>43221</v>
      </c>
      <c r="B800" s="21">
        <v>92.203186000000002</v>
      </c>
      <c r="C800" s="23">
        <v>31408900</v>
      </c>
      <c r="D800" s="24">
        <f t="shared" si="37"/>
        <v>-1.5808363925681638E-2</v>
      </c>
      <c r="E800" s="25">
        <f t="shared" si="38"/>
        <v>-3937900</v>
      </c>
      <c r="F800" s="20">
        <v>1</v>
      </c>
      <c r="G800" s="20"/>
      <c r="I800" s="21">
        <f t="shared" si="36"/>
        <v>139.30226488136304</v>
      </c>
    </row>
    <row r="801" spans="1:9">
      <c r="A801" s="22">
        <v>43222</v>
      </c>
      <c r="B801" s="21">
        <v>90.757064999999997</v>
      </c>
      <c r="C801" s="23">
        <v>27471000</v>
      </c>
      <c r="D801" s="24">
        <f t="shared" si="37"/>
        <v>5.9706874758227446E-3</v>
      </c>
      <c r="E801" s="25">
        <f t="shared" si="38"/>
        <v>3671500</v>
      </c>
      <c r="F801" s="20">
        <v>1</v>
      </c>
      <c r="G801" s="20"/>
      <c r="I801" s="21">
        <f t="shared" si="36"/>
        <v>139.30281766600015</v>
      </c>
    </row>
    <row r="802" spans="1:9">
      <c r="A802" s="22">
        <v>43223</v>
      </c>
      <c r="B802" s="21">
        <v>91.300567999999998</v>
      </c>
      <c r="C802" s="23">
        <v>31142500</v>
      </c>
      <c r="D802" s="24">
        <f t="shared" si="37"/>
        <v>1.1520539834581081E-2</v>
      </c>
      <c r="E802" s="25">
        <f t="shared" si="38"/>
        <v>-8611200</v>
      </c>
      <c r="F802" s="20">
        <v>1</v>
      </c>
      <c r="G802" s="20"/>
      <c r="I802" s="21">
        <f t="shared" ref="I802:I865" si="39">I801*EXP($L$31*$L$33+$L$32*H802*SQRT($L$33))</f>
        <v>139.30337045283085</v>
      </c>
    </row>
    <row r="803" spans="1:9">
      <c r="A803" s="22">
        <v>43224</v>
      </c>
      <c r="B803" s="21">
        <v>92.358481999999995</v>
      </c>
      <c r="C803" s="23">
        <v>22531300</v>
      </c>
      <c r="D803" s="24">
        <f t="shared" si="37"/>
        <v>1.107747036153062E-2</v>
      </c>
      <c r="E803" s="25">
        <f t="shared" si="38"/>
        <v>1710700</v>
      </c>
      <c r="F803" s="20">
        <v>1</v>
      </c>
      <c r="G803" s="20"/>
      <c r="I803" s="21">
        <f t="shared" si="39"/>
        <v>139.30392324185513</v>
      </c>
    </row>
    <row r="804" spans="1:9">
      <c r="A804" s="22">
        <v>43227</v>
      </c>
      <c r="B804" s="21">
        <v>93.387268000000006</v>
      </c>
      <c r="C804" s="23">
        <v>24242000</v>
      </c>
      <c r="D804" s="24">
        <f t="shared" si="37"/>
        <v>-4.2701345909234275E-3</v>
      </c>
      <c r="E804" s="25">
        <f t="shared" si="38"/>
        <v>-757400</v>
      </c>
      <c r="F804" s="20">
        <v>1</v>
      </c>
      <c r="G804" s="20"/>
      <c r="I804" s="21">
        <f t="shared" si="39"/>
        <v>139.30447603307303</v>
      </c>
    </row>
    <row r="805" spans="1:9">
      <c r="A805" s="22">
        <v>43228</v>
      </c>
      <c r="B805" s="21">
        <v>92.989341999999994</v>
      </c>
      <c r="C805" s="23">
        <v>23484600</v>
      </c>
      <c r="D805" s="24">
        <f t="shared" si="37"/>
        <v>1.1725085305754364E-2</v>
      </c>
      <c r="E805" s="25">
        <f t="shared" si="38"/>
        <v>3842800</v>
      </c>
      <c r="F805" s="20">
        <v>1</v>
      </c>
      <c r="G805" s="20"/>
      <c r="I805" s="21">
        <f t="shared" si="39"/>
        <v>139.30502882648452</v>
      </c>
    </row>
    <row r="806" spans="1:9">
      <c r="A806" s="22">
        <v>43229</v>
      </c>
      <c r="B806" s="21">
        <v>94.086067</v>
      </c>
      <c r="C806" s="23">
        <v>27327400</v>
      </c>
      <c r="D806" s="24">
        <f t="shared" si="37"/>
        <v>9.9565535962856857E-3</v>
      </c>
      <c r="E806" s="25">
        <f t="shared" si="38"/>
        <v>-4939300</v>
      </c>
      <c r="F806" s="20">
        <v>1</v>
      </c>
      <c r="G806" s="20"/>
      <c r="I806" s="21">
        <f t="shared" si="39"/>
        <v>139.30558162208962</v>
      </c>
    </row>
    <row r="807" spans="1:9">
      <c r="A807" s="22">
        <v>43230</v>
      </c>
      <c r="B807" s="21">
        <v>95.027518999999998</v>
      </c>
      <c r="C807" s="23">
        <v>22388100</v>
      </c>
      <c r="D807" s="24">
        <f t="shared" si="37"/>
        <v>-2.1472296883441803E-3</v>
      </c>
      <c r="E807" s="25">
        <f t="shared" si="38"/>
        <v>-5609800</v>
      </c>
      <c r="F807" s="20">
        <v>1</v>
      </c>
      <c r="G807" s="20"/>
      <c r="I807" s="21">
        <f t="shared" si="39"/>
        <v>139.30613441988837</v>
      </c>
    </row>
    <row r="808" spans="1:9">
      <c r="A808" s="22">
        <v>43231</v>
      </c>
      <c r="B808" s="21">
        <v>94.823691999999994</v>
      </c>
      <c r="C808" s="23">
        <v>16778300</v>
      </c>
      <c r="D808" s="24">
        <f t="shared" si="37"/>
        <v>3.372134672010238E-3</v>
      </c>
      <c r="E808" s="25">
        <f t="shared" si="38"/>
        <v>2675800</v>
      </c>
      <c r="F808" s="20">
        <v>1</v>
      </c>
      <c r="G808" s="20"/>
      <c r="I808" s="21">
        <f t="shared" si="39"/>
        <v>139.30668721988073</v>
      </c>
    </row>
    <row r="809" spans="1:9">
      <c r="A809" s="22">
        <v>43234</v>
      </c>
      <c r="B809" s="21">
        <v>95.143990000000002</v>
      </c>
      <c r="C809" s="23">
        <v>19454100</v>
      </c>
      <c r="D809" s="24">
        <f t="shared" si="37"/>
        <v>-7.2690093533620591E-3</v>
      </c>
      <c r="E809" s="25">
        <f t="shared" si="38"/>
        <v>5139900</v>
      </c>
      <c r="F809" s="20">
        <v>1</v>
      </c>
      <c r="G809" s="20"/>
      <c r="I809" s="21">
        <f t="shared" si="39"/>
        <v>139.30724002206674</v>
      </c>
    </row>
    <row r="810" spans="1:9">
      <c r="A810" s="22">
        <v>43235</v>
      </c>
      <c r="B810" s="21">
        <v>94.454894999999993</v>
      </c>
      <c r="C810" s="23">
        <v>24594000</v>
      </c>
      <c r="D810" s="24">
        <f t="shared" si="37"/>
        <v>2.5765652720664955E-3</v>
      </c>
      <c r="E810" s="25">
        <f t="shared" si="38"/>
        <v>-7209300</v>
      </c>
      <c r="F810" s="20">
        <v>1</v>
      </c>
      <c r="G810" s="20"/>
      <c r="I810" s="21">
        <f t="shared" si="39"/>
        <v>139.30779282644639</v>
      </c>
    </row>
    <row r="811" spans="1:9">
      <c r="A811" s="22">
        <v>43236</v>
      </c>
      <c r="B811" s="21">
        <v>94.698577999999998</v>
      </c>
      <c r="C811" s="23">
        <v>17384700</v>
      </c>
      <c r="D811" s="24">
        <f t="shared" si="37"/>
        <v>-1.0034690588272267E-2</v>
      </c>
      <c r="E811" s="25">
        <f t="shared" si="38"/>
        <v>-138000</v>
      </c>
      <c r="F811" s="20">
        <v>1</v>
      </c>
      <c r="G811" s="20"/>
      <c r="I811" s="21">
        <f t="shared" si="39"/>
        <v>139.30834563301971</v>
      </c>
    </row>
    <row r="812" spans="1:9">
      <c r="A812" s="22">
        <v>43237</v>
      </c>
      <c r="B812" s="21">
        <v>93.753058999999993</v>
      </c>
      <c r="C812" s="23">
        <v>17246700</v>
      </c>
      <c r="D812" s="24">
        <f t="shared" si="37"/>
        <v>1.8696992916524624E-3</v>
      </c>
      <c r="E812" s="25">
        <f t="shared" si="38"/>
        <v>619100</v>
      </c>
      <c r="F812" s="20">
        <v>1</v>
      </c>
      <c r="G812" s="20"/>
      <c r="I812" s="21">
        <f t="shared" si="39"/>
        <v>139.30889844178671</v>
      </c>
    </row>
    <row r="813" spans="1:9">
      <c r="A813" s="22">
        <v>43238</v>
      </c>
      <c r="B813" s="21">
        <v>93.928512999999995</v>
      </c>
      <c r="C813" s="23">
        <v>17865800</v>
      </c>
      <c r="D813" s="24">
        <f t="shared" si="37"/>
        <v>1.2786382648666965E-2</v>
      </c>
      <c r="E813" s="25">
        <f t="shared" si="38"/>
        <v>1556700</v>
      </c>
      <c r="F813" s="20">
        <v>1</v>
      </c>
      <c r="G813" s="20"/>
      <c r="I813" s="21">
        <f t="shared" si="39"/>
        <v>139.30945125274738</v>
      </c>
    </row>
    <row r="814" spans="1:9">
      <c r="A814" s="22">
        <v>43241</v>
      </c>
      <c r="B814" s="21">
        <v>95.137230000000002</v>
      </c>
      <c r="C814" s="23">
        <v>19422500</v>
      </c>
      <c r="D814" s="24">
        <f t="shared" si="37"/>
        <v>-1.0250767989635806E-3</v>
      </c>
      <c r="E814" s="25">
        <f t="shared" si="38"/>
        <v>-3981300</v>
      </c>
      <c r="F814" s="20">
        <v>1</v>
      </c>
      <c r="G814" s="20"/>
      <c r="I814" s="21">
        <f t="shared" si="39"/>
        <v>139.31000406590172</v>
      </c>
    </row>
    <row r="815" spans="1:9">
      <c r="A815" s="22">
        <v>43242</v>
      </c>
      <c r="B815" s="21">
        <v>95.039756999999994</v>
      </c>
      <c r="C815" s="23">
        <v>15441200</v>
      </c>
      <c r="D815" s="24">
        <f t="shared" si="37"/>
        <v>1.1827140682334009E-2</v>
      </c>
      <c r="E815" s="25">
        <f t="shared" si="38"/>
        <v>5810000</v>
      </c>
      <c r="F815" s="20">
        <v>1</v>
      </c>
      <c r="G815" s="20"/>
      <c r="I815" s="21">
        <f t="shared" si="39"/>
        <v>139.31055688124977</v>
      </c>
    </row>
    <row r="816" spans="1:9">
      <c r="A816" s="22">
        <v>43243</v>
      </c>
      <c r="B816" s="21">
        <v>96.170479</v>
      </c>
      <c r="C816" s="23">
        <v>21251200</v>
      </c>
      <c r="D816" s="24">
        <f t="shared" si="37"/>
        <v>-3.5537992198107155E-3</v>
      </c>
      <c r="E816" s="25">
        <f t="shared" si="38"/>
        <v>5398100</v>
      </c>
      <c r="F816" s="20">
        <v>1</v>
      </c>
      <c r="G816" s="20"/>
      <c r="I816" s="21">
        <f t="shared" si="39"/>
        <v>139.31110969879151</v>
      </c>
    </row>
    <row r="817" spans="1:9">
      <c r="A817" s="22">
        <v>43244</v>
      </c>
      <c r="B817" s="21">
        <v>95.829314999999994</v>
      </c>
      <c r="C817" s="23">
        <v>26649300</v>
      </c>
      <c r="D817" s="24">
        <f t="shared" si="37"/>
        <v>5.0845204138628324E-4</v>
      </c>
      <c r="E817" s="25">
        <f t="shared" si="38"/>
        <v>-8285400</v>
      </c>
      <c r="F817" s="20">
        <v>1</v>
      </c>
      <c r="G817" s="20"/>
      <c r="I817" s="21">
        <f t="shared" si="39"/>
        <v>139.31166251852699</v>
      </c>
    </row>
    <row r="818" spans="1:9">
      <c r="A818" s="22">
        <v>43245</v>
      </c>
      <c r="B818" s="21">
        <v>95.878051999999997</v>
      </c>
      <c r="C818" s="23">
        <v>18363900</v>
      </c>
      <c r="D818" s="24">
        <f t="shared" si="37"/>
        <v>-3.5648146173108274E-3</v>
      </c>
      <c r="E818" s="25">
        <f t="shared" si="38"/>
        <v>10307100</v>
      </c>
      <c r="F818" s="20">
        <v>1</v>
      </c>
      <c r="G818" s="20"/>
      <c r="I818" s="21">
        <f t="shared" si="39"/>
        <v>139.31221534045616</v>
      </c>
    </row>
    <row r="819" spans="1:9">
      <c r="A819" s="22">
        <v>43249</v>
      </c>
      <c r="B819" s="21">
        <v>95.536873</v>
      </c>
      <c r="C819" s="23">
        <v>28671000</v>
      </c>
      <c r="D819" s="24">
        <f t="shared" si="37"/>
        <v>9.5451827543329981E-3</v>
      </c>
      <c r="E819" s="25">
        <f t="shared" si="38"/>
        <v>-6512500</v>
      </c>
      <c r="F819" s="20">
        <v>1</v>
      </c>
      <c r="G819" s="20"/>
      <c r="I819" s="21">
        <f t="shared" si="39"/>
        <v>139.31276816457907</v>
      </c>
    </row>
    <row r="820" spans="1:9">
      <c r="A820" s="22">
        <v>43250</v>
      </c>
      <c r="B820" s="21">
        <v>96.453156000000007</v>
      </c>
      <c r="C820" s="23">
        <v>22158500</v>
      </c>
      <c r="D820" s="24">
        <f t="shared" si="37"/>
        <v>-1.1122044996743827E-3</v>
      </c>
      <c r="E820" s="25">
        <f t="shared" si="38"/>
        <v>11982400</v>
      </c>
      <c r="F820" s="20">
        <v>1</v>
      </c>
      <c r="G820" s="20"/>
      <c r="I820" s="21">
        <f t="shared" si="39"/>
        <v>139.31332099089573</v>
      </c>
    </row>
    <row r="821" spans="1:9">
      <c r="A821" s="22">
        <v>43251</v>
      </c>
      <c r="B821" s="21">
        <v>96.345939999999999</v>
      </c>
      <c r="C821" s="23">
        <v>34140900</v>
      </c>
      <c r="D821" s="24">
        <f t="shared" si="37"/>
        <v>1.9536762710885901E-2</v>
      </c>
      <c r="E821" s="25">
        <f t="shared" si="38"/>
        <v>-5485300</v>
      </c>
      <c r="F821" s="20">
        <v>1</v>
      </c>
      <c r="G821" s="20"/>
      <c r="I821" s="21">
        <f t="shared" si="39"/>
        <v>139.31387381940613</v>
      </c>
    </row>
    <row r="822" spans="1:9">
      <c r="A822" s="22">
        <v>43252</v>
      </c>
      <c r="B822" s="21">
        <v>98.246735000000001</v>
      </c>
      <c r="C822" s="23">
        <v>28655600</v>
      </c>
      <c r="D822" s="24">
        <f t="shared" si="37"/>
        <v>8.6931330488041209E-3</v>
      </c>
      <c r="E822" s="25">
        <f t="shared" si="38"/>
        <v>-1374000</v>
      </c>
      <c r="F822" s="20">
        <v>1</v>
      </c>
      <c r="G822" s="20"/>
      <c r="I822" s="21">
        <f t="shared" si="39"/>
        <v>139.31442665011028</v>
      </c>
    </row>
    <row r="823" spans="1:9">
      <c r="A823" s="22">
        <v>43255</v>
      </c>
      <c r="B823" s="21">
        <v>99.104529999999997</v>
      </c>
      <c r="C823" s="23">
        <v>27281600</v>
      </c>
      <c r="D823" s="24">
        <f t="shared" si="37"/>
        <v>5.1015846463803366E-3</v>
      </c>
      <c r="E823" s="25">
        <f t="shared" si="38"/>
        <v>-3767200</v>
      </c>
      <c r="F823" s="20">
        <v>1</v>
      </c>
      <c r="G823" s="20"/>
      <c r="I823" s="21">
        <f t="shared" si="39"/>
        <v>139.31497948300819</v>
      </c>
    </row>
    <row r="824" spans="1:9">
      <c r="A824" s="22">
        <v>43256</v>
      </c>
      <c r="B824" s="21">
        <v>99.611412000000001</v>
      </c>
      <c r="C824" s="23">
        <v>23514400</v>
      </c>
      <c r="D824" s="24">
        <f t="shared" si="37"/>
        <v>2.9313770043711755E-3</v>
      </c>
      <c r="E824" s="25">
        <f t="shared" si="38"/>
        <v>-2391500</v>
      </c>
      <c r="F824" s="20">
        <v>1</v>
      </c>
      <c r="G824" s="20"/>
      <c r="I824" s="21">
        <f t="shared" si="39"/>
        <v>139.31553231809988</v>
      </c>
    </row>
    <row r="825" spans="1:9">
      <c r="A825" s="22">
        <v>43257</v>
      </c>
      <c r="B825" s="21">
        <v>99.903839000000005</v>
      </c>
      <c r="C825" s="23">
        <v>21122900</v>
      </c>
      <c r="D825" s="24">
        <f t="shared" si="37"/>
        <v>-1.5833537264518777E-2</v>
      </c>
      <c r="E825" s="25">
        <f t="shared" si="38"/>
        <v>7109300</v>
      </c>
      <c r="F825" s="20">
        <v>1</v>
      </c>
      <c r="G825" s="20"/>
      <c r="I825" s="21">
        <f t="shared" si="39"/>
        <v>139.31608515538537</v>
      </c>
    </row>
    <row r="826" spans="1:9">
      <c r="A826" s="22">
        <v>43258</v>
      </c>
      <c r="B826" s="21">
        <v>98.334464999999994</v>
      </c>
      <c r="C826" s="23">
        <v>28232200</v>
      </c>
      <c r="D826" s="24">
        <f t="shared" si="37"/>
        <v>7.406964180230304E-3</v>
      </c>
      <c r="E826" s="25">
        <f t="shared" si="38"/>
        <v>-6067100</v>
      </c>
      <c r="F826" s="20">
        <v>1</v>
      </c>
      <c r="G826" s="20"/>
      <c r="I826" s="21">
        <f t="shared" si="39"/>
        <v>139.31663799486464</v>
      </c>
    </row>
    <row r="827" spans="1:9">
      <c r="A827" s="22">
        <v>43259</v>
      </c>
      <c r="B827" s="21">
        <v>99.065528999999998</v>
      </c>
      <c r="C827" s="23">
        <v>22165100</v>
      </c>
      <c r="D827" s="24">
        <f t="shared" si="37"/>
        <v>-5.7232154340835983E-3</v>
      </c>
      <c r="E827" s="25">
        <f t="shared" si="38"/>
        <v>1325800</v>
      </c>
      <c r="F827" s="20">
        <v>1</v>
      </c>
      <c r="G827" s="20"/>
      <c r="I827" s="21">
        <f t="shared" si="39"/>
        <v>139.31719083653769</v>
      </c>
    </row>
    <row r="828" spans="1:9">
      <c r="A828" s="22">
        <v>43262</v>
      </c>
      <c r="B828" s="21">
        <v>98.500174999999999</v>
      </c>
      <c r="C828" s="23">
        <v>23490900</v>
      </c>
      <c r="D828" s="24">
        <f t="shared" si="37"/>
        <v>2.5696960061267048E-3</v>
      </c>
      <c r="E828" s="25">
        <f t="shared" si="38"/>
        <v>-5165700</v>
      </c>
      <c r="F828" s="20">
        <v>1</v>
      </c>
      <c r="G828" s="20"/>
      <c r="I828" s="21">
        <f t="shared" si="39"/>
        <v>139.31774368040456</v>
      </c>
    </row>
    <row r="829" spans="1:9">
      <c r="A829" s="22">
        <v>43263</v>
      </c>
      <c r="B829" s="21">
        <v>98.753615999999994</v>
      </c>
      <c r="C829" s="23">
        <v>18325200</v>
      </c>
      <c r="D829" s="24">
        <f t="shared" si="37"/>
        <v>-4.5508719976246241E-3</v>
      </c>
      <c r="E829" s="25">
        <f t="shared" si="38"/>
        <v>11167700</v>
      </c>
      <c r="F829" s="20">
        <v>1</v>
      </c>
      <c r="G829" s="20"/>
      <c r="I829" s="21">
        <f t="shared" si="39"/>
        <v>139.31829652646525</v>
      </c>
    </row>
    <row r="830" spans="1:9">
      <c r="A830" s="22">
        <v>43264</v>
      </c>
      <c r="B830" s="21">
        <v>98.305222000000001</v>
      </c>
      <c r="C830" s="23">
        <v>29492900</v>
      </c>
      <c r="D830" s="24">
        <f t="shared" si="37"/>
        <v>5.6360558722543964E-3</v>
      </c>
      <c r="E830" s="25">
        <f t="shared" si="38"/>
        <v>-3801100</v>
      </c>
      <c r="F830" s="20">
        <v>1</v>
      </c>
      <c r="G830" s="20"/>
      <c r="I830" s="21">
        <f t="shared" si="39"/>
        <v>139.31884937471975</v>
      </c>
    </row>
    <row r="831" spans="1:9">
      <c r="A831" s="22">
        <v>43265</v>
      </c>
      <c r="B831" s="21">
        <v>98.860839999999996</v>
      </c>
      <c r="C831" s="23">
        <v>25691800</v>
      </c>
      <c r="D831" s="24">
        <f t="shared" si="37"/>
        <v>-1.2801019266744993E-2</v>
      </c>
      <c r="E831" s="25">
        <f t="shared" si="38"/>
        <v>40046800</v>
      </c>
      <c r="F831" s="20">
        <v>1</v>
      </c>
      <c r="G831" s="20"/>
      <c r="I831" s="21">
        <f t="shared" si="39"/>
        <v>139.31940222516809</v>
      </c>
    </row>
    <row r="832" spans="1:9">
      <c r="A832" s="22">
        <v>43266</v>
      </c>
      <c r="B832" s="21">
        <v>97.603386</v>
      </c>
      <c r="C832" s="23">
        <v>65738600</v>
      </c>
      <c r="D832" s="24">
        <f t="shared" si="37"/>
        <v>7.2641393723963102E-3</v>
      </c>
      <c r="E832" s="25">
        <f t="shared" si="38"/>
        <v>-42152600</v>
      </c>
      <c r="F832" s="20">
        <v>1</v>
      </c>
      <c r="G832" s="20"/>
      <c r="I832" s="21">
        <f t="shared" si="39"/>
        <v>139.31995507781028</v>
      </c>
    </row>
    <row r="833" spans="1:9">
      <c r="A833" s="22">
        <v>43269</v>
      </c>
      <c r="B833" s="21">
        <v>98.314971999999997</v>
      </c>
      <c r="C833" s="23">
        <v>23586000</v>
      </c>
      <c r="D833" s="24">
        <f t="shared" si="37"/>
        <v>0</v>
      </c>
      <c r="E833" s="25">
        <f t="shared" si="38"/>
        <v>5067100</v>
      </c>
      <c r="F833" s="20">
        <v>1</v>
      </c>
      <c r="G833" s="20"/>
      <c r="I833" s="21">
        <f t="shared" si="39"/>
        <v>139.32050793264631</v>
      </c>
    </row>
    <row r="834" spans="1:9">
      <c r="A834" s="22">
        <v>43270</v>
      </c>
      <c r="B834" s="21">
        <v>98.314971999999997</v>
      </c>
      <c r="C834" s="23">
        <v>28653100</v>
      </c>
      <c r="D834" s="24">
        <f t="shared" si="37"/>
        <v>9.9640498503845969E-3</v>
      </c>
      <c r="E834" s="25">
        <f t="shared" si="38"/>
        <v>-2472300</v>
      </c>
      <c r="F834" s="20">
        <v>1</v>
      </c>
      <c r="G834" s="20"/>
      <c r="I834" s="21">
        <f t="shared" si="39"/>
        <v>139.32106078967621</v>
      </c>
    </row>
    <row r="835" spans="1:9">
      <c r="A835" s="22">
        <v>43271</v>
      </c>
      <c r="B835" s="21">
        <v>99.299484000000007</v>
      </c>
      <c r="C835" s="23">
        <v>26180800</v>
      </c>
      <c r="D835" s="24">
        <f t="shared" ref="D835:D898" si="40">LN(B836/B835)</f>
        <v>-7.1917777782346554E-3</v>
      </c>
      <c r="E835" s="25">
        <f t="shared" ref="E835:E898" si="41">C836-C835</f>
        <v>-2982600</v>
      </c>
      <c r="F835" s="20">
        <v>1</v>
      </c>
      <c r="G835" s="20"/>
      <c r="I835" s="21">
        <f t="shared" si="39"/>
        <v>139.32161364889998</v>
      </c>
    </row>
    <row r="836" spans="1:9">
      <c r="A836" s="22">
        <v>43272</v>
      </c>
      <c r="B836" s="21">
        <v>98.587906000000004</v>
      </c>
      <c r="C836" s="23">
        <v>23198200</v>
      </c>
      <c r="D836" s="24">
        <f t="shared" si="40"/>
        <v>-7.2438743389029109E-3</v>
      </c>
      <c r="E836" s="25">
        <f t="shared" si="41"/>
        <v>15724900</v>
      </c>
      <c r="F836" s="20">
        <v>1</v>
      </c>
      <c r="G836" s="20"/>
      <c r="I836" s="21">
        <f t="shared" si="39"/>
        <v>139.32216651031763</v>
      </c>
    </row>
    <row r="837" spans="1:9">
      <c r="A837" s="22">
        <v>43273</v>
      </c>
      <c r="B837" s="21">
        <v>97.876328000000001</v>
      </c>
      <c r="C837" s="23">
        <v>38923100</v>
      </c>
      <c r="D837" s="24">
        <f t="shared" si="40"/>
        <v>-2.0322591313989519E-2</v>
      </c>
      <c r="E837" s="25">
        <f t="shared" si="41"/>
        <v>-3489800</v>
      </c>
      <c r="F837" s="20">
        <v>1</v>
      </c>
      <c r="G837" s="20"/>
      <c r="I837" s="21">
        <f t="shared" si="39"/>
        <v>139.32271937392917</v>
      </c>
    </row>
    <row r="838" spans="1:9">
      <c r="A838" s="22">
        <v>43276</v>
      </c>
      <c r="B838" s="21">
        <v>95.907302999999999</v>
      </c>
      <c r="C838" s="23">
        <v>35433300</v>
      </c>
      <c r="D838" s="24">
        <f t="shared" si="40"/>
        <v>6.9883791983392446E-3</v>
      </c>
      <c r="E838" s="25">
        <f t="shared" si="41"/>
        <v>-8536100</v>
      </c>
      <c r="F838" s="20">
        <v>1</v>
      </c>
      <c r="G838" s="20"/>
      <c r="I838" s="21">
        <f t="shared" si="39"/>
        <v>139.32327223973459</v>
      </c>
    </row>
    <row r="839" spans="1:9">
      <c r="A839" s="22">
        <v>43277</v>
      </c>
      <c r="B839" s="21">
        <v>96.579886999999999</v>
      </c>
      <c r="C839" s="23">
        <v>26897200</v>
      </c>
      <c r="D839" s="24">
        <f t="shared" si="40"/>
        <v>-1.566500433077286E-2</v>
      </c>
      <c r="E839" s="25">
        <f t="shared" si="41"/>
        <v>4401200</v>
      </c>
      <c r="F839" s="20">
        <v>1</v>
      </c>
      <c r="G839" s="20"/>
      <c r="I839" s="21">
        <f t="shared" si="39"/>
        <v>139.32382510773391</v>
      </c>
    </row>
    <row r="840" spans="1:9">
      <c r="A840" s="22">
        <v>43278</v>
      </c>
      <c r="B840" s="21">
        <v>95.078750999999997</v>
      </c>
      <c r="C840" s="23">
        <v>31298400</v>
      </c>
      <c r="D840" s="24">
        <f t="shared" si="40"/>
        <v>1.1112802133667008E-2</v>
      </c>
      <c r="E840" s="25">
        <f t="shared" si="41"/>
        <v>-4647700</v>
      </c>
      <c r="F840" s="20">
        <v>1</v>
      </c>
      <c r="G840" s="20"/>
      <c r="I840" s="21">
        <f t="shared" si="39"/>
        <v>139.32437797792716</v>
      </c>
    </row>
    <row r="841" spans="1:9">
      <c r="A841" s="22">
        <v>43279</v>
      </c>
      <c r="B841" s="21">
        <v>96.141234999999995</v>
      </c>
      <c r="C841" s="23">
        <v>26650700</v>
      </c>
      <c r="D841" s="24">
        <f t="shared" si="40"/>
        <v>-2.0269112192025592E-4</v>
      </c>
      <c r="E841" s="25">
        <f t="shared" si="41"/>
        <v>1402500</v>
      </c>
      <c r="F841" s="20">
        <v>1</v>
      </c>
      <c r="G841" s="20"/>
      <c r="I841" s="21">
        <f t="shared" si="39"/>
        <v>139.32493085031433</v>
      </c>
    </row>
    <row r="842" spans="1:9">
      <c r="A842" s="22">
        <v>43280</v>
      </c>
      <c r="B842" s="21">
        <v>96.121750000000006</v>
      </c>
      <c r="C842" s="23">
        <v>28053200</v>
      </c>
      <c r="D842" s="24">
        <f t="shared" si="40"/>
        <v>1.4097469140684207E-2</v>
      </c>
      <c r="E842" s="25">
        <f t="shared" si="41"/>
        <v>-8488700</v>
      </c>
      <c r="F842" s="20">
        <v>1</v>
      </c>
      <c r="G842" s="20"/>
      <c r="I842" s="21">
        <f t="shared" si="39"/>
        <v>139.32548372489543</v>
      </c>
    </row>
    <row r="843" spans="1:9">
      <c r="A843" s="22">
        <v>43283</v>
      </c>
      <c r="B843" s="21">
        <v>97.486419999999995</v>
      </c>
      <c r="C843" s="23">
        <v>19564500</v>
      </c>
      <c r="D843" s="24">
        <f t="shared" si="40"/>
        <v>-9.6453244224198025E-3</v>
      </c>
      <c r="E843" s="25">
        <f t="shared" si="41"/>
        <v>-4894200</v>
      </c>
      <c r="F843" s="20">
        <v>1</v>
      </c>
      <c r="G843" s="20"/>
      <c r="I843" s="21">
        <f t="shared" si="39"/>
        <v>139.32603660167047</v>
      </c>
    </row>
    <row r="844" spans="1:9">
      <c r="A844" s="22">
        <v>43284</v>
      </c>
      <c r="B844" s="21">
        <v>96.550651999999999</v>
      </c>
      <c r="C844" s="23">
        <v>14670300</v>
      </c>
      <c r="D844" s="24">
        <f t="shared" si="40"/>
        <v>7.1424518071418674E-3</v>
      </c>
      <c r="E844" s="25">
        <f t="shared" si="41"/>
        <v>4307100</v>
      </c>
      <c r="F844" s="20">
        <v>1</v>
      </c>
      <c r="G844" s="20"/>
      <c r="I844" s="21">
        <f t="shared" si="39"/>
        <v>139.32658948063946</v>
      </c>
    </row>
    <row r="845" spans="1:9">
      <c r="A845" s="22">
        <v>43286</v>
      </c>
      <c r="B845" s="21">
        <v>97.242728999999997</v>
      </c>
      <c r="C845" s="23">
        <v>18977400</v>
      </c>
      <c r="D845" s="24">
        <f t="shared" si="40"/>
        <v>1.3936166854353785E-2</v>
      </c>
      <c r="E845" s="25">
        <f t="shared" si="41"/>
        <v>257200</v>
      </c>
      <c r="F845" s="20">
        <v>1</v>
      </c>
      <c r="G845" s="20"/>
      <c r="I845" s="21">
        <f t="shared" si="39"/>
        <v>139.3271423618024</v>
      </c>
    </row>
    <row r="846" spans="1:9">
      <c r="A846" s="22">
        <v>43287</v>
      </c>
      <c r="B846" s="21">
        <v>98.607406999999995</v>
      </c>
      <c r="C846" s="23">
        <v>19234600</v>
      </c>
      <c r="D846" s="24">
        <f t="shared" si="40"/>
        <v>6.7975992450344126E-3</v>
      </c>
      <c r="E846" s="25">
        <f t="shared" si="41"/>
        <v>-1022600</v>
      </c>
      <c r="F846" s="20">
        <v>1</v>
      </c>
      <c r="G846" s="20"/>
      <c r="I846" s="21">
        <f t="shared" si="39"/>
        <v>139.3276952451593</v>
      </c>
    </row>
    <row r="847" spans="1:9">
      <c r="A847" s="22">
        <v>43290</v>
      </c>
      <c r="B847" s="21">
        <v>99.279983999999999</v>
      </c>
      <c r="C847" s="23">
        <v>18212000</v>
      </c>
      <c r="D847" s="24">
        <f t="shared" si="40"/>
        <v>2.6474095435284803E-3</v>
      </c>
      <c r="E847" s="25">
        <f t="shared" si="41"/>
        <v>1081100</v>
      </c>
      <c r="F847" s="20">
        <v>1</v>
      </c>
      <c r="G847" s="20"/>
      <c r="I847" s="21">
        <f t="shared" si="39"/>
        <v>139.32824813071016</v>
      </c>
    </row>
    <row r="848" spans="1:9">
      <c r="A848" s="22">
        <v>43291</v>
      </c>
      <c r="B848" s="21">
        <v>99.543166999999997</v>
      </c>
      <c r="C848" s="23">
        <v>19293100</v>
      </c>
      <c r="D848" s="24">
        <f t="shared" si="40"/>
        <v>-1.3717929845316567E-3</v>
      </c>
      <c r="E848" s="25">
        <f t="shared" si="41"/>
        <v>351500</v>
      </c>
      <c r="F848" s="20">
        <v>1</v>
      </c>
      <c r="G848" s="20"/>
      <c r="I848" s="21">
        <f t="shared" si="39"/>
        <v>139.32880101845501</v>
      </c>
    </row>
    <row r="849" spans="1:9">
      <c r="A849" s="22">
        <v>43292</v>
      </c>
      <c r="B849" s="21">
        <v>99.406707999999995</v>
      </c>
      <c r="C849" s="23">
        <v>19644600</v>
      </c>
      <c r="D849" s="24">
        <f t="shared" si="40"/>
        <v>2.1439524420459689E-2</v>
      </c>
      <c r="E849" s="25">
        <f t="shared" si="41"/>
        <v>4691300</v>
      </c>
      <c r="F849" s="20">
        <v>1</v>
      </c>
      <c r="G849" s="20"/>
      <c r="I849" s="21">
        <f t="shared" si="39"/>
        <v>139.32935390839384</v>
      </c>
    </row>
    <row r="850" spans="1:9">
      <c r="A850" s="22">
        <v>43293</v>
      </c>
      <c r="B850" s="21">
        <v>101.560951</v>
      </c>
      <c r="C850" s="23">
        <v>24335900</v>
      </c>
      <c r="D850" s="24">
        <f t="shared" si="40"/>
        <v>1.1830984444107696E-2</v>
      </c>
      <c r="E850" s="25">
        <f t="shared" si="41"/>
        <v>299300</v>
      </c>
      <c r="F850" s="20">
        <v>1</v>
      </c>
      <c r="G850" s="20"/>
      <c r="I850" s="21">
        <f t="shared" si="39"/>
        <v>139.32990680052669</v>
      </c>
    </row>
    <row r="851" spans="1:9">
      <c r="A851" s="22">
        <v>43294</v>
      </c>
      <c r="B851" s="21">
        <v>102.76965300000001</v>
      </c>
      <c r="C851" s="23">
        <v>24635200</v>
      </c>
      <c r="D851" s="24">
        <f t="shared" si="40"/>
        <v>-4.9444085017315391E-3</v>
      </c>
      <c r="E851" s="25">
        <f t="shared" si="41"/>
        <v>-2848300</v>
      </c>
      <c r="F851" s="20">
        <v>1</v>
      </c>
      <c r="G851" s="20"/>
      <c r="I851" s="21">
        <f t="shared" si="39"/>
        <v>139.33045969485354</v>
      </c>
    </row>
    <row r="852" spans="1:9">
      <c r="A852" s="22">
        <v>43297</v>
      </c>
      <c r="B852" s="21">
        <v>102.262772</v>
      </c>
      <c r="C852" s="23">
        <v>21786900</v>
      </c>
      <c r="D852" s="24">
        <f t="shared" si="40"/>
        <v>9.8644997437968406E-3</v>
      </c>
      <c r="E852" s="25">
        <f t="shared" si="41"/>
        <v>4114800</v>
      </c>
      <c r="F852" s="20">
        <v>1</v>
      </c>
      <c r="G852" s="20"/>
      <c r="I852" s="21">
        <f t="shared" si="39"/>
        <v>139.33101259137442</v>
      </c>
    </row>
    <row r="853" spans="1:9">
      <c r="A853" s="22">
        <v>43298</v>
      </c>
      <c r="B853" s="21">
        <v>103.276535</v>
      </c>
      <c r="C853" s="23">
        <v>25901700</v>
      </c>
      <c r="D853" s="24">
        <f t="shared" si="40"/>
        <v>-7.8648335663995296E-3</v>
      </c>
      <c r="E853" s="25">
        <f t="shared" si="41"/>
        <v>3592200</v>
      </c>
      <c r="F853" s="20">
        <v>1</v>
      </c>
      <c r="G853" s="20"/>
      <c r="I853" s="21">
        <f t="shared" si="39"/>
        <v>139.3315654900893</v>
      </c>
    </row>
    <row r="854" spans="1:9">
      <c r="A854" s="22">
        <v>43299</v>
      </c>
      <c r="B854" s="21">
        <v>102.467468</v>
      </c>
      <c r="C854" s="23">
        <v>29493900</v>
      </c>
      <c r="D854" s="24">
        <f t="shared" si="40"/>
        <v>-6.8727616389907984E-3</v>
      </c>
      <c r="E854" s="25">
        <f t="shared" si="41"/>
        <v>10677700</v>
      </c>
      <c r="F854" s="20">
        <v>1</v>
      </c>
      <c r="G854" s="20"/>
      <c r="I854" s="21">
        <f t="shared" si="39"/>
        <v>139.33211839099823</v>
      </c>
    </row>
    <row r="855" spans="1:9">
      <c r="A855" s="22">
        <v>43300</v>
      </c>
      <c r="B855" s="21">
        <v>101.765648</v>
      </c>
      <c r="C855" s="23">
        <v>40171600</v>
      </c>
      <c r="D855" s="24">
        <f t="shared" si="40"/>
        <v>1.7753216620420443E-2</v>
      </c>
      <c r="E855" s="25">
        <f t="shared" si="41"/>
        <v>15832400</v>
      </c>
      <c r="F855" s="20">
        <v>1</v>
      </c>
      <c r="G855" s="20"/>
      <c r="I855" s="21">
        <f t="shared" si="39"/>
        <v>139.3326712941012</v>
      </c>
    </row>
    <row r="856" spans="1:9">
      <c r="A856" s="22">
        <v>43301</v>
      </c>
      <c r="B856" s="21">
        <v>103.588448</v>
      </c>
      <c r="C856" s="23">
        <v>56004000</v>
      </c>
      <c r="D856" s="24">
        <f t="shared" si="40"/>
        <v>1.5870535093981054E-2</v>
      </c>
      <c r="E856" s="25">
        <f t="shared" si="41"/>
        <v>-26297000</v>
      </c>
      <c r="F856" s="20">
        <v>1</v>
      </c>
      <c r="G856" s="20"/>
      <c r="I856" s="21">
        <f t="shared" si="39"/>
        <v>139.33322419939822</v>
      </c>
    </row>
    <row r="857" spans="1:9">
      <c r="A857" s="22">
        <v>43304</v>
      </c>
      <c r="B857" s="21">
        <v>105.24556699999999</v>
      </c>
      <c r="C857" s="23">
        <v>29707000</v>
      </c>
      <c r="D857" s="24">
        <f t="shared" si="40"/>
        <v>-2.8753672315931559E-3</v>
      </c>
      <c r="E857" s="25">
        <f t="shared" si="41"/>
        <v>-3390400</v>
      </c>
      <c r="F857" s="20">
        <v>1</v>
      </c>
      <c r="G857" s="20"/>
      <c r="I857" s="21">
        <f t="shared" si="39"/>
        <v>139.3337771068893</v>
      </c>
    </row>
    <row r="858" spans="1:9">
      <c r="A858" s="22">
        <v>43305</v>
      </c>
      <c r="B858" s="21">
        <v>104.943382</v>
      </c>
      <c r="C858" s="23">
        <v>26316600</v>
      </c>
      <c r="D858" s="24">
        <f t="shared" si="40"/>
        <v>2.901932330409801E-2</v>
      </c>
      <c r="E858" s="25">
        <f t="shared" si="41"/>
        <v>4385500</v>
      </c>
      <c r="F858" s="20">
        <v>1</v>
      </c>
      <c r="G858" s="20"/>
      <c r="I858" s="21">
        <f t="shared" si="39"/>
        <v>139.33433001657446</v>
      </c>
    </row>
    <row r="859" spans="1:9">
      <c r="A859" s="22">
        <v>43306</v>
      </c>
      <c r="B859" s="21">
        <v>108.03338599999999</v>
      </c>
      <c r="C859" s="23">
        <v>30702100</v>
      </c>
      <c r="D859" s="24">
        <f t="shared" si="40"/>
        <v>-1.0977566078042929E-2</v>
      </c>
      <c r="E859" s="25">
        <f t="shared" si="41"/>
        <v>670000</v>
      </c>
      <c r="F859" s="20">
        <v>1</v>
      </c>
      <c r="G859" s="20"/>
      <c r="I859" s="21">
        <f t="shared" si="39"/>
        <v>139.33488292845368</v>
      </c>
    </row>
    <row r="860" spans="1:9">
      <c r="A860" s="22">
        <v>43307</v>
      </c>
      <c r="B860" s="21">
        <v>106.853928</v>
      </c>
      <c r="C860" s="23">
        <v>31372100</v>
      </c>
      <c r="D860" s="24">
        <f t="shared" si="40"/>
        <v>-1.7856026697250182E-2</v>
      </c>
      <c r="E860" s="25">
        <f t="shared" si="41"/>
        <v>5633200</v>
      </c>
      <c r="F860" s="20">
        <v>1</v>
      </c>
      <c r="G860" s="20"/>
      <c r="I860" s="21">
        <f t="shared" si="39"/>
        <v>139.335435842527</v>
      </c>
    </row>
    <row r="861" spans="1:9">
      <c r="A861" s="22">
        <v>43308</v>
      </c>
      <c r="B861" s="21">
        <v>104.962875</v>
      </c>
      <c r="C861" s="23">
        <v>37005300</v>
      </c>
      <c r="D861" s="24">
        <f t="shared" si="40"/>
        <v>-2.16858807432809E-2</v>
      </c>
      <c r="E861" s="25">
        <f t="shared" si="41"/>
        <v>-2337000</v>
      </c>
      <c r="F861" s="20">
        <v>1</v>
      </c>
      <c r="G861" s="20"/>
      <c r="I861" s="21">
        <f t="shared" si="39"/>
        <v>139.33598875879443</v>
      </c>
    </row>
    <row r="862" spans="1:9">
      <c r="A862" s="22">
        <v>43311</v>
      </c>
      <c r="B862" s="21">
        <v>102.71116600000001</v>
      </c>
      <c r="C862" s="23">
        <v>34668300</v>
      </c>
      <c r="D862" s="24">
        <f t="shared" si="40"/>
        <v>6.7155767921931809E-3</v>
      </c>
      <c r="E862" s="25">
        <f t="shared" si="41"/>
        <v>-7013100</v>
      </c>
      <c r="F862" s="20">
        <v>1</v>
      </c>
      <c r="G862" s="20"/>
      <c r="I862" s="21">
        <f t="shared" si="39"/>
        <v>139.33654167725595</v>
      </c>
    </row>
    <row r="863" spans="1:9">
      <c r="A863" s="22">
        <v>43312</v>
      </c>
      <c r="B863" s="21">
        <v>103.40325199999999</v>
      </c>
      <c r="C863" s="23">
        <v>27655200</v>
      </c>
      <c r="D863" s="24">
        <f t="shared" si="40"/>
        <v>1.8836008163829845E-3</v>
      </c>
      <c r="E863" s="25">
        <f t="shared" si="41"/>
        <v>-4026500</v>
      </c>
      <c r="F863" s="20">
        <v>1</v>
      </c>
      <c r="G863" s="20"/>
      <c r="I863" s="21">
        <f t="shared" si="39"/>
        <v>139.33709459791157</v>
      </c>
    </row>
    <row r="864" spans="1:9">
      <c r="A864" s="22">
        <v>43313</v>
      </c>
      <c r="B864" s="21">
        <v>103.598206</v>
      </c>
      <c r="C864" s="23">
        <v>23628700</v>
      </c>
      <c r="D864" s="24">
        <f t="shared" si="40"/>
        <v>1.2064648401342554E-2</v>
      </c>
      <c r="E864" s="25">
        <f t="shared" si="41"/>
        <v>2475600</v>
      </c>
      <c r="F864" s="20">
        <v>1</v>
      </c>
      <c r="G864" s="20"/>
      <c r="I864" s="21">
        <f t="shared" si="39"/>
        <v>139.33764752076132</v>
      </c>
    </row>
    <row r="865" spans="1:9">
      <c r="A865" s="22">
        <v>43314</v>
      </c>
      <c r="B865" s="21">
        <v>104.85565200000001</v>
      </c>
      <c r="C865" s="23">
        <v>26104300</v>
      </c>
      <c r="D865" s="24">
        <f t="shared" si="40"/>
        <v>4.3597747233712235E-3</v>
      </c>
      <c r="E865" s="25">
        <f t="shared" si="41"/>
        <v>-7444700</v>
      </c>
      <c r="F865" s="20">
        <v>1</v>
      </c>
      <c r="G865" s="20"/>
      <c r="I865" s="21">
        <f t="shared" si="39"/>
        <v>139.3382004458052</v>
      </c>
    </row>
    <row r="866" spans="1:9">
      <c r="A866" s="22">
        <v>43315</v>
      </c>
      <c r="B866" s="21">
        <v>105.31379699999999</v>
      </c>
      <c r="C866" s="23">
        <v>18659600</v>
      </c>
      <c r="D866" s="24">
        <f t="shared" si="40"/>
        <v>8.3262105780279908E-4</v>
      </c>
      <c r="E866" s="25">
        <f t="shared" si="41"/>
        <v>1606300</v>
      </c>
      <c r="F866" s="20">
        <v>1</v>
      </c>
      <c r="G866" s="20"/>
      <c r="I866" s="21">
        <f t="shared" ref="I866:I929" si="42">I865*EXP($L$31*$L$33+$L$32*H866*SQRT($L$33))</f>
        <v>139.3387533730432</v>
      </c>
    </row>
    <row r="867" spans="1:9">
      <c r="A867" s="22">
        <v>43318</v>
      </c>
      <c r="B867" s="21">
        <v>105.40152</v>
      </c>
      <c r="C867" s="23">
        <v>20265900</v>
      </c>
      <c r="D867" s="24">
        <f t="shared" si="40"/>
        <v>6.912189052684258E-3</v>
      </c>
      <c r="E867" s="25">
        <f t="shared" si="41"/>
        <v>-4185700</v>
      </c>
      <c r="F867" s="20">
        <v>1</v>
      </c>
      <c r="G867" s="20"/>
      <c r="I867" s="21">
        <f t="shared" si="42"/>
        <v>139.33930630247536</v>
      </c>
    </row>
    <row r="868" spans="1:9">
      <c r="A868" s="22">
        <v>43319</v>
      </c>
      <c r="B868" s="21">
        <v>106.132599</v>
      </c>
      <c r="C868" s="23">
        <v>16080200</v>
      </c>
      <c r="D868" s="24">
        <f t="shared" si="40"/>
        <v>5.5868279591489104E-3</v>
      </c>
      <c r="E868" s="25">
        <f t="shared" si="41"/>
        <v>-592700</v>
      </c>
      <c r="F868" s="20">
        <v>1</v>
      </c>
      <c r="G868" s="20"/>
      <c r="I868" s="21">
        <f t="shared" si="42"/>
        <v>139.33985923410168</v>
      </c>
    </row>
    <row r="869" spans="1:9">
      <c r="A869" s="22">
        <v>43320</v>
      </c>
      <c r="B869" s="21">
        <v>106.727203</v>
      </c>
      <c r="C869" s="23">
        <v>15487500</v>
      </c>
      <c r="D869" s="24">
        <f t="shared" si="40"/>
        <v>1.6425984593147688E-3</v>
      </c>
      <c r="E869" s="25">
        <f t="shared" si="41"/>
        <v>-1810300</v>
      </c>
      <c r="F869" s="20">
        <v>1</v>
      </c>
      <c r="G869" s="20"/>
      <c r="I869" s="21">
        <f t="shared" si="42"/>
        <v>139.34041216792215</v>
      </c>
    </row>
    <row r="870" spans="1:9">
      <c r="A870" s="22">
        <v>43321</v>
      </c>
      <c r="B870" s="21">
        <v>106.902657</v>
      </c>
      <c r="C870" s="23">
        <v>13677200</v>
      </c>
      <c r="D870" s="24">
        <f t="shared" si="40"/>
        <v>-6.1278837538750021E-3</v>
      </c>
      <c r="E870" s="25">
        <f t="shared" si="41"/>
        <v>4506500</v>
      </c>
      <c r="F870" s="20">
        <v>1</v>
      </c>
      <c r="G870" s="20"/>
      <c r="I870" s="21">
        <f t="shared" si="42"/>
        <v>139.34096510393681</v>
      </c>
    </row>
    <row r="871" spans="1:9">
      <c r="A871" s="22">
        <v>43322</v>
      </c>
      <c r="B871" s="21">
        <v>106.249573</v>
      </c>
      <c r="C871" s="23">
        <v>18183700</v>
      </c>
      <c r="D871" s="24">
        <f t="shared" si="40"/>
        <v>-7.2741677341858985E-3</v>
      </c>
      <c r="E871" s="25">
        <f t="shared" si="41"/>
        <v>288800</v>
      </c>
      <c r="F871" s="20">
        <v>1</v>
      </c>
      <c r="G871" s="20"/>
      <c r="I871" s="21">
        <f t="shared" si="42"/>
        <v>139.34151804214565</v>
      </c>
    </row>
    <row r="872" spans="1:9">
      <c r="A872" s="22">
        <v>43325</v>
      </c>
      <c r="B872" s="21">
        <v>105.4795</v>
      </c>
      <c r="C872" s="23">
        <v>18472500</v>
      </c>
      <c r="D872" s="24">
        <f t="shared" si="40"/>
        <v>1.2398617110314208E-2</v>
      </c>
      <c r="E872" s="25">
        <f t="shared" si="41"/>
        <v>-1684200</v>
      </c>
      <c r="F872" s="20">
        <v>1</v>
      </c>
      <c r="G872" s="20"/>
      <c r="I872" s="21">
        <f t="shared" si="42"/>
        <v>139.34207098254868</v>
      </c>
    </row>
    <row r="873" spans="1:9">
      <c r="A873" s="22">
        <v>43326</v>
      </c>
      <c r="B873" s="21">
        <v>106.795441</v>
      </c>
      <c r="C873" s="23">
        <v>16788300</v>
      </c>
      <c r="D873" s="24">
        <f t="shared" si="40"/>
        <v>-1.365332530561985E-2</v>
      </c>
      <c r="E873" s="25">
        <f t="shared" si="41"/>
        <v>13194500</v>
      </c>
      <c r="F873" s="20">
        <v>1</v>
      </c>
      <c r="G873" s="20"/>
      <c r="I873" s="21">
        <f t="shared" si="42"/>
        <v>139.34262392514592</v>
      </c>
    </row>
    <row r="874" spans="1:9">
      <c r="A874" s="22">
        <v>43327</v>
      </c>
      <c r="B874" s="21">
        <v>105.34723700000001</v>
      </c>
      <c r="C874" s="23">
        <v>29982800</v>
      </c>
      <c r="D874" s="24">
        <f t="shared" si="40"/>
        <v>-1.8585033466391143E-4</v>
      </c>
      <c r="E874" s="25">
        <f t="shared" si="41"/>
        <v>-8598500</v>
      </c>
      <c r="F874" s="20">
        <v>1</v>
      </c>
      <c r="G874" s="20"/>
      <c r="I874" s="21">
        <f t="shared" si="42"/>
        <v>139.34317686993737</v>
      </c>
    </row>
    <row r="875" spans="1:9">
      <c r="A875" s="22">
        <v>43328</v>
      </c>
      <c r="B875" s="21">
        <v>105.32765999999999</v>
      </c>
      <c r="C875" s="23">
        <v>21384300</v>
      </c>
      <c r="D875" s="24">
        <f t="shared" si="40"/>
        <v>-5.5747335165187684E-4</v>
      </c>
      <c r="E875" s="25">
        <f t="shared" si="41"/>
        <v>-3322800</v>
      </c>
      <c r="F875" s="20">
        <v>1</v>
      </c>
      <c r="G875" s="20"/>
      <c r="I875" s="21">
        <f t="shared" si="42"/>
        <v>139.34372981692303</v>
      </c>
    </row>
    <row r="876" spans="1:9">
      <c r="A876" s="22">
        <v>43329</v>
      </c>
      <c r="B876" s="21">
        <v>105.268959</v>
      </c>
      <c r="C876" s="23">
        <v>18061500</v>
      </c>
      <c r="D876" s="24">
        <f t="shared" si="40"/>
        <v>-6.6215403809092395E-3</v>
      </c>
      <c r="E876" s="25">
        <f t="shared" si="41"/>
        <v>-147300</v>
      </c>
      <c r="F876" s="20">
        <v>1</v>
      </c>
      <c r="G876" s="20"/>
      <c r="I876" s="21">
        <f t="shared" si="42"/>
        <v>139.34428276610291</v>
      </c>
    </row>
    <row r="877" spans="1:9">
      <c r="A877" s="22">
        <v>43332</v>
      </c>
      <c r="B877" s="21">
        <v>104.574219</v>
      </c>
      <c r="C877" s="23">
        <v>17914200</v>
      </c>
      <c r="D877" s="24">
        <f t="shared" si="40"/>
        <v>-8.3628127522681495E-3</v>
      </c>
      <c r="E877" s="25">
        <f t="shared" si="41"/>
        <v>4967700</v>
      </c>
      <c r="F877" s="20">
        <v>1</v>
      </c>
      <c r="G877" s="20"/>
      <c r="I877" s="21">
        <f t="shared" si="42"/>
        <v>139.34483571747703</v>
      </c>
    </row>
    <row r="878" spans="1:9">
      <c r="A878" s="22">
        <v>43333</v>
      </c>
      <c r="B878" s="21">
        <v>103.70333100000001</v>
      </c>
      <c r="C878" s="23">
        <v>22881900</v>
      </c>
      <c r="D878" s="24">
        <f t="shared" si="40"/>
        <v>1.0138900253438771E-2</v>
      </c>
      <c r="E878" s="25">
        <f t="shared" si="41"/>
        <v>-4881300</v>
      </c>
      <c r="F878" s="20">
        <v>1</v>
      </c>
      <c r="G878" s="20"/>
      <c r="I878" s="21">
        <f t="shared" si="42"/>
        <v>139.34538867104538</v>
      </c>
    </row>
    <row r="879" spans="1:9">
      <c r="A879" s="22">
        <v>43334</v>
      </c>
      <c r="B879" s="21">
        <v>104.76011699999999</v>
      </c>
      <c r="C879" s="23">
        <v>18000600</v>
      </c>
      <c r="D879" s="24">
        <f t="shared" si="40"/>
        <v>4.6593883239595766E-3</v>
      </c>
      <c r="E879" s="25">
        <f t="shared" si="41"/>
        <v>167100</v>
      </c>
      <c r="F879" s="20">
        <v>1</v>
      </c>
      <c r="G879" s="20"/>
      <c r="I879" s="21">
        <f t="shared" si="42"/>
        <v>139.34594162680798</v>
      </c>
    </row>
    <row r="880" spans="1:9">
      <c r="A880" s="22">
        <v>43335</v>
      </c>
      <c r="B880" s="21">
        <v>105.249374</v>
      </c>
      <c r="C880" s="23">
        <v>18167700</v>
      </c>
      <c r="D880" s="24">
        <f t="shared" si="40"/>
        <v>7.7793146649352092E-3</v>
      </c>
      <c r="E880" s="25">
        <f t="shared" si="41"/>
        <v>-933700</v>
      </c>
      <c r="F880" s="20">
        <v>1</v>
      </c>
      <c r="G880" s="20"/>
      <c r="I880" s="21">
        <f t="shared" si="42"/>
        <v>139.34649458476486</v>
      </c>
    </row>
    <row r="881" spans="1:9">
      <c r="A881" s="22">
        <v>43336</v>
      </c>
      <c r="B881" s="21">
        <v>106.071335</v>
      </c>
      <c r="C881" s="23">
        <v>17234000</v>
      </c>
      <c r="D881" s="24">
        <f t="shared" si="40"/>
        <v>1.1009244288346369E-2</v>
      </c>
      <c r="E881" s="25">
        <f t="shared" si="41"/>
        <v>2428300</v>
      </c>
      <c r="F881" s="20">
        <v>1</v>
      </c>
      <c r="G881" s="20"/>
      <c r="I881" s="21">
        <f t="shared" si="42"/>
        <v>139.34704754491599</v>
      </c>
    </row>
    <row r="882" spans="1:9">
      <c r="A882" s="22">
        <v>43339</v>
      </c>
      <c r="B882" s="21">
        <v>107.245552</v>
      </c>
      <c r="C882" s="23">
        <v>19662300</v>
      </c>
      <c r="D882" s="24">
        <f t="shared" si="40"/>
        <v>6.003970680926278E-3</v>
      </c>
      <c r="E882" s="25">
        <f t="shared" si="41"/>
        <v>-510800</v>
      </c>
      <c r="F882" s="20">
        <v>1</v>
      </c>
      <c r="G882" s="20"/>
      <c r="I882" s="21">
        <f t="shared" si="42"/>
        <v>139.3476005072614</v>
      </c>
    </row>
    <row r="883" spans="1:9">
      <c r="A883" s="22">
        <v>43340</v>
      </c>
      <c r="B883" s="21">
        <v>107.89138800000001</v>
      </c>
      <c r="C883" s="23">
        <v>19151500</v>
      </c>
      <c r="D883" s="24">
        <f t="shared" si="40"/>
        <v>1.5836135405639055E-2</v>
      </c>
      <c r="E883" s="25">
        <f t="shared" si="41"/>
        <v>1666500</v>
      </c>
      <c r="F883" s="20">
        <v>1</v>
      </c>
      <c r="G883" s="20"/>
      <c r="I883" s="21">
        <f t="shared" si="42"/>
        <v>139.34815347180111</v>
      </c>
    </row>
    <row r="884" spans="1:9">
      <c r="A884" s="22">
        <v>43341</v>
      </c>
      <c r="B884" s="21">
        <v>109.61357099999999</v>
      </c>
      <c r="C884" s="23">
        <v>20818000</v>
      </c>
      <c r="D884" s="24">
        <f t="shared" si="40"/>
        <v>-6.2509057975203091E-4</v>
      </c>
      <c r="E884" s="25">
        <f t="shared" si="41"/>
        <v>1980700</v>
      </c>
      <c r="F884" s="20">
        <v>1</v>
      </c>
      <c r="G884" s="20"/>
      <c r="I884" s="21">
        <f t="shared" si="42"/>
        <v>139.34870643853512</v>
      </c>
    </row>
    <row r="885" spans="1:9">
      <c r="A885" s="22">
        <v>43342</v>
      </c>
      <c r="B885" s="21">
        <v>109.545074</v>
      </c>
      <c r="C885" s="23">
        <v>22798700</v>
      </c>
      <c r="D885" s="24">
        <f t="shared" si="40"/>
        <v>3.3886720504518854E-3</v>
      </c>
      <c r="E885" s="25">
        <f t="shared" si="41"/>
        <v>424000</v>
      </c>
      <c r="F885" s="20">
        <v>1</v>
      </c>
      <c r="G885" s="20"/>
      <c r="I885" s="21">
        <f t="shared" si="42"/>
        <v>139.34925940746342</v>
      </c>
    </row>
    <row r="886" spans="1:9">
      <c r="A886" s="22">
        <v>43343</v>
      </c>
      <c r="B886" s="21">
        <v>109.916916</v>
      </c>
      <c r="C886" s="23">
        <v>23222700</v>
      </c>
      <c r="D886" s="24">
        <f t="shared" si="40"/>
        <v>-5.5347483076697316E-3</v>
      </c>
      <c r="E886" s="25">
        <f t="shared" si="41"/>
        <v>-588100</v>
      </c>
      <c r="F886" s="20">
        <v>1</v>
      </c>
      <c r="G886" s="20"/>
      <c r="I886" s="21">
        <f t="shared" si="42"/>
        <v>139.34981237858602</v>
      </c>
    </row>
    <row r="887" spans="1:9">
      <c r="A887" s="22">
        <v>43347</v>
      </c>
      <c r="B887" s="21">
        <v>109.31023399999999</v>
      </c>
      <c r="C887" s="23">
        <v>22634600</v>
      </c>
      <c r="D887" s="24">
        <f t="shared" si="40"/>
        <v>-2.9248275422704469E-2</v>
      </c>
      <c r="E887" s="25">
        <f t="shared" si="41"/>
        <v>10237800</v>
      </c>
      <c r="F887" s="20">
        <v>1</v>
      </c>
      <c r="G887" s="20"/>
      <c r="I887" s="21">
        <f t="shared" si="42"/>
        <v>139.35036535190295</v>
      </c>
    </row>
    <row r="888" spans="1:9">
      <c r="A888" s="22">
        <v>43348</v>
      </c>
      <c r="B888" s="21">
        <v>106.159401</v>
      </c>
      <c r="C888" s="23">
        <v>32872400</v>
      </c>
      <c r="D888" s="24">
        <f t="shared" si="40"/>
        <v>2.3017045486107544E-3</v>
      </c>
      <c r="E888" s="25">
        <f t="shared" si="41"/>
        <v>-9394800</v>
      </c>
      <c r="F888" s="20">
        <v>1</v>
      </c>
      <c r="G888" s="20"/>
      <c r="I888" s="21">
        <f t="shared" si="42"/>
        <v>139.35091832741421</v>
      </c>
    </row>
    <row r="889" spans="1:9">
      <c r="A889" s="22">
        <v>43349</v>
      </c>
      <c r="B889" s="21">
        <v>106.40403000000001</v>
      </c>
      <c r="C889" s="23">
        <v>23477600</v>
      </c>
      <c r="D889" s="24">
        <f t="shared" si="40"/>
        <v>-4.8858671665959266E-3</v>
      </c>
      <c r="E889" s="25">
        <f t="shared" si="41"/>
        <v>-979000</v>
      </c>
      <c r="F889" s="20">
        <v>1</v>
      </c>
      <c r="G889" s="20"/>
      <c r="I889" s="21">
        <f t="shared" si="42"/>
        <v>139.35147130511982</v>
      </c>
    </row>
    <row r="890" spans="1:9">
      <c r="A890" s="22">
        <v>43350</v>
      </c>
      <c r="B890" s="21">
        <v>105.88542200000001</v>
      </c>
      <c r="C890" s="23">
        <v>22498600</v>
      </c>
      <c r="D890" s="24">
        <f t="shared" si="40"/>
        <v>1.0754284206636652E-2</v>
      </c>
      <c r="E890" s="25">
        <f t="shared" si="41"/>
        <v>-1770700</v>
      </c>
      <c r="F890" s="20">
        <v>1</v>
      </c>
      <c r="G890" s="20"/>
      <c r="I890" s="21">
        <f t="shared" si="42"/>
        <v>139.35202428501978</v>
      </c>
    </row>
    <row r="891" spans="1:9">
      <c r="A891" s="22">
        <v>43353</v>
      </c>
      <c r="B891" s="21">
        <v>107.030289</v>
      </c>
      <c r="C891" s="23">
        <v>20727900</v>
      </c>
      <c r="D891" s="24">
        <f t="shared" si="40"/>
        <v>1.6861849144596479E-2</v>
      </c>
      <c r="E891" s="25">
        <f t="shared" si="41"/>
        <v>3573900</v>
      </c>
      <c r="F891" s="20">
        <v>1</v>
      </c>
      <c r="G891" s="20"/>
      <c r="I891" s="21">
        <f t="shared" si="42"/>
        <v>139.3525772671141</v>
      </c>
    </row>
    <row r="892" spans="1:9">
      <c r="A892" s="22">
        <v>43354</v>
      </c>
      <c r="B892" s="21">
        <v>108.850319</v>
      </c>
      <c r="C892" s="23">
        <v>24301800</v>
      </c>
      <c r="D892" s="24">
        <f t="shared" si="40"/>
        <v>4.2163046894565549E-3</v>
      </c>
      <c r="E892" s="25">
        <f t="shared" si="41"/>
        <v>-5410700</v>
      </c>
      <c r="F892" s="20">
        <v>1</v>
      </c>
      <c r="G892" s="20"/>
      <c r="I892" s="21">
        <f t="shared" si="42"/>
        <v>139.35313025140277</v>
      </c>
    </row>
    <row r="893" spans="1:9">
      <c r="A893" s="22">
        <v>43355</v>
      </c>
      <c r="B893" s="21">
        <v>109.31023399999999</v>
      </c>
      <c r="C893" s="23">
        <v>18891100</v>
      </c>
      <c r="D893" s="24">
        <f t="shared" si="40"/>
        <v>1.0684773120193945E-2</v>
      </c>
      <c r="E893" s="25">
        <f t="shared" si="41"/>
        <v>7164500</v>
      </c>
      <c r="F893" s="20">
        <v>1</v>
      </c>
      <c r="G893" s="20"/>
      <c r="I893" s="21">
        <f t="shared" si="42"/>
        <v>139.35368323788583</v>
      </c>
    </row>
    <row r="894" spans="1:9">
      <c r="A894" s="22">
        <v>43356</v>
      </c>
      <c r="B894" s="21">
        <v>110.48445100000001</v>
      </c>
      <c r="C894" s="23">
        <v>26055600</v>
      </c>
      <c r="D894" s="24">
        <f t="shared" si="40"/>
        <v>4.065771928939717E-3</v>
      </c>
      <c r="E894" s="25">
        <f t="shared" si="41"/>
        <v>-6933300</v>
      </c>
      <c r="F894" s="20">
        <v>1</v>
      </c>
      <c r="G894" s="20"/>
      <c r="I894" s="21">
        <f t="shared" si="42"/>
        <v>139.35423622656327</v>
      </c>
    </row>
    <row r="895" spans="1:9">
      <c r="A895" s="22">
        <v>43357</v>
      </c>
      <c r="B895" s="21">
        <v>110.93456999999999</v>
      </c>
      <c r="C895" s="23">
        <v>19122300</v>
      </c>
      <c r="D895" s="24">
        <f t="shared" si="40"/>
        <v>-1.0908697380093419E-2</v>
      </c>
      <c r="E895" s="25">
        <f t="shared" si="41"/>
        <v>1614200</v>
      </c>
      <c r="F895" s="20">
        <v>1</v>
      </c>
      <c r="G895" s="20"/>
      <c r="I895" s="21">
        <f t="shared" si="42"/>
        <v>139.3547892174351</v>
      </c>
    </row>
    <row r="896" spans="1:9">
      <c r="A896" s="22">
        <v>43360</v>
      </c>
      <c r="B896" s="21">
        <v>109.73099499999999</v>
      </c>
      <c r="C896" s="23">
        <v>20736500</v>
      </c>
      <c r="D896" s="24">
        <f t="shared" si="40"/>
        <v>9.4964001849114198E-3</v>
      </c>
      <c r="E896" s="25">
        <f t="shared" si="41"/>
        <v>1434400</v>
      </c>
      <c r="F896" s="20">
        <v>1</v>
      </c>
      <c r="G896" s="20"/>
      <c r="I896" s="21">
        <f t="shared" si="42"/>
        <v>139.35534221050131</v>
      </c>
    </row>
    <row r="897" spans="1:9">
      <c r="A897" s="22">
        <v>43361</v>
      </c>
      <c r="B897" s="21">
        <v>110.778008</v>
      </c>
      <c r="C897" s="23">
        <v>22170900</v>
      </c>
      <c r="D897" s="24">
        <f t="shared" si="40"/>
        <v>-1.3427868364395301E-2</v>
      </c>
      <c r="E897" s="25">
        <f t="shared" si="41"/>
        <v>-442500</v>
      </c>
      <c r="F897" s="20">
        <v>1</v>
      </c>
      <c r="G897" s="20"/>
      <c r="I897" s="21">
        <f t="shared" si="42"/>
        <v>139.35589520576193</v>
      </c>
    </row>
    <row r="898" spans="1:9">
      <c r="A898" s="22">
        <v>43362</v>
      </c>
      <c r="B898" s="21">
        <v>109.300438</v>
      </c>
      <c r="C898" s="23">
        <v>21728400</v>
      </c>
      <c r="D898" s="24">
        <f t="shared" si="40"/>
        <v>1.6602804272285554E-2</v>
      </c>
      <c r="E898" s="25">
        <f t="shared" si="41"/>
        <v>1986100</v>
      </c>
      <c r="F898" s="20">
        <v>1</v>
      </c>
      <c r="G898" s="20"/>
      <c r="I898" s="21">
        <f t="shared" si="42"/>
        <v>139.35644820321698</v>
      </c>
    </row>
    <row r="899" spans="1:9">
      <c r="A899" s="22">
        <v>43363</v>
      </c>
      <c r="B899" s="21">
        <v>111.13028</v>
      </c>
      <c r="C899" s="23">
        <v>23714500</v>
      </c>
      <c r="D899" s="24">
        <f t="shared" ref="D899:D962" si="43">LN(B900/B899)</f>
        <v>6.0572436363902438E-3</v>
      </c>
      <c r="E899" s="25">
        <f t="shared" ref="E899:E962" si="44">C900-C899</f>
        <v>47515200</v>
      </c>
      <c r="F899" s="20">
        <v>1</v>
      </c>
      <c r="G899" s="20"/>
      <c r="I899" s="21">
        <f t="shared" si="42"/>
        <v>139.35700120286646</v>
      </c>
    </row>
    <row r="900" spans="1:9">
      <c r="A900" s="22">
        <v>43364</v>
      </c>
      <c r="B900" s="21">
        <v>111.805466</v>
      </c>
      <c r="C900" s="23">
        <v>71229700</v>
      </c>
      <c r="D900" s="24">
        <f t="shared" si="43"/>
        <v>3.581738794990135E-3</v>
      </c>
      <c r="E900" s="25">
        <f t="shared" si="44"/>
        <v>-43895200</v>
      </c>
      <c r="F900" s="20">
        <v>1</v>
      </c>
      <c r="G900" s="20"/>
      <c r="I900" s="21">
        <f t="shared" si="42"/>
        <v>139.35755420471037</v>
      </c>
    </row>
    <row r="901" spans="1:9">
      <c r="A901" s="22">
        <v>43367</v>
      </c>
      <c r="B901" s="21">
        <v>112.206642</v>
      </c>
      <c r="C901" s="23">
        <v>27334500</v>
      </c>
      <c r="D901" s="24">
        <f t="shared" si="43"/>
        <v>-1.9204994521875415E-3</v>
      </c>
      <c r="E901" s="25">
        <f t="shared" si="44"/>
        <v>-4666500</v>
      </c>
      <c r="F901" s="20">
        <v>1</v>
      </c>
      <c r="G901" s="20"/>
      <c r="I901" s="21">
        <f t="shared" si="42"/>
        <v>139.35810720874872</v>
      </c>
    </row>
    <row r="902" spans="1:9">
      <c r="A902" s="22">
        <v>43368</v>
      </c>
      <c r="B902" s="21">
        <v>111.991356</v>
      </c>
      <c r="C902" s="23">
        <v>22668000</v>
      </c>
      <c r="D902" s="24">
        <f t="shared" si="43"/>
        <v>-4.1148158207202218E-3</v>
      </c>
      <c r="E902" s="25">
        <f t="shared" si="44"/>
        <v>-3316000</v>
      </c>
      <c r="F902" s="20">
        <v>1</v>
      </c>
      <c r="G902" s="20"/>
      <c r="I902" s="21">
        <f t="shared" si="42"/>
        <v>139.35866021498151</v>
      </c>
    </row>
    <row r="903" spans="1:9">
      <c r="A903" s="22">
        <v>43369</v>
      </c>
      <c r="B903" s="21">
        <v>111.531479</v>
      </c>
      <c r="C903" s="23">
        <v>19352000</v>
      </c>
      <c r="D903" s="24">
        <f t="shared" si="43"/>
        <v>3.7654063935742112E-3</v>
      </c>
      <c r="E903" s="25">
        <f t="shared" si="44"/>
        <v>-260700</v>
      </c>
      <c r="F903" s="20">
        <v>1</v>
      </c>
      <c r="G903" s="20"/>
      <c r="I903" s="21">
        <f t="shared" si="42"/>
        <v>139.35921322340877</v>
      </c>
    </row>
    <row r="904" spans="1:9">
      <c r="A904" s="22">
        <v>43370</v>
      </c>
      <c r="B904" s="21">
        <v>111.952232</v>
      </c>
      <c r="C904" s="23">
        <v>19091300</v>
      </c>
      <c r="D904" s="24">
        <f t="shared" si="43"/>
        <v>-3.4972813787071034E-4</v>
      </c>
      <c r="E904" s="25">
        <f t="shared" si="44"/>
        <v>2556500</v>
      </c>
      <c r="F904" s="20">
        <v>1</v>
      </c>
      <c r="G904" s="20"/>
      <c r="I904" s="21">
        <f t="shared" si="42"/>
        <v>139.3597662340305</v>
      </c>
    </row>
    <row r="905" spans="1:9">
      <c r="A905" s="22">
        <v>43371</v>
      </c>
      <c r="B905" s="21">
        <v>111.91308600000001</v>
      </c>
      <c r="C905" s="23">
        <v>21647800</v>
      </c>
      <c r="D905" s="24">
        <f t="shared" si="43"/>
        <v>1.0783729314930279E-2</v>
      </c>
      <c r="E905" s="25">
        <f t="shared" si="44"/>
        <v>-2764700</v>
      </c>
      <c r="F905" s="20">
        <v>1</v>
      </c>
      <c r="G905" s="20"/>
      <c r="I905" s="21">
        <f t="shared" si="42"/>
        <v>139.3603192468467</v>
      </c>
    </row>
    <row r="906" spans="1:9">
      <c r="A906" s="22">
        <v>43374</v>
      </c>
      <c r="B906" s="21">
        <v>113.126457</v>
      </c>
      <c r="C906" s="23">
        <v>18883100</v>
      </c>
      <c r="D906" s="24">
        <f t="shared" si="43"/>
        <v>-3.9868381276272121E-3</v>
      </c>
      <c r="E906" s="25">
        <f t="shared" si="44"/>
        <v>1904100</v>
      </c>
      <c r="F906" s="20">
        <v>1</v>
      </c>
      <c r="G906" s="20"/>
      <c r="I906" s="21">
        <f t="shared" si="42"/>
        <v>139.36087226185739</v>
      </c>
    </row>
    <row r="907" spans="1:9">
      <c r="A907" s="22">
        <v>43375</v>
      </c>
      <c r="B907" s="21">
        <v>112.676338</v>
      </c>
      <c r="C907" s="23">
        <v>20787200</v>
      </c>
      <c r="D907" s="24">
        <f t="shared" si="43"/>
        <v>1.7359724713847301E-4</v>
      </c>
      <c r="E907" s="25">
        <f t="shared" si="44"/>
        <v>-4139200</v>
      </c>
      <c r="F907" s="20">
        <v>1</v>
      </c>
      <c r="G907" s="20"/>
      <c r="I907" s="21">
        <f t="shared" si="42"/>
        <v>139.36142527906259</v>
      </c>
    </row>
    <row r="908" spans="1:9">
      <c r="A908" s="22">
        <v>43376</v>
      </c>
      <c r="B908" s="21">
        <v>112.69589999999999</v>
      </c>
      <c r="C908" s="23">
        <v>16648000</v>
      </c>
      <c r="D908" s="24">
        <f t="shared" si="43"/>
        <v>-2.0881619860250271E-2</v>
      </c>
      <c r="E908" s="25">
        <f t="shared" si="44"/>
        <v>18173700</v>
      </c>
      <c r="F908" s="20">
        <v>1</v>
      </c>
      <c r="G908" s="20"/>
      <c r="I908" s="21">
        <f t="shared" si="42"/>
        <v>139.36197829846228</v>
      </c>
    </row>
    <row r="909" spans="1:9">
      <c r="A909" s="22">
        <v>43377</v>
      </c>
      <c r="B909" s="21">
        <v>110.36702699999999</v>
      </c>
      <c r="C909" s="23">
        <v>34821700</v>
      </c>
      <c r="D909" s="24">
        <f t="shared" si="43"/>
        <v>-5.8687540163977151E-3</v>
      </c>
      <c r="E909" s="25">
        <f t="shared" si="44"/>
        <v>-5752800</v>
      </c>
      <c r="F909" s="20">
        <v>1</v>
      </c>
      <c r="G909" s="20"/>
      <c r="I909" s="21">
        <f t="shared" si="42"/>
        <v>139.36253132005649</v>
      </c>
    </row>
    <row r="910" spans="1:9">
      <c r="A910" s="22">
        <v>43378</v>
      </c>
      <c r="B910" s="21">
        <v>109.72120700000001</v>
      </c>
      <c r="C910" s="23">
        <v>29068900</v>
      </c>
      <c r="D910" s="24">
        <f t="shared" si="43"/>
        <v>-1.148097776133182E-2</v>
      </c>
      <c r="E910" s="25">
        <f t="shared" si="44"/>
        <v>571700</v>
      </c>
      <c r="F910" s="20">
        <v>1</v>
      </c>
      <c r="G910" s="20"/>
      <c r="I910" s="21">
        <f t="shared" si="42"/>
        <v>139.36308434384523</v>
      </c>
    </row>
    <row r="911" spans="1:9">
      <c r="A911" s="22">
        <v>43381</v>
      </c>
      <c r="B911" s="21">
        <v>108.468704</v>
      </c>
      <c r="C911" s="23">
        <v>29640600</v>
      </c>
      <c r="D911" s="24">
        <f t="shared" si="43"/>
        <v>1.2639717397147721E-2</v>
      </c>
      <c r="E911" s="25">
        <f t="shared" si="44"/>
        <v>-3442000</v>
      </c>
      <c r="F911" s="20">
        <v>1</v>
      </c>
      <c r="G911" s="20"/>
      <c r="I911" s="21">
        <f t="shared" si="42"/>
        <v>139.3636373698285</v>
      </c>
    </row>
    <row r="912" spans="1:9">
      <c r="A912" s="22">
        <v>43382</v>
      </c>
      <c r="B912" s="21">
        <v>109.84841900000001</v>
      </c>
      <c r="C912" s="23">
        <v>26198600</v>
      </c>
      <c r="D912" s="24">
        <f t="shared" si="43"/>
        <v>-5.5870189018914301E-2</v>
      </c>
      <c r="E912" s="25">
        <f t="shared" si="44"/>
        <v>35177700</v>
      </c>
      <c r="F912" s="20">
        <v>1</v>
      </c>
      <c r="G912" s="20"/>
      <c r="I912" s="21">
        <f t="shared" si="42"/>
        <v>139.36419039800629</v>
      </c>
    </row>
    <row r="913" spans="1:9">
      <c r="A913" s="22">
        <v>43383</v>
      </c>
      <c r="B913" s="21">
        <v>103.879463</v>
      </c>
      <c r="C913" s="23">
        <v>61376300</v>
      </c>
      <c r="D913" s="24">
        <f t="shared" si="43"/>
        <v>-2.3577760676608459E-3</v>
      </c>
      <c r="E913" s="25">
        <f t="shared" si="44"/>
        <v>2528000</v>
      </c>
      <c r="F913" s="20">
        <v>1</v>
      </c>
      <c r="G913" s="20"/>
      <c r="I913" s="21">
        <f t="shared" si="42"/>
        <v>139.36474342837863</v>
      </c>
    </row>
    <row r="914" spans="1:9">
      <c r="A914" s="22">
        <v>43384</v>
      </c>
      <c r="B914" s="21">
        <v>103.634827</v>
      </c>
      <c r="C914" s="23">
        <v>63904300</v>
      </c>
      <c r="D914" s="24">
        <f t="shared" si="43"/>
        <v>3.397393398893301E-2</v>
      </c>
      <c r="E914" s="25">
        <f t="shared" si="44"/>
        <v>-16162200</v>
      </c>
      <c r="F914" s="20">
        <v>1</v>
      </c>
      <c r="G914" s="20"/>
      <c r="I914" s="21">
        <f t="shared" si="42"/>
        <v>139.36529646094553</v>
      </c>
    </row>
    <row r="915" spans="1:9">
      <c r="A915" s="22">
        <v>43385</v>
      </c>
      <c r="B915" s="21">
        <v>107.216202</v>
      </c>
      <c r="C915" s="23">
        <v>47742100</v>
      </c>
      <c r="D915" s="24">
        <f t="shared" si="43"/>
        <v>-1.8143050405919143E-2</v>
      </c>
      <c r="E915" s="25">
        <f t="shared" si="44"/>
        <v>-15674000</v>
      </c>
      <c r="F915" s="20">
        <v>1</v>
      </c>
      <c r="G915" s="20"/>
      <c r="I915" s="21">
        <f t="shared" si="42"/>
        <v>139.36584949570701</v>
      </c>
    </row>
    <row r="916" spans="1:9">
      <c r="A916" s="22">
        <v>43388</v>
      </c>
      <c r="B916" s="21">
        <v>105.28851299999999</v>
      </c>
      <c r="C916" s="23">
        <v>32068100</v>
      </c>
      <c r="D916" s="24">
        <f t="shared" si="43"/>
        <v>3.1109669148699119E-2</v>
      </c>
      <c r="E916" s="25">
        <f t="shared" si="44"/>
        <v>-457900</v>
      </c>
      <c r="F916" s="20">
        <v>1</v>
      </c>
      <c r="G916" s="20"/>
      <c r="I916" s="21">
        <f t="shared" si="42"/>
        <v>139.36640253266305</v>
      </c>
    </row>
    <row r="917" spans="1:9">
      <c r="A917" s="22">
        <v>43389</v>
      </c>
      <c r="B917" s="21">
        <v>108.615486</v>
      </c>
      <c r="C917" s="23">
        <v>31610200</v>
      </c>
      <c r="D917" s="24">
        <f t="shared" si="43"/>
        <v>-2.6160758540968556E-3</v>
      </c>
      <c r="E917" s="25">
        <f t="shared" si="44"/>
        <v>-5062000</v>
      </c>
      <c r="F917" s="20">
        <v>1</v>
      </c>
      <c r="G917" s="20"/>
      <c r="I917" s="21">
        <f t="shared" si="42"/>
        <v>139.36695557181366</v>
      </c>
    </row>
    <row r="918" spans="1:9">
      <c r="A918" s="22">
        <v>43390</v>
      </c>
      <c r="B918" s="21">
        <v>108.331711</v>
      </c>
      <c r="C918" s="23">
        <v>26548200</v>
      </c>
      <c r="D918" s="24">
        <f t="shared" si="43"/>
        <v>-2.0163973861236126E-2</v>
      </c>
      <c r="E918" s="25">
        <f t="shared" si="44"/>
        <v>5958000</v>
      </c>
      <c r="F918" s="20">
        <v>1</v>
      </c>
      <c r="G918" s="20"/>
      <c r="I918" s="21">
        <f t="shared" si="42"/>
        <v>139.36750861315889</v>
      </c>
    </row>
    <row r="919" spans="1:9">
      <c r="A919" s="22">
        <v>43391</v>
      </c>
      <c r="B919" s="21">
        <v>106.169189</v>
      </c>
      <c r="C919" s="23">
        <v>32506200</v>
      </c>
      <c r="D919" s="24">
        <f t="shared" si="43"/>
        <v>1.4736447061101646E-3</v>
      </c>
      <c r="E919" s="25">
        <f t="shared" si="44"/>
        <v>279300</v>
      </c>
      <c r="F919" s="20">
        <v>1</v>
      </c>
      <c r="G919" s="20"/>
      <c r="I919" s="21">
        <f t="shared" si="42"/>
        <v>139.3680616566987</v>
      </c>
    </row>
    <row r="920" spans="1:9">
      <c r="A920" s="22">
        <v>43392</v>
      </c>
      <c r="B920" s="21">
        <v>106.32576</v>
      </c>
      <c r="C920" s="23">
        <v>32785500</v>
      </c>
      <c r="D920" s="24">
        <f t="shared" si="43"/>
        <v>8.8871283274494402E-3</v>
      </c>
      <c r="E920" s="25">
        <f t="shared" si="44"/>
        <v>-6239900</v>
      </c>
      <c r="F920" s="20">
        <v>1</v>
      </c>
      <c r="G920" s="20"/>
      <c r="I920" s="21">
        <f t="shared" si="42"/>
        <v>139.36861470243312</v>
      </c>
    </row>
    <row r="921" spans="1:9">
      <c r="A921" s="22">
        <v>43395</v>
      </c>
      <c r="B921" s="21">
        <v>107.274902</v>
      </c>
      <c r="C921" s="23">
        <v>26545600</v>
      </c>
      <c r="D921" s="24">
        <f t="shared" si="43"/>
        <v>-1.4054248327436097E-2</v>
      </c>
      <c r="E921" s="25">
        <f t="shared" si="44"/>
        <v>17224800</v>
      </c>
      <c r="F921" s="20">
        <v>1</v>
      </c>
      <c r="G921" s="20"/>
      <c r="I921" s="21">
        <f t="shared" si="42"/>
        <v>139.36916775036218</v>
      </c>
    </row>
    <row r="922" spans="1:9">
      <c r="A922" s="22">
        <v>43396</v>
      </c>
      <c r="B922" s="21">
        <v>105.777779</v>
      </c>
      <c r="C922" s="23">
        <v>43770400</v>
      </c>
      <c r="D922" s="24">
        <f t="shared" si="43"/>
        <v>-5.4951545983454766E-2</v>
      </c>
      <c r="E922" s="25">
        <f t="shared" si="44"/>
        <v>20127400</v>
      </c>
      <c r="F922" s="20">
        <v>1</v>
      </c>
      <c r="G922" s="20"/>
      <c r="I922" s="21">
        <f t="shared" si="42"/>
        <v>139.36972080048585</v>
      </c>
    </row>
    <row r="923" spans="1:9">
      <c r="A923" s="22">
        <v>43397</v>
      </c>
      <c r="B923" s="21">
        <v>100.121948</v>
      </c>
      <c r="C923" s="23">
        <v>63897800</v>
      </c>
      <c r="D923" s="24">
        <f t="shared" si="43"/>
        <v>5.6800092648937026E-2</v>
      </c>
      <c r="E923" s="25">
        <f t="shared" si="44"/>
        <v>-2251000</v>
      </c>
      <c r="F923" s="20">
        <v>1</v>
      </c>
      <c r="G923" s="20"/>
      <c r="I923" s="21">
        <f t="shared" si="42"/>
        <v>139.37027385280416</v>
      </c>
    </row>
    <row r="924" spans="1:9">
      <c r="A924" s="22">
        <v>43398</v>
      </c>
      <c r="B924" s="21">
        <v>105.973495</v>
      </c>
      <c r="C924" s="23">
        <v>61646800</v>
      </c>
      <c r="D924" s="24">
        <f t="shared" si="43"/>
        <v>-1.2450258805037169E-2</v>
      </c>
      <c r="E924" s="25">
        <f t="shared" si="44"/>
        <v>-6123700</v>
      </c>
      <c r="F924" s="20">
        <v>1</v>
      </c>
      <c r="G924" s="20"/>
      <c r="I924" s="21">
        <f t="shared" si="42"/>
        <v>139.37082690731711</v>
      </c>
    </row>
    <row r="925" spans="1:9">
      <c r="A925" s="22">
        <v>43399</v>
      </c>
      <c r="B925" s="21">
        <v>104.662277</v>
      </c>
      <c r="C925" s="23">
        <v>55523100</v>
      </c>
      <c r="D925" s="24">
        <f t="shared" si="43"/>
        <v>-2.9507522806942476E-2</v>
      </c>
      <c r="E925" s="25">
        <f t="shared" si="44"/>
        <v>-361100</v>
      </c>
      <c r="F925" s="20">
        <v>1</v>
      </c>
      <c r="G925" s="20"/>
      <c r="I925" s="21">
        <f t="shared" si="42"/>
        <v>139.37137996402473</v>
      </c>
    </row>
    <row r="926" spans="1:9">
      <c r="A926" s="22">
        <v>43402</v>
      </c>
      <c r="B926" s="21">
        <v>101.619072</v>
      </c>
      <c r="C926" s="23">
        <v>55162000</v>
      </c>
      <c r="D926" s="24">
        <f t="shared" si="43"/>
        <v>-1.1561204435849954E-3</v>
      </c>
      <c r="E926" s="25">
        <f t="shared" si="44"/>
        <v>10188900</v>
      </c>
      <c r="F926" s="20">
        <v>1</v>
      </c>
      <c r="G926" s="20"/>
      <c r="I926" s="21">
        <f t="shared" si="42"/>
        <v>139.37193302292698</v>
      </c>
    </row>
    <row r="927" spans="1:9">
      <c r="A927" s="22">
        <v>43403</v>
      </c>
      <c r="B927" s="21">
        <v>101.501656</v>
      </c>
      <c r="C927" s="23">
        <v>65350900</v>
      </c>
      <c r="D927" s="24">
        <f t="shared" si="43"/>
        <v>2.9260157329401192E-2</v>
      </c>
      <c r="E927" s="25">
        <f t="shared" si="44"/>
        <v>-14288500</v>
      </c>
      <c r="F927" s="20">
        <v>1</v>
      </c>
      <c r="G927" s="20"/>
      <c r="I927" s="21">
        <f t="shared" si="42"/>
        <v>139.3724860840239</v>
      </c>
    </row>
    <row r="928" spans="1:9">
      <c r="A928" s="22">
        <v>43404</v>
      </c>
      <c r="B928" s="21">
        <v>104.515488</v>
      </c>
      <c r="C928" s="23">
        <v>51062400</v>
      </c>
      <c r="D928" s="24">
        <f t="shared" si="43"/>
        <v>-8.3674546457261356E-3</v>
      </c>
      <c r="E928" s="25">
        <f t="shared" si="44"/>
        <v>-17678200</v>
      </c>
      <c r="F928" s="20">
        <v>1</v>
      </c>
      <c r="G928" s="20"/>
      <c r="I928" s="21">
        <f t="shared" si="42"/>
        <v>139.37303914731552</v>
      </c>
    </row>
    <row r="929" spans="1:9">
      <c r="A929" s="22">
        <v>43405</v>
      </c>
      <c r="B929" s="21">
        <v>103.64460800000001</v>
      </c>
      <c r="C929" s="23">
        <v>33384200</v>
      </c>
      <c r="D929" s="24">
        <f t="shared" si="43"/>
        <v>2.2634010515646475E-3</v>
      </c>
      <c r="E929" s="25">
        <f t="shared" si="44"/>
        <v>4296000</v>
      </c>
      <c r="F929" s="20">
        <v>1</v>
      </c>
      <c r="G929" s="20"/>
      <c r="I929" s="21">
        <f t="shared" si="42"/>
        <v>139.37359221280181</v>
      </c>
    </row>
    <row r="930" spans="1:9">
      <c r="A930" s="22">
        <v>43406</v>
      </c>
      <c r="B930" s="21">
        <v>103.879463</v>
      </c>
      <c r="C930" s="23">
        <v>37680200</v>
      </c>
      <c r="D930" s="24">
        <f t="shared" si="43"/>
        <v>1.2636474574022092E-2</v>
      </c>
      <c r="E930" s="25">
        <f t="shared" si="44"/>
        <v>-9758100</v>
      </c>
      <c r="F930" s="20">
        <v>1</v>
      </c>
      <c r="G930" s="20"/>
      <c r="I930" s="21">
        <f t="shared" ref="I930:I993" si="45">I929*EXP($L$31*$L$33+$L$32*H930*SQRT($L$33))</f>
        <v>139.37414528048279</v>
      </c>
    </row>
    <row r="931" spans="1:9">
      <c r="A931" s="22">
        <v>43409</v>
      </c>
      <c r="B931" s="21">
        <v>105.200462</v>
      </c>
      <c r="C931" s="23">
        <v>27922100</v>
      </c>
      <c r="D931" s="24">
        <f t="shared" si="43"/>
        <v>1.9513467622321314E-3</v>
      </c>
      <c r="E931" s="25">
        <f t="shared" si="44"/>
        <v>-3581900</v>
      </c>
      <c r="F931" s="20">
        <v>1</v>
      </c>
      <c r="G931" s="20"/>
      <c r="I931" s="21">
        <f t="shared" si="45"/>
        <v>139.3746983503585</v>
      </c>
    </row>
    <row r="932" spans="1:9">
      <c r="A932" s="22">
        <v>43410</v>
      </c>
      <c r="B932" s="21">
        <v>105.405945</v>
      </c>
      <c r="C932" s="23">
        <v>24340200</v>
      </c>
      <c r="D932" s="24">
        <f t="shared" si="43"/>
        <v>3.860634403146497E-2</v>
      </c>
      <c r="E932" s="25">
        <f t="shared" si="44"/>
        <v>13561500</v>
      </c>
      <c r="F932" s="20">
        <v>1</v>
      </c>
      <c r="G932" s="20"/>
      <c r="I932" s="21">
        <f t="shared" si="45"/>
        <v>139.3752514224289</v>
      </c>
    </row>
    <row r="933" spans="1:9">
      <c r="A933" s="22">
        <v>43411</v>
      </c>
      <c r="B933" s="21">
        <v>109.554855</v>
      </c>
      <c r="C933" s="23">
        <v>37901700</v>
      </c>
      <c r="D933" s="24">
        <f t="shared" si="43"/>
        <v>-1.8773694983364915E-3</v>
      </c>
      <c r="E933" s="25">
        <f t="shared" si="44"/>
        <v>-12257600</v>
      </c>
      <c r="F933" s="20">
        <v>1</v>
      </c>
      <c r="G933" s="20"/>
      <c r="I933" s="21">
        <f t="shared" si="45"/>
        <v>139.37580449669403</v>
      </c>
    </row>
    <row r="934" spans="1:9">
      <c r="A934" s="22">
        <v>43412</v>
      </c>
      <c r="B934" s="21">
        <v>109.349373</v>
      </c>
      <c r="C934" s="23">
        <v>25644100</v>
      </c>
      <c r="D934" s="24">
        <f t="shared" si="43"/>
        <v>-1.9700637948110757E-2</v>
      </c>
      <c r="E934" s="25">
        <f t="shared" si="44"/>
        <v>6395100</v>
      </c>
      <c r="F934" s="20">
        <v>1</v>
      </c>
      <c r="G934" s="20"/>
      <c r="I934" s="21">
        <f t="shared" si="45"/>
        <v>139.37635757315388</v>
      </c>
    </row>
    <row r="935" spans="1:9">
      <c r="A935" s="22">
        <v>43413</v>
      </c>
      <c r="B935" s="21">
        <v>107.216202</v>
      </c>
      <c r="C935" s="23">
        <v>32039200</v>
      </c>
      <c r="D935" s="24">
        <f t="shared" si="43"/>
        <v>-2.4950326299992418E-2</v>
      </c>
      <c r="E935" s="25">
        <f t="shared" si="44"/>
        <v>1582600</v>
      </c>
      <c r="F935" s="20">
        <v>1</v>
      </c>
      <c r="G935" s="20"/>
      <c r="I935" s="21">
        <f t="shared" si="45"/>
        <v>139.37691065180849</v>
      </c>
    </row>
    <row r="936" spans="1:9">
      <c r="A936" s="22">
        <v>43416</v>
      </c>
      <c r="B936" s="21">
        <v>104.574219</v>
      </c>
      <c r="C936" s="23">
        <v>33621800</v>
      </c>
      <c r="D936" s="24">
        <f t="shared" si="43"/>
        <v>6.5457425779129504E-4</v>
      </c>
      <c r="E936" s="25">
        <f t="shared" si="44"/>
        <v>1752800</v>
      </c>
      <c r="F936" s="20">
        <v>1</v>
      </c>
      <c r="G936" s="20"/>
      <c r="I936" s="21">
        <f t="shared" si="45"/>
        <v>139.37746373265784</v>
      </c>
    </row>
    <row r="937" spans="1:9">
      <c r="A937" s="22">
        <v>43417</v>
      </c>
      <c r="B937" s="21">
        <v>104.64269299999999</v>
      </c>
      <c r="C937" s="23">
        <v>35374600</v>
      </c>
      <c r="D937" s="24">
        <f t="shared" si="43"/>
        <v>-1.4282540006321565E-2</v>
      </c>
      <c r="E937" s="25">
        <f t="shared" si="44"/>
        <v>4120500</v>
      </c>
      <c r="F937" s="20">
        <v>1</v>
      </c>
      <c r="G937" s="20"/>
      <c r="I937" s="21">
        <f t="shared" si="45"/>
        <v>139.37801681570195</v>
      </c>
    </row>
    <row r="938" spans="1:9">
      <c r="A938" s="22">
        <v>43418</v>
      </c>
      <c r="B938" s="21">
        <v>103.15875200000001</v>
      </c>
      <c r="C938" s="23">
        <v>39495100</v>
      </c>
      <c r="D938" s="24">
        <f t="shared" si="43"/>
        <v>2.1767651933400065E-2</v>
      </c>
      <c r="E938" s="25">
        <f t="shared" si="44"/>
        <v>-989900</v>
      </c>
      <c r="F938" s="20">
        <v>1</v>
      </c>
      <c r="G938" s="20"/>
      <c r="I938" s="21">
        <f t="shared" si="45"/>
        <v>139.37856990094082</v>
      </c>
    </row>
    <row r="939" spans="1:9">
      <c r="A939" s="22">
        <v>43419</v>
      </c>
      <c r="B939" s="21">
        <v>105.428894</v>
      </c>
      <c r="C939" s="23">
        <v>38505200</v>
      </c>
      <c r="D939" s="24">
        <f t="shared" si="43"/>
        <v>9.370616501356014E-3</v>
      </c>
      <c r="E939" s="25">
        <f t="shared" si="44"/>
        <v>-5003100</v>
      </c>
      <c r="F939" s="20">
        <v>1</v>
      </c>
      <c r="G939" s="20"/>
      <c r="I939" s="21">
        <f t="shared" si="45"/>
        <v>139.37912298837446</v>
      </c>
    </row>
    <row r="940" spans="1:9">
      <c r="A940" s="22">
        <v>43420</v>
      </c>
      <c r="B940" s="21">
        <v>106.421471</v>
      </c>
      <c r="C940" s="23">
        <v>33502100</v>
      </c>
      <c r="D940" s="24">
        <f t="shared" si="43"/>
        <v>-3.4478079037199662E-2</v>
      </c>
      <c r="E940" s="25">
        <f t="shared" si="44"/>
        <v>11271800</v>
      </c>
      <c r="F940" s="20">
        <v>1</v>
      </c>
      <c r="G940" s="20"/>
      <c r="I940" s="21">
        <f t="shared" si="45"/>
        <v>139.37967607800289</v>
      </c>
    </row>
    <row r="941" spans="1:9">
      <c r="A941" s="22">
        <v>43423</v>
      </c>
      <c r="B941" s="21">
        <v>102.814796</v>
      </c>
      <c r="C941" s="23">
        <v>44773900</v>
      </c>
      <c r="D941" s="24">
        <f t="shared" si="43"/>
        <v>-2.8209097877010866E-2</v>
      </c>
      <c r="E941" s="25">
        <f t="shared" si="44"/>
        <v>19278600</v>
      </c>
      <c r="F941" s="20">
        <v>1</v>
      </c>
      <c r="G941" s="20"/>
      <c r="I941" s="21">
        <f t="shared" si="45"/>
        <v>139.38022916982612</v>
      </c>
    </row>
    <row r="942" spans="1:9">
      <c r="A942" s="22">
        <v>43424</v>
      </c>
      <c r="B942" s="21">
        <v>99.955009000000004</v>
      </c>
      <c r="C942" s="23">
        <v>64052500</v>
      </c>
      <c r="D942" s="24">
        <f t="shared" si="43"/>
        <v>1.3670721241990334E-2</v>
      </c>
      <c r="E942" s="25">
        <f t="shared" si="44"/>
        <v>-35921900</v>
      </c>
      <c r="F942" s="20">
        <v>1</v>
      </c>
      <c r="G942" s="20"/>
      <c r="I942" s="21">
        <f t="shared" si="45"/>
        <v>139.38078226384414</v>
      </c>
    </row>
    <row r="943" spans="1:9">
      <c r="A943" s="22">
        <v>43425</v>
      </c>
      <c r="B943" s="21">
        <v>101.330849</v>
      </c>
      <c r="C943" s="23">
        <v>28130600</v>
      </c>
      <c r="D943" s="24">
        <f t="shared" si="43"/>
        <v>-3.8798279202098909E-4</v>
      </c>
      <c r="E943" s="25">
        <f t="shared" si="44"/>
        <v>-14307500</v>
      </c>
      <c r="F943" s="20">
        <v>1</v>
      </c>
      <c r="G943" s="20"/>
      <c r="I943" s="21">
        <f t="shared" si="45"/>
        <v>139.38133536005697</v>
      </c>
    </row>
    <row r="944" spans="1:9">
      <c r="A944" s="22">
        <v>43427</v>
      </c>
      <c r="B944" s="21">
        <v>101.29154200000001</v>
      </c>
      <c r="C944" s="23">
        <v>13823100</v>
      </c>
      <c r="D944" s="24">
        <f t="shared" si="43"/>
        <v>3.2454938939451269E-2</v>
      </c>
      <c r="E944" s="25">
        <f t="shared" si="44"/>
        <v>18513100</v>
      </c>
      <c r="F944" s="20">
        <v>1</v>
      </c>
      <c r="G944" s="20"/>
      <c r="I944" s="21">
        <f t="shared" si="45"/>
        <v>139.38188845846463</v>
      </c>
    </row>
    <row r="945" spans="1:9">
      <c r="A945" s="22">
        <v>43430</v>
      </c>
      <c r="B945" s="21">
        <v>104.632881</v>
      </c>
      <c r="C945" s="23">
        <v>32336200</v>
      </c>
      <c r="D945" s="24">
        <f t="shared" si="43"/>
        <v>6.2731419530162496E-3</v>
      </c>
      <c r="E945" s="25">
        <f t="shared" si="44"/>
        <v>-3211700</v>
      </c>
      <c r="F945" s="20">
        <v>1</v>
      </c>
      <c r="G945" s="20"/>
      <c r="I945" s="21">
        <f t="shared" si="45"/>
        <v>139.3824415590671</v>
      </c>
    </row>
    <row r="946" spans="1:9">
      <c r="A946" s="22">
        <v>43431</v>
      </c>
      <c r="B946" s="21">
        <v>105.291321</v>
      </c>
      <c r="C946" s="23">
        <v>29124500</v>
      </c>
      <c r="D946" s="24">
        <f t="shared" si="43"/>
        <v>3.6474281381243256E-2</v>
      </c>
      <c r="E946" s="25">
        <f t="shared" si="44"/>
        <v>17664000</v>
      </c>
      <c r="F946" s="20">
        <v>1</v>
      </c>
      <c r="G946" s="20"/>
      <c r="I946" s="21">
        <f t="shared" si="45"/>
        <v>139.38299466186442</v>
      </c>
    </row>
    <row r="947" spans="1:9">
      <c r="A947" s="22">
        <v>43432</v>
      </c>
      <c r="B947" s="21">
        <v>109.20264400000001</v>
      </c>
      <c r="C947" s="23">
        <v>46788500</v>
      </c>
      <c r="D947" s="24">
        <f t="shared" si="43"/>
        <v>-8.404568285909143E-3</v>
      </c>
      <c r="E947" s="25">
        <f t="shared" si="44"/>
        <v>-18665300</v>
      </c>
      <c r="F947" s="20">
        <v>1</v>
      </c>
      <c r="G947" s="20"/>
      <c r="I947" s="21">
        <f t="shared" si="45"/>
        <v>139.38354776685657</v>
      </c>
    </row>
    <row r="948" spans="1:9">
      <c r="A948" s="22">
        <v>43433</v>
      </c>
      <c r="B948" s="21">
        <v>108.28868900000001</v>
      </c>
      <c r="C948" s="23">
        <v>28123200</v>
      </c>
      <c r="D948" s="24">
        <f t="shared" si="43"/>
        <v>6.3326199177558551E-3</v>
      </c>
      <c r="E948" s="25">
        <f t="shared" si="44"/>
        <v>5542400</v>
      </c>
      <c r="F948" s="20">
        <v>1</v>
      </c>
      <c r="G948" s="20"/>
      <c r="I948" s="21">
        <f t="shared" si="45"/>
        <v>139.38410087404358</v>
      </c>
    </row>
    <row r="949" spans="1:9">
      <c r="A949" s="22">
        <v>43434</v>
      </c>
      <c r="B949" s="21">
        <v>108.97661600000001</v>
      </c>
      <c r="C949" s="23">
        <v>33665600</v>
      </c>
      <c r="D949" s="24">
        <f t="shared" si="43"/>
        <v>1.0763371579182401E-2</v>
      </c>
      <c r="E949" s="25">
        <f t="shared" si="44"/>
        <v>1067200</v>
      </c>
      <c r="F949" s="20">
        <v>1</v>
      </c>
      <c r="G949" s="20"/>
      <c r="I949" s="21">
        <f t="shared" si="45"/>
        <v>139.38465398342547</v>
      </c>
    </row>
    <row r="950" spans="1:9">
      <c r="A950" s="22">
        <v>43437</v>
      </c>
      <c r="B950" s="21">
        <v>110.155907</v>
      </c>
      <c r="C950" s="23">
        <v>34732800</v>
      </c>
      <c r="D950" s="24">
        <f t="shared" si="43"/>
        <v>-3.2367704579684811E-2</v>
      </c>
      <c r="E950" s="25">
        <f t="shared" si="44"/>
        <v>10464200</v>
      </c>
      <c r="F950" s="20">
        <v>1</v>
      </c>
      <c r="G950" s="20"/>
      <c r="I950" s="21">
        <f t="shared" si="45"/>
        <v>139.38520709500222</v>
      </c>
    </row>
    <row r="951" spans="1:9">
      <c r="A951" s="22">
        <v>43438</v>
      </c>
      <c r="B951" s="21">
        <v>106.647499</v>
      </c>
      <c r="C951" s="23">
        <v>45197000</v>
      </c>
      <c r="D951" s="24">
        <f t="shared" si="43"/>
        <v>6.1550687231390101E-3</v>
      </c>
      <c r="E951" s="25">
        <f t="shared" si="44"/>
        <v>3910400</v>
      </c>
      <c r="F951" s="20">
        <v>1</v>
      </c>
      <c r="G951" s="20"/>
      <c r="I951" s="21">
        <f t="shared" si="45"/>
        <v>139.38576020877383</v>
      </c>
    </row>
    <row r="952" spans="1:9">
      <c r="A952" s="22">
        <v>43440</v>
      </c>
      <c r="B952" s="21">
        <v>107.30594600000001</v>
      </c>
      <c r="C952" s="23">
        <v>49107400</v>
      </c>
      <c r="D952" s="24">
        <f t="shared" si="43"/>
        <v>-4.0844935031264365E-2</v>
      </c>
      <c r="E952" s="25">
        <f t="shared" si="44"/>
        <v>-4062500</v>
      </c>
      <c r="F952" s="20">
        <v>1</v>
      </c>
      <c r="G952" s="20"/>
      <c r="I952" s="21">
        <f t="shared" si="45"/>
        <v>139.38631332474034</v>
      </c>
    </row>
    <row r="953" spans="1:9">
      <c r="A953" s="22">
        <v>43441</v>
      </c>
      <c r="B953" s="21">
        <v>103.01134500000001</v>
      </c>
      <c r="C953" s="23">
        <v>45044900</v>
      </c>
      <c r="D953" s="24">
        <f t="shared" si="43"/>
        <v>2.6082990067379987E-2</v>
      </c>
      <c r="E953" s="25">
        <f t="shared" si="44"/>
        <v>-4243400</v>
      </c>
      <c r="F953" s="20">
        <v>1</v>
      </c>
      <c r="G953" s="20"/>
      <c r="I953" s="21">
        <f t="shared" si="45"/>
        <v>139.38686644290175</v>
      </c>
    </row>
    <row r="954" spans="1:9">
      <c r="A954" s="22">
        <v>43444</v>
      </c>
      <c r="B954" s="21">
        <v>105.733536</v>
      </c>
      <c r="C954" s="23">
        <v>40801500</v>
      </c>
      <c r="D954" s="24">
        <f t="shared" si="43"/>
        <v>9.251662349908164E-3</v>
      </c>
      <c r="E954" s="25">
        <f t="shared" si="44"/>
        <v>1580400</v>
      </c>
      <c r="F954" s="20">
        <v>1</v>
      </c>
      <c r="G954" s="20"/>
      <c r="I954" s="21">
        <f t="shared" si="45"/>
        <v>139.38741956325805</v>
      </c>
    </row>
    <row r="955" spans="1:9">
      <c r="A955" s="22">
        <v>43445</v>
      </c>
      <c r="B955" s="21">
        <v>106.716286</v>
      </c>
      <c r="C955" s="23">
        <v>42381900</v>
      </c>
      <c r="D955" s="24">
        <f t="shared" si="43"/>
        <v>4.5023656102938557E-3</v>
      </c>
      <c r="E955" s="25">
        <f t="shared" si="44"/>
        <v>-6198900</v>
      </c>
      <c r="F955" s="20">
        <v>1</v>
      </c>
      <c r="G955" s="20"/>
      <c r="I955" s="21">
        <f t="shared" si="45"/>
        <v>139.38797268580927</v>
      </c>
    </row>
    <row r="956" spans="1:9">
      <c r="A956" s="22">
        <v>43446</v>
      </c>
      <c r="B956" s="21">
        <v>107.197845</v>
      </c>
      <c r="C956" s="23">
        <v>36183000</v>
      </c>
      <c r="D956" s="24">
        <f t="shared" si="43"/>
        <v>3.3861384439619431E-3</v>
      </c>
      <c r="E956" s="25">
        <f t="shared" si="44"/>
        <v>-4849600</v>
      </c>
      <c r="F956" s="20">
        <v>1</v>
      </c>
      <c r="G956" s="20"/>
      <c r="I956" s="21">
        <f t="shared" si="45"/>
        <v>139.38852581055542</v>
      </c>
    </row>
    <row r="957" spans="1:9">
      <c r="A957" s="22">
        <v>43447</v>
      </c>
      <c r="B957" s="21">
        <v>107.561447</v>
      </c>
      <c r="C957" s="23">
        <v>31333400</v>
      </c>
      <c r="D957" s="24">
        <f t="shared" si="43"/>
        <v>-3.1745644400947216E-2</v>
      </c>
      <c r="E957" s="25">
        <f t="shared" si="44"/>
        <v>15709700</v>
      </c>
      <c r="F957" s="20">
        <v>1</v>
      </c>
      <c r="G957" s="20"/>
      <c r="I957" s="21">
        <f t="shared" si="45"/>
        <v>139.38907893749649</v>
      </c>
    </row>
    <row r="958" spans="1:9">
      <c r="A958" s="22">
        <v>43448</v>
      </c>
      <c r="B958" s="21">
        <v>104.20047</v>
      </c>
      <c r="C958" s="23">
        <v>47043100</v>
      </c>
      <c r="D958" s="24">
        <f t="shared" si="43"/>
        <v>-3.0061647972816852E-2</v>
      </c>
      <c r="E958" s="25">
        <f t="shared" si="44"/>
        <v>9914200</v>
      </c>
      <c r="F958" s="20">
        <v>1</v>
      </c>
      <c r="G958" s="20"/>
      <c r="I958" s="21">
        <f t="shared" si="45"/>
        <v>139.38963206663252</v>
      </c>
    </row>
    <row r="959" spans="1:9">
      <c r="A959" s="22">
        <v>43451</v>
      </c>
      <c r="B959" s="21">
        <v>101.11464700000001</v>
      </c>
      <c r="C959" s="23">
        <v>56957300</v>
      </c>
      <c r="D959" s="24">
        <f t="shared" si="43"/>
        <v>1.0441922509809165E-2</v>
      </c>
      <c r="E959" s="25">
        <f t="shared" si="44"/>
        <v>-7638100</v>
      </c>
      <c r="F959" s="20">
        <v>1</v>
      </c>
      <c r="G959" s="20"/>
      <c r="I959" s="21">
        <f t="shared" si="45"/>
        <v>139.39018519796349</v>
      </c>
    </row>
    <row r="960" spans="1:9">
      <c r="A960" s="22">
        <v>43452</v>
      </c>
      <c r="B960" s="21">
        <v>102.17601000000001</v>
      </c>
      <c r="C960" s="23">
        <v>49319200</v>
      </c>
      <c r="D960" s="24">
        <f t="shared" si="43"/>
        <v>-2.6966523244555704E-3</v>
      </c>
      <c r="E960" s="25">
        <f t="shared" si="44"/>
        <v>18879000</v>
      </c>
      <c r="F960" s="20">
        <v>1</v>
      </c>
      <c r="G960" s="20"/>
      <c r="I960" s="21">
        <f t="shared" si="45"/>
        <v>139.39073833148942</v>
      </c>
    </row>
    <row r="961" spans="1:9">
      <c r="A961" s="22">
        <v>43453</v>
      </c>
      <c r="B961" s="21">
        <v>101.900848</v>
      </c>
      <c r="C961" s="23">
        <v>68198200</v>
      </c>
      <c r="D961" s="24">
        <f t="shared" si="43"/>
        <v>-2.124838785032904E-2</v>
      </c>
      <c r="E961" s="25">
        <f t="shared" si="44"/>
        <v>2136000</v>
      </c>
      <c r="F961" s="20">
        <v>1</v>
      </c>
      <c r="G961" s="20"/>
      <c r="I961" s="21">
        <f t="shared" si="45"/>
        <v>139.39129146721029</v>
      </c>
    </row>
    <row r="962" spans="1:9">
      <c r="A962" s="22">
        <v>43454</v>
      </c>
      <c r="B962" s="21">
        <v>99.758460999999997</v>
      </c>
      <c r="C962" s="23">
        <v>70334200</v>
      </c>
      <c r="D962" s="24">
        <f t="shared" si="43"/>
        <v>-3.2845729752350873E-2</v>
      </c>
      <c r="E962" s="25">
        <f t="shared" si="44"/>
        <v>40907900</v>
      </c>
      <c r="F962" s="20">
        <v>1</v>
      </c>
      <c r="G962" s="20"/>
      <c r="I962" s="21">
        <f t="shared" si="45"/>
        <v>139.39184460512615</v>
      </c>
    </row>
    <row r="963" spans="1:9">
      <c r="A963" s="22">
        <v>43455</v>
      </c>
      <c r="B963" s="21">
        <v>96.535049000000001</v>
      </c>
      <c r="C963" s="23">
        <v>111242100</v>
      </c>
      <c r="D963" s="24">
        <f t="shared" ref="D963:D1026" si="46">LN(B964/B963)</f>
        <v>-4.2634820840488967E-2</v>
      </c>
      <c r="E963" s="25">
        <f t="shared" ref="E963:E1026" si="47">C964-C963</f>
        <v>-67306900</v>
      </c>
      <c r="F963" s="20">
        <v>1</v>
      </c>
      <c r="G963" s="20"/>
      <c r="I963" s="21">
        <f t="shared" si="45"/>
        <v>139.39239774523699</v>
      </c>
    </row>
    <row r="964" spans="1:9">
      <c r="A964" s="22">
        <v>43458</v>
      </c>
      <c r="B964" s="21">
        <v>92.505797999999999</v>
      </c>
      <c r="C964" s="23">
        <v>43935200</v>
      </c>
      <c r="D964" s="24">
        <f t="shared" si="46"/>
        <v>6.6077787949782293E-2</v>
      </c>
      <c r="E964" s="25">
        <f t="shared" si="47"/>
        <v>7699600</v>
      </c>
      <c r="F964" s="20">
        <v>1</v>
      </c>
      <c r="G964" s="20"/>
      <c r="I964" s="21">
        <f t="shared" si="45"/>
        <v>139.39295088754284</v>
      </c>
    </row>
    <row r="965" spans="1:9">
      <c r="A965" s="22">
        <v>43460</v>
      </c>
      <c r="B965" s="21">
        <v>98.824852000000007</v>
      </c>
      <c r="C965" s="23">
        <v>51634800</v>
      </c>
      <c r="D965" s="24">
        <f t="shared" si="46"/>
        <v>6.1466653526778391E-3</v>
      </c>
      <c r="E965" s="25">
        <f t="shared" si="47"/>
        <v>-2136300</v>
      </c>
      <c r="F965" s="20">
        <v>1</v>
      </c>
      <c r="G965" s="20"/>
      <c r="I965" s="21">
        <f t="shared" si="45"/>
        <v>139.39350403204367</v>
      </c>
    </row>
    <row r="966" spans="1:9">
      <c r="A966" s="22">
        <v>43461</v>
      </c>
      <c r="B966" s="21">
        <v>99.434166000000005</v>
      </c>
      <c r="C966" s="23">
        <v>49498500</v>
      </c>
      <c r="D966" s="24">
        <f t="shared" si="46"/>
        <v>-7.83864236129613E-3</v>
      </c>
      <c r="E966" s="25">
        <f t="shared" si="47"/>
        <v>-11302200</v>
      </c>
      <c r="F966" s="20">
        <v>1</v>
      </c>
      <c r="G966" s="20"/>
      <c r="I966" s="21">
        <f t="shared" si="45"/>
        <v>139.3940571787395</v>
      </c>
    </row>
    <row r="967" spans="1:9">
      <c r="A967" s="22">
        <v>43462</v>
      </c>
      <c r="B967" s="21">
        <v>98.657784000000007</v>
      </c>
      <c r="C967" s="23">
        <v>38196300</v>
      </c>
      <c r="D967" s="24">
        <f t="shared" si="46"/>
        <v>1.1685592625736952E-2</v>
      </c>
      <c r="E967" s="25">
        <f t="shared" si="47"/>
        <v>-5022500</v>
      </c>
      <c r="F967" s="20">
        <v>1</v>
      </c>
      <c r="G967" s="20"/>
      <c r="I967" s="21">
        <f t="shared" si="45"/>
        <v>139.39461032763037</v>
      </c>
    </row>
    <row r="968" spans="1:9">
      <c r="A968" s="22">
        <v>43465</v>
      </c>
      <c r="B968" s="21">
        <v>99.817420999999996</v>
      </c>
      <c r="C968" s="23">
        <v>33173800</v>
      </c>
      <c r="D968" s="24">
        <f t="shared" si="46"/>
        <v>-4.4402322167570183E-3</v>
      </c>
      <c r="E968" s="25">
        <f t="shared" si="47"/>
        <v>2155500</v>
      </c>
      <c r="F968" s="20">
        <v>1</v>
      </c>
      <c r="G968" s="20"/>
      <c r="I968" s="21">
        <f t="shared" si="45"/>
        <v>139.39516347871626</v>
      </c>
    </row>
    <row r="969" spans="1:9">
      <c r="A969" s="22">
        <v>43467</v>
      </c>
      <c r="B969" s="21">
        <v>99.375191000000001</v>
      </c>
      <c r="C969" s="23">
        <v>35329300</v>
      </c>
      <c r="D969" s="24">
        <f t="shared" si="46"/>
        <v>-3.7481750980094063E-2</v>
      </c>
      <c r="E969" s="25">
        <f t="shared" si="47"/>
        <v>7249800</v>
      </c>
      <c r="F969" s="20">
        <v>1</v>
      </c>
      <c r="G969" s="20"/>
      <c r="I969" s="21">
        <f t="shared" si="45"/>
        <v>139.39571663199717</v>
      </c>
    </row>
    <row r="970" spans="1:9">
      <c r="A970" s="22">
        <v>43468</v>
      </c>
      <c r="B970" s="21">
        <v>95.719375999999997</v>
      </c>
      <c r="C970" s="23">
        <v>42579100</v>
      </c>
      <c r="D970" s="24">
        <f t="shared" si="46"/>
        <v>4.5460087993401177E-2</v>
      </c>
      <c r="E970" s="25">
        <f t="shared" si="47"/>
        <v>1481500</v>
      </c>
      <c r="F970" s="20">
        <v>1</v>
      </c>
      <c r="G970" s="20"/>
      <c r="I970" s="21">
        <f t="shared" si="45"/>
        <v>139.39626978747316</v>
      </c>
    </row>
    <row r="971" spans="1:9">
      <c r="A971" s="22">
        <v>43469</v>
      </c>
      <c r="B971" s="21">
        <v>100.171211</v>
      </c>
      <c r="C971" s="23">
        <v>44060600</v>
      </c>
      <c r="D971" s="24">
        <f t="shared" si="46"/>
        <v>1.274543873242099E-3</v>
      </c>
      <c r="E971" s="25">
        <f t="shared" si="47"/>
        <v>-8404500</v>
      </c>
      <c r="F971" s="20">
        <v>1</v>
      </c>
      <c r="G971" s="20"/>
      <c r="I971" s="21">
        <f t="shared" si="45"/>
        <v>139.39682294514418</v>
      </c>
    </row>
    <row r="972" spans="1:9">
      <c r="A972" s="22">
        <v>43472</v>
      </c>
      <c r="B972" s="21">
        <v>100.298965</v>
      </c>
      <c r="C972" s="23">
        <v>35656100</v>
      </c>
      <c r="D972" s="24">
        <f t="shared" si="46"/>
        <v>7.2245033717509002E-3</v>
      </c>
      <c r="E972" s="25">
        <f t="shared" si="47"/>
        <v>-4141700</v>
      </c>
      <c r="F972" s="20">
        <v>1</v>
      </c>
      <c r="G972" s="20"/>
      <c r="I972" s="21">
        <f t="shared" si="45"/>
        <v>139.39737610501027</v>
      </c>
    </row>
    <row r="973" spans="1:9">
      <c r="A973" s="22">
        <v>43473</v>
      </c>
      <c r="B973" s="21">
        <v>101.02619900000001</v>
      </c>
      <c r="C973" s="23">
        <v>31514400</v>
      </c>
      <c r="D973" s="24">
        <f t="shared" si="46"/>
        <v>1.4198244672606806E-2</v>
      </c>
      <c r="E973" s="25">
        <f t="shared" si="47"/>
        <v>766400</v>
      </c>
      <c r="F973" s="20">
        <v>1</v>
      </c>
      <c r="G973" s="20"/>
      <c r="I973" s="21">
        <f t="shared" si="45"/>
        <v>139.39792926707142</v>
      </c>
    </row>
    <row r="974" spans="1:9">
      <c r="A974" s="22">
        <v>43474</v>
      </c>
      <c r="B974" s="21">
        <v>102.470825</v>
      </c>
      <c r="C974" s="23">
        <v>32280800</v>
      </c>
      <c r="D974" s="24">
        <f t="shared" si="46"/>
        <v>-6.4462099300339618E-3</v>
      </c>
      <c r="E974" s="25">
        <f t="shared" si="47"/>
        <v>-2213200</v>
      </c>
      <c r="F974" s="20">
        <v>1</v>
      </c>
      <c r="G974" s="20"/>
      <c r="I974" s="21">
        <f t="shared" si="45"/>
        <v>139.39848243132766</v>
      </c>
    </row>
    <row r="975" spans="1:9">
      <c r="A975" s="22">
        <v>43475</v>
      </c>
      <c r="B975" s="21">
        <v>101.81240099999999</v>
      </c>
      <c r="C975" s="23">
        <v>30067600</v>
      </c>
      <c r="D975" s="24">
        <f t="shared" si="46"/>
        <v>-7.7520347425728865E-3</v>
      </c>
      <c r="E975" s="25">
        <f t="shared" si="47"/>
        <v>-1753400</v>
      </c>
      <c r="F975" s="20">
        <v>1</v>
      </c>
      <c r="G975" s="20"/>
      <c r="I975" s="21">
        <f t="shared" si="45"/>
        <v>139.39903559777898</v>
      </c>
    </row>
    <row r="976" spans="1:9">
      <c r="A976" s="22">
        <v>43476</v>
      </c>
      <c r="B976" s="21">
        <v>101.02619900000001</v>
      </c>
      <c r="C976" s="23">
        <v>28314200</v>
      </c>
      <c r="D976" s="24">
        <f t="shared" si="46"/>
        <v>-7.3224054852797649E-3</v>
      </c>
      <c r="E976" s="25">
        <f t="shared" si="47"/>
        <v>122900</v>
      </c>
      <c r="F976" s="20">
        <v>1</v>
      </c>
      <c r="G976" s="20"/>
      <c r="I976" s="21">
        <f t="shared" si="45"/>
        <v>139.39958876642541</v>
      </c>
    </row>
    <row r="977" spans="1:9">
      <c r="A977" s="22">
        <v>43479</v>
      </c>
      <c r="B977" s="21">
        <v>100.289146</v>
      </c>
      <c r="C977" s="23">
        <v>28437100</v>
      </c>
      <c r="D977" s="24">
        <f t="shared" si="46"/>
        <v>2.8592648493639232E-2</v>
      </c>
      <c r="E977" s="25">
        <f t="shared" si="47"/>
        <v>3150500</v>
      </c>
      <c r="F977" s="20">
        <v>1</v>
      </c>
      <c r="G977" s="20"/>
      <c r="I977" s="21">
        <f t="shared" si="45"/>
        <v>139.40014193726694</v>
      </c>
    </row>
    <row r="978" spans="1:9">
      <c r="A978" s="22">
        <v>43480</v>
      </c>
      <c r="B978" s="21">
        <v>103.19806699999999</v>
      </c>
      <c r="C978" s="23">
        <v>31587600</v>
      </c>
      <c r="D978" s="24">
        <f t="shared" si="46"/>
        <v>3.5172936039132427E-3</v>
      </c>
      <c r="E978" s="25">
        <f t="shared" si="47"/>
        <v>-1733700</v>
      </c>
      <c r="F978" s="20">
        <v>1</v>
      </c>
      <c r="G978" s="20"/>
      <c r="I978" s="21">
        <f t="shared" si="45"/>
        <v>139.40069511030359</v>
      </c>
    </row>
    <row r="979" spans="1:9">
      <c r="A979" s="22">
        <v>43481</v>
      </c>
      <c r="B979" s="21">
        <v>103.561684</v>
      </c>
      <c r="C979" s="23">
        <v>29853900</v>
      </c>
      <c r="D979" s="24">
        <f t="shared" si="46"/>
        <v>6.9976893074021815E-3</v>
      </c>
      <c r="E979" s="25">
        <f t="shared" si="47"/>
        <v>-1460900</v>
      </c>
      <c r="F979" s="20">
        <v>1</v>
      </c>
      <c r="G979" s="20"/>
      <c r="I979" s="21">
        <f t="shared" si="45"/>
        <v>139.40124828553536</v>
      </c>
    </row>
    <row r="980" spans="1:9">
      <c r="A980" s="22">
        <v>43482</v>
      </c>
      <c r="B980" s="21">
        <v>104.288918</v>
      </c>
      <c r="C980" s="23">
        <v>28393000</v>
      </c>
      <c r="D980" s="24">
        <f t="shared" si="46"/>
        <v>1.4871864922795644E-2</v>
      </c>
      <c r="E980" s="25">
        <f t="shared" si="47"/>
        <v>9034600</v>
      </c>
      <c r="F980" s="20">
        <v>1</v>
      </c>
      <c r="G980" s="20"/>
      <c r="I980" s="21">
        <f t="shared" si="45"/>
        <v>139.40180146296225</v>
      </c>
    </row>
    <row r="981" spans="1:9">
      <c r="A981" s="22">
        <v>43483</v>
      </c>
      <c r="B981" s="21">
        <v>105.851479</v>
      </c>
      <c r="C981" s="23">
        <v>37427600</v>
      </c>
      <c r="D981" s="24">
        <f t="shared" si="46"/>
        <v>-1.9026773676111629E-2</v>
      </c>
      <c r="E981" s="25">
        <f t="shared" si="47"/>
        <v>-5056300</v>
      </c>
      <c r="F981" s="20">
        <v>1</v>
      </c>
      <c r="G981" s="20"/>
      <c r="I981" s="21">
        <f t="shared" si="45"/>
        <v>139.4023546425843</v>
      </c>
    </row>
    <row r="982" spans="1:9">
      <c r="A982" s="22">
        <v>43487</v>
      </c>
      <c r="B982" s="21">
        <v>103.856506</v>
      </c>
      <c r="C982" s="23">
        <v>32371300</v>
      </c>
      <c r="D982" s="24">
        <f t="shared" si="46"/>
        <v>9.6991715956513992E-3</v>
      </c>
      <c r="E982" s="25">
        <f t="shared" si="47"/>
        <v>-6497000</v>
      </c>
      <c r="F982" s="20">
        <v>1</v>
      </c>
      <c r="G982" s="20"/>
      <c r="I982" s="21">
        <f t="shared" si="45"/>
        <v>139.4029078244015</v>
      </c>
    </row>
    <row r="983" spans="1:9">
      <c r="A983" s="22">
        <v>43488</v>
      </c>
      <c r="B983" s="21">
        <v>104.868729</v>
      </c>
      <c r="C983" s="23">
        <v>25874300</v>
      </c>
      <c r="D983" s="24">
        <f t="shared" si="46"/>
        <v>-4.7907466764429401E-3</v>
      </c>
      <c r="E983" s="25">
        <f t="shared" si="47"/>
        <v>-2709500</v>
      </c>
      <c r="F983" s="20">
        <v>1</v>
      </c>
      <c r="G983" s="20"/>
      <c r="I983" s="21">
        <f t="shared" si="45"/>
        <v>139.40346100841384</v>
      </c>
    </row>
    <row r="984" spans="1:9">
      <c r="A984" s="22">
        <v>43489</v>
      </c>
      <c r="B984" s="21">
        <v>104.367531</v>
      </c>
      <c r="C984" s="23">
        <v>23164800</v>
      </c>
      <c r="D984" s="24">
        <f t="shared" si="46"/>
        <v>9.0922427047733356E-3</v>
      </c>
      <c r="E984" s="25">
        <f t="shared" si="47"/>
        <v>8060800</v>
      </c>
      <c r="F984" s="20">
        <v>1</v>
      </c>
      <c r="G984" s="20"/>
      <c r="I984" s="21">
        <f t="shared" si="45"/>
        <v>139.40401419462134</v>
      </c>
    </row>
    <row r="985" spans="1:9">
      <c r="A985" s="22">
        <v>43490</v>
      </c>
      <c r="B985" s="21">
        <v>105.32079299999999</v>
      </c>
      <c r="C985" s="23">
        <v>31225600</v>
      </c>
      <c r="D985" s="24">
        <f t="shared" si="46"/>
        <v>-1.9694342861716216E-2</v>
      </c>
      <c r="E985" s="25">
        <f t="shared" si="47"/>
        <v>-1748900</v>
      </c>
      <c r="F985" s="20">
        <v>1</v>
      </c>
      <c r="G985" s="20"/>
      <c r="I985" s="21">
        <f t="shared" si="45"/>
        <v>139.40456738302402</v>
      </c>
    </row>
    <row r="986" spans="1:9">
      <c r="A986" s="22">
        <v>43493</v>
      </c>
      <c r="B986" s="21">
        <v>103.26686100000001</v>
      </c>
      <c r="C986" s="23">
        <v>29476700</v>
      </c>
      <c r="D986" s="24">
        <f t="shared" si="46"/>
        <v>-2.0575654440773642E-2</v>
      </c>
      <c r="E986" s="25">
        <f t="shared" si="47"/>
        <v>2013800</v>
      </c>
      <c r="F986" s="20">
        <v>1</v>
      </c>
      <c r="G986" s="20"/>
      <c r="I986" s="21">
        <f t="shared" si="45"/>
        <v>139.40512057362187</v>
      </c>
    </row>
    <row r="987" spans="1:9">
      <c r="A987" s="22">
        <v>43494</v>
      </c>
      <c r="B987" s="21">
        <v>101.163788</v>
      </c>
      <c r="C987" s="23">
        <v>31490500</v>
      </c>
      <c r="D987" s="24">
        <f t="shared" si="46"/>
        <v>3.2871243518281357E-2</v>
      </c>
      <c r="E987" s="25">
        <f t="shared" si="47"/>
        <v>17981400</v>
      </c>
      <c r="F987" s="20">
        <v>1</v>
      </c>
      <c r="G987" s="20"/>
      <c r="I987" s="21">
        <f t="shared" si="45"/>
        <v>139.40567376641494</v>
      </c>
    </row>
    <row r="988" spans="1:9">
      <c r="A988" s="22">
        <v>43495</v>
      </c>
      <c r="B988" s="21">
        <v>104.544426</v>
      </c>
      <c r="C988" s="23">
        <v>49471900</v>
      </c>
      <c r="D988" s="24">
        <f t="shared" si="46"/>
        <v>-1.8500579466766764E-2</v>
      </c>
      <c r="E988" s="25">
        <f t="shared" si="47"/>
        <v>6164500</v>
      </c>
      <c r="F988" s="20">
        <v>1</v>
      </c>
      <c r="G988" s="20"/>
      <c r="I988" s="21">
        <f t="shared" si="45"/>
        <v>139.40622696140321</v>
      </c>
    </row>
    <row r="989" spans="1:9">
      <c r="A989" s="22">
        <v>43496</v>
      </c>
      <c r="B989" s="21">
        <v>102.628075</v>
      </c>
      <c r="C989" s="23">
        <v>55636400</v>
      </c>
      <c r="D989" s="24">
        <f t="shared" si="46"/>
        <v>-1.5926204160644563E-2</v>
      </c>
      <c r="E989" s="25">
        <f t="shared" si="47"/>
        <v>-20100700</v>
      </c>
      <c r="F989" s="20">
        <v>1</v>
      </c>
      <c r="G989" s="20"/>
      <c r="I989" s="21">
        <f t="shared" si="45"/>
        <v>139.40678015858668</v>
      </c>
    </row>
    <row r="990" spans="1:9">
      <c r="A990" s="22">
        <v>43497</v>
      </c>
      <c r="B990" s="21">
        <v>101.006546</v>
      </c>
      <c r="C990" s="23">
        <v>35535700</v>
      </c>
      <c r="D990" s="24">
        <f t="shared" si="46"/>
        <v>2.8392415073126512E-2</v>
      </c>
      <c r="E990" s="25">
        <f t="shared" si="47"/>
        <v>-4220600</v>
      </c>
      <c r="F990" s="20">
        <v>1</v>
      </c>
      <c r="G990" s="20"/>
      <c r="I990" s="21">
        <f t="shared" si="45"/>
        <v>139.40733335796537</v>
      </c>
    </row>
    <row r="991" spans="1:9">
      <c r="A991" s="22">
        <v>43500</v>
      </c>
      <c r="B991" s="21">
        <v>103.915466</v>
      </c>
      <c r="C991" s="23">
        <v>31315100</v>
      </c>
      <c r="D991" s="24">
        <f t="shared" si="46"/>
        <v>1.3899597551624867E-2</v>
      </c>
      <c r="E991" s="25">
        <f t="shared" si="47"/>
        <v>-3989700</v>
      </c>
      <c r="F991" s="20">
        <v>1</v>
      </c>
      <c r="G991" s="20"/>
      <c r="I991" s="21">
        <f t="shared" si="45"/>
        <v>139.40788655953929</v>
      </c>
    </row>
    <row r="992" spans="1:9">
      <c r="A992" s="22">
        <v>43501</v>
      </c>
      <c r="B992" s="21">
        <v>105.369934</v>
      </c>
      <c r="C992" s="23">
        <v>27325400</v>
      </c>
      <c r="D992" s="24">
        <f t="shared" si="46"/>
        <v>-1.1160699381283926E-2</v>
      </c>
      <c r="E992" s="25">
        <f t="shared" si="47"/>
        <v>-6715600</v>
      </c>
      <c r="F992" s="20">
        <v>1</v>
      </c>
      <c r="G992" s="20"/>
      <c r="I992" s="21">
        <f t="shared" si="45"/>
        <v>139.40843976330845</v>
      </c>
    </row>
    <row r="993" spans="1:9">
      <c r="A993" s="22">
        <v>43502</v>
      </c>
      <c r="B993" s="21">
        <v>104.20047</v>
      </c>
      <c r="C993" s="23">
        <v>20609800</v>
      </c>
      <c r="D993" s="24">
        <f t="shared" si="46"/>
        <v>-7.1936785138986417E-3</v>
      </c>
      <c r="E993" s="25">
        <f t="shared" si="47"/>
        <v>9150900</v>
      </c>
      <c r="F993" s="20">
        <v>1</v>
      </c>
      <c r="G993" s="20"/>
      <c r="I993" s="21">
        <f t="shared" si="45"/>
        <v>139.40899296927284</v>
      </c>
    </row>
    <row r="994" spans="1:9">
      <c r="A994" s="22">
        <v>43503</v>
      </c>
      <c r="B994" s="21">
        <v>103.453575</v>
      </c>
      <c r="C994" s="23">
        <v>29760700</v>
      </c>
      <c r="D994" s="24">
        <f t="shared" si="46"/>
        <v>3.7926192729524424E-3</v>
      </c>
      <c r="E994" s="25">
        <f t="shared" si="47"/>
        <v>-8299600</v>
      </c>
      <c r="F994" s="20">
        <v>1</v>
      </c>
      <c r="G994" s="20"/>
      <c r="I994" s="21">
        <f t="shared" ref="I994:I1057" si="48">I993*EXP($L$31*$L$33+$L$32*H994*SQRT($L$33))</f>
        <v>139.4095461774325</v>
      </c>
    </row>
    <row r="995" spans="1:9">
      <c r="A995" s="22">
        <v>43504</v>
      </c>
      <c r="B995" s="21">
        <v>103.84668000000001</v>
      </c>
      <c r="C995" s="23">
        <v>21461100</v>
      </c>
      <c r="D995" s="24">
        <f t="shared" si="46"/>
        <v>-3.9826065882237801E-3</v>
      </c>
      <c r="E995" s="25">
        <f t="shared" si="47"/>
        <v>-2547000</v>
      </c>
      <c r="F995" s="20">
        <v>1</v>
      </c>
      <c r="G995" s="20"/>
      <c r="I995" s="21">
        <f t="shared" si="48"/>
        <v>139.41009938778743</v>
      </c>
    </row>
    <row r="996" spans="1:9">
      <c r="A996" s="22">
        <v>43507</v>
      </c>
      <c r="B996" s="21">
        <v>103.433922</v>
      </c>
      <c r="C996" s="23">
        <v>18914100</v>
      </c>
      <c r="D996" s="24">
        <f t="shared" si="46"/>
        <v>1.5461862670405948E-2</v>
      </c>
      <c r="E996" s="25">
        <f t="shared" si="47"/>
        <v>6142500</v>
      </c>
      <c r="F996" s="20">
        <v>1</v>
      </c>
      <c r="G996" s="20"/>
      <c r="I996" s="21">
        <f t="shared" si="48"/>
        <v>139.41065260033761</v>
      </c>
    </row>
    <row r="997" spans="1:9">
      <c r="A997" s="22">
        <v>43508</v>
      </c>
      <c r="B997" s="21">
        <v>105.045631</v>
      </c>
      <c r="C997" s="23">
        <v>25056600</v>
      </c>
      <c r="D997" s="24">
        <f t="shared" si="46"/>
        <v>-7.4879308140887257E-4</v>
      </c>
      <c r="E997" s="25">
        <f t="shared" si="47"/>
        <v>-6661700</v>
      </c>
      <c r="F997" s="20">
        <v>1</v>
      </c>
      <c r="G997" s="20"/>
      <c r="I997" s="21">
        <f t="shared" si="48"/>
        <v>139.41120581508306</v>
      </c>
    </row>
    <row r="998" spans="1:9">
      <c r="A998" s="22">
        <v>43509</v>
      </c>
      <c r="B998" s="21">
        <v>104.96700300000001</v>
      </c>
      <c r="C998" s="23">
        <v>18394900</v>
      </c>
      <c r="D998" s="24">
        <f t="shared" si="46"/>
        <v>8.4226237685855378E-4</v>
      </c>
      <c r="E998" s="25">
        <f t="shared" si="47"/>
        <v>3389800</v>
      </c>
      <c r="F998" s="20">
        <v>1</v>
      </c>
      <c r="G998" s="20"/>
      <c r="I998" s="21">
        <f t="shared" si="48"/>
        <v>139.41175903202381</v>
      </c>
    </row>
    <row r="999" spans="1:9">
      <c r="A999" s="22">
        <v>43510</v>
      </c>
      <c r="B999" s="21">
        <v>105.05544999999999</v>
      </c>
      <c r="C999" s="23">
        <v>21784700</v>
      </c>
      <c r="D999" s="24">
        <f t="shared" si="46"/>
        <v>1.2272397527564004E-2</v>
      </c>
      <c r="E999" s="25">
        <f t="shared" si="47"/>
        <v>4822200</v>
      </c>
      <c r="F999" s="20">
        <v>1</v>
      </c>
      <c r="G999" s="20"/>
      <c r="I999" s="21">
        <f t="shared" si="48"/>
        <v>139.41231225115985</v>
      </c>
    </row>
    <row r="1000" spans="1:9">
      <c r="A1000" s="22">
        <v>43511</v>
      </c>
      <c r="B1000" s="21">
        <v>106.352676</v>
      </c>
      <c r="C1000" s="23">
        <v>26606900</v>
      </c>
      <c r="D1000" s="24">
        <f t="shared" si="46"/>
        <v>-4.6208853994775045E-4</v>
      </c>
      <c r="E1000" s="25">
        <f t="shared" si="47"/>
        <v>-8568400</v>
      </c>
      <c r="F1000" s="20">
        <v>1</v>
      </c>
      <c r="G1000" s="20"/>
      <c r="I1000" s="21">
        <f t="shared" si="48"/>
        <v>139.41286547249121</v>
      </c>
    </row>
    <row r="1001" spans="1:9">
      <c r="A1001" s="22">
        <v>43515</v>
      </c>
      <c r="B1001" s="21">
        <v>106.303543</v>
      </c>
      <c r="C1001" s="23">
        <v>18038500</v>
      </c>
      <c r="D1001" s="24">
        <f t="shared" si="46"/>
        <v>-5.2127214461200038E-3</v>
      </c>
      <c r="E1001" s="25">
        <f t="shared" si="47"/>
        <v>3569200</v>
      </c>
      <c r="F1001" s="20">
        <v>1</v>
      </c>
      <c r="G1001" s="20"/>
      <c r="I1001" s="21">
        <f t="shared" si="48"/>
        <v>139.41341869601786</v>
      </c>
    </row>
    <row r="1002" spans="1:9">
      <c r="A1002" s="22">
        <v>43516</v>
      </c>
      <c r="B1002" s="21">
        <v>105.750854</v>
      </c>
      <c r="C1002" s="23">
        <v>21607700</v>
      </c>
      <c r="D1002" s="24">
        <f t="shared" si="46"/>
        <v>2.0872670526766661E-2</v>
      </c>
      <c r="E1002" s="25">
        <f t="shared" si="47"/>
        <v>7455500</v>
      </c>
      <c r="F1002" s="20">
        <v>1</v>
      </c>
      <c r="G1002" s="20"/>
      <c r="I1002" s="21">
        <f t="shared" si="48"/>
        <v>139.41397192173986</v>
      </c>
    </row>
    <row r="1003" spans="1:9">
      <c r="A1003" s="22">
        <v>43517</v>
      </c>
      <c r="B1003" s="21">
        <v>107.981354</v>
      </c>
      <c r="C1003" s="23">
        <v>29063200</v>
      </c>
      <c r="D1003" s="24">
        <f t="shared" si="46"/>
        <v>1.4157501092124533E-2</v>
      </c>
      <c r="E1003" s="25">
        <f t="shared" si="47"/>
        <v>-1300000</v>
      </c>
      <c r="F1003" s="20">
        <v>1</v>
      </c>
      <c r="G1003" s="20"/>
      <c r="I1003" s="21">
        <f t="shared" si="48"/>
        <v>139.41452514965718</v>
      </c>
    </row>
    <row r="1004" spans="1:9">
      <c r="A1004" s="22">
        <v>43518</v>
      </c>
      <c r="B1004" s="21">
        <v>109.520973</v>
      </c>
      <c r="C1004" s="23">
        <v>27763200</v>
      </c>
      <c r="D1004" s="24">
        <f t="shared" si="46"/>
        <v>5.5715171050478617E-3</v>
      </c>
      <c r="E1004" s="25">
        <f t="shared" si="47"/>
        <v>-4012600</v>
      </c>
      <c r="F1004" s="20">
        <v>1</v>
      </c>
      <c r="G1004" s="20"/>
      <c r="I1004" s="21">
        <f t="shared" si="48"/>
        <v>139.41507837976985</v>
      </c>
    </row>
    <row r="1005" spans="1:9">
      <c r="A1005" s="22">
        <v>43521</v>
      </c>
      <c r="B1005" s="21">
        <v>110.132874</v>
      </c>
      <c r="C1005" s="23">
        <v>23750600</v>
      </c>
      <c r="D1005" s="24">
        <f t="shared" si="46"/>
        <v>6.8765850162755653E-3</v>
      </c>
      <c r="E1005" s="25">
        <f t="shared" si="47"/>
        <v>-2213900</v>
      </c>
      <c r="F1005" s="20">
        <v>1</v>
      </c>
      <c r="G1005" s="20"/>
      <c r="I1005" s="21">
        <f t="shared" si="48"/>
        <v>139.41563161207787</v>
      </c>
    </row>
    <row r="1006" spans="1:9">
      <c r="A1006" s="22">
        <v>43522</v>
      </c>
      <c r="B1006" s="21">
        <v>110.892822</v>
      </c>
      <c r="C1006" s="23">
        <v>21536700</v>
      </c>
      <c r="D1006" s="24">
        <f t="shared" si="46"/>
        <v>-1.6924606031482603E-3</v>
      </c>
      <c r="E1006" s="25">
        <f t="shared" si="47"/>
        <v>-49600</v>
      </c>
      <c r="F1006" s="20">
        <v>1</v>
      </c>
      <c r="G1006" s="20"/>
      <c r="I1006" s="21">
        <f t="shared" si="48"/>
        <v>139.41618484658125</v>
      </c>
    </row>
    <row r="1007" spans="1:9">
      <c r="A1007" s="22">
        <v>43523</v>
      </c>
      <c r="B1007" s="21">
        <v>110.705299</v>
      </c>
      <c r="C1007" s="23">
        <v>21487100</v>
      </c>
      <c r="D1007" s="24">
        <f t="shared" si="46"/>
        <v>-1.248849826953407E-3</v>
      </c>
      <c r="E1007" s="25">
        <f t="shared" si="47"/>
        <v>7596800</v>
      </c>
      <c r="F1007" s="20">
        <v>1</v>
      </c>
      <c r="G1007" s="20"/>
      <c r="I1007" s="21">
        <f t="shared" si="48"/>
        <v>139.41673808327997</v>
      </c>
    </row>
    <row r="1008" spans="1:9">
      <c r="A1008" s="22">
        <v>43524</v>
      </c>
      <c r="B1008" s="21">
        <v>110.567131</v>
      </c>
      <c r="C1008" s="23">
        <v>29083900</v>
      </c>
      <c r="D1008" s="24">
        <f t="shared" si="46"/>
        <v>4.4532134627436543E-3</v>
      </c>
      <c r="E1008" s="25">
        <f t="shared" si="47"/>
        <v>-5582700</v>
      </c>
      <c r="F1008" s="20">
        <v>1</v>
      </c>
      <c r="G1008" s="20"/>
      <c r="I1008" s="21">
        <f t="shared" si="48"/>
        <v>139.41729132217407</v>
      </c>
    </row>
    <row r="1009" spans="1:9">
      <c r="A1009" s="22">
        <v>43525</v>
      </c>
      <c r="B1009" s="21">
        <v>111.060608</v>
      </c>
      <c r="C1009" s="23">
        <v>23501200</v>
      </c>
      <c r="D1009" s="24">
        <f t="shared" si="46"/>
        <v>-2.40229379782103E-3</v>
      </c>
      <c r="E1009" s="25">
        <f t="shared" si="47"/>
        <v>3106800</v>
      </c>
      <c r="F1009" s="20">
        <v>1</v>
      </c>
      <c r="G1009" s="20"/>
      <c r="I1009" s="21">
        <f t="shared" si="48"/>
        <v>139.41784456326357</v>
      </c>
    </row>
    <row r="1010" spans="1:9">
      <c r="A1010" s="22">
        <v>43528</v>
      </c>
      <c r="B1010" s="21">
        <v>110.794128</v>
      </c>
      <c r="C1010" s="23">
        <v>26608000</v>
      </c>
      <c r="D1010" s="24">
        <f t="shared" si="46"/>
        <v>-5.0009794976038704E-3</v>
      </c>
      <c r="E1010" s="25">
        <f t="shared" si="47"/>
        <v>-7069700</v>
      </c>
      <c r="F1010" s="20">
        <v>1</v>
      </c>
      <c r="G1010" s="20"/>
      <c r="I1010" s="21">
        <f t="shared" si="48"/>
        <v>139.41839780654846</v>
      </c>
    </row>
    <row r="1011" spans="1:9">
      <c r="A1011" s="22">
        <v>43529</v>
      </c>
      <c r="B1011" s="21">
        <v>110.241432</v>
      </c>
      <c r="C1011" s="23">
        <v>19538300</v>
      </c>
      <c r="D1011" s="24">
        <f t="shared" si="46"/>
        <v>4.4759900433401554E-4</v>
      </c>
      <c r="E1011" s="25">
        <f t="shared" si="47"/>
        <v>-1851300</v>
      </c>
      <c r="F1011" s="20">
        <v>1</v>
      </c>
      <c r="G1011" s="20"/>
      <c r="I1011" s="21">
        <f t="shared" si="48"/>
        <v>139.41895105202875</v>
      </c>
    </row>
    <row r="1012" spans="1:9">
      <c r="A1012" s="22">
        <v>43530</v>
      </c>
      <c r="B1012" s="21">
        <v>110.29078699999999</v>
      </c>
      <c r="C1012" s="23">
        <v>17687000</v>
      </c>
      <c r="D1012" s="24">
        <f t="shared" si="46"/>
        <v>-1.22447353673208E-2</v>
      </c>
      <c r="E1012" s="25">
        <f t="shared" si="47"/>
        <v>7652000</v>
      </c>
      <c r="F1012" s="20">
        <v>1</v>
      </c>
      <c r="G1012" s="20"/>
      <c r="I1012" s="21">
        <f t="shared" si="48"/>
        <v>139.41950429970444</v>
      </c>
    </row>
    <row r="1013" spans="1:9">
      <c r="A1013" s="22">
        <v>43531</v>
      </c>
      <c r="B1013" s="21">
        <v>108.94853999999999</v>
      </c>
      <c r="C1013" s="23">
        <v>25339000</v>
      </c>
      <c r="D1013" s="24">
        <f t="shared" si="46"/>
        <v>1.0865099212928439E-3</v>
      </c>
      <c r="E1013" s="25">
        <f t="shared" si="47"/>
        <v>-2520600</v>
      </c>
      <c r="F1013" s="20">
        <v>1</v>
      </c>
      <c r="G1013" s="20"/>
      <c r="I1013" s="21">
        <f t="shared" si="48"/>
        <v>139.42005754957555</v>
      </c>
    </row>
    <row r="1014" spans="1:9">
      <c r="A1014" s="22">
        <v>43532</v>
      </c>
      <c r="B1014" s="21">
        <v>109.06697800000001</v>
      </c>
      <c r="C1014" s="23">
        <v>22818400</v>
      </c>
      <c r="D1014" s="24">
        <f t="shared" si="46"/>
        <v>2.0776293165032076E-2</v>
      </c>
      <c r="E1014" s="25">
        <f t="shared" si="47"/>
        <v>3673200</v>
      </c>
      <c r="F1014" s="20">
        <v>1</v>
      </c>
      <c r="G1014" s="20"/>
      <c r="I1014" s="21">
        <f t="shared" si="48"/>
        <v>139.42061080164208</v>
      </c>
    </row>
    <row r="1015" spans="1:9">
      <c r="A1015" s="22">
        <v>43535</v>
      </c>
      <c r="B1015" s="21">
        <v>111.356689</v>
      </c>
      <c r="C1015" s="23">
        <v>26491600</v>
      </c>
      <c r="D1015" s="24">
        <f t="shared" si="46"/>
        <v>6.9772383400327183E-3</v>
      </c>
      <c r="E1015" s="25">
        <f t="shared" si="47"/>
        <v>-358900</v>
      </c>
      <c r="F1015" s="20">
        <v>1</v>
      </c>
      <c r="G1015" s="20"/>
      <c r="I1015" s="21">
        <f t="shared" si="48"/>
        <v>139.42116405590406</v>
      </c>
    </row>
    <row r="1016" spans="1:9">
      <c r="A1016" s="22">
        <v>43536</v>
      </c>
      <c r="B1016" s="21">
        <v>112.136368</v>
      </c>
      <c r="C1016" s="23">
        <v>26132700</v>
      </c>
      <c r="D1016" s="24">
        <f t="shared" si="46"/>
        <v>7.7152572899886187E-3</v>
      </c>
      <c r="E1016" s="25">
        <f t="shared" si="47"/>
        <v>9381100</v>
      </c>
      <c r="F1016" s="20">
        <v>1</v>
      </c>
      <c r="G1016" s="20"/>
      <c r="I1016" s="21">
        <f t="shared" si="48"/>
        <v>139.42171731236149</v>
      </c>
    </row>
    <row r="1017" spans="1:9">
      <c r="A1017" s="22">
        <v>43537</v>
      </c>
      <c r="B1017" s="21">
        <v>113.004875</v>
      </c>
      <c r="C1017" s="23">
        <v>35513800</v>
      </c>
      <c r="D1017" s="24">
        <f t="shared" si="46"/>
        <v>7.8569275147172355E-4</v>
      </c>
      <c r="E1017" s="25">
        <f t="shared" si="47"/>
        <v>-4750400</v>
      </c>
      <c r="F1017" s="20">
        <v>1</v>
      </c>
      <c r="G1017" s="20"/>
      <c r="I1017" s="21">
        <f t="shared" si="48"/>
        <v>139.42227057101437</v>
      </c>
    </row>
    <row r="1018" spans="1:9">
      <c r="A1018" s="22">
        <v>43538</v>
      </c>
      <c r="B1018" s="21">
        <v>113.09369700000001</v>
      </c>
      <c r="C1018" s="23">
        <v>30763400</v>
      </c>
      <c r="D1018" s="24">
        <f t="shared" si="46"/>
        <v>1.145356095857537E-2</v>
      </c>
      <c r="E1018" s="25">
        <f t="shared" si="47"/>
        <v>23917700</v>
      </c>
      <c r="F1018" s="20">
        <v>1</v>
      </c>
      <c r="G1018" s="20"/>
      <c r="I1018" s="21">
        <f t="shared" si="48"/>
        <v>139.4228238318627</v>
      </c>
    </row>
    <row r="1019" spans="1:9">
      <c r="A1019" s="22">
        <v>43539</v>
      </c>
      <c r="B1019" s="21">
        <v>114.396469</v>
      </c>
      <c r="C1019" s="23">
        <v>54681100</v>
      </c>
      <c r="D1019" s="24">
        <f t="shared" si="46"/>
        <v>1.4219777904738324E-2</v>
      </c>
      <c r="E1019" s="25">
        <f t="shared" si="47"/>
        <v>-23473500</v>
      </c>
      <c r="F1019" s="20">
        <v>1</v>
      </c>
      <c r="G1019" s="20"/>
      <c r="I1019" s="21">
        <f t="shared" si="48"/>
        <v>139.4233770949065</v>
      </c>
    </row>
    <row r="1020" spans="1:9">
      <c r="A1020" s="22">
        <v>43542</v>
      </c>
      <c r="B1020" s="21">
        <v>116.03478200000001</v>
      </c>
      <c r="C1020" s="23">
        <v>31207600</v>
      </c>
      <c r="D1020" s="24">
        <f t="shared" si="46"/>
        <v>6.8029725095035778E-4</v>
      </c>
      <c r="E1020" s="25">
        <f t="shared" si="47"/>
        <v>6381100</v>
      </c>
      <c r="F1020" s="20">
        <v>1</v>
      </c>
      <c r="G1020" s="20"/>
      <c r="I1020" s="21">
        <f t="shared" si="48"/>
        <v>139.42393036014579</v>
      </c>
    </row>
    <row r="1021" spans="1:9">
      <c r="A1021" s="22">
        <v>43543</v>
      </c>
      <c r="B1021" s="21">
        <v>116.113747</v>
      </c>
      <c r="C1021" s="23">
        <v>37588700</v>
      </c>
      <c r="D1021" s="24">
        <f t="shared" si="46"/>
        <v>-1.1055963880726226E-3</v>
      </c>
      <c r="E1021" s="25">
        <f t="shared" si="47"/>
        <v>-9475400</v>
      </c>
      <c r="F1021" s="20">
        <v>1</v>
      </c>
      <c r="G1021" s="20"/>
      <c r="I1021" s="21">
        <f t="shared" si="48"/>
        <v>139.42448362758057</v>
      </c>
    </row>
    <row r="1022" spans="1:9">
      <c r="A1022" s="22">
        <v>43544</v>
      </c>
      <c r="B1022" s="21">
        <v>115.985443</v>
      </c>
      <c r="C1022" s="23">
        <v>28113300</v>
      </c>
      <c r="D1022" s="24">
        <f t="shared" si="46"/>
        <v>2.2714909232914884E-2</v>
      </c>
      <c r="E1022" s="25">
        <f t="shared" si="47"/>
        <v>1741100</v>
      </c>
      <c r="F1022" s="20">
        <v>1</v>
      </c>
      <c r="G1022" s="20"/>
      <c r="I1022" s="21">
        <f t="shared" si="48"/>
        <v>139.42503689721084</v>
      </c>
    </row>
    <row r="1023" spans="1:9">
      <c r="A1023" s="22">
        <v>43545</v>
      </c>
      <c r="B1023" s="21">
        <v>118.650192</v>
      </c>
      <c r="C1023" s="23">
        <v>29854400</v>
      </c>
      <c r="D1023" s="24">
        <f t="shared" si="46"/>
        <v>-2.6722283374531801E-2</v>
      </c>
      <c r="E1023" s="25">
        <f t="shared" si="47"/>
        <v>3770100</v>
      </c>
      <c r="F1023" s="20">
        <v>1</v>
      </c>
      <c r="G1023" s="20"/>
      <c r="I1023" s="21">
        <f t="shared" si="48"/>
        <v>139.42559016903664</v>
      </c>
    </row>
    <row r="1024" spans="1:9">
      <c r="A1024" s="22">
        <v>43546</v>
      </c>
      <c r="B1024" s="21">
        <v>115.521576</v>
      </c>
      <c r="C1024" s="23">
        <v>33624500</v>
      </c>
      <c r="D1024" s="24">
        <f t="shared" si="46"/>
        <v>5.1980558872766263E-3</v>
      </c>
      <c r="E1024" s="25">
        <f t="shared" si="47"/>
        <v>-6557400</v>
      </c>
      <c r="F1024" s="20">
        <v>1</v>
      </c>
      <c r="G1024" s="20"/>
      <c r="I1024" s="21">
        <f t="shared" si="48"/>
        <v>139.42614344305792</v>
      </c>
    </row>
    <row r="1025" spans="1:9">
      <c r="A1025" s="22">
        <v>43549</v>
      </c>
      <c r="B1025" s="21">
        <v>116.123627</v>
      </c>
      <c r="C1025" s="23">
        <v>27067100</v>
      </c>
      <c r="D1025" s="24">
        <f t="shared" si="46"/>
        <v>2.1223697924520526E-3</v>
      </c>
      <c r="E1025" s="25">
        <f t="shared" si="47"/>
        <v>-969400</v>
      </c>
      <c r="F1025" s="20">
        <v>1</v>
      </c>
      <c r="G1025" s="20"/>
      <c r="I1025" s="21">
        <f t="shared" si="48"/>
        <v>139.42669671927476</v>
      </c>
    </row>
    <row r="1026" spans="1:9">
      <c r="A1026" s="22">
        <v>43550</v>
      </c>
      <c r="B1026" s="21">
        <v>116.370346</v>
      </c>
      <c r="C1026" s="23">
        <v>26097700</v>
      </c>
      <c r="D1026" s="24">
        <f t="shared" si="46"/>
        <v>-9.7155027194529512E-3</v>
      </c>
      <c r="E1026" s="25">
        <f t="shared" si="47"/>
        <v>-3364300</v>
      </c>
      <c r="F1026" s="20">
        <v>1</v>
      </c>
      <c r="G1026" s="20"/>
      <c r="I1026" s="21">
        <f t="shared" si="48"/>
        <v>139.42724999768711</v>
      </c>
    </row>
    <row r="1027" spans="1:9">
      <c r="A1027" s="22">
        <v>43551</v>
      </c>
      <c r="B1027" s="21">
        <v>115.24522399999999</v>
      </c>
      <c r="C1027" s="23">
        <v>22733400</v>
      </c>
      <c r="D1027" s="24">
        <f t="shared" ref="D1027:D1090" si="49">LN(B1028/B1027)</f>
        <v>1.3693660645596433E-3</v>
      </c>
      <c r="E1027" s="25">
        <f t="shared" ref="E1027:E1090" si="50">C1028-C1027</f>
        <v>-4398600</v>
      </c>
      <c r="F1027" s="20">
        <v>1</v>
      </c>
      <c r="G1027" s="20"/>
      <c r="I1027" s="21">
        <f t="shared" si="48"/>
        <v>139.42780327829502</v>
      </c>
    </row>
    <row r="1028" spans="1:9">
      <c r="A1028" s="22">
        <v>43552</v>
      </c>
      <c r="B1028" s="21">
        <v>115.40314499999999</v>
      </c>
      <c r="C1028" s="23">
        <v>18334800</v>
      </c>
      <c r="D1028" s="24">
        <f t="shared" si="49"/>
        <v>8.6006106923002344E-3</v>
      </c>
      <c r="E1028" s="25">
        <f t="shared" si="50"/>
        <v>7065000</v>
      </c>
      <c r="F1028" s="20">
        <v>1</v>
      </c>
      <c r="G1028" s="20"/>
      <c r="I1028" s="21">
        <f t="shared" si="48"/>
        <v>139.42835656109847</v>
      </c>
    </row>
    <row r="1029" spans="1:9">
      <c r="A1029" s="22">
        <v>43553</v>
      </c>
      <c r="B1029" s="21">
        <v>116.399963</v>
      </c>
      <c r="C1029" s="23">
        <v>25399800</v>
      </c>
      <c r="D1029" s="24">
        <f t="shared" si="49"/>
        <v>9.1155037198726897E-3</v>
      </c>
      <c r="E1029" s="25">
        <f t="shared" si="50"/>
        <v>-2610700</v>
      </c>
      <c r="F1029" s="20">
        <v>1</v>
      </c>
      <c r="G1029" s="20"/>
      <c r="I1029" s="21">
        <f t="shared" si="48"/>
        <v>139.42890984609747</v>
      </c>
    </row>
    <row r="1030" spans="1:9">
      <c r="A1030" s="22">
        <v>43556</v>
      </c>
      <c r="B1030" s="21">
        <v>117.465858</v>
      </c>
      <c r="C1030" s="23">
        <v>22789100</v>
      </c>
      <c r="D1030" s="24">
        <f t="shared" si="49"/>
        <v>1.4272938289068599E-3</v>
      </c>
      <c r="E1030" s="25">
        <f t="shared" si="50"/>
        <v>-4646800</v>
      </c>
      <c r="F1030" s="20">
        <v>1</v>
      </c>
      <c r="G1030" s="20"/>
      <c r="I1030" s="21">
        <f t="shared" si="48"/>
        <v>139.42946313329205</v>
      </c>
    </row>
    <row r="1031" spans="1:9">
      <c r="A1031" s="22">
        <v>43557</v>
      </c>
      <c r="B1031" s="21">
        <v>117.633636</v>
      </c>
      <c r="C1031" s="23">
        <v>18142300</v>
      </c>
      <c r="D1031" s="24">
        <f t="shared" si="49"/>
        <v>6.5229131278463992E-3</v>
      </c>
      <c r="E1031" s="25">
        <f t="shared" si="50"/>
        <v>4718400</v>
      </c>
      <c r="F1031" s="20">
        <v>1</v>
      </c>
      <c r="G1031" s="20"/>
      <c r="I1031" s="21">
        <f t="shared" si="48"/>
        <v>139.4300164226822</v>
      </c>
    </row>
    <row r="1032" spans="1:9">
      <c r="A1032" s="22">
        <v>43558</v>
      </c>
      <c r="B1032" s="21">
        <v>118.403458</v>
      </c>
      <c r="C1032" s="23">
        <v>22860700</v>
      </c>
      <c r="D1032" s="24">
        <f t="shared" si="49"/>
        <v>-5.097585652567912E-3</v>
      </c>
      <c r="E1032" s="25">
        <f t="shared" si="50"/>
        <v>-2747900</v>
      </c>
      <c r="F1032" s="20">
        <v>1</v>
      </c>
      <c r="G1032" s="20"/>
      <c r="I1032" s="21">
        <f t="shared" si="48"/>
        <v>139.43056971426793</v>
      </c>
    </row>
    <row r="1033" spans="1:9">
      <c r="A1033" s="22">
        <v>43559</v>
      </c>
      <c r="B1033" s="21">
        <v>117.801422</v>
      </c>
      <c r="C1033" s="23">
        <v>20112800</v>
      </c>
      <c r="D1033" s="24">
        <f t="shared" si="49"/>
        <v>4.4304485224133374E-3</v>
      </c>
      <c r="E1033" s="25">
        <f t="shared" si="50"/>
        <v>-4286600</v>
      </c>
      <c r="F1033" s="20">
        <v>1</v>
      </c>
      <c r="G1033" s="20"/>
      <c r="I1033" s="21">
        <f t="shared" si="48"/>
        <v>139.43112300804924</v>
      </c>
    </row>
    <row r="1034" spans="1:9">
      <c r="A1034" s="22">
        <v>43560</v>
      </c>
      <c r="B1034" s="21">
        <v>118.324493</v>
      </c>
      <c r="C1034" s="23">
        <v>15826200</v>
      </c>
      <c r="D1034" s="24">
        <f t="shared" si="49"/>
        <v>3.3356083519422633E-4</v>
      </c>
      <c r="E1034" s="25">
        <f t="shared" si="50"/>
        <v>-710000</v>
      </c>
      <c r="F1034" s="20">
        <v>1</v>
      </c>
      <c r="G1034" s="20"/>
      <c r="I1034" s="21">
        <f t="shared" si="48"/>
        <v>139.43167630402615</v>
      </c>
    </row>
    <row r="1035" spans="1:9">
      <c r="A1035" s="22">
        <v>43563</v>
      </c>
      <c r="B1035" s="21">
        <v>118.363968</v>
      </c>
      <c r="C1035" s="23">
        <v>15116200</v>
      </c>
      <c r="D1035" s="24">
        <f t="shared" si="49"/>
        <v>-5.4346165643333619E-3</v>
      </c>
      <c r="E1035" s="25">
        <f t="shared" si="50"/>
        <v>2495800</v>
      </c>
      <c r="F1035" s="20">
        <v>1</v>
      </c>
      <c r="G1035" s="20"/>
      <c r="I1035" s="21">
        <f t="shared" si="48"/>
        <v>139.43222960219867</v>
      </c>
    </row>
    <row r="1036" spans="1:9">
      <c r="A1036" s="22">
        <v>43564</v>
      </c>
      <c r="B1036" s="21">
        <v>117.72244999999999</v>
      </c>
      <c r="C1036" s="23">
        <v>17612000</v>
      </c>
      <c r="D1036" s="24">
        <f t="shared" si="49"/>
        <v>7.6002860074552434E-3</v>
      </c>
      <c r="E1036" s="25">
        <f t="shared" si="50"/>
        <v>-1134800</v>
      </c>
      <c r="F1036" s="20">
        <v>1</v>
      </c>
      <c r="G1036" s="20"/>
      <c r="I1036" s="21">
        <f t="shared" si="48"/>
        <v>139.43278290256683</v>
      </c>
    </row>
    <row r="1037" spans="1:9">
      <c r="A1037" s="22">
        <v>43565</v>
      </c>
      <c r="B1037" s="21">
        <v>118.620583</v>
      </c>
      <c r="C1037" s="23">
        <v>16477200</v>
      </c>
      <c r="D1037" s="24">
        <f t="shared" si="49"/>
        <v>1.1641115785022439E-3</v>
      </c>
      <c r="E1037" s="25">
        <f t="shared" si="50"/>
        <v>-2268100</v>
      </c>
      <c r="F1037" s="20">
        <v>1</v>
      </c>
      <c r="G1037" s="20"/>
      <c r="I1037" s="21">
        <f t="shared" si="48"/>
        <v>139.43333620513062</v>
      </c>
    </row>
    <row r="1038" spans="1:9">
      <c r="A1038" s="22">
        <v>43566</v>
      </c>
      <c r="B1038" s="21">
        <v>118.758751</v>
      </c>
      <c r="C1038" s="23">
        <v>14209100</v>
      </c>
      <c r="D1038" s="24">
        <f t="shared" si="49"/>
        <v>5.139233892480599E-3</v>
      </c>
      <c r="E1038" s="25">
        <f t="shared" si="50"/>
        <v>5536000</v>
      </c>
      <c r="F1038" s="20">
        <v>1</v>
      </c>
      <c r="G1038" s="20"/>
      <c r="I1038" s="21">
        <f t="shared" si="48"/>
        <v>139.43388950989004</v>
      </c>
    </row>
    <row r="1039" spans="1:9">
      <c r="A1039" s="22">
        <v>43567</v>
      </c>
      <c r="B1039" s="21">
        <v>119.370651</v>
      </c>
      <c r="C1039" s="23">
        <v>19745100</v>
      </c>
      <c r="D1039" s="24">
        <f t="shared" si="49"/>
        <v>8.2651150532387166E-4</v>
      </c>
      <c r="E1039" s="25">
        <f t="shared" si="50"/>
        <v>-3952500</v>
      </c>
      <c r="F1039" s="20">
        <v>1</v>
      </c>
      <c r="G1039" s="20"/>
      <c r="I1039" s="21">
        <f t="shared" si="48"/>
        <v>139.43444281684509</v>
      </c>
    </row>
    <row r="1040" spans="1:9">
      <c r="A1040" s="22">
        <v>43570</v>
      </c>
      <c r="B1040" s="21">
        <v>119.469353</v>
      </c>
      <c r="C1040" s="23">
        <v>15792600</v>
      </c>
      <c r="D1040" s="24">
        <f t="shared" si="49"/>
        <v>-2.3158417645469166E-3</v>
      </c>
      <c r="E1040" s="25">
        <f t="shared" si="50"/>
        <v>-1720800</v>
      </c>
      <c r="F1040" s="20">
        <v>1</v>
      </c>
      <c r="G1040" s="20"/>
      <c r="I1040" s="21">
        <f t="shared" si="48"/>
        <v>139.43499612599581</v>
      </c>
    </row>
    <row r="1041" spans="1:9">
      <c r="A1041" s="22">
        <v>43571</v>
      </c>
      <c r="B1041" s="21">
        <v>119.193001</v>
      </c>
      <c r="C1041" s="23">
        <v>14071800</v>
      </c>
      <c r="D1041" s="24">
        <f t="shared" si="49"/>
        <v>8.2461414361071957E-3</v>
      </c>
      <c r="E1041" s="25">
        <f t="shared" si="50"/>
        <v>5229100</v>
      </c>
      <c r="F1041" s="20">
        <v>1</v>
      </c>
      <c r="G1041" s="20"/>
      <c r="I1041" s="21">
        <f t="shared" si="48"/>
        <v>139.43554943734219</v>
      </c>
    </row>
    <row r="1042" spans="1:9">
      <c r="A1042" s="22">
        <v>43572</v>
      </c>
      <c r="B1042" s="21">
        <v>120.179947</v>
      </c>
      <c r="C1042" s="23">
        <v>19300900</v>
      </c>
      <c r="D1042" s="24">
        <f t="shared" si="49"/>
        <v>1.3053963226159674E-2</v>
      </c>
      <c r="E1042" s="25">
        <f t="shared" si="50"/>
        <v>8690100</v>
      </c>
      <c r="F1042" s="20">
        <v>1</v>
      </c>
      <c r="G1042" s="20"/>
      <c r="I1042" s="21">
        <f t="shared" si="48"/>
        <v>139.43610275088423</v>
      </c>
    </row>
    <row r="1043" spans="1:9">
      <c r="A1043" s="22">
        <v>43573</v>
      </c>
      <c r="B1043" s="21">
        <v>121.759056</v>
      </c>
      <c r="C1043" s="23">
        <v>27991000</v>
      </c>
      <c r="D1043" s="24">
        <f t="shared" si="49"/>
        <v>3.1561997667035576E-3</v>
      </c>
      <c r="E1043" s="25">
        <f t="shared" si="50"/>
        <v>-12342300</v>
      </c>
      <c r="F1043" s="20">
        <v>1</v>
      </c>
      <c r="G1043" s="20"/>
      <c r="I1043" s="21">
        <f t="shared" si="48"/>
        <v>139.43665606662196</v>
      </c>
    </row>
    <row r="1044" spans="1:9">
      <c r="A1044" s="22">
        <v>43577</v>
      </c>
      <c r="B1044" s="21">
        <v>122.143959</v>
      </c>
      <c r="C1044" s="23">
        <v>15648700</v>
      </c>
      <c r="D1044" s="24">
        <f t="shared" si="49"/>
        <v>1.3483432792680057E-2</v>
      </c>
      <c r="E1044" s="25">
        <f t="shared" si="50"/>
        <v>8376800</v>
      </c>
      <c r="F1044" s="20">
        <v>1</v>
      </c>
      <c r="G1044" s="20"/>
      <c r="I1044" s="21">
        <f t="shared" si="48"/>
        <v>139.43720938455539</v>
      </c>
    </row>
    <row r="1045" spans="1:9">
      <c r="A1045" s="22">
        <v>43578</v>
      </c>
      <c r="B1045" s="21">
        <v>123.802032</v>
      </c>
      <c r="C1045" s="23">
        <v>24025500</v>
      </c>
      <c r="D1045" s="24">
        <f t="shared" si="49"/>
        <v>-3.4338212486964871E-3</v>
      </c>
      <c r="E1045" s="25">
        <f t="shared" si="50"/>
        <v>7231500</v>
      </c>
      <c r="F1045" s="20">
        <v>1</v>
      </c>
      <c r="G1045" s="20"/>
      <c r="I1045" s="21">
        <f t="shared" si="48"/>
        <v>139.4377627046845</v>
      </c>
    </row>
    <row r="1046" spans="1:9">
      <c r="A1046" s="22">
        <v>43579</v>
      </c>
      <c r="B1046" s="21">
        <v>123.377647</v>
      </c>
      <c r="C1046" s="23">
        <v>31257000</v>
      </c>
      <c r="D1046" s="24">
        <f t="shared" si="49"/>
        <v>3.2580700761257748E-2</v>
      </c>
      <c r="E1046" s="25">
        <f t="shared" si="50"/>
        <v>6776900</v>
      </c>
      <c r="F1046" s="20">
        <v>1</v>
      </c>
      <c r="G1046" s="20"/>
      <c r="I1046" s="21">
        <f t="shared" si="48"/>
        <v>139.43831602700934</v>
      </c>
    </row>
    <row r="1047" spans="1:9">
      <c r="A1047" s="22">
        <v>43580</v>
      </c>
      <c r="B1047" s="21">
        <v>127.463577</v>
      </c>
      <c r="C1047" s="23">
        <v>38033900</v>
      </c>
      <c r="D1047" s="24">
        <f t="shared" si="49"/>
        <v>5.7133784587545793E-3</v>
      </c>
      <c r="E1047" s="25">
        <f t="shared" si="50"/>
        <v>-14379000</v>
      </c>
      <c r="F1047" s="20">
        <v>1</v>
      </c>
      <c r="G1047" s="20"/>
      <c r="I1047" s="21">
        <f t="shared" si="48"/>
        <v>139.43886935152989</v>
      </c>
    </row>
    <row r="1048" spans="1:9">
      <c r="A1048" s="22">
        <v>43581</v>
      </c>
      <c r="B1048" s="21">
        <v>128.19390899999999</v>
      </c>
      <c r="C1048" s="23">
        <v>23654900</v>
      </c>
      <c r="D1048" s="24">
        <f t="shared" si="49"/>
        <v>-9.2421499564292165E-4</v>
      </c>
      <c r="E1048" s="25">
        <f t="shared" si="50"/>
        <v>-7330700</v>
      </c>
      <c r="F1048" s="20">
        <v>1</v>
      </c>
      <c r="G1048" s="20"/>
      <c r="I1048" s="21">
        <f t="shared" si="48"/>
        <v>139.43942267824616</v>
      </c>
    </row>
    <row r="1049" spans="1:9">
      <c r="A1049" s="22">
        <v>43584</v>
      </c>
      <c r="B1049" s="21">
        <v>128.07548499999999</v>
      </c>
      <c r="C1049" s="23">
        <v>16324200</v>
      </c>
      <c r="D1049" s="24">
        <f t="shared" si="49"/>
        <v>6.3756106541942789E-3</v>
      </c>
      <c r="E1049" s="25">
        <f t="shared" si="50"/>
        <v>7842300</v>
      </c>
      <c r="F1049" s="20">
        <v>1</v>
      </c>
      <c r="G1049" s="20"/>
      <c r="I1049" s="21">
        <f t="shared" si="48"/>
        <v>139.43997600715815</v>
      </c>
    </row>
    <row r="1050" spans="1:9">
      <c r="A1050" s="22">
        <v>43585</v>
      </c>
      <c r="B1050" s="21">
        <v>128.89465300000001</v>
      </c>
      <c r="C1050" s="23">
        <v>24166500</v>
      </c>
      <c r="D1050" s="24">
        <f t="shared" si="49"/>
        <v>-2.1046981241103924E-2</v>
      </c>
      <c r="E1050" s="25">
        <f t="shared" si="50"/>
        <v>2655200</v>
      </c>
      <c r="F1050" s="20">
        <v>1</v>
      </c>
      <c r="G1050" s="20"/>
      <c r="I1050" s="21">
        <f t="shared" si="48"/>
        <v>139.44052933826589</v>
      </c>
    </row>
    <row r="1051" spans="1:9">
      <c r="A1051" s="22">
        <v>43586</v>
      </c>
      <c r="B1051" s="21">
        <v>126.210159</v>
      </c>
      <c r="C1051" s="23">
        <v>26821700</v>
      </c>
      <c r="D1051" s="24">
        <f t="shared" si="49"/>
        <v>-1.3145135115523997E-2</v>
      </c>
      <c r="E1051" s="25">
        <f t="shared" si="50"/>
        <v>528500</v>
      </c>
      <c r="F1051" s="20">
        <v>1</v>
      </c>
      <c r="G1051" s="20"/>
      <c r="I1051" s="21">
        <f t="shared" si="48"/>
        <v>139.44108267156938</v>
      </c>
    </row>
    <row r="1052" spans="1:9">
      <c r="A1052" s="22">
        <v>43587</v>
      </c>
      <c r="B1052" s="21">
        <v>124.561966</v>
      </c>
      <c r="C1052" s="23">
        <v>27350200</v>
      </c>
      <c r="D1052" s="24">
        <f t="shared" si="49"/>
        <v>2.1089744702829198E-2</v>
      </c>
      <c r="E1052" s="25">
        <f t="shared" si="50"/>
        <v>-2439100</v>
      </c>
      <c r="F1052" s="20">
        <v>1</v>
      </c>
      <c r="G1052" s="20"/>
      <c r="I1052" s="21">
        <f t="shared" si="48"/>
        <v>139.44163600706861</v>
      </c>
    </row>
    <row r="1053" spans="1:9">
      <c r="A1053" s="22">
        <v>43588</v>
      </c>
      <c r="B1053" s="21">
        <v>127.216843</v>
      </c>
      <c r="C1053" s="23">
        <v>24911100</v>
      </c>
      <c r="D1053" s="24">
        <f t="shared" si="49"/>
        <v>-5.8355550842674594E-3</v>
      </c>
      <c r="E1053" s="25">
        <f t="shared" si="50"/>
        <v>-671300</v>
      </c>
      <c r="F1053" s="20">
        <v>1</v>
      </c>
      <c r="G1053" s="20"/>
      <c r="I1053" s="21">
        <f t="shared" si="48"/>
        <v>139.44218934476362</v>
      </c>
    </row>
    <row r="1054" spans="1:9">
      <c r="A1054" s="22">
        <v>43591</v>
      </c>
      <c r="B1054" s="21">
        <v>126.476624</v>
      </c>
      <c r="C1054" s="23">
        <v>24239800</v>
      </c>
      <c r="D1054" s="24">
        <f t="shared" si="49"/>
        <v>-2.0736347634366017E-2</v>
      </c>
      <c r="E1054" s="25">
        <f t="shared" si="50"/>
        <v>11777900</v>
      </c>
      <c r="F1054" s="20">
        <v>1</v>
      </c>
      <c r="G1054" s="20"/>
      <c r="I1054" s="21">
        <f t="shared" si="48"/>
        <v>139.44274268465441</v>
      </c>
    </row>
    <row r="1055" spans="1:9">
      <c r="A1055" s="22">
        <v>43592</v>
      </c>
      <c r="B1055" s="21">
        <v>123.880966</v>
      </c>
      <c r="C1055" s="23">
        <v>36017700</v>
      </c>
      <c r="D1055" s="24">
        <f t="shared" si="49"/>
        <v>-7.9506899687271685E-5</v>
      </c>
      <c r="E1055" s="25">
        <f t="shared" si="50"/>
        <v>-7598700</v>
      </c>
      <c r="F1055" s="20">
        <v>1</v>
      </c>
      <c r="G1055" s="20"/>
      <c r="I1055" s="21">
        <f t="shared" si="48"/>
        <v>139.44329602674097</v>
      </c>
    </row>
    <row r="1056" spans="1:9">
      <c r="A1056" s="22">
        <v>43593</v>
      </c>
      <c r="B1056" s="21">
        <v>123.871117</v>
      </c>
      <c r="C1056" s="23">
        <v>28419000</v>
      </c>
      <c r="D1056" s="24">
        <f t="shared" si="49"/>
        <v>-7.9706986728520667E-5</v>
      </c>
      <c r="E1056" s="25">
        <f t="shared" si="50"/>
        <v>-1183200</v>
      </c>
      <c r="F1056" s="20">
        <v>1</v>
      </c>
      <c r="G1056" s="20"/>
      <c r="I1056" s="21">
        <f t="shared" si="48"/>
        <v>139.44384937102333</v>
      </c>
    </row>
    <row r="1057" spans="1:9">
      <c r="A1057" s="22">
        <v>43594</v>
      </c>
      <c r="B1057" s="21">
        <v>123.861244</v>
      </c>
      <c r="C1057" s="23">
        <v>27235800</v>
      </c>
      <c r="D1057" s="24">
        <f t="shared" si="49"/>
        <v>1.2904388462985064E-2</v>
      </c>
      <c r="E1057" s="25">
        <f t="shared" si="50"/>
        <v>3679300</v>
      </c>
      <c r="F1057" s="20">
        <v>1</v>
      </c>
      <c r="G1057" s="20"/>
      <c r="I1057" s="21">
        <f t="shared" si="48"/>
        <v>139.4444027175015</v>
      </c>
    </row>
    <row r="1058" spans="1:9">
      <c r="A1058" s="22">
        <v>43595</v>
      </c>
      <c r="B1058" s="21">
        <v>125.469955</v>
      </c>
      <c r="C1058" s="23">
        <v>30915100</v>
      </c>
      <c r="D1058" s="24">
        <f t="shared" si="49"/>
        <v>-3.0184364072742182E-2</v>
      </c>
      <c r="E1058" s="25">
        <f t="shared" si="50"/>
        <v>3029800</v>
      </c>
      <c r="F1058" s="20">
        <v>1</v>
      </c>
      <c r="G1058" s="20"/>
      <c r="I1058" s="21">
        <f t="shared" ref="I1058:I1121" si="51">I1057*EXP($L$31*$L$33+$L$32*H1058*SQRT($L$33))</f>
        <v>139.44495606617548</v>
      </c>
    </row>
    <row r="1059" spans="1:9">
      <c r="A1059" s="22">
        <v>43598</v>
      </c>
      <c r="B1059" s="21">
        <v>121.739311</v>
      </c>
      <c r="C1059" s="23">
        <v>33944900</v>
      </c>
      <c r="D1059" s="24">
        <f t="shared" si="49"/>
        <v>1.1125654577390022E-2</v>
      </c>
      <c r="E1059" s="25">
        <f t="shared" si="50"/>
        <v>-8678600</v>
      </c>
      <c r="F1059" s="20">
        <v>1</v>
      </c>
      <c r="G1059" s="20"/>
      <c r="I1059" s="21">
        <f t="shared" si="51"/>
        <v>139.44550941704529</v>
      </c>
    </row>
    <row r="1060" spans="1:9">
      <c r="A1060" s="22">
        <v>43599</v>
      </c>
      <c r="B1060" s="21">
        <v>123.101303</v>
      </c>
      <c r="C1060" s="23">
        <v>25266300</v>
      </c>
      <c r="D1060" s="24">
        <f t="shared" si="49"/>
        <v>1.3983957606925085E-2</v>
      </c>
      <c r="E1060" s="25">
        <f t="shared" si="50"/>
        <v>-543600</v>
      </c>
      <c r="F1060" s="20">
        <v>1</v>
      </c>
      <c r="G1060" s="20"/>
      <c r="I1060" s="21">
        <f t="shared" si="51"/>
        <v>139.44606277011093</v>
      </c>
    </row>
    <row r="1061" spans="1:9">
      <c r="A1061" s="22">
        <v>43600</v>
      </c>
      <c r="B1061" s="21">
        <v>124.834839</v>
      </c>
      <c r="C1061" s="23">
        <v>24722700</v>
      </c>
      <c r="D1061" s="24">
        <f t="shared" si="49"/>
        <v>2.2828967402076236E-2</v>
      </c>
      <c r="E1061" s="25">
        <f t="shared" si="50"/>
        <v>5389500</v>
      </c>
      <c r="F1061" s="20">
        <v>1</v>
      </c>
      <c r="G1061" s="20"/>
      <c r="I1061" s="21">
        <f t="shared" si="51"/>
        <v>139.4466161253724</v>
      </c>
    </row>
    <row r="1062" spans="1:9">
      <c r="A1062" s="22">
        <v>43601</v>
      </c>
      <c r="B1062" s="21">
        <v>127.717468</v>
      </c>
      <c r="C1062" s="23">
        <v>30112200</v>
      </c>
      <c r="D1062" s="24">
        <f t="shared" si="49"/>
        <v>-6.6925211230724167E-3</v>
      </c>
      <c r="E1062" s="25">
        <f t="shared" si="50"/>
        <v>-4341700</v>
      </c>
      <c r="F1062" s="20">
        <v>1</v>
      </c>
      <c r="G1062" s="20"/>
      <c r="I1062" s="21">
        <f t="shared" si="51"/>
        <v>139.44716948282971</v>
      </c>
    </row>
    <row r="1063" spans="1:9">
      <c r="A1063" s="22">
        <v>43602</v>
      </c>
      <c r="B1063" s="21">
        <v>126.86557000000001</v>
      </c>
      <c r="C1063" s="23">
        <v>25770500</v>
      </c>
      <c r="D1063" s="24">
        <f t="shared" si="49"/>
        <v>-1.4550583380574343E-2</v>
      </c>
      <c r="E1063" s="25">
        <f t="shared" si="50"/>
        <v>-2063600</v>
      </c>
      <c r="F1063" s="20">
        <v>1</v>
      </c>
      <c r="G1063" s="20"/>
      <c r="I1063" s="21">
        <f t="shared" si="51"/>
        <v>139.44772284248288</v>
      </c>
    </row>
    <row r="1064" spans="1:9">
      <c r="A1064" s="22">
        <v>43605</v>
      </c>
      <c r="B1064" s="21">
        <v>125.032967</v>
      </c>
      <c r="C1064" s="23">
        <v>23706900</v>
      </c>
      <c r="D1064" s="24">
        <f t="shared" si="49"/>
        <v>5.3729668684414532E-3</v>
      </c>
      <c r="E1064" s="25">
        <f t="shared" si="50"/>
        <v>-8413600</v>
      </c>
      <c r="F1064" s="20">
        <v>1</v>
      </c>
      <c r="G1064" s="20"/>
      <c r="I1064" s="21">
        <f t="shared" si="51"/>
        <v>139.4482762043319</v>
      </c>
    </row>
    <row r="1065" spans="1:9">
      <c r="A1065" s="22">
        <v>43606</v>
      </c>
      <c r="B1065" s="21">
        <v>125.70657300000001</v>
      </c>
      <c r="C1065" s="23">
        <v>15293300</v>
      </c>
      <c r="D1065" s="24">
        <f t="shared" si="49"/>
        <v>6.0493595238305456E-3</v>
      </c>
      <c r="E1065" s="25">
        <f t="shared" si="50"/>
        <v>103200</v>
      </c>
      <c r="F1065" s="20">
        <v>1</v>
      </c>
      <c r="G1065" s="20"/>
      <c r="I1065" s="21">
        <f t="shared" si="51"/>
        <v>139.44882956837679</v>
      </c>
    </row>
    <row r="1066" spans="1:9">
      <c r="A1066" s="22">
        <v>43607</v>
      </c>
      <c r="B1066" s="21">
        <v>126.46932200000001</v>
      </c>
      <c r="C1066" s="23">
        <v>15396500</v>
      </c>
      <c r="D1066" s="24">
        <f t="shared" si="49"/>
        <v>-1.1739309039476349E-2</v>
      </c>
      <c r="E1066" s="25">
        <f t="shared" si="50"/>
        <v>8207300</v>
      </c>
      <c r="F1066" s="20">
        <v>1</v>
      </c>
      <c r="G1066" s="20"/>
      <c r="I1066" s="21">
        <f t="shared" si="51"/>
        <v>139.44938293461757</v>
      </c>
    </row>
    <row r="1067" spans="1:9">
      <c r="A1067" s="22">
        <v>43608</v>
      </c>
      <c r="B1067" s="21">
        <v>124.99334</v>
      </c>
      <c r="C1067" s="23">
        <v>23603800</v>
      </c>
      <c r="D1067" s="24">
        <f t="shared" si="49"/>
        <v>4.7531235184630771E-4</v>
      </c>
      <c r="E1067" s="25">
        <f t="shared" si="50"/>
        <v>-9480400</v>
      </c>
      <c r="F1067" s="20">
        <v>1</v>
      </c>
      <c r="G1067" s="20"/>
      <c r="I1067" s="21">
        <f t="shared" si="51"/>
        <v>139.44993630305424</v>
      </c>
    </row>
    <row r="1068" spans="1:9">
      <c r="A1068" s="22">
        <v>43609</v>
      </c>
      <c r="B1068" s="21">
        <v>125.05276499999999</v>
      </c>
      <c r="C1068" s="23">
        <v>14123400</v>
      </c>
      <c r="D1068" s="24">
        <f t="shared" si="49"/>
        <v>-6.3378134995398358E-4</v>
      </c>
      <c r="E1068" s="25">
        <f t="shared" si="50"/>
        <v>9005000</v>
      </c>
      <c r="F1068" s="20">
        <v>1</v>
      </c>
      <c r="G1068" s="20"/>
      <c r="I1068" s="21">
        <f t="shared" si="51"/>
        <v>139.4504896736868</v>
      </c>
    </row>
    <row r="1069" spans="1:9">
      <c r="A1069" s="22">
        <v>43613</v>
      </c>
      <c r="B1069" s="21">
        <v>124.973534</v>
      </c>
      <c r="C1069" s="23">
        <v>23128400</v>
      </c>
      <c r="D1069" s="24">
        <f t="shared" si="49"/>
        <v>-9.7173887401762887E-3</v>
      </c>
      <c r="E1069" s="25">
        <f t="shared" si="50"/>
        <v>-365300</v>
      </c>
      <c r="F1069" s="20">
        <v>1</v>
      </c>
      <c r="G1069" s="20"/>
      <c r="I1069" s="21">
        <f t="shared" si="51"/>
        <v>139.45104304651528</v>
      </c>
    </row>
    <row r="1070" spans="1:9">
      <c r="A1070" s="22">
        <v>43614</v>
      </c>
      <c r="B1070" s="21">
        <v>123.764999</v>
      </c>
      <c r="C1070" s="23">
        <v>22763100</v>
      </c>
      <c r="D1070" s="24">
        <f t="shared" si="49"/>
        <v>6.3030689039343148E-3</v>
      </c>
      <c r="E1070" s="25">
        <f t="shared" si="50"/>
        <v>-5933500</v>
      </c>
      <c r="F1070" s="20">
        <v>1</v>
      </c>
      <c r="G1070" s="20"/>
      <c r="I1070" s="21">
        <f t="shared" si="51"/>
        <v>139.45159642153968</v>
      </c>
    </row>
    <row r="1071" spans="1:9">
      <c r="A1071" s="22">
        <v>43615</v>
      </c>
      <c r="B1071" s="21">
        <v>124.547562</v>
      </c>
      <c r="C1071" s="23">
        <v>16829600</v>
      </c>
      <c r="D1071" s="24">
        <f t="shared" si="49"/>
        <v>-1.6439128151177158E-2</v>
      </c>
      <c r="E1071" s="25">
        <f t="shared" si="50"/>
        <v>9817200</v>
      </c>
      <c r="F1071" s="20">
        <v>1</v>
      </c>
      <c r="G1071" s="20"/>
      <c r="I1071" s="21">
        <f t="shared" si="51"/>
        <v>139.45214979875999</v>
      </c>
    </row>
    <row r="1072" spans="1:9">
      <c r="A1072" s="22">
        <v>43616</v>
      </c>
      <c r="B1072" s="21">
        <v>122.516846</v>
      </c>
      <c r="C1072" s="23">
        <v>26646800</v>
      </c>
      <c r="D1072" s="24">
        <f t="shared" si="49"/>
        <v>-3.1540127817358807E-2</v>
      </c>
      <c r="E1072" s="25">
        <f t="shared" si="50"/>
        <v>11336800</v>
      </c>
      <c r="F1072" s="20">
        <v>1</v>
      </c>
      <c r="G1072" s="20"/>
      <c r="I1072" s="21">
        <f t="shared" si="51"/>
        <v>139.45270317817625</v>
      </c>
    </row>
    <row r="1073" spans="1:9">
      <c r="A1073" s="22">
        <v>43619</v>
      </c>
      <c r="B1073" s="21">
        <v>118.712952</v>
      </c>
      <c r="C1073" s="23">
        <v>37983600</v>
      </c>
      <c r="D1073" s="24">
        <f t="shared" si="49"/>
        <v>2.7326895846647003E-2</v>
      </c>
      <c r="E1073" s="25">
        <f t="shared" si="50"/>
        <v>-8601000</v>
      </c>
      <c r="F1073" s="20">
        <v>1</v>
      </c>
      <c r="G1073" s="20"/>
      <c r="I1073" s="21">
        <f t="shared" si="51"/>
        <v>139.45325655978843</v>
      </c>
    </row>
    <row r="1074" spans="1:9">
      <c r="A1074" s="22">
        <v>43620</v>
      </c>
      <c r="B1074" s="21">
        <v>122.00174</v>
      </c>
      <c r="C1074" s="23">
        <v>29382600</v>
      </c>
      <c r="D1074" s="24">
        <f t="shared" si="49"/>
        <v>2.144745895482322E-2</v>
      </c>
      <c r="E1074" s="25">
        <f t="shared" si="50"/>
        <v>-4456500</v>
      </c>
      <c r="F1074" s="20">
        <v>1</v>
      </c>
      <c r="G1074" s="20"/>
      <c r="I1074" s="21">
        <f t="shared" si="51"/>
        <v>139.45380994359658</v>
      </c>
    </row>
    <row r="1075" spans="1:9">
      <c r="A1075" s="22">
        <v>43621</v>
      </c>
      <c r="B1075" s="21">
        <v>124.646629</v>
      </c>
      <c r="C1075" s="23">
        <v>24926100</v>
      </c>
      <c r="D1075" s="24">
        <f t="shared" si="49"/>
        <v>1.5691218812663298E-2</v>
      </c>
      <c r="E1075" s="25">
        <f t="shared" si="50"/>
        <v>-3467100</v>
      </c>
      <c r="F1075" s="20">
        <v>1</v>
      </c>
      <c r="G1075" s="20"/>
      <c r="I1075" s="21">
        <f t="shared" si="51"/>
        <v>139.45436332960068</v>
      </c>
    </row>
    <row r="1076" spans="1:9">
      <c r="A1076" s="22">
        <v>43622</v>
      </c>
      <c r="B1076" s="21">
        <v>126.617912</v>
      </c>
      <c r="C1076" s="23">
        <v>21459000</v>
      </c>
      <c r="D1076" s="24">
        <f t="shared" si="49"/>
        <v>2.7622976152028994E-2</v>
      </c>
      <c r="E1076" s="25">
        <f t="shared" si="50"/>
        <v>12426600</v>
      </c>
      <c r="F1076" s="20">
        <v>1</v>
      </c>
      <c r="G1076" s="20"/>
      <c r="I1076" s="21">
        <f t="shared" si="51"/>
        <v>139.45491671780076</v>
      </c>
    </row>
    <row r="1077" spans="1:9">
      <c r="A1077" s="22">
        <v>43623</v>
      </c>
      <c r="B1077" s="21">
        <v>130.16423</v>
      </c>
      <c r="C1077" s="23">
        <v>33885600</v>
      </c>
      <c r="D1077" s="24">
        <f t="shared" si="49"/>
        <v>9.0911359212059711E-3</v>
      </c>
      <c r="E1077" s="25">
        <f t="shared" si="50"/>
        <v>-7408500</v>
      </c>
      <c r="F1077" s="20">
        <v>1</v>
      </c>
      <c r="G1077" s="20"/>
      <c r="I1077" s="21">
        <f t="shared" si="51"/>
        <v>139.45547010819681</v>
      </c>
    </row>
    <row r="1078" spans="1:9">
      <c r="A1078" s="22">
        <v>43626</v>
      </c>
      <c r="B1078" s="21">
        <v>131.35296600000001</v>
      </c>
      <c r="C1078" s="23">
        <v>26477100</v>
      </c>
      <c r="D1078" s="24">
        <f t="shared" si="49"/>
        <v>-3.7778833399348564E-3</v>
      </c>
      <c r="E1078" s="25">
        <f t="shared" si="50"/>
        <v>-2563400</v>
      </c>
      <c r="F1078" s="20">
        <v>1</v>
      </c>
      <c r="G1078" s="20"/>
      <c r="I1078" s="21">
        <f t="shared" si="51"/>
        <v>139.45602350078883</v>
      </c>
    </row>
    <row r="1079" spans="1:9">
      <c r="A1079" s="22">
        <v>43627</v>
      </c>
      <c r="B1079" s="21">
        <v>130.85766599999999</v>
      </c>
      <c r="C1079" s="23">
        <v>23913700</v>
      </c>
      <c r="D1079" s="24">
        <f t="shared" si="49"/>
        <v>-4.6284064557764451E-3</v>
      </c>
      <c r="E1079" s="25">
        <f t="shared" si="50"/>
        <v>-6829000</v>
      </c>
      <c r="F1079" s="20">
        <v>1</v>
      </c>
      <c r="G1079" s="20"/>
      <c r="I1079" s="21">
        <f t="shared" si="51"/>
        <v>139.45657689557686</v>
      </c>
    </row>
    <row r="1080" spans="1:9">
      <c r="A1080" s="22">
        <v>43628</v>
      </c>
      <c r="B1080" s="21">
        <v>130.25340299999999</v>
      </c>
      <c r="C1080" s="23">
        <v>17084700</v>
      </c>
      <c r="D1080" s="24">
        <f t="shared" si="49"/>
        <v>6.2923879749420689E-3</v>
      </c>
      <c r="E1080" s="25">
        <f t="shared" si="50"/>
        <v>116100</v>
      </c>
      <c r="F1080" s="20">
        <v>1</v>
      </c>
      <c r="G1080" s="20"/>
      <c r="I1080" s="21">
        <f t="shared" si="51"/>
        <v>139.45713029256089</v>
      </c>
    </row>
    <row r="1081" spans="1:9">
      <c r="A1081" s="22">
        <v>43629</v>
      </c>
      <c r="B1081" s="21">
        <v>131.075592</v>
      </c>
      <c r="C1081" s="23">
        <v>17200800</v>
      </c>
      <c r="D1081" s="24">
        <f t="shared" si="49"/>
        <v>9.8203466571918432E-4</v>
      </c>
      <c r="E1081" s="25">
        <f t="shared" si="50"/>
        <v>620900</v>
      </c>
      <c r="F1081" s="20">
        <v>1</v>
      </c>
      <c r="G1081" s="20"/>
      <c r="I1081" s="21">
        <f t="shared" si="51"/>
        <v>139.45768369174093</v>
      </c>
    </row>
    <row r="1082" spans="1:9">
      <c r="A1082" s="22">
        <v>43630</v>
      </c>
      <c r="B1082" s="21">
        <v>131.204376</v>
      </c>
      <c r="C1082" s="23">
        <v>17821700</v>
      </c>
      <c r="D1082" s="24">
        <f t="shared" si="49"/>
        <v>3.0154701190211919E-3</v>
      </c>
      <c r="E1082" s="25">
        <f t="shared" si="50"/>
        <v>-3303900</v>
      </c>
      <c r="F1082" s="20">
        <v>1</v>
      </c>
      <c r="G1082" s="20"/>
      <c r="I1082" s="21">
        <f t="shared" si="51"/>
        <v>139.45823709311699</v>
      </c>
    </row>
    <row r="1083" spans="1:9">
      <c r="A1083" s="22">
        <v>43633</v>
      </c>
      <c r="B1083" s="21">
        <v>131.600616</v>
      </c>
      <c r="C1083" s="23">
        <v>14517800</v>
      </c>
      <c r="D1083" s="24">
        <f t="shared" si="49"/>
        <v>1.7238539811566735E-2</v>
      </c>
      <c r="E1083" s="25">
        <f t="shared" si="50"/>
        <v>11416700</v>
      </c>
      <c r="F1083" s="20">
        <v>1</v>
      </c>
      <c r="G1083" s="20"/>
      <c r="I1083" s="21">
        <f t="shared" si="51"/>
        <v>139.45879049668909</v>
      </c>
    </row>
    <row r="1084" spans="1:9">
      <c r="A1084" s="22">
        <v>43634</v>
      </c>
      <c r="B1084" s="21">
        <v>133.88888499999999</v>
      </c>
      <c r="C1084" s="23">
        <v>25934500</v>
      </c>
      <c r="D1084" s="24">
        <f t="shared" si="49"/>
        <v>3.9136802145187527E-3</v>
      </c>
      <c r="E1084" s="25">
        <f t="shared" si="50"/>
        <v>-2190100</v>
      </c>
      <c r="F1084" s="20">
        <v>1</v>
      </c>
      <c r="G1084" s="20"/>
      <c r="I1084" s="21">
        <f t="shared" si="51"/>
        <v>139.45934390245722</v>
      </c>
    </row>
    <row r="1085" spans="1:9">
      <c r="A1085" s="22">
        <v>43635</v>
      </c>
      <c r="B1085" s="21">
        <v>134.41390999999999</v>
      </c>
      <c r="C1085" s="23">
        <v>23744400</v>
      </c>
      <c r="D1085" s="24">
        <f t="shared" si="49"/>
        <v>9.2428216426312989E-3</v>
      </c>
      <c r="E1085" s="25">
        <f t="shared" si="50"/>
        <v>9298200</v>
      </c>
      <c r="F1085" s="20">
        <v>1</v>
      </c>
      <c r="G1085" s="20"/>
      <c r="I1085" s="21">
        <f t="shared" si="51"/>
        <v>139.45989731042138</v>
      </c>
    </row>
    <row r="1086" spans="1:9">
      <c r="A1086" s="22">
        <v>43636</v>
      </c>
      <c r="B1086" s="21">
        <v>135.66203300000001</v>
      </c>
      <c r="C1086" s="23">
        <v>33042600</v>
      </c>
      <c r="D1086" s="24">
        <f t="shared" si="49"/>
        <v>1.4621297781900058E-4</v>
      </c>
      <c r="E1086" s="25">
        <f t="shared" si="50"/>
        <v>3685300</v>
      </c>
      <c r="F1086" s="20">
        <v>1</v>
      </c>
      <c r="G1086" s="20"/>
      <c r="I1086" s="21">
        <f t="shared" si="51"/>
        <v>139.4604507205816</v>
      </c>
    </row>
    <row r="1087" spans="1:9">
      <c r="A1087" s="22">
        <v>43637</v>
      </c>
      <c r="B1087" s="21">
        <v>135.68187</v>
      </c>
      <c r="C1087" s="23">
        <v>36727900</v>
      </c>
      <c r="D1087" s="24">
        <f t="shared" si="49"/>
        <v>5.8961810522148812E-3</v>
      </c>
      <c r="E1087" s="25">
        <f t="shared" si="50"/>
        <v>-16099100</v>
      </c>
      <c r="F1087" s="20">
        <v>1</v>
      </c>
      <c r="G1087" s="20"/>
      <c r="I1087" s="21">
        <f t="shared" si="51"/>
        <v>139.46100413293789</v>
      </c>
    </row>
    <row r="1088" spans="1:9">
      <c r="A1088" s="22">
        <v>43640</v>
      </c>
      <c r="B1088" s="21">
        <v>136.484238</v>
      </c>
      <c r="C1088" s="23">
        <v>20628800</v>
      </c>
      <c r="D1088" s="24">
        <f t="shared" si="49"/>
        <v>-3.2081274107307677E-2</v>
      </c>
      <c r="E1088" s="25">
        <f t="shared" si="50"/>
        <v>12698600</v>
      </c>
      <c r="F1088" s="20">
        <v>1</v>
      </c>
      <c r="G1088" s="20"/>
      <c r="I1088" s="21">
        <f t="shared" si="51"/>
        <v>139.46155754749026</v>
      </c>
    </row>
    <row r="1089" spans="1:9">
      <c r="A1089" s="22">
        <v>43641</v>
      </c>
      <c r="B1089" s="21">
        <v>132.17514</v>
      </c>
      <c r="C1089" s="23">
        <v>33327400</v>
      </c>
      <c r="D1089" s="24">
        <f t="shared" si="49"/>
        <v>3.7403046376165709E-3</v>
      </c>
      <c r="E1089" s="25">
        <f t="shared" si="50"/>
        <v>-9669700</v>
      </c>
      <c r="F1089" s="20">
        <v>1</v>
      </c>
      <c r="G1089" s="20"/>
      <c r="I1089" s="21">
        <f t="shared" si="51"/>
        <v>139.46211096423869</v>
      </c>
    </row>
    <row r="1090" spans="1:9">
      <c r="A1090" s="22">
        <v>43642</v>
      </c>
      <c r="B1090" s="21">
        <v>132.67044100000001</v>
      </c>
      <c r="C1090" s="23">
        <v>23657700</v>
      </c>
      <c r="D1090" s="24">
        <f t="shared" si="49"/>
        <v>1.6412639487353505E-3</v>
      </c>
      <c r="E1090" s="25">
        <f t="shared" si="50"/>
        <v>-7100200</v>
      </c>
      <c r="F1090" s="20">
        <v>1</v>
      </c>
      <c r="G1090" s="20"/>
      <c r="I1090" s="21">
        <f t="shared" si="51"/>
        <v>139.46266438318321</v>
      </c>
    </row>
    <row r="1091" spans="1:9">
      <c r="A1091" s="22">
        <v>43643</v>
      </c>
      <c r="B1091" s="21">
        <v>132.88836699999999</v>
      </c>
      <c r="C1091" s="23">
        <v>16557500</v>
      </c>
      <c r="D1091" s="24">
        <f t="shared" ref="D1091:D1154" si="52">LN(B1092/B1091)</f>
        <v>-1.4171321287742933E-3</v>
      </c>
      <c r="E1091" s="25">
        <f t="shared" ref="E1091:E1154" si="53">C1092-C1091</f>
        <v>13485500</v>
      </c>
      <c r="F1091" s="20">
        <v>1</v>
      </c>
      <c r="G1091" s="20"/>
      <c r="I1091" s="21">
        <f t="shared" si="51"/>
        <v>139.46321780432385</v>
      </c>
    </row>
    <row r="1092" spans="1:9">
      <c r="A1092" s="22">
        <v>43644</v>
      </c>
      <c r="B1092" s="21">
        <v>132.70017999999999</v>
      </c>
      <c r="C1092" s="23">
        <v>30043000</v>
      </c>
      <c r="D1092" s="24">
        <f t="shared" si="52"/>
        <v>1.2757832248548064E-2</v>
      </c>
      <c r="E1092" s="25">
        <f t="shared" si="53"/>
        <v>-7388800</v>
      </c>
      <c r="F1092" s="20">
        <v>1</v>
      </c>
      <c r="G1092" s="20"/>
      <c r="I1092" s="21">
        <f t="shared" si="51"/>
        <v>139.46377122766057</v>
      </c>
    </row>
    <row r="1093" spans="1:9">
      <c r="A1093" s="22">
        <v>43647</v>
      </c>
      <c r="B1093" s="21">
        <v>134.40399199999999</v>
      </c>
      <c r="C1093" s="23">
        <v>22654200</v>
      </c>
      <c r="D1093" s="24">
        <f t="shared" si="52"/>
        <v>6.6112708221197705E-3</v>
      </c>
      <c r="E1093" s="25">
        <f t="shared" si="53"/>
        <v>-7416400</v>
      </c>
      <c r="F1093" s="20">
        <v>1</v>
      </c>
      <c r="G1093" s="20"/>
      <c r="I1093" s="21">
        <f t="shared" si="51"/>
        <v>139.46432465319342</v>
      </c>
    </row>
    <row r="1094" spans="1:9">
      <c r="A1094" s="22">
        <v>43648</v>
      </c>
      <c r="B1094" s="21">
        <v>135.29551699999999</v>
      </c>
      <c r="C1094" s="23">
        <v>15237800</v>
      </c>
      <c r="D1094" s="24">
        <f t="shared" si="52"/>
        <v>6.4225234253051941E-3</v>
      </c>
      <c r="E1094" s="25">
        <f t="shared" si="53"/>
        <v>-1608500</v>
      </c>
      <c r="F1094" s="20">
        <v>1</v>
      </c>
      <c r="G1094" s="20"/>
      <c r="I1094" s="21">
        <f t="shared" si="51"/>
        <v>139.4648780809224</v>
      </c>
    </row>
    <row r="1095" spans="1:9">
      <c r="A1095" s="22">
        <v>43649</v>
      </c>
      <c r="B1095" s="21">
        <v>136.16725199999999</v>
      </c>
      <c r="C1095" s="23">
        <v>13629300</v>
      </c>
      <c r="D1095" s="24">
        <f t="shared" si="52"/>
        <v>-2.9142002751199204E-3</v>
      </c>
      <c r="E1095" s="25">
        <f t="shared" si="53"/>
        <v>4511800</v>
      </c>
      <c r="F1095" s="20">
        <v>1</v>
      </c>
      <c r="G1095" s="20"/>
      <c r="I1095" s="21">
        <f t="shared" si="51"/>
        <v>139.46543151084751</v>
      </c>
    </row>
    <row r="1096" spans="1:9">
      <c r="A1096" s="22">
        <v>43651</v>
      </c>
      <c r="B1096" s="21">
        <v>135.77101099999999</v>
      </c>
      <c r="C1096" s="23">
        <v>18141100</v>
      </c>
      <c r="D1096" s="24">
        <f t="shared" si="52"/>
        <v>-7.2987712532836333E-4</v>
      </c>
      <c r="E1096" s="25">
        <f t="shared" si="53"/>
        <v>-1361400</v>
      </c>
      <c r="F1096" s="20">
        <v>1</v>
      </c>
      <c r="G1096" s="20"/>
      <c r="I1096" s="21">
        <f t="shared" si="51"/>
        <v>139.46598494296876</v>
      </c>
    </row>
    <row r="1097" spans="1:9">
      <c r="A1097" s="22">
        <v>43654</v>
      </c>
      <c r="B1097" s="21">
        <v>135.67195100000001</v>
      </c>
      <c r="C1097" s="23">
        <v>16779700</v>
      </c>
      <c r="D1097" s="24">
        <f t="shared" si="52"/>
        <v>-3.6572869195572772E-3</v>
      </c>
      <c r="E1097" s="25">
        <f t="shared" si="53"/>
        <v>3173400</v>
      </c>
      <c r="F1097" s="20">
        <v>1</v>
      </c>
      <c r="G1097" s="20"/>
      <c r="I1097" s="21">
        <f t="shared" si="51"/>
        <v>139.46653837728616</v>
      </c>
    </row>
    <row r="1098" spans="1:9">
      <c r="A1098" s="22">
        <v>43655</v>
      </c>
      <c r="B1098" s="21">
        <v>135.17666600000001</v>
      </c>
      <c r="C1098" s="23">
        <v>19953100</v>
      </c>
      <c r="D1098" s="24">
        <f t="shared" si="52"/>
        <v>1.0134680877645375E-2</v>
      </c>
      <c r="E1098" s="25">
        <f t="shared" si="53"/>
        <v>4251300</v>
      </c>
      <c r="F1098" s="20">
        <v>1</v>
      </c>
      <c r="G1098" s="20"/>
      <c r="I1098" s="21">
        <f t="shared" si="51"/>
        <v>139.46709181379973</v>
      </c>
    </row>
    <row r="1099" spans="1:9">
      <c r="A1099" s="22">
        <v>43656</v>
      </c>
      <c r="B1099" s="21">
        <v>136.55360400000001</v>
      </c>
      <c r="C1099" s="23">
        <v>24204400</v>
      </c>
      <c r="D1099" s="24">
        <f t="shared" si="52"/>
        <v>3.9817045286952507E-3</v>
      </c>
      <c r="E1099" s="25">
        <f t="shared" si="53"/>
        <v>-1876500</v>
      </c>
      <c r="F1099" s="20">
        <v>1</v>
      </c>
      <c r="G1099" s="20"/>
      <c r="I1099" s="21">
        <f t="shared" si="51"/>
        <v>139.46764525250944</v>
      </c>
    </row>
    <row r="1100" spans="1:9">
      <c r="A1100" s="22">
        <v>43657</v>
      </c>
      <c r="B1100" s="21">
        <v>137.09840399999999</v>
      </c>
      <c r="C1100" s="23">
        <v>22327900</v>
      </c>
      <c r="D1100" s="24">
        <f t="shared" si="52"/>
        <v>3.606223275806248E-3</v>
      </c>
      <c r="E1100" s="25">
        <f t="shared" si="53"/>
        <v>-3391100</v>
      </c>
      <c r="F1100" s="20">
        <v>1</v>
      </c>
      <c r="G1100" s="20"/>
      <c r="I1100" s="21">
        <f t="shared" si="51"/>
        <v>139.46819869341536</v>
      </c>
    </row>
    <row r="1101" spans="1:9">
      <c r="A1101" s="22">
        <v>43658</v>
      </c>
      <c r="B1101" s="21">
        <v>137.593704</v>
      </c>
      <c r="C1101" s="23">
        <v>18936800</v>
      </c>
      <c r="D1101" s="24">
        <f t="shared" si="52"/>
        <v>0</v>
      </c>
      <c r="E1101" s="25">
        <f t="shared" si="53"/>
        <v>-2285300</v>
      </c>
      <c r="F1101" s="20">
        <v>1</v>
      </c>
      <c r="G1101" s="20"/>
      <c r="I1101" s="21">
        <f t="shared" si="51"/>
        <v>139.46875213651745</v>
      </c>
    </row>
    <row r="1102" spans="1:9">
      <c r="A1102" s="22">
        <v>43661</v>
      </c>
      <c r="B1102" s="21">
        <v>137.593704</v>
      </c>
      <c r="C1102" s="23">
        <v>16651500</v>
      </c>
      <c r="D1102" s="24">
        <f t="shared" si="52"/>
        <v>-1.3189577302510797E-2</v>
      </c>
      <c r="E1102" s="25">
        <f t="shared" si="53"/>
        <v>6074600</v>
      </c>
      <c r="F1102" s="20">
        <v>1</v>
      </c>
      <c r="G1102" s="20"/>
      <c r="I1102" s="21">
        <f t="shared" si="51"/>
        <v>139.46930558181575</v>
      </c>
    </row>
    <row r="1103" spans="1:9">
      <c r="A1103" s="22">
        <v>43662</v>
      </c>
      <c r="B1103" s="21">
        <v>135.790817</v>
      </c>
      <c r="C1103" s="23">
        <v>22726100</v>
      </c>
      <c r="D1103" s="24">
        <f t="shared" si="52"/>
        <v>-5.9263795212024751E-3</v>
      </c>
      <c r="E1103" s="25">
        <f t="shared" si="53"/>
        <v>-2515100</v>
      </c>
      <c r="F1103" s="20">
        <v>1</v>
      </c>
      <c r="G1103" s="20"/>
      <c r="I1103" s="21">
        <f t="shared" si="51"/>
        <v>139.46985902931024</v>
      </c>
    </row>
    <row r="1104" spans="1:9">
      <c r="A1104" s="22">
        <v>43663</v>
      </c>
      <c r="B1104" s="21">
        <v>134.988449</v>
      </c>
      <c r="C1104" s="23">
        <v>20211000</v>
      </c>
      <c r="D1104" s="24">
        <f t="shared" si="52"/>
        <v>1.1001554580221467E-3</v>
      </c>
      <c r="E1104" s="25">
        <f t="shared" si="53"/>
        <v>10597700</v>
      </c>
      <c r="F1104" s="20">
        <v>1</v>
      </c>
      <c r="G1104" s="20"/>
      <c r="I1104" s="21">
        <f t="shared" si="51"/>
        <v>139.47041247900094</v>
      </c>
    </row>
    <row r="1105" spans="1:9">
      <c r="A1105" s="22">
        <v>43664</v>
      </c>
      <c r="B1105" s="21">
        <v>135.13703899999999</v>
      </c>
      <c r="C1105" s="23">
        <v>30808700</v>
      </c>
      <c r="D1105" s="24">
        <f t="shared" si="52"/>
        <v>1.4648828816962373E-3</v>
      </c>
      <c r="E1105" s="25">
        <f t="shared" si="53"/>
        <v>18183700</v>
      </c>
      <c r="F1105" s="20">
        <v>1</v>
      </c>
      <c r="G1105" s="20"/>
      <c r="I1105" s="21">
        <f t="shared" si="51"/>
        <v>139.47096593088787</v>
      </c>
    </row>
    <row r="1106" spans="1:9">
      <c r="A1106" s="22">
        <v>43665</v>
      </c>
      <c r="B1106" s="21">
        <v>135.33514400000001</v>
      </c>
      <c r="C1106" s="23">
        <v>48992400</v>
      </c>
      <c r="D1106" s="24">
        <f t="shared" si="52"/>
        <v>1.3161370097555955E-2</v>
      </c>
      <c r="E1106" s="25">
        <f t="shared" si="53"/>
        <v>-23917500</v>
      </c>
      <c r="F1106" s="20">
        <v>1</v>
      </c>
      <c r="G1106" s="20"/>
      <c r="I1106" s="21">
        <f t="shared" si="51"/>
        <v>139.47151938497103</v>
      </c>
    </row>
    <row r="1107" spans="1:9">
      <c r="A1107" s="22">
        <v>43668</v>
      </c>
      <c r="B1107" s="21">
        <v>137.12811300000001</v>
      </c>
      <c r="C1107" s="23">
        <v>25074900</v>
      </c>
      <c r="D1107" s="24">
        <f t="shared" si="52"/>
        <v>6.1934312578354874E-3</v>
      </c>
      <c r="E1107" s="25">
        <f t="shared" si="53"/>
        <v>-7040300</v>
      </c>
      <c r="F1107" s="20">
        <v>1</v>
      </c>
      <c r="G1107" s="20"/>
      <c r="I1107" s="21">
        <f t="shared" si="51"/>
        <v>139.47207284125042</v>
      </c>
    </row>
    <row r="1108" spans="1:9">
      <c r="A1108" s="22">
        <v>43669</v>
      </c>
      <c r="B1108" s="21">
        <v>137.980042</v>
      </c>
      <c r="C1108" s="23">
        <v>18034600</v>
      </c>
      <c r="D1108" s="24">
        <f t="shared" si="52"/>
        <v>1.0213991711230035E-2</v>
      </c>
      <c r="E1108" s="25">
        <f t="shared" si="53"/>
        <v>2703700</v>
      </c>
      <c r="F1108" s="20">
        <v>1</v>
      </c>
      <c r="G1108" s="20"/>
      <c r="I1108" s="21">
        <f t="shared" si="51"/>
        <v>139.47262629972604</v>
      </c>
    </row>
    <row r="1109" spans="1:9">
      <c r="A1109" s="22">
        <v>43670</v>
      </c>
      <c r="B1109" s="21">
        <v>139.396591</v>
      </c>
      <c r="C1109" s="23">
        <v>20738300</v>
      </c>
      <c r="D1109" s="24">
        <f t="shared" si="52"/>
        <v>-3.7734076253810246E-3</v>
      </c>
      <c r="E1109" s="25">
        <f t="shared" si="53"/>
        <v>-2381400</v>
      </c>
      <c r="F1109" s="20">
        <v>1</v>
      </c>
      <c r="G1109" s="20"/>
      <c r="I1109" s="21">
        <f t="shared" si="51"/>
        <v>139.47317976039793</v>
      </c>
    </row>
    <row r="1110" spans="1:9">
      <c r="A1110" s="22">
        <v>43671</v>
      </c>
      <c r="B1110" s="21">
        <v>138.87158199999999</v>
      </c>
      <c r="C1110" s="23">
        <v>18356900</v>
      </c>
      <c r="D1110" s="24">
        <f t="shared" si="52"/>
        <v>8.169619776171597E-3</v>
      </c>
      <c r="E1110" s="25">
        <f t="shared" si="53"/>
        <v>680700</v>
      </c>
      <c r="F1110" s="20">
        <v>1</v>
      </c>
      <c r="G1110" s="20"/>
      <c r="I1110" s="21">
        <f t="shared" si="51"/>
        <v>139.47373322326609</v>
      </c>
    </row>
    <row r="1111" spans="1:9">
      <c r="A1111" s="22">
        <v>43672</v>
      </c>
      <c r="B1111" s="21">
        <v>140.01075700000001</v>
      </c>
      <c r="C1111" s="23">
        <v>19037600</v>
      </c>
      <c r="D1111" s="24">
        <f t="shared" si="52"/>
        <v>-2.195690242181427E-3</v>
      </c>
      <c r="E1111" s="25">
        <f t="shared" si="53"/>
        <v>-2431700</v>
      </c>
      <c r="F1111" s="20">
        <v>1</v>
      </c>
      <c r="G1111" s="20"/>
      <c r="I1111" s="21">
        <f t="shared" si="51"/>
        <v>139.47428668833052</v>
      </c>
    </row>
    <row r="1112" spans="1:9">
      <c r="A1112" s="22">
        <v>43675</v>
      </c>
      <c r="B1112" s="21">
        <v>139.70367400000001</v>
      </c>
      <c r="C1112" s="23">
        <v>16605900</v>
      </c>
      <c r="D1112" s="24">
        <f t="shared" si="52"/>
        <v>-4.8332884964730214E-3</v>
      </c>
      <c r="E1112" s="25">
        <f t="shared" si="53"/>
        <v>240600</v>
      </c>
      <c r="F1112" s="20">
        <v>1</v>
      </c>
      <c r="G1112" s="20"/>
      <c r="I1112" s="21">
        <f t="shared" si="51"/>
        <v>139.47484015559124</v>
      </c>
    </row>
    <row r="1113" spans="1:9">
      <c r="A1113" s="22">
        <v>43676</v>
      </c>
      <c r="B1113" s="21">
        <v>139.03007500000001</v>
      </c>
      <c r="C1113" s="23">
        <v>16846500</v>
      </c>
      <c r="D1113" s="24">
        <f t="shared" si="52"/>
        <v>-2.9501064818475982E-2</v>
      </c>
      <c r="E1113" s="25">
        <f t="shared" si="53"/>
        <v>21752300</v>
      </c>
      <c r="F1113" s="20">
        <v>1</v>
      </c>
      <c r="G1113" s="20"/>
      <c r="I1113" s="21">
        <f t="shared" si="51"/>
        <v>139.47539362504824</v>
      </c>
    </row>
    <row r="1114" spans="1:9">
      <c r="A1114" s="22">
        <v>43677</v>
      </c>
      <c r="B1114" s="21">
        <v>134.988449</v>
      </c>
      <c r="C1114" s="23">
        <v>38598800</v>
      </c>
      <c r="D1114" s="24">
        <f t="shared" si="52"/>
        <v>1.3050030279222963E-2</v>
      </c>
      <c r="E1114" s="25">
        <f t="shared" si="53"/>
        <v>1958700</v>
      </c>
      <c r="F1114" s="20">
        <v>1</v>
      </c>
      <c r="G1114" s="20"/>
      <c r="I1114" s="21">
        <f t="shared" si="51"/>
        <v>139.47594709670153</v>
      </c>
    </row>
    <row r="1115" spans="1:9">
      <c r="A1115" s="22">
        <v>43678</v>
      </c>
      <c r="B1115" s="21">
        <v>136.76159699999999</v>
      </c>
      <c r="C1115" s="23">
        <v>40557500</v>
      </c>
      <c r="D1115" s="24">
        <f t="shared" si="52"/>
        <v>-8.4376658235469134E-3</v>
      </c>
      <c r="E1115" s="25">
        <f t="shared" si="53"/>
        <v>-9765900</v>
      </c>
      <c r="F1115" s="20">
        <v>1</v>
      </c>
      <c r="G1115" s="20"/>
      <c r="I1115" s="21">
        <f t="shared" si="51"/>
        <v>139.47650057055114</v>
      </c>
    </row>
    <row r="1116" spans="1:9">
      <c r="A1116" s="22">
        <v>43679</v>
      </c>
      <c r="B1116" s="21">
        <v>135.612503</v>
      </c>
      <c r="C1116" s="23">
        <v>30791600</v>
      </c>
      <c r="D1116" s="24">
        <f t="shared" si="52"/>
        <v>-3.4859025979148826E-2</v>
      </c>
      <c r="E1116" s="25">
        <f t="shared" si="53"/>
        <v>11958000</v>
      </c>
      <c r="F1116" s="20">
        <v>1</v>
      </c>
      <c r="G1116" s="20"/>
      <c r="I1116" s="21">
        <f t="shared" si="51"/>
        <v>139.47705404659706</v>
      </c>
    </row>
    <row r="1117" spans="1:9">
      <c r="A1117" s="22">
        <v>43682</v>
      </c>
      <c r="B1117" s="21">
        <v>130.96662900000001</v>
      </c>
      <c r="C1117" s="23">
        <v>42749600</v>
      </c>
      <c r="D1117" s="24">
        <f t="shared" si="52"/>
        <v>1.8584298061649206E-2</v>
      </c>
      <c r="E1117" s="25">
        <f t="shared" si="53"/>
        <v>-10052900</v>
      </c>
      <c r="F1117" s="20">
        <v>1</v>
      </c>
      <c r="G1117" s="20"/>
      <c r="I1117" s="21">
        <f t="shared" si="51"/>
        <v>139.4776075248393</v>
      </c>
    </row>
    <row r="1118" spans="1:9">
      <c r="A1118" s="22">
        <v>43683</v>
      </c>
      <c r="B1118" s="21">
        <v>133.42330899999999</v>
      </c>
      <c r="C1118" s="23">
        <v>32696700</v>
      </c>
      <c r="D1118" s="24">
        <f t="shared" si="52"/>
        <v>4.3706812748813889E-3</v>
      </c>
      <c r="E1118" s="25">
        <f t="shared" si="53"/>
        <v>717800</v>
      </c>
      <c r="F1118" s="20">
        <v>1</v>
      </c>
      <c r="G1118" s="20"/>
      <c r="I1118" s="21">
        <f t="shared" si="51"/>
        <v>139.47816100527788</v>
      </c>
    </row>
    <row r="1119" spans="1:9">
      <c r="A1119" s="22">
        <v>43684</v>
      </c>
      <c r="B1119" s="21">
        <v>134.00773599999999</v>
      </c>
      <c r="C1119" s="23">
        <v>33414500</v>
      </c>
      <c r="D1119" s="24">
        <f t="shared" si="52"/>
        <v>2.6335663650574683E-2</v>
      </c>
      <c r="E1119" s="25">
        <f t="shared" si="53"/>
        <v>-5918000</v>
      </c>
      <c r="F1119" s="20">
        <v>1</v>
      </c>
      <c r="G1119" s="20"/>
      <c r="I1119" s="21">
        <f t="shared" si="51"/>
        <v>139.47871448791281</v>
      </c>
    </row>
    <row r="1120" spans="1:9">
      <c r="A1120" s="22">
        <v>43685</v>
      </c>
      <c r="B1120" s="21">
        <v>137.58380099999999</v>
      </c>
      <c r="C1120" s="23">
        <v>27496500</v>
      </c>
      <c r="D1120" s="24">
        <f t="shared" si="52"/>
        <v>-8.5320916785360801E-3</v>
      </c>
      <c r="E1120" s="25">
        <f t="shared" si="53"/>
        <v>-4029800</v>
      </c>
      <c r="F1120" s="20">
        <v>1</v>
      </c>
      <c r="G1120" s="20"/>
      <c r="I1120" s="21">
        <f t="shared" si="51"/>
        <v>139.47926797274408</v>
      </c>
    </row>
    <row r="1121" spans="1:9">
      <c r="A1121" s="22">
        <v>43686</v>
      </c>
      <c r="B1121" s="21">
        <v>136.414917</v>
      </c>
      <c r="C1121" s="23">
        <v>23466700</v>
      </c>
      <c r="D1121" s="24">
        <f t="shared" si="52"/>
        <v>-1.4040706441450161E-2</v>
      </c>
      <c r="E1121" s="25">
        <f t="shared" si="53"/>
        <v>-2990100</v>
      </c>
      <c r="F1121" s="20">
        <v>1</v>
      </c>
      <c r="G1121" s="20"/>
      <c r="I1121" s="21">
        <f t="shared" si="51"/>
        <v>139.47982145977173</v>
      </c>
    </row>
    <row r="1122" spans="1:9">
      <c r="A1122" s="22">
        <v>43689</v>
      </c>
      <c r="B1122" s="21">
        <v>134.51293899999999</v>
      </c>
      <c r="C1122" s="23">
        <v>20476600</v>
      </c>
      <c r="D1122" s="24">
        <f t="shared" si="52"/>
        <v>2.0482709723161616E-2</v>
      </c>
      <c r="E1122" s="25">
        <f t="shared" si="53"/>
        <v>4678000</v>
      </c>
      <c r="F1122" s="20">
        <v>1</v>
      </c>
      <c r="G1122" s="20"/>
      <c r="I1122" s="21">
        <f t="shared" ref="I1122:I1185" si="54">I1121*EXP($L$31*$L$33+$L$32*H1122*SQRT($L$33))</f>
        <v>139.48037494899572</v>
      </c>
    </row>
    <row r="1123" spans="1:9">
      <c r="A1123" s="22">
        <v>43690</v>
      </c>
      <c r="B1123" s="21">
        <v>137.296539</v>
      </c>
      <c r="C1123" s="23">
        <v>25154600</v>
      </c>
      <c r="D1123" s="24">
        <f t="shared" si="52"/>
        <v>-3.0577228476386817E-2</v>
      </c>
      <c r="E1123" s="25">
        <f t="shared" si="53"/>
        <v>7372700</v>
      </c>
      <c r="F1123" s="20">
        <v>1</v>
      </c>
      <c r="G1123" s="20"/>
      <c r="I1123" s="21">
        <f t="shared" si="54"/>
        <v>139.48092844041611</v>
      </c>
    </row>
    <row r="1124" spans="1:9">
      <c r="A1124" s="22">
        <v>43691</v>
      </c>
      <c r="B1124" s="21">
        <v>133.16192599999999</v>
      </c>
      <c r="C1124" s="23">
        <v>32527300</v>
      </c>
      <c r="D1124" s="24">
        <f t="shared" si="52"/>
        <v>-2.2416792609092394E-3</v>
      </c>
      <c r="E1124" s="25">
        <f t="shared" si="53"/>
        <v>-4452900</v>
      </c>
      <c r="F1124" s="20">
        <v>1</v>
      </c>
      <c r="G1124" s="20"/>
      <c r="I1124" s="21">
        <f t="shared" si="54"/>
        <v>139.48148193403287</v>
      </c>
    </row>
    <row r="1125" spans="1:9">
      <c r="A1125" s="22">
        <v>43692</v>
      </c>
      <c r="B1125" s="21">
        <v>132.863754</v>
      </c>
      <c r="C1125" s="23">
        <v>28074400</v>
      </c>
      <c r="D1125" s="24">
        <f t="shared" si="52"/>
        <v>1.8161564897177736E-2</v>
      </c>
      <c r="E1125" s="25">
        <f t="shared" si="53"/>
        <v>-3625300</v>
      </c>
      <c r="F1125" s="20">
        <v>1</v>
      </c>
      <c r="G1125" s="20"/>
      <c r="I1125" s="21">
        <f t="shared" si="54"/>
        <v>139.48203542984604</v>
      </c>
    </row>
    <row r="1126" spans="1:9">
      <c r="A1126" s="22">
        <v>43693</v>
      </c>
      <c r="B1126" s="21">
        <v>135.298813</v>
      </c>
      <c r="C1126" s="23">
        <v>24449100</v>
      </c>
      <c r="D1126" s="24">
        <f t="shared" si="52"/>
        <v>1.6610014631043231E-2</v>
      </c>
      <c r="E1126" s="25">
        <f t="shared" si="53"/>
        <v>-93400</v>
      </c>
      <c r="F1126" s="20">
        <v>1</v>
      </c>
      <c r="G1126" s="20"/>
      <c r="I1126" s="21">
        <f t="shared" si="54"/>
        <v>139.4825889278556</v>
      </c>
    </row>
    <row r="1127" spans="1:9">
      <c r="A1127" s="22">
        <v>43696</v>
      </c>
      <c r="B1127" s="21">
        <v>137.564896</v>
      </c>
      <c r="C1127" s="23">
        <v>24355700</v>
      </c>
      <c r="D1127" s="24">
        <f t="shared" si="52"/>
        <v>-8.3434429850853149E-3</v>
      </c>
      <c r="E1127" s="25">
        <f t="shared" si="53"/>
        <v>-3184900</v>
      </c>
      <c r="F1127" s="20">
        <v>1</v>
      </c>
      <c r="G1127" s="20"/>
      <c r="I1127" s="21">
        <f t="shared" si="54"/>
        <v>139.48314242806157</v>
      </c>
    </row>
    <row r="1128" spans="1:9">
      <c r="A1128" s="22">
        <v>43697</v>
      </c>
      <c r="B1128" s="21">
        <v>136.42190600000001</v>
      </c>
      <c r="C1128" s="23">
        <v>21170800</v>
      </c>
      <c r="D1128" s="24">
        <f t="shared" si="52"/>
        <v>1.1084967692666628E-2</v>
      </c>
      <c r="E1128" s="25">
        <f t="shared" si="53"/>
        <v>-6200500</v>
      </c>
      <c r="F1128" s="20">
        <v>1</v>
      </c>
      <c r="G1128" s="20"/>
      <c r="I1128" s="21">
        <f t="shared" si="54"/>
        <v>139.48369593046397</v>
      </c>
    </row>
    <row r="1129" spans="1:9">
      <c r="A1129" s="22">
        <v>43698</v>
      </c>
      <c r="B1129" s="21">
        <v>137.94255100000001</v>
      </c>
      <c r="C1129" s="23">
        <v>14970300</v>
      </c>
      <c r="D1129" s="24">
        <f t="shared" si="52"/>
        <v>-7.3037675876326301E-3</v>
      </c>
      <c r="E1129" s="25">
        <f t="shared" si="53"/>
        <v>3726700</v>
      </c>
      <c r="F1129" s="20">
        <v>1</v>
      </c>
      <c r="G1129" s="20"/>
      <c r="I1129" s="21">
        <f t="shared" si="54"/>
        <v>139.48424943506279</v>
      </c>
    </row>
    <row r="1130" spans="1:9">
      <c r="A1130" s="22">
        <v>43699</v>
      </c>
      <c r="B1130" s="21">
        <v>136.93872099999999</v>
      </c>
      <c r="C1130" s="23">
        <v>18697000</v>
      </c>
      <c r="D1130" s="24">
        <f t="shared" si="52"/>
        <v>-3.2381005497225591E-2</v>
      </c>
      <c r="E1130" s="25">
        <f t="shared" si="53"/>
        <v>19811600</v>
      </c>
      <c r="F1130" s="20">
        <v>1</v>
      </c>
      <c r="G1130" s="20"/>
      <c r="I1130" s="21">
        <f t="shared" si="54"/>
        <v>139.48480294185805</v>
      </c>
    </row>
    <row r="1131" spans="1:9">
      <c r="A1131" s="22">
        <v>43700</v>
      </c>
      <c r="B1131" s="21">
        <v>132.57553100000001</v>
      </c>
      <c r="C1131" s="23">
        <v>38508600</v>
      </c>
      <c r="D1131" s="24">
        <f t="shared" si="52"/>
        <v>1.5325416722428349E-2</v>
      </c>
      <c r="E1131" s="25">
        <f t="shared" si="53"/>
        <v>-18196000</v>
      </c>
      <c r="F1131" s="20">
        <v>1</v>
      </c>
      <c r="G1131" s="20"/>
      <c r="I1131" s="21">
        <f t="shared" si="54"/>
        <v>139.48535645084976</v>
      </c>
    </row>
    <row r="1132" spans="1:9">
      <c r="A1132" s="22">
        <v>43703</v>
      </c>
      <c r="B1132" s="21">
        <v>134.62295499999999</v>
      </c>
      <c r="C1132" s="23">
        <v>20312600</v>
      </c>
      <c r="D1132" s="24">
        <f t="shared" si="52"/>
        <v>2.1386835543478629E-3</v>
      </c>
      <c r="E1132" s="25">
        <f t="shared" si="53"/>
        <v>2789500</v>
      </c>
      <c r="F1132" s="20">
        <v>1</v>
      </c>
      <c r="G1132" s="20"/>
      <c r="I1132" s="21">
        <f t="shared" si="54"/>
        <v>139.48590996203794</v>
      </c>
    </row>
    <row r="1133" spans="1:9">
      <c r="A1133" s="22">
        <v>43704</v>
      </c>
      <c r="B1133" s="21">
        <v>134.911179</v>
      </c>
      <c r="C1133" s="23">
        <v>23102100</v>
      </c>
      <c r="D1133" s="24">
        <f t="shared" si="52"/>
        <v>-1.3270118564456959E-3</v>
      </c>
      <c r="E1133" s="25">
        <f t="shared" si="53"/>
        <v>-5708800</v>
      </c>
      <c r="F1133" s="20">
        <v>1</v>
      </c>
      <c r="G1133" s="20"/>
      <c r="I1133" s="21">
        <f t="shared" si="54"/>
        <v>139.48646347542257</v>
      </c>
    </row>
    <row r="1134" spans="1:9">
      <c r="A1134" s="22">
        <v>43705</v>
      </c>
      <c r="B1134" s="21">
        <v>134.732269</v>
      </c>
      <c r="C1134" s="23">
        <v>17393300</v>
      </c>
      <c r="D1134" s="24">
        <f t="shared" si="52"/>
        <v>1.870855776923383E-2</v>
      </c>
      <c r="E1134" s="25">
        <f t="shared" si="53"/>
        <v>2775400</v>
      </c>
      <c r="F1134" s="20">
        <v>1</v>
      </c>
      <c r="G1134" s="20"/>
      <c r="I1134" s="21">
        <f t="shared" si="54"/>
        <v>139.48701699100369</v>
      </c>
    </row>
    <row r="1135" spans="1:9">
      <c r="A1135" s="22">
        <v>43706</v>
      </c>
      <c r="B1135" s="21">
        <v>137.27664200000001</v>
      </c>
      <c r="C1135" s="23">
        <v>20168700</v>
      </c>
      <c r="D1135" s="24">
        <f t="shared" si="52"/>
        <v>-1.8840458496979643E-3</v>
      </c>
      <c r="E1135" s="25">
        <f t="shared" si="53"/>
        <v>3771400</v>
      </c>
      <c r="F1135" s="20">
        <v>1</v>
      </c>
      <c r="G1135" s="20"/>
      <c r="I1135" s="21">
        <f t="shared" si="54"/>
        <v>139.48757050878126</v>
      </c>
    </row>
    <row r="1136" spans="1:9">
      <c r="A1136" s="22">
        <v>43707</v>
      </c>
      <c r="B1136" s="21">
        <v>137.01824999999999</v>
      </c>
      <c r="C1136" s="23">
        <v>23940100</v>
      </c>
      <c r="D1136" s="24">
        <f t="shared" si="52"/>
        <v>-1.3289803216755127E-2</v>
      </c>
      <c r="E1136" s="25">
        <f t="shared" si="53"/>
        <v>-5070800</v>
      </c>
      <c r="F1136" s="20">
        <v>1</v>
      </c>
      <c r="G1136" s="20"/>
      <c r="I1136" s="21">
        <f t="shared" si="54"/>
        <v>139.48812402875535</v>
      </c>
    </row>
    <row r="1137" spans="1:9">
      <c r="A1137" s="22">
        <v>43711</v>
      </c>
      <c r="B1137" s="21">
        <v>135.209351</v>
      </c>
      <c r="C1137" s="23">
        <v>18869300</v>
      </c>
      <c r="D1137" s="24">
        <f t="shared" si="52"/>
        <v>1.1620077497151595E-2</v>
      </c>
      <c r="E1137" s="25">
        <f t="shared" si="53"/>
        <v>-873400</v>
      </c>
      <c r="F1137" s="20">
        <v>1</v>
      </c>
      <c r="G1137" s="20"/>
      <c r="I1137" s="21">
        <f t="shared" si="54"/>
        <v>139.48867755092593</v>
      </c>
    </row>
    <row r="1138" spans="1:9">
      <c r="A1138" s="22">
        <v>43712</v>
      </c>
      <c r="B1138" s="21">
        <v>136.789658</v>
      </c>
      <c r="C1138" s="23">
        <v>17995900</v>
      </c>
      <c r="D1138" s="24">
        <f t="shared" si="52"/>
        <v>1.7430490857472798E-2</v>
      </c>
      <c r="E1138" s="25">
        <f t="shared" si="53"/>
        <v>8105900</v>
      </c>
      <c r="F1138" s="20">
        <v>1</v>
      </c>
      <c r="G1138" s="20"/>
      <c r="I1138" s="21">
        <f t="shared" si="54"/>
        <v>139.48923107529302</v>
      </c>
    </row>
    <row r="1139" spans="1:9">
      <c r="A1139" s="22">
        <v>43713</v>
      </c>
      <c r="B1139" s="21">
        <v>139.19487000000001</v>
      </c>
      <c r="C1139" s="23">
        <v>26101800</v>
      </c>
      <c r="D1139" s="24">
        <f t="shared" si="52"/>
        <v>-6.8063998560519388E-3</v>
      </c>
      <c r="E1139" s="25">
        <f t="shared" si="53"/>
        <v>-5277300</v>
      </c>
      <c r="F1139" s="20">
        <v>1</v>
      </c>
      <c r="G1139" s="20"/>
      <c r="I1139" s="21">
        <f t="shared" si="54"/>
        <v>139.48978460185663</v>
      </c>
    </row>
    <row r="1140" spans="1:9">
      <c r="A1140" s="22">
        <v>43714</v>
      </c>
      <c r="B1140" s="21">
        <v>138.25067100000001</v>
      </c>
      <c r="C1140" s="23">
        <v>20824500</v>
      </c>
      <c r="D1140" s="24">
        <f t="shared" si="52"/>
        <v>-1.1423666906798429E-2</v>
      </c>
      <c r="E1140" s="25">
        <f t="shared" si="53"/>
        <v>4949400</v>
      </c>
      <c r="F1140" s="20">
        <v>1</v>
      </c>
      <c r="G1140" s="20"/>
      <c r="I1140" s="21">
        <f t="shared" si="54"/>
        <v>139.49033813061675</v>
      </c>
    </row>
    <row r="1141" spans="1:9">
      <c r="A1141" s="22">
        <v>43717</v>
      </c>
      <c r="B1141" s="21">
        <v>136.680328</v>
      </c>
      <c r="C1141" s="23">
        <v>25773900</v>
      </c>
      <c r="D1141" s="24">
        <f t="shared" si="52"/>
        <v>-1.0526452742983378E-2</v>
      </c>
      <c r="E1141" s="25">
        <f t="shared" si="53"/>
        <v>3129500</v>
      </c>
      <c r="F1141" s="20">
        <v>1</v>
      </c>
      <c r="G1141" s="20"/>
      <c r="I1141" s="21">
        <f t="shared" si="54"/>
        <v>139.49089166157341</v>
      </c>
    </row>
    <row r="1142" spans="1:9">
      <c r="A1142" s="22">
        <v>43718</v>
      </c>
      <c r="B1142" s="21">
        <v>135.24911499999999</v>
      </c>
      <c r="C1142" s="23">
        <v>28903400</v>
      </c>
      <c r="D1142" s="24">
        <f t="shared" si="52"/>
        <v>2.9374066174103313E-4</v>
      </c>
      <c r="E1142" s="25">
        <f t="shared" si="53"/>
        <v>-4177300</v>
      </c>
      <c r="F1142" s="20">
        <v>1</v>
      </c>
      <c r="G1142" s="20"/>
      <c r="I1142" s="21">
        <f t="shared" si="54"/>
        <v>139.49144519472662</v>
      </c>
    </row>
    <row r="1143" spans="1:9">
      <c r="A1143" s="22">
        <v>43719</v>
      </c>
      <c r="B1143" s="21">
        <v>135.288849</v>
      </c>
      <c r="C1143" s="23">
        <v>24726100</v>
      </c>
      <c r="D1143" s="24">
        <f t="shared" si="52"/>
        <v>1.023271208124244E-2</v>
      </c>
      <c r="E1143" s="25">
        <f t="shared" si="53"/>
        <v>2283900</v>
      </c>
      <c r="F1143" s="20">
        <v>1</v>
      </c>
      <c r="G1143" s="20"/>
      <c r="I1143" s="21">
        <f t="shared" si="54"/>
        <v>139.49199873007638</v>
      </c>
    </row>
    <row r="1144" spans="1:9">
      <c r="A1144" s="22">
        <v>43720</v>
      </c>
      <c r="B1144" s="21">
        <v>136.680328</v>
      </c>
      <c r="C1144" s="23">
        <v>27010000</v>
      </c>
      <c r="D1144" s="24">
        <f t="shared" si="52"/>
        <v>-1.4554816068024299E-3</v>
      </c>
      <c r="E1144" s="25">
        <f t="shared" si="53"/>
        <v>-3646900</v>
      </c>
      <c r="F1144" s="20">
        <v>1</v>
      </c>
      <c r="G1144" s="20"/>
      <c r="I1144" s="21">
        <f t="shared" si="54"/>
        <v>139.4925522676227</v>
      </c>
    </row>
    <row r="1145" spans="1:9">
      <c r="A1145" s="22">
        <v>43721</v>
      </c>
      <c r="B1145" s="21">
        <v>136.481537</v>
      </c>
      <c r="C1145" s="23">
        <v>23363100</v>
      </c>
      <c r="D1145" s="24">
        <f t="shared" si="52"/>
        <v>-7.2354985997673685E-3</v>
      </c>
      <c r="E1145" s="25">
        <f t="shared" si="53"/>
        <v>-6631700</v>
      </c>
      <c r="F1145" s="20">
        <v>1</v>
      </c>
      <c r="G1145" s="20"/>
      <c r="I1145" s="21">
        <f t="shared" si="54"/>
        <v>139.49310580736559</v>
      </c>
    </row>
    <row r="1146" spans="1:9">
      <c r="A1146" s="22">
        <v>43724</v>
      </c>
      <c r="B1146" s="21">
        <v>135.497589</v>
      </c>
      <c r="C1146" s="23">
        <v>16731400</v>
      </c>
      <c r="D1146" s="24">
        <f t="shared" si="52"/>
        <v>7.745181236528227E-3</v>
      </c>
      <c r="E1146" s="25">
        <f t="shared" si="53"/>
        <v>1082800</v>
      </c>
      <c r="F1146" s="20">
        <v>1</v>
      </c>
      <c r="G1146" s="20"/>
      <c r="I1146" s="21">
        <f t="shared" si="54"/>
        <v>139.49365934930506</v>
      </c>
    </row>
    <row r="1147" spans="1:9">
      <c r="A1147" s="22">
        <v>43725</v>
      </c>
      <c r="B1147" s="21">
        <v>136.551117</v>
      </c>
      <c r="C1147" s="23">
        <v>17814200</v>
      </c>
      <c r="D1147" s="24">
        <f t="shared" si="52"/>
        <v>8.1910689405916021E-3</v>
      </c>
      <c r="E1147" s="25">
        <f t="shared" si="53"/>
        <v>6167900</v>
      </c>
      <c r="F1147" s="20">
        <v>1</v>
      </c>
      <c r="G1147" s="20"/>
      <c r="I1147" s="21">
        <f t="shared" si="54"/>
        <v>139.4942128934411</v>
      </c>
    </row>
    <row r="1148" spans="1:9">
      <c r="A1148" s="22">
        <v>43726</v>
      </c>
      <c r="B1148" s="21">
        <v>137.67420999999999</v>
      </c>
      <c r="C1148" s="23">
        <v>23982100</v>
      </c>
      <c r="D1148" s="24">
        <f t="shared" si="52"/>
        <v>1.824156615929997E-2</v>
      </c>
      <c r="E1148" s="25">
        <f t="shared" si="53"/>
        <v>11790000</v>
      </c>
      <c r="F1148" s="20">
        <v>1</v>
      </c>
      <c r="G1148" s="20"/>
      <c r="I1148" s="21">
        <f t="shared" si="54"/>
        <v>139.49476643977374</v>
      </c>
    </row>
    <row r="1149" spans="1:9">
      <c r="A1149" s="22">
        <v>43727</v>
      </c>
      <c r="B1149" s="21">
        <v>140.20864900000001</v>
      </c>
      <c r="C1149" s="23">
        <v>35772100</v>
      </c>
      <c r="D1149" s="24">
        <f t="shared" si="52"/>
        <v>-1.1621881358398253E-2</v>
      </c>
      <c r="E1149" s="25">
        <f t="shared" si="53"/>
        <v>3395200</v>
      </c>
      <c r="F1149" s="20">
        <v>1</v>
      </c>
      <c r="G1149" s="20"/>
      <c r="I1149" s="21">
        <f t="shared" si="54"/>
        <v>139.49531998830298</v>
      </c>
    </row>
    <row r="1150" spans="1:9">
      <c r="A1150" s="22">
        <v>43728</v>
      </c>
      <c r="B1150" s="21">
        <v>138.588593</v>
      </c>
      <c r="C1150" s="23">
        <v>39167300</v>
      </c>
      <c r="D1150" s="24">
        <f t="shared" si="52"/>
        <v>-2.1538079824681118E-3</v>
      </c>
      <c r="E1150" s="25">
        <f t="shared" si="53"/>
        <v>-22028000</v>
      </c>
      <c r="F1150" s="20">
        <v>1</v>
      </c>
      <c r="G1150" s="20"/>
      <c r="I1150" s="21">
        <f t="shared" si="54"/>
        <v>139.49587353902885</v>
      </c>
    </row>
    <row r="1151" spans="1:9">
      <c r="A1151" s="22">
        <v>43731</v>
      </c>
      <c r="B1151" s="21">
        <v>138.29042100000001</v>
      </c>
      <c r="C1151" s="23">
        <v>17139300</v>
      </c>
      <c r="D1151" s="24">
        <f t="shared" si="52"/>
        <v>-1.2729697718742765E-2</v>
      </c>
      <c r="E1151" s="25">
        <f t="shared" si="53"/>
        <v>12633900</v>
      </c>
      <c r="F1151" s="20">
        <v>1</v>
      </c>
      <c r="G1151" s="20"/>
      <c r="I1151" s="21">
        <f t="shared" si="54"/>
        <v>139.49642709195135</v>
      </c>
    </row>
    <row r="1152" spans="1:9">
      <c r="A1152" s="22">
        <v>43732</v>
      </c>
      <c r="B1152" s="21">
        <v>136.54118299999999</v>
      </c>
      <c r="C1152" s="23">
        <v>29773200</v>
      </c>
      <c r="D1152" s="24">
        <f t="shared" si="52"/>
        <v>1.4309599745173587E-2</v>
      </c>
      <c r="E1152" s="25">
        <f t="shared" si="53"/>
        <v>-8391200</v>
      </c>
      <c r="F1152" s="20">
        <v>1</v>
      </c>
      <c r="G1152" s="20"/>
      <c r="I1152" s="21">
        <f t="shared" si="54"/>
        <v>139.49698064707047</v>
      </c>
    </row>
    <row r="1153" spans="1:9">
      <c r="A1153" s="22">
        <v>43733</v>
      </c>
      <c r="B1153" s="21">
        <v>138.50907900000001</v>
      </c>
      <c r="C1153" s="23">
        <v>21382000</v>
      </c>
      <c r="D1153" s="24">
        <f t="shared" si="52"/>
        <v>1.2907354067850506E-3</v>
      </c>
      <c r="E1153" s="25">
        <f t="shared" si="53"/>
        <v>-3925400</v>
      </c>
      <c r="F1153" s="20">
        <v>1</v>
      </c>
      <c r="G1153" s="20"/>
      <c r="I1153" s="21">
        <f t="shared" si="54"/>
        <v>139.49753420438623</v>
      </c>
    </row>
    <row r="1154" spans="1:9">
      <c r="A1154" s="22">
        <v>43734</v>
      </c>
      <c r="B1154" s="21">
        <v>138.687973</v>
      </c>
      <c r="C1154" s="23">
        <v>17456600</v>
      </c>
      <c r="D1154" s="24">
        <f t="shared" si="52"/>
        <v>-1.3056064767729428E-2</v>
      </c>
      <c r="E1154" s="25">
        <f t="shared" si="53"/>
        <v>5021100</v>
      </c>
      <c r="F1154" s="20">
        <v>1</v>
      </c>
      <c r="G1154" s="20"/>
      <c r="I1154" s="21">
        <f t="shared" si="54"/>
        <v>139.49808776389864</v>
      </c>
    </row>
    <row r="1155" spans="1:9">
      <c r="A1155" s="22">
        <v>43735</v>
      </c>
      <c r="B1155" s="21">
        <v>136.88902300000001</v>
      </c>
      <c r="C1155" s="23">
        <v>22477700</v>
      </c>
      <c r="D1155" s="24">
        <f t="shared" ref="D1155:D1218" si="55">LN(B1156/B1155)</f>
        <v>9.3945320635464534E-3</v>
      </c>
      <c r="E1155" s="25">
        <f t="shared" ref="E1155:E1218" si="56">C1156-C1155</f>
        <v>-5196800</v>
      </c>
      <c r="F1155" s="20">
        <v>1</v>
      </c>
      <c r="G1155" s="20"/>
      <c r="I1155" s="21">
        <f t="shared" si="54"/>
        <v>139.49864132560771</v>
      </c>
    </row>
    <row r="1156" spans="1:9">
      <c r="A1156" s="22">
        <v>43738</v>
      </c>
      <c r="B1156" s="21">
        <v>138.18109100000001</v>
      </c>
      <c r="C1156" s="23">
        <v>17280900</v>
      </c>
      <c r="D1156" s="24">
        <f t="shared" si="55"/>
        <v>-1.4197850863119466E-2</v>
      </c>
      <c r="E1156" s="25">
        <f t="shared" si="56"/>
        <v>4185700</v>
      </c>
      <c r="F1156" s="20">
        <v>1</v>
      </c>
      <c r="G1156" s="20"/>
      <c r="I1156" s="21">
        <f t="shared" si="54"/>
        <v>139.49919488951343</v>
      </c>
    </row>
    <row r="1157" spans="1:9">
      <c r="A1157" s="22">
        <v>43739</v>
      </c>
      <c r="B1157" s="21">
        <v>136.23307800000001</v>
      </c>
      <c r="C1157" s="23">
        <v>21466600</v>
      </c>
      <c r="D1157" s="24">
        <f t="shared" si="55"/>
        <v>-1.7813067227336814E-2</v>
      </c>
      <c r="E1157" s="25">
        <f t="shared" si="56"/>
        <v>9055100</v>
      </c>
      <c r="F1157" s="20">
        <v>1</v>
      </c>
      <c r="G1157" s="20"/>
      <c r="I1157" s="21">
        <f t="shared" si="54"/>
        <v>139.49974845561582</v>
      </c>
    </row>
    <row r="1158" spans="1:9">
      <c r="A1158" s="22">
        <v>43740</v>
      </c>
      <c r="B1158" s="21">
        <v>133.82783499999999</v>
      </c>
      <c r="C1158" s="23">
        <v>30521700</v>
      </c>
      <c r="D1158" s="24">
        <f t="shared" si="55"/>
        <v>1.2032837651085471E-2</v>
      </c>
      <c r="E1158" s="25">
        <f t="shared" si="56"/>
        <v>-6388800</v>
      </c>
      <c r="F1158" s="20">
        <v>1</v>
      </c>
      <c r="G1158" s="20"/>
      <c r="I1158" s="21">
        <f t="shared" si="54"/>
        <v>139.50030202391488</v>
      </c>
    </row>
    <row r="1159" spans="1:9">
      <c r="A1159" s="22">
        <v>43741</v>
      </c>
      <c r="B1159" s="21">
        <v>135.447891</v>
      </c>
      <c r="C1159" s="23">
        <v>24132900</v>
      </c>
      <c r="D1159" s="24">
        <f t="shared" si="55"/>
        <v>1.3411176396033458E-2</v>
      </c>
      <c r="E1159" s="25">
        <f t="shared" si="56"/>
        <v>-1235200</v>
      </c>
      <c r="F1159" s="20">
        <v>1</v>
      </c>
      <c r="G1159" s="20"/>
      <c r="I1159" s="21">
        <f t="shared" si="54"/>
        <v>139.50085559441067</v>
      </c>
    </row>
    <row r="1160" spans="1:9">
      <c r="A1160" s="22">
        <v>43742</v>
      </c>
      <c r="B1160" s="21">
        <v>137.27664200000001</v>
      </c>
      <c r="C1160" s="23">
        <v>22897700</v>
      </c>
      <c r="D1160" s="24">
        <f t="shared" si="55"/>
        <v>-7.2663221379085357E-3</v>
      </c>
      <c r="E1160" s="25">
        <f t="shared" si="56"/>
        <v>-7594000</v>
      </c>
      <c r="F1160" s="20">
        <v>1</v>
      </c>
      <c r="G1160" s="20"/>
      <c r="I1160" s="21">
        <f t="shared" si="54"/>
        <v>139.50140916710313</v>
      </c>
    </row>
    <row r="1161" spans="1:9">
      <c r="A1161" s="22">
        <v>43745</v>
      </c>
      <c r="B1161" s="21">
        <v>136.28276099999999</v>
      </c>
      <c r="C1161" s="23">
        <v>15303700</v>
      </c>
      <c r="D1161" s="24">
        <f t="shared" si="55"/>
        <v>-1.0630992310719137E-2</v>
      </c>
      <c r="E1161" s="25">
        <f t="shared" si="56"/>
        <v>10246800</v>
      </c>
      <c r="F1161" s="20">
        <v>1</v>
      </c>
      <c r="G1161" s="20"/>
      <c r="I1161" s="21">
        <f t="shared" si="54"/>
        <v>139.50196274199232</v>
      </c>
    </row>
    <row r="1162" spans="1:9">
      <c r="A1162" s="22">
        <v>43746</v>
      </c>
      <c r="B1162" s="21">
        <v>134.84161399999999</v>
      </c>
      <c r="C1162" s="23">
        <v>25550500</v>
      </c>
      <c r="D1162" s="24">
        <f t="shared" si="55"/>
        <v>1.8765824988080101E-2</v>
      </c>
      <c r="E1162" s="25">
        <f t="shared" si="56"/>
        <v>-5800600</v>
      </c>
      <c r="F1162" s="20">
        <v>1</v>
      </c>
      <c r="G1162" s="20"/>
      <c r="I1162" s="21">
        <f t="shared" si="54"/>
        <v>139.50251631907821</v>
      </c>
    </row>
    <row r="1163" spans="1:9">
      <c r="A1163" s="22">
        <v>43747</v>
      </c>
      <c r="B1163" s="21">
        <v>137.39591999999999</v>
      </c>
      <c r="C1163" s="23">
        <v>19749900</v>
      </c>
      <c r="D1163" s="24">
        <f t="shared" si="55"/>
        <v>6.2018088926669339E-3</v>
      </c>
      <c r="E1163" s="25">
        <f t="shared" si="56"/>
        <v>-2095300</v>
      </c>
      <c r="F1163" s="20">
        <v>1</v>
      </c>
      <c r="G1163" s="20"/>
      <c r="I1163" s="21">
        <f t="shared" si="54"/>
        <v>139.50306989836082</v>
      </c>
    </row>
    <row r="1164" spans="1:9">
      <c r="A1164" s="22">
        <v>43748</v>
      </c>
      <c r="B1164" s="21">
        <v>138.25067100000001</v>
      </c>
      <c r="C1164" s="23">
        <v>17654600</v>
      </c>
      <c r="D1164" s="24">
        <f t="shared" si="55"/>
        <v>4.160909712447698E-3</v>
      </c>
      <c r="E1164" s="25">
        <f t="shared" si="56"/>
        <v>7791400</v>
      </c>
      <c r="F1164" s="20">
        <v>1</v>
      </c>
      <c r="G1164" s="20"/>
      <c r="I1164" s="21">
        <f t="shared" si="54"/>
        <v>139.50362347984017</v>
      </c>
    </row>
    <row r="1165" spans="1:9">
      <c r="A1165" s="22">
        <v>43749</v>
      </c>
      <c r="B1165" s="21">
        <v>138.82711800000001</v>
      </c>
      <c r="C1165" s="23">
        <v>25446000</v>
      </c>
      <c r="D1165" s="24">
        <f t="shared" si="55"/>
        <v>-9.3105839626591734E-4</v>
      </c>
      <c r="E1165" s="25">
        <f t="shared" si="56"/>
        <v>-12141700</v>
      </c>
      <c r="F1165" s="20">
        <v>1</v>
      </c>
      <c r="G1165" s="20"/>
      <c r="I1165" s="21">
        <f t="shared" si="54"/>
        <v>139.50417706351627</v>
      </c>
    </row>
    <row r="1166" spans="1:9">
      <c r="A1166" s="22">
        <v>43752</v>
      </c>
      <c r="B1166" s="21">
        <v>138.69792200000001</v>
      </c>
      <c r="C1166" s="23">
        <v>13304300</v>
      </c>
      <c r="D1166" s="24">
        <f t="shared" si="55"/>
        <v>1.4371397769148182E-2</v>
      </c>
      <c r="E1166" s="25">
        <f t="shared" si="56"/>
        <v>6391400</v>
      </c>
      <c r="F1166" s="20">
        <v>1</v>
      </c>
      <c r="G1166" s="20"/>
      <c r="I1166" s="21">
        <f t="shared" si="54"/>
        <v>139.50473064938913</v>
      </c>
    </row>
    <row r="1167" spans="1:9">
      <c r="A1167" s="22">
        <v>43753</v>
      </c>
      <c r="B1167" s="21">
        <v>140.70559700000001</v>
      </c>
      <c r="C1167" s="23">
        <v>19695700</v>
      </c>
      <c r="D1167" s="24">
        <f t="shared" si="55"/>
        <v>-8.2276287783917112E-3</v>
      </c>
      <c r="E1167" s="25">
        <f t="shared" si="56"/>
        <v>1055900</v>
      </c>
      <c r="F1167" s="20">
        <v>1</v>
      </c>
      <c r="G1167" s="20"/>
      <c r="I1167" s="21">
        <f t="shared" si="54"/>
        <v>139.50528423745874</v>
      </c>
    </row>
    <row r="1168" spans="1:9">
      <c r="A1168" s="22">
        <v>43754</v>
      </c>
      <c r="B1168" s="21">
        <v>139.552673</v>
      </c>
      <c r="C1168" s="23">
        <v>20751600</v>
      </c>
      <c r="D1168" s="24">
        <f t="shared" si="55"/>
        <v>-5.1410484893887323E-3</v>
      </c>
      <c r="E1168" s="25">
        <f t="shared" si="56"/>
        <v>709000</v>
      </c>
      <c r="F1168" s="20">
        <v>1</v>
      </c>
      <c r="G1168" s="20"/>
      <c r="I1168" s="21">
        <f t="shared" si="54"/>
        <v>139.50583782772512</v>
      </c>
    </row>
    <row r="1169" spans="1:9">
      <c r="A1169" s="22">
        <v>43755</v>
      </c>
      <c r="B1169" s="21">
        <v>138.83706699999999</v>
      </c>
      <c r="C1169" s="23">
        <v>21460600</v>
      </c>
      <c r="D1169" s="24">
        <f t="shared" si="55"/>
        <v>-1.645655697377179E-2</v>
      </c>
      <c r="E1169" s="25">
        <f t="shared" si="56"/>
        <v>10812900</v>
      </c>
      <c r="F1169" s="20">
        <v>1</v>
      </c>
      <c r="G1169" s="20"/>
      <c r="I1169" s="21">
        <f t="shared" si="54"/>
        <v>139.50639142018827</v>
      </c>
    </row>
    <row r="1170" spans="1:9">
      <c r="A1170" s="22">
        <v>43756</v>
      </c>
      <c r="B1170" s="21">
        <v>136.57098400000001</v>
      </c>
      <c r="C1170" s="23">
        <v>32273500</v>
      </c>
      <c r="D1170" s="24">
        <f t="shared" si="55"/>
        <v>7.3955603035338159E-3</v>
      </c>
      <c r="E1170" s="25">
        <f t="shared" si="56"/>
        <v>-12195300</v>
      </c>
      <c r="F1170" s="20">
        <v>1</v>
      </c>
      <c r="G1170" s="20"/>
      <c r="I1170" s="21">
        <f t="shared" si="54"/>
        <v>139.50694501484821</v>
      </c>
    </row>
    <row r="1171" spans="1:9">
      <c r="A1171" s="22">
        <v>43759</v>
      </c>
      <c r="B1171" s="21">
        <v>137.58474699999999</v>
      </c>
      <c r="C1171" s="23">
        <v>20078200</v>
      </c>
      <c r="D1171" s="24">
        <f t="shared" si="55"/>
        <v>-1.4992909507781323E-2</v>
      </c>
      <c r="E1171" s="25">
        <f t="shared" si="56"/>
        <v>7352800</v>
      </c>
      <c r="F1171" s="20">
        <v>1</v>
      </c>
      <c r="G1171" s="20"/>
      <c r="I1171" s="21">
        <f t="shared" si="54"/>
        <v>139.50749861170496</v>
      </c>
    </row>
    <row r="1172" spans="1:9">
      <c r="A1172" s="22">
        <v>43760</v>
      </c>
      <c r="B1172" s="21">
        <v>135.53733800000001</v>
      </c>
      <c r="C1172" s="23">
        <v>27431000</v>
      </c>
      <c r="D1172" s="24">
        <f t="shared" si="55"/>
        <v>6.3595344215664953E-3</v>
      </c>
      <c r="E1172" s="25">
        <f t="shared" si="56"/>
        <v>2413600</v>
      </c>
      <c r="F1172" s="20">
        <v>1</v>
      </c>
      <c r="G1172" s="20"/>
      <c r="I1172" s="21">
        <f t="shared" si="54"/>
        <v>139.50805221075851</v>
      </c>
    </row>
    <row r="1173" spans="1:9">
      <c r="A1173" s="22">
        <v>43761</v>
      </c>
      <c r="B1173" s="21">
        <v>136.402039</v>
      </c>
      <c r="C1173" s="23">
        <v>29844600</v>
      </c>
      <c r="D1173" s="24">
        <f t="shared" si="55"/>
        <v>1.9482560595001766E-2</v>
      </c>
      <c r="E1173" s="25">
        <f t="shared" si="56"/>
        <v>7184700</v>
      </c>
      <c r="F1173" s="20">
        <v>1</v>
      </c>
      <c r="G1173" s="20"/>
      <c r="I1173" s="21">
        <f t="shared" si="54"/>
        <v>139.50860581200888</v>
      </c>
    </row>
    <row r="1174" spans="1:9">
      <c r="A1174" s="22">
        <v>43762</v>
      </c>
      <c r="B1174" s="21">
        <v>139.085556</v>
      </c>
      <c r="C1174" s="23">
        <v>37029300</v>
      </c>
      <c r="D1174" s="24">
        <f t="shared" si="55"/>
        <v>5.6292556463950795E-3</v>
      </c>
      <c r="E1174" s="25">
        <f t="shared" si="56"/>
        <v>-11069600</v>
      </c>
      <c r="F1174" s="20">
        <v>1</v>
      </c>
      <c r="G1174" s="20"/>
      <c r="I1174" s="21">
        <f t="shared" si="54"/>
        <v>139.50915941545605</v>
      </c>
    </row>
    <row r="1175" spans="1:9">
      <c r="A1175" s="22">
        <v>43763</v>
      </c>
      <c r="B1175" s="21">
        <v>139.870712</v>
      </c>
      <c r="C1175" s="23">
        <v>25959700</v>
      </c>
      <c r="D1175" s="24">
        <f t="shared" si="55"/>
        <v>2.4288821672556096E-2</v>
      </c>
      <c r="E1175" s="25">
        <f t="shared" si="56"/>
        <v>9320400</v>
      </c>
      <c r="F1175" s="20">
        <v>1</v>
      </c>
      <c r="G1175" s="20"/>
      <c r="I1175" s="21">
        <f t="shared" si="54"/>
        <v>139.50971302110005</v>
      </c>
    </row>
    <row r="1176" spans="1:9">
      <c r="A1176" s="22">
        <v>43766</v>
      </c>
      <c r="B1176" s="21">
        <v>143.30960099999999</v>
      </c>
      <c r="C1176" s="23">
        <v>35280100</v>
      </c>
      <c r="D1176" s="24">
        <f t="shared" si="55"/>
        <v>-9.4767900781229687E-3</v>
      </c>
      <c r="E1176" s="25">
        <f t="shared" si="56"/>
        <v>-14690600</v>
      </c>
      <c r="F1176" s="20">
        <v>1</v>
      </c>
      <c r="G1176" s="20"/>
      <c r="I1176" s="21">
        <f t="shared" si="54"/>
        <v>139.51026662894091</v>
      </c>
    </row>
    <row r="1177" spans="1:9">
      <c r="A1177" s="22">
        <v>43767</v>
      </c>
      <c r="B1177" s="21">
        <v>141.95790099999999</v>
      </c>
      <c r="C1177" s="23">
        <v>20589500</v>
      </c>
      <c r="D1177" s="24">
        <f t="shared" si="55"/>
        <v>1.2385375537108192E-2</v>
      </c>
      <c r="E1177" s="25">
        <f t="shared" si="56"/>
        <v>-2092900</v>
      </c>
      <c r="F1177" s="20">
        <v>1</v>
      </c>
      <c r="G1177" s="20"/>
      <c r="I1177" s="21">
        <f t="shared" si="54"/>
        <v>139.51082023897862</v>
      </c>
    </row>
    <row r="1178" spans="1:9">
      <c r="A1178" s="22">
        <v>43768</v>
      </c>
      <c r="B1178" s="21">
        <v>143.727036</v>
      </c>
      <c r="C1178" s="23">
        <v>18496600</v>
      </c>
      <c r="D1178" s="24">
        <f t="shared" si="55"/>
        <v>-8.6119323998556981E-3</v>
      </c>
      <c r="E1178" s="25">
        <f t="shared" si="56"/>
        <v>6108500</v>
      </c>
      <c r="F1178" s="20">
        <v>1</v>
      </c>
      <c r="G1178" s="20"/>
      <c r="I1178" s="21">
        <f t="shared" si="54"/>
        <v>139.51137385121319</v>
      </c>
    </row>
    <row r="1179" spans="1:9">
      <c r="A1179" s="22">
        <v>43769</v>
      </c>
      <c r="B1179" s="21">
        <v>142.49458300000001</v>
      </c>
      <c r="C1179" s="23">
        <v>24605100</v>
      </c>
      <c r="D1179" s="24">
        <f t="shared" si="55"/>
        <v>2.438415699286595E-3</v>
      </c>
      <c r="E1179" s="25">
        <f t="shared" si="56"/>
        <v>8523300</v>
      </c>
      <c r="F1179" s="20">
        <v>1</v>
      </c>
      <c r="G1179" s="20"/>
      <c r="I1179" s="21">
        <f t="shared" si="54"/>
        <v>139.51192746564462</v>
      </c>
    </row>
    <row r="1180" spans="1:9">
      <c r="A1180" s="22">
        <v>43770</v>
      </c>
      <c r="B1180" s="21">
        <v>142.842468</v>
      </c>
      <c r="C1180" s="23">
        <v>33128400</v>
      </c>
      <c r="D1180" s="24">
        <f t="shared" si="55"/>
        <v>5.7585330226960357E-3</v>
      </c>
      <c r="E1180" s="25">
        <f t="shared" si="56"/>
        <v>-16216400</v>
      </c>
      <c r="F1180" s="20">
        <v>1</v>
      </c>
      <c r="G1180" s="20"/>
      <c r="I1180" s="21">
        <f t="shared" si="54"/>
        <v>139.51248108227293</v>
      </c>
    </row>
    <row r="1181" spans="1:9">
      <c r="A1181" s="22">
        <v>43773</v>
      </c>
      <c r="B1181" s="21">
        <v>143.667404</v>
      </c>
      <c r="C1181" s="23">
        <v>16912000</v>
      </c>
      <c r="D1181" s="24">
        <f t="shared" si="55"/>
        <v>-6.2279162719817277E-4</v>
      </c>
      <c r="E1181" s="25">
        <f t="shared" si="56"/>
        <v>1338200</v>
      </c>
      <c r="F1181" s="20">
        <v>1</v>
      </c>
      <c r="G1181" s="20"/>
      <c r="I1181" s="21">
        <f t="shared" si="54"/>
        <v>139.51303470109812</v>
      </c>
    </row>
    <row r="1182" spans="1:9">
      <c r="A1182" s="22">
        <v>43774</v>
      </c>
      <c r="B1182" s="21">
        <v>143.577957</v>
      </c>
      <c r="C1182" s="23">
        <v>18250200</v>
      </c>
      <c r="D1182" s="24">
        <f t="shared" si="55"/>
        <v>-2.772949984561103E-3</v>
      </c>
      <c r="E1182" s="25">
        <f t="shared" si="56"/>
        <v>-1674400</v>
      </c>
      <c r="F1182" s="20">
        <v>1</v>
      </c>
      <c r="G1182" s="20"/>
      <c r="I1182" s="21">
        <f t="shared" si="54"/>
        <v>139.5135883221202</v>
      </c>
    </row>
    <row r="1183" spans="1:9">
      <c r="A1183" s="22">
        <v>43775</v>
      </c>
      <c r="B1183" s="21">
        <v>143.180374</v>
      </c>
      <c r="C1183" s="23">
        <v>16575800</v>
      </c>
      <c r="D1183" s="24">
        <f t="shared" si="55"/>
        <v>1.3873280434516886E-3</v>
      </c>
      <c r="E1183" s="25">
        <f t="shared" si="56"/>
        <v>1210900</v>
      </c>
      <c r="F1183" s="20">
        <v>1</v>
      </c>
      <c r="G1183" s="20"/>
      <c r="I1183" s="21">
        <f t="shared" si="54"/>
        <v>139.51414194533916</v>
      </c>
    </row>
    <row r="1184" spans="1:9">
      <c r="A1184" s="22">
        <v>43776</v>
      </c>
      <c r="B1184" s="21">
        <v>143.37915000000001</v>
      </c>
      <c r="C1184" s="23">
        <v>17786700</v>
      </c>
      <c r="D1184" s="24">
        <f t="shared" si="55"/>
        <v>1.1715502930448258E-2</v>
      </c>
      <c r="E1184" s="25">
        <f t="shared" si="56"/>
        <v>-1054000</v>
      </c>
      <c r="F1184" s="20">
        <v>1</v>
      </c>
      <c r="G1184" s="20"/>
      <c r="I1184" s="21">
        <f t="shared" si="54"/>
        <v>139.51469557075504</v>
      </c>
    </row>
    <row r="1185" spans="1:9">
      <c r="A1185" s="22">
        <v>43777</v>
      </c>
      <c r="B1185" s="21">
        <v>145.06878699999999</v>
      </c>
      <c r="C1185" s="23">
        <v>16732700</v>
      </c>
      <c r="D1185" s="24">
        <f t="shared" si="55"/>
        <v>1.0271089771352639E-3</v>
      </c>
      <c r="E1185" s="25">
        <f t="shared" si="56"/>
        <v>-2370100</v>
      </c>
      <c r="F1185" s="20">
        <v>1</v>
      </c>
      <c r="G1185" s="20"/>
      <c r="I1185" s="21">
        <f t="shared" si="54"/>
        <v>139.51524919836783</v>
      </c>
    </row>
    <row r="1186" spans="1:9">
      <c r="A1186" s="22">
        <v>43780</v>
      </c>
      <c r="B1186" s="21">
        <v>145.21786499999999</v>
      </c>
      <c r="C1186" s="23">
        <v>14362600</v>
      </c>
      <c r="D1186" s="24">
        <f t="shared" si="55"/>
        <v>6.548960588560848E-3</v>
      </c>
      <c r="E1186" s="25">
        <f t="shared" si="56"/>
        <v>4279000</v>
      </c>
      <c r="F1186" s="20">
        <v>1</v>
      </c>
      <c r="G1186" s="20"/>
      <c r="I1186" s="21">
        <f t="shared" ref="I1186:I1249" si="57">I1185*EXP($L$31*$L$33+$L$32*H1186*SQRT($L$33))</f>
        <v>139.51580282817756</v>
      </c>
    </row>
    <row r="1187" spans="1:9">
      <c r="A1187" s="22">
        <v>43781</v>
      </c>
      <c r="B1187" s="21">
        <v>146.172012</v>
      </c>
      <c r="C1187" s="23">
        <v>18641600</v>
      </c>
      <c r="D1187" s="24">
        <f t="shared" si="55"/>
        <v>1.630487210144381E-3</v>
      </c>
      <c r="E1187" s="25">
        <f t="shared" si="56"/>
        <v>-1722400</v>
      </c>
      <c r="F1187" s="20">
        <v>1</v>
      </c>
      <c r="G1187" s="20"/>
      <c r="I1187" s="21">
        <f t="shared" si="57"/>
        <v>139.51635646018423</v>
      </c>
    </row>
    <row r="1188" spans="1:9">
      <c r="A1188" s="22">
        <v>43782</v>
      </c>
      <c r="B1188" s="21">
        <v>146.410538</v>
      </c>
      <c r="C1188" s="23">
        <v>16919200</v>
      </c>
      <c r="D1188" s="24">
        <f t="shared" si="55"/>
        <v>5.0783969364418188E-3</v>
      </c>
      <c r="E1188" s="25">
        <f t="shared" si="56"/>
        <v>2810600</v>
      </c>
      <c r="F1188" s="20">
        <v>1</v>
      </c>
      <c r="G1188" s="20"/>
      <c r="I1188" s="21">
        <f t="shared" si="57"/>
        <v>139.51691009438784</v>
      </c>
    </row>
    <row r="1189" spans="1:9">
      <c r="A1189" s="22">
        <v>43783</v>
      </c>
      <c r="B1189" s="21">
        <v>147.15595999999999</v>
      </c>
      <c r="C1189" s="23">
        <v>19729800</v>
      </c>
      <c r="D1189" s="24">
        <f t="shared" si="55"/>
        <v>1.2817732593662708E-2</v>
      </c>
      <c r="E1189" s="25">
        <f t="shared" si="56"/>
        <v>3755900</v>
      </c>
      <c r="F1189" s="20">
        <v>1</v>
      </c>
      <c r="G1189" s="20"/>
      <c r="I1189" s="21">
        <f t="shared" si="57"/>
        <v>139.51746373078839</v>
      </c>
    </row>
    <row r="1190" spans="1:9">
      <c r="A1190" s="22">
        <v>43784</v>
      </c>
      <c r="B1190" s="21">
        <v>149.054306</v>
      </c>
      <c r="C1190" s="23">
        <v>23485700</v>
      </c>
      <c r="D1190" s="24">
        <f t="shared" si="55"/>
        <v>2.4640959814730651E-3</v>
      </c>
      <c r="E1190" s="25">
        <f t="shared" si="56"/>
        <v>-1951700</v>
      </c>
      <c r="F1190" s="20">
        <v>1</v>
      </c>
      <c r="G1190" s="20"/>
      <c r="I1190" s="21">
        <f t="shared" si="57"/>
        <v>139.51801736938592</v>
      </c>
    </row>
    <row r="1191" spans="1:9">
      <c r="A1191" s="22">
        <v>43787</v>
      </c>
      <c r="B1191" s="21">
        <v>149.422043</v>
      </c>
      <c r="C1191" s="23">
        <v>21534000</v>
      </c>
      <c r="D1191" s="24">
        <f t="shared" si="55"/>
        <v>3.3243918593543536E-4</v>
      </c>
      <c r="E1191" s="25">
        <f t="shared" si="56"/>
        <v>2401700</v>
      </c>
      <c r="F1191" s="20">
        <v>1</v>
      </c>
      <c r="G1191" s="20"/>
      <c r="I1191" s="21">
        <f t="shared" si="57"/>
        <v>139.51857101018041</v>
      </c>
    </row>
    <row r="1192" spans="1:9">
      <c r="A1192" s="22">
        <v>43788</v>
      </c>
      <c r="B1192" s="21">
        <v>149.47172499999999</v>
      </c>
      <c r="C1192" s="23">
        <v>23935700</v>
      </c>
      <c r="D1192" s="24">
        <f t="shared" si="55"/>
        <v>-1.736229111529297E-3</v>
      </c>
      <c r="E1192" s="25">
        <f t="shared" si="56"/>
        <v>1761100</v>
      </c>
      <c r="F1192" s="20">
        <v>1</v>
      </c>
      <c r="G1192" s="20"/>
      <c r="I1192" s="21">
        <f t="shared" si="57"/>
        <v>139.51912465317187</v>
      </c>
    </row>
    <row r="1193" spans="1:9">
      <c r="A1193" s="22">
        <v>43789</v>
      </c>
      <c r="B1193" s="21">
        <v>149.212433</v>
      </c>
      <c r="C1193" s="23">
        <v>25696800</v>
      </c>
      <c r="D1193" s="24">
        <f t="shared" si="55"/>
        <v>-9.361375470787165E-4</v>
      </c>
      <c r="E1193" s="25">
        <f t="shared" si="56"/>
        <v>-7120700</v>
      </c>
      <c r="F1193" s="20">
        <v>1</v>
      </c>
      <c r="G1193" s="20"/>
      <c r="I1193" s="21">
        <f t="shared" si="57"/>
        <v>139.51967829836033</v>
      </c>
    </row>
    <row r="1194" spans="1:9">
      <c r="A1194" s="22">
        <v>43790</v>
      </c>
      <c r="B1194" s="21">
        <v>149.07281499999999</v>
      </c>
      <c r="C1194" s="23">
        <v>18576100</v>
      </c>
      <c r="D1194" s="24">
        <f t="shared" si="55"/>
        <v>7.3568509841542807E-4</v>
      </c>
      <c r="E1194" s="25">
        <f t="shared" si="56"/>
        <v>-2674300</v>
      </c>
      <c r="F1194" s="20">
        <v>1</v>
      </c>
      <c r="G1194" s="20"/>
      <c r="I1194" s="21">
        <f t="shared" si="57"/>
        <v>139.52023194574579</v>
      </c>
    </row>
    <row r="1195" spans="1:9">
      <c r="A1195" s="22">
        <v>43791</v>
      </c>
      <c r="B1195" s="21">
        <v>149.182526</v>
      </c>
      <c r="C1195" s="23">
        <v>15901800</v>
      </c>
      <c r="D1195" s="24">
        <f t="shared" si="55"/>
        <v>1.0903606944871795E-2</v>
      </c>
      <c r="E1195" s="25">
        <f t="shared" si="56"/>
        <v>6519100</v>
      </c>
      <c r="F1195" s="20">
        <v>1</v>
      </c>
      <c r="G1195" s="20"/>
      <c r="I1195" s="21">
        <f t="shared" si="57"/>
        <v>139.52078559532825</v>
      </c>
    </row>
    <row r="1196" spans="1:9">
      <c r="A1196" s="22">
        <v>43794</v>
      </c>
      <c r="B1196" s="21">
        <v>150.81805399999999</v>
      </c>
      <c r="C1196" s="23">
        <v>22420900</v>
      </c>
      <c r="D1196" s="24">
        <f t="shared" si="55"/>
        <v>5.2760141915134283E-3</v>
      </c>
      <c r="E1196" s="25">
        <f t="shared" si="56"/>
        <v>2199200</v>
      </c>
      <c r="F1196" s="20">
        <v>1</v>
      </c>
      <c r="G1196" s="20"/>
      <c r="I1196" s="21">
        <f t="shared" si="57"/>
        <v>139.52133924710773</v>
      </c>
    </row>
    <row r="1197" spans="1:9">
      <c r="A1197" s="22">
        <v>43795</v>
      </c>
      <c r="B1197" s="21">
        <v>151.61587499999999</v>
      </c>
      <c r="C1197" s="23">
        <v>24620100</v>
      </c>
      <c r="D1197" s="24">
        <f t="shared" si="55"/>
        <v>1.905733843007715E-3</v>
      </c>
      <c r="E1197" s="25">
        <f t="shared" si="56"/>
        <v>-9435700</v>
      </c>
      <c r="F1197" s="20">
        <v>1</v>
      </c>
      <c r="G1197" s="20"/>
      <c r="I1197" s="21">
        <f t="shared" si="57"/>
        <v>139.52189290108421</v>
      </c>
    </row>
    <row r="1198" spans="1:9">
      <c r="A1198" s="22">
        <v>43796</v>
      </c>
      <c r="B1198" s="21">
        <v>151.90509</v>
      </c>
      <c r="C1198" s="23">
        <v>15184400</v>
      </c>
      <c r="D1198" s="24">
        <f t="shared" si="55"/>
        <v>-6.1903358518056034E-3</v>
      </c>
      <c r="E1198" s="25">
        <f t="shared" si="56"/>
        <v>-3207100</v>
      </c>
      <c r="F1198" s="20">
        <v>1</v>
      </c>
      <c r="G1198" s="20"/>
      <c r="I1198" s="21">
        <f t="shared" si="57"/>
        <v>139.52244655725775</v>
      </c>
    </row>
    <row r="1199" spans="1:9">
      <c r="A1199" s="22">
        <v>43798</v>
      </c>
      <c r="B1199" s="21">
        <v>150.96765099999999</v>
      </c>
      <c r="C1199" s="23">
        <v>11977300</v>
      </c>
      <c r="D1199" s="24">
        <f t="shared" si="55"/>
        <v>-1.2162425333414374E-2</v>
      </c>
      <c r="E1199" s="25">
        <f t="shared" si="56"/>
        <v>15441100</v>
      </c>
      <c r="F1199" s="20">
        <v>1</v>
      </c>
      <c r="G1199" s="20"/>
      <c r="I1199" s="21">
        <f t="shared" si="57"/>
        <v>139.52300021562831</v>
      </c>
    </row>
    <row r="1200" spans="1:9">
      <c r="A1200" s="22">
        <v>43801</v>
      </c>
      <c r="B1200" s="21">
        <v>149.142639</v>
      </c>
      <c r="C1200" s="23">
        <v>27418400</v>
      </c>
      <c r="D1200" s="24">
        <f t="shared" si="55"/>
        <v>-1.6061219306411558E-3</v>
      </c>
      <c r="E1200" s="25">
        <f t="shared" si="56"/>
        <v>-3352400</v>
      </c>
      <c r="F1200" s="20">
        <v>1</v>
      </c>
      <c r="G1200" s="20"/>
      <c r="I1200" s="21">
        <f t="shared" si="57"/>
        <v>139.52355387619593</v>
      </c>
    </row>
    <row r="1201" spans="1:9">
      <c r="A1201" s="22">
        <v>43802</v>
      </c>
      <c r="B1201" s="21">
        <v>148.90329</v>
      </c>
      <c r="C1201" s="23">
        <v>24066000</v>
      </c>
      <c r="D1201" s="24">
        <f t="shared" si="55"/>
        <v>3.6101050122116563E-3</v>
      </c>
      <c r="E1201" s="25">
        <f t="shared" si="56"/>
        <v>-6491300</v>
      </c>
      <c r="F1201" s="20">
        <v>1</v>
      </c>
      <c r="G1201" s="20"/>
      <c r="I1201" s="21">
        <f t="shared" si="57"/>
        <v>139.52410753896061</v>
      </c>
    </row>
    <row r="1202" spans="1:9">
      <c r="A1202" s="22">
        <v>43803</v>
      </c>
      <c r="B1202" s="21">
        <v>149.44181800000001</v>
      </c>
      <c r="C1202" s="23">
        <v>17574700</v>
      </c>
      <c r="D1202" s="24">
        <f t="shared" si="55"/>
        <v>5.3366398356303633E-4</v>
      </c>
      <c r="E1202" s="25">
        <f t="shared" si="56"/>
        <v>294400</v>
      </c>
      <c r="F1202" s="20">
        <v>1</v>
      </c>
      <c r="G1202" s="20"/>
      <c r="I1202" s="21">
        <f t="shared" si="57"/>
        <v>139.52466120392234</v>
      </c>
    </row>
    <row r="1203" spans="1:9">
      <c r="A1203" s="22">
        <v>43804</v>
      </c>
      <c r="B1203" s="21">
        <v>149.521591</v>
      </c>
      <c r="C1203" s="23">
        <v>17869100</v>
      </c>
      <c r="D1203" s="24">
        <f t="shared" si="55"/>
        <v>1.2065948939348536E-2</v>
      </c>
      <c r="E1203" s="25">
        <f t="shared" si="56"/>
        <v>-1465600</v>
      </c>
      <c r="F1203" s="20">
        <v>1</v>
      </c>
      <c r="G1203" s="20"/>
      <c r="I1203" s="21">
        <f t="shared" si="57"/>
        <v>139.52521487108115</v>
      </c>
    </row>
    <row r="1204" spans="1:9">
      <c r="A1204" s="22">
        <v>43805</v>
      </c>
      <c r="B1204" s="21">
        <v>151.33663899999999</v>
      </c>
      <c r="C1204" s="23">
        <v>16403500</v>
      </c>
      <c r="D1204" s="24">
        <f t="shared" si="55"/>
        <v>-2.5732805451397288E-3</v>
      </c>
      <c r="E1204" s="25">
        <f t="shared" si="56"/>
        <v>283900</v>
      </c>
      <c r="F1204" s="20">
        <v>1</v>
      </c>
      <c r="G1204" s="20"/>
      <c r="I1204" s="21">
        <f t="shared" si="57"/>
        <v>139.52576854043704</v>
      </c>
    </row>
    <row r="1205" spans="1:9">
      <c r="A1205" s="22">
        <v>43808</v>
      </c>
      <c r="B1205" s="21">
        <v>150.94770800000001</v>
      </c>
      <c r="C1205" s="23">
        <v>16687400</v>
      </c>
      <c r="D1205" s="24">
        <f t="shared" si="55"/>
        <v>-1.5206885046745193E-3</v>
      </c>
      <c r="E1205" s="25">
        <f t="shared" si="56"/>
        <v>-211300</v>
      </c>
      <c r="F1205" s="20">
        <v>1</v>
      </c>
      <c r="G1205" s="20"/>
      <c r="I1205" s="21">
        <f t="shared" si="57"/>
        <v>139.52632221199002</v>
      </c>
    </row>
    <row r="1206" spans="1:9">
      <c r="A1206" s="22">
        <v>43809</v>
      </c>
      <c r="B1206" s="21">
        <v>150.71833799999999</v>
      </c>
      <c r="C1206" s="23">
        <v>16476100</v>
      </c>
      <c r="D1206" s="24">
        <f t="shared" si="55"/>
        <v>3.7644175458049255E-3</v>
      </c>
      <c r="E1206" s="25">
        <f t="shared" si="56"/>
        <v>2380500</v>
      </c>
      <c r="F1206" s="20">
        <v>1</v>
      </c>
      <c r="G1206" s="20"/>
      <c r="I1206" s="21">
        <f t="shared" si="57"/>
        <v>139.52687588574011</v>
      </c>
    </row>
    <row r="1207" spans="1:9">
      <c r="A1207" s="22">
        <v>43810</v>
      </c>
      <c r="B1207" s="21">
        <v>151.28677400000001</v>
      </c>
      <c r="C1207" s="23">
        <v>18856600</v>
      </c>
      <c r="D1207" s="24">
        <f t="shared" si="55"/>
        <v>1.0100478702117228E-2</v>
      </c>
      <c r="E1207" s="25">
        <f t="shared" si="56"/>
        <v>5755500</v>
      </c>
      <c r="F1207" s="20">
        <v>1</v>
      </c>
      <c r="G1207" s="20"/>
      <c r="I1207" s="21">
        <f t="shared" si="57"/>
        <v>139.52742956168731</v>
      </c>
    </row>
    <row r="1208" spans="1:9">
      <c r="A1208" s="22">
        <v>43811</v>
      </c>
      <c r="B1208" s="21">
        <v>152.822586</v>
      </c>
      <c r="C1208" s="23">
        <v>24612100</v>
      </c>
      <c r="D1208" s="24">
        <f t="shared" si="55"/>
        <v>8.3829185333905345E-3</v>
      </c>
      <c r="E1208" s="25">
        <f t="shared" si="56"/>
        <v>-766700</v>
      </c>
      <c r="F1208" s="20">
        <v>1</v>
      </c>
      <c r="G1208" s="20"/>
      <c r="I1208" s="21">
        <f t="shared" si="57"/>
        <v>139.52798323983163</v>
      </c>
    </row>
    <row r="1209" spans="1:9">
      <c r="A1209" s="22">
        <v>43812</v>
      </c>
      <c r="B1209" s="21">
        <v>154.10907</v>
      </c>
      <c r="C1209" s="23">
        <v>23845400</v>
      </c>
      <c r="D1209" s="24">
        <f t="shared" si="55"/>
        <v>6.450341275007012E-3</v>
      </c>
      <c r="E1209" s="25">
        <f t="shared" si="56"/>
        <v>298800</v>
      </c>
      <c r="F1209" s="20">
        <v>1</v>
      </c>
      <c r="G1209" s="20"/>
      <c r="I1209" s="21">
        <f t="shared" si="57"/>
        <v>139.52853692017308</v>
      </c>
    </row>
    <row r="1210" spans="1:9">
      <c r="A1210" s="22">
        <v>43815</v>
      </c>
      <c r="B1210" s="21">
        <v>155.10633899999999</v>
      </c>
      <c r="C1210" s="23">
        <v>24144200</v>
      </c>
      <c r="D1210" s="24">
        <f t="shared" si="55"/>
        <v>-5.415499821023578E-3</v>
      </c>
      <c r="E1210" s="25">
        <f t="shared" si="56"/>
        <v>1281400</v>
      </c>
      <c r="F1210" s="20">
        <v>1</v>
      </c>
      <c r="G1210" s="20"/>
      <c r="I1210" s="21">
        <f t="shared" si="57"/>
        <v>139.52909060271165</v>
      </c>
    </row>
    <row r="1211" spans="1:9">
      <c r="A1211" s="22">
        <v>43816</v>
      </c>
      <c r="B1211" s="21">
        <v>154.268631</v>
      </c>
      <c r="C1211" s="23">
        <v>25425600</v>
      </c>
      <c r="D1211" s="24">
        <f t="shared" si="55"/>
        <v>-2.0707549142539067E-3</v>
      </c>
      <c r="E1211" s="25">
        <f t="shared" si="56"/>
        <v>-1296400</v>
      </c>
      <c r="F1211" s="20">
        <v>1</v>
      </c>
      <c r="G1211" s="20"/>
      <c r="I1211" s="21">
        <f t="shared" si="57"/>
        <v>139.52964428744738</v>
      </c>
    </row>
    <row r="1212" spans="1:9">
      <c r="A1212" s="22">
        <v>43817</v>
      </c>
      <c r="B1212" s="21">
        <v>153.94950900000001</v>
      </c>
      <c r="C1212" s="23">
        <v>24129200</v>
      </c>
      <c r="D1212" s="24">
        <f t="shared" si="55"/>
        <v>8.6429785302158009E-3</v>
      </c>
      <c r="E1212" s="25">
        <f t="shared" si="56"/>
        <v>829700</v>
      </c>
      <c r="F1212" s="20">
        <v>1</v>
      </c>
      <c r="G1212" s="20"/>
      <c r="I1212" s="21">
        <f t="shared" si="57"/>
        <v>139.53019797438026</v>
      </c>
    </row>
    <row r="1213" spans="1:9">
      <c r="A1213" s="22">
        <v>43818</v>
      </c>
      <c r="B1213" s="21">
        <v>155.28585799999999</v>
      </c>
      <c r="C1213" s="23">
        <v>24958900</v>
      </c>
      <c r="D1213" s="24">
        <f t="shared" si="55"/>
        <v>1.0858593252942904E-2</v>
      </c>
      <c r="E1213" s="25">
        <f t="shared" si="56"/>
        <v>28518600</v>
      </c>
      <c r="F1213" s="20">
        <v>1</v>
      </c>
      <c r="G1213" s="20"/>
      <c r="I1213" s="21">
        <f t="shared" si="57"/>
        <v>139.5307516635103</v>
      </c>
    </row>
    <row r="1214" spans="1:9">
      <c r="A1214" s="22">
        <v>43819</v>
      </c>
      <c r="B1214" s="21">
        <v>156.98123200000001</v>
      </c>
      <c r="C1214" s="23">
        <v>53477500</v>
      </c>
      <c r="D1214" s="24">
        <f t="shared" si="55"/>
        <v>0</v>
      </c>
      <c r="E1214" s="25">
        <f t="shared" si="56"/>
        <v>-35759300</v>
      </c>
      <c r="F1214" s="20">
        <v>1</v>
      </c>
      <c r="G1214" s="20"/>
      <c r="I1214" s="21">
        <f t="shared" si="57"/>
        <v>139.53130535483751</v>
      </c>
    </row>
    <row r="1215" spans="1:9">
      <c r="A1215" s="22">
        <v>43822</v>
      </c>
      <c r="B1215" s="21">
        <v>156.98123200000001</v>
      </c>
      <c r="C1215" s="23">
        <v>17718200</v>
      </c>
      <c r="D1215" s="24">
        <f t="shared" si="55"/>
        <v>-1.9063331246448623E-4</v>
      </c>
      <c r="E1215" s="25">
        <f t="shared" si="56"/>
        <v>-8729000</v>
      </c>
      <c r="F1215" s="20">
        <v>1</v>
      </c>
      <c r="G1215" s="20"/>
      <c r="I1215" s="21">
        <f t="shared" si="57"/>
        <v>139.53185904836189</v>
      </c>
    </row>
    <row r="1216" spans="1:9">
      <c r="A1216" s="22">
        <v>43823</v>
      </c>
      <c r="B1216" s="21">
        <v>156.95130900000001</v>
      </c>
      <c r="C1216" s="23">
        <v>8989200</v>
      </c>
      <c r="D1216" s="24">
        <f t="shared" si="55"/>
        <v>8.163297119355083E-3</v>
      </c>
      <c r="E1216" s="25">
        <f t="shared" si="56"/>
        <v>5531400</v>
      </c>
      <c r="F1216" s="20">
        <v>1</v>
      </c>
      <c r="G1216" s="20"/>
      <c r="I1216" s="21">
        <f t="shared" si="57"/>
        <v>139.53241274408347</v>
      </c>
    </row>
    <row r="1217" spans="1:9">
      <c r="A1217" s="22">
        <v>43825</v>
      </c>
      <c r="B1217" s="21">
        <v>158.23779300000001</v>
      </c>
      <c r="C1217" s="23">
        <v>14520600</v>
      </c>
      <c r="D1217" s="24">
        <f t="shared" si="55"/>
        <v>1.8260556693930486E-3</v>
      </c>
      <c r="E1217" s="25">
        <f t="shared" si="56"/>
        <v>3892200</v>
      </c>
      <c r="F1217" s="20">
        <v>1</v>
      </c>
      <c r="G1217" s="20"/>
      <c r="I1217" s="21">
        <f t="shared" si="57"/>
        <v>139.53296644200225</v>
      </c>
    </row>
    <row r="1218" spans="1:9">
      <c r="A1218" s="22">
        <v>43826</v>
      </c>
      <c r="B1218" s="21">
        <v>158.527008</v>
      </c>
      <c r="C1218" s="23">
        <v>18412800</v>
      </c>
      <c r="D1218" s="24">
        <f t="shared" si="55"/>
        <v>-8.6558984729044851E-3</v>
      </c>
      <c r="E1218" s="25">
        <f t="shared" si="56"/>
        <v>-2064400</v>
      </c>
      <c r="F1218" s="20">
        <v>1</v>
      </c>
      <c r="G1218" s="20"/>
      <c r="I1218" s="21">
        <f t="shared" si="57"/>
        <v>139.53352014211822</v>
      </c>
    </row>
    <row r="1219" spans="1:9">
      <c r="A1219" s="22">
        <v>43829</v>
      </c>
      <c r="B1219" s="21">
        <v>157.16073600000001</v>
      </c>
      <c r="C1219" s="23">
        <v>16348400</v>
      </c>
      <c r="D1219" s="24">
        <f t="shared" ref="D1219:D1268" si="58">LN(B1220/B1219)</f>
        <v>6.9774256253380318E-4</v>
      </c>
      <c r="E1219" s="25">
        <f t="shared" ref="E1219:E1268" si="59">C1220-C1219</f>
        <v>2021000</v>
      </c>
      <c r="F1219" s="20">
        <v>1</v>
      </c>
      <c r="G1219" s="20"/>
      <c r="I1219" s="21">
        <f t="shared" si="57"/>
        <v>139.53407384443142</v>
      </c>
    </row>
    <row r="1220" spans="1:9">
      <c r="A1220" s="22">
        <v>43830</v>
      </c>
      <c r="B1220" s="21">
        <v>157.270432</v>
      </c>
      <c r="C1220" s="23">
        <v>18369400</v>
      </c>
      <c r="D1220" s="24">
        <f t="shared" si="58"/>
        <v>1.8346844990473156E-2</v>
      </c>
      <c r="E1220" s="25">
        <f t="shared" si="59"/>
        <v>4252700</v>
      </c>
      <c r="F1220" s="20">
        <v>1</v>
      </c>
      <c r="G1220" s="20"/>
      <c r="I1220" s="21">
        <f t="shared" si="57"/>
        <v>139.53462754894184</v>
      </c>
    </row>
    <row r="1221" spans="1:9">
      <c r="A1221" s="22">
        <v>43832</v>
      </c>
      <c r="B1221" s="21">
        <v>160.18248</v>
      </c>
      <c r="C1221" s="23">
        <v>22622100</v>
      </c>
      <c r="D1221" s="24">
        <f t="shared" si="58"/>
        <v>-1.2529927727749029E-2</v>
      </c>
      <c r="E1221" s="25">
        <f t="shared" si="59"/>
        <v>-1505900</v>
      </c>
      <c r="F1221" s="20">
        <v>1</v>
      </c>
      <c r="G1221" s="20"/>
      <c r="I1221" s="21">
        <f t="shared" si="57"/>
        <v>139.53518125564949</v>
      </c>
    </row>
    <row r="1222" spans="1:9">
      <c r="A1222" s="22">
        <v>43833</v>
      </c>
      <c r="B1222" s="21">
        <v>158.187927</v>
      </c>
      <c r="C1222" s="23">
        <v>21116200</v>
      </c>
      <c r="D1222" s="24">
        <f t="shared" si="58"/>
        <v>2.5815020124543373E-3</v>
      </c>
      <c r="E1222" s="25">
        <f t="shared" si="59"/>
        <v>-302500</v>
      </c>
      <c r="F1222" s="20">
        <v>1</v>
      </c>
      <c r="G1222" s="20"/>
      <c r="I1222" s="21">
        <f t="shared" si="57"/>
        <v>139.53573496455436</v>
      </c>
    </row>
    <row r="1223" spans="1:9">
      <c r="A1223" s="22">
        <v>43836</v>
      </c>
      <c r="B1223" s="21">
        <v>158.59681699999999</v>
      </c>
      <c r="C1223" s="23">
        <v>20813700</v>
      </c>
      <c r="D1223" s="24">
        <f t="shared" si="58"/>
        <v>-9.1595639069953546E-3</v>
      </c>
      <c r="E1223" s="25">
        <f t="shared" si="59"/>
        <v>820400</v>
      </c>
      <c r="F1223" s="20">
        <v>1</v>
      </c>
      <c r="G1223" s="20"/>
      <c r="I1223" s="21">
        <f t="shared" si="57"/>
        <v>139.53628867565649</v>
      </c>
    </row>
    <row r="1224" spans="1:9">
      <c r="A1224" s="22">
        <v>43837</v>
      </c>
      <c r="B1224" s="21">
        <v>157.15077199999999</v>
      </c>
      <c r="C1224" s="23">
        <v>21634100</v>
      </c>
      <c r="D1224" s="24">
        <f t="shared" si="58"/>
        <v>1.5802765517368859E-2</v>
      </c>
      <c r="E1224" s="25">
        <f t="shared" si="59"/>
        <v>6112400</v>
      </c>
      <c r="F1224" s="20">
        <v>1</v>
      </c>
      <c r="G1224" s="20"/>
      <c r="I1224" s="21">
        <f t="shared" si="57"/>
        <v>139.53684238895588</v>
      </c>
    </row>
    <row r="1225" spans="1:9">
      <c r="A1225" s="22">
        <v>43838</v>
      </c>
      <c r="B1225" s="21">
        <v>159.65391500000001</v>
      </c>
      <c r="C1225" s="23">
        <v>27746500</v>
      </c>
      <c r="D1225" s="24">
        <f t="shared" si="58"/>
        <v>1.2415585607978811E-2</v>
      </c>
      <c r="E1225" s="25">
        <f t="shared" si="59"/>
        <v>-6361500</v>
      </c>
      <c r="F1225" s="20">
        <v>1</v>
      </c>
      <c r="G1225" s="20"/>
      <c r="I1225" s="21">
        <f t="shared" si="57"/>
        <v>139.53739610445254</v>
      </c>
    </row>
    <row r="1226" spans="1:9">
      <c r="A1226" s="22">
        <v>43839</v>
      </c>
      <c r="B1226" s="21">
        <v>161.64846800000001</v>
      </c>
      <c r="C1226" s="23">
        <v>21385000</v>
      </c>
      <c r="D1226" s="24">
        <f t="shared" si="58"/>
        <v>-4.6377845518562029E-3</v>
      </c>
      <c r="E1226" s="25">
        <f t="shared" si="59"/>
        <v>-659100</v>
      </c>
      <c r="F1226" s="20">
        <v>1</v>
      </c>
      <c r="G1226" s="20"/>
      <c r="I1226" s="21">
        <f t="shared" si="57"/>
        <v>139.53794982214649</v>
      </c>
    </row>
    <row r="1227" spans="1:9">
      <c r="A1227" s="22">
        <v>43840</v>
      </c>
      <c r="B1227" s="21">
        <v>160.90051299999999</v>
      </c>
      <c r="C1227" s="23">
        <v>20725900</v>
      </c>
      <c r="D1227" s="24">
        <f t="shared" si="58"/>
        <v>1.1952625186715126E-2</v>
      </c>
      <c r="E1227" s="25">
        <f t="shared" si="59"/>
        <v>900600</v>
      </c>
      <c r="F1227" s="20">
        <v>1</v>
      </c>
      <c r="G1227" s="20"/>
      <c r="I1227" s="21">
        <f t="shared" si="57"/>
        <v>139.53850354203772</v>
      </c>
    </row>
    <row r="1228" spans="1:9">
      <c r="A1228" s="22">
        <v>43843</v>
      </c>
      <c r="B1228" s="21">
        <v>162.83523600000001</v>
      </c>
      <c r="C1228" s="23">
        <v>21626500</v>
      </c>
      <c r="D1228" s="24">
        <f t="shared" si="58"/>
        <v>-7.0680268140189597E-3</v>
      </c>
      <c r="E1228" s="25">
        <f t="shared" si="59"/>
        <v>1850900</v>
      </c>
      <c r="F1228" s="20">
        <v>1</v>
      </c>
      <c r="G1228" s="20"/>
      <c r="I1228" s="21">
        <f t="shared" si="57"/>
        <v>139.53905726412623</v>
      </c>
    </row>
    <row r="1229" spans="1:9">
      <c r="A1229" s="22">
        <v>43844</v>
      </c>
      <c r="B1229" s="21">
        <v>161.68836999999999</v>
      </c>
      <c r="C1229" s="23">
        <v>23477400</v>
      </c>
      <c r="D1229" s="24">
        <f t="shared" si="58"/>
        <v>6.4553673156894781E-3</v>
      </c>
      <c r="E1229" s="25">
        <f t="shared" si="59"/>
        <v>-2059500</v>
      </c>
      <c r="F1229" s="20">
        <v>1</v>
      </c>
      <c r="G1229" s="20"/>
      <c r="I1229" s="21">
        <f t="shared" si="57"/>
        <v>139.53961098841205</v>
      </c>
    </row>
    <row r="1230" spans="1:9">
      <c r="A1230" s="22">
        <v>43845</v>
      </c>
      <c r="B1230" s="21">
        <v>162.73550399999999</v>
      </c>
      <c r="C1230" s="23">
        <v>21417900</v>
      </c>
      <c r="D1230" s="24">
        <f t="shared" si="58"/>
        <v>1.8157484634160032E-2</v>
      </c>
      <c r="E1230" s="25">
        <f t="shared" si="59"/>
        <v>2447500</v>
      </c>
      <c r="F1230" s="20">
        <v>1</v>
      </c>
      <c r="G1230" s="20"/>
      <c r="I1230" s="21">
        <f t="shared" si="57"/>
        <v>139.54016471489518</v>
      </c>
    </row>
    <row r="1231" spans="1:9">
      <c r="A1231" s="22">
        <v>43846</v>
      </c>
      <c r="B1231" s="21">
        <v>165.71736100000001</v>
      </c>
      <c r="C1231" s="23">
        <v>23865400</v>
      </c>
      <c r="D1231" s="24">
        <f t="shared" si="58"/>
        <v>5.5811245434041392E-3</v>
      </c>
      <c r="E1231" s="25">
        <f t="shared" si="59"/>
        <v>10506300</v>
      </c>
      <c r="F1231" s="20">
        <v>1</v>
      </c>
      <c r="G1231" s="20"/>
      <c r="I1231" s="21">
        <f t="shared" si="57"/>
        <v>139.54071844357563</v>
      </c>
    </row>
    <row r="1232" spans="1:9">
      <c r="A1232" s="22">
        <v>43847</v>
      </c>
      <c r="B1232" s="21">
        <v>166.644836</v>
      </c>
      <c r="C1232" s="23">
        <v>34371700</v>
      </c>
      <c r="D1232" s="24">
        <f t="shared" si="58"/>
        <v>-3.597170392046932E-3</v>
      </c>
      <c r="E1232" s="25">
        <f t="shared" si="59"/>
        <v>-4854500</v>
      </c>
      <c r="F1232" s="20">
        <v>1</v>
      </c>
      <c r="G1232" s="20"/>
      <c r="I1232" s="21">
        <f t="shared" si="57"/>
        <v>139.54127217445341</v>
      </c>
    </row>
    <row r="1233" spans="1:9">
      <c r="A1233" s="22">
        <v>43851</v>
      </c>
      <c r="B1233" s="21">
        <v>166.04646299999999</v>
      </c>
      <c r="C1233" s="23">
        <v>29517200</v>
      </c>
      <c r="D1233" s="24">
        <f t="shared" si="58"/>
        <v>-4.8163859365927099E-3</v>
      </c>
      <c r="E1233" s="25">
        <f t="shared" si="59"/>
        <v>-5378400</v>
      </c>
      <c r="F1233" s="20">
        <v>1</v>
      </c>
      <c r="G1233" s="20"/>
      <c r="I1233" s="21">
        <f t="shared" si="57"/>
        <v>139.54182590752851</v>
      </c>
    </row>
    <row r="1234" spans="1:9">
      <c r="A1234" s="22">
        <v>43852</v>
      </c>
      <c r="B1234" s="21">
        <v>165.24864199999999</v>
      </c>
      <c r="C1234" s="23">
        <v>24138800</v>
      </c>
      <c r="D1234" s="24">
        <f t="shared" si="58"/>
        <v>6.1368667659409144E-3</v>
      </c>
      <c r="E1234" s="25">
        <f t="shared" si="59"/>
        <v>-4458000</v>
      </c>
      <c r="F1234" s="20">
        <v>1</v>
      </c>
      <c r="G1234" s="20"/>
      <c r="I1234" s="21">
        <f t="shared" si="57"/>
        <v>139.54237964280097</v>
      </c>
    </row>
    <row r="1235" spans="1:9">
      <c r="A1235" s="22">
        <v>43853</v>
      </c>
      <c r="B1235" s="21">
        <v>166.26586900000001</v>
      </c>
      <c r="C1235" s="23">
        <v>19680800</v>
      </c>
      <c r="D1235" s="24">
        <f t="shared" si="58"/>
        <v>-1.0127927326078045E-2</v>
      </c>
      <c r="E1235" s="25">
        <f t="shared" si="59"/>
        <v>5237300</v>
      </c>
      <c r="F1235" s="20">
        <v>1</v>
      </c>
      <c r="G1235" s="20"/>
      <c r="I1235" s="21">
        <f t="shared" si="57"/>
        <v>139.54293338027077</v>
      </c>
    </row>
    <row r="1236" spans="1:9">
      <c r="A1236" s="22">
        <v>43854</v>
      </c>
      <c r="B1236" s="21">
        <v>164.590439</v>
      </c>
      <c r="C1236" s="23">
        <v>24918100</v>
      </c>
      <c r="D1236" s="24">
        <f t="shared" si="58"/>
        <v>-1.68646619802846E-2</v>
      </c>
      <c r="E1236" s="25">
        <f t="shared" si="59"/>
        <v>7160000</v>
      </c>
      <c r="F1236" s="20">
        <v>1</v>
      </c>
      <c r="G1236" s="20"/>
      <c r="I1236" s="21">
        <f t="shared" si="57"/>
        <v>139.54348711993794</v>
      </c>
    </row>
    <row r="1237" spans="1:9">
      <c r="A1237" s="22">
        <v>43857</v>
      </c>
      <c r="B1237" s="21">
        <v>161.837952</v>
      </c>
      <c r="C1237" s="23">
        <v>32078100</v>
      </c>
      <c r="D1237" s="24">
        <f t="shared" si="58"/>
        <v>1.9406346124821613E-2</v>
      </c>
      <c r="E1237" s="25">
        <f t="shared" si="59"/>
        <v>-7178200</v>
      </c>
      <c r="F1237" s="20">
        <v>1</v>
      </c>
      <c r="G1237" s="20"/>
      <c r="I1237" s="21">
        <f t="shared" si="57"/>
        <v>139.54404086180247</v>
      </c>
    </row>
    <row r="1238" spans="1:9">
      <c r="A1238" s="22">
        <v>43858</v>
      </c>
      <c r="B1238" s="21">
        <v>165.009308</v>
      </c>
      <c r="C1238" s="23">
        <v>24899900</v>
      </c>
      <c r="D1238" s="24">
        <f t="shared" si="58"/>
        <v>1.5472450759707724E-2</v>
      </c>
      <c r="E1238" s="25">
        <f t="shared" si="59"/>
        <v>9854600</v>
      </c>
      <c r="F1238" s="20">
        <v>1</v>
      </c>
      <c r="G1238" s="20"/>
      <c r="I1238" s="21">
        <f t="shared" si="57"/>
        <v>139.5445946058644</v>
      </c>
    </row>
    <row r="1239" spans="1:9">
      <c r="A1239" s="22">
        <v>43859</v>
      </c>
      <c r="B1239" s="21">
        <v>167.58225999999999</v>
      </c>
      <c r="C1239" s="23">
        <v>34754500</v>
      </c>
      <c r="D1239" s="24">
        <f t="shared" si="58"/>
        <v>2.7817113311197877E-2</v>
      </c>
      <c r="E1239" s="25">
        <f t="shared" si="59"/>
        <v>16843000</v>
      </c>
      <c r="F1239" s="20">
        <v>1</v>
      </c>
      <c r="G1239" s="20"/>
      <c r="I1239" s="21">
        <f t="shared" si="57"/>
        <v>139.5451483521237</v>
      </c>
    </row>
    <row r="1240" spans="1:9">
      <c r="A1240" s="22">
        <v>43860</v>
      </c>
      <c r="B1240" s="21">
        <v>172.30935700000001</v>
      </c>
      <c r="C1240" s="23">
        <v>51597500</v>
      </c>
      <c r="D1240" s="24">
        <f t="shared" si="58"/>
        <v>-1.4868686670493932E-2</v>
      </c>
      <c r="E1240" s="25">
        <f t="shared" si="59"/>
        <v>-15454800</v>
      </c>
      <c r="F1240" s="20">
        <v>1</v>
      </c>
      <c r="G1240" s="20"/>
      <c r="I1240" s="21">
        <f t="shared" si="57"/>
        <v>139.5457021005804</v>
      </c>
    </row>
    <row r="1241" spans="1:9">
      <c r="A1241" s="22">
        <v>43861</v>
      </c>
      <c r="B1241" s="21">
        <v>169.76629600000001</v>
      </c>
      <c r="C1241" s="23">
        <v>36142700</v>
      </c>
      <c r="D1241" s="24">
        <f t="shared" si="58"/>
        <v>2.4086405521947303E-2</v>
      </c>
      <c r="E1241" s="25">
        <f t="shared" si="59"/>
        <v>-5993600</v>
      </c>
      <c r="F1241" s="20">
        <v>1</v>
      </c>
      <c r="G1241" s="20"/>
      <c r="I1241" s="21">
        <f t="shared" si="57"/>
        <v>139.54625585123452</v>
      </c>
    </row>
    <row r="1242" spans="1:9">
      <c r="A1242" s="22">
        <v>43864</v>
      </c>
      <c r="B1242" s="21">
        <v>173.904999</v>
      </c>
      <c r="C1242" s="23">
        <v>30149100</v>
      </c>
      <c r="D1242" s="24">
        <f t="shared" si="58"/>
        <v>3.2386471810172041E-2</v>
      </c>
      <c r="E1242" s="25">
        <f t="shared" si="59"/>
        <v>6284200</v>
      </c>
      <c r="F1242" s="20">
        <v>1</v>
      </c>
      <c r="G1242" s="20"/>
      <c r="I1242" s="21">
        <f t="shared" si="57"/>
        <v>139.54680960408604</v>
      </c>
    </row>
    <row r="1243" spans="1:9">
      <c r="A1243" s="22">
        <v>43865</v>
      </c>
      <c r="B1243" s="21">
        <v>179.62936400000001</v>
      </c>
      <c r="C1243" s="23">
        <v>36433300</v>
      </c>
      <c r="D1243" s="24">
        <f t="shared" si="58"/>
        <v>-1.2221838326176451E-3</v>
      </c>
      <c r="E1243" s="25">
        <f t="shared" si="59"/>
        <v>2753000</v>
      </c>
      <c r="F1243" s="20">
        <v>1</v>
      </c>
      <c r="G1243" s="20"/>
      <c r="I1243" s="21">
        <f t="shared" si="57"/>
        <v>139.54736335913498</v>
      </c>
    </row>
    <row r="1244" spans="1:9">
      <c r="A1244" s="22">
        <v>43866</v>
      </c>
      <c r="B1244" s="21">
        <v>179.40995799999999</v>
      </c>
      <c r="C1244" s="23">
        <v>39186300</v>
      </c>
      <c r="D1244" s="24">
        <f t="shared" si="58"/>
        <v>2.0521773925560313E-2</v>
      </c>
      <c r="E1244" s="25">
        <f t="shared" si="59"/>
        <v>-11434900</v>
      </c>
      <c r="F1244" s="20">
        <v>1</v>
      </c>
      <c r="G1244" s="20"/>
      <c r="I1244" s="21">
        <f t="shared" si="57"/>
        <v>139.54791711638137</v>
      </c>
    </row>
    <row r="1245" spans="1:9">
      <c r="A1245" s="22">
        <v>43867</v>
      </c>
      <c r="B1245" s="21">
        <v>183.129807</v>
      </c>
      <c r="C1245" s="23">
        <v>27751400</v>
      </c>
      <c r="D1245" s="24">
        <f t="shared" si="58"/>
        <v>1.4148904136295636E-3</v>
      </c>
      <c r="E1245" s="25">
        <f t="shared" si="59"/>
        <v>5777700</v>
      </c>
      <c r="F1245" s="20">
        <v>1</v>
      </c>
      <c r="G1245" s="20"/>
      <c r="I1245" s="21">
        <f t="shared" si="57"/>
        <v>139.54847087582519</v>
      </c>
    </row>
    <row r="1246" spans="1:9">
      <c r="A1246" s="22">
        <v>43868</v>
      </c>
      <c r="B1246" s="21">
        <v>183.38909899999999</v>
      </c>
      <c r="C1246" s="23">
        <v>33529100</v>
      </c>
      <c r="D1246" s="24">
        <f t="shared" si="58"/>
        <v>2.5820657313755321E-2</v>
      </c>
      <c r="E1246" s="25">
        <f t="shared" si="59"/>
        <v>2315200</v>
      </c>
      <c r="F1246" s="20">
        <v>1</v>
      </c>
      <c r="G1246" s="20"/>
      <c r="I1246" s="21">
        <f t="shared" si="57"/>
        <v>139.54902463746646</v>
      </c>
    </row>
    <row r="1247" spans="1:9">
      <c r="A1247" s="22">
        <v>43871</v>
      </c>
      <c r="B1247" s="21">
        <v>188.18598900000001</v>
      </c>
      <c r="C1247" s="23">
        <v>35844300</v>
      </c>
      <c r="D1247" s="24">
        <f t="shared" si="58"/>
        <v>-2.2834169270691044E-2</v>
      </c>
      <c r="E1247" s="25">
        <f t="shared" si="59"/>
        <v>17315600</v>
      </c>
      <c r="F1247" s="20">
        <v>1</v>
      </c>
      <c r="G1247" s="20"/>
      <c r="I1247" s="21">
        <f t="shared" si="57"/>
        <v>139.54957840130518</v>
      </c>
    </row>
    <row r="1248" spans="1:9">
      <c r="A1248" s="22">
        <v>43872</v>
      </c>
      <c r="B1248" s="21">
        <v>183.93760700000001</v>
      </c>
      <c r="C1248" s="23">
        <v>53159900</v>
      </c>
      <c r="D1248" s="24">
        <f t="shared" si="58"/>
        <v>1.4627738290391454E-3</v>
      </c>
      <c r="E1248" s="25">
        <f t="shared" si="59"/>
        <v>-6097000</v>
      </c>
      <c r="F1248" s="20">
        <v>1</v>
      </c>
      <c r="G1248" s="20"/>
      <c r="I1248" s="21">
        <f t="shared" si="57"/>
        <v>139.55013216734139</v>
      </c>
    </row>
    <row r="1249" spans="1:9">
      <c r="A1249" s="22">
        <v>43873</v>
      </c>
      <c r="B1249" s="21">
        <v>184.206863</v>
      </c>
      <c r="C1249" s="23">
        <v>47062900</v>
      </c>
      <c r="D1249" s="24">
        <f t="shared" si="58"/>
        <v>-5.4285562192109456E-3</v>
      </c>
      <c r="E1249" s="25">
        <f t="shared" si="59"/>
        <v>-11767100</v>
      </c>
      <c r="F1249" s="20">
        <v>1</v>
      </c>
      <c r="G1249" s="20"/>
      <c r="I1249" s="21">
        <f t="shared" si="57"/>
        <v>139.55068593557507</v>
      </c>
    </row>
    <row r="1250" spans="1:9">
      <c r="A1250" s="22">
        <v>43874</v>
      </c>
      <c r="B1250" s="21">
        <v>183.20959500000001</v>
      </c>
      <c r="C1250" s="23">
        <v>35295800</v>
      </c>
      <c r="D1250" s="24">
        <f t="shared" si="58"/>
        <v>8.8874761576710985E-3</v>
      </c>
      <c r="E1250" s="25">
        <f t="shared" si="59"/>
        <v>-12146300</v>
      </c>
      <c r="F1250" s="20">
        <v>1</v>
      </c>
      <c r="G1250" s="20"/>
      <c r="I1250" s="21">
        <f t="shared" ref="I1250:I1269" si="60">I1249*EXP($L$31*$L$33+$L$32*H1250*SQRT($L$33))</f>
        <v>139.55123970600624</v>
      </c>
    </row>
    <row r="1251" spans="1:9">
      <c r="A1251" s="22">
        <v>43875</v>
      </c>
      <c r="B1251" s="21">
        <v>184.845123</v>
      </c>
      <c r="C1251" s="23">
        <v>23149500</v>
      </c>
      <c r="D1251" s="24">
        <f t="shared" si="58"/>
        <v>1.0091872413502859E-2</v>
      </c>
      <c r="E1251" s="25">
        <f t="shared" si="59"/>
        <v>4642700</v>
      </c>
      <c r="F1251" s="20">
        <v>1</v>
      </c>
      <c r="G1251" s="20"/>
      <c r="I1251" s="21">
        <f t="shared" si="60"/>
        <v>139.55179347863489</v>
      </c>
    </row>
    <row r="1252" spans="1:9">
      <c r="A1252" s="22">
        <v>43879</v>
      </c>
      <c r="B1252" s="21">
        <v>186.720001</v>
      </c>
      <c r="C1252" s="23">
        <v>27792200</v>
      </c>
      <c r="D1252" s="24">
        <f t="shared" si="58"/>
        <v>2.9946439491984286E-3</v>
      </c>
      <c r="E1252" s="25">
        <f t="shared" si="59"/>
        <v>2205300</v>
      </c>
      <c r="F1252" s="20">
        <v>1</v>
      </c>
      <c r="G1252" s="20"/>
      <c r="I1252" s="21">
        <f t="shared" si="60"/>
        <v>139.55234725346105</v>
      </c>
    </row>
    <row r="1253" spans="1:9">
      <c r="A1253" s="22">
        <v>43880</v>
      </c>
      <c r="B1253" s="21">
        <v>187.279999</v>
      </c>
      <c r="C1253" s="23">
        <v>29997500</v>
      </c>
      <c r="D1253" s="24">
        <f t="shared" si="58"/>
        <v>-1.5389063576872562E-2</v>
      </c>
      <c r="E1253" s="25">
        <f t="shared" si="59"/>
        <v>6864900</v>
      </c>
      <c r="F1253" s="20">
        <v>1</v>
      </c>
      <c r="G1253" s="20"/>
      <c r="I1253" s="21">
        <f t="shared" si="60"/>
        <v>139.55290103048472</v>
      </c>
    </row>
    <row r="1254" spans="1:9">
      <c r="A1254" s="22">
        <v>43881</v>
      </c>
      <c r="B1254" s="21">
        <v>184.41999799999999</v>
      </c>
      <c r="C1254" s="23">
        <v>36862400</v>
      </c>
      <c r="D1254" s="24">
        <f t="shared" si="58"/>
        <v>-3.2123100830446727E-2</v>
      </c>
      <c r="E1254" s="25">
        <f t="shared" si="59"/>
        <v>11710200</v>
      </c>
      <c r="F1254" s="20">
        <v>1</v>
      </c>
      <c r="G1254" s="20"/>
      <c r="I1254" s="21">
        <f t="shared" si="60"/>
        <v>139.5534548097059</v>
      </c>
    </row>
    <row r="1255" spans="1:9">
      <c r="A1255" s="22">
        <v>43882</v>
      </c>
      <c r="B1255" s="21">
        <v>178.58999600000001</v>
      </c>
      <c r="C1255" s="23">
        <v>48572600</v>
      </c>
      <c r="D1255" s="24">
        <f t="shared" si="58"/>
        <v>-4.407258462863764E-2</v>
      </c>
      <c r="E1255" s="25">
        <f t="shared" si="59"/>
        <v>19738500</v>
      </c>
      <c r="F1255" s="20">
        <v>1</v>
      </c>
      <c r="G1255" s="20"/>
      <c r="I1255" s="21">
        <f t="shared" si="60"/>
        <v>139.55400859112461</v>
      </c>
    </row>
    <row r="1256" spans="1:9">
      <c r="A1256" s="22">
        <v>43885</v>
      </c>
      <c r="B1256" s="21">
        <v>170.88999899999999</v>
      </c>
      <c r="C1256" s="23">
        <v>68311100</v>
      </c>
      <c r="D1256" s="24">
        <f t="shared" si="58"/>
        <v>-1.663946786931287E-2</v>
      </c>
      <c r="E1256" s="25">
        <f t="shared" si="59"/>
        <v>-237800</v>
      </c>
      <c r="F1256" s="20">
        <v>1</v>
      </c>
      <c r="G1256" s="20"/>
      <c r="I1256" s="21">
        <f t="shared" si="60"/>
        <v>139.55456237474087</v>
      </c>
    </row>
    <row r="1257" spans="1:9">
      <c r="A1257" s="22">
        <v>43886</v>
      </c>
      <c r="B1257" s="21">
        <v>168.070007</v>
      </c>
      <c r="C1257" s="23">
        <v>68073300</v>
      </c>
      <c r="D1257" s="24">
        <f t="shared" si="58"/>
        <v>1.241732469260521E-2</v>
      </c>
      <c r="E1257" s="25">
        <f t="shared" si="59"/>
        <v>-11867200</v>
      </c>
      <c r="F1257" s="20">
        <v>1</v>
      </c>
      <c r="G1257" s="20"/>
      <c r="I1257" s="21">
        <f t="shared" si="60"/>
        <v>139.55511616055466</v>
      </c>
    </row>
    <row r="1258" spans="1:9">
      <c r="A1258" s="22">
        <v>43887</v>
      </c>
      <c r="B1258" s="21">
        <v>170.16999799999999</v>
      </c>
      <c r="C1258" s="23">
        <v>56206100</v>
      </c>
      <c r="D1258" s="24">
        <f t="shared" si="58"/>
        <v>-7.3064344792504315E-2</v>
      </c>
      <c r="E1258" s="25">
        <f t="shared" si="59"/>
        <v>36968800</v>
      </c>
      <c r="F1258" s="20">
        <v>1</v>
      </c>
      <c r="G1258" s="20"/>
      <c r="I1258" s="21">
        <f t="shared" si="60"/>
        <v>139.55566994856602</v>
      </c>
    </row>
    <row r="1259" spans="1:9">
      <c r="A1259" s="22">
        <v>43888</v>
      </c>
      <c r="B1259" s="21">
        <v>158.179993</v>
      </c>
      <c r="C1259" s="23">
        <v>93174900</v>
      </c>
      <c r="D1259" s="24">
        <f t="shared" si="58"/>
        <v>2.3924450022145893E-2</v>
      </c>
      <c r="E1259" s="25">
        <f t="shared" si="59"/>
        <v>3898700</v>
      </c>
      <c r="F1259" s="20">
        <v>1</v>
      </c>
      <c r="G1259" s="20"/>
      <c r="I1259" s="21">
        <f t="shared" si="60"/>
        <v>139.55622373877492</v>
      </c>
    </row>
    <row r="1260" spans="1:9">
      <c r="A1260" s="22">
        <v>43889</v>
      </c>
      <c r="B1260" s="21">
        <v>162.009995</v>
      </c>
      <c r="C1260" s="23">
        <v>97073600</v>
      </c>
      <c r="D1260" s="24">
        <f t="shared" si="58"/>
        <v>6.4418912953391971E-2</v>
      </c>
      <c r="E1260" s="25">
        <f t="shared" si="59"/>
        <v>-26042800</v>
      </c>
      <c r="F1260" s="20">
        <v>1</v>
      </c>
      <c r="G1260" s="20"/>
      <c r="I1260" s="21">
        <f t="shared" si="60"/>
        <v>139.55677753118141</v>
      </c>
    </row>
    <row r="1261" spans="1:9">
      <c r="A1261" s="22">
        <v>43892</v>
      </c>
      <c r="B1261" s="21">
        <v>172.78999300000001</v>
      </c>
      <c r="C1261" s="23">
        <v>71030800</v>
      </c>
      <c r="D1261" s="24">
        <f t="shared" si="58"/>
        <v>-4.9105615575386584E-2</v>
      </c>
      <c r="E1261" s="25">
        <f t="shared" si="59"/>
        <v>646200</v>
      </c>
      <c r="F1261" s="20">
        <v>1</v>
      </c>
      <c r="G1261" s="20"/>
      <c r="I1261" s="21">
        <f t="shared" si="60"/>
        <v>139.55733132578547</v>
      </c>
    </row>
    <row r="1262" spans="1:9">
      <c r="A1262" s="22">
        <v>43893</v>
      </c>
      <c r="B1262" s="21">
        <v>164.509995</v>
      </c>
      <c r="C1262" s="23">
        <v>71677000</v>
      </c>
      <c r="D1262" s="24">
        <f t="shared" si="58"/>
        <v>3.6057198216764667E-2</v>
      </c>
      <c r="E1262" s="25">
        <f t="shared" si="59"/>
        <v>-21862600</v>
      </c>
      <c r="F1262" s="20">
        <v>1</v>
      </c>
      <c r="G1262" s="20"/>
      <c r="I1262" s="21">
        <f t="shared" si="60"/>
        <v>139.55788512258712</v>
      </c>
    </row>
    <row r="1263" spans="1:9">
      <c r="A1263" s="22">
        <v>43894</v>
      </c>
      <c r="B1263" s="21">
        <v>170.550003</v>
      </c>
      <c r="C1263" s="23">
        <v>49814400</v>
      </c>
      <c r="D1263" s="24">
        <f t="shared" si="58"/>
        <v>-2.541552934526008E-2</v>
      </c>
      <c r="E1263" s="25">
        <f t="shared" si="59"/>
        <v>-1997100</v>
      </c>
      <c r="F1263" s="20">
        <v>1</v>
      </c>
      <c r="G1263" s="20"/>
      <c r="I1263" s="21">
        <f t="shared" si="60"/>
        <v>139.55843892158637</v>
      </c>
    </row>
    <row r="1264" spans="1:9">
      <c r="A1264" s="22">
        <v>43895</v>
      </c>
      <c r="B1264" s="21">
        <v>166.270004</v>
      </c>
      <c r="C1264" s="23">
        <v>47817300</v>
      </c>
      <c r="D1264" s="24">
        <f t="shared" si="58"/>
        <v>-2.8674468495931204E-2</v>
      </c>
      <c r="E1264" s="25">
        <f t="shared" si="59"/>
        <v>25003800</v>
      </c>
      <c r="F1264" s="20">
        <v>1</v>
      </c>
      <c r="G1264" s="20"/>
      <c r="I1264" s="21">
        <f t="shared" si="60"/>
        <v>139.55899272278322</v>
      </c>
    </row>
    <row r="1265" spans="1:9">
      <c r="A1265" s="22">
        <v>43896</v>
      </c>
      <c r="B1265" s="21">
        <v>161.570007</v>
      </c>
      <c r="C1265" s="23">
        <v>72821100</v>
      </c>
      <c r="D1265" s="24">
        <f t="shared" si="58"/>
        <v>-7.0178453136530497E-2</v>
      </c>
      <c r="E1265" s="25">
        <f t="shared" si="59"/>
        <v>-2401800</v>
      </c>
      <c r="F1265" s="20">
        <v>1</v>
      </c>
      <c r="G1265" s="20"/>
      <c r="I1265" s="21">
        <f t="shared" si="60"/>
        <v>139.55954652617768</v>
      </c>
    </row>
    <row r="1266" spans="1:9">
      <c r="A1266" s="22">
        <v>43899</v>
      </c>
      <c r="B1266" s="21">
        <v>150.61999499999999</v>
      </c>
      <c r="C1266" s="23">
        <v>70419300</v>
      </c>
      <c r="D1266" s="24">
        <f t="shared" si="58"/>
        <v>6.6147259175969017E-2</v>
      </c>
      <c r="E1266" s="25">
        <f t="shared" si="59"/>
        <v>-5064900</v>
      </c>
      <c r="F1266" s="20">
        <v>1</v>
      </c>
      <c r="G1266" s="20"/>
      <c r="I1266" s="21">
        <f t="shared" si="60"/>
        <v>139.56010033176977</v>
      </c>
    </row>
    <row r="1267" spans="1:9">
      <c r="A1267" s="22">
        <v>43900</v>
      </c>
      <c r="B1267" s="21">
        <v>160.91999799999999</v>
      </c>
      <c r="C1267" s="23">
        <v>65354400</v>
      </c>
      <c r="D1267" s="24">
        <f t="shared" si="58"/>
        <v>-4.636018796475655E-2</v>
      </c>
      <c r="E1267" s="25">
        <f t="shared" si="59"/>
        <v>-8982800</v>
      </c>
      <c r="F1267" s="20">
        <v>1</v>
      </c>
      <c r="G1267" s="20"/>
      <c r="I1267" s="21">
        <f t="shared" si="60"/>
        <v>139.56065413955952</v>
      </c>
    </row>
    <row r="1268" spans="1:9">
      <c r="A1268" s="22">
        <v>43901</v>
      </c>
      <c r="B1268" s="21">
        <v>153.63000500000001</v>
      </c>
      <c r="C1268" s="23">
        <v>56371600</v>
      </c>
      <c r="D1268" s="24">
        <f t="shared" si="58"/>
        <v>-9.9641666399704232E-2</v>
      </c>
      <c r="E1268" s="25">
        <f t="shared" si="59"/>
        <v>36854800</v>
      </c>
      <c r="F1268" s="20">
        <v>1</v>
      </c>
      <c r="G1268" s="20"/>
      <c r="I1268" s="21">
        <f t="shared" si="60"/>
        <v>139.56120794954688</v>
      </c>
    </row>
    <row r="1269" spans="1:9">
      <c r="A1269" s="22">
        <v>43902</v>
      </c>
      <c r="B1269" s="21">
        <v>139.05999800000001</v>
      </c>
      <c r="C1269" s="23">
        <v>93226400</v>
      </c>
      <c r="I1269" s="21">
        <f t="shared" si="60"/>
        <v>139.5617617617319</v>
      </c>
    </row>
  </sheetData>
  <mergeCells count="7">
    <mergeCell ref="S44:T44"/>
    <mergeCell ref="H2:K2"/>
    <mergeCell ref="H3:I3"/>
    <mergeCell ref="J3:K3"/>
    <mergeCell ref="G30:G31"/>
    <mergeCell ref="H30:H32"/>
    <mergeCell ref="I30:I3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workbookViewId="0">
      <selection activeCell="B2" sqref="B2"/>
    </sheetView>
  </sheetViews>
  <sheetFormatPr baseColWidth="10" defaultColWidth="11.1640625" defaultRowHeight="16"/>
  <sheetData>
    <row r="1" spans="1:2">
      <c r="A1" t="s">
        <v>13</v>
      </c>
      <c r="B1">
        <v>2.9199110600880189</v>
      </c>
    </row>
    <row r="2" spans="1:2">
      <c r="A2" t="s">
        <v>12</v>
      </c>
      <c r="B2">
        <f>B1^2+1/3 * B1+1/2</f>
        <v>9.9991842855203448</v>
      </c>
    </row>
    <row r="4" spans="1:2">
      <c r="A4" t="s">
        <v>13</v>
      </c>
      <c r="B4" t="s">
        <v>12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2:D16"/>
  <sheetViews>
    <sheetView workbookViewId="0">
      <selection activeCell="B13" sqref="B13"/>
    </sheetView>
  </sheetViews>
  <sheetFormatPr baseColWidth="10" defaultColWidth="11.1640625" defaultRowHeight="16"/>
  <cols>
    <col min="1" max="1" width="54.6640625" bestFit="1" customWidth="1"/>
    <col min="2" max="2" width="15.83203125" bestFit="1" customWidth="1"/>
    <col min="4" max="4" width="14.33203125" bestFit="1" customWidth="1"/>
  </cols>
  <sheetData>
    <row r="2" spans="1:4">
      <c r="A2" t="s">
        <v>28</v>
      </c>
      <c r="B2">
        <v>3233.3153846153841</v>
      </c>
    </row>
    <row r="3" spans="1:4">
      <c r="A3" t="s">
        <v>29</v>
      </c>
      <c r="B3">
        <f>0.3*B2</f>
        <v>969.99461538461514</v>
      </c>
    </row>
    <row r="4" spans="1:4">
      <c r="A4" t="s">
        <v>30</v>
      </c>
      <c r="B4">
        <v>500</v>
      </c>
    </row>
    <row r="5" spans="1:4">
      <c r="A5" t="s">
        <v>39</v>
      </c>
      <c r="B5">
        <f>SUM(B2:B4)</f>
        <v>4703.3099999999995</v>
      </c>
    </row>
    <row r="6" spans="1:4">
      <c r="A6" t="s">
        <v>35</v>
      </c>
      <c r="B6">
        <v>40</v>
      </c>
    </row>
    <row r="8" spans="1:4">
      <c r="A8" t="s">
        <v>37</v>
      </c>
      <c r="B8" s="15">
        <f>1.5%</f>
        <v>1.4999999999999999E-2</v>
      </c>
    </row>
    <row r="9" spans="1:4">
      <c r="A9" t="s">
        <v>34</v>
      </c>
      <c r="B9" s="8">
        <f>1.5%/12</f>
        <v>1.25E-3</v>
      </c>
    </row>
    <row r="11" spans="1:4">
      <c r="A11" t="s">
        <v>31</v>
      </c>
      <c r="B11" s="3">
        <v>15000</v>
      </c>
      <c r="D11" s="10"/>
    </row>
    <row r="12" spans="1:4">
      <c r="A12" t="s">
        <v>32</v>
      </c>
      <c r="B12">
        <v>20</v>
      </c>
    </row>
    <row r="13" spans="1:4">
      <c r="A13" t="s">
        <v>33</v>
      </c>
      <c r="B13" s="9">
        <f>PV(B9,12*B12,B11)</f>
        <v>-3108515.7425400466</v>
      </c>
      <c r="D13" s="9"/>
    </row>
    <row r="14" spans="1:4">
      <c r="A14" t="s">
        <v>36</v>
      </c>
      <c r="B14" s="9"/>
    </row>
    <row r="16" spans="1:4">
      <c r="A16" t="s">
        <v>38</v>
      </c>
      <c r="B16" s="9">
        <f>PMT(B9,B6*12,0,B13)</f>
        <v>4730.3060978318063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Úvodka</vt:lpstr>
      <vt:lpstr>Ex 1</vt:lpstr>
      <vt:lpstr>Ex 2</vt:lpstr>
      <vt:lpstr>Ex 3</vt:lpstr>
      <vt:lpstr>Ex 4</vt:lpstr>
      <vt:lpstr>SnP 500</vt:lpstr>
      <vt:lpstr>MSFT</vt:lpstr>
      <vt:lpstr>Ex 5</vt:lpstr>
      <vt:lpstr>Ex 6</vt:lpstr>
      <vt:lpstr>a</vt:lpstr>
      <vt:lpstr>lnM</vt:lpstr>
      <vt:lpstr>lnSP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2020-03-29T19:50:18Z</dcterms:modified>
</cp:coreProperties>
</file>