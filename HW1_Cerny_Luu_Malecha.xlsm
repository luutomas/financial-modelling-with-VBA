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nek\Desktop\unilifIES\8_LS_1920\VBA\financial-modelling-with-VBA\"/>
    </mc:Choice>
  </mc:AlternateContent>
  <xr:revisionPtr revIDLastSave="0" documentId="13_ncr:1_{4A3B176F-E84F-473E-888A-73174600264A}" xr6:coauthVersionLast="45" xr6:coauthVersionMax="45" xr10:uidLastSave="{00000000-0000-0000-0000-000000000000}"/>
  <bookViews>
    <workbookView xWindow="-108" yWindow="-108" windowWidth="23256" windowHeight="12720" activeTab="2" xr2:uid="{60AAFADA-6B44-7642-8163-14E12150427A}"/>
  </bookViews>
  <sheets>
    <sheet name="Úvodka" sheetId="2" r:id="rId1"/>
    <sheet name="Ex 1" sheetId="1" r:id="rId2"/>
    <sheet name="Ex 2" sheetId="7" r:id="rId3"/>
    <sheet name="Ex 3" sheetId="4" r:id="rId4"/>
    <sheet name="Ex 5" sheetId="3" r:id="rId5"/>
    <sheet name="Ex 6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7" l="1"/>
  <c r="C13" i="7" s="1"/>
  <c r="C11" i="7"/>
  <c r="C10" i="7"/>
  <c r="C14" i="7" l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8" i="5"/>
  <c r="B9" i="5"/>
  <c r="B13" i="5"/>
  <c r="B16" i="5" s="1"/>
  <c r="B3" i="5"/>
  <c r="B5" i="5" s="1"/>
  <c r="B20" i="1"/>
  <c r="B25" i="1" s="1"/>
  <c r="B27" i="1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G3" i="7" l="1"/>
  <c r="I8" i="7" s="1"/>
  <c r="G2" i="7" l="1"/>
  <c r="N8" i="7" s="1"/>
  <c r="H8" i="7" l="1"/>
</calcChain>
</file>

<file path=xl/sharedStrings.xml><?xml version="1.0" encoding="utf-8"?>
<sst xmlns="http://schemas.openxmlformats.org/spreadsheetml/2006/main" count="63" uniqueCount="52">
  <si>
    <t>Value per share</t>
  </si>
  <si>
    <t>Dividend</t>
  </si>
  <si>
    <t>Growth</t>
  </si>
  <si>
    <t>Cost of capital</t>
  </si>
  <si>
    <t>Member 1</t>
  </si>
  <si>
    <t>Kuba Černý</t>
  </si>
  <si>
    <t>Member 2</t>
  </si>
  <si>
    <t>Tiep Luu Danh</t>
  </si>
  <si>
    <t>Member 3</t>
  </si>
  <si>
    <t>Jan Malecha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</si>
  <si>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</si>
  <si>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</si>
  <si>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</si>
  <si>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</si>
  <si>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</si>
  <si>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</si>
  <si>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</si>
  <si>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</si>
  <si>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</si>
  <si>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</si>
  <si>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</si>
  <si>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</si>
  <si>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</si>
  <si>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</si>
  <si>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</si>
  <si>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</si>
  <si>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</si>
  <si>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It is okay because we assumed that cost of capital &gt; growth thus these values do not hold and weight</t>
  </si>
  <si>
    <t>Employee contributions</t>
  </si>
  <si>
    <t>Employer contribution</t>
  </si>
  <si>
    <t>State contribution</t>
  </si>
  <si>
    <t>Monthly pension benefit</t>
  </si>
  <si>
    <t>Duration (years)</t>
  </si>
  <si>
    <t>PV of the whole pension benefit at the beginning of the pension</t>
  </si>
  <si>
    <t>Interest rate monthly compounding</t>
  </si>
  <si>
    <t>Payment period (years)</t>
  </si>
  <si>
    <t>This is also the FV of the all contribution</t>
  </si>
  <si>
    <t>Interest rate monthly compounding annually</t>
  </si>
  <si>
    <t>Monthly payment to reach the FV value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</si>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</sst>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0\ &quot;CZK&quot;;[Red]\-#,##0.00\ &quot;CZK&quot;"/>
    <numFmt numFmtId="165" formatCode="_-* #,##0_-;\-* #,##0_-;_-* &quot;-&quot;??_-;_-@_-"/>
    <numFmt numFmtId="166" formatCode="_-* #,##0\ [$€-1]_-;\-* #,##0\ [$€-1]_-;_-* &quot;-&quot;??\ [$€-1]_-;_-@_-"/>
    <numFmt numFmtId="167" formatCode="0.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5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5" fontId="0" fillId="3" borderId="0" xfId="1" applyNumberFormat="1" applyFont="1" applyFill="1"/>
    <xf numFmtId="10" fontId="0" fillId="0" borderId="0" xfId="0" applyNumberFormat="1"/>
    <xf numFmtId="164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9" fontId="3" fillId="0" borderId="0" xfId="0" applyNumberFormat="1" applyFont="1"/>
    <xf numFmtId="167" fontId="0" fillId="0" borderId="0" xfId="2" applyNumberFormat="1" applyFont="1"/>
    <xf numFmtId="0" fontId="2" fillId="0" borderId="0" xfId="0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95250</xdr:rowOff>
    </xdr:from>
    <xdr:to>
      <xdr:col>18</xdr:col>
      <xdr:colOff>228600</xdr:colOff>
      <xdr:row>36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dimension ref="A1:L28"/>
  <sheetViews>
    <sheetView workbookViewId="0">
      <selection activeCell="D9" sqref="D9:J20"/>
    </sheetView>
  </sheetViews>
  <sheetFormatPr defaultColWidth="11.19921875" defaultRowHeight="15.6" x14ac:dyDescent="0.3"/>
  <cols>
    <col min="2" max="2" width="12.69921875" bestFit="1" customWidth="1"/>
  </cols>
  <sheetData>
    <row r="1" spans="1:12" x14ac:dyDescent="0.3">
      <c r="A1" s="5" t="s">
        <v>4</v>
      </c>
      <c r="B1" s="5" t="s">
        <v>5</v>
      </c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x14ac:dyDescent="0.3">
      <c r="A2" s="5" t="s">
        <v>6</v>
      </c>
      <c r="B2" s="5" t="s">
        <v>7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x14ac:dyDescent="0.3">
      <c r="A3" s="5" t="s">
        <v>8</v>
      </c>
      <c r="B3" s="5" t="s">
        <v>9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 x14ac:dyDescent="0.3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12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1:12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2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1:12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1:12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1:12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12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1:12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2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2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2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dimension ref="A1:I30"/>
  <sheetViews>
    <sheetView topLeftCell="A7" workbookViewId="0">
      <selection activeCell="H17" sqref="H17"/>
    </sheetView>
  </sheetViews>
  <sheetFormatPr defaultColWidth="11.19921875" defaultRowHeight="15.6" x14ac:dyDescent="0.3"/>
  <cols>
    <col min="1" max="1" width="22" bestFit="1" customWidth="1"/>
    <col min="3" max="3" width="12.796875" bestFit="1" customWidth="1"/>
  </cols>
  <sheetData>
    <row r="1" spans="1:9" x14ac:dyDescent="0.3">
      <c r="A1" t="s">
        <v>1</v>
      </c>
      <c r="B1">
        <v>50</v>
      </c>
    </row>
    <row r="2" spans="1:9" x14ac:dyDescent="0.3">
      <c r="A2" t="s">
        <v>2</v>
      </c>
      <c r="B2" s="1">
        <v>0.03</v>
      </c>
    </row>
    <row r="3" spans="1:9" x14ac:dyDescent="0.3">
      <c r="A3" t="s">
        <v>3</v>
      </c>
      <c r="B3" s="1">
        <v>0.05</v>
      </c>
    </row>
    <row r="5" spans="1:9" x14ac:dyDescent="0.3">
      <c r="A5" t="s">
        <v>0</v>
      </c>
      <c r="B5">
        <f>B1/(B3-B2)</f>
        <v>2499.9999999999995</v>
      </c>
    </row>
    <row r="8" spans="1:9" x14ac:dyDescent="0.3">
      <c r="A8" t="s">
        <v>10</v>
      </c>
      <c r="C8" t="s">
        <v>3</v>
      </c>
    </row>
    <row r="9" spans="1:9" x14ac:dyDescent="0.3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 x14ac:dyDescent="0.3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 x14ac:dyDescent="0.3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 x14ac:dyDescent="0.3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 x14ac:dyDescent="0.3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 x14ac:dyDescent="0.3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 x14ac:dyDescent="0.3">
      <c r="C15" t="s">
        <v>27</v>
      </c>
    </row>
    <row r="17" spans="1:9" x14ac:dyDescent="0.3">
      <c r="A17" t="s">
        <v>11</v>
      </c>
    </row>
    <row r="18" spans="1:9" x14ac:dyDescent="0.3">
      <c r="A18" t="s">
        <v>22</v>
      </c>
      <c r="B18">
        <v>50</v>
      </c>
    </row>
    <row r="19" spans="1:9" x14ac:dyDescent="0.3">
      <c r="A19" t="s">
        <v>23</v>
      </c>
      <c r="B19" s="1">
        <v>0.1</v>
      </c>
    </row>
    <row r="20" spans="1:9" x14ac:dyDescent="0.3">
      <c r="A20" t="s">
        <v>24</v>
      </c>
      <c r="B20">
        <f>B18*(1+B19)^5</f>
        <v>80.525500000000022</v>
      </c>
    </row>
    <row r="23" spans="1:9" x14ac:dyDescent="0.3">
      <c r="A23" t="s">
        <v>25</v>
      </c>
      <c r="B23" s="1">
        <v>0.04</v>
      </c>
    </row>
    <row r="24" spans="1:9" x14ac:dyDescent="0.3">
      <c r="A24" t="s">
        <v>26</v>
      </c>
      <c r="B24" s="1">
        <v>0.01</v>
      </c>
    </row>
    <row r="25" spans="1:9" x14ac:dyDescent="0.3">
      <c r="A25" t="s">
        <v>0</v>
      </c>
      <c r="B25" s="3">
        <f>B20/(B23-B24)</f>
        <v>2684.1833333333343</v>
      </c>
    </row>
    <row r="26" spans="1:9" x14ac:dyDescent="0.3">
      <c r="B26" s="3"/>
      <c r="C26" t="s">
        <v>3</v>
      </c>
    </row>
    <row r="27" spans="1:9" x14ac:dyDescent="0.3">
      <c r="B27" s="3">
        <f>B25</f>
        <v>2684.1833333333343</v>
      </c>
      <c r="C27" s="2">
        <v>0.04</v>
      </c>
      <c r="D27" s="2">
        <v>0.05</v>
      </c>
      <c r="E27" s="2">
        <v>0.06</v>
      </c>
      <c r="F27" s="2">
        <v>7.0000000000000007E-2</v>
      </c>
      <c r="G27" s="2">
        <v>0.08</v>
      </c>
      <c r="H27" s="2">
        <v>0.09</v>
      </c>
      <c r="I27" s="2">
        <v>0.1</v>
      </c>
    </row>
    <row r="28" spans="1:9" x14ac:dyDescent="0.3">
      <c r="A28" t="s">
        <v>2</v>
      </c>
      <c r="B28" s="2">
        <v>0.01</v>
      </c>
      <c r="C28" s="3">
        <f t="dataTable" ref="C28:I30" dt2D="1" dtr="1" r1="B23" r2="B24"/>
        <v>2684.1833333333343</v>
      </c>
      <c r="D28" s="3">
        <v>2013.1375000000005</v>
      </c>
      <c r="E28" s="3">
        <v>1610.5100000000007</v>
      </c>
      <c r="F28" s="3">
        <v>1342.0916666666669</v>
      </c>
      <c r="G28" s="3">
        <v>1150.3642857142859</v>
      </c>
      <c r="H28" s="3">
        <v>1006.5687500000003</v>
      </c>
      <c r="I28" s="3">
        <v>894.72777777777787</v>
      </c>
    </row>
    <row r="29" spans="1:9" x14ac:dyDescent="0.3">
      <c r="B29" s="2">
        <v>0.02</v>
      </c>
      <c r="C29" s="3">
        <v>4026.275000000001</v>
      </c>
      <c r="D29" s="3">
        <v>2684.1833333333338</v>
      </c>
      <c r="E29" s="3">
        <v>2013.137500000001</v>
      </c>
      <c r="F29" s="3">
        <v>1610.5100000000004</v>
      </c>
      <c r="G29" s="3">
        <v>1342.0916666666672</v>
      </c>
      <c r="H29" s="3">
        <v>1150.3642857142861</v>
      </c>
      <c r="I29" s="3">
        <v>1006.5687500000003</v>
      </c>
    </row>
    <row r="30" spans="1:9" x14ac:dyDescent="0.3">
      <c r="B30" s="2">
        <v>0.03</v>
      </c>
      <c r="C30" s="3">
        <v>8052.5500000000011</v>
      </c>
      <c r="D30" s="3">
        <v>4026.2750000000005</v>
      </c>
      <c r="E30" s="3">
        <v>2684.1833333333343</v>
      </c>
      <c r="F30" s="3">
        <v>2013.1375000000003</v>
      </c>
      <c r="G30" s="3">
        <v>1610.5100000000004</v>
      </c>
      <c r="H30" s="3">
        <v>1342.0916666666672</v>
      </c>
      <c r="I30" s="3">
        <v>1150.3642857142859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dimension ref="B2:X30"/>
  <sheetViews>
    <sheetView tabSelected="1" topLeftCell="A5" workbookViewId="0">
      <selection activeCell="C30" sqref="C30"/>
    </sheetView>
  </sheetViews>
  <sheetFormatPr defaultColWidth="11.19921875" defaultRowHeight="15.6" x14ac:dyDescent="0.3"/>
  <cols>
    <col min="3" max="3" width="15.19921875" bestFit="1" customWidth="1"/>
    <col min="8" max="8" width="12.59765625" bestFit="1" customWidth="1"/>
    <col min="14" max="14" width="11.59765625" bestFit="1" customWidth="1"/>
    <col min="15" max="24" width="12.59765625" bestFit="1" customWidth="1"/>
  </cols>
  <sheetData>
    <row r="2" spans="2:24" x14ac:dyDescent="0.3">
      <c r="B2" t="s">
        <v>40</v>
      </c>
      <c r="C2" s="11">
        <v>10000</v>
      </c>
      <c r="F2" t="s">
        <v>41</v>
      </c>
      <c r="G2" s="11">
        <f>NPV(C4,C11:C30)+C10</f>
        <v>-706376.13439756352</v>
      </c>
    </row>
    <row r="3" spans="2:24" x14ac:dyDescent="0.3">
      <c r="B3" t="s">
        <v>42</v>
      </c>
      <c r="C3" s="2">
        <v>0.05</v>
      </c>
      <c r="F3" t="s">
        <v>43</v>
      </c>
      <c r="G3" s="12">
        <f>IRR(C10:C30)</f>
        <v>-7.9699820715329772E-2</v>
      </c>
    </row>
    <row r="4" spans="2:24" x14ac:dyDescent="0.3">
      <c r="B4" t="s">
        <v>44</v>
      </c>
      <c r="C4" s="2">
        <v>0.01</v>
      </c>
    </row>
    <row r="5" spans="2:24" ht="15.6" customHeight="1" x14ac:dyDescent="0.3">
      <c r="B5" t="s">
        <v>45</v>
      </c>
      <c r="C5">
        <v>20</v>
      </c>
    </row>
    <row r="6" spans="2:24" ht="15.6" customHeight="1" x14ac:dyDescent="0.3">
      <c r="B6" t="s">
        <v>46</v>
      </c>
      <c r="C6" s="11">
        <v>1000000</v>
      </c>
      <c r="F6" s="16" t="s">
        <v>47</v>
      </c>
      <c r="M6" s="16" t="s">
        <v>48</v>
      </c>
    </row>
    <row r="7" spans="2:24" x14ac:dyDescent="0.3">
      <c r="F7" s="16"/>
      <c r="H7" t="s">
        <v>41</v>
      </c>
      <c r="I7" t="s">
        <v>43</v>
      </c>
      <c r="M7" s="16"/>
      <c r="O7" t="s">
        <v>49</v>
      </c>
    </row>
    <row r="8" spans="2:24" x14ac:dyDescent="0.3">
      <c r="H8" s="13">
        <f>G2</f>
        <v>-706376.13439756352</v>
      </c>
      <c r="I8" s="14">
        <f>G3</f>
        <v>-7.9699820715329772E-2</v>
      </c>
      <c r="N8" s="11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 x14ac:dyDescent="0.3">
      <c r="B9" t="s">
        <v>50</v>
      </c>
      <c r="C9" t="s">
        <v>51</v>
      </c>
      <c r="F9" t="s">
        <v>23</v>
      </c>
      <c r="G9" s="2">
        <v>0.01</v>
      </c>
      <c r="H9" s="11">
        <f t="dataTable" ref="H9:I18" dt2D="0" dtr="0" r1="C3" ca="1"/>
        <v>-801980.19801980199</v>
      </c>
      <c r="I9" s="15">
        <v>-0.11237023581907013</v>
      </c>
      <c r="M9" t="s">
        <v>23</v>
      </c>
      <c r="N9" s="2">
        <v>0.01</v>
      </c>
      <c r="O9" s="11">
        <f t="dataTable" ref="O9:X18" dt2D="1" dtr="1" r1="C4" r2="C3"/>
        <v>-801980.19801980199</v>
      </c>
      <c r="P9" s="11">
        <v>-821152.91782895732</v>
      </c>
      <c r="Q9" s="11">
        <v>-837794.82030942221</v>
      </c>
      <c r="R9" s="11">
        <v>-852292.93537236191</v>
      </c>
      <c r="S9" s="11">
        <v>-864969.19829069381</v>
      </c>
      <c r="T9" s="11">
        <v>-876092.20443101926</v>
      </c>
      <c r="U9" s="11">
        <v>-885886.71556112811</v>
      </c>
      <c r="V9" s="11">
        <v>-894541.36939473159</v>
      </c>
      <c r="W9" s="11">
        <v>-902214.94931642199</v>
      </c>
      <c r="X9" s="11">
        <v>-909041.4971574212</v>
      </c>
    </row>
    <row r="10" spans="2:24" x14ac:dyDescent="0.3">
      <c r="B10">
        <v>0</v>
      </c>
      <c r="C10" s="11">
        <f>-C6</f>
        <v>-1000000</v>
      </c>
      <c r="G10" s="2">
        <v>0.02</v>
      </c>
      <c r="H10" s="11">
        <v>-782200.02841383603</v>
      </c>
      <c r="I10" s="15">
        <v>-0.10419539360566998</v>
      </c>
      <c r="N10" s="2">
        <v>0.02</v>
      </c>
      <c r="O10" s="11">
        <v>-782200.02841383603</v>
      </c>
      <c r="P10" s="11">
        <v>-803921.56862745096</v>
      </c>
      <c r="Q10" s="11">
        <v>-822733.04514953564</v>
      </c>
      <c r="R10" s="11">
        <v>-839083.49713316187</v>
      </c>
      <c r="S10" s="11">
        <v>-853345.98188225471</v>
      </c>
      <c r="T10" s="11">
        <v>-865831.35549252992</v>
      </c>
      <c r="U10" s="11">
        <v>-876799.40886051836</v>
      </c>
      <c r="V10" s="11">
        <v>-886467.89168398036</v>
      </c>
      <c r="W10" s="11">
        <v>-895019.8451477231</v>
      </c>
      <c r="X10" s="11">
        <v>-902609.57649890648</v>
      </c>
    </row>
    <row r="11" spans="2:24" x14ac:dyDescent="0.3">
      <c r="B11">
        <v>1</v>
      </c>
      <c r="C11" s="11">
        <f>C2</f>
        <v>10000</v>
      </c>
      <c r="G11" s="2">
        <v>0.03</v>
      </c>
      <c r="H11" s="11">
        <v>-759905.7624063082</v>
      </c>
      <c r="I11" s="15">
        <v>-9.6025411411535644E-2</v>
      </c>
      <c r="N11" s="2">
        <v>0.03</v>
      </c>
      <c r="O11" s="11">
        <v>-759905.7624063082</v>
      </c>
      <c r="P11" s="11">
        <v>-784538.91466308455</v>
      </c>
      <c r="Q11" s="11">
        <v>-805825.24271844665</v>
      </c>
      <c r="R11" s="11">
        <v>-824285.59089061967</v>
      </c>
      <c r="S11" s="11">
        <v>-840352.16462283616</v>
      </c>
      <c r="T11" s="11">
        <v>-854384.67341732862</v>
      </c>
      <c r="U11" s="11">
        <v>-866683.36605854891</v>
      </c>
      <c r="V11" s="11">
        <v>-877499.58555413014</v>
      </c>
      <c r="W11" s="11">
        <v>-887044.33910796884</v>
      </c>
      <c r="X11" s="11">
        <v>-895495.2752194897</v>
      </c>
    </row>
    <row r="12" spans="2:24" x14ac:dyDescent="0.3">
      <c r="B12">
        <v>2</v>
      </c>
      <c r="C12" s="11">
        <f>C11*(1+$C$3)</f>
        <v>10500</v>
      </c>
      <c r="G12" s="2">
        <v>0.04</v>
      </c>
      <c r="H12" s="11">
        <v>-734759.04809962853</v>
      </c>
      <c r="I12" s="15">
        <v>-8.7860237382852757E-2</v>
      </c>
      <c r="N12" s="2">
        <v>0.04</v>
      </c>
      <c r="O12" s="11">
        <v>-734759.04809962853</v>
      </c>
      <c r="P12" s="11">
        <v>-762718.46871444117</v>
      </c>
      <c r="Q12" s="11">
        <v>-786828.2412658392</v>
      </c>
      <c r="R12" s="11">
        <v>-807692.30769230775</v>
      </c>
      <c r="S12" s="11">
        <v>-825811.26828892948</v>
      </c>
      <c r="T12" s="11">
        <v>-841601.27659365733</v>
      </c>
      <c r="U12" s="11">
        <v>-855409.28588836209</v>
      </c>
      <c r="V12" s="11">
        <v>-867525.3856348407</v>
      </c>
      <c r="W12" s="11">
        <v>-878192.81040679419</v>
      </c>
      <c r="X12" s="11">
        <v>-887616.08223802538</v>
      </c>
    </row>
    <row r="13" spans="2:24" x14ac:dyDescent="0.3">
      <c r="B13">
        <v>3</v>
      </c>
      <c r="C13" s="11">
        <f t="shared" ref="C13:C30" si="0">C12*(1+$C$3)</f>
        <v>11025</v>
      </c>
      <c r="G13" s="2">
        <v>0.05</v>
      </c>
      <c r="H13" s="11">
        <v>-706376.13439756352</v>
      </c>
      <c r="I13" s="15">
        <v>-7.9699820715329772E-2</v>
      </c>
      <c r="N13" s="2">
        <v>0.05</v>
      </c>
      <c r="O13" s="11">
        <v>-706376.13439756352</v>
      </c>
      <c r="P13" s="11">
        <v>-738135.56874546979</v>
      </c>
      <c r="Q13" s="11">
        <v>-765466.69601164595</v>
      </c>
      <c r="R13" s="11">
        <v>-789069.56298624084</v>
      </c>
      <c r="S13" s="11">
        <v>-809523.80952380947</v>
      </c>
      <c r="T13" s="11">
        <v>-827310.76630003098</v>
      </c>
      <c r="U13" s="11">
        <v>-842831.27356587374</v>
      </c>
      <c r="V13" s="11">
        <v>-856420.08878267766</v>
      </c>
      <c r="W13" s="11">
        <v>-868357.56759654172</v>
      </c>
      <c r="X13" s="11">
        <v>-878879.15942416037</v>
      </c>
    </row>
    <row r="14" spans="2:24" x14ac:dyDescent="0.3">
      <c r="B14">
        <v>4</v>
      </c>
      <c r="C14" s="11">
        <f t="shared" si="0"/>
        <v>11576.25</v>
      </c>
      <c r="G14" s="2">
        <v>0.06</v>
      </c>
      <c r="H14" s="11">
        <v>-674321.97162507428</v>
      </c>
      <c r="I14" s="15">
        <v>-7.1544111623177975E-2</v>
      </c>
      <c r="N14" s="2">
        <v>0.06</v>
      </c>
      <c r="O14" s="11">
        <v>-674321.97162507428</v>
      </c>
      <c r="P14" s="11">
        <v>-710422.4414516954</v>
      </c>
      <c r="Q14" s="11">
        <v>-741428.94954826869</v>
      </c>
      <c r="R14" s="11">
        <v>-768152.61789146985</v>
      </c>
      <c r="S14" s="11">
        <v>-791264.37037404405</v>
      </c>
      <c r="T14" s="11">
        <v>-811320.7547169812</v>
      </c>
      <c r="U14" s="11">
        <v>-828784.75061822939</v>
      </c>
      <c r="V14" s="11">
        <v>-844042.58323261444</v>
      </c>
      <c r="W14" s="11">
        <v>-857417.34531973663</v>
      </c>
      <c r="X14" s="11">
        <v>-869180.06303866068</v>
      </c>
    </row>
    <row r="15" spans="2:24" x14ac:dyDescent="0.3">
      <c r="B15">
        <v>5</v>
      </c>
      <c r="C15" s="11">
        <f t="shared" si="0"/>
        <v>12155.0625</v>
      </c>
      <c r="G15" s="2">
        <v>7.0000000000000007E-2</v>
      </c>
      <c r="H15" s="11">
        <v>-638103.58280321676</v>
      </c>
      <c r="I15" s="15">
        <v>-6.3393061309288901E-2</v>
      </c>
      <c r="N15" s="2">
        <v>7.0000000000000007E-2</v>
      </c>
      <c r="O15" s="11">
        <v>-638103.58280321676</v>
      </c>
      <c r="P15" s="11">
        <v>-679162.65771462757</v>
      </c>
      <c r="Q15" s="11">
        <v>-714362.38419245579</v>
      </c>
      <c r="R15" s="11">
        <v>-744642.17513444752</v>
      </c>
      <c r="S15" s="11">
        <v>-770778.31202594913</v>
      </c>
      <c r="T15" s="11">
        <v>-793414.09303917189</v>
      </c>
      <c r="U15" s="11">
        <v>-813084.11214953265</v>
      </c>
      <c r="V15" s="11">
        <v>-830233.8646457406</v>
      </c>
      <c r="W15" s="11">
        <v>-845235.62090901169</v>
      </c>
      <c r="X15" s="11">
        <v>-858401.31260420138</v>
      </c>
    </row>
    <row r="16" spans="2:24" x14ac:dyDescent="0.3">
      <c r="B16">
        <v>6</v>
      </c>
      <c r="C16" s="11">
        <f t="shared" si="0"/>
        <v>12762.815625000001</v>
      </c>
      <c r="G16" s="2">
        <v>0.08</v>
      </c>
      <c r="H16" s="11">
        <v>-597162.62089702673</v>
      </c>
      <c r="I16" s="15">
        <v>-5.5246621936554829E-2</v>
      </c>
      <c r="N16" s="2">
        <v>0.08</v>
      </c>
      <c r="O16" s="11">
        <v>-597162.62089702673</v>
      </c>
      <c r="P16" s="11">
        <v>-643884.90955736814</v>
      </c>
      <c r="Q16" s="11">
        <v>-683868.20762981032</v>
      </c>
      <c r="R16" s="11">
        <v>-718200.00068587973</v>
      </c>
      <c r="S16" s="11">
        <v>-747778.09078713937</v>
      </c>
      <c r="T16" s="11">
        <v>-773345.76536716172</v>
      </c>
      <c r="U16" s="11">
        <v>-795520.10272828571</v>
      </c>
      <c r="V16" s="11">
        <v>-814814.81481481483</v>
      </c>
      <c r="W16" s="11">
        <v>-831658.73041404586</v>
      </c>
      <c r="X16" s="11">
        <v>-846410.78996340546</v>
      </c>
    </row>
    <row r="17" spans="2:24" x14ac:dyDescent="0.3">
      <c r="B17">
        <v>7</v>
      </c>
      <c r="C17" s="11">
        <f t="shared" si="0"/>
        <v>13400.956406250001</v>
      </c>
      <c r="G17" s="2">
        <v>0.09</v>
      </c>
      <c r="H17" s="11">
        <v>-550867.01822106261</v>
      </c>
      <c r="I17" s="15">
        <v>-4.7104746600277525E-2</v>
      </c>
      <c r="N17" s="2">
        <v>0.09</v>
      </c>
      <c r="O17" s="11">
        <v>-550867.01822106261</v>
      </c>
      <c r="P17" s="11">
        <v>-604056.03061758401</v>
      </c>
      <c r="Q17" s="11">
        <v>-649495.60689672292</v>
      </c>
      <c r="R17" s="11">
        <v>-688444.01688720484</v>
      </c>
      <c r="S17" s="11">
        <v>-721939.13098104065</v>
      </c>
      <c r="T17" s="11">
        <v>-750839.41039848607</v>
      </c>
      <c r="U17" s="11">
        <v>-775856.87901571277</v>
      </c>
      <c r="V17" s="11">
        <v>-797583.71621717419</v>
      </c>
      <c r="W17" s="11">
        <v>-816513.76146788988</v>
      </c>
      <c r="X17" s="11">
        <v>-833059.94946014206</v>
      </c>
    </row>
    <row r="18" spans="2:24" x14ac:dyDescent="0.3">
      <c r="B18">
        <v>8</v>
      </c>
      <c r="C18" s="11">
        <f t="shared" si="0"/>
        <v>14071.004226562502</v>
      </c>
      <c r="G18" s="2">
        <v>0.1</v>
      </c>
      <c r="H18" s="11">
        <v>-498501.6241484182</v>
      </c>
      <c r="I18" s="15">
        <v>-3.8967389301613364E-2</v>
      </c>
      <c r="N18" s="2">
        <v>0.1</v>
      </c>
      <c r="O18" s="11">
        <v>-498501.6241484182</v>
      </c>
      <c r="P18" s="11">
        <v>-559073.17382724467</v>
      </c>
      <c r="Q18" s="11">
        <v>-610735.19882408821</v>
      </c>
      <c r="R18" s="11">
        <v>-654942.80709298979</v>
      </c>
      <c r="S18" s="11">
        <v>-692895.20461410703</v>
      </c>
      <c r="T18" s="11">
        <v>-725583.42891859566</v>
      </c>
      <c r="U18" s="11">
        <v>-753828.72388830862</v>
      </c>
      <c r="V18" s="11">
        <v>-778313.47278065491</v>
      </c>
      <c r="W18" s="11">
        <v>-799606.19803167554</v>
      </c>
      <c r="X18" s="11">
        <v>-818181.81818181823</v>
      </c>
    </row>
    <row r="19" spans="2:24" x14ac:dyDescent="0.3">
      <c r="B19">
        <v>9</v>
      </c>
      <c r="C19" s="11">
        <f t="shared" si="0"/>
        <v>14774.554437890627</v>
      </c>
    </row>
    <row r="20" spans="2:24" x14ac:dyDescent="0.3">
      <c r="B20">
        <v>10</v>
      </c>
      <c r="C20" s="11">
        <f t="shared" si="0"/>
        <v>15513.28215978516</v>
      </c>
    </row>
    <row r="21" spans="2:24" x14ac:dyDescent="0.3">
      <c r="B21">
        <v>11</v>
      </c>
      <c r="C21" s="11">
        <f t="shared" si="0"/>
        <v>16288.946267774418</v>
      </c>
    </row>
    <row r="22" spans="2:24" x14ac:dyDescent="0.3">
      <c r="B22">
        <v>12</v>
      </c>
      <c r="C22" s="11">
        <f t="shared" si="0"/>
        <v>17103.393581163138</v>
      </c>
    </row>
    <row r="23" spans="2:24" x14ac:dyDescent="0.3">
      <c r="B23">
        <v>13</v>
      </c>
      <c r="C23" s="11">
        <f t="shared" si="0"/>
        <v>17958.563260221297</v>
      </c>
    </row>
    <row r="24" spans="2:24" x14ac:dyDescent="0.3">
      <c r="B24">
        <v>14</v>
      </c>
      <c r="C24" s="11">
        <f t="shared" si="0"/>
        <v>18856.491423232364</v>
      </c>
    </row>
    <row r="25" spans="2:24" x14ac:dyDescent="0.3">
      <c r="B25">
        <v>15</v>
      </c>
      <c r="C25" s="11">
        <f t="shared" si="0"/>
        <v>19799.315994393983</v>
      </c>
    </row>
    <row r="26" spans="2:24" x14ac:dyDescent="0.3">
      <c r="B26">
        <v>16</v>
      </c>
      <c r="C26" s="11">
        <f t="shared" si="0"/>
        <v>20789.281794113682</v>
      </c>
    </row>
    <row r="27" spans="2:24" x14ac:dyDescent="0.3">
      <c r="B27">
        <v>17</v>
      </c>
      <c r="C27" s="11">
        <f t="shared" si="0"/>
        <v>21828.745883819367</v>
      </c>
    </row>
    <row r="28" spans="2:24" x14ac:dyDescent="0.3">
      <c r="B28">
        <v>18</v>
      </c>
      <c r="C28" s="11">
        <f t="shared" si="0"/>
        <v>22920.183178010335</v>
      </c>
    </row>
    <row r="29" spans="2:24" x14ac:dyDescent="0.3">
      <c r="B29">
        <v>19</v>
      </c>
      <c r="C29" s="11">
        <f t="shared" si="0"/>
        <v>24066.192336910852</v>
      </c>
    </row>
    <row r="30" spans="2:24" x14ac:dyDescent="0.3">
      <c r="B30">
        <v>20</v>
      </c>
      <c r="C30" s="11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dimension ref="A1:C8"/>
  <sheetViews>
    <sheetView workbookViewId="0">
      <selection activeCell="C6" sqref="C6"/>
    </sheetView>
  </sheetViews>
  <sheetFormatPr defaultColWidth="11.19921875" defaultRowHeight="15.6" x14ac:dyDescent="0.3"/>
  <cols>
    <col min="1" max="1" width="17.5" bestFit="1" customWidth="1"/>
    <col min="2" max="2" width="12.296875" bestFit="1" customWidth="1"/>
    <col min="3" max="3" width="15.19921875" bestFit="1" customWidth="1"/>
  </cols>
  <sheetData>
    <row r="1" spans="1:3" x14ac:dyDescent="0.3">
      <c r="A1" t="s">
        <v>14</v>
      </c>
      <c r="B1" t="s">
        <v>15</v>
      </c>
      <c r="C1" t="s">
        <v>16</v>
      </c>
    </row>
    <row r="2" spans="1:3" x14ac:dyDescent="0.3">
      <c r="A2" t="s">
        <v>17</v>
      </c>
      <c r="B2" s="2">
        <v>0.35</v>
      </c>
      <c r="C2">
        <v>8</v>
      </c>
    </row>
    <row r="3" spans="1:3" x14ac:dyDescent="0.3">
      <c r="A3" t="s">
        <v>18</v>
      </c>
      <c r="B3" s="2">
        <v>0.3</v>
      </c>
      <c r="C3">
        <v>4</v>
      </c>
    </row>
    <row r="4" spans="1:3" x14ac:dyDescent="0.3">
      <c r="A4" t="s">
        <v>19</v>
      </c>
      <c r="B4" s="2">
        <v>0.25</v>
      </c>
      <c r="C4">
        <v>3</v>
      </c>
    </row>
    <row r="5" spans="1:3" x14ac:dyDescent="0.3">
      <c r="B5" s="2"/>
    </row>
    <row r="6" spans="1:3" x14ac:dyDescent="0.3">
      <c r="A6" t="s">
        <v>20</v>
      </c>
      <c r="B6" s="2">
        <v>0.02</v>
      </c>
    </row>
    <row r="8" spans="1:3" x14ac:dyDescent="0.3">
      <c r="A8" t="s">
        <v>21</v>
      </c>
      <c r="B8" s="6">
        <f>SUMPRODUCT(B2:B4,C2:C4)*(-B6)</f>
        <v>-9.5000000000000001E-2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dimension ref="A1:B35"/>
  <sheetViews>
    <sheetView workbookViewId="0">
      <selection activeCell="A4" sqref="A4:B35"/>
    </sheetView>
  </sheetViews>
  <sheetFormatPr defaultColWidth="11.19921875" defaultRowHeight="15.6" x14ac:dyDescent="0.3"/>
  <sheetData>
    <row r="1" spans="1:2" x14ac:dyDescent="0.3">
      <c r="A1" t="s">
        <v>13</v>
      </c>
      <c r="B1">
        <v>2.9199110600880189</v>
      </c>
    </row>
    <row r="2" spans="1:2" x14ac:dyDescent="0.3">
      <c r="A2" t="s">
        <v>12</v>
      </c>
      <c r="B2">
        <f>B1^2+1/3 * B1+1/2</f>
        <v>9.9991842855203448</v>
      </c>
    </row>
    <row r="4" spans="1:2" x14ac:dyDescent="0.3">
      <c r="A4" t="s">
        <v>13</v>
      </c>
      <c r="B4" t="s">
        <v>12</v>
      </c>
    </row>
    <row r="5" spans="1:2" x14ac:dyDescent="0.3">
      <c r="A5">
        <v>-15</v>
      </c>
      <c r="B5">
        <f>A5^2+1/3 * A5+1/2</f>
        <v>220.5</v>
      </c>
    </row>
    <row r="6" spans="1:2" x14ac:dyDescent="0.3">
      <c r="A6">
        <v>-14</v>
      </c>
      <c r="B6">
        <f>A6^2+1/3 * A6+1/2</f>
        <v>191.83333333333334</v>
      </c>
    </row>
    <row r="7" spans="1:2" x14ac:dyDescent="0.3">
      <c r="A7">
        <v>-13</v>
      </c>
      <c r="B7">
        <f t="shared" ref="B7:B35" si="0">A7^2+1/3 * A7+1/2</f>
        <v>165.16666666666666</v>
      </c>
    </row>
    <row r="8" spans="1:2" x14ac:dyDescent="0.3">
      <c r="A8">
        <v>-12</v>
      </c>
      <c r="B8">
        <f t="shared" si="0"/>
        <v>140.5</v>
      </c>
    </row>
    <row r="9" spans="1:2" x14ac:dyDescent="0.3">
      <c r="A9">
        <v>-11</v>
      </c>
      <c r="B9">
        <f t="shared" si="0"/>
        <v>117.83333333333333</v>
      </c>
    </row>
    <row r="10" spans="1:2" x14ac:dyDescent="0.3">
      <c r="A10">
        <v>-10</v>
      </c>
      <c r="B10">
        <f t="shared" si="0"/>
        <v>97.166666666666671</v>
      </c>
    </row>
    <row r="11" spans="1:2" x14ac:dyDescent="0.3">
      <c r="A11">
        <v>-9</v>
      </c>
      <c r="B11">
        <f t="shared" si="0"/>
        <v>78.5</v>
      </c>
    </row>
    <row r="12" spans="1:2" x14ac:dyDescent="0.3">
      <c r="A12">
        <v>-8</v>
      </c>
      <c r="B12">
        <f t="shared" si="0"/>
        <v>61.833333333333336</v>
      </c>
    </row>
    <row r="13" spans="1:2" x14ac:dyDescent="0.3">
      <c r="A13">
        <v>-7</v>
      </c>
      <c r="B13">
        <f t="shared" si="0"/>
        <v>47.166666666666664</v>
      </c>
    </row>
    <row r="14" spans="1:2" x14ac:dyDescent="0.3">
      <c r="A14">
        <v>-6</v>
      </c>
      <c r="B14">
        <f t="shared" si="0"/>
        <v>34.5</v>
      </c>
    </row>
    <row r="15" spans="1:2" x14ac:dyDescent="0.3">
      <c r="A15">
        <v>-5</v>
      </c>
      <c r="B15">
        <f t="shared" si="0"/>
        <v>23.833333333333332</v>
      </c>
    </row>
    <row r="16" spans="1:2" x14ac:dyDescent="0.3">
      <c r="A16">
        <v>-4</v>
      </c>
      <c r="B16">
        <f t="shared" si="0"/>
        <v>15.166666666666666</v>
      </c>
    </row>
    <row r="17" spans="1:2" x14ac:dyDescent="0.3">
      <c r="A17">
        <v>-3</v>
      </c>
      <c r="B17">
        <f t="shared" si="0"/>
        <v>8.5</v>
      </c>
    </row>
    <row r="18" spans="1:2" x14ac:dyDescent="0.3">
      <c r="A18">
        <v>-2</v>
      </c>
      <c r="B18">
        <f t="shared" si="0"/>
        <v>3.8333333333333335</v>
      </c>
    </row>
    <row r="19" spans="1:2" x14ac:dyDescent="0.3">
      <c r="A19">
        <v>-1</v>
      </c>
      <c r="B19">
        <f t="shared" si="0"/>
        <v>1.1666666666666667</v>
      </c>
    </row>
    <row r="20" spans="1:2" x14ac:dyDescent="0.3">
      <c r="A20">
        <v>0</v>
      </c>
      <c r="B20">
        <f t="shared" si="0"/>
        <v>0.5</v>
      </c>
    </row>
    <row r="21" spans="1:2" x14ac:dyDescent="0.3">
      <c r="A21">
        <v>1</v>
      </c>
      <c r="B21">
        <f t="shared" si="0"/>
        <v>1.8333333333333333</v>
      </c>
    </row>
    <row r="22" spans="1:2" x14ac:dyDescent="0.3">
      <c r="A22">
        <v>2</v>
      </c>
      <c r="B22">
        <f t="shared" si="0"/>
        <v>5.166666666666667</v>
      </c>
    </row>
    <row r="23" spans="1:2" x14ac:dyDescent="0.3">
      <c r="A23">
        <v>3</v>
      </c>
      <c r="B23">
        <f t="shared" si="0"/>
        <v>10.5</v>
      </c>
    </row>
    <row r="24" spans="1:2" x14ac:dyDescent="0.3">
      <c r="A24">
        <v>4</v>
      </c>
      <c r="B24">
        <f t="shared" si="0"/>
        <v>17.833333333333332</v>
      </c>
    </row>
    <row r="25" spans="1:2" x14ac:dyDescent="0.3">
      <c r="A25">
        <v>5</v>
      </c>
      <c r="B25">
        <f t="shared" si="0"/>
        <v>27.166666666666668</v>
      </c>
    </row>
    <row r="26" spans="1:2" x14ac:dyDescent="0.3">
      <c r="A26">
        <v>6</v>
      </c>
      <c r="B26">
        <f t="shared" si="0"/>
        <v>38.5</v>
      </c>
    </row>
    <row r="27" spans="1:2" x14ac:dyDescent="0.3">
      <c r="A27">
        <v>7</v>
      </c>
      <c r="B27">
        <f t="shared" si="0"/>
        <v>51.833333333333336</v>
      </c>
    </row>
    <row r="28" spans="1:2" x14ac:dyDescent="0.3">
      <c r="A28">
        <v>8</v>
      </c>
      <c r="B28">
        <f t="shared" si="0"/>
        <v>67.166666666666671</v>
      </c>
    </row>
    <row r="29" spans="1:2" x14ac:dyDescent="0.3">
      <c r="A29">
        <v>9</v>
      </c>
      <c r="B29">
        <f t="shared" si="0"/>
        <v>84.5</v>
      </c>
    </row>
    <row r="30" spans="1:2" x14ac:dyDescent="0.3">
      <c r="A30">
        <v>10</v>
      </c>
      <c r="B30">
        <f t="shared" si="0"/>
        <v>103.83333333333333</v>
      </c>
    </row>
    <row r="31" spans="1:2" x14ac:dyDescent="0.3">
      <c r="A31">
        <v>11</v>
      </c>
      <c r="B31">
        <f t="shared" si="0"/>
        <v>125.16666666666667</v>
      </c>
    </row>
    <row r="32" spans="1:2" x14ac:dyDescent="0.3">
      <c r="A32">
        <v>12</v>
      </c>
      <c r="B32">
        <f t="shared" si="0"/>
        <v>148.5</v>
      </c>
    </row>
    <row r="33" spans="1:2" x14ac:dyDescent="0.3">
      <c r="A33">
        <v>13</v>
      </c>
      <c r="B33">
        <f t="shared" si="0"/>
        <v>173.83333333333334</v>
      </c>
    </row>
    <row r="34" spans="1:2" x14ac:dyDescent="0.3">
      <c r="A34">
        <v>14</v>
      </c>
      <c r="B34">
        <f t="shared" si="0"/>
        <v>201.16666666666666</v>
      </c>
    </row>
    <row r="35" spans="1:2" x14ac:dyDescent="0.3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dimension ref="A2:D16"/>
  <sheetViews>
    <sheetView workbookViewId="0">
      <selection activeCell="B5" sqref="B5"/>
    </sheetView>
  </sheetViews>
  <sheetFormatPr defaultColWidth="11.19921875" defaultRowHeight="15.6" x14ac:dyDescent="0.3"/>
  <cols>
    <col min="1" max="1" width="54.69921875" bestFit="1" customWidth="1"/>
    <col min="2" max="2" width="15.796875" bestFit="1" customWidth="1"/>
  </cols>
  <sheetData>
    <row r="2" spans="1:4" x14ac:dyDescent="0.3">
      <c r="A2" t="s">
        <v>28</v>
      </c>
      <c r="B2">
        <v>3383.2923076923071</v>
      </c>
    </row>
    <row r="3" spans="1:4" x14ac:dyDescent="0.3">
      <c r="A3" t="s">
        <v>29</v>
      </c>
      <c r="B3">
        <f>0.3*B2</f>
        <v>1014.9876923076921</v>
      </c>
    </row>
    <row r="4" spans="1:4" x14ac:dyDescent="0.3">
      <c r="A4" t="s">
        <v>30</v>
      </c>
      <c r="B4">
        <v>500</v>
      </c>
    </row>
    <row r="5" spans="1:4" x14ac:dyDescent="0.3">
      <c r="A5" t="s">
        <v>39</v>
      </c>
      <c r="B5">
        <f>SUM(B2:B4)</f>
        <v>4898.2799999999988</v>
      </c>
    </row>
    <row r="6" spans="1:4" x14ac:dyDescent="0.3">
      <c r="A6" t="s">
        <v>35</v>
      </c>
      <c r="B6">
        <v>40</v>
      </c>
    </row>
    <row r="8" spans="1:4" x14ac:dyDescent="0.3">
      <c r="A8" t="s">
        <v>37</v>
      </c>
      <c r="B8" s="2">
        <f>1.5%</f>
        <v>1.4999999999999999E-2</v>
      </c>
    </row>
    <row r="9" spans="1:4" x14ac:dyDescent="0.3">
      <c r="A9" t="s">
        <v>34</v>
      </c>
      <c r="B9" s="8">
        <f>1.5%/12</f>
        <v>1.25E-3</v>
      </c>
    </row>
    <row r="11" spans="1:4" x14ac:dyDescent="0.3">
      <c r="A11" t="s">
        <v>31</v>
      </c>
      <c r="B11" s="3">
        <v>15000</v>
      </c>
      <c r="D11" s="10"/>
    </row>
    <row r="12" spans="1:4" x14ac:dyDescent="0.3">
      <c r="A12" t="s">
        <v>32</v>
      </c>
      <c r="B12">
        <v>20</v>
      </c>
    </row>
    <row r="13" spans="1:4" x14ac:dyDescent="0.3">
      <c r="A13" t="s">
        <v>33</v>
      </c>
      <c r="B13" s="9">
        <f>PV(B9,250,B11)</f>
        <v>-3218898.9889226924</v>
      </c>
    </row>
    <row r="14" spans="1:4" x14ac:dyDescent="0.3">
      <c r="A14" t="s">
        <v>36</v>
      </c>
      <c r="B14" s="9"/>
    </row>
    <row r="16" spans="1:4" x14ac:dyDescent="0.3">
      <c r="A16" t="s">
        <v>38</v>
      </c>
      <c r="B16" s="9">
        <f>PMT(B9,B6*12,0,B13)</f>
        <v>4898.279042706019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Úvodka</vt:lpstr>
      <vt:lpstr>Ex 1</vt:lpstr>
      <vt:lpstr>Ex 2</vt:lpstr>
      <vt:lpstr>Ex 3</vt:lpstr>
      <vt:lpstr>Ex 5</vt:lpstr>
      <vt:lpstr>Ex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Jan</cp:lastModifiedBy>
  <dcterms:created xsi:type="dcterms:W3CDTF">2020-03-18T21:00:38Z</dcterms:created>
  <dcterms:modified xsi:type="dcterms:W3CDTF">2020-03-25T10:21:33Z</dcterms:modified>
</cp:coreProperties>
</file>